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4" autoFilterDateGrouping="1"/>
  </bookViews>
  <sheets>
    <sheet name="Morning Dashboard" sheetId="1" state="visible" r:id="rId1"/>
    <sheet name="README" sheetId="2" state="visible" r:id="rId2"/>
    <sheet name="Career_Profile" sheetId="3" state="visible" r:id="rId3"/>
    <sheet name="Skills" sheetId="4" state="visible" r:id="rId4"/>
    <sheet name="Jobs" sheetId="5" state="visible" r:id="rId5"/>
    <sheet name="Applications" sheetId="6" state="visible" r:id="rId6"/>
    <sheet name="Interviews" sheetId="7" state="visible" r:id="rId7"/>
    <sheet name="Analytics" sheetId="8" state="visible" r:id="rId8"/>
    <sheet name="AI_Import" sheetId="9" state="visible" r:id="rId9"/>
    <sheet name="AI_Import_Guide" sheetId="10" state="visible" r:id="rId10"/>
  </sheets>
  <definedNames>
    <definedName name="_xlnm._FilterDatabase" localSheetId="0" hidden="1">'Morning Dashboard'!$A$12:$L$68</definedName>
    <definedName name="_xlnm._FilterDatabase" localSheetId="4" hidden="1">'Jobs'!$A$1:$Z$1</definedName>
    <definedName name="_xlnm._FilterDatabase" localSheetId="5" hidden="1">'Applications'!$A$1:$Q$500</definedName>
    <definedName name="_xlnm._FilterDatabase" localSheetId="6" hidden="1">'Interviews'!$A$1:$O$500</definedName>
    <definedName name="_xlnm._FilterDatabase" localSheetId="8" hidden="1">'AI_Import'!$A$1:$AK$499</definedName>
  </definedNames>
  <calcPr calcId="19102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Calibri"/>
      <b val="1"/>
      <color rgb="FFFFFFFF"/>
      <sz val="11"/>
    </font>
    <font>
      <name val="Calibri"/>
      <b val="1"/>
      <sz val="16"/>
    </font>
    <font>
      <name val="Calibri"/>
      <b val="1"/>
      <sz val="11"/>
    </font>
    <font>
      <name val="Calibri"/>
      <b val="1"/>
      <color rgb="FFFFFFFF"/>
      <sz val="15"/>
    </font>
    <font>
      <name val="Calibri"/>
      <family val="2"/>
      <color theme="10"/>
      <sz val="12"/>
      <scheme val="minor"/>
    </font>
    <font>
      <name val="Calibri"/>
      <b val="1"/>
      <sz val="18"/>
    </font>
    <font>
      <name val="Calibri"/>
      <b val="1"/>
      <sz val="11"/>
    </font>
    <font>
      <name val="Calibri"/>
      <b val="1"/>
      <sz val="14"/>
    </font>
    <font>
      <name val="Calibri"/>
      <b val="1"/>
      <sz val="12"/>
    </font>
    <font>
      <name val="Calibri"/>
      <family val="2"/>
      <b val="1"/>
      <color theme="0"/>
      <sz val="11"/>
      <scheme val="minor"/>
    </font>
    <font>
      <b val="1"/>
      <sz val="18"/>
    </font>
    <font>
      <b val="1"/>
    </font>
    <font>
      <b val="1"/>
      <sz val="14"/>
    </font>
    <font>
      <b val="1"/>
      <sz val="12"/>
    </font>
  </fonts>
  <fills count="9">
    <fill>
      <patternFill/>
    </fill>
    <fill>
      <patternFill patternType="gray125"/>
    </fill>
    <fill>
      <patternFill patternType="solid">
        <fgColor rgb="FF1F2937"/>
      </patternFill>
    </fill>
    <fill>
      <patternFill patternType="solid">
        <fgColor rgb="FFFFF2CC"/>
      </patternFill>
    </fill>
    <fill>
      <patternFill patternType="solid">
        <fgColor rgb="FFE2F0D9"/>
      </patternFill>
    </fill>
    <fill>
      <patternFill patternType="solid">
        <fgColor theme="3" tint="-0.499984740745262"/>
        <bgColor indexed="64"/>
      </patternFill>
    </fill>
    <fill>
      <patternFill patternType="solid">
        <fgColor rgb="00FFF2CC"/>
      </patternFill>
    </fill>
    <fill>
      <patternFill patternType="solid">
        <fgColor rgb="00E2F0D9"/>
      </patternFill>
    </fill>
    <fill>
      <patternFill patternType="solid">
        <fgColor rgb="00FCE4D6"/>
      </patternFill>
    </fill>
  </fills>
  <borders count="8">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right/>
      <top/>
      <bottom style="thin">
        <color auto="1"/>
      </bottom>
      <diagonal/>
    </border>
    <border>
      <left/>
      <right/>
      <top style="thin">
        <color rgb="FFD1D5DB"/>
      </top>
      <bottom/>
      <diagonal/>
    </border>
    <border>
      <left/>
      <right style="thin">
        <color rgb="FFD1D5DB"/>
      </right>
      <top style="thin">
        <color rgb="FFD1D5DB"/>
      </top>
      <bottom/>
      <diagonal/>
    </border>
    <border>
      <bottom style="thin"/>
    </border>
  </borders>
  <cellStyleXfs count="2">
    <xf numFmtId="0" fontId="0" fillId="0" borderId="0"/>
    <xf numFmtId="0" fontId="5" fillId="0" borderId="0"/>
  </cellStyleXfs>
  <cellXfs count="33">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3" fillId="0" borderId="1" applyAlignment="1" pivotButton="0" quotePrefix="0" xfId="0">
      <alignment vertical="top" wrapText="1"/>
    </xf>
    <xf numFmtId="164" fontId="0" fillId="0" borderId="1" applyAlignment="1" pivotButton="0" quotePrefix="0" xfId="0">
      <alignment vertical="top" wrapText="1"/>
    </xf>
    <xf numFmtId="0" fontId="1" fillId="2" borderId="1" applyAlignment="1" pivotButton="0" quotePrefix="0" xfId="0">
      <alignment horizontal="center" vertical="center" wrapText="1"/>
    </xf>
    <xf numFmtId="0" fontId="3" fillId="0" borderId="0" pivotButton="0" quotePrefix="0" xfId="0"/>
    <xf numFmtId="0" fontId="4" fillId="2" borderId="1" applyAlignment="1" pivotButton="0" quotePrefix="0" xfId="0">
      <alignment vertical="top" wrapText="1"/>
    </xf>
    <xf numFmtId="0" fontId="7" fillId="0" borderId="0" pivotButton="0" quotePrefix="0" xfId="0"/>
    <xf numFmtId="0" fontId="8" fillId="0" borderId="0" pivotButton="0" quotePrefix="0" xfId="0"/>
    <xf numFmtId="0" fontId="7" fillId="0" borderId="0" applyAlignment="1" pivotButton="0" quotePrefix="0" xfId="0">
      <alignment horizontal="center"/>
    </xf>
    <xf numFmtId="0" fontId="0" fillId="3" borderId="4" applyAlignment="1" pivotButton="0" quotePrefix="0" xfId="0">
      <alignment vertical="top" wrapText="1"/>
    </xf>
    <xf numFmtId="0" fontId="5" fillId="3" borderId="4" pivotButton="0" quotePrefix="0" xfId="1"/>
    <xf numFmtId="0" fontId="0" fillId="4" borderId="4" applyAlignment="1" pivotButton="0" quotePrefix="0" xfId="0">
      <alignment vertical="top" wrapText="1"/>
    </xf>
    <xf numFmtId="0" fontId="9" fillId="0" borderId="0" pivotButton="0" quotePrefix="0" xfId="0"/>
    <xf numFmtId="0" fontId="0" fillId="0" borderId="0" pivotButton="0" quotePrefix="0" xfId="0"/>
    <xf numFmtId="0" fontId="6" fillId="0" borderId="0" pivotButton="0" quotePrefix="0" xfId="0"/>
    <xf numFmtId="0" fontId="8" fillId="0" borderId="0" pivotButton="0" quotePrefix="0" xfId="0"/>
    <xf numFmtId="0" fontId="2" fillId="0" borderId="1" applyAlignment="1" pivotButton="0" quotePrefix="0" xfId="0">
      <alignment vertical="top" wrapText="1"/>
    </xf>
    <xf numFmtId="0" fontId="0" fillId="0" borderId="2" pivotButton="0" quotePrefix="0" xfId="0"/>
    <xf numFmtId="0" fontId="0" fillId="0" borderId="3" pivotButton="0" quotePrefix="0" xfId="0"/>
    <xf numFmtId="0" fontId="10" fillId="5" borderId="0" pivotButton="0" quotePrefix="0" xfId="0"/>
    <xf numFmtId="0" fontId="11" fillId="0" borderId="0" pivotButton="0" quotePrefix="0" xfId="0"/>
    <xf numFmtId="0" fontId="12" fillId="0" borderId="0" pivotButton="0" quotePrefix="0" xfId="0"/>
    <xf numFmtId="0" fontId="13" fillId="0" borderId="0" pivotButton="0" quotePrefix="0" xfId="0"/>
    <xf numFmtId="0" fontId="12" fillId="0" borderId="0" applyAlignment="1" pivotButton="0" quotePrefix="0" xfId="0">
      <alignment horizontal="center"/>
    </xf>
    <xf numFmtId="0" fontId="0" fillId="6" borderId="7" applyAlignment="1" pivotButton="0" quotePrefix="0" xfId="0">
      <alignment vertical="top" wrapText="1"/>
    </xf>
    <xf numFmtId="0" fontId="5" fillId="6" borderId="7" pivotButton="0" quotePrefix="0" xfId="1"/>
    <xf numFmtId="0" fontId="0" fillId="7" borderId="7" applyAlignment="1" pivotButton="0" quotePrefix="0" xfId="0">
      <alignment vertical="top" wrapText="1"/>
    </xf>
    <xf numFmtId="0" fontId="14" fillId="0" borderId="0" pivotButton="0" quotePrefix="0" xfId="0"/>
    <xf numFmtId="0" fontId="5" fillId="7" borderId="7" pivotButton="0" quotePrefix="0" xfId="1"/>
    <xf numFmtId="0" fontId="0" fillId="8" borderId="7" applyAlignment="1" pivotButton="0" quotePrefix="0" xfId="0">
      <alignment vertical="top" wrapText="1"/>
    </xf>
    <xf numFmtId="0" fontId="5" fillId="8" borderId="7" pivotButton="0" quotePrefix="0" xfId="1"/>
  </cellXfs>
  <cellStyles count="2">
    <cellStyle name="Normal" xfId="0" builtinId="0"/>
    <cellStyle name="Hyperlink" xfId="1" builtinId="8"/>
  </cellStyles>
  <dxfs count="1">
    <dxf>
      <fill>
        <patternFill patternType="solid">
          <fgColor rgb="FF86EFA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in.jooble.org/desc/7218822007534742956?ckey=Node.js+intern&amp;rgn=3193&amp;pos=2&amp;elckey=8297031273089829483&amp;p=1&amp;aq=-2324189919506338114&amp;cid=389&amp;jobAge=229&amp;brelb=10&amp;bscr=2019.2196&amp;scr=2019.2196" TargetMode="External" Id="rId1" /><Relationship Type="http://schemas.openxmlformats.org/officeDocument/2006/relationships/hyperlink" Target="file:///E:/InternshipHunter/applications/jooble-e0584afe814a" TargetMode="External" Id="rId2" /><Relationship Type="http://schemas.openxmlformats.org/officeDocument/2006/relationships/hyperlink" Target="https://in.jooble.org/desc/7218822007534742956?ckey=software+development+intern&amp;rgn=3193&amp;pos=8&amp;elckey=1113068979896720873&amp;p=1&amp;aq=-1835080659113362399&amp;cid=389&amp;jobAge=229&amp;brelb=10&amp;bscr=1497.171&amp;scr=1497.171" TargetMode="External" Id="rId3" /><Relationship Type="http://schemas.openxmlformats.org/officeDocument/2006/relationships/hyperlink" Target="file:///E:/InternshipHunter/applications/jooble-41ab251bcf35" TargetMode="External" Id="rId4" /><Relationship Type="http://schemas.openxmlformats.org/officeDocument/2006/relationships/hyperlink" Target="https://in.jooble.org/desc/7218822007534742956?ckey=MERN+intern&amp;rgn=3193&amp;pos=1&amp;elckey=-987846997739158382&amp;p=1&amp;aq=8112896330921696795&amp;cid=389&amp;jobAge=229&amp;brelb=10&amp;bscr=2977.5503&amp;scr=2977.5503" TargetMode="External" Id="rId5" /><Relationship Type="http://schemas.openxmlformats.org/officeDocument/2006/relationships/hyperlink" Target="file:///E:/InternshipHunter/applications/jooble-a0b347698218" TargetMode="External" Id="rId6" /><Relationship Type="http://schemas.openxmlformats.org/officeDocument/2006/relationships/hyperlink" Target="https://www.adzuna.in/details/3066949136?utm_medium=api&amp;utm_source=5ccdc27f" TargetMode="External" Id="rId7" /><Relationship Type="http://schemas.openxmlformats.org/officeDocument/2006/relationships/hyperlink" Target="file:///E:/InternshipHunter/applications/adzuna-59fe15a9ae76" TargetMode="External" Id="rId8" /><Relationship Type="http://schemas.openxmlformats.org/officeDocument/2006/relationships/hyperlink" Target="https://in.jooble.org/desc/1795430527662724049?ckey=Node.js+intern&amp;rgn=158289&amp;pos=1&amp;elckey=-6407949683192714864&amp;p=1&amp;aq=-7781579715762385376&amp;cid=389&amp;jobAge=37&amp;brelb=100&amp;bscr=318.4173&amp;scr=318.4173" TargetMode="External" Id="rId9" /><Relationship Type="http://schemas.openxmlformats.org/officeDocument/2006/relationships/hyperlink" Target="file:///E:/InternshipHunter/applications/jooble-1ec710b47746" TargetMode="External" Id="rId10" /><Relationship Type="http://schemas.openxmlformats.org/officeDocument/2006/relationships/hyperlink" Target="https://www.adzuna.in/details/3447826016?utm_medium=api&amp;utm_source=5ccdc27f" TargetMode="External" Id="rId11" /><Relationship Type="http://schemas.openxmlformats.org/officeDocument/2006/relationships/hyperlink" Target="file:///E:/InternshipHunter/applications/adzuna-1a3d981d7303" TargetMode="External" Id="rId12" /><Relationship Type="http://schemas.openxmlformats.org/officeDocument/2006/relationships/hyperlink" Target="https://in.jooble.org/desc/1797195671655267307?ckey=AI+engineer+intern&amp;rgn=158289&amp;pos=7&amp;elckey=620659998068774080&amp;p=1&amp;aq=-152696816779156527&amp;cid=389&amp;jobAge=1429&amp;brelb=10&amp;bscr=158.30186&amp;scr=158.30186" TargetMode="External" Id="rId13" /><Relationship Type="http://schemas.openxmlformats.org/officeDocument/2006/relationships/hyperlink" Target="file:///E:/InternshipHunter/applications/jooble-67ef2ef60030" TargetMode="External" Id="rId14" /><Relationship Type="http://schemas.openxmlformats.org/officeDocument/2006/relationships/hyperlink" Target="https://www.adzuna.in/details/5849688632?utm_medium=api&amp;utm_source=5ccdc27f" TargetMode="External" Id="rId15" /><Relationship Type="http://schemas.openxmlformats.org/officeDocument/2006/relationships/hyperlink" Target="file:///E:/InternshipHunter/applications/adzuna-a9b412fb8d46" TargetMode="External" Id="rId16" /><Relationship Type="http://schemas.openxmlformats.org/officeDocument/2006/relationships/hyperlink" Target="https://in.jooble.org/desc/1797195671655267307?ckey=software+development+intern&amp;rgn=158289&amp;pos=1&amp;elckey=2575656192662351854&amp;p=1&amp;aq=-4080213401787550463&amp;cid=389&amp;jobAge=1429&amp;brelb=10&amp;bscr=1032.6194&amp;scr=1032.6194" TargetMode="External" Id="rId17" /><Relationship Type="http://schemas.openxmlformats.org/officeDocument/2006/relationships/hyperlink" Target="file:///E:/InternshipHunter/applications/jooble-171d6200bac6" TargetMode="External" Id="rId18" /><Relationship Type="http://schemas.openxmlformats.org/officeDocument/2006/relationships/hyperlink" Target="https://www.adzuna.in/details/3148437412?utm_medium=api&amp;utm_source=5ccdc27f" TargetMode="External" Id="rId19" /><Relationship Type="http://schemas.openxmlformats.org/officeDocument/2006/relationships/hyperlink" Target="file:///E:/InternshipHunter/applications/adzuna-ead5fd4e38d6" TargetMode="External" Id="rId20" /><Relationship Type="http://schemas.openxmlformats.org/officeDocument/2006/relationships/hyperlink" Target="https://in.jooble.org/away/-605960673848884241?p=1&amp;pos=1&amp;rgn=3193&amp;cid=389&amp;ckey=Node.js+intern&amp;jobAge=17&amp;brelb=10&amp;scr=6717.624&amp;bscr=6717.624&amp;aq=-2324189919506338114&amp;elckey=8297031273089829483" TargetMode="External" Id="rId21" /><Relationship Type="http://schemas.openxmlformats.org/officeDocument/2006/relationships/hyperlink" Target="file:///E:/InternshipHunter/applications/jooble-2bce448b4cad" TargetMode="External" Id="rId22" /><Relationship Type="http://schemas.openxmlformats.org/officeDocument/2006/relationships/hyperlink" Target="https://in.jooble.org/desc/5089802996613037634?ckey=software+development+intern&amp;rgn=3193&amp;pos=5&amp;elckey=1113068979896720873&amp;p=1&amp;aq=-1835080659113362399&amp;cid=389&amp;jobAge=5845&amp;brelb=100&amp;bscr=1576.2178&amp;scr=1576.2178" TargetMode="External" Id="rId23" /><Relationship Type="http://schemas.openxmlformats.org/officeDocument/2006/relationships/hyperlink" Target="https://in.jooble.org/desc/1797195671655267307?ckey=Python+developer+intern&amp;rgn=158289&amp;pos=6&amp;elckey=-5263317874496076306&amp;p=1&amp;aq=-8208089350359279958&amp;cid=389&amp;jobAge=1429&amp;brelb=10&amp;bscr=158.28978&amp;scr=158.28978" TargetMode="External" Id="rId24" /><Relationship Type="http://schemas.openxmlformats.org/officeDocument/2006/relationships/hyperlink" Target="https://www.adzuna.in/details/5420122532?utm_medium=api&amp;utm_source=5ccdc27f" TargetMode="External" Id="rId25" /><Relationship Type="http://schemas.openxmlformats.org/officeDocument/2006/relationships/hyperlink" Target="https://www.adzuna.in/details/4176492451?utm_medium=api&amp;utm_source=5ccdc27f" TargetMode="External" Id="rId26" /><Relationship Type="http://schemas.openxmlformats.org/officeDocument/2006/relationships/hyperlink" Target="https://in.jooble.org/away/-605960673848884241?p=1&amp;pos=1&amp;rgn=3193&amp;cid=389&amp;ckey=software+engineer+intern&amp;jobAge=17&amp;brelb=10&amp;scr=2083.1946&amp;bscr=2083.1946&amp;aq=-61623613441355244&amp;elckey=-5330510203177165305" TargetMode="External" Id="rId27" /><Relationship Type="http://schemas.openxmlformats.org/officeDocument/2006/relationships/hyperlink" Target="https://in.jooble.org/desc/5799679831910233464?ckey=software+development+intern&amp;rgn=3193&amp;pos=13&amp;elckey=1113068979896720873&amp;p=1&amp;aq=-1835080659113362399&amp;cid=389&amp;jobAge=61&amp;brelb=10&amp;bscr=1404.4001&amp;scr=1404.4001" TargetMode="External" Id="rId28" /><Relationship Type="http://schemas.openxmlformats.org/officeDocument/2006/relationships/hyperlink" Target="https://in.jooble.org/desc/3071963684124717842?ckey=full+stack+developer+intern&amp;rgn=3193&amp;pos=2&amp;elckey=8319642853500823392&amp;p=1&amp;aq=5360320862455101555&amp;cid=389&amp;jobAge=109&amp;brelb=10&amp;bscr=1485.8063&amp;scr=1485.8063" TargetMode="External" Id="rId29" /><Relationship Type="http://schemas.openxmlformats.org/officeDocument/2006/relationships/hyperlink" Target="https://www.adzuna.in/details/5876449427?utm_medium=api&amp;utm_source=5ccdc27f" TargetMode="External" Id="rId30" /><Relationship Type="http://schemas.openxmlformats.org/officeDocument/2006/relationships/hyperlink" Target="https://in.jooble.org/desc/5799679831910233464?ckey=software+engineer+intern&amp;rgn=3193&amp;pos=7&amp;elckey=-5330510203177165305&amp;p=1&amp;aq=-61623613441355244&amp;cid=389&amp;jobAge=61&amp;brelb=10&amp;bscr=1490.7164&amp;scr=1490.7164" TargetMode="External" Id="rId31" /><Relationship Type="http://schemas.openxmlformats.org/officeDocument/2006/relationships/hyperlink" Target="https://in.jooble.org/desc/1797195671655267307?ckey=MERN+intern&amp;rgn=158289&amp;pos=1&amp;elckey=-9205143521179392089&amp;p=1&amp;aq=6389817472475829374&amp;cid=389&amp;jobAge=1429&amp;brelb=10&amp;bscr=235.14119&amp;scr=235.14119" TargetMode="External" Id="rId32" /><Relationship Type="http://schemas.openxmlformats.org/officeDocument/2006/relationships/hyperlink" Target="https://www.adzuna.in/details/5775777688?utm_medium=api&amp;utm_source=5ccdc27f" TargetMode="External" Id="rId33" /><Relationship Type="http://schemas.openxmlformats.org/officeDocument/2006/relationships/hyperlink" Target="https://in.jooble.org/desc/1797195671655267307?ckey=software+engineer+intern&amp;rgn=158289&amp;pos=1&amp;elckey=6777369812705344748&amp;p=1&amp;aq=5387186196911128999&amp;cid=389&amp;jobAge=1429&amp;brelb=10&amp;bscr=1125.9156&amp;scr=1125.9156" TargetMode="External" Id="rId34" /><Relationship Type="http://schemas.openxmlformats.org/officeDocument/2006/relationships/hyperlink" Target="https://in.jooble.org/desc/-2588912263494949841?ckey=Node.js+intern&amp;rgn=3193&amp;pos=12&amp;elckey=8297031273089829483&amp;p=1&amp;aq=-2324189919506338114&amp;cid=389&amp;jobAge=109&amp;brelb=10&amp;bscr=1390.4955&amp;scr=1390.4955" TargetMode="External" Id="rId35" /><Relationship Type="http://schemas.openxmlformats.org/officeDocument/2006/relationships/hyperlink" Target="https://in.jooble.org/desc/1797195671655267307?ckey=Java+developer+intern&amp;rgn=158289&amp;pos=6&amp;elckey=-3866309702040063594&amp;p=1&amp;aq=5290676257850325758&amp;cid=389&amp;jobAge=1429&amp;brelb=10&amp;bscr=158.30186&amp;scr=158.30186" TargetMode="External" Id="rId36" /><Relationship Type="http://schemas.openxmlformats.org/officeDocument/2006/relationships/hyperlink" Target="https://www.adzuna.in/details/4801660754?utm_medium=api&amp;utm_source=5ccdc27f" TargetMode="External" Id="rId37" /><Relationship Type="http://schemas.openxmlformats.org/officeDocument/2006/relationships/hyperlink" Target="https://www.adzuna.in/details/5879546730?utm_medium=api&amp;utm_source=5ccdc27f" TargetMode="External" Id="rId38" /><Relationship Type="http://schemas.openxmlformats.org/officeDocument/2006/relationships/hyperlink" Target="https://www.adzuna.in/details/5827200226?utm_medium=api&amp;utm_source=5ccdc27f" TargetMode="External" Id="rId39" /><Relationship Type="http://schemas.openxmlformats.org/officeDocument/2006/relationships/hyperlink" Target="https://www.adzuna.in/details/5811667426?utm_medium=api&amp;utm_source=5ccdc27f" TargetMode="External" Id="rId40" /><Relationship Type="http://schemas.openxmlformats.org/officeDocument/2006/relationships/hyperlink" Target="https://www.adzuna.in/details/5856165557?utm_medium=api&amp;utm_source=5ccdc27f" TargetMode="External" Id="rId41" /><Relationship Type="http://schemas.openxmlformats.org/officeDocument/2006/relationships/hyperlink" Target="https://in.jooble.org/desc/1797195671655267307?ckey=full+stack+developer+intern&amp;rgn=158289&amp;pos=7&amp;elckey=-8300742611792938411&amp;p=1&amp;aq=-6593541423407566712&amp;cid=389&amp;jobAge=1429&amp;brelb=10&amp;bscr=158.28978&amp;scr=158.28978" TargetMode="External" Id="rId42" /><Relationship Type="http://schemas.openxmlformats.org/officeDocument/2006/relationships/hyperlink" Target="https://in.jooble.org/desc/5799679831910233464?ckey=Node.js+intern&amp;rgn=3193&amp;pos=5&amp;elckey=8297031273089829483&amp;p=1&amp;aq=-2324189919506338114&amp;cid=389&amp;jobAge=61&amp;brelb=10&amp;bscr=1564.4097&amp;scr=1564.4097" TargetMode="External" Id="rId43" /><Relationship Type="http://schemas.openxmlformats.org/officeDocument/2006/relationships/hyperlink" Target="https://in.jooble.org/desc/1797195671655267307?ckey=Node.js+intern&amp;rgn=158289&amp;pos=7&amp;elckey=-6407949683192714864&amp;p=1&amp;aq=-7781579715762385376&amp;cid=389&amp;jobAge=1429&amp;brelb=10&amp;bscr=158.28978&amp;scr=158.28978" TargetMode="External" Id="rId44" /><Relationship Type="http://schemas.openxmlformats.org/officeDocument/2006/relationships/hyperlink" Target="https://www.adzuna.in/details/5857747993?utm_medium=api&amp;utm_source=5ccdc27f" TargetMode="External" Id="rId45" /><Relationship Type="http://schemas.openxmlformats.org/officeDocument/2006/relationships/hyperlink" Target="https://in.jooble.org/desc/1797195671655267307?ckey=backend+developer+intern&amp;rgn=158289&amp;pos=7&amp;elckey=3845807572677384444&amp;p=1&amp;aq=8901984050831363307&amp;cid=389&amp;jobAge=1429&amp;brelb=10&amp;bscr=158.28978&amp;scr=158.28978" TargetMode="External" Id="rId46" /><Relationship Type="http://schemas.openxmlformats.org/officeDocument/2006/relationships/hyperlink" Target="https://www.adzuna.in/details/5409733921?utm_medium=api&amp;utm_source=5ccdc27f" TargetMode="External" Id="rId47" /><Relationship Type="http://schemas.openxmlformats.org/officeDocument/2006/relationships/hyperlink" Target="https://www.adzuna.in/details/5416883965?utm_medium=api&amp;utm_source=5ccdc27f" TargetMode="External" Id="rId48" /><Relationship Type="http://schemas.openxmlformats.org/officeDocument/2006/relationships/hyperlink" Target="https://www.adzuna.in/details/5565364089?utm_medium=api&amp;utm_source=5ccdc27f" TargetMode="External" Id="rId49" /><Relationship Type="http://schemas.openxmlformats.org/officeDocument/2006/relationships/hyperlink" Target="https://www.adzuna.in/details/5867250837?utm_medium=api&amp;utm_source=5ccdc27f" TargetMode="External" Id="rId50" /><Relationship Type="http://schemas.openxmlformats.org/officeDocument/2006/relationships/hyperlink" Target="https://www.adzuna.in/details/5721341414?utm_medium=api&amp;utm_source=5ccdc27f" TargetMode="External" Id="rId51" /><Relationship Type="http://schemas.openxmlformats.org/officeDocument/2006/relationships/hyperlink" Target="https://www.adzuna.in/details/5850377111?utm_medium=api&amp;utm_source=5ccdc27f" TargetMode="External" Id="rId52" /><Relationship Type="http://schemas.openxmlformats.org/officeDocument/2006/relationships/hyperlink" Target="https://www.adzuna.in/details/5503837657?utm_medium=api&amp;utm_source=5ccdc27f" TargetMode="External" Id="rId53" /><Relationship Type="http://schemas.openxmlformats.org/officeDocument/2006/relationships/hyperlink" Target="https://www.adzuna.in/details/5625720116?utm_medium=api&amp;utm_source=5ccdc27f" TargetMode="External" Id="rId54" /><Relationship Type="http://schemas.openxmlformats.org/officeDocument/2006/relationships/hyperlink" Target="https://in.jooble.org/desc/3491546633823889584?ckey=Node.js+intern&amp;rgn=3193&amp;pos=14&amp;elckey=8297031273089829483&amp;p=1&amp;aq=-2324189919506338114&amp;cid=389&amp;jobAge=1381&amp;brelb=10&amp;bscr=1312.1053&amp;scr=1312.1053" TargetMode="External" Id="rId55" /><Relationship Type="http://schemas.openxmlformats.org/officeDocument/2006/relationships/hyperlink" Target="https://in.jooble.org/desc/3071963684124717842?ckey=Node.js+intern&amp;rgn=3193&amp;pos=16&amp;elckey=8297031273089829483&amp;p=1&amp;aq=-2324189919506338114&amp;cid=389&amp;jobAge=109&amp;brelb=10&amp;bscr=1291.0214&amp;scr=1291.0214" TargetMode="External" Id="rId56" /><Relationship Type="http://schemas.openxmlformats.org/officeDocument/2006/relationships/hyperlink" Target="https://in.jooble.org/away/-5265365591670595058?p=1&amp;pos=12&amp;rgn=3193&amp;cid=389&amp;ckey=full+stack+developer+intern&amp;jobAge=17&amp;brelb=10&amp;scr=1267.7305&amp;bscr=1267.7305&amp;aq=5360320862455101555&amp;elckey=8319642853500823392" TargetMode="External" Id="rId57" /><Relationship Type="http://schemas.openxmlformats.org/officeDocument/2006/relationships/hyperlink" Target="https://www.adzuna.in/details/5850377236?utm_medium=api&amp;utm_source=5ccdc27f" TargetMode="External" Id="rId58" /><Relationship Type="http://schemas.openxmlformats.org/officeDocument/2006/relationships/hyperlink" Target="https://www.adzuna.in/details/4476844222?utm_medium=api&amp;utm_source=5ccdc27f" TargetMode="External" Id="rId59" /><Relationship Type="http://schemas.openxmlformats.org/officeDocument/2006/relationships/hyperlink" Target="https://www.adzuna.in/details/5032506906?utm_medium=api&amp;utm_source=5ccdc27f" TargetMode="External" Id="rId60" /><Relationship Type="http://schemas.openxmlformats.org/officeDocument/2006/relationships/hyperlink" Target="https://www.adzuna.in/details/5698481869?utm_medium=api&amp;utm_source=5ccdc27f" TargetMode="External" Id="rId61" /><Relationship Type="http://schemas.openxmlformats.org/officeDocument/2006/relationships/hyperlink" Target="https://www.adzuna.in/details/4366939888?utm_medium=api&amp;utm_source=5ccdc27f" TargetMode="External" Id="rId62" /></Relationships>
</file>

<file path=xl/worksheets/sheet1.xml><?xml version="1.0" encoding="utf-8"?>
<worksheet xmlns="http://schemas.openxmlformats.org/spreadsheetml/2006/main">
  <sheetPr>
    <outlinePr summaryBelow="1" summaryRight="1"/>
    <pageSetUpPr/>
  </sheetPr>
  <dimension ref="A1:L77"/>
  <sheetViews>
    <sheetView workbookViewId="0">
      <pane ySplit="12" topLeftCell="A13" activePane="bottomLeft" state="frozen"/>
      <selection pane="bottomLeft" activeCell="A1" sqref="A1"/>
    </sheetView>
  </sheetViews>
  <sheetFormatPr baseColWidth="8" defaultRowHeight="15"/>
  <cols>
    <col width="7" customWidth="1" style="15" min="1" max="1"/>
    <col width="28" customWidth="1" style="15" min="2" max="2"/>
    <col width="42" customWidth="1" style="15" min="3" max="3"/>
    <col width="9" customWidth="1" style="15" min="4" max="4"/>
    <col width="17" customWidth="1" style="15" min="5" max="5"/>
    <col width="18" customWidth="1" style="15" min="6" max="6"/>
    <col width="14" customWidth="1" style="15" min="7" max="7"/>
    <col width="20" customWidth="1" style="15" min="8" max="8"/>
    <col width="18" customWidth="1" style="15" min="9" max="9"/>
    <col width="36" customWidth="1" style="15" min="10" max="10"/>
    <col width="20" customWidth="1" style="15" min="11" max="11"/>
    <col width="18" customWidth="1" style="15" min="12" max="12"/>
  </cols>
  <sheetData>
    <row r="1">
      <c r="A1" s="22" t="inlineStr">
        <is>
          <t>AMAAN INTERNSHIP ECOSYSTEM — MORNING DASHBOARD</t>
        </is>
      </c>
    </row>
    <row r="2">
      <c r="A2" t="inlineStr">
        <is>
          <t>Updated: 2026-09-12</t>
        </is>
      </c>
    </row>
    <row r="3">
      <c r="A3" t="inlineStr">
        <is>
          <t>Workflow: Discover → Analyze → Shortlist → Apply-Assist → Apply → Track</t>
        </is>
      </c>
    </row>
    <row r="5">
      <c r="A5" s="23" t="inlineStr">
        <is>
          <t>Relevant/Tracked Jobs</t>
        </is>
      </c>
      <c r="B5" s="23" t="inlineStr">
        <is>
          <t>Apply Queue</t>
        </is>
      </c>
      <c r="C5" s="23" t="inlineStr">
        <is>
          <t>APPLY ASAP</t>
        </is>
      </c>
      <c r="D5" s="23" t="inlineStr">
        <is>
          <t>APPLY</t>
        </is>
      </c>
      <c r="E5" s="23" t="inlineStr">
        <is>
          <t>Kits Ready</t>
        </is>
      </c>
      <c r="F5" s="23" t="inlineStr">
        <is>
          <t>Applied</t>
        </is>
      </c>
    </row>
    <row r="6">
      <c r="A6" s="24" t="n">
        <v>229</v>
      </c>
      <c r="B6" s="24" t="n">
        <v>51</v>
      </c>
      <c r="C6" s="24" t="n">
        <v>2</v>
      </c>
      <c r="D6" s="24" t="n">
        <v>9</v>
      </c>
      <c r="E6" s="24" t="n">
        <v>11</v>
      </c>
      <c r="F6" s="24" t="n">
        <v>0</v>
      </c>
    </row>
    <row r="9">
      <c r="A9" s="24" t="inlineStr">
        <is>
          <t>APPLY QUEUE</t>
        </is>
      </c>
    </row>
    <row r="10">
      <c r="A10" t="inlineStr">
        <is>
          <t>Review APPLY ASAP first. Open the job, review the generated kit, then apply manually.</t>
        </is>
      </c>
    </row>
    <row r="12">
      <c r="A12" s="25" t="inlineStr">
        <is>
          <t>Rank</t>
        </is>
      </c>
      <c r="B12" s="25" t="inlineStr">
        <is>
          <t>Company</t>
        </is>
      </c>
      <c r="C12" s="25" t="inlineStr">
        <is>
          <t>Role</t>
        </is>
      </c>
      <c r="D12" s="25" t="inlineStr">
        <is>
          <t>Score</t>
        </is>
      </c>
      <c r="E12" s="25" t="inlineStr">
        <is>
          <t>Recommendation</t>
        </is>
      </c>
      <c r="F12" s="25" t="inlineStr">
        <is>
          <t>Location</t>
        </is>
      </c>
      <c r="G12" s="25" t="inlineStr">
        <is>
          <t>Work Mode</t>
        </is>
      </c>
      <c r="H12" s="25" t="inlineStr">
        <is>
          <t>Stipend</t>
        </is>
      </c>
      <c r="I12" s="25" t="inlineStr">
        <is>
          <t>PPO</t>
        </is>
      </c>
      <c r="J12" s="25" t="inlineStr">
        <is>
          <t>Resume</t>
        </is>
      </c>
      <c r="K12" s="25" t="inlineStr">
        <is>
          <t>Application Kit</t>
        </is>
      </c>
      <c r="L12" s="25" t="inlineStr">
        <is>
          <t>Status</t>
        </is>
      </c>
    </row>
    <row r="13">
      <c r="A13" s="26" t="n">
        <v>1</v>
      </c>
      <c r="B13" s="26" t="inlineStr">
        <is>
          <t>Nxtwave Disruptive Technologies Private Limited</t>
        </is>
      </c>
      <c r="C13" s="27" t="inlineStr">
        <is>
          <t>MERN Developer - Intern</t>
        </is>
      </c>
      <c r="D13" s="26" t="n">
        <v>100</v>
      </c>
      <c r="E13" s="26" t="inlineStr">
        <is>
          <t>APPLY ASAP</t>
        </is>
      </c>
      <c r="F13" s="26" t="inlineStr">
        <is>
          <t>Bangalore</t>
        </is>
      </c>
      <c r="G13" s="26" t="inlineStr">
        <is>
          <t>On-site / Not specified</t>
        </is>
      </c>
      <c r="H13" s="26" t="inlineStr">
        <is>
          <t>Rs 3.5 - 4 lakhs p.a.</t>
        </is>
      </c>
      <c r="I13" s="26" t="inlineStr">
        <is>
          <t>EXPLICIT</t>
        </is>
      </c>
      <c r="J13" s="26" t="inlineStr">
        <is>
          <t>Full Stack / MERN Developer Resume</t>
        </is>
      </c>
      <c r="K13" s="27" t="inlineStr">
        <is>
          <t>OPEN KIT</t>
        </is>
      </c>
      <c r="L13" s="26" t="inlineStr">
        <is>
          <t>READY TO APPLY</t>
        </is>
      </c>
    </row>
    <row r="14">
      <c r="A14" s="26" t="n">
        <v>2</v>
      </c>
      <c r="B14" s="26" t="inlineStr">
        <is>
          <t>Nxtwave Disruptive Technologies Private Limited</t>
        </is>
      </c>
      <c r="C14" s="27" t="inlineStr">
        <is>
          <t>MERN Developer - Intern</t>
        </is>
      </c>
      <c r="D14" s="26" t="n">
        <v>94</v>
      </c>
      <c r="E14" s="26" t="inlineStr">
        <is>
          <t>APPLY ASAP</t>
        </is>
      </c>
      <c r="F14" s="26" t="inlineStr">
        <is>
          <t>Bangalore</t>
        </is>
      </c>
      <c r="G14" s="26" t="inlineStr">
        <is>
          <t>Unknown</t>
        </is>
      </c>
      <c r="H14" s="26" t="inlineStr">
        <is>
          <t>20,000/month</t>
        </is>
      </c>
      <c r="I14" s="26" t="inlineStr">
        <is>
          <t>EXPLICIT</t>
        </is>
      </c>
      <c r="J14" s="26" t="inlineStr">
        <is>
          <t>Default Full Stack / MERN Resume</t>
        </is>
      </c>
      <c r="K14" s="27" t="inlineStr">
        <is>
          <t>OPEN KIT</t>
        </is>
      </c>
      <c r="L14" s="26" t="inlineStr">
        <is>
          <t>READY TO APPLY</t>
        </is>
      </c>
    </row>
    <row r="15">
      <c r="A15" s="28" t="n">
        <v>3</v>
      </c>
      <c r="B15" s="28" t="inlineStr">
        <is>
          <t>Nxtwave Disruptive Technologies Private Limited</t>
        </is>
      </c>
      <c r="C15" s="30" t="inlineStr">
        <is>
          <t>MERN Developer - Intern</t>
        </is>
      </c>
      <c r="D15" s="28" t="n">
        <v>88</v>
      </c>
      <c r="E15" s="28" t="inlineStr">
        <is>
          <t>APPLY</t>
        </is>
      </c>
      <c r="F15" s="28" t="inlineStr">
        <is>
          <t>Bangalore</t>
        </is>
      </c>
      <c r="G15" s="28" t="inlineStr">
        <is>
          <t>Unknown</t>
        </is>
      </c>
      <c r="H15" s="28" t="inlineStr">
        <is>
          <t>20,000/month</t>
        </is>
      </c>
      <c r="I15" s="28" t="inlineStr">
        <is>
          <t>EXPLICIT</t>
        </is>
      </c>
      <c r="J15" s="28" t="inlineStr">
        <is>
          <t>Amaanuddin_Ahmed_Full_Stack_Resume.pdf</t>
        </is>
      </c>
      <c r="K15" s="30" t="inlineStr">
        <is>
          <t>OPEN KIT</t>
        </is>
      </c>
      <c r="L15" s="28" t="inlineStr">
        <is>
          <t>READY TO APPLY</t>
        </is>
      </c>
    </row>
    <row r="16">
      <c r="A16" s="28" t="n">
        <v>4</v>
      </c>
      <c r="B16" s="28" t="inlineStr">
        <is>
          <t>Mogi IO</t>
        </is>
      </c>
      <c r="C16" s="30" t="inlineStr">
        <is>
          <t>Backend Developer Intern</t>
        </is>
      </c>
      <c r="D16" s="28" t="n">
        <v>87</v>
      </c>
      <c r="E16" s="28" t="inlineStr">
        <is>
          <t>APPLY</t>
        </is>
      </c>
      <c r="F16" s="28" t="inlineStr">
        <is>
          <t>Delhi, India</t>
        </is>
      </c>
      <c r="G16" s="28" t="inlineStr">
        <is>
          <t>On-site</t>
        </is>
      </c>
      <c r="H16" s="28" t="inlineStr">
        <is>
          <t>Not specified</t>
        </is>
      </c>
      <c r="I16" s="28" t="inlineStr">
        <is>
          <t>Available</t>
        </is>
      </c>
      <c r="J16" s="28" t="inlineStr">
        <is>
          <t>Amaan_Ahmed_Full_Stack_Resume.pdf</t>
        </is>
      </c>
      <c r="K16" s="30" t="inlineStr">
        <is>
          <t>OPEN KIT</t>
        </is>
      </c>
      <c r="L16" s="28" t="inlineStr">
        <is>
          <t>READY TO APPLY</t>
        </is>
      </c>
    </row>
    <row r="17">
      <c r="A17" s="28" t="n">
        <v>5</v>
      </c>
      <c r="B17" s="28" t="inlineStr">
        <is>
          <t>Unstop</t>
        </is>
      </c>
      <c r="C17" s="30" t="inlineStr">
        <is>
          <t>Full Stack Developer Internship</t>
        </is>
      </c>
      <c r="D17" s="28" t="n">
        <v>83</v>
      </c>
      <c r="E17" s="28" t="inlineStr">
        <is>
          <t>APPLY</t>
        </is>
      </c>
      <c r="F17" s="28" t="inlineStr">
        <is>
          <t>Work from home</t>
        </is>
      </c>
      <c r="G17" s="28" t="inlineStr">
        <is>
          <t>Remote</t>
        </is>
      </c>
      <c r="H17" s="28" t="inlineStr">
        <is>
          <t>Not specified</t>
        </is>
      </c>
      <c r="I17" s="28" t="inlineStr">
        <is>
          <t>UNKNOWN</t>
        </is>
      </c>
      <c r="J17" s="28" t="inlineStr">
        <is>
          <t>Default Full Stack MERN Resume</t>
        </is>
      </c>
      <c r="K17" s="30" t="inlineStr">
        <is>
          <t>OPEN KIT</t>
        </is>
      </c>
      <c r="L17" s="28" t="inlineStr">
        <is>
          <t>READY TO APPLY</t>
        </is>
      </c>
    </row>
    <row r="18">
      <c r="A18" s="28" t="n">
        <v>6</v>
      </c>
      <c r="B18" s="28" t="inlineStr">
        <is>
          <t>shiryam</t>
        </is>
      </c>
      <c r="C18" s="30" t="inlineStr">
        <is>
          <t>Backend Developer (Python Intern)</t>
        </is>
      </c>
      <c r="D18" s="28" t="n">
        <v>83</v>
      </c>
      <c r="E18" s="28" t="inlineStr">
        <is>
          <t>APPLY</t>
        </is>
      </c>
      <c r="F18" s="28" t="inlineStr">
        <is>
          <t>India</t>
        </is>
      </c>
      <c r="G18" s="28" t="inlineStr">
        <is>
          <t>Remote</t>
        </is>
      </c>
      <c r="H18" s="28" t="inlineStr">
        <is>
          <t>Competitive stipend</t>
        </is>
      </c>
      <c r="I18" s="28" t="inlineStr">
        <is>
          <t>YES</t>
        </is>
      </c>
      <c r="J18" s="28" t="inlineStr">
        <is>
          <t>Amaanuddin_Ahmed_Software_Engineer_Resume.pdf</t>
        </is>
      </c>
      <c r="K18" s="30" t="inlineStr">
        <is>
          <t>OPEN KIT</t>
        </is>
      </c>
      <c r="L18" s="28" t="inlineStr">
        <is>
          <t>READY TO APPLY</t>
        </is>
      </c>
    </row>
    <row r="19">
      <c r="A19" s="28" t="n">
        <v>7</v>
      </c>
      <c r="B19" s="28" t="inlineStr">
        <is>
          <t>Coinbase India Services</t>
        </is>
      </c>
      <c r="C19" s="30" t="inlineStr">
        <is>
          <t>Software Engineer Intern</t>
        </is>
      </c>
      <c r="D19" s="28" t="n">
        <v>82</v>
      </c>
      <c r="E19" s="28" t="inlineStr">
        <is>
          <t>APPLY</t>
        </is>
      </c>
      <c r="F19" s="28" t="inlineStr">
        <is>
          <t>India</t>
        </is>
      </c>
      <c r="G19" s="28" t="inlineStr">
        <is>
          <t>work from home</t>
        </is>
      </c>
      <c r="H19" s="28" t="inlineStr">
        <is>
          <t>Rs 2.5 - 5 lakhs p.a.</t>
        </is>
      </c>
      <c r="I19" s="28" t="inlineStr">
        <is>
          <t>UNKNOWN</t>
        </is>
      </c>
      <c r="J19" s="28" t="inlineStr">
        <is>
          <t>Default Full Stack / Software Engineering Resume</t>
        </is>
      </c>
      <c r="K19" s="30" t="inlineStr">
        <is>
          <t>OPEN KIT</t>
        </is>
      </c>
      <c r="L19" s="28" t="inlineStr">
        <is>
          <t>READY TO APPLY</t>
        </is>
      </c>
    </row>
    <row r="20">
      <c r="A20" s="28" t="n">
        <v>8</v>
      </c>
      <c r="B20" s="28" t="inlineStr">
        <is>
          <t>Weekday</t>
        </is>
      </c>
      <c r="C20" s="30" t="inlineStr">
        <is>
          <t>Software Engineer Intern</t>
        </is>
      </c>
      <c r="D20" s="28" t="n">
        <v>82</v>
      </c>
      <c r="E20" s="28" t="inlineStr">
        <is>
          <t>APPLY</t>
        </is>
      </c>
      <c r="F20" s="28" t="inlineStr">
        <is>
          <t>Bengaluru</t>
        </is>
      </c>
      <c r="G20" s="28" t="inlineStr">
        <is>
          <t>Remote</t>
        </is>
      </c>
      <c r="H20" s="28" t="inlineStr">
        <is>
          <t>₹30,000 / month (derived from ₹3,00,000 to ₹6,00,000 a year annualized)</t>
        </is>
      </c>
      <c r="I20" s="28" t="inlineStr">
        <is>
          <t>UNKNOWN</t>
        </is>
      </c>
      <c r="J20" s="28" t="inlineStr">
        <is>
          <t>Amaanuddin_Ahmed_Software_Engineer_Resume.pdf</t>
        </is>
      </c>
      <c r="K20" s="30" t="inlineStr">
        <is>
          <t>OPEN KIT</t>
        </is>
      </c>
      <c r="L20" s="28" t="inlineStr">
        <is>
          <t>READY TO APPLY</t>
        </is>
      </c>
    </row>
    <row r="21">
      <c r="A21" s="28" t="n">
        <v>9</v>
      </c>
      <c r="B21" s="28" t="inlineStr">
        <is>
          <t>Coinbase India Services</t>
        </is>
      </c>
      <c r="C21" s="30" t="inlineStr">
        <is>
          <t>Software Engineer Intern</t>
        </is>
      </c>
      <c r="D21" s="28" t="n">
        <v>81</v>
      </c>
      <c r="E21" s="28" t="inlineStr">
        <is>
          <t>APPLY</t>
        </is>
      </c>
      <c r="F21" s="28" t="inlineStr">
        <is>
          <t>India</t>
        </is>
      </c>
      <c r="G21" s="28" t="inlineStr">
        <is>
          <t>work from home</t>
        </is>
      </c>
      <c r="H21" s="28" t="inlineStr">
        <is>
          <t>Rs 2.5 - 5 lakhs p.a.</t>
        </is>
      </c>
      <c r="I21" s="28" t="inlineStr">
        <is>
          <t>UNKNOWN</t>
        </is>
      </c>
      <c r="J21" s="28" t="inlineStr">
        <is>
          <t>Amaanuddin_Ahmed_Software_Engineering_Resume.pdf</t>
        </is>
      </c>
      <c r="K21" s="30" t="inlineStr">
        <is>
          <t>OPEN KIT</t>
        </is>
      </c>
      <c r="L21" s="28" t="inlineStr">
        <is>
          <t>READY TO APPLY</t>
        </is>
      </c>
    </row>
    <row r="22">
      <c r="A22" s="28" t="n">
        <v>10</v>
      </c>
      <c r="B22" s="28" t="inlineStr">
        <is>
          <t>Ylytic</t>
        </is>
      </c>
      <c r="C22" s="30" t="inlineStr">
        <is>
          <t>Backend Developer</t>
        </is>
      </c>
      <c r="D22" s="28" t="n">
        <v>81</v>
      </c>
      <c r="E22" s="28" t="inlineStr">
        <is>
          <t>APPLY</t>
        </is>
      </c>
      <c r="F22" s="28" t="inlineStr">
        <is>
          <t>India</t>
        </is>
      </c>
      <c r="G22" s="28" t="inlineStr">
        <is>
          <t>UNKNOWN</t>
        </is>
      </c>
      <c r="H22" s="28" t="inlineStr">
        <is>
          <t>Not specified</t>
        </is>
      </c>
      <c r="I22" s="28" t="inlineStr">
        <is>
          <t>YES</t>
        </is>
      </c>
      <c r="J22" s="28" t="inlineStr">
        <is>
          <t>Amaanuddin_Ahmed_Software_Engineering_Resume.pdf</t>
        </is>
      </c>
      <c r="K22" s="30" t="inlineStr">
        <is>
          <t>OPEN KIT</t>
        </is>
      </c>
      <c r="L22" s="28" t="inlineStr">
        <is>
          <t>READY TO APPLY</t>
        </is>
      </c>
    </row>
    <row r="23">
      <c r="A23" s="28" t="n">
        <v>11</v>
      </c>
      <c r="B23" s="28" t="inlineStr">
        <is>
          <t>Joveo</t>
        </is>
      </c>
      <c r="C23" s="30" t="inlineStr">
        <is>
          <t>Software Engineering Intern (Full Stack)</t>
        </is>
      </c>
      <c r="D23" s="28" t="n">
        <v>80</v>
      </c>
      <c r="E23" s="28" t="inlineStr">
        <is>
          <t>APPLY</t>
        </is>
      </c>
      <c r="F23" s="28" t="inlineStr">
        <is>
          <t>Bengaluru, India</t>
        </is>
      </c>
      <c r="G23" s="28" t="inlineStr">
        <is>
          <t>On-site</t>
        </is>
      </c>
      <c r="H23" s="28" t="inlineStr">
        <is>
          <t>Not specified</t>
        </is>
      </c>
      <c r="I23" s="28" t="inlineStr">
        <is>
          <t>UNKNOWN</t>
        </is>
      </c>
      <c r="J23" s="28" t="inlineStr">
        <is>
          <t>MERN / Full Stack Resume</t>
        </is>
      </c>
      <c r="K23" s="30" t="inlineStr">
        <is>
          <t>OPEN KIT</t>
        </is>
      </c>
      <c r="L23" s="28" t="inlineStr">
        <is>
          <t>READY TO APPLY</t>
        </is>
      </c>
    </row>
    <row r="24">
      <c r="A24" s="31" t="n">
        <v>12</v>
      </c>
      <c r="B24" s="31" t="inlineStr">
        <is>
          <t>Outbox.vc</t>
        </is>
      </c>
      <c r="C24" s="32" t="inlineStr">
        <is>
          <t>Software Developer - Intern</t>
        </is>
      </c>
      <c r="D24" s="31" t="n">
        <v>79</v>
      </c>
      <c r="E24" s="31" t="inlineStr">
        <is>
          <t>CONSIDER</t>
        </is>
      </c>
      <c r="F24" s="31" t="inlineStr">
        <is>
          <t>Bangalore</t>
        </is>
      </c>
      <c r="G24" s="31" t="inlineStr">
        <is>
          <t>Unknown</t>
        </is>
      </c>
      <c r="H24" s="31" t="inlineStr">
        <is>
          <t>Rs 30000 - Rs 35000 per month</t>
        </is>
      </c>
      <c r="I24" s="31" t="inlineStr">
        <is>
          <t>UNKNOWN</t>
        </is>
      </c>
      <c r="J24" s="31" t="inlineStr">
        <is>
          <t>Default Full Stack / Backend Resume</t>
        </is>
      </c>
      <c r="K24" s="31" t="inlineStr">
        <is>
          <t>NOT GENERATED</t>
        </is>
      </c>
      <c r="L24" s="31" t="inlineStr">
        <is>
          <t>READY TO APPLY</t>
        </is>
      </c>
    </row>
    <row r="25">
      <c r="A25" s="31" t="n">
        <v>13</v>
      </c>
      <c r="B25" s="31" t="inlineStr">
        <is>
          <t>Coinbase India Services</t>
        </is>
      </c>
      <c r="C25" s="32" t="inlineStr">
        <is>
          <t>Software Engineer Intern</t>
        </is>
      </c>
      <c r="D25" s="31" t="n">
        <v>79</v>
      </c>
      <c r="E25" s="31" t="inlineStr">
        <is>
          <t>CONSIDER</t>
        </is>
      </c>
      <c r="F25" s="31" t="inlineStr">
        <is>
          <t>India</t>
        </is>
      </c>
      <c r="G25" s="31" t="inlineStr">
        <is>
          <t>work from home</t>
        </is>
      </c>
      <c r="H25" s="31" t="inlineStr">
        <is>
          <t>Rs 2.5 - 5 lakhs p.a.</t>
        </is>
      </c>
      <c r="I25" s="31" t="inlineStr">
        <is>
          <t>NOT_MENTIONED</t>
        </is>
      </c>
      <c r="J25" s="31" t="inlineStr">
        <is>
          <t>Standard Software Engineering Resume</t>
        </is>
      </c>
      <c r="K25" s="31" t="inlineStr">
        <is>
          <t>NOT GENERATED</t>
        </is>
      </c>
      <c r="L25" s="31" t="inlineStr">
        <is>
          <t>READY TO APPLY</t>
        </is>
      </c>
    </row>
    <row r="26">
      <c r="A26" s="31" t="n">
        <v>14</v>
      </c>
      <c r="B26" s="31" t="inlineStr">
        <is>
          <t>Pitchline</t>
        </is>
      </c>
      <c r="C26" s="32" t="inlineStr">
        <is>
          <t>Full Stack Developer Intern</t>
        </is>
      </c>
      <c r="D26" s="31" t="n">
        <v>78</v>
      </c>
      <c r="E26" s="31" t="inlineStr">
        <is>
          <t>CONSIDER</t>
        </is>
      </c>
      <c r="F26" s="31" t="inlineStr">
        <is>
          <t>India</t>
        </is>
      </c>
      <c r="G26" s="31" t="inlineStr">
        <is>
          <t>Remote</t>
        </is>
      </c>
      <c r="H26" s="31" t="inlineStr">
        <is>
          <t>₹20,000 - ₹30,000/month</t>
        </is>
      </c>
      <c r="I26" s="31" t="inlineStr">
        <is>
          <t>NOT_MENTIONED</t>
        </is>
      </c>
      <c r="J26" s="31" t="inlineStr">
        <is>
          <t>Amaanuddin_Ahmed_Full_Stack_Resume.pdf</t>
        </is>
      </c>
      <c r="K26" s="31" t="inlineStr">
        <is>
          <t>NOT GENERATED</t>
        </is>
      </c>
      <c r="L26" s="31" t="inlineStr">
        <is>
          <t>READY TO APPLY</t>
        </is>
      </c>
    </row>
    <row r="27">
      <c r="A27" s="31" t="n">
        <v>15</v>
      </c>
      <c r="B27" s="31" t="inlineStr">
        <is>
          <t>ventura securities ltd</t>
        </is>
      </c>
      <c r="C27" s="32" t="inlineStr">
        <is>
          <t>NodeJS Developer</t>
        </is>
      </c>
      <c r="D27" s="31" t="n">
        <v>78</v>
      </c>
      <c r="E27" s="31" t="inlineStr">
        <is>
          <t>CONSIDER</t>
        </is>
      </c>
      <c r="F27" s="31" t="inlineStr">
        <is>
          <t>India</t>
        </is>
      </c>
      <c r="G27" s="31" t="inlineStr">
        <is>
          <t>remote</t>
        </is>
      </c>
      <c r="H27" s="31" t="inlineStr">
        <is>
          <t>Not specified</t>
        </is>
      </c>
      <c r="I27" s="31" t="inlineStr">
        <is>
          <t>POSSIBLE</t>
        </is>
      </c>
      <c r="J27" s="31" t="inlineStr">
        <is>
          <t>Amaanuddin_Ahmed_Fullstack_Resume.pdf</t>
        </is>
      </c>
      <c r="K27" s="31" t="inlineStr">
        <is>
          <t>NOT GENERATED</t>
        </is>
      </c>
      <c r="L27" s="31" t="inlineStr">
        <is>
          <t>READY TO APPLY</t>
        </is>
      </c>
    </row>
    <row r="28">
      <c r="A28" s="31" t="n">
        <v>16</v>
      </c>
      <c r="B28" s="31" t="inlineStr">
        <is>
          <t>Joveo</t>
        </is>
      </c>
      <c r="C28" s="32" t="inlineStr">
        <is>
          <t>Software Engineering Intern (Full Stack)</t>
        </is>
      </c>
      <c r="D28" s="31" t="n">
        <v>77</v>
      </c>
      <c r="E28" s="31" t="inlineStr">
        <is>
          <t>CONSIDER</t>
        </is>
      </c>
      <c r="F28" s="31" t="inlineStr">
        <is>
          <t>Bengaluru, India</t>
        </is>
      </c>
      <c r="G28" s="31" t="inlineStr">
        <is>
          <t>On-site (5 days a week)</t>
        </is>
      </c>
      <c r="H28" s="31" t="inlineStr">
        <is>
          <t>Not specified</t>
        </is>
      </c>
      <c r="I28" s="31" t="inlineStr">
        <is>
          <t>NOT_MENTIONED</t>
        </is>
      </c>
      <c r="J28" s="31" t="inlineStr">
        <is>
          <t>Full Stack Development Resume</t>
        </is>
      </c>
      <c r="K28" s="31" t="inlineStr">
        <is>
          <t>NOT GENERATED</t>
        </is>
      </c>
      <c r="L28" s="31" t="inlineStr">
        <is>
          <t>READY TO APPLY</t>
        </is>
      </c>
    </row>
    <row r="29">
      <c r="A29" s="31" t="n">
        <v>17</v>
      </c>
      <c r="B29" s="31" t="inlineStr">
        <is>
          <t>Joveo</t>
        </is>
      </c>
      <c r="C29" s="32" t="inlineStr">
        <is>
          <t>Software Engineering Intern (Full Stack)</t>
        </is>
      </c>
      <c r="D29" s="31" t="n">
        <v>77</v>
      </c>
      <c r="E29" s="31" t="inlineStr">
        <is>
          <t>CONSIDER</t>
        </is>
      </c>
      <c r="F29" s="31" t="inlineStr">
        <is>
          <t>Bangalore</t>
        </is>
      </c>
      <c r="G29" s="31" t="inlineStr">
        <is>
          <t>UNKNOWN</t>
        </is>
      </c>
      <c r="H29" s="31" t="inlineStr">
        <is>
          <t>Competitive stipend</t>
        </is>
      </c>
      <c r="I29" s="31" t="inlineStr">
        <is>
          <t>NOT_MENTIONED</t>
        </is>
      </c>
      <c r="J29" s="31" t="inlineStr">
        <is>
          <t>Amaanuddin_Ahmed_Fullstack_Resume.pdf</t>
        </is>
      </c>
      <c r="K29" s="31" t="inlineStr">
        <is>
          <t>NOT GENERATED</t>
        </is>
      </c>
      <c r="L29" s="31" t="inlineStr">
        <is>
          <t>READY TO APPLY</t>
        </is>
      </c>
    </row>
    <row r="30">
      <c r="A30" s="31" t="n">
        <v>18</v>
      </c>
      <c r="B30" s="31" t="inlineStr">
        <is>
          <t>emo.energy</t>
        </is>
      </c>
      <c r="C30" s="32" t="inlineStr">
        <is>
          <t>Full-Stack Developer</t>
        </is>
      </c>
      <c r="D30" s="31" t="n">
        <v>77</v>
      </c>
      <c r="E30" s="31" t="inlineStr">
        <is>
          <t>CONSIDER</t>
        </is>
      </c>
      <c r="F30" s="31" t="inlineStr">
        <is>
          <t>Bangalore</t>
        </is>
      </c>
      <c r="G30" s="31" t="inlineStr">
        <is>
          <t>UNKNOWN</t>
        </is>
      </c>
      <c r="H30" s="31" t="inlineStr">
        <is>
          <t>Not specified</t>
        </is>
      </c>
      <c r="I30" s="31" t="inlineStr">
        <is>
          <t>NOT_MENTIONED</t>
        </is>
      </c>
      <c r="J30" s="31" t="inlineStr">
        <is>
          <t>Default Full Stack Developer Resume</t>
        </is>
      </c>
      <c r="K30" s="31" t="inlineStr">
        <is>
          <t>NOT GENERATED</t>
        </is>
      </c>
      <c r="L30" s="31" t="inlineStr">
        <is>
          <t>READY TO APPLY</t>
        </is>
      </c>
    </row>
    <row r="31">
      <c r="A31" s="31" t="n">
        <v>19</v>
      </c>
      <c r="B31" s="31" t="inlineStr">
        <is>
          <t>Geta AI Labs Pvt Ltd</t>
        </is>
      </c>
      <c r="C31" s="32" t="inlineStr">
        <is>
          <t>Full Stack Development Intern (MERN Python)</t>
        </is>
      </c>
      <c r="D31" s="31" t="n">
        <v>77</v>
      </c>
      <c r="E31" s="31" t="inlineStr">
        <is>
          <t>CONSIDER</t>
        </is>
      </c>
      <c r="F31" s="31" t="inlineStr">
        <is>
          <t>Pune, Maharashtra</t>
        </is>
      </c>
      <c r="G31" s="31" t="inlineStr">
        <is>
          <t>On-site</t>
        </is>
      </c>
      <c r="H31" s="31" t="inlineStr">
        <is>
          <t>Not specified</t>
        </is>
      </c>
      <c r="I31" s="31" t="inlineStr">
        <is>
          <t>Not Mentioned</t>
        </is>
      </c>
      <c r="J31" s="31" t="inlineStr">
        <is>
          <t>Amaanuddin_Ahmed_Full_Stack_Resume.pdf</t>
        </is>
      </c>
      <c r="K31" s="31" t="inlineStr">
        <is>
          <t>NOT GENERATED</t>
        </is>
      </c>
      <c r="L31" s="31" t="inlineStr">
        <is>
          <t>READY TO APPLY</t>
        </is>
      </c>
    </row>
    <row r="32">
      <c r="A32" s="31" t="n">
        <v>20</v>
      </c>
      <c r="B32" s="31" t="inlineStr">
        <is>
          <t>Joveo</t>
        </is>
      </c>
      <c r="C32" s="32" t="inlineStr">
        <is>
          <t>Software Engineering Intern (Full Stack)</t>
        </is>
      </c>
      <c r="D32" s="31" t="n">
        <v>76</v>
      </c>
      <c r="E32" s="31" t="inlineStr">
        <is>
          <t>CONSIDER</t>
        </is>
      </c>
      <c r="F32" s="31" t="inlineStr">
        <is>
          <t>Bangalore</t>
        </is>
      </c>
      <c r="G32" s="31" t="inlineStr">
        <is>
          <t>UNKNOWN</t>
        </is>
      </c>
      <c r="H32" s="31" t="inlineStr">
        <is>
          <t>Competitive stipend</t>
        </is>
      </c>
      <c r="I32" s="31" t="inlineStr">
        <is>
          <t>UNKNOWN</t>
        </is>
      </c>
      <c r="J32" s="31" t="inlineStr">
        <is>
          <t>Amaanuddin_Ahmed_Full_Stack_Resume.pdf</t>
        </is>
      </c>
      <c r="K32" s="31" t="inlineStr">
        <is>
          <t>NOT GENERATED</t>
        </is>
      </c>
      <c r="L32" s="31" t="inlineStr">
        <is>
          <t>READY TO APPLY</t>
        </is>
      </c>
    </row>
    <row r="33">
      <c r="A33" s="31" t="n">
        <v>21</v>
      </c>
      <c r="B33" s="31" t="inlineStr">
        <is>
          <t>Coinbase India Services</t>
        </is>
      </c>
      <c r="C33" s="32" t="inlineStr">
        <is>
          <t>Software Engineer Intern</t>
        </is>
      </c>
      <c r="D33" s="31" t="n">
        <v>76</v>
      </c>
      <c r="E33" s="31" t="inlineStr">
        <is>
          <t>CONSIDER</t>
        </is>
      </c>
      <c r="F33" s="31" t="inlineStr">
        <is>
          <t>work from home</t>
        </is>
      </c>
      <c r="G33" s="31" t="inlineStr">
        <is>
          <t>Remote</t>
        </is>
      </c>
      <c r="H33" s="31" t="inlineStr">
        <is>
          <t>Rs 2.5 - 5 lakhs p.a.</t>
        </is>
      </c>
      <c r="I33" s="31" t="inlineStr">
        <is>
          <t>NOT_MENTIONED</t>
        </is>
      </c>
      <c r="J33" s="31" t="inlineStr">
        <is>
          <t>Amaanuddin_Ahmed_Software_Engineer_Resume.pdf</t>
        </is>
      </c>
      <c r="K33" s="31" t="inlineStr">
        <is>
          <t>NOT GENERATED</t>
        </is>
      </c>
      <c r="L33" s="31" t="inlineStr">
        <is>
          <t>READY TO APPLY</t>
        </is>
      </c>
    </row>
    <row r="34">
      <c r="A34" s="31" t="n">
        <v>22</v>
      </c>
      <c r="B34" s="31" t="inlineStr">
        <is>
          <t>Microsoft Corporation</t>
        </is>
      </c>
      <c r="C34" s="32" t="inlineStr">
        <is>
          <t>Software Engineering INTERN</t>
        </is>
      </c>
      <c r="D34" s="31" t="n">
        <v>76</v>
      </c>
      <c r="E34" s="31" t="inlineStr">
        <is>
          <t>CONSIDER</t>
        </is>
      </c>
      <c r="F34" s="31" t="inlineStr">
        <is>
          <t>India</t>
        </is>
      </c>
      <c r="G34" s="31" t="inlineStr">
        <is>
          <t>UNKNOWN</t>
        </is>
      </c>
      <c r="H34" s="31" t="inlineStr"/>
      <c r="I34" s="31" t="inlineStr">
        <is>
          <t>POSSIBLE</t>
        </is>
      </c>
      <c r="J34" s="31" t="inlineStr">
        <is>
          <t>Amaanuddin_Ahmed_Software_Engineering_Resume.pdf</t>
        </is>
      </c>
      <c r="K34" s="31" t="inlineStr">
        <is>
          <t>NOT GENERATED</t>
        </is>
      </c>
      <c r="L34" s="31" t="inlineStr">
        <is>
          <t>READY TO APPLY</t>
        </is>
      </c>
    </row>
    <row r="35">
      <c r="A35" s="31" t="n">
        <v>23</v>
      </c>
      <c r="B35" s="31" t="inlineStr">
        <is>
          <t>Coinbase India Services</t>
        </is>
      </c>
      <c r="C35" s="32" t="inlineStr">
        <is>
          <t>Software Engineer Intern</t>
        </is>
      </c>
      <c r="D35" s="31" t="n">
        <v>75</v>
      </c>
      <c r="E35" s="31" t="inlineStr">
        <is>
          <t>CONSIDER</t>
        </is>
      </c>
      <c r="F35" s="31" t="inlineStr">
        <is>
          <t>India</t>
        </is>
      </c>
      <c r="G35" s="31" t="inlineStr">
        <is>
          <t>work from home</t>
        </is>
      </c>
      <c r="H35" s="31" t="inlineStr">
        <is>
          <t>Rs 2.5 - 5 lakhs p.a.</t>
        </is>
      </c>
      <c r="I35" s="31" t="inlineStr">
        <is>
          <t>UNKNOWN</t>
        </is>
      </c>
      <c r="J35" s="31" t="inlineStr">
        <is>
          <t>Default Full Stack &amp; Software Engineering Resume</t>
        </is>
      </c>
      <c r="K35" s="31" t="inlineStr">
        <is>
          <t>NOT GENERATED</t>
        </is>
      </c>
      <c r="L35" s="31" t="inlineStr">
        <is>
          <t>READY TO APPLY</t>
        </is>
      </c>
    </row>
    <row r="36">
      <c r="A36" s="31" t="n">
        <v>24</v>
      </c>
      <c r="B36" s="31" t="inlineStr">
        <is>
          <t>emo.energy</t>
        </is>
      </c>
      <c r="C36" s="32" t="inlineStr">
        <is>
          <t>Full-Stack Developer Intern</t>
        </is>
      </c>
      <c r="D36" s="31" t="n">
        <v>75</v>
      </c>
      <c r="E36" s="31" t="inlineStr">
        <is>
          <t>CONSIDER</t>
        </is>
      </c>
      <c r="F36" s="31" t="inlineStr">
        <is>
          <t>Bangalore</t>
        </is>
      </c>
      <c r="G36" s="31" t="inlineStr">
        <is>
          <t>Unknown</t>
        </is>
      </c>
      <c r="H36" s="31" t="inlineStr">
        <is>
          <t>Not specified</t>
        </is>
      </c>
      <c r="I36" s="31" t="inlineStr">
        <is>
          <t>Not Mentioned</t>
        </is>
      </c>
      <c r="J36" s="31" t="inlineStr">
        <is>
          <t>Amaanuddin_Ahmed_Fullstack_Resume.pdf</t>
        </is>
      </c>
      <c r="K36" s="31" t="inlineStr">
        <is>
          <t>NOT GENERATED</t>
        </is>
      </c>
      <c r="L36" s="31" t="inlineStr">
        <is>
          <t>READY TO APPLY</t>
        </is>
      </c>
    </row>
    <row r="37">
      <c r="A37" s="31" t="n">
        <v>25</v>
      </c>
      <c r="B37" s="31" t="inlineStr">
        <is>
          <t>Coinbase India Services</t>
        </is>
      </c>
      <c r="C37" s="32" t="inlineStr">
        <is>
          <t>Software Engineer Intern</t>
        </is>
      </c>
      <c r="D37" s="31" t="n">
        <v>75</v>
      </c>
      <c r="E37" s="31" t="inlineStr">
        <is>
          <t>CONSIDER</t>
        </is>
      </c>
      <c r="F37" s="31" t="inlineStr">
        <is>
          <t>work from home</t>
        </is>
      </c>
      <c r="G37" s="31" t="inlineStr">
        <is>
          <t>Remote</t>
        </is>
      </c>
      <c r="H37" s="31" t="inlineStr">
        <is>
          <t>Rs 2.5 - 5 lakhs p.a.</t>
        </is>
      </c>
      <c r="I37" s="31" t="inlineStr">
        <is>
          <t>NOT_MENTIONED</t>
        </is>
      </c>
      <c r="J37" s="31" t="inlineStr">
        <is>
          <t>Default Full Stack / Software Engineering Resume</t>
        </is>
      </c>
      <c r="K37" s="31" t="inlineStr">
        <is>
          <t>NOT GENERATED</t>
        </is>
      </c>
      <c r="L37" s="31" t="inlineStr">
        <is>
          <t>READY TO APPLY</t>
        </is>
      </c>
    </row>
    <row r="38">
      <c r="A38" s="31" t="n">
        <v>26</v>
      </c>
      <c r="B38" s="31" t="inlineStr">
        <is>
          <t>Affworld Technologies</t>
        </is>
      </c>
      <c r="C38" s="32" t="inlineStr">
        <is>
          <t>SDE Intern</t>
        </is>
      </c>
      <c r="D38" s="31" t="n">
        <v>75</v>
      </c>
      <c r="E38" s="31" t="inlineStr">
        <is>
          <t>CONSIDER</t>
        </is>
      </c>
      <c r="F38" s="31" t="inlineStr">
        <is>
          <t>Jaipur, Rajasthan</t>
        </is>
      </c>
      <c r="G38" s="31" t="inlineStr">
        <is>
          <t>Unknown</t>
        </is>
      </c>
      <c r="H38" s="31" t="inlineStr">
        <is>
          <t>Not specified</t>
        </is>
      </c>
      <c r="I38" s="31" t="inlineStr">
        <is>
          <t>Not Mentioned</t>
        </is>
      </c>
      <c r="J38" s="31" t="inlineStr">
        <is>
          <t>Amaanuddin_Ahmed_Fullstack_Resume.pdf</t>
        </is>
      </c>
      <c r="K38" s="31" t="inlineStr">
        <is>
          <t>NOT GENERATED</t>
        </is>
      </c>
      <c r="L38" s="31" t="inlineStr">
        <is>
          <t>READY TO APPLY</t>
        </is>
      </c>
    </row>
    <row r="39">
      <c r="A39" s="31" t="n">
        <v>27</v>
      </c>
      <c r="B39" s="31" t="inlineStr">
        <is>
          <t>Octalbees</t>
        </is>
      </c>
      <c r="C39" s="32" t="inlineStr">
        <is>
          <t>MERN Stack Developer Intern</t>
        </is>
      </c>
      <c r="D39" s="31" t="n">
        <v>75</v>
      </c>
      <c r="E39" s="31" t="inlineStr">
        <is>
          <t>CONSIDER</t>
        </is>
      </c>
      <c r="F39" s="31" t="inlineStr">
        <is>
          <t>India</t>
        </is>
      </c>
      <c r="G39" s="31" t="inlineStr">
        <is>
          <t>UNKNOWN</t>
        </is>
      </c>
      <c r="H39" s="31" t="inlineStr">
        <is>
          <t>Not specified</t>
        </is>
      </c>
      <c r="I39" s="31" t="inlineStr">
        <is>
          <t>UNKNOWN</t>
        </is>
      </c>
      <c r="J39" s="31" t="inlineStr">
        <is>
          <t>Amaanuddin_Ahmed_MERN_Resume.pdf</t>
        </is>
      </c>
      <c r="K39" s="31" t="inlineStr">
        <is>
          <t>NOT GENERATED</t>
        </is>
      </c>
      <c r="L39" s="31" t="inlineStr">
        <is>
          <t>READY TO APPLY</t>
        </is>
      </c>
    </row>
    <row r="40">
      <c r="A40" s="31" t="n">
        <v>28</v>
      </c>
      <c r="B40" s="31" t="inlineStr">
        <is>
          <t>Paathz</t>
        </is>
      </c>
      <c r="C40" s="32" t="inlineStr">
        <is>
          <t>Software Engineer Intern MERN</t>
        </is>
      </c>
      <c r="D40" s="31" t="n">
        <v>75</v>
      </c>
      <c r="E40" s="31" t="inlineStr">
        <is>
          <t>CONSIDER</t>
        </is>
      </c>
      <c r="F40" s="31" t="inlineStr">
        <is>
          <t>Hyderabad, Telangana</t>
        </is>
      </c>
      <c r="G40" s="31" t="inlineStr">
        <is>
          <t>Unknown</t>
        </is>
      </c>
      <c r="H40" s="31" t="inlineStr">
        <is>
          <t>Not specified</t>
        </is>
      </c>
      <c r="I40" s="31" t="inlineStr">
        <is>
          <t>Not Mentioned</t>
        </is>
      </c>
      <c r="J40" s="31" t="inlineStr">
        <is>
          <t>Full Stack / MERN Resume</t>
        </is>
      </c>
      <c r="K40" s="31" t="inlineStr">
        <is>
          <t>NOT GENERATED</t>
        </is>
      </c>
      <c r="L40" s="31" t="inlineStr">
        <is>
          <t>READY TO APPLY</t>
        </is>
      </c>
    </row>
    <row r="41">
      <c r="A41" s="31" t="n">
        <v>29</v>
      </c>
      <c r="B41" s="31" t="inlineStr">
        <is>
          <t>Idli Technologies Pvt Ltd</t>
        </is>
      </c>
      <c r="C41" s="32" t="inlineStr">
        <is>
          <t>MERN Stack Developer Internship</t>
        </is>
      </c>
      <c r="D41" s="31" t="n">
        <v>75</v>
      </c>
      <c r="E41" s="31" t="inlineStr">
        <is>
          <t>CONSIDER</t>
        </is>
      </c>
      <c r="F41" s="31" t="inlineStr">
        <is>
          <t>Raipur, Chhattisgarh</t>
        </is>
      </c>
      <c r="G41" s="31" t="inlineStr">
        <is>
          <t>UNKNOWN</t>
        </is>
      </c>
      <c r="H41" s="31" t="inlineStr"/>
      <c r="I41" s="31" t="inlineStr">
        <is>
          <t>UNKNOWN</t>
        </is>
      </c>
      <c r="J41" s="31" t="inlineStr">
        <is>
          <t>Default MERN Resume</t>
        </is>
      </c>
      <c r="K41" s="31" t="inlineStr">
        <is>
          <t>NOT GENERATED</t>
        </is>
      </c>
      <c r="L41" s="31" t="inlineStr">
        <is>
          <t>READY TO APPLY</t>
        </is>
      </c>
    </row>
    <row r="42">
      <c r="A42" s="31" t="n">
        <v>30</v>
      </c>
      <c r="B42" s="31" t="inlineStr">
        <is>
          <t>Sparks To Ideas</t>
        </is>
      </c>
      <c r="C42" s="32" t="inlineStr">
        <is>
          <t>MERN Stack Developer Internship</t>
        </is>
      </c>
      <c r="D42" s="31" t="n">
        <v>75</v>
      </c>
      <c r="E42" s="31" t="inlineStr">
        <is>
          <t>CONSIDER</t>
        </is>
      </c>
      <c r="F42" s="31" t="inlineStr">
        <is>
          <t>Ahmedabad, India</t>
        </is>
      </c>
      <c r="G42" s="31" t="inlineStr">
        <is>
          <t>On-site</t>
        </is>
      </c>
      <c r="H42" s="31" t="inlineStr">
        <is>
          <t>Not specified</t>
        </is>
      </c>
      <c r="I42" s="31" t="inlineStr">
        <is>
          <t>NOT MENTIONED</t>
        </is>
      </c>
      <c r="J42" s="31" t="inlineStr">
        <is>
          <t>Amaanuddin_Ahmed_Full_Stack_Resume.pdf</t>
        </is>
      </c>
      <c r="K42" s="31" t="inlineStr">
        <is>
          <t>NOT GENERATED</t>
        </is>
      </c>
      <c r="L42" s="31" t="inlineStr">
        <is>
          <t>READY TO APPLY</t>
        </is>
      </c>
    </row>
    <row r="43">
      <c r="A43" s="31" t="n">
        <v>31</v>
      </c>
      <c r="B43" s="31" t="inlineStr">
        <is>
          <t>Coinbase India Services</t>
        </is>
      </c>
      <c r="C43" s="32" t="inlineStr">
        <is>
          <t>Software Engineer Intern</t>
        </is>
      </c>
      <c r="D43" s="31" t="n">
        <v>74</v>
      </c>
      <c r="E43" s="31" t="inlineStr">
        <is>
          <t>CONSIDER</t>
        </is>
      </c>
      <c r="F43" s="31" t="inlineStr">
        <is>
          <t>India</t>
        </is>
      </c>
      <c r="G43" s="31" t="inlineStr">
        <is>
          <t>work from home</t>
        </is>
      </c>
      <c r="H43" s="31" t="inlineStr">
        <is>
          <t>Rs 2.5 - 5 lakhs p.a.</t>
        </is>
      </c>
      <c r="I43" s="31" t="inlineStr">
        <is>
          <t>NOT_MENTIONED</t>
        </is>
      </c>
      <c r="J43" s="31" t="inlineStr">
        <is>
          <t>Default Full Stack / Software Engineering Resume</t>
        </is>
      </c>
      <c r="K43" s="31" t="inlineStr">
        <is>
          <t>NOT GENERATED</t>
        </is>
      </c>
      <c r="L43" s="31" t="inlineStr">
        <is>
          <t>READY TO APPLY</t>
        </is>
      </c>
    </row>
    <row r="44">
      <c r="A44" s="31" t="n">
        <v>32</v>
      </c>
      <c r="B44" s="31" t="inlineStr">
        <is>
          <t>Joveo</t>
        </is>
      </c>
      <c r="C44" s="32" t="inlineStr">
        <is>
          <t>Software Engineering Intern (Full Stack)</t>
        </is>
      </c>
      <c r="D44" s="31" t="n">
        <v>74</v>
      </c>
      <c r="E44" s="31" t="inlineStr">
        <is>
          <t>CONSIDER</t>
        </is>
      </c>
      <c r="F44" s="31" t="inlineStr">
        <is>
          <t>Bangalore</t>
        </is>
      </c>
      <c r="G44" s="31" t="inlineStr">
        <is>
          <t>Unknown</t>
        </is>
      </c>
      <c r="H44" s="31" t="inlineStr">
        <is>
          <t>Competitive stipend</t>
        </is>
      </c>
      <c r="I44" s="31" t="inlineStr">
        <is>
          <t>Not Mentioned</t>
        </is>
      </c>
      <c r="J44" s="31" t="inlineStr">
        <is>
          <t>Full Stack MERN Resume</t>
        </is>
      </c>
      <c r="K44" s="31" t="inlineStr">
        <is>
          <t>NOT GENERATED</t>
        </is>
      </c>
      <c r="L44" s="31" t="inlineStr">
        <is>
          <t>READY TO APPLY</t>
        </is>
      </c>
    </row>
    <row r="45">
      <c r="A45" s="31" t="n">
        <v>33</v>
      </c>
      <c r="B45" s="31" t="inlineStr">
        <is>
          <t>Coinbase India Services</t>
        </is>
      </c>
      <c r="C45" s="32" t="inlineStr">
        <is>
          <t>Software Engineer Intern</t>
        </is>
      </c>
      <c r="D45" s="31" t="n">
        <v>74</v>
      </c>
      <c r="E45" s="31" t="inlineStr">
        <is>
          <t>CONSIDER</t>
        </is>
      </c>
      <c r="F45" s="31" t="inlineStr">
        <is>
          <t>work from home</t>
        </is>
      </c>
      <c r="G45" s="31" t="inlineStr">
        <is>
          <t>Remote</t>
        </is>
      </c>
      <c r="H45" s="31" t="inlineStr">
        <is>
          <t>Rs 2.5 - 5 lakhs p.a.</t>
        </is>
      </c>
      <c r="I45" s="31" t="inlineStr">
        <is>
          <t>NOT_MENTIONED</t>
        </is>
      </c>
      <c r="J45" s="31" t="inlineStr">
        <is>
          <t>Amaan_Ahmed_Full_Stack_Resume.pdf</t>
        </is>
      </c>
      <c r="K45" s="31" t="inlineStr">
        <is>
          <t>NOT GENERATED</t>
        </is>
      </c>
      <c r="L45" s="31" t="inlineStr">
        <is>
          <t>READY TO APPLY</t>
        </is>
      </c>
    </row>
    <row r="46">
      <c r="A46" s="31" t="n">
        <v>34</v>
      </c>
      <c r="B46" s="31" t="inlineStr">
        <is>
          <t>Techolution India Private Limited</t>
        </is>
      </c>
      <c r="C46" s="32" t="inlineStr">
        <is>
          <t>Full Stack Developer- Intern</t>
        </is>
      </c>
      <c r="D46" s="31" t="n">
        <v>74</v>
      </c>
      <c r="E46" s="31" t="inlineStr">
        <is>
          <t>CONSIDER</t>
        </is>
      </c>
      <c r="F46" s="31" t="inlineStr">
        <is>
          <t>Hyderabad, Telangana</t>
        </is>
      </c>
      <c r="G46" s="31" t="inlineStr">
        <is>
          <t>Unknown</t>
        </is>
      </c>
      <c r="H46" s="31" t="inlineStr">
        <is>
          <t>Not specified</t>
        </is>
      </c>
      <c r="I46" s="31" t="inlineStr">
        <is>
          <t>UNKNOWN</t>
        </is>
      </c>
      <c r="J46" s="31" t="inlineStr">
        <is>
          <t>Amaan_Full_Stack_Resume.pdf</t>
        </is>
      </c>
      <c r="K46" s="31" t="inlineStr">
        <is>
          <t>NOT GENERATED</t>
        </is>
      </c>
      <c r="L46" s="31" t="inlineStr">
        <is>
          <t>READY TO APPLY</t>
        </is>
      </c>
    </row>
    <row r="47">
      <c r="A47" s="31" t="n">
        <v>35</v>
      </c>
      <c r="B47" s="31" t="inlineStr">
        <is>
          <t>Coinbase India Services</t>
        </is>
      </c>
      <c r="C47" s="32" t="inlineStr">
        <is>
          <t>Software Engineer Intern</t>
        </is>
      </c>
      <c r="D47" s="31" t="n">
        <v>73</v>
      </c>
      <c r="E47" s="31" t="inlineStr">
        <is>
          <t>CONSIDER</t>
        </is>
      </c>
      <c r="F47" s="31" t="inlineStr">
        <is>
          <t>work from home</t>
        </is>
      </c>
      <c r="G47" s="31" t="inlineStr">
        <is>
          <t>Remote</t>
        </is>
      </c>
      <c r="H47" s="31" t="inlineStr">
        <is>
          <t>Rs 2.5 - 5 lakhs p.a.</t>
        </is>
      </c>
      <c r="I47" s="31" t="inlineStr">
        <is>
          <t>NOT_MENTIONED</t>
        </is>
      </c>
      <c r="J47" s="31" t="inlineStr">
        <is>
          <t>Default Full Stack / Software Engineering Resume</t>
        </is>
      </c>
      <c r="K47" s="31" t="inlineStr">
        <is>
          <t>NOT GENERATED</t>
        </is>
      </c>
      <c r="L47" s="31" t="inlineStr">
        <is>
          <t>READY TO APPLY</t>
        </is>
      </c>
    </row>
    <row r="48">
      <c r="A48" s="31" t="n">
        <v>36</v>
      </c>
      <c r="B48" s="31" t="inlineStr">
        <is>
          <t>Gururo</t>
        </is>
      </c>
      <c r="C48" s="32" t="inlineStr">
        <is>
          <t>Full Stack Developer</t>
        </is>
      </c>
      <c r="D48" s="31" t="n">
        <v>73</v>
      </c>
      <c r="E48" s="31" t="inlineStr">
        <is>
          <t>CONSIDER</t>
        </is>
      </c>
      <c r="F48" s="31" t="inlineStr">
        <is>
          <t>Vadodara, Gujarat</t>
        </is>
      </c>
      <c r="G48" s="31" t="inlineStr">
        <is>
          <t>On-site</t>
        </is>
      </c>
      <c r="H48" s="31" t="inlineStr">
        <is>
          <t>Based on experience and role</t>
        </is>
      </c>
      <c r="I48" s="31" t="inlineStr">
        <is>
          <t>UNKNOWN</t>
        </is>
      </c>
      <c r="J48" s="31" t="inlineStr">
        <is>
          <t>Default Full Stack / MERN Resume</t>
        </is>
      </c>
      <c r="K48" s="31" t="inlineStr">
        <is>
          <t>NOT GENERATED</t>
        </is>
      </c>
      <c r="L48" s="31" t="inlineStr">
        <is>
          <t>READY TO APPLY</t>
        </is>
      </c>
    </row>
    <row r="49">
      <c r="A49" s="31" t="n">
        <v>37</v>
      </c>
      <c r="B49" s="31" t="inlineStr">
        <is>
          <t>Bizdateup Technologies Pvt Ltd</t>
        </is>
      </c>
      <c r="C49" s="32" t="inlineStr">
        <is>
          <t>Fullstack Intern</t>
        </is>
      </c>
      <c r="D49" s="31" t="n">
        <v>73</v>
      </c>
      <c r="E49" s="31" t="inlineStr">
        <is>
          <t>CONSIDER</t>
        </is>
      </c>
      <c r="F49" s="31" t="inlineStr">
        <is>
          <t>Mumbai, Maharashtra</t>
        </is>
      </c>
      <c r="G49" s="31" t="inlineStr">
        <is>
          <t>On-site</t>
        </is>
      </c>
      <c r="H49" s="31" t="inlineStr">
        <is>
          <t>As per company standards</t>
        </is>
      </c>
      <c r="I49" s="31" t="inlineStr">
        <is>
          <t>Unknown</t>
        </is>
      </c>
      <c r="J49" s="31" t="inlineStr">
        <is>
          <t>Amaanuddin_Ahmed_Full_Stack_Resume.pdf</t>
        </is>
      </c>
      <c r="K49" s="31" t="inlineStr">
        <is>
          <t>NOT GENERATED</t>
        </is>
      </c>
      <c r="L49" s="31" t="inlineStr">
        <is>
          <t>READY TO APPLY</t>
        </is>
      </c>
    </row>
    <row r="50">
      <c r="A50" s="31" t="n">
        <v>38</v>
      </c>
      <c r="B50" s="31" t="inlineStr">
        <is>
          <t>Zecser Business LLP</t>
        </is>
      </c>
      <c r="C50" s="32" t="inlineStr">
        <is>
          <t>MERN Stack Developer Internship</t>
        </is>
      </c>
      <c r="D50" s="31" t="n">
        <v>73</v>
      </c>
      <c r="E50" s="31" t="inlineStr">
        <is>
          <t>CONSIDER</t>
        </is>
      </c>
      <c r="F50" s="31" t="inlineStr">
        <is>
          <t>Kochi, Ernakulam</t>
        </is>
      </c>
      <c r="G50" s="31" t="inlineStr">
        <is>
          <t>On-site/Not specified</t>
        </is>
      </c>
      <c r="H50" s="31" t="inlineStr">
        <is>
          <t>Not specified</t>
        </is>
      </c>
      <c r="I50" s="31" t="inlineStr">
        <is>
          <t>UNKNOWN</t>
        </is>
      </c>
      <c r="J50" s="31" t="inlineStr">
        <is>
          <t>Full Stack / MERN Resume</t>
        </is>
      </c>
      <c r="K50" s="31" t="inlineStr">
        <is>
          <t>NOT GENERATED</t>
        </is>
      </c>
      <c r="L50" s="31" t="inlineStr">
        <is>
          <t>READY TO APPLY</t>
        </is>
      </c>
    </row>
    <row r="51">
      <c r="A51" s="31" t="n">
        <v>39</v>
      </c>
      <c r="B51" s="31" t="inlineStr">
        <is>
          <t>P&amp;G</t>
        </is>
      </c>
      <c r="C51" s="32" t="inlineStr">
        <is>
          <t>Information Technology Intern</t>
        </is>
      </c>
      <c r="D51" s="31" t="n">
        <v>73</v>
      </c>
      <c r="E51" s="31" t="inlineStr">
        <is>
          <t>CONSIDER</t>
        </is>
      </c>
      <c r="F51" s="31" t="inlineStr">
        <is>
          <t>Mumbai, India</t>
        </is>
      </c>
      <c r="G51" s="31" t="inlineStr">
        <is>
          <t>On-site</t>
        </is>
      </c>
      <c r="H51" s="31" t="inlineStr">
        <is>
          <t>Not specified</t>
        </is>
      </c>
      <c r="I51" s="31" t="inlineStr">
        <is>
          <t>UNKNOWN</t>
        </is>
      </c>
      <c r="J51" s="31" t="inlineStr">
        <is>
          <t>Amaanuddin_Ahmed_Software_Engineering_Resume.pdf</t>
        </is>
      </c>
      <c r="K51" s="31" t="inlineStr">
        <is>
          <t>NOT GENERATED</t>
        </is>
      </c>
      <c r="L51" s="31" t="inlineStr">
        <is>
          <t>READY TO APPLY</t>
        </is>
      </c>
    </row>
    <row r="52">
      <c r="A52" s="31" t="n">
        <v>40</v>
      </c>
      <c r="B52" s="31" t="inlineStr">
        <is>
          <t>Springer Capital</t>
        </is>
      </c>
      <c r="C52" s="32" t="inlineStr">
        <is>
          <t>Tech Intern – Frontend / Backend / DevOps / AI / Data Engineering</t>
        </is>
      </c>
      <c r="D52" s="31" t="n">
        <v>73</v>
      </c>
      <c r="E52" s="31" t="inlineStr">
        <is>
          <t>CONSIDER</t>
        </is>
      </c>
      <c r="F52" s="31" t="inlineStr">
        <is>
          <t>India</t>
        </is>
      </c>
      <c r="G52" s="31" t="inlineStr">
        <is>
          <t>Unknown</t>
        </is>
      </c>
      <c r="H52" s="31" t="inlineStr">
        <is>
          <t>Not specified</t>
        </is>
      </c>
      <c r="I52" s="31" t="inlineStr">
        <is>
          <t>UNKNOWN</t>
        </is>
      </c>
      <c r="J52" s="31" t="inlineStr">
        <is>
          <t>Amaanuddin_Ahmed_Fullstack_Resume.pdf</t>
        </is>
      </c>
      <c r="K52" s="31" t="inlineStr">
        <is>
          <t>NOT GENERATED</t>
        </is>
      </c>
      <c r="L52" s="31" t="inlineStr">
        <is>
          <t>READY TO APPLY</t>
        </is>
      </c>
    </row>
    <row r="53">
      <c r="A53" s="31" t="n">
        <v>41</v>
      </c>
      <c r="B53" s="31" t="inlineStr">
        <is>
          <t>SolutionInn, US</t>
        </is>
      </c>
      <c r="C53" s="32" t="inlineStr">
        <is>
          <t>Software Engineering Intern</t>
        </is>
      </c>
      <c r="D53" s="31" t="n">
        <v>72</v>
      </c>
      <c r="E53" s="31" t="inlineStr">
        <is>
          <t>CONSIDER</t>
        </is>
      </c>
      <c r="F53" s="31" t="inlineStr">
        <is>
          <t>Ludhiana, Punjab</t>
        </is>
      </c>
      <c r="G53" s="31" t="inlineStr">
        <is>
          <t>UNKNOWN</t>
        </is>
      </c>
      <c r="H53" s="31" t="inlineStr">
        <is>
          <t>Not specified</t>
        </is>
      </c>
      <c r="I53" s="31" t="inlineStr">
        <is>
          <t>UNKNOWN</t>
        </is>
      </c>
      <c r="J53" s="31" t="inlineStr">
        <is>
          <t>Default Full Stack / Backend Resume</t>
        </is>
      </c>
      <c r="K53" s="31" t="inlineStr">
        <is>
          <t>NOT GENERATED</t>
        </is>
      </c>
      <c r="L53" s="31" t="inlineStr">
        <is>
          <t>READY TO APPLY</t>
        </is>
      </c>
    </row>
    <row r="54">
      <c r="A54" s="31" t="n">
        <v>42</v>
      </c>
      <c r="B54" s="31" t="inlineStr">
        <is>
          <t>Cognic Systems Pvt Ltd</t>
        </is>
      </c>
      <c r="C54" s="32" t="inlineStr">
        <is>
          <t>Software Development Intern</t>
        </is>
      </c>
      <c r="D54" s="31" t="n">
        <v>72</v>
      </c>
      <c r="E54" s="31" t="inlineStr">
        <is>
          <t>CONSIDER</t>
        </is>
      </c>
      <c r="F54" s="31" t="inlineStr">
        <is>
          <t>Jabalpur, India</t>
        </is>
      </c>
      <c r="G54" s="31" t="inlineStr">
        <is>
          <t>UNKNOWN</t>
        </is>
      </c>
      <c r="H54" s="31" t="inlineStr">
        <is>
          <t>Not specified</t>
        </is>
      </c>
      <c r="I54" s="31" t="inlineStr">
        <is>
          <t>YES</t>
        </is>
      </c>
      <c r="J54" s="31" t="inlineStr">
        <is>
          <t>Amaanuddin_Ahmed_Full_Stack_Resume.pdf</t>
        </is>
      </c>
      <c r="K54" s="31" t="inlineStr">
        <is>
          <t>NOT GENERATED</t>
        </is>
      </c>
      <c r="L54" s="31" t="inlineStr">
        <is>
          <t>READY TO APPLY</t>
        </is>
      </c>
    </row>
    <row r="55">
      <c r="A55" s="31" t="n">
        <v>43</v>
      </c>
      <c r="B55" s="31" t="inlineStr">
        <is>
          <t>InstaWeb Labs Pvt Ltd</t>
        </is>
      </c>
      <c r="C55" s="32" t="inlineStr">
        <is>
          <t>Full Stack Development Intern</t>
        </is>
      </c>
      <c r="D55" s="31" t="n">
        <v>72</v>
      </c>
      <c r="E55" s="31" t="inlineStr">
        <is>
          <t>CONSIDER</t>
        </is>
      </c>
      <c r="F55" s="31" t="inlineStr">
        <is>
          <t>Mumbai or Remote</t>
        </is>
      </c>
      <c r="G55" s="31" t="inlineStr">
        <is>
          <t>Remote / Hybrid</t>
        </is>
      </c>
      <c r="H55" s="31" t="inlineStr">
        <is>
          <t>Not specified</t>
        </is>
      </c>
      <c r="I55" s="31" t="inlineStr">
        <is>
          <t>NOT_MENTIONED</t>
        </is>
      </c>
      <c r="J55" s="31" t="inlineStr">
        <is>
          <t>Amaanuddin_Ahmed_Fullstack_Resume.pdf</t>
        </is>
      </c>
      <c r="K55" s="31" t="inlineStr">
        <is>
          <t>NOT GENERATED</t>
        </is>
      </c>
      <c r="L55" s="31" t="inlineStr">
        <is>
          <t>READY TO APPLY</t>
        </is>
      </c>
    </row>
    <row r="56">
      <c r="A56" s="31" t="n">
        <v>44</v>
      </c>
      <c r="B56" s="31" t="inlineStr">
        <is>
          <t>Simulationhub</t>
        </is>
      </c>
      <c r="C56" s="32" t="inlineStr">
        <is>
          <t>Intern-Digital Transformation</t>
        </is>
      </c>
      <c r="D56" s="31" t="n">
        <v>71</v>
      </c>
      <c r="E56" s="31" t="inlineStr">
        <is>
          <t>CONSIDER</t>
        </is>
      </c>
      <c r="F56" s="31" t="inlineStr">
        <is>
          <t>Bangalore</t>
        </is>
      </c>
      <c r="G56" s="31" t="inlineStr">
        <is>
          <t>UNKNOWN</t>
        </is>
      </c>
      <c r="H56" s="31" t="inlineStr">
        <is>
          <t>Rs 2.5 - 5 lakhs p.a.</t>
        </is>
      </c>
      <c r="I56" s="31" t="inlineStr">
        <is>
          <t>NOT_MENTIONED</t>
        </is>
      </c>
      <c r="J56" s="31" t="inlineStr">
        <is>
          <t>Default Full Stack / Backend Resume</t>
        </is>
      </c>
      <c r="K56" s="31" t="inlineStr">
        <is>
          <t>NOT GENERATED</t>
        </is>
      </c>
      <c r="L56" s="31" t="inlineStr">
        <is>
          <t>READY TO APPLY</t>
        </is>
      </c>
    </row>
    <row r="57">
      <c r="A57" s="31" t="n">
        <v>45</v>
      </c>
      <c r="B57" s="31" t="inlineStr">
        <is>
          <t>emo.energy</t>
        </is>
      </c>
      <c r="C57" s="32" t="inlineStr">
        <is>
          <t>Full-Stack Developer</t>
        </is>
      </c>
      <c r="D57" s="31" t="n">
        <v>71</v>
      </c>
      <c r="E57" s="31" t="inlineStr">
        <is>
          <t>CONSIDER</t>
        </is>
      </c>
      <c r="F57" s="31" t="inlineStr">
        <is>
          <t>Bangalore</t>
        </is>
      </c>
      <c r="G57" s="31" t="inlineStr">
        <is>
          <t>Unknown</t>
        </is>
      </c>
      <c r="H57" s="31" t="inlineStr"/>
      <c r="I57" s="31" t="inlineStr">
        <is>
          <t>Not Mentioned</t>
        </is>
      </c>
      <c r="J57" s="31" t="inlineStr">
        <is>
          <t>Amaanuddin_Ahmed_Fullstack_Resume.pdf</t>
        </is>
      </c>
      <c r="K57" s="31" t="inlineStr">
        <is>
          <t>NOT GENERATED</t>
        </is>
      </c>
      <c r="L57" s="31" t="inlineStr">
        <is>
          <t>READY TO APPLY</t>
        </is>
      </c>
    </row>
    <row r="58">
      <c r="A58" s="31" t="n">
        <v>46</v>
      </c>
      <c r="B58" s="31" t="inlineStr">
        <is>
          <t>Joveo</t>
        </is>
      </c>
      <c r="C58" s="32" t="inlineStr">
        <is>
          <t>Software Engineering Intern / Back End Developer</t>
        </is>
      </c>
      <c r="D58" s="31" t="n">
        <v>70</v>
      </c>
      <c r="E58" s="31" t="inlineStr">
        <is>
          <t>CONSIDER</t>
        </is>
      </c>
      <c r="F58" s="31" t="inlineStr">
        <is>
          <t>Bengaluru, India</t>
        </is>
      </c>
      <c r="G58" s="31" t="inlineStr">
        <is>
          <t>On-site (5 days a week)</t>
        </is>
      </c>
      <c r="H58" s="31" t="inlineStr">
        <is>
          <t>Not specified</t>
        </is>
      </c>
      <c r="I58" s="31" t="inlineStr">
        <is>
          <t>UNKNOWN</t>
        </is>
      </c>
      <c r="J58" s="31" t="inlineStr">
        <is>
          <t>Amaan_FullStack_Resume.pdf</t>
        </is>
      </c>
      <c r="K58" s="31" t="inlineStr">
        <is>
          <t>NOT GENERATED</t>
        </is>
      </c>
      <c r="L58" s="31" t="inlineStr">
        <is>
          <t>READY TO APPLY</t>
        </is>
      </c>
    </row>
    <row r="59">
      <c r="A59" s="31" t="n">
        <v>47</v>
      </c>
      <c r="B59" s="31" t="inlineStr">
        <is>
          <t>SolutionInn</t>
        </is>
      </c>
      <c r="C59" s="32" t="inlineStr">
        <is>
          <t>Software Engineering Intern</t>
        </is>
      </c>
      <c r="D59" s="31" t="n">
        <v>70</v>
      </c>
      <c r="E59" s="31" t="inlineStr">
        <is>
          <t>CONSIDER</t>
        </is>
      </c>
      <c r="F59" s="31" t="inlineStr">
        <is>
          <t>Amritsar, Punjab</t>
        </is>
      </c>
      <c r="G59" s="31" t="inlineStr">
        <is>
          <t>UNKNOWN</t>
        </is>
      </c>
      <c r="H59" s="31" t="inlineStr">
        <is>
          <t>Not specified</t>
        </is>
      </c>
      <c r="I59" s="31" t="inlineStr">
        <is>
          <t>UNKNOWN</t>
        </is>
      </c>
      <c r="J59" s="31" t="inlineStr">
        <is>
          <t>Default Full Stack / MERN / Python Resume</t>
        </is>
      </c>
      <c r="K59" s="31" t="inlineStr">
        <is>
          <t>NOT GENERATED</t>
        </is>
      </c>
      <c r="L59" s="31" t="inlineStr">
        <is>
          <t>READY TO APPLY</t>
        </is>
      </c>
    </row>
    <row r="60">
      <c r="A60" s="31" t="n">
        <v>48</v>
      </c>
      <c r="B60" s="31" t="inlineStr">
        <is>
          <t>TransFi</t>
        </is>
      </c>
      <c r="C60" s="32" t="inlineStr">
        <is>
          <t>MERN Full Stack Developer Intern</t>
        </is>
      </c>
      <c r="D60" s="31" t="n">
        <v>70</v>
      </c>
      <c r="E60" s="31" t="inlineStr">
        <is>
          <t>CONSIDER</t>
        </is>
      </c>
      <c r="F60" s="31" t="inlineStr">
        <is>
          <t>Mysore, Karnataka</t>
        </is>
      </c>
      <c r="G60" s="31" t="inlineStr">
        <is>
          <t>UNKNOWN</t>
        </is>
      </c>
      <c r="H60" s="31" t="inlineStr"/>
      <c r="I60" s="31" t="inlineStr">
        <is>
          <t>UNKNOWN</t>
        </is>
      </c>
      <c r="J60" s="31" t="inlineStr">
        <is>
          <t>MERN Stack Resume</t>
        </is>
      </c>
      <c r="K60" s="31" t="inlineStr">
        <is>
          <t>NOT GENERATED</t>
        </is>
      </c>
      <c r="L60" s="31" t="inlineStr">
        <is>
          <t>READY TO APPLY</t>
        </is>
      </c>
    </row>
    <row r="61">
      <c r="A61" s="31" t="n">
        <v>49</v>
      </c>
      <c r="B61" s="31" t="inlineStr">
        <is>
          <t>LOGICAL Soft Tech</t>
        </is>
      </c>
      <c r="C61" s="32" t="inlineStr">
        <is>
          <t>Node.js Intern</t>
        </is>
      </c>
      <c r="D61" s="31" t="n">
        <v>70</v>
      </c>
      <c r="E61" s="31" t="inlineStr">
        <is>
          <t>CONSIDER</t>
        </is>
      </c>
      <c r="F61" s="31" t="inlineStr">
        <is>
          <t>Indore, Madhya Pradesh</t>
        </is>
      </c>
      <c r="G61" s="31" t="inlineStr">
        <is>
          <t>Work from office</t>
        </is>
      </c>
      <c r="H61" s="31" t="inlineStr">
        <is>
          <t>Not specified</t>
        </is>
      </c>
      <c r="I61" s="31" t="inlineStr">
        <is>
          <t>NOT_MENTIONED</t>
        </is>
      </c>
      <c r="J61" s="31" t="inlineStr">
        <is>
          <t>Default Full Stack / Backend Resume</t>
        </is>
      </c>
      <c r="K61" s="31" t="inlineStr">
        <is>
          <t>NOT GENERATED</t>
        </is>
      </c>
      <c r="L61" s="31" t="inlineStr">
        <is>
          <t>READY TO APPLY</t>
        </is>
      </c>
    </row>
    <row r="62">
      <c r="A62" s="31" t="n">
        <v>50</v>
      </c>
      <c r="B62" s="31" t="inlineStr">
        <is>
          <t>Noryn Tech Private Limited</t>
        </is>
      </c>
      <c r="C62" s="32" t="inlineStr">
        <is>
          <t>Node Js Intern</t>
        </is>
      </c>
      <c r="D62" s="31" t="n">
        <v>70</v>
      </c>
      <c r="E62" s="31" t="inlineStr">
        <is>
          <t>CONSIDER</t>
        </is>
      </c>
      <c r="F62" s="31" t="inlineStr">
        <is>
          <t>Indore, Madhya Pradesh</t>
        </is>
      </c>
      <c r="G62" s="31" t="inlineStr">
        <is>
          <t>On-site</t>
        </is>
      </c>
      <c r="H62" s="31" t="inlineStr">
        <is>
          <t>Not specified</t>
        </is>
      </c>
      <c r="I62" s="31" t="inlineStr">
        <is>
          <t>NO</t>
        </is>
      </c>
      <c r="J62" s="31" t="inlineStr">
        <is>
          <t>Amaanuddin_Ahmed_Fullstack_Resume.pdf</t>
        </is>
      </c>
      <c r="K62" s="31" t="inlineStr">
        <is>
          <t>NOT GENERATED</t>
        </is>
      </c>
      <c r="L62" s="31" t="inlineStr">
        <is>
          <t>READY TO APPLY</t>
        </is>
      </c>
    </row>
    <row r="63">
      <c r="A63" s="31" t="n">
        <v>51</v>
      </c>
      <c r="B63" s="31" t="inlineStr">
        <is>
          <t>ConaXweb Solutions</t>
        </is>
      </c>
      <c r="C63" s="32" t="inlineStr">
        <is>
          <t>MERN Stack Intern</t>
        </is>
      </c>
      <c r="D63" s="31" t="n">
        <v>70</v>
      </c>
      <c r="E63" s="31" t="inlineStr">
        <is>
          <t>CONSIDER</t>
        </is>
      </c>
      <c r="F63" s="31" t="inlineStr">
        <is>
          <t>Allahabad, Uttar Pradesh</t>
        </is>
      </c>
      <c r="G63" s="31" t="inlineStr">
        <is>
          <t>On-site</t>
        </is>
      </c>
      <c r="H63" s="31" t="inlineStr">
        <is>
          <t>Not Disclosed</t>
        </is>
      </c>
      <c r="I63" s="31" t="inlineStr">
        <is>
          <t>Not Mentioned</t>
        </is>
      </c>
      <c r="J63" s="31" t="inlineStr">
        <is>
          <t>Amaanuddin_Ahmed_Full_Stack_Resume.pdf</t>
        </is>
      </c>
      <c r="K63" s="31" t="inlineStr">
        <is>
          <t>NOT GENERATED</t>
        </is>
      </c>
      <c r="L63" s="31" t="inlineStr">
        <is>
          <t>READY TO APPLY</t>
        </is>
      </c>
    </row>
    <row r="66">
      <c r="A66" s="24" t="inlineStr">
        <is>
          <t>ALREADY APPLIED</t>
        </is>
      </c>
    </row>
    <row r="68">
      <c r="A68" s="25" t="inlineStr">
        <is>
          <t>Rank</t>
        </is>
      </c>
      <c r="B68" s="25" t="inlineStr">
        <is>
          <t>Company</t>
        </is>
      </c>
      <c r="C68" s="25" t="inlineStr">
        <is>
          <t>Role</t>
        </is>
      </c>
      <c r="D68" s="25" t="inlineStr">
        <is>
          <t>Score</t>
        </is>
      </c>
      <c r="E68" s="25" t="inlineStr">
        <is>
          <t>Recommendation</t>
        </is>
      </c>
      <c r="F68" s="25" t="inlineStr">
        <is>
          <t>Location</t>
        </is>
      </c>
      <c r="G68" s="25" t="inlineStr">
        <is>
          <t>Work Mode</t>
        </is>
      </c>
      <c r="H68" s="25" t="inlineStr">
        <is>
          <t>Stipend</t>
        </is>
      </c>
      <c r="I68" s="25" t="inlineStr">
        <is>
          <t>PPO</t>
        </is>
      </c>
      <c r="J68" s="25" t="inlineStr">
        <is>
          <t>Resume</t>
        </is>
      </c>
      <c r="K68" s="25" t="inlineStr">
        <is>
          <t>Application Kit</t>
        </is>
      </c>
      <c r="L68" s="25" t="inlineStr">
        <is>
          <t>Status</t>
        </is>
      </c>
    </row>
    <row r="71">
      <c r="A71" s="29" t="inlineStr">
        <is>
          <t>MORNING ROUTINE</t>
        </is>
      </c>
    </row>
    <row r="72">
      <c r="A72" t="inlineStr">
        <is>
          <t>1. Start with APPLY ASAP.</t>
        </is>
      </c>
    </row>
    <row r="73">
      <c r="A73" t="inlineStr">
        <is>
          <t>2. Click the Role to open the original job.</t>
        </is>
      </c>
    </row>
    <row r="74">
      <c r="A74" t="inlineStr">
        <is>
          <t>3. Click OPEN KIT to review the generated application material.</t>
        </is>
      </c>
    </row>
    <row r="75">
      <c r="A75" t="inlineStr">
        <is>
          <t>4. Submit the application manually.</t>
        </is>
      </c>
    </row>
    <row r="76">
      <c r="A76" t="inlineStr">
        <is>
          <t>5. In the Jobs sheet, change Apply Status to APPLIED.</t>
        </is>
      </c>
    </row>
    <row r="77">
      <c r="A77" t="inlineStr">
        <is>
          <t>6. Refresh the dashboard. The job will move to ALREADY APPLIED.</t>
        </is>
      </c>
    </row>
  </sheetData>
  <autoFilter ref="A12:L68"/>
  <mergeCells count="11">
    <mergeCell ref="A73:L73"/>
    <mergeCell ref="A72:L72"/>
    <mergeCell ref="A10:L10"/>
    <mergeCell ref="A76:L76"/>
    <mergeCell ref="A1:L1"/>
    <mergeCell ref="A75:L75"/>
    <mergeCell ref="A66:L66"/>
    <mergeCell ref="A74:L74"/>
    <mergeCell ref="A9:L9"/>
    <mergeCell ref="A3:L3"/>
    <mergeCell ref="A77:L77"/>
  </mergeCells>
  <hyperlinks>
    <hyperlink xmlns:r="http://schemas.openxmlformats.org/officeDocument/2006/relationships" ref="C13" r:id="rId1"/>
    <hyperlink xmlns:r="http://schemas.openxmlformats.org/officeDocument/2006/relationships" ref="K13" r:id="rId2"/>
    <hyperlink xmlns:r="http://schemas.openxmlformats.org/officeDocument/2006/relationships" ref="C14" r:id="rId3"/>
    <hyperlink xmlns:r="http://schemas.openxmlformats.org/officeDocument/2006/relationships" ref="K14" r:id="rId4"/>
    <hyperlink xmlns:r="http://schemas.openxmlformats.org/officeDocument/2006/relationships" ref="C15" r:id="rId5"/>
    <hyperlink xmlns:r="http://schemas.openxmlformats.org/officeDocument/2006/relationships" ref="K15" r:id="rId6"/>
    <hyperlink xmlns:r="http://schemas.openxmlformats.org/officeDocument/2006/relationships" ref="C16" r:id="rId7"/>
    <hyperlink xmlns:r="http://schemas.openxmlformats.org/officeDocument/2006/relationships" ref="K16" r:id="rId8"/>
    <hyperlink xmlns:r="http://schemas.openxmlformats.org/officeDocument/2006/relationships" ref="C17" r:id="rId9"/>
    <hyperlink xmlns:r="http://schemas.openxmlformats.org/officeDocument/2006/relationships" ref="K17" r:id="rId10"/>
    <hyperlink xmlns:r="http://schemas.openxmlformats.org/officeDocument/2006/relationships" ref="C18" r:id="rId11"/>
    <hyperlink xmlns:r="http://schemas.openxmlformats.org/officeDocument/2006/relationships" ref="K18" r:id="rId12"/>
    <hyperlink xmlns:r="http://schemas.openxmlformats.org/officeDocument/2006/relationships" ref="C19" r:id="rId13"/>
    <hyperlink xmlns:r="http://schemas.openxmlformats.org/officeDocument/2006/relationships" ref="K19" r:id="rId14"/>
    <hyperlink xmlns:r="http://schemas.openxmlformats.org/officeDocument/2006/relationships" ref="C20" r:id="rId15"/>
    <hyperlink xmlns:r="http://schemas.openxmlformats.org/officeDocument/2006/relationships" ref="K20" r:id="rId16"/>
    <hyperlink xmlns:r="http://schemas.openxmlformats.org/officeDocument/2006/relationships" ref="C21" r:id="rId17"/>
    <hyperlink xmlns:r="http://schemas.openxmlformats.org/officeDocument/2006/relationships" ref="K21" r:id="rId18"/>
    <hyperlink xmlns:r="http://schemas.openxmlformats.org/officeDocument/2006/relationships" ref="C22" r:id="rId19"/>
    <hyperlink xmlns:r="http://schemas.openxmlformats.org/officeDocument/2006/relationships" ref="K22" r:id="rId20"/>
    <hyperlink xmlns:r="http://schemas.openxmlformats.org/officeDocument/2006/relationships" ref="C23" r:id="rId21"/>
    <hyperlink xmlns:r="http://schemas.openxmlformats.org/officeDocument/2006/relationships" ref="K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2" customWidth="1" style="15" min="1" max="1"/>
    <col width="100" customWidth="1" style="15" min="2" max="2"/>
  </cols>
  <sheetData>
    <row r="1" ht="30" customHeight="1" s="15">
      <c r="A1" s="1" t="inlineStr">
        <is>
          <t>Amaan's Internship Ecosystem — v1</t>
        </is>
      </c>
      <c r="B1" s="2" t="n"/>
    </row>
    <row r="2">
      <c r="A2" s="2" t="inlineStr">
        <is>
          <t>Purpose</t>
        </is>
      </c>
      <c r="B2" s="2" t="inlineStr">
        <is>
          <t>Personal internship CRM + AI-ready job database.</t>
        </is>
      </c>
    </row>
    <row r="3">
      <c r="A3" s="2" t="inlineStr">
        <is>
          <t>Workflow</t>
        </is>
      </c>
      <c r="B3" s="2" t="inlineStr">
        <is>
          <t>Discover → Analyze → Shortlist → Apply → OA → Interview → Offer → PPO</t>
        </is>
      </c>
    </row>
    <row r="4">
      <c r="A4" s="2" t="inlineStr">
        <is>
          <t>Start here</t>
        </is>
      </c>
      <c r="B4" s="2" t="inlineStr">
        <is>
          <t>Fill Career_Profile and verify Skills. Add jobs to Jobs. Applications are only for jobs you actually apply to.</t>
        </is>
      </c>
    </row>
    <row r="5">
      <c r="A5" s="2" t="inlineStr">
        <is>
          <t>AI fields</t>
        </is>
      </c>
      <c r="B5" s="2" t="inlineStr">
        <is>
          <t>Match/fit scores, skill gaps, PPO signal and resume version will later be populated by the AI analyzer.</t>
        </is>
      </c>
    </row>
    <row r="6" ht="30" customHeight="1" s="15">
      <c r="A6" s="2" t="inlineStr">
        <is>
          <t>Scoring</t>
        </is>
      </c>
      <c r="B6" s="2" t="inlineStr">
        <is>
          <t>Overall Match = Technical 30% + Experience 20% + Role 15% + PPO 15% + Compensation 10% + Opportunity Quality 10%.</t>
        </is>
      </c>
    </row>
    <row r="7">
      <c r="A7" s="2" t="inlineStr">
        <is>
          <t>Priority</t>
        </is>
      </c>
      <c r="B7" s="2" t="inlineStr">
        <is>
          <t>P1 = 80+, P2 = 70–79, P3 = 60–69, P4 = below 60. APPLY ASAP is reserved for 90+.</t>
        </is>
      </c>
    </row>
    <row r="8">
      <c r="A8" s="2" t="inlineStr">
        <is>
          <t>Important</t>
        </is>
      </c>
      <c r="B8" s="2" t="inlineStr">
        <is>
          <t>Never let AI invent skills, experience, metrics, eligibility, compensation or PPO claims.</t>
        </is>
      </c>
    </row>
    <row r="9">
      <c r="A9" s="2" t="inlineStr">
        <is>
          <t>Next build step</t>
        </is>
      </c>
      <c r="B9" s="2" t="inlineStr">
        <is>
          <t>Connect the AI Job Analyzer to this database, then add job discovery automation.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8"/>
  <sheetViews>
    <sheetView workbookViewId="0">
      <pane ySplit="1" topLeftCell="A2" activePane="bottomLeft" state="frozen"/>
      <selection pane="bottomLeft" activeCell="A1" sqref="A1"/>
    </sheetView>
  </sheetViews>
  <sheetFormatPr baseColWidth="8" defaultRowHeight="15"/>
  <cols>
    <col width="21" customWidth="1" style="15" min="1" max="1"/>
    <col width="42" customWidth="1" style="15" min="2" max="2"/>
  </cols>
  <sheetData>
    <row r="1">
      <c r="A1" s="1" t="inlineStr">
        <is>
          <t>Field</t>
        </is>
      </c>
      <c r="B1" s="1" t="inlineStr">
        <is>
          <t>Value</t>
        </is>
      </c>
    </row>
    <row r="2">
      <c r="A2" s="2" t="inlineStr">
        <is>
          <t>Candidate</t>
        </is>
      </c>
      <c r="B2" s="2" t="inlineStr">
        <is>
          <t>Amaanuddin Ahmed</t>
        </is>
      </c>
    </row>
    <row r="3">
      <c r="A3" s="2" t="inlineStr">
        <is>
          <t>Current Degree</t>
        </is>
      </c>
      <c r="B3" s="2" t="inlineStr">
        <is>
          <t>MCA</t>
        </is>
      </c>
    </row>
    <row r="4">
      <c r="A4" s="2" t="inlineStr">
        <is>
          <t>University</t>
        </is>
      </c>
      <c r="B4" s="2" t="inlineStr">
        <is>
          <t>PES University, Bengaluru</t>
        </is>
      </c>
    </row>
    <row r="5">
      <c r="A5" s="2" t="inlineStr">
        <is>
          <t>MCA CGPA</t>
        </is>
      </c>
      <c r="B5" s="2" t="n">
        <v>8.48</v>
      </c>
    </row>
    <row r="6">
      <c r="A6" s="2" t="inlineStr">
        <is>
          <t>BCA CGPA</t>
        </is>
      </c>
      <c r="B6" s="2" t="n">
        <v>8.199999999999999</v>
      </c>
    </row>
    <row r="7">
      <c r="A7" s="2" t="inlineStr">
        <is>
          <t>Location Preference</t>
        </is>
      </c>
      <c r="B7" s="2" t="inlineStr">
        <is>
          <t>Anywhere in India</t>
        </is>
      </c>
    </row>
    <row r="8">
      <c r="A8" s="2" t="inlineStr">
        <is>
          <t>Work Mode</t>
        </is>
      </c>
      <c r="B8" s="2" t="inlineStr">
        <is>
          <t>Remote / Hybrid / On-site</t>
        </is>
      </c>
    </row>
    <row r="9">
      <c r="A9" s="2" t="inlineStr">
        <is>
          <t>Minimum Stipend</t>
        </is>
      </c>
      <c r="B9" s="2" t="n">
        <v>25000</v>
      </c>
    </row>
    <row r="10">
      <c r="A10" s="2" t="inlineStr">
        <is>
          <t>Duration</t>
        </is>
      </c>
      <c r="B10" s="2" t="inlineStr">
        <is>
          <t>Any</t>
        </is>
      </c>
    </row>
    <row r="11">
      <c r="A11" s="2" t="inlineStr">
        <is>
          <t>Company Preference</t>
        </is>
      </c>
      <c r="B11" s="2" t="inlineStr">
        <is>
          <t>No preference</t>
        </is>
      </c>
    </row>
    <row r="12">
      <c r="A12" s="2" t="inlineStr">
        <is>
          <t>PPO Priority</t>
        </is>
      </c>
      <c r="B12" s="2" t="inlineStr">
        <is>
          <t>High</t>
        </is>
      </c>
    </row>
    <row r="13" ht="30" customHeight="1" s="15">
      <c r="A13" s="2" t="inlineStr">
        <is>
          <t>Primary Roles</t>
        </is>
      </c>
      <c r="B13" s="2" t="inlineStr">
        <is>
          <t>SDE / Software Engineer Intern; Full Stack Intern; Backend Intern</t>
        </is>
      </c>
    </row>
    <row r="14" ht="30" customHeight="1" s="15">
      <c r="A14" s="2" t="inlineStr">
        <is>
          <t>Secondary Roles</t>
        </is>
      </c>
      <c r="B14" s="2" t="inlineStr">
        <is>
          <t>MERN/Node.js Intern; Frontend Intern; DevOps/Cloud Intern</t>
        </is>
      </c>
    </row>
    <row r="15">
      <c r="A15" s="2" t="inlineStr">
        <is>
          <t>Selective Roles</t>
        </is>
      </c>
      <c r="B15" s="2" t="inlineStr">
        <is>
          <t>Java Developer Intern</t>
        </is>
      </c>
    </row>
    <row r="16" ht="30" customHeight="1" s="15">
      <c r="A16" s="2" t="inlineStr">
        <is>
          <t>Primary Stack</t>
        </is>
      </c>
      <c r="B16" s="2" t="inlineStr">
        <is>
          <t>JavaScript, TypeScript, Node.js, Express, Angular, React, MongoDB, MySQL</t>
        </is>
      </c>
    </row>
    <row r="17" ht="30" customHeight="1" s="15">
      <c r="A17" s="2" t="inlineStr">
        <is>
          <t>Cloud/DevOps</t>
        </is>
      </c>
      <c r="B17" s="2" t="inlineStr">
        <is>
          <t>AWS, Azure, Vercel, Render, Docker, Kubernetes, CI/CD</t>
        </is>
      </c>
    </row>
    <row r="18" ht="30" customHeight="1" s="15">
      <c r="A18" s="2" t="inlineStr">
        <is>
          <t>Experience</t>
        </is>
      </c>
      <c r="B18" s="2" t="inlineStr">
        <is>
          <t>Production internship + freelance client experience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16" customWidth="1" style="15" min="1" max="1"/>
    <col width="15" customWidth="1" style="15" min="2" max="2"/>
    <col width="42" customWidth="1" style="15" min="3" max="3"/>
    <col width="26" customWidth="1" style="15" min="4" max="4"/>
    <col width="12" customWidth="1" style="15" min="5" max="5"/>
  </cols>
  <sheetData>
    <row r="1">
      <c r="A1" s="1" t="inlineStr">
        <is>
          <t>Skill</t>
        </is>
      </c>
      <c r="B1" s="1" t="inlineStr">
        <is>
          <t>Level</t>
        </is>
      </c>
      <c r="C1" s="1" t="inlineStr">
        <is>
          <t>Evidence / Context</t>
        </is>
      </c>
      <c r="D1" s="1" t="inlineStr">
        <is>
          <t>Target Roles</t>
        </is>
      </c>
      <c r="E1" s="1" t="inlineStr">
        <is>
          <t>Verified?</t>
        </is>
      </c>
    </row>
    <row r="2">
      <c r="A2" s="2" t="inlineStr">
        <is>
          <t>JavaScript</t>
        </is>
      </c>
      <c r="B2" s="2" t="inlineStr">
        <is>
          <t>Strong</t>
        </is>
      </c>
      <c r="C2" s="2" t="inlineStr">
        <is>
          <t>MERN + Angular production/projects</t>
        </is>
      </c>
      <c r="D2" s="2" t="inlineStr">
        <is>
          <t>SDE; Full Stack; Backend</t>
        </is>
      </c>
      <c r="E2" s="2" t="inlineStr">
        <is>
          <t>Yes</t>
        </is>
      </c>
    </row>
    <row r="3">
      <c r="A3" s="2" t="inlineStr">
        <is>
          <t>TypeScript</t>
        </is>
      </c>
      <c r="B3" s="2" t="inlineStr">
        <is>
          <t>Strong</t>
        </is>
      </c>
      <c r="C3" s="2" t="inlineStr">
        <is>
          <t>Angular</t>
        </is>
      </c>
      <c r="D3" s="2" t="inlineStr">
        <is>
          <t>Full Stack; Frontend</t>
        </is>
      </c>
      <c r="E3" s="2" t="inlineStr">
        <is>
          <t>Yes</t>
        </is>
      </c>
    </row>
    <row r="4">
      <c r="A4" s="2" t="inlineStr">
        <is>
          <t>Node.js</t>
        </is>
      </c>
      <c r="B4" s="2" t="inlineStr">
        <is>
          <t>Strong</t>
        </is>
      </c>
      <c r="C4" s="2" t="inlineStr">
        <is>
          <t>Production internship + projects</t>
        </is>
      </c>
      <c r="D4" s="2" t="inlineStr">
        <is>
          <t>SDE; Backend; Full Stack</t>
        </is>
      </c>
      <c r="E4" s="2" t="inlineStr">
        <is>
          <t>Yes</t>
        </is>
      </c>
    </row>
    <row r="5">
      <c r="A5" s="2" t="inlineStr">
        <is>
          <t>Express.js</t>
        </is>
      </c>
      <c r="B5" s="2" t="inlineStr">
        <is>
          <t>Strong</t>
        </is>
      </c>
      <c r="C5" s="2" t="inlineStr">
        <is>
          <t>Production/projects</t>
        </is>
      </c>
      <c r="D5" s="2" t="inlineStr">
        <is>
          <t>Backend; Full Stack</t>
        </is>
      </c>
      <c r="E5" s="2" t="inlineStr">
        <is>
          <t>Yes</t>
        </is>
      </c>
    </row>
    <row r="6">
      <c r="A6" s="2" t="inlineStr">
        <is>
          <t>Angular</t>
        </is>
      </c>
      <c r="B6" s="2" t="inlineStr">
        <is>
          <t>Strong</t>
        </is>
      </c>
      <c r="C6" s="2" t="inlineStr">
        <is>
          <t>Production internship + POS</t>
        </is>
      </c>
      <c r="D6" s="2" t="inlineStr">
        <is>
          <t>Full Stack; Frontend</t>
        </is>
      </c>
      <c r="E6" s="2" t="inlineStr">
        <is>
          <t>Yes</t>
        </is>
      </c>
    </row>
    <row r="7">
      <c r="A7" s="2" t="inlineStr">
        <is>
          <t>React</t>
        </is>
      </c>
      <c r="B7" s="2" t="inlineStr">
        <is>
          <t>Working</t>
        </is>
      </c>
      <c r="C7" s="2" t="inlineStr">
        <is>
          <t>MERN projects</t>
        </is>
      </c>
      <c r="D7" s="2" t="inlineStr">
        <is>
          <t>Full Stack; Frontend</t>
        </is>
      </c>
      <c r="E7" s="2" t="inlineStr">
        <is>
          <t>Yes</t>
        </is>
      </c>
    </row>
    <row r="8">
      <c r="A8" s="2" t="inlineStr">
        <is>
          <t>MongoDB</t>
        </is>
      </c>
      <c r="B8" s="2" t="inlineStr">
        <is>
          <t>Strong</t>
        </is>
      </c>
      <c r="C8" s="2" t="inlineStr">
        <is>
          <t>Multiple full-stack projects</t>
        </is>
      </c>
      <c r="D8" s="2" t="inlineStr">
        <is>
          <t>Backend; Full Stack</t>
        </is>
      </c>
      <c r="E8" s="2" t="inlineStr">
        <is>
          <t>Yes</t>
        </is>
      </c>
    </row>
    <row r="9">
      <c r="A9" s="2" t="inlineStr">
        <is>
          <t>MySQL</t>
        </is>
      </c>
      <c r="B9" s="2" t="inlineStr">
        <is>
          <t>Strong</t>
        </is>
      </c>
      <c r="C9" s="2" t="inlineStr">
        <is>
          <t>Production internship</t>
        </is>
      </c>
      <c r="D9" s="2" t="inlineStr">
        <is>
          <t>Backend; Full Stack</t>
        </is>
      </c>
      <c r="E9" s="2" t="inlineStr">
        <is>
          <t>Yes</t>
        </is>
      </c>
    </row>
    <row r="10">
      <c r="A10" s="2" t="inlineStr">
        <is>
          <t>PostgreSQL</t>
        </is>
      </c>
      <c r="B10" s="2" t="inlineStr">
        <is>
          <t>Working</t>
        </is>
      </c>
      <c r="C10" s="2" t="inlineStr">
        <is>
          <t>Listed skill</t>
        </is>
      </c>
      <c r="D10" s="2" t="inlineStr">
        <is>
          <t>Backend; SDE</t>
        </is>
      </c>
      <c r="E10" s="2" t="inlineStr">
        <is>
          <t>Review</t>
        </is>
      </c>
    </row>
    <row r="11">
      <c r="A11" s="2" t="inlineStr">
        <is>
          <t>Next.js</t>
        </is>
      </c>
      <c r="B11" s="2" t="inlineStr">
        <is>
          <t>Working</t>
        </is>
      </c>
      <c r="C11" s="2" t="inlineStr">
        <is>
          <t>Listed skill</t>
        </is>
      </c>
      <c r="D11" s="2" t="inlineStr">
        <is>
          <t>Full Stack; Frontend</t>
        </is>
      </c>
      <c r="E11" s="2" t="inlineStr">
        <is>
          <t>Review</t>
        </is>
      </c>
    </row>
    <row r="12" ht="30" customHeight="1" s="15">
      <c r="A12" s="2" t="inlineStr">
        <is>
          <t>Java</t>
        </is>
      </c>
      <c r="B12" s="2" t="inlineStr">
        <is>
          <t>Working / DSA</t>
        </is>
      </c>
      <c r="C12" s="2" t="inlineStr">
        <is>
          <t>DSA certification; development depth to verify</t>
        </is>
      </c>
      <c r="D12" s="2" t="inlineStr">
        <is>
          <t>SDE; Java</t>
        </is>
      </c>
      <c r="E12" s="2" t="inlineStr">
        <is>
          <t>Review</t>
        </is>
      </c>
    </row>
    <row r="13">
      <c r="A13" s="2" t="inlineStr">
        <is>
          <t>Python</t>
        </is>
      </c>
      <c r="B13" s="2" t="inlineStr">
        <is>
          <t>Working</t>
        </is>
      </c>
      <c r="C13" s="2" t="inlineStr">
        <is>
          <t>Listed skill</t>
        </is>
      </c>
      <c r="D13" s="2" t="inlineStr">
        <is>
          <t>SDE; Backend</t>
        </is>
      </c>
      <c r="E13" s="2" t="inlineStr">
        <is>
          <t>Review</t>
        </is>
      </c>
    </row>
    <row r="14">
      <c r="A14" s="2" t="inlineStr">
        <is>
          <t>AWS</t>
        </is>
      </c>
      <c r="B14" s="2" t="inlineStr">
        <is>
          <t>Working</t>
        </is>
      </c>
      <c r="C14" s="2" t="inlineStr">
        <is>
          <t>Cloud experience listed</t>
        </is>
      </c>
      <c r="D14" s="2" t="inlineStr">
        <is>
          <t>Cloud; SDE; Backend</t>
        </is>
      </c>
      <c r="E14" s="2" t="inlineStr">
        <is>
          <t>Review</t>
        </is>
      </c>
    </row>
    <row r="15">
      <c r="A15" s="2" t="inlineStr">
        <is>
          <t>Azure</t>
        </is>
      </c>
      <c r="B15" s="2" t="inlineStr">
        <is>
          <t>Strong</t>
        </is>
      </c>
      <c r="C15" s="2" t="inlineStr">
        <is>
          <t>Live POS deployment</t>
        </is>
      </c>
      <c r="D15" s="2" t="inlineStr">
        <is>
          <t>Cloud; Full Stack</t>
        </is>
      </c>
      <c r="E15" s="2" t="inlineStr">
        <is>
          <t>Yes</t>
        </is>
      </c>
    </row>
    <row r="16">
      <c r="A16" s="2" t="inlineStr">
        <is>
          <t>Docker</t>
        </is>
      </c>
      <c r="B16" s="2" t="inlineStr">
        <is>
          <t>Working</t>
        </is>
      </c>
      <c r="C16" s="2" t="inlineStr">
        <is>
          <t>Listed skill</t>
        </is>
      </c>
      <c r="D16" s="2" t="inlineStr">
        <is>
          <t>Cloud; DevOps; Backend</t>
        </is>
      </c>
      <c r="E16" s="2" t="inlineStr">
        <is>
          <t>Review</t>
        </is>
      </c>
    </row>
    <row r="17">
      <c r="A17" s="2" t="inlineStr">
        <is>
          <t>Kubernetes</t>
        </is>
      </c>
      <c r="B17" s="2" t="inlineStr">
        <is>
          <t>Working</t>
        </is>
      </c>
      <c r="C17" s="2" t="inlineStr">
        <is>
          <t>Listed skill</t>
        </is>
      </c>
      <c r="D17" s="2" t="inlineStr">
        <is>
          <t>DevOps/Cloud</t>
        </is>
      </c>
      <c r="E17" s="2" t="inlineStr">
        <is>
          <t>Review</t>
        </is>
      </c>
    </row>
    <row r="18">
      <c r="A18" s="2" t="inlineStr">
        <is>
          <t>CI/CD</t>
        </is>
      </c>
      <c r="B18" s="2" t="inlineStr">
        <is>
          <t>Working</t>
        </is>
      </c>
      <c r="C18" s="2" t="inlineStr">
        <is>
          <t>Listed skill</t>
        </is>
      </c>
      <c r="D18" s="2" t="inlineStr">
        <is>
          <t>DevOps/Cloud</t>
        </is>
      </c>
      <c r="E18" s="2" t="inlineStr">
        <is>
          <t>Review</t>
        </is>
      </c>
    </row>
    <row r="19">
      <c r="A19" s="2" t="inlineStr">
        <is>
          <t>Git/GitHub</t>
        </is>
      </c>
      <c r="B19" s="2" t="inlineStr">
        <is>
          <t>Strong</t>
        </is>
      </c>
      <c r="C19" s="2" t="inlineStr">
        <is>
          <t>Development workflow</t>
        </is>
      </c>
      <c r="D19" s="2" t="inlineStr">
        <is>
          <t>All</t>
        </is>
      </c>
      <c r="E19" s="2" t="inlineStr">
        <is>
          <t>Yes</t>
        </is>
      </c>
    </row>
    <row r="20">
      <c r="A20" s="2" t="inlineStr">
        <is>
          <t>REST APIs</t>
        </is>
      </c>
      <c r="B20" s="2" t="inlineStr">
        <is>
          <t>Strong</t>
        </is>
      </c>
      <c r="C20" s="2" t="inlineStr">
        <is>
          <t>Node/Express projects</t>
        </is>
      </c>
      <c r="D20" s="2" t="inlineStr">
        <is>
          <t>Backend; SDE; Full Stack</t>
        </is>
      </c>
      <c r="E20" s="2" t="inlineStr">
        <is>
          <t>Yes</t>
        </is>
      </c>
    </row>
    <row r="21">
      <c r="A21" s="2" t="inlineStr">
        <is>
          <t>Authentication</t>
        </is>
      </c>
      <c r="B21" s="2" t="inlineStr">
        <is>
          <t>Strong</t>
        </is>
      </c>
      <c r="C21" s="2" t="inlineStr">
        <is>
          <t>JWT, Passport.js, RBAC</t>
        </is>
      </c>
      <c r="D21" s="2" t="inlineStr">
        <is>
          <t>Backend; SDE; Full Stack</t>
        </is>
      </c>
      <c r="E21" s="2" t="inlineStr">
        <is>
          <t>Yes</t>
        </is>
      </c>
    </row>
    <row r="22">
      <c r="A22" s="2" t="inlineStr">
        <is>
          <t>SQL Server</t>
        </is>
      </c>
      <c r="B22" s="2" t="inlineStr">
        <is>
          <t>Strong</t>
        </is>
      </c>
      <c r="C22" s="2" t="inlineStr">
        <is>
          <t>Australian restaurant POS</t>
        </is>
      </c>
      <c r="D22" s="2" t="inlineStr">
        <is>
          <t>Backend; Full Stack</t>
        </is>
      </c>
      <c r="E22" s="2" t="inlineStr">
        <is>
          <t>Yes</t>
        </is>
      </c>
    </row>
    <row r="23">
      <c r="A23" s="2" t="inlineStr">
        <is>
          <t>Figma</t>
        </is>
      </c>
      <c r="B23" s="2" t="inlineStr">
        <is>
          <t>Working</t>
        </is>
      </c>
      <c r="C23" s="2" t="inlineStr">
        <is>
          <t>POS UI/UX</t>
        </is>
      </c>
      <c r="D23" s="2" t="inlineStr">
        <is>
          <t>Frontend; Full Stack</t>
        </is>
      </c>
      <c r="E23" s="2" t="inlineStr">
        <is>
          <t>Yes</t>
        </is>
      </c>
    </row>
  </sheetData>
  <dataValidations count="2">
    <dataValidation sqref="B2:B500" showDropDown="0" showInputMessage="0" showErrorMessage="0" allowBlank="1" type="list">
      <formula1>"Strong,Working,Working / DSA,Developing,Beginner"</formula1>
    </dataValidation>
    <dataValidation sqref="E2:E500" showDropDown="0" showInputMessage="0" showErrorMessage="0" allowBlank="1" type="list">
      <formula1>"Yes,Review,No"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R230"/>
  <sheetViews>
    <sheetView tabSelected="1" topLeftCell="AM1" workbookViewId="0">
      <pane ySplit="1" topLeftCell="A2" activePane="bottomLeft" state="frozen"/>
      <selection pane="bottomLeft" activeCell="AR4" sqref="AR4"/>
    </sheetView>
  </sheetViews>
  <sheetFormatPr baseColWidth="8" defaultRowHeight="15"/>
  <cols>
    <col width="12" customWidth="1" style="15" min="1" max="10"/>
    <col width="17" customWidth="1" style="15" min="11" max="11"/>
    <col width="18" customWidth="1" style="15" min="12" max="12"/>
    <col width="55" customWidth="1" style="15" min="13" max="13"/>
    <col width="38" customWidth="1" style="15" min="14" max="14"/>
    <col width="15" customWidth="1" style="15" min="15" max="15"/>
    <col width="16" customWidth="1" style="15" min="16" max="16"/>
    <col width="12" customWidth="1" style="15" min="17" max="18"/>
    <col width="18" customWidth="1" style="15" min="19" max="19"/>
    <col width="21" customWidth="1" style="15" min="20" max="20"/>
    <col width="38" customWidth="1" style="15" min="21" max="22"/>
    <col width="55" customWidth="1" style="15" min="23" max="23"/>
    <col width="16" customWidth="1" style="15" min="24" max="24"/>
    <col width="12" customWidth="1" style="15" min="25" max="25"/>
    <col width="55" customWidth="1" style="15" min="26" max="26"/>
    <col width="28" customWidth="1" style="15" min="27" max="38"/>
    <col width="52.28515625" bestFit="1" customWidth="1" style="15" min="39" max="39"/>
    <col width="20.140625" bestFit="1" customWidth="1" style="15" min="40" max="40"/>
    <col width="18" bestFit="1" customWidth="1" style="15" min="41" max="41"/>
    <col width="20.85546875" bestFit="1" customWidth="1" style="15" min="42" max="42"/>
    <col width="24" bestFit="1" customWidth="1" style="15" min="43" max="43"/>
    <col width="14.42578125" bestFit="1" customWidth="1" style="15" min="44" max="44"/>
  </cols>
  <sheetData>
    <row r="1">
      <c r="A1" s="5" t="inlineStr">
        <is>
          <t>Job ID</t>
        </is>
      </c>
      <c r="B1" s="5" t="inlineStr">
        <is>
          <t>Company</t>
        </is>
      </c>
      <c r="C1" s="5" t="inlineStr">
        <is>
          <t>Role</t>
        </is>
      </c>
      <c r="D1" s="5" t="inlineStr">
        <is>
          <t>Job URL</t>
        </is>
      </c>
      <c r="E1" s="5" t="inlineStr">
        <is>
          <t>Source</t>
        </is>
      </c>
      <c r="F1" s="5" t="inlineStr">
        <is>
          <t>Location</t>
        </is>
      </c>
      <c r="G1" s="5" t="inlineStr">
        <is>
          <t>Work Mode</t>
        </is>
      </c>
      <c r="H1" s="5" t="inlineStr">
        <is>
          <t>Stipend</t>
        </is>
      </c>
      <c r="I1" s="5" t="inlineStr">
        <is>
          <t>Duration</t>
        </is>
      </c>
      <c r="J1" s="5" t="inlineStr">
        <is>
          <t>PPO Signal</t>
        </is>
      </c>
      <c r="K1" s="5" t="inlineStr">
        <is>
          <t>Required Skills</t>
        </is>
      </c>
      <c r="L1" s="5" t="inlineStr">
        <is>
          <t>Preferred Skills</t>
        </is>
      </c>
      <c r="M1" s="5" t="inlineStr">
        <is>
          <t>JD Text</t>
        </is>
      </c>
      <c r="N1" s="5" t="inlineStr">
        <is>
          <t>Match Score</t>
        </is>
      </c>
      <c r="O1" s="5" t="inlineStr">
        <is>
          <t>Technical Fit</t>
        </is>
      </c>
      <c r="P1" s="5" t="inlineStr">
        <is>
          <t>Experience Fit</t>
        </is>
      </c>
      <c r="Q1" s="5" t="inlineStr">
        <is>
          <t>Role Fit</t>
        </is>
      </c>
      <c r="R1" s="5" t="inlineStr">
        <is>
          <t>PPO Score</t>
        </is>
      </c>
      <c r="S1" s="5" t="inlineStr">
        <is>
          <t>Compensation Fit</t>
        </is>
      </c>
      <c r="T1" s="5" t="inlineStr">
        <is>
          <t>Opportunity Quality</t>
        </is>
      </c>
      <c r="U1" s="5" t="inlineStr">
        <is>
          <t>Priority</t>
        </is>
      </c>
      <c r="V1" s="5" t="inlineStr">
        <is>
          <t>Recommendation</t>
        </is>
      </c>
      <c r="W1" s="5" t="inlineStr">
        <is>
          <t>Skill Gaps</t>
        </is>
      </c>
      <c r="X1" s="5" t="inlineStr">
        <is>
          <t>Resume Version</t>
        </is>
      </c>
      <c r="Y1" s="5" t="inlineStr">
        <is>
          <t>Date Found</t>
        </is>
      </c>
      <c r="Z1" s="5" t="inlineStr">
        <is>
          <t>Notes</t>
        </is>
      </c>
      <c r="AA1" s="5" t="inlineStr">
        <is>
          <t>Eligibility Status</t>
        </is>
      </c>
      <c r="AB1" s="5" t="inlineStr">
        <is>
          <t>Eligibility Reasons</t>
        </is>
      </c>
      <c r="AC1" s="5" t="inlineStr">
        <is>
          <t>Availability Status</t>
        </is>
      </c>
      <c r="AD1" s="5" t="inlineStr">
        <is>
          <t>Availability Reason</t>
        </is>
      </c>
      <c r="AE1" s="5" t="inlineStr">
        <is>
          <t>Compensation Status</t>
        </is>
      </c>
      <c r="AF1" s="5" t="inlineStr">
        <is>
          <t>Guaranteed Stipend</t>
        </is>
      </c>
      <c r="AG1" s="5" t="inlineStr">
        <is>
          <t>Incentive Included</t>
        </is>
      </c>
      <c r="AH1" s="5" t="inlineStr">
        <is>
          <t>PPO Status</t>
        </is>
      </c>
      <c r="AI1" s="5" t="inlineStr">
        <is>
          <t>PPO Evidence</t>
        </is>
      </c>
      <c r="AJ1" s="5" t="inlineStr">
        <is>
          <t>Hard Blockers</t>
        </is>
      </c>
      <c r="AK1" s="5" t="inlineStr">
        <is>
          <t>Red Flags</t>
        </is>
      </c>
      <c r="AL1" s="5" t="inlineStr">
        <is>
          <t>Interview Topics</t>
        </is>
      </c>
      <c r="AM1" s="21" t="inlineStr">
        <is>
          <t>Application Kit Path</t>
        </is>
      </c>
      <c r="AN1" s="21" t="inlineStr">
        <is>
          <t>Application Kit Status</t>
        </is>
      </c>
      <c r="AO1" s="21" t="inlineStr">
        <is>
          <t>Cover Letter Status</t>
        </is>
      </c>
      <c r="AP1" s="21" t="inlineStr">
        <is>
          <t>Resume Bullets Status</t>
        </is>
      </c>
      <c r="AQ1" s="21" t="inlineStr">
        <is>
          <t>Screening Answers Status</t>
        </is>
      </c>
      <c r="AR1" s="21" t="inlineStr">
        <is>
          <t>Apply Status</t>
        </is>
      </c>
    </row>
    <row r="2">
      <c r="A2" t="inlineStr">
        <is>
          <t>JOVEO-260912-1</t>
        </is>
      </c>
      <c r="B2" t="inlineStr">
        <is>
          <t>Joveo</t>
        </is>
      </c>
      <c r="C2" t="inlineStr">
        <is>
          <t>Software Engineering Intern (Full Stack)</t>
        </is>
      </c>
      <c r="D2" t="inlineStr">
        <is>
          <t>https://in.jooble.org/away/-605960673848884241?p=1&amp;pos=1&amp;rgn=3193&amp;cid=389&amp;ckey=software+engineer+intern&amp;jobAge=17&amp;brelb=10&amp;scr=2083.1946&amp;bscr=2083.1946&amp;aq=-61623613441355244&amp;elckey=-5330510203177165305</t>
        </is>
      </c>
      <c r="E2" t="inlineStr">
        <is>
          <t>AI Analyzer</t>
        </is>
      </c>
      <c r="F2" t="inlineStr">
        <is>
          <t>Bengaluru, India</t>
        </is>
      </c>
      <c r="G2" t="inlineStr">
        <is>
          <t>On-site (5 days a week)</t>
        </is>
      </c>
      <c r="H2" t="inlineStr">
        <is>
          <t>Not specified</t>
        </is>
      </c>
      <c r="I2" t="inlineStr">
        <is>
          <t>Not specified</t>
        </is>
      </c>
      <c r="J2" t="inlineStr">
        <is>
          <t>NOT_MENTIONED</t>
        </is>
      </c>
      <c r="K2" t="inlineStr">
        <is>
          <t>Full Stack Development</t>
        </is>
      </c>
      <c r="M2" t="inlineStr">
        <is>
          <t>&amp;nbsp;...Title : &lt;b&gt;Software Engineering Intern &lt;/b&gt;(Full Stack) Location : Bengaluru, India (5 days a week) Timings : 2-10 pm About Joveo As the global leader in AI-powered recruitment marketing, we are transforming talent attraction and recruitment media buying for the world’s...&amp;nbsp;</t>
        </is>
      </c>
      <c r="N2" t="n">
        <v>77</v>
      </c>
      <c r="O2" t="n">
        <v>27</v>
      </c>
      <c r="P2" t="n">
        <v>18</v>
      </c>
      <c r="Q2" t="n">
        <v>14</v>
      </c>
      <c r="R2" t="n">
        <v>5</v>
      </c>
      <c r="S2" t="n">
        <v>5</v>
      </c>
      <c r="T2" t="n">
        <v>8</v>
      </c>
      <c r="U2" t="inlineStr">
        <is>
          <t>CONSIDER</t>
        </is>
      </c>
      <c r="V2" t="inlineStr">
        <is>
          <t>CONSIDER</t>
        </is>
      </c>
      <c r="X2" t="inlineStr">
        <is>
          <t>Full Stack Development Resume</t>
        </is>
      </c>
      <c r="Y2" t="inlineStr">
        <is>
          <t>2026-09-12</t>
        </is>
      </c>
      <c r="Z2" t="inlineStr">
        <is>
          <t>Strong technical match with Full Stack / MERN stack role; Good company domain in AI-powered recruitment marketing; Located in Bangalore</t>
        </is>
      </c>
      <c r="AA2" t="inlineStr">
        <is>
          <t>UNKNOWN</t>
        </is>
      </c>
      <c r="AB2" t="inlineStr">
        <is>
          <t>Degree requirements not explicitly mentioned in the snippet; Graduation year requirements not explicitly mentioned</t>
        </is>
      </c>
      <c r="AC2" t="inlineStr">
        <is>
          <t>UNKNOWN</t>
        </is>
      </c>
      <c r="AD2" t="inlineStr">
        <is>
          <t>Candidate availability for 2-10 pm shift is unknown</t>
        </is>
      </c>
      <c r="AE2" t="inlineStr">
        <is>
          <t>UNKNOWN</t>
        </is>
      </c>
      <c r="AF2" t="n">
        <v>0</v>
      </c>
      <c r="AG2" t="inlineStr">
        <is>
          <t>No</t>
        </is>
      </c>
      <c r="AH2" t="inlineStr">
        <is>
          <t>NOT_MENTIONED</t>
        </is>
      </c>
      <c r="AI2" t="inlineStr">
        <is>
          <t>No explicit mention of PPO or conversion in the job description snippet.</t>
        </is>
      </c>
      <c r="AK2" t="inlineStr">
        <is>
          <t>Shift timings are 2-10 pm; Undisclosed stipend</t>
        </is>
      </c>
      <c r="AL2" t="inlineStr">
        <is>
          <t>MERN stack architecture; RESTful APIs and authentication; State management in React; Handling evening shift timings (2-10 pm)</t>
        </is>
      </c>
    </row>
    <row r="3">
      <c r="A3" t="inlineStr">
        <is>
          <t>FRIDAY-MEDIA-260912-2</t>
        </is>
      </c>
      <c r="B3" t="inlineStr">
        <is>
          <t>friday media tech india (fmg)</t>
        </is>
      </c>
      <c r="C3" t="inlineStr">
        <is>
          <t>Software Engineer Intern</t>
        </is>
      </c>
      <c r="D3" t="inlineStr">
        <is>
          <t>https://in.jooble.org/desc/-5404656752169186420?ckey=software+engineer+intern&amp;rgn=3193&amp;pos=3&amp;elckey=-5330510203177165305&amp;p=1&amp;aq=-61623613441355244&amp;cid=389&amp;jobAge=277&amp;brelb=10&amp;bscr=1727.9586&amp;scr=1727.9586</t>
        </is>
      </c>
      <c r="E3" t="inlineStr">
        <is>
          <t>AI Analyzer</t>
        </is>
      </c>
      <c r="F3" t="inlineStr">
        <is>
          <t>Bangalore</t>
        </is>
      </c>
      <c r="G3" t="inlineStr">
        <is>
          <t>Unknown</t>
        </is>
      </c>
      <c r="H3" t="inlineStr">
        <is>
          <t>Not specified</t>
        </is>
      </c>
      <c r="I3" t="inlineStr">
        <is>
          <t>Unknown</t>
        </is>
      </c>
      <c r="J3" t="inlineStr">
        <is>
          <t>Not Mentioned</t>
        </is>
      </c>
      <c r="K3" t="inlineStr">
        <is>
          <t>Modern web technologies; Frameworks</t>
        </is>
      </c>
      <c r="M3" t="inlineStr">
        <is>
          <t>&amp;nbsp;...Job Description We are looking for a passionate and driven &lt;b&gt;Software Engineer Intern &lt;/b&gt; to join our development team. You will get hands-on experience working on real-world projects using modern web technologies and frameworks. This internship is ideal for candidates eager...&amp;nbsp;</t>
        </is>
      </c>
      <c r="N3" t="n">
        <v>61</v>
      </c>
      <c r="O3" t="n">
        <v>21</v>
      </c>
      <c r="P3" t="n">
        <v>14</v>
      </c>
      <c r="Q3" t="n">
        <v>12</v>
      </c>
      <c r="R3" t="n">
        <v>5</v>
      </c>
      <c r="S3" t="n">
        <v>5</v>
      </c>
      <c r="T3" t="n">
        <v>4</v>
      </c>
      <c r="U3" t="inlineStr">
        <is>
          <t>STRETCH</t>
        </is>
      </c>
      <c r="V3" t="inlineStr">
        <is>
          <t>STRETCH</t>
        </is>
      </c>
      <c r="X3" t="inlineStr">
        <is>
          <t>Amaan_Ahmed_Fullstack_Resume.pdf</t>
        </is>
      </c>
      <c r="Y3" t="inlineStr">
        <is>
          <t>2026-09-12</t>
        </is>
      </c>
      <c r="Z3" t="inlineStr">
        <is>
          <t>Matches target role as Software Engineer Intern; Located in Bangalore</t>
        </is>
      </c>
      <c r="AA3" t="inlineStr">
        <is>
          <t>Eligible</t>
        </is>
      </c>
      <c r="AB3" t="inlineStr">
        <is>
          <t>Candidate is an MCA student targeting Software Engineering roles.; Location matches Bangalore preference.; No explicit hard blockers found in the minimal description.</t>
        </is>
      </c>
      <c r="AC3" t="inlineStr">
        <is>
          <t>UNKNOWN</t>
        </is>
      </c>
      <c r="AD3" t="inlineStr">
        <is>
          <t>Availability is not specified in the career brain or job description.</t>
        </is>
      </c>
      <c r="AE3" t="inlineStr">
        <is>
          <t>UNKNOWN</t>
        </is>
      </c>
      <c r="AF3" t="n">
        <v>0</v>
      </c>
      <c r="AG3" t="inlineStr">
        <is>
          <t>No</t>
        </is>
      </c>
      <c r="AH3" t="inlineStr">
        <is>
          <t>Not Mentioned</t>
        </is>
      </c>
      <c r="AI3" t="inlineStr">
        <is>
          <t>No mention of PPO or conversion in the job description snippet.</t>
        </is>
      </c>
      <c r="AK3" t="inlineStr">
        <is>
          <t>Vague and extremely short job description</t>
        </is>
      </c>
      <c r="AL3" t="inlineStr">
        <is>
          <t>Web development fundamentals; Frontend and backend frameworks; Past project architecture</t>
        </is>
      </c>
    </row>
    <row r="4">
      <c r="A4" t="inlineStr">
        <is>
          <t>WEEKDAY-(YC--260912-3</t>
        </is>
      </c>
      <c r="B4" t="inlineStr">
        <is>
          <t>weekday (yc w21)</t>
        </is>
      </c>
      <c r="C4" t="inlineStr">
        <is>
          <t>Software Engineer Intern</t>
        </is>
      </c>
      <c r="D4" t="inlineStr">
        <is>
          <t>https://in.jooble.org/desc/-455657989072061680?ckey=software+engineer+intern&amp;rgn=3193&amp;pos=4&amp;elckey=-5330510203177165305&amp;p=1&amp;aq=-61623613441355244&amp;cid=389&amp;jobAge=493&amp;brelb=10&amp;bscr=1637.0251&amp;scr=1637.0251</t>
        </is>
      </c>
      <c r="E4" t="inlineStr">
        <is>
          <t>AI Analyzer</t>
        </is>
      </c>
      <c r="F4" t="inlineStr">
        <is>
          <t>Bangalore</t>
        </is>
      </c>
      <c r="G4" t="inlineStr">
        <is>
          <t>Unknown</t>
        </is>
      </c>
      <c r="H4" t="inlineStr">
        <is>
          <t>Not specified</t>
        </is>
      </c>
      <c r="I4" t="inlineStr">
        <is>
          <t>Unknown</t>
        </is>
      </c>
      <c r="J4" t="inlineStr">
        <is>
          <t>Not Mentioned</t>
        </is>
      </c>
      <c r="M4" t="inlineStr">
        <is>
          <t>&amp;nbsp;...This role is for one of our clients Industry: &lt;b&gt;Software &lt;/b&gt;Development Seniority level: Junior - Entry Level Min Experience:...&amp;nbsp;&amp;nbsp;...Role We are looking for a motivated and curious Software &lt;b&gt;Engineering Intern &lt;/b&gt;to join the team. This is a hands-on role where you'll work alongside...&amp;nbsp;</t>
        </is>
      </c>
      <c r="N4" t="n">
        <v>48</v>
      </c>
      <c r="O4" t="n">
        <v>50</v>
      </c>
      <c r="P4" t="n">
        <v>80</v>
      </c>
      <c r="Q4" t="n">
        <v>80</v>
      </c>
      <c r="R4" t="n">
        <v>0</v>
      </c>
      <c r="S4" t="n">
        <v>0</v>
      </c>
      <c r="T4" t="n">
        <v>40</v>
      </c>
      <c r="U4" t="inlineStr">
        <is>
          <t>SKIP</t>
        </is>
      </c>
      <c r="V4" t="inlineStr">
        <is>
          <t>SKIP</t>
        </is>
      </c>
      <c r="X4" t="inlineStr">
        <is>
          <t>Default Full Stack / Software Engineering Resume</t>
        </is>
      </c>
      <c r="Y4" t="inlineStr">
        <is>
          <t>2026-09-12</t>
        </is>
      </c>
      <c r="Z4" t="inlineStr">
        <is>
          <t>Matches target Software Engineering Intern role; Located in Bangalore</t>
        </is>
      </c>
      <c r="AA4" t="inlineStr">
        <is>
          <t>Eligible</t>
        </is>
      </c>
      <c r="AB4" t="inlineStr">
        <is>
          <t>Open to junior/entry-level candidates and interns; Location matches target (Bangalore)</t>
        </is>
      </c>
      <c r="AC4" t="inlineStr">
        <is>
          <t>Unknown</t>
        </is>
      </c>
      <c r="AD4" t="inlineStr">
        <is>
          <t>Candidate availability details not provided in career brain.</t>
        </is>
      </c>
      <c r="AE4" t="inlineStr">
        <is>
          <t>UNKNOWN</t>
        </is>
      </c>
      <c r="AF4" t="n">
        <v>0</v>
      </c>
      <c r="AG4" t="inlineStr">
        <is>
          <t>No</t>
        </is>
      </c>
      <c r="AH4" t="inlineStr">
        <is>
          <t>Not Mentioned</t>
        </is>
      </c>
      <c r="AI4" t="inlineStr">
        <is>
          <t>No explicit PPO or conversion mention found in the short job description.</t>
        </is>
      </c>
      <c r="AK4" t="inlineStr">
        <is>
          <t>Extremely vague job description with missing stipend details and missing specific technology stack requirements</t>
        </is>
      </c>
      <c r="AL4" t="inlineStr">
        <is>
          <t>General software engineering fundamentals; Problem-solving and coding basics; Past project walkthroughs</t>
        </is>
      </c>
    </row>
    <row r="5">
      <c r="A5" t="inlineStr">
        <is>
          <t>ECERA-SYSTEM-260912-4</t>
        </is>
      </c>
      <c r="B5" t="inlineStr">
        <is>
          <t>Ecera System</t>
        </is>
      </c>
      <c r="C5" t="inlineStr">
        <is>
          <t>Software Engineer Intern</t>
        </is>
      </c>
      <c r="D5" t="inlineStr">
        <is>
          <t>https://in.jooble.org/desc/-4076037738651150701?ckey=software+engineer+intern&amp;rgn=3193&amp;pos=5&amp;elckey=-5330510203177165305&amp;p=1&amp;aq=-61623613441355244&amp;cid=389&amp;jobAge=661&amp;brelb=10&amp;bscr=1621.3428&amp;scr=1621.3428</t>
        </is>
      </c>
      <c r="E5" t="inlineStr">
        <is>
          <t>AI Analyzer</t>
        </is>
      </c>
      <c r="F5" t="inlineStr">
        <is>
          <t>Bangalore</t>
        </is>
      </c>
      <c r="G5" t="inlineStr">
        <is>
          <t>UNKNOWN</t>
        </is>
      </c>
      <c r="H5" t="inlineStr">
        <is>
          <t>Paid (Unspecified amount)</t>
        </is>
      </c>
      <c r="I5" t="inlineStr">
        <is>
          <t>UNKNOWN</t>
        </is>
      </c>
      <c r="J5" t="inlineStr">
        <is>
          <t>NOT_MENTIONED</t>
        </is>
      </c>
      <c r="M5" t="inlineStr">
        <is>
          <t>&amp;nbsp;...streamlined, time-conscious process designed to ensure high-quality placements and complete satisfaction. Role Description The &lt;b&gt;Software Engineer Intern &lt;/b&gt;(Paid) will support the design, development, and testing of software applications as part of a collaborative engineering team...&amp;nbsp;</t>
        </is>
      </c>
      <c r="N5" t="n">
        <v>40</v>
      </c>
      <c r="O5" t="n">
        <v>50</v>
      </c>
      <c r="P5" t="n">
        <v>60</v>
      </c>
      <c r="Q5" t="n">
        <v>60</v>
      </c>
      <c r="R5" t="n">
        <v>0</v>
      </c>
      <c r="S5" t="n">
        <v>0</v>
      </c>
      <c r="T5" t="n">
        <v>40</v>
      </c>
      <c r="U5" t="inlineStr">
        <is>
          <t>SKIP</t>
        </is>
      </c>
      <c r="V5" t="inlineStr">
        <is>
          <t>SKIP</t>
        </is>
      </c>
      <c r="X5" t="inlineStr">
        <is>
          <t>Default Full Stack / Software Engineering Resume</t>
        </is>
      </c>
      <c r="Y5" t="inlineStr">
        <is>
          <t>2026-09-12</t>
        </is>
      </c>
      <c r="Z5" t="inlineStr">
        <is>
          <t>Role is based in Bangalore and is paid.</t>
        </is>
      </c>
      <c r="AA5" t="inlineStr">
        <is>
          <t>ELIGIBLE</t>
        </is>
      </c>
      <c r="AB5" t="inlineStr">
        <is>
          <t>Location matches Bangalore preference; No explicit degree or hard technological blockers specified in the sparse JD</t>
        </is>
      </c>
      <c r="AC5" t="inlineStr">
        <is>
          <t>UNKNOWN</t>
        </is>
      </c>
      <c r="AD5" t="inlineStr">
        <is>
          <t>Availability not specified in candidate profile</t>
        </is>
      </c>
      <c r="AE5" t="inlineStr">
        <is>
          <t>UNKNOWN</t>
        </is>
      </c>
      <c r="AF5" t="n">
        <v>0</v>
      </c>
      <c r="AG5" t="inlineStr">
        <is>
          <t>No</t>
        </is>
      </c>
      <c r="AH5" t="inlineStr">
        <is>
          <t>NOT_MENTIONED</t>
        </is>
      </c>
      <c r="AI5" t="inlineStr">
        <is>
          <t>Job description does not mention PPO or conversion opportunities.</t>
        </is>
      </c>
      <c r="AK5" t="inlineStr">
        <is>
          <t>Extremely sparse job description lacking tech stack requirements, duration, and exact stipend details.</t>
        </is>
      </c>
      <c r="AL5" t="inlineStr">
        <is>
          <t>General software engineering fundamentals; Past project architecture; Testing and development lifecycle</t>
        </is>
      </c>
    </row>
    <row r="6">
      <c r="A6" t="inlineStr">
        <is>
          <t>STRIPE-260912-5</t>
        </is>
      </c>
      <c r="B6" t="inlineStr">
        <is>
          <t>Stripe</t>
        </is>
      </c>
      <c r="C6" t="inlineStr">
        <is>
          <t>Software Engineer, Intern</t>
        </is>
      </c>
      <c r="D6" t="inlineStr">
        <is>
          <t>https://in.jooble.org/desc/6361268409707951745?ckey=software+engineer+intern&amp;rgn=3193&amp;pos=6&amp;elckey=-5330510203177165305&amp;p=1&amp;aq=-61623613441355244&amp;cid=389&amp;jobAge=291&amp;brelb=100&amp;bscr=1587.1077&amp;scr=1587.1077</t>
        </is>
      </c>
      <c r="E6" t="inlineStr">
        <is>
          <t>AI Analyzer</t>
        </is>
      </c>
      <c r="F6" t="inlineStr">
        <is>
          <t>Bangalore</t>
        </is>
      </c>
      <c r="G6" t="inlineStr">
        <is>
          <t>Unknown</t>
        </is>
      </c>
      <c r="H6" t="inlineStr">
        <is>
          <t>Not specified</t>
        </is>
      </c>
      <c r="I6" t="inlineStr">
        <is>
          <t>Unknown</t>
        </is>
      </c>
      <c r="J6" t="inlineStr">
        <is>
          <t>Unknown</t>
        </is>
      </c>
      <c r="M6" t="inlineStr">
        <is>
          <t>&amp;nbsp;...world works. What you’ll do As an &lt;b&gt;intern &lt;/b&gt;at Stripe you’ll work on projects across...&amp;nbsp;&amp;nbsp;...the most creative and technically rigorous &lt;b&gt;engineers &lt;/b&gt;in the industry and learn how to ship high...&amp;nbsp;&amp;nbsp;...the technical design process. Write &lt;b&gt;software &lt;/b&gt;that will be used in production, and has...&amp;nbsp;</t>
        </is>
      </c>
      <c r="N6" t="n">
        <v>53</v>
      </c>
      <c r="O6" t="n">
        <v>50</v>
      </c>
      <c r="P6" t="n">
        <v>50</v>
      </c>
      <c r="Q6" t="n">
        <v>70</v>
      </c>
      <c r="R6" t="n">
        <v>50</v>
      </c>
      <c r="S6" t="n">
        <v>0</v>
      </c>
      <c r="T6" t="n">
        <v>80</v>
      </c>
      <c r="U6" t="inlineStr">
        <is>
          <t>SKIP</t>
        </is>
      </c>
      <c r="V6" t="inlineStr">
        <is>
          <t>SKIP</t>
        </is>
      </c>
      <c r="X6" t="inlineStr">
        <is>
          <t>Amaanuddin_Ahmed_Software_Engineering_Resume.pdf</t>
        </is>
      </c>
      <c r="Y6" t="inlineStr">
        <is>
          <t>2026-09-12</t>
        </is>
      </c>
      <c r="Z6" t="inlineStr">
        <is>
          <t>Stripe is a top-tier global tech company with exceptional opportunity quality for software engineering interns.</t>
        </is>
      </c>
      <c r="AA6" t="inlineStr">
        <is>
          <t>Eligible</t>
        </is>
      </c>
      <c r="AB6" t="inlineStr">
        <is>
          <t>No explicit graduation year or degree blockers mentioned in the brief JD description.</t>
        </is>
      </c>
      <c r="AC6" t="inlineStr">
        <is>
          <t>Unknown</t>
        </is>
      </c>
      <c r="AD6" t="inlineStr">
        <is>
          <t>Candidate availability details are not provided.</t>
        </is>
      </c>
      <c r="AE6" t="inlineStr">
        <is>
          <t>UNKNOWN</t>
        </is>
      </c>
      <c r="AF6" t="n">
        <v>0</v>
      </c>
      <c r="AG6" t="inlineStr">
        <is>
          <t>No</t>
        </is>
      </c>
      <c r="AH6" t="inlineStr">
        <is>
          <t>Unknown</t>
        </is>
      </c>
      <c r="AI6" t="inlineStr">
        <is>
          <t>No explicit mention of PPO or conversion in the brief job description snippet.</t>
        </is>
      </c>
      <c r="AK6" t="inlineStr">
        <is>
          <t>Extremely sparse job description snippet provided.</t>
        </is>
      </c>
      <c r="AL6" t="inlineStr">
        <is>
          <t>System Design and Architecture; Production Software Engineering; Data Structures and Algorithms; Object-Oriented Programming</t>
        </is>
      </c>
    </row>
    <row r="7">
      <c r="A7" t="inlineStr">
        <is>
          <t>JOVEO-260912-6</t>
        </is>
      </c>
      <c r="B7" t="inlineStr">
        <is>
          <t>Joveo</t>
        </is>
      </c>
      <c r="C7" t="inlineStr">
        <is>
          <t>Software Engineering Intern (Full Stack)</t>
        </is>
      </c>
      <c r="D7" t="inlineStr">
        <is>
          <t>https://in.jooble.org/desc/5799679831910233464?ckey=software+engineer+intern&amp;rgn=3193&amp;pos=7&amp;elckey=-5330510203177165305&amp;p=1&amp;aq=-61623613441355244&amp;cid=389&amp;jobAge=61&amp;brelb=10&amp;bscr=1490.7164&amp;scr=1490.7164</t>
        </is>
      </c>
      <c r="E7" t="inlineStr">
        <is>
          <t>AI Analyzer</t>
        </is>
      </c>
      <c r="F7" t="inlineStr">
        <is>
          <t>Bangalore</t>
        </is>
      </c>
      <c r="G7" t="inlineStr">
        <is>
          <t>UNKNOWN</t>
        </is>
      </c>
      <c r="H7" t="inlineStr">
        <is>
          <t>Competitive stipend</t>
        </is>
      </c>
      <c r="I7" t="inlineStr">
        <is>
          <t>UNKNOWN</t>
        </is>
      </c>
      <c r="J7" t="inlineStr">
        <is>
          <t>UNKNOWN</t>
        </is>
      </c>
      <c r="K7" t="inlineStr">
        <is>
          <t>Full Stack Development</t>
        </is>
      </c>
      <c r="L7" t="inlineStr">
        <is>
          <t>AI</t>
        </is>
      </c>
      <c r="M7" t="inlineStr">
        <is>
          <t>&amp;nbsp;...Role : &lt;b&gt;Software Engineering Intern &lt;/b&gt;(Full Stack) Payout : Competitive stipend Role Overview: We are seeking a Software Engineering Intern (Full Stack) to work on a full-time internship basis. Joblet is rewriting the rules of recruitment through AI, and this role sits...&amp;nbsp;</t>
        </is>
      </c>
      <c r="N7" t="n">
        <v>76</v>
      </c>
      <c r="O7" t="n">
        <v>27</v>
      </c>
      <c r="P7" t="n">
        <v>18</v>
      </c>
      <c r="Q7" t="n">
        <v>14</v>
      </c>
      <c r="R7" t="n">
        <v>5</v>
      </c>
      <c r="S7" t="n">
        <v>5</v>
      </c>
      <c r="T7" t="n">
        <v>7</v>
      </c>
      <c r="U7" t="inlineStr">
        <is>
          <t>CONSIDER</t>
        </is>
      </c>
      <c r="V7" t="inlineStr">
        <is>
          <t>CONSIDER</t>
        </is>
      </c>
      <c r="X7" t="inlineStr">
        <is>
          <t>Amaanuddin_Ahmed_Full_Stack_Resume.pdf</t>
        </is>
      </c>
      <c r="Y7" t="inlineStr">
        <is>
          <t>2026-09-12</t>
        </is>
      </c>
      <c r="Z7" t="inlineStr">
        <is>
          <t>Role aligns well with Full Stack Development and candidate's MERN stack experience.; Located in Bangalore with an internship format.</t>
        </is>
      </c>
      <c r="AA7" t="inlineStr">
        <is>
          <t>ELIGIBLE</t>
        </is>
      </c>
      <c r="AB7" t="inlineStr">
        <is>
          <t>No explicit graduation year or degree restrictions mentioned in the JD.</t>
        </is>
      </c>
      <c r="AC7" t="inlineStr">
        <is>
          <t>UNKNOWN</t>
        </is>
      </c>
      <c r="AD7" t="inlineStr">
        <is>
          <t>Availability not specified in the candidate profile.</t>
        </is>
      </c>
      <c r="AE7" t="inlineStr">
        <is>
          <t>UNKNOWN</t>
        </is>
      </c>
      <c r="AF7" t="n">
        <v>0</v>
      </c>
      <c r="AG7" t="inlineStr">
        <is>
          <t>No</t>
        </is>
      </c>
      <c r="AH7" t="inlineStr">
        <is>
          <t>UNKNOWN</t>
        </is>
      </c>
      <c r="AI7" t="inlineStr">
        <is>
          <t>No explicit mention of PPO or conversion.</t>
        </is>
      </c>
      <c r="AK7" t="inlineStr">
        <is>
          <t>Vague stipend details (Competitive stipend)</t>
        </is>
      </c>
      <c r="AL7" t="inlineStr">
        <is>
          <t>Full stack system architecture; MERN stack projects (StaySphere, Zenvest); REST APIs and Authentication</t>
        </is>
      </c>
    </row>
    <row r="8">
      <c r="A8" t="inlineStr">
        <is>
          <t>ALLEN-DIGITA-260912-7</t>
        </is>
      </c>
      <c r="B8" t="inlineStr">
        <is>
          <t>allen digital</t>
        </is>
      </c>
      <c r="C8" t="inlineStr">
        <is>
          <t>Software Engineer Intern</t>
        </is>
      </c>
      <c r="D8" t="inlineStr">
        <is>
          <t>https://in.jooble.org/desc/5384164569259953805?ckey=software+engineer+intern&amp;rgn=3193&amp;pos=8&amp;elckey=-5330510203177165305&amp;p=1&amp;aq=-61623613441355244&amp;cid=389&amp;jobAge=781&amp;brelb=10&amp;bscr=1459.1136&amp;scr=1459.1136</t>
        </is>
      </c>
      <c r="E8" t="inlineStr">
        <is>
          <t>AI Analyzer</t>
        </is>
      </c>
      <c r="F8" t="inlineStr">
        <is>
          <t>Bangalore</t>
        </is>
      </c>
      <c r="G8" t="inlineStr">
        <is>
          <t>UNKNOWN</t>
        </is>
      </c>
      <c r="H8" t="inlineStr">
        <is>
          <t>UNKNOWN</t>
        </is>
      </c>
      <c r="I8" t="inlineStr">
        <is>
          <t>UNKNOWN</t>
        </is>
      </c>
      <c r="J8" t="inlineStr">
        <is>
          <t>UNKNOWN</t>
        </is>
      </c>
      <c r="K8" t="inlineStr">
        <is>
          <t>Go development; Backend programming language</t>
        </is>
      </c>
      <c r="M8" t="inlineStr">
        <is>
          <t>&amp;nbsp;...technologies related to Go development. Qualifications Currently pursuing a Bachelor's or Master's degree in Computer Science, &lt;b&gt;Engineering,&lt;/b&gt; or a related technical field, scheduled to complete in 2026 Familiarity with at least one backend programming language (e.g.,...&amp;nbsp;</t>
        </is>
      </c>
      <c r="N8" t="n">
        <v>45</v>
      </c>
      <c r="O8" t="n">
        <v>40</v>
      </c>
      <c r="P8" t="n">
        <v>70</v>
      </c>
      <c r="Q8" t="n">
        <v>70</v>
      </c>
      <c r="R8" t="n">
        <v>0</v>
      </c>
      <c r="S8" t="n">
        <v>0</v>
      </c>
      <c r="T8" t="n">
        <v>50</v>
      </c>
      <c r="U8" t="inlineStr">
        <is>
          <t>SKIP</t>
        </is>
      </c>
      <c r="V8" t="inlineStr">
        <is>
          <t>SKIP</t>
        </is>
      </c>
      <c r="W8" t="inlineStr">
        <is>
          <t>Go development</t>
        </is>
      </c>
      <c r="X8" t="inlineStr">
        <is>
          <t>Default Software Engineering Resume</t>
        </is>
      </c>
      <c r="Y8" t="inlineStr">
        <is>
          <t>2026-09-12</t>
        </is>
      </c>
      <c r="Z8" t="inlineStr">
        <is>
          <t>Matches the degree and graduation timeline criteria.</t>
        </is>
      </c>
      <c r="AA8" t="inlineStr">
        <is>
          <t>ELIGIBLE</t>
        </is>
      </c>
      <c r="AB8" t="inlineStr">
        <is>
          <t>Currently pursuing a Master's degree (MCA) in a related technical field, scheduled to complete around 2026.</t>
        </is>
      </c>
      <c r="AC8" t="inlineStr">
        <is>
          <t>UNKNOWN</t>
        </is>
      </c>
      <c r="AD8" t="inlineStr">
        <is>
          <t>Not specified in JD.</t>
        </is>
      </c>
      <c r="AE8" t="inlineStr">
        <is>
          <t>UNKNOWN</t>
        </is>
      </c>
      <c r="AF8" t="n">
        <v>0</v>
      </c>
      <c r="AG8" t="inlineStr">
        <is>
          <t>No</t>
        </is>
      </c>
      <c r="AH8" t="inlineStr">
        <is>
          <t>UNKNOWN</t>
        </is>
      </c>
      <c r="AI8" t="inlineStr">
        <is>
          <t>Not mentioned in the provided job description.</t>
        </is>
      </c>
      <c r="AK8" t="inlineStr">
        <is>
          <t>Incomplete or very brief job description snippet mentioning Go development.</t>
        </is>
      </c>
      <c r="AL8" t="inlineStr">
        <is>
          <t>Backend development fundamentals; Familiarity with Go or willingness to learn; Projects involving backend systems</t>
        </is>
      </c>
    </row>
    <row r="9">
      <c r="A9" t="inlineStr">
        <is>
          <t>RUBRIK-260912-8</t>
        </is>
      </c>
      <c r="B9" t="inlineStr">
        <is>
          <t>Rubrik</t>
        </is>
      </c>
      <c r="C9" t="inlineStr">
        <is>
          <t>Software Engineer (CPD) - Winter Intern</t>
        </is>
      </c>
      <c r="D9" t="inlineStr">
        <is>
          <t>https://in.jooble.org/desc/4771329012250323697?ckey=software+engineer+intern&amp;rgn=3193&amp;pos=10&amp;elckey=-5330510203177165305&amp;p=1&amp;aq=-61623613441355244&amp;cid=389&amp;jobAge=75&amp;brelb=100&amp;bscr=1400.0653&amp;scr=1400.0653</t>
        </is>
      </c>
      <c r="E9" t="inlineStr">
        <is>
          <t>AI Analyzer</t>
        </is>
      </c>
      <c r="F9" t="inlineStr">
        <is>
          <t>Pune</t>
        </is>
      </c>
      <c r="G9" t="inlineStr">
        <is>
          <t>UNKNOWN</t>
        </is>
      </c>
      <c r="I9" t="inlineStr">
        <is>
          <t>Winter Intern</t>
        </is>
      </c>
      <c r="J9" t="inlineStr">
        <is>
          <t>UNKNOWN</t>
        </is>
      </c>
      <c r="M9" t="inlineStr">
        <is>
          <t>&amp;nbsp;...ABOUT THE JOB We are looking for a &lt;b&gt;Software Engineer - Intern &lt;/b&gt;to join our Continuous Product Development (CPD) team in Pune. We believe in giving engineers responsibility, not tasks. Our goal is to motivate and challenge people to do their best work. To do that, we have...&amp;nbsp;</t>
        </is>
      </c>
      <c r="N9" t="n">
        <v>46</v>
      </c>
      <c r="O9" t="n">
        <v>50</v>
      </c>
      <c r="P9" t="n">
        <v>50</v>
      </c>
      <c r="Q9" t="n">
        <v>50</v>
      </c>
      <c r="R9" t="n">
        <v>50</v>
      </c>
      <c r="S9" t="n">
        <v>0</v>
      </c>
      <c r="T9" t="n">
        <v>60</v>
      </c>
      <c r="U9" t="inlineStr">
        <is>
          <t>SKIP</t>
        </is>
      </c>
      <c r="V9" t="inlineStr">
        <is>
          <t>SKIP</t>
        </is>
      </c>
      <c r="X9" t="inlineStr">
        <is>
          <t>Default Software Engineering Resume</t>
        </is>
      </c>
      <c r="Y9" t="inlineStr">
        <is>
          <t>2026-09-12</t>
        </is>
      </c>
      <c r="Z9" t="inlineStr">
        <is>
          <t>Rubrik is a prominent product company</t>
        </is>
      </c>
      <c r="AA9" t="inlineStr">
        <is>
          <t>ELIGIBLE</t>
        </is>
      </c>
      <c r="AB9" t="inlineStr">
        <is>
          <t>Targeted at students/interns; No specific hard engineering blockers mentioned in brief JD</t>
        </is>
      </c>
      <c r="AC9" t="inlineStr">
        <is>
          <t>UNKNOWN</t>
        </is>
      </c>
      <c r="AD9" t="inlineStr">
        <is>
          <t>Winter availability not explicitly confirmed in career brain</t>
        </is>
      </c>
      <c r="AE9" t="inlineStr">
        <is>
          <t>UNKNOWN</t>
        </is>
      </c>
      <c r="AF9" t="n">
        <v>0</v>
      </c>
      <c r="AG9" t="inlineStr">
        <is>
          <t>No</t>
        </is>
      </c>
      <c r="AH9" t="inlineStr">
        <is>
          <t>UNKNOWN</t>
        </is>
      </c>
      <c r="AI9" t="inlineStr">
        <is>
          <t>PPO availability not explicitly mentioned in the snippet</t>
        </is>
      </c>
      <c r="AK9" t="inlineStr">
        <is>
          <t>Incomplete job description snippet; Location mismatch between header (Bangalore) and description (Pune)</t>
        </is>
      </c>
      <c r="AL9" t="inlineStr">
        <is>
          <t>Software Engineering Fundamentals; Continuous Product Development concepts; Problem Solving and Data Structures</t>
        </is>
      </c>
    </row>
    <row r="10">
      <c r="A10" t="inlineStr">
        <is>
          <t>CODINGAL-260912-9</t>
        </is>
      </c>
      <c r="B10" t="inlineStr">
        <is>
          <t>Codingal</t>
        </is>
      </c>
      <c r="C10" t="inlineStr">
        <is>
          <t>Software Engineer Intern</t>
        </is>
      </c>
      <c r="D10" t="inlineStr">
        <is>
          <t>https://in.jooble.org/desc/3561679318189260784?ckey=software+engineer+intern&amp;rgn=3193&amp;pos=12&amp;elckey=-5330510203177165305&amp;p=1&amp;aq=-61623613441355244&amp;cid=389&amp;jobAge=109&amp;brelb=10&amp;bscr=1336.8647&amp;scr=1336.8647</t>
        </is>
      </c>
      <c r="E10" t="inlineStr">
        <is>
          <t>AI Analyzer</t>
        </is>
      </c>
      <c r="F10" t="inlineStr">
        <is>
          <t>Bangalore</t>
        </is>
      </c>
      <c r="G10" t="inlineStr">
        <is>
          <t>UNKNOWN</t>
        </is>
      </c>
      <c r="H10" t="inlineStr">
        <is>
          <t>Not specified</t>
        </is>
      </c>
      <c r="I10" t="inlineStr">
        <is>
          <t>UNKNOWN</t>
        </is>
      </c>
      <c r="J10" t="inlineStr">
        <is>
          <t>UNKNOWN</t>
        </is>
      </c>
      <c r="K10" t="inlineStr">
        <is>
          <t>Python; Django; React</t>
        </is>
      </c>
      <c r="M10" t="inlineStr">
        <is>
          <t>&amp;nbsp;...prepare them to become future-ready creators - entrepreneurs, &lt;b&gt;engineers,&lt;/b&gt; and scientists. With a curriculum accredited by STEM.org...&amp;nbsp;&amp;nbsp;...for coding and AI education. We are seeking a &lt;b&gt;Software &lt;/b&gt;Engineering &lt;b&gt;Intern &lt;/b&gt;(Fullstack - Python, Django, React) to join the passionate...&amp;nbsp;</t>
        </is>
      </c>
      <c r="N10" t="n">
        <v>52</v>
      </c>
      <c r="O10" t="n">
        <v>20</v>
      </c>
      <c r="P10" t="n">
        <v>15</v>
      </c>
      <c r="Q10" t="n">
        <v>12</v>
      </c>
      <c r="R10" t="n">
        <v>0</v>
      </c>
      <c r="S10" t="n">
        <v>0</v>
      </c>
      <c r="T10" t="n">
        <v>5</v>
      </c>
      <c r="U10" t="inlineStr">
        <is>
          <t>SKIP</t>
        </is>
      </c>
      <c r="V10" t="inlineStr">
        <is>
          <t>SKIP</t>
        </is>
      </c>
      <c r="W10" t="inlineStr">
        <is>
          <t>Python; Django</t>
        </is>
      </c>
      <c r="X10" t="inlineStr">
        <is>
          <t>Amaanuddin_Ahmed_Fullstack_Resume.pdf</t>
        </is>
      </c>
      <c r="Y10" t="inlineStr">
        <is>
          <t>2026-09-12</t>
        </is>
      </c>
      <c r="Z10" t="inlineStr">
        <is>
          <t>Role matches target full stack development profile; Located in Bangalore</t>
        </is>
      </c>
      <c r="AA10" t="inlineStr">
        <is>
          <t>ELIGIBLE</t>
        </is>
      </c>
      <c r="AC10" t="inlineStr">
        <is>
          <t>UNKNOWN</t>
        </is>
      </c>
      <c r="AD10" t="inlineStr">
        <is>
          <t>Not specified in candidate profile or job description</t>
        </is>
      </c>
      <c r="AE10" t="inlineStr">
        <is>
          <t>UNKNOWN</t>
        </is>
      </c>
      <c r="AF10" t="n">
        <v>0</v>
      </c>
      <c r="AG10" t="inlineStr">
        <is>
          <t>No</t>
        </is>
      </c>
      <c r="AH10" t="inlineStr">
        <is>
          <t>UNKNOWN</t>
        </is>
      </c>
      <c r="AI10" t="inlineStr">
        <is>
          <t>Not mentioned in the job description snippet</t>
        </is>
      </c>
      <c r="AK10" t="inlineStr">
        <is>
          <t>Stipend is not disclosed</t>
        </is>
      </c>
      <c r="AL10" t="inlineStr">
        <is>
          <t>Python and Django fundamentals; React state management; RESTful API design</t>
        </is>
      </c>
    </row>
    <row r="11">
      <c r="A11" t="inlineStr">
        <is>
          <t>MERKLESCIENC-260912-10</t>
        </is>
      </c>
      <c r="B11" t="inlineStr">
        <is>
          <t>merklescience</t>
        </is>
      </c>
      <c r="C11" t="inlineStr">
        <is>
          <t>Software Engineer(Intern)- Backend</t>
        </is>
      </c>
      <c r="D11" t="inlineStr">
        <is>
          <t>https://in.jooble.org/desc/-4009572167721000675?ckey=software+engineer+intern&amp;rgn=3193&amp;pos=20&amp;elckey=-5330510203177165305&amp;p=1&amp;aq=-61623613441355244&amp;cid=389&amp;jobAge=861&amp;brelb=100&amp;bscr=1191.2314&amp;scr=1191.2314</t>
        </is>
      </c>
      <c r="E11" t="inlineStr">
        <is>
          <t>AI Analyzer</t>
        </is>
      </c>
      <c r="F11" t="inlineStr">
        <is>
          <t>Bangalore</t>
        </is>
      </c>
      <c r="G11" t="inlineStr">
        <is>
          <t>Unknown</t>
        </is>
      </c>
      <c r="H11" t="inlineStr">
        <is>
          <t>Not specified</t>
        </is>
      </c>
      <c r="I11" t="inlineStr">
        <is>
          <t>Unknown</t>
        </is>
      </c>
      <c r="J11" t="inlineStr">
        <is>
          <t>UNKNOWN</t>
        </is>
      </c>
      <c r="K11" t="inlineStr">
        <is>
          <t>PostgreSQL; Redis</t>
        </is>
      </c>
      <c r="L11" t="inlineStr">
        <is>
          <t>Caching; Queues; Backend Optimization</t>
        </is>
      </c>
      <c r="M11" t="inlineStr">
        <is>
          <t>&amp;nbsp;...models in PostgreSQL Work with Redis for caching, queues, and improving service performance Collaborate with frontend and QA &lt;b&gt;engineers &lt;/b&gt;to ship end-to-end features Write clean, tested, well-documented code and participate in code reviews Debug and optimize...&amp;nbsp;</t>
        </is>
      </c>
      <c r="N11" t="n">
        <v>53</v>
      </c>
      <c r="O11" t="n">
        <v>50</v>
      </c>
      <c r="P11" t="n">
        <v>70</v>
      </c>
      <c r="Q11" t="n">
        <v>75</v>
      </c>
      <c r="R11" t="n">
        <v>0</v>
      </c>
      <c r="S11" t="n">
        <v>30</v>
      </c>
      <c r="T11" t="n">
        <v>50</v>
      </c>
      <c r="U11" t="inlineStr">
        <is>
          <t>SKIP</t>
        </is>
      </c>
      <c r="V11" t="inlineStr">
        <is>
          <t>SKIP</t>
        </is>
      </c>
      <c r="W11" t="inlineStr">
        <is>
          <t>PostgreSQL; Redis</t>
        </is>
      </c>
      <c r="X11" t="inlineStr">
        <is>
          <t>Default Full Stack / Backend Resume</t>
        </is>
      </c>
      <c r="Y11" t="inlineStr">
        <is>
          <t>2026-09-12</t>
        </is>
      </c>
      <c r="Z11" t="inlineStr">
        <is>
          <t>Aligns with backend and software engineering target roles; Located in Bangalore</t>
        </is>
      </c>
      <c r="AA11" t="inlineStr">
        <is>
          <t>ELIGIBLE</t>
        </is>
      </c>
      <c r="AB11" t="inlineStr">
        <is>
          <t>No explicit graduation year or degree blockers mentioned in the short snippet</t>
        </is>
      </c>
      <c r="AC11" t="inlineStr">
        <is>
          <t>UNKNOWN</t>
        </is>
      </c>
      <c r="AD11" t="inlineStr">
        <is>
          <t>Availability not specified in the candidate profile or JD</t>
        </is>
      </c>
      <c r="AE11" t="inlineStr">
        <is>
          <t>UNKNOWN</t>
        </is>
      </c>
      <c r="AF11" t="n">
        <v>0</v>
      </c>
      <c r="AG11" t="inlineStr">
        <is>
          <t>No</t>
        </is>
      </c>
      <c r="AH11" t="inlineStr">
        <is>
          <t>UNKNOWN</t>
        </is>
      </c>
      <c r="AI11" t="inlineStr">
        <is>
          <t>No mention of PPO or conversion in the job description snippet</t>
        </is>
      </c>
      <c r="AK11" t="inlineStr">
        <is>
          <t>Very sparse job description snippet; Stipend unknown</t>
        </is>
      </c>
      <c r="AL11" t="inlineStr">
        <is>
          <t>PostgreSQL data modeling and optimization; Redis caching and queues implementation; Backend debugging and performance tuning</t>
        </is>
      </c>
    </row>
    <row r="12">
      <c r="A12" t="inlineStr">
        <is>
          <t>COINBASE-IND-260912-11</t>
        </is>
      </c>
      <c r="B12" t="inlineStr">
        <is>
          <t>Coinbase India Services</t>
        </is>
      </c>
      <c r="C12" t="inlineStr">
        <is>
          <t>Software Engineer Intern</t>
        </is>
      </c>
      <c r="D12" t="inlineStr">
        <is>
          <t>https://in.jooble.org/desc/1797195671655267307?ckey=software+engineer+intern&amp;rgn=158289&amp;pos=1&amp;elckey=6777369812705344748&amp;p=1&amp;aq=5387186196911128999&amp;cid=389&amp;jobAge=1429&amp;brelb=10&amp;bscr=1125.9156&amp;scr=1125.9156</t>
        </is>
      </c>
      <c r="E12" t="inlineStr">
        <is>
          <t>AI Analyzer</t>
        </is>
      </c>
      <c r="F12" t="inlineStr">
        <is>
          <t>India</t>
        </is>
      </c>
      <c r="G12" t="inlineStr">
        <is>
          <t>work from home</t>
        </is>
      </c>
      <c r="H12" t="inlineStr">
        <is>
          <t>Rs 2.5 - 5 lakhs p.a.</t>
        </is>
      </c>
      <c r="I12" t="inlineStr">
        <is>
          <t>UNKNOWN</t>
        </is>
      </c>
      <c r="J12" t="inlineStr">
        <is>
          <t>UNKNOWN</t>
        </is>
      </c>
      <c r="K12" t="inlineStr">
        <is>
          <t>Software Engineering; Web Technologies</t>
        </is>
      </c>
      <c r="L12" t="inlineStr">
        <is>
          <t>Crypto-forward products exposure</t>
        </is>
      </c>
      <c r="M12" t="inlineStr">
        <is>
          <t>&amp;nbsp;...Job Description: ~ Coinbase is seeking &lt;b&gt;software engineer interns &lt;/b&gt;to join our team to build out the next generation of crypto-forward products and features. ~ You will solve unique, large scale, highly complex technical problems, bridging the constraints posed by web...&amp;nbsp;</t>
        </is>
      </c>
      <c r="N12" t="n">
        <v>75</v>
      </c>
      <c r="O12" t="n">
        <v>75</v>
      </c>
      <c r="P12" t="n">
        <v>80</v>
      </c>
      <c r="Q12" t="n">
        <v>85</v>
      </c>
      <c r="R12" t="n">
        <v>50</v>
      </c>
      <c r="S12" t="n">
        <v>70</v>
      </c>
      <c r="T12" t="n">
        <v>90</v>
      </c>
      <c r="U12" t="inlineStr">
        <is>
          <t>CONSIDER</t>
        </is>
      </c>
      <c r="V12" t="inlineStr">
        <is>
          <t>CONSIDER</t>
        </is>
      </c>
      <c r="W12" t="inlineStr">
        <is>
          <t>Crypto domain experience</t>
        </is>
      </c>
      <c r="X12" t="inlineStr">
        <is>
          <t>Default Full Stack &amp; Software Engineering Resume</t>
        </is>
      </c>
      <c r="Y12" t="inlineStr">
        <is>
          <t>2026-09-12</t>
        </is>
      </c>
      <c r="Z12" t="inlineStr">
        <is>
          <t>Coinbase is a top-tier tech company offering high opportunity quality.; Remote work flexibility.; Role aligns well with Software Engineering and Full Stack targets.</t>
        </is>
      </c>
      <c r="AA12" t="inlineStr">
        <is>
          <t>ELIGIBLE</t>
        </is>
      </c>
      <c r="AB12" t="inlineStr">
        <is>
          <t>Candidate is an MCA student at PES University matching software engineering profile.; Remote work mode aligns well with candidate preferences.</t>
        </is>
      </c>
      <c r="AC12" t="inlineStr">
        <is>
          <t>UNKNOWN</t>
        </is>
      </c>
      <c r="AD12" t="inlineStr">
        <is>
          <t>Availability start date is not specified in the JD.</t>
        </is>
      </c>
      <c r="AE12" t="inlineStr">
        <is>
          <t>DISCLOSED</t>
        </is>
      </c>
      <c r="AF12" t="n">
        <v>20833</v>
      </c>
      <c r="AG12" t="inlineStr">
        <is>
          <t>No</t>
        </is>
      </c>
      <c r="AH12" t="inlineStr">
        <is>
          <t>UNKNOWN</t>
        </is>
      </c>
      <c r="AI12" t="inlineStr">
        <is>
          <t>No explicit mention of PPO or conversion to full-time in the brief job description provided.</t>
        </is>
      </c>
      <c r="AL12" t="inlineStr">
        <is>
          <t>Web technologies and scalability; DSA and problem-solving; Crypto domain interest and basic understanding; Past projects like StaySphere or Contexa architecture</t>
        </is>
      </c>
    </row>
    <row r="13">
      <c r="A13" t="inlineStr">
        <is>
          <t>REALME-260912-12</t>
        </is>
      </c>
      <c r="B13" t="inlineStr">
        <is>
          <t>RealMe</t>
        </is>
      </c>
      <c r="C13" t="inlineStr">
        <is>
          <t>Software Engineer - Intern</t>
        </is>
      </c>
      <c r="D13" t="inlineStr">
        <is>
          <t>https://in.jooble.org/desc/7400619691248103067?ckey=software+engineer+intern&amp;rgn=158289&amp;pos=2&amp;elckey=6777369812705344748&amp;p=1&amp;aq=5387186196911128999&amp;cid=389&amp;jobAge=37&amp;brelb=10&amp;bscr=951.6597&amp;scr=951.6597</t>
        </is>
      </c>
      <c r="E13" t="inlineStr">
        <is>
          <t>AI Analyzer</t>
        </is>
      </c>
      <c r="F13" t="inlineStr">
        <is>
          <t>Remote</t>
        </is>
      </c>
      <c r="G13" t="inlineStr">
        <is>
          <t>Work from Home</t>
        </is>
      </c>
      <c r="H13" t="inlineStr">
        <is>
          <t>Not specified</t>
        </is>
      </c>
      <c r="I13" t="inlineStr">
        <is>
          <t>Not specified</t>
        </is>
      </c>
      <c r="J13" t="inlineStr">
        <is>
          <t>Not Mentioned</t>
        </is>
      </c>
      <c r="K13" t="inlineStr">
        <is>
          <t>Software Engineering</t>
        </is>
      </c>
      <c r="L13" t="inlineStr">
        <is>
          <t>AI tools and models</t>
        </is>
      </c>
      <c r="M13" t="inlineStr">
        <is>
          <t>&amp;nbsp;...AI isn't just our product — it's how we build. We're an AI-first &lt;b&gt;engineering &lt;/b&gt;team that uses the latest models and tooling throughout our...&amp;nbsp;&amp;nbsp;...that shapes global industrial outcomes. What You'll Do As an &lt;b&gt;intern &lt;/b&gt;at Realm, you'll work alongside full-time engineers on real features...&amp;nbsp;</t>
        </is>
      </c>
      <c r="N13" t="n">
        <v>45</v>
      </c>
      <c r="O13" t="n">
        <v>50</v>
      </c>
      <c r="P13" t="n">
        <v>60</v>
      </c>
      <c r="Q13" t="n">
        <v>60</v>
      </c>
      <c r="R13" t="n">
        <v>0</v>
      </c>
      <c r="S13" t="n">
        <v>0</v>
      </c>
      <c r="T13" t="n">
        <v>30</v>
      </c>
      <c r="U13" t="inlineStr">
        <is>
          <t>SKIP</t>
        </is>
      </c>
      <c r="V13" t="inlineStr">
        <is>
          <t>SKIP</t>
        </is>
      </c>
      <c r="X13" t="inlineStr">
        <is>
          <t>Default Full Stack / Software Engineering Resume</t>
        </is>
      </c>
      <c r="Y13" t="inlineStr">
        <is>
          <t>2026-09-12</t>
        </is>
      </c>
      <c r="Z13" t="inlineStr">
        <is>
          <t>Remote software engineering internship opportunity</t>
        </is>
      </c>
      <c r="AA13" t="inlineStr">
        <is>
          <t>Eligible</t>
        </is>
      </c>
      <c r="AB13" t="inlineStr">
        <is>
          <t>No explicit hard blockers found in the minimal job description; Work mode is remote, aligning with standard preferences</t>
        </is>
      </c>
      <c r="AC13" t="inlineStr">
        <is>
          <t>UNKNOWN</t>
        </is>
      </c>
      <c r="AD13" t="inlineStr">
        <is>
          <t>Not specified in candidate profile or job description</t>
        </is>
      </c>
      <c r="AE13" t="inlineStr">
        <is>
          <t>UNKNOWN</t>
        </is>
      </c>
      <c r="AF13" t="n">
        <v>0</v>
      </c>
      <c r="AG13" t="inlineStr">
        <is>
          <t>No</t>
        </is>
      </c>
      <c r="AH13" t="inlineStr">
        <is>
          <t>Not Mentioned</t>
        </is>
      </c>
      <c r="AI13" t="inlineStr">
        <is>
          <t>No mention of PPO or conversion in the job description snippet</t>
        </is>
      </c>
      <c r="AK13" t="inlineStr">
        <is>
          <t>Extremely sparse job description with insufficient details about tech stack and stipend</t>
        </is>
      </c>
      <c r="AL13" t="inlineStr">
        <is>
          <t>AI-first engineering practices; Past software engineering projects; Collaboration with full-time engineering teams</t>
        </is>
      </c>
    </row>
    <row r="14">
      <c r="A14" t="inlineStr">
        <is>
          <t>B2WORLD-260912-13</t>
        </is>
      </c>
      <c r="B14" t="inlineStr">
        <is>
          <t>B2World</t>
        </is>
      </c>
      <c r="C14" t="inlineStr">
        <is>
          <t>AI/ML Engineer Intern</t>
        </is>
      </c>
      <c r="D14" t="inlineStr">
        <is>
          <t>https://in.jooble.org/desc/1590376482553549484?ckey=software+engineer+intern&amp;rgn=158289&amp;pos=3&amp;elckey=6777369812705344748&amp;p=1&amp;aq=5387186196911128999&amp;cid=389&amp;jobAge=19&amp;brelb=100&amp;bscr=260.3731&amp;scr=260.3731</t>
        </is>
      </c>
      <c r="E14" t="inlineStr">
        <is>
          <t>AI Analyzer</t>
        </is>
      </c>
      <c r="F14" t="inlineStr">
        <is>
          <t>Remote</t>
        </is>
      </c>
      <c r="G14" t="inlineStr">
        <is>
          <t>Work from home</t>
        </is>
      </c>
      <c r="H14" t="inlineStr">
        <is>
          <t>Not specified</t>
        </is>
      </c>
      <c r="I14" t="inlineStr">
        <is>
          <t>Unknown</t>
        </is>
      </c>
      <c r="J14" t="inlineStr">
        <is>
          <t>not_mentioned</t>
        </is>
      </c>
      <c r="K14" t="inlineStr">
        <is>
          <t>AI/ML; APIs; Web and Software Applications; AI Solutions Deployment</t>
        </is>
      </c>
      <c r="M14" t="inlineStr">
        <is>
          <t>&amp;nbsp;...Internship: B2World is looking for passionate and motivated AI/ML &lt;b&gt;Engineer Interns &lt;/b&gt; who are interested in building real-world Artificial...&amp;nbsp;&amp;nbsp;...metrics. Develop AI/ML APIs and integrate models with web and &lt;b&gt;software &lt;/b&gt;applications. Assist in deploying AI solutions into...&amp;nbsp;</t>
        </is>
      </c>
      <c r="N14" t="n">
        <v>38</v>
      </c>
      <c r="O14" t="n">
        <v>40</v>
      </c>
      <c r="P14" t="n">
        <v>50</v>
      </c>
      <c r="Q14" t="n">
        <v>50</v>
      </c>
      <c r="R14" t="n">
        <v>0</v>
      </c>
      <c r="S14" t="n">
        <v>0</v>
      </c>
      <c r="T14" t="n">
        <v>40</v>
      </c>
      <c r="U14" t="inlineStr">
        <is>
          <t>SKIP</t>
        </is>
      </c>
      <c r="V14" t="inlineStr">
        <is>
          <t>SKIP</t>
        </is>
      </c>
      <c r="W14" t="inlineStr">
        <is>
          <t>AI/ML Engineering; Model Deployment</t>
        </is>
      </c>
      <c r="X14" t="inlineStr">
        <is>
          <t>Amaan_Ahmed_Software_Engineering_Resume.pdf</t>
        </is>
      </c>
      <c r="Y14" t="inlineStr">
        <is>
          <t>2026-09-12</t>
        </is>
      </c>
      <c r="Z14" t="inlineStr">
        <is>
          <t>Remote AI/ML internship opportunity</t>
        </is>
      </c>
      <c r="AA14" t="inlineStr">
        <is>
          <t>eligible</t>
        </is>
      </c>
      <c r="AB14" t="inlineStr">
        <is>
          <t>Remote work mode aligns with candidate preferences; No explicit degree or graduation year blockers mentioned in the description</t>
        </is>
      </c>
      <c r="AC14" t="inlineStr">
        <is>
          <t>unknown</t>
        </is>
      </c>
      <c r="AD14" t="inlineStr">
        <is>
          <t>Candidate availability details are not provided in the career brain.</t>
        </is>
      </c>
      <c r="AE14" t="inlineStr">
        <is>
          <t>unknown</t>
        </is>
      </c>
      <c r="AF14" t="n">
        <v>0</v>
      </c>
      <c r="AG14" t="inlineStr">
        <is>
          <t>No</t>
        </is>
      </c>
      <c r="AH14" t="inlineStr">
        <is>
          <t>not_mentioned</t>
        </is>
      </c>
      <c r="AI14" t="inlineStr">
        <is>
          <t>No mention of PPO or conversion to full-time role in the job description.</t>
        </is>
      </c>
      <c r="AK14" t="inlineStr">
        <is>
          <t>Missing stipend information; No PPO details mentioned; Company name barely visible (B2World)</t>
        </is>
      </c>
      <c r="AL14" t="inlineStr">
        <is>
          <t>Python fundamentals; Machine learning model integration with web APIs; Deploying AI solutions</t>
        </is>
      </c>
    </row>
    <row r="15">
      <c r="A15" t="inlineStr">
        <is>
          <t>SAFFRONBIZZ--260912-14</t>
        </is>
      </c>
      <c r="B15" t="inlineStr">
        <is>
          <t>Saffronbizz Solutions</t>
        </is>
      </c>
      <c r="C15" t="inlineStr">
        <is>
          <t>Software Developer Intern</t>
        </is>
      </c>
      <c r="D15" t="inlineStr">
        <is>
          <t>https://in.jooble.org/desc/-6825957623175668188?ckey=software+development+intern&amp;rgn=3193&amp;pos=3&amp;elckey=1113068979896720873&amp;p=1&amp;aq=-1835080659113362399&amp;cid=389&amp;jobAge=229&amp;brelb=10&amp;bscr=1670.6622&amp;scr=1670.6622</t>
        </is>
      </c>
      <c r="E15" t="inlineStr">
        <is>
          <t>AI Analyzer</t>
        </is>
      </c>
      <c r="F15" t="inlineStr">
        <is>
          <t>Bangalore</t>
        </is>
      </c>
      <c r="G15" t="inlineStr">
        <is>
          <t>UNKNOWN</t>
        </is>
      </c>
      <c r="H15" t="inlineStr">
        <is>
          <t>Rs 2 - 5 lakhs p.a.</t>
        </is>
      </c>
      <c r="I15" t="inlineStr">
        <is>
          <t>UNKNOWN</t>
        </is>
      </c>
      <c r="J15" t="inlineStr">
        <is>
          <t>NOT_MENTIONED</t>
        </is>
      </c>
      <c r="K15" t="inlineStr">
        <is>
          <t>Software Development</t>
        </is>
      </c>
      <c r="L15" t="inlineStr">
        <is>
          <t>Agile</t>
        </is>
      </c>
      <c r="M15" t="inlineStr">
        <is>
          <t>&amp;nbsp;...Job description As a &lt;b&gt;Software &lt;/b&gt;Developer &lt;b&gt;Intern,&lt;/b&gt; you will: Work alongside our experienced software developers on one of our small, energetic &lt;b&gt;development &lt;/b&gt;teams. Learn the process of software development using modern languages like Agile to help full-time work in designing...&amp;nbsp;</t>
        </is>
      </c>
      <c r="N15" t="n">
        <v>65</v>
      </c>
      <c r="O15" t="n">
        <v>70</v>
      </c>
      <c r="P15" t="n">
        <v>70</v>
      </c>
      <c r="Q15" t="n">
        <v>80</v>
      </c>
      <c r="R15" t="n">
        <v>40</v>
      </c>
      <c r="S15" t="n">
        <v>60</v>
      </c>
      <c r="T15" t="n">
        <v>50</v>
      </c>
      <c r="U15" t="inlineStr">
        <is>
          <t>STRETCH</t>
        </is>
      </c>
      <c r="V15" t="inlineStr">
        <is>
          <t>STRETCH</t>
        </is>
      </c>
      <c r="X15" t="inlineStr">
        <is>
          <t>Default Full Stack / Software Engineering Resume</t>
        </is>
      </c>
      <c r="Y15" t="inlineStr">
        <is>
          <t>2026-09-12</t>
        </is>
      </c>
      <c r="Z15" t="inlineStr">
        <is>
          <t>Matches target Software Engineering internship role; Located in Bangalore</t>
        </is>
      </c>
      <c r="AA15" t="inlineStr">
        <is>
          <t>ELIGIBLE</t>
        </is>
      </c>
      <c r="AB15" t="inlineStr">
        <is>
          <t>Candidate is pursuing MCA at PES University and fits the general intern profile.</t>
        </is>
      </c>
      <c r="AC15" t="inlineStr">
        <is>
          <t>UNKNOWN</t>
        </is>
      </c>
      <c r="AD15" t="inlineStr">
        <is>
          <t>Availability requirements not specified in JD.</t>
        </is>
      </c>
      <c r="AE15" t="inlineStr">
        <is>
          <t>DISCLOSED</t>
        </is>
      </c>
      <c r="AF15" t="n">
        <v>16666</v>
      </c>
      <c r="AG15" t="inlineStr">
        <is>
          <t>No</t>
        </is>
      </c>
      <c r="AH15" t="inlineStr">
        <is>
          <t>NOT_MENTIONED</t>
        </is>
      </c>
      <c r="AI15" t="inlineStr">
        <is>
          <t>No mention of PPO or conversion to full-time.</t>
        </is>
      </c>
      <c r="AK15" t="inlineStr">
        <is>
          <t>Vague job description with minimal technical details</t>
        </is>
      </c>
      <c r="AL15" t="inlineStr">
        <is>
          <t>Basic programming concepts; Agile methodology; Projects built by candidate</t>
        </is>
      </c>
    </row>
    <row r="16">
      <c r="A16" t="inlineStr">
        <is>
          <t>CHAI-POINT-260912-15</t>
        </is>
      </c>
      <c r="B16" t="inlineStr">
        <is>
          <t>Chai Point</t>
        </is>
      </c>
      <c r="C16" t="inlineStr">
        <is>
          <t>Software Development Engineering (Web) Internship</t>
        </is>
      </c>
      <c r="D16" t="inlineStr">
        <is>
          <t>https://in.jooble.org/desc/2483334524981365185?ckey=software+development+intern&amp;rgn=3193&amp;pos=4&amp;elckey=1113068979896720873&amp;p=1&amp;aq=-1835080659113362399&amp;cid=389&amp;jobAge=469&amp;brelb=10&amp;bscr=1613.2017&amp;scr=1613.2017</t>
        </is>
      </c>
      <c r="E16" t="inlineStr">
        <is>
          <t>AI Analyzer</t>
        </is>
      </c>
      <c r="F16" t="inlineStr">
        <is>
          <t>Bangalore</t>
        </is>
      </c>
      <c r="G16" t="inlineStr">
        <is>
          <t>UNKNOWN</t>
        </is>
      </c>
      <c r="H16" t="inlineStr">
        <is>
          <t>Not specified</t>
        </is>
      </c>
      <c r="I16" t="inlineStr">
        <is>
          <t>UNKNOWN</t>
        </is>
      </c>
      <c r="J16" t="inlineStr">
        <is>
          <t>UNKNOWN</t>
        </is>
      </c>
      <c r="M16" t="inlineStr">
        <is>
          <t>&amp;nbsp;...&lt;b&gt;Intern'&lt;/b&gt;s Day-to-day Responsibilities Include Assist with &lt;b&gt;development &lt;/b&gt;and implementation activities. Support QA, testing, and bug identification. Prepare and maintain technical documentation. Explore and support AI adoption and AI-driven initiatives. About Company...&amp;nbsp;</t>
        </is>
      </c>
      <c r="N16" t="n">
        <v>35</v>
      </c>
      <c r="O16" t="n">
        <v>40</v>
      </c>
      <c r="P16" t="n">
        <v>50</v>
      </c>
      <c r="Q16" t="n">
        <v>50</v>
      </c>
      <c r="R16" t="n">
        <v>0</v>
      </c>
      <c r="S16" t="n">
        <v>0</v>
      </c>
      <c r="T16" t="n">
        <v>30</v>
      </c>
      <c r="U16" t="inlineStr">
        <is>
          <t>SKIP</t>
        </is>
      </c>
      <c r="V16" t="inlineStr">
        <is>
          <t>SKIP</t>
        </is>
      </c>
      <c r="X16" t="inlineStr">
        <is>
          <t>Amaanuddin_Ahmed_Software_Engineer_Resume.pdf</t>
        </is>
      </c>
      <c r="Y16" t="inlineStr">
        <is>
          <t>2026-09-12</t>
        </is>
      </c>
      <c r="AA16" t="inlineStr">
        <is>
          <t>ELIGIBLE</t>
        </is>
      </c>
      <c r="AC16" t="inlineStr">
        <is>
          <t>UNKNOWN</t>
        </is>
      </c>
      <c r="AD16" t="inlineStr">
        <is>
          <t>Candidate availability details are not specified.</t>
        </is>
      </c>
      <c r="AE16" t="inlineStr">
        <is>
          <t>UNKNOWN</t>
        </is>
      </c>
      <c r="AF16" t="n">
        <v>0</v>
      </c>
      <c r="AG16" t="inlineStr">
        <is>
          <t>No</t>
        </is>
      </c>
      <c r="AH16" t="inlineStr">
        <is>
          <t>UNKNOWN</t>
        </is>
      </c>
      <c r="AI16" t="inlineStr">
        <is>
          <t>No mention of PPO or conversion in the job description.</t>
        </is>
      </c>
      <c r="AK16" t="inlineStr">
        <is>
          <t>Extremely vague job description with no concrete tech stack or requirements provided</t>
        </is>
      </c>
      <c r="AL16" t="inlineStr">
        <is>
          <t>Web Development Fundamentals; Testing and QA processes; AI adoption and implementation</t>
        </is>
      </c>
    </row>
    <row r="17">
      <c r="A17" t="inlineStr">
        <is>
          <t>OUTBOX.VC-260912-16</t>
        </is>
      </c>
      <c r="B17" t="inlineStr">
        <is>
          <t>Outbox.vc</t>
        </is>
      </c>
      <c r="C17" t="inlineStr">
        <is>
          <t>Software Developer - Intern</t>
        </is>
      </c>
      <c r="D17" t="inlineStr">
        <is>
          <t>https://in.jooble.org/desc/5089802996613037634?ckey=software+development+intern&amp;rgn=3193&amp;pos=5&amp;elckey=1113068979896720873&amp;p=1&amp;aq=-1835080659113362399&amp;cid=389&amp;jobAge=5845&amp;brelb=100&amp;bscr=1576.2178&amp;scr=1576.2178</t>
        </is>
      </c>
      <c r="E17" t="inlineStr">
        <is>
          <t>AI Analyzer</t>
        </is>
      </c>
      <c r="F17" t="inlineStr">
        <is>
          <t>Bangalore</t>
        </is>
      </c>
      <c r="G17" t="inlineStr">
        <is>
          <t>Unknown</t>
        </is>
      </c>
      <c r="H17" t="inlineStr">
        <is>
          <t>Rs 30000 - Rs 35000 per month</t>
        </is>
      </c>
      <c r="I17" t="inlineStr">
        <is>
          <t>Unknown</t>
        </is>
      </c>
      <c r="J17" t="inlineStr">
        <is>
          <t>UNKNOWN</t>
        </is>
      </c>
      <c r="K17" t="inlineStr">
        <is>
          <t>Node.js; TypeScript; Git; MySQL</t>
        </is>
      </c>
      <c r="M17" t="inlineStr">
        <is>
          <t>&amp;nbsp;...Job Description We are seeking SDE &lt;b&gt;Interns,&lt;/b&gt; talented individuals with strong knowledge of NodeJS, Typescript, Git and MySQL to...&amp;nbsp;&amp;nbsp;...opportunity to work on cutting-edge technologies and contribute to the &lt;b&gt;development &lt;/b&gt;of our innovative outbound marketing system. If you are...&amp;nbsp;</t>
        </is>
      </c>
      <c r="N17" t="n">
        <v>79</v>
      </c>
      <c r="O17" t="n">
        <v>22</v>
      </c>
      <c r="P17" t="n">
        <v>20</v>
      </c>
      <c r="Q17" t="n">
        <v>15</v>
      </c>
      <c r="R17" t="n">
        <v>5</v>
      </c>
      <c r="S17" t="n">
        <v>10</v>
      </c>
      <c r="T17" t="n">
        <v>7</v>
      </c>
      <c r="U17" t="inlineStr">
        <is>
          <t>CONSIDER</t>
        </is>
      </c>
      <c r="V17" t="inlineStr">
        <is>
          <t>CONSIDER</t>
        </is>
      </c>
      <c r="W17" t="inlineStr">
        <is>
          <t>TypeScript</t>
        </is>
      </c>
      <c r="X17" t="inlineStr">
        <is>
          <t>Default Full Stack / Backend Resume</t>
        </is>
      </c>
      <c r="Y17" t="inlineStr">
        <is>
          <t>2026-09-12</t>
        </is>
      </c>
      <c r="Z17" t="inlineStr">
        <is>
          <t>Stipend of ₹30,000 - ₹35,000/month meets the minimum target of ₹25,000/month.; Matches core backend stack requirements like Node.js, MySQL, and Git.; Location is Bangalore, aligning well with the tech hub.</t>
        </is>
      </c>
      <c r="AA17" t="inlineStr">
        <is>
          <t>ELIGIBLE</t>
        </is>
      </c>
      <c r="AB17" t="inlineStr">
        <is>
          <t>No degree or graduation year hard blockers mentioned in the JD.</t>
        </is>
      </c>
      <c r="AC17" t="inlineStr">
        <is>
          <t>UNKNOWN</t>
        </is>
      </c>
      <c r="AD17" t="inlineStr">
        <is>
          <t>Availability not specified in career brain or job description.</t>
        </is>
      </c>
      <c r="AE17" t="inlineStr">
        <is>
          <t>EXPLICIT</t>
        </is>
      </c>
      <c r="AF17" t="n">
        <v>30000</v>
      </c>
      <c r="AG17" t="inlineStr">
        <is>
          <t>No</t>
        </is>
      </c>
      <c r="AH17" t="inlineStr">
        <is>
          <t>UNKNOWN</t>
        </is>
      </c>
      <c r="AI17" t="inlineStr">
        <is>
          <t>No explicit mention of PPO or conversion to full-time role in the job description.</t>
        </is>
      </c>
      <c r="AL17" t="inlineStr">
        <is>
          <t>Node.js architecture and asynchronous programming; TypeScript fundamentals and migration; MySQL query optimization and database design; Git version control and branching workflows</t>
        </is>
      </c>
    </row>
    <row r="18">
      <c r="A18" t="inlineStr">
        <is>
          <t>FRIDAY-MEDIA-260912-17</t>
        </is>
      </c>
      <c r="B18" t="inlineStr">
        <is>
          <t>friday media tech india (fmg)</t>
        </is>
      </c>
      <c r="C18" t="inlineStr">
        <is>
          <t>Software Engineer Intern</t>
        </is>
      </c>
      <c r="D18" t="inlineStr">
        <is>
          <t>https://in.jooble.org/desc/-5404656752169186420?ckey=software+development+intern&amp;rgn=3193&amp;pos=6&amp;elckey=1113068979896720873&amp;p=1&amp;aq=-1835080659113362399&amp;cid=389&amp;jobAge=277&amp;brelb=10&amp;bscr=1557.1575&amp;scr=1557.1575</t>
        </is>
      </c>
      <c r="E18" t="inlineStr">
        <is>
          <t>AI Analyzer</t>
        </is>
      </c>
      <c r="F18" t="inlineStr">
        <is>
          <t>Bangalore</t>
        </is>
      </c>
      <c r="G18" t="inlineStr">
        <is>
          <t>UNKNOWN</t>
        </is>
      </c>
      <c r="H18" t="inlineStr">
        <is>
          <t>Not specified</t>
        </is>
      </c>
      <c r="I18" t="inlineStr">
        <is>
          <t>UNKNOWN</t>
        </is>
      </c>
      <c r="J18" t="inlineStr">
        <is>
          <t>NOT_MENTIONED</t>
        </is>
      </c>
      <c r="K18" t="inlineStr">
        <is>
          <t>modern web technologies; frameworks</t>
        </is>
      </c>
      <c r="M18" t="inlineStr">
        <is>
          <t>&amp;nbsp;...Job Description We are looking for a passionate and driven &lt;b&gt;Software &lt;/b&gt;Engineer &lt;b&gt;Intern &lt;/b&gt; to join our &lt;b&gt;development &lt;/b&gt;team. You will get hands-on experience working on real-world projects using modern web technologies and frameworks. This internship is ideal for candidates eager...&amp;nbsp;</t>
        </is>
      </c>
      <c r="N18" t="n">
        <v>64</v>
      </c>
      <c r="O18" t="n">
        <v>20</v>
      </c>
      <c r="P18" t="n">
        <v>15</v>
      </c>
      <c r="Q18" t="n">
        <v>15</v>
      </c>
      <c r="R18" t="n">
        <v>5</v>
      </c>
      <c r="S18" t="n">
        <v>5</v>
      </c>
      <c r="T18" t="n">
        <v>4</v>
      </c>
      <c r="U18" t="inlineStr">
        <is>
          <t>STRETCH</t>
        </is>
      </c>
      <c r="V18" t="inlineStr">
        <is>
          <t>STRETCH</t>
        </is>
      </c>
      <c r="X18" t="inlineStr">
        <is>
          <t>Amaanuddin_Ahmed_Full_Stack_Resume.pdf</t>
        </is>
      </c>
      <c r="Y18" t="inlineStr">
        <is>
          <t>2026-09-12</t>
        </is>
      </c>
      <c r="Z18" t="inlineStr">
        <is>
          <t>Matches general software engineering and web development target roles.; Located in Bangalore.</t>
        </is>
      </c>
      <c r="AA18" t="inlineStr">
        <is>
          <t>ELIGIBLE</t>
        </is>
      </c>
      <c r="AB18" t="inlineStr">
        <is>
          <t>No explicit hard blockers found in the brief job description.</t>
        </is>
      </c>
      <c r="AC18" t="inlineStr">
        <is>
          <t>UNKNOWN</t>
        </is>
      </c>
      <c r="AD18" t="inlineStr">
        <is>
          <t>Candidate availability details are not provided in the career brain.</t>
        </is>
      </c>
      <c r="AE18" t="inlineStr">
        <is>
          <t>UNKNOWN</t>
        </is>
      </c>
      <c r="AF18" t="n">
        <v>0</v>
      </c>
      <c r="AG18" t="inlineStr">
        <is>
          <t>No</t>
        </is>
      </c>
      <c r="AH18" t="inlineStr">
        <is>
          <t>NOT_MENTIONED</t>
        </is>
      </c>
      <c r="AI18" t="inlineStr">
        <is>
          <t>No mention of PPO or conversion in the job description.</t>
        </is>
      </c>
      <c r="AK18" t="inlineStr">
        <is>
          <t>Extremely vague job description with very few details provided.</t>
        </is>
      </c>
      <c r="AL18" t="inlineStr">
        <is>
          <t>Web Development fundamentals; JavaScript frameworks; Past projects discussion (StaySphere/Zenvest)</t>
        </is>
      </c>
    </row>
    <row r="19">
      <c r="A19" t="inlineStr">
        <is>
          <t>NXTWAVE-DISR-260912-18</t>
        </is>
      </c>
      <c r="B19" t="inlineStr">
        <is>
          <t>Nxtwave Disruptive Technologies Private Limited</t>
        </is>
      </c>
      <c r="C19" t="inlineStr">
        <is>
          <t>MERN Developer - Intern</t>
        </is>
      </c>
      <c r="D19" t="inlineStr">
        <is>
          <t>https://in.jooble.org/desc/7218822007534742956?ckey=software+development+intern&amp;rgn=3193&amp;pos=8&amp;elckey=1113068979896720873&amp;p=1&amp;aq=-1835080659113362399&amp;cid=389&amp;jobAge=229&amp;brelb=10&amp;bscr=1497.171&amp;scr=1497.171</t>
        </is>
      </c>
      <c r="E19" t="inlineStr">
        <is>
          <t>AI Analyzer</t>
        </is>
      </c>
      <c r="F19" t="inlineStr">
        <is>
          <t>Bangalore</t>
        </is>
      </c>
      <c r="G19" t="inlineStr">
        <is>
          <t>Unknown</t>
        </is>
      </c>
      <c r="H19" t="inlineStr">
        <is>
          <t>20,000/month</t>
        </is>
      </c>
      <c r="I19" t="inlineStr">
        <is>
          <t>6 Months</t>
        </is>
      </c>
      <c r="J19" t="inlineStr">
        <is>
          <t>EXPLICIT</t>
        </is>
      </c>
      <c r="K19" t="inlineStr">
        <is>
          <t>MERN; MongoDB; Express.js; React.js; Node.js</t>
        </is>
      </c>
      <c r="M19" t="inlineStr">
        <is>
          <t>&amp;nbsp;...MERN Developer – Internship + Full-Time Opportunity Apply Link: Apply Here Role: MERN Developer – &lt;b&gt;Intern &lt;/b&gt; Job Type: Internship + Full-Time Location: Bangalore CTC: 3.6 – 4.2 LPA Internship Duration: 6 Months Internship Stipend: 20,000/month...&amp;nbsp;</t>
        </is>
      </c>
      <c r="N19" t="n">
        <v>94</v>
      </c>
      <c r="O19" t="n">
        <v>30</v>
      </c>
      <c r="P19" t="n">
        <v>20</v>
      </c>
      <c r="Q19" t="n">
        <v>15</v>
      </c>
      <c r="R19" t="n">
        <v>15</v>
      </c>
      <c r="S19" t="n">
        <v>6</v>
      </c>
      <c r="T19" t="n">
        <v>8</v>
      </c>
      <c r="U19" t="inlineStr">
        <is>
          <t>APPLY ASAP</t>
        </is>
      </c>
      <c r="V19" t="inlineStr">
        <is>
          <t>APPLY ASAP</t>
        </is>
      </c>
      <c r="X19" t="inlineStr">
        <is>
          <t>Default Full Stack / MERN Resume</t>
        </is>
      </c>
      <c r="Y19" t="inlineStr">
        <is>
          <t>2026-09-12</t>
        </is>
      </c>
      <c r="Z19" t="inlineStr">
        <is>
          <t>Exact match for MERN stack role matching core candidate projects like StaySphere; Explicit internship + full-time conversion opportunity with clear post-internship CTC; Bangalore location matches preferences</t>
        </is>
      </c>
      <c r="AA19" t="inlineStr">
        <is>
          <t>ELIGIBLE</t>
        </is>
      </c>
      <c r="AC19" t="inlineStr">
        <is>
          <t>UNKNOWN</t>
        </is>
      </c>
      <c r="AD19" t="inlineStr">
        <is>
          <t>Availability timeline not specified in candidate profile</t>
        </is>
      </c>
      <c r="AE19" t="inlineStr">
        <is>
          <t>KNOWN</t>
        </is>
      </c>
      <c r="AF19" t="n">
        <v>20000</v>
      </c>
      <c r="AG19" t="inlineStr">
        <is>
          <t>No</t>
        </is>
      </c>
      <c r="AH19" t="inlineStr">
        <is>
          <t>EXPLICIT</t>
        </is>
      </c>
      <c r="AI19" t="inlineStr">
        <is>
          <t>Internship + Full-Time Opportunity / CTC: 3.6 – 4.2 LPA</t>
        </is>
      </c>
      <c r="AL19" t="inlineStr">
        <is>
          <t>MERN Stack Architecture; React State Management; Node.js &amp; Express REST APIs; MongoDB Schema Design and Optimization</t>
        </is>
      </c>
      <c r="AM19" t="inlineStr">
        <is>
          <t>E:\InternshipHunter\applications\jooble-41ab251bcf35</t>
        </is>
      </c>
      <c r="AN19" t="inlineStr">
        <is>
          <t>Ready for Review</t>
        </is>
      </c>
      <c r="AO19" t="inlineStr">
        <is>
          <t>Generated</t>
        </is>
      </c>
      <c r="AP19" t="inlineStr">
        <is>
          <t>Generated</t>
        </is>
      </c>
      <c r="AQ19" t="inlineStr">
        <is>
          <t>Generated</t>
        </is>
      </c>
      <c r="AR19" t="inlineStr">
        <is>
          <t>Ready to Apply</t>
        </is>
      </c>
    </row>
    <row r="20">
      <c r="A20" t="inlineStr">
        <is>
          <t>DODO-PAYMENT-260912-19</t>
        </is>
      </c>
      <c r="B20" t="inlineStr">
        <is>
          <t>dodo payments</t>
        </is>
      </c>
      <c r="C20" t="inlineStr">
        <is>
          <t>Developer Relations Intern</t>
        </is>
      </c>
      <c r="D20" t="inlineStr">
        <is>
          <t>https://in.jooble.org/desc/-6984745115447187577?ckey=software+development+intern&amp;rgn=3193&amp;pos=9&amp;elckey=1113068979896720873&amp;p=1&amp;aq=-1835080659113362399&amp;cid=389&amp;jobAge=109&amp;brelb=10&amp;bscr=1454.342&amp;scr=1454.342</t>
        </is>
      </c>
      <c r="E20" t="inlineStr">
        <is>
          <t>AI Analyzer</t>
        </is>
      </c>
      <c r="F20" t="inlineStr">
        <is>
          <t>Bangalore</t>
        </is>
      </c>
      <c r="G20" t="inlineStr">
        <is>
          <t>UNKNOWN</t>
        </is>
      </c>
      <c r="H20" t="inlineStr">
        <is>
          <t>UNKNOWN</t>
        </is>
      </c>
      <c r="I20" t="inlineStr">
        <is>
          <t>UNKNOWN</t>
        </is>
      </c>
      <c r="J20" t="inlineStr">
        <is>
          <t>NOT MENTIONED</t>
        </is>
      </c>
      <c r="K20" t="inlineStr">
        <is>
          <t>coding; software development; apis</t>
        </is>
      </c>
      <c r="L20" t="inlineStr">
        <is>
          <t>communication; management; crm systems; technical support; documentation; community engagement; workflow</t>
        </is>
      </c>
      <c r="M20" t="inlineStr">
        <is>
          <t>&amp;nbsp;...About Us Dodo Payments is an &lt;b&gt;international &lt;/b&gt;payments platform (Merchant-of-record) that enables digital-first businesses to collect...&amp;nbsp;&amp;nbsp;...communication,management,coding,crm systems,technical support,&lt;b&gt;software development,&lt;/b&gt;apis,documentation,community engagement,workflow...&amp;nbsp;</t>
        </is>
      </c>
      <c r="N20" t="n">
        <v>46</v>
      </c>
      <c r="O20" t="n">
        <v>60</v>
      </c>
      <c r="P20" t="n">
        <v>70</v>
      </c>
      <c r="Q20" t="n">
        <v>50</v>
      </c>
      <c r="R20" t="n">
        <v>0</v>
      </c>
      <c r="S20" t="n">
        <v>0</v>
      </c>
      <c r="T20" t="n">
        <v>40</v>
      </c>
      <c r="U20" t="inlineStr">
        <is>
          <t>SKIP</t>
        </is>
      </c>
      <c r="V20" t="inlineStr">
        <is>
          <t>SKIP</t>
        </is>
      </c>
      <c r="W20" t="inlineStr">
        <is>
          <t>crm systems; technical support; community engagement; documentation</t>
        </is>
      </c>
      <c r="X20" t="inlineStr">
        <is>
          <t>Default Full Stack / Software Engineering Resume</t>
        </is>
      </c>
      <c r="Y20" t="inlineStr">
        <is>
          <t>2026-09-12</t>
        </is>
      </c>
      <c r="Z20" t="inlineStr">
        <is>
          <t>Located in Bangalore; Matches basic software development background</t>
        </is>
      </c>
      <c r="AA20" t="inlineStr">
        <is>
          <t>UNKNOWN</t>
        </is>
      </c>
      <c r="AC20" t="inlineStr">
        <is>
          <t>UNKNOWN</t>
        </is>
      </c>
      <c r="AD20" t="inlineStr">
        <is>
          <t>Not specified in JD</t>
        </is>
      </c>
      <c r="AE20" t="inlineStr">
        <is>
          <t>UNKNOWN</t>
        </is>
      </c>
      <c r="AF20" t="n">
        <v>0</v>
      </c>
      <c r="AG20" t="inlineStr">
        <is>
          <t>No</t>
        </is>
      </c>
      <c r="AH20" t="inlineStr">
        <is>
          <t>NOT MENTIONED</t>
        </is>
      </c>
      <c r="AI20" t="inlineStr">
        <is>
          <t>No mention of PPO or conversion in the job description.</t>
        </is>
      </c>
      <c r="AK20" t="inlineStr">
        <is>
          <t>Incomplete job description with very limited detail; Stipend not disclosed; Role leans towards Developer Relations/Community rather than core Software Engineering</t>
        </is>
      </c>
      <c r="AL20" t="inlineStr">
        <is>
          <t>API documentation and developer support experience; Experience with community engagement or developer advocacy; Basic coding and software development fundamentals</t>
        </is>
      </c>
    </row>
    <row r="21">
      <c r="A21" t="inlineStr">
        <is>
          <t>WEEKDAY-(YC--260912-20</t>
        </is>
      </c>
      <c r="B21" t="inlineStr">
        <is>
          <t>weekday (yc w21)</t>
        </is>
      </c>
      <c r="C21" t="inlineStr">
        <is>
          <t>Software Engineer Intern</t>
        </is>
      </c>
      <c r="D21" t="inlineStr">
        <is>
          <t>https://in.jooble.org/desc/-455657989072061680?ckey=software+development+intern&amp;rgn=3193&amp;pos=10&amp;elckey=1113068979896720873&amp;p=1&amp;aq=-1835080659113362399&amp;cid=389&amp;jobAge=493&amp;brelb=10&amp;bscr=1445.2823&amp;scr=1445.2823</t>
        </is>
      </c>
      <c r="E21" t="inlineStr">
        <is>
          <t>AI Analyzer</t>
        </is>
      </c>
      <c r="F21" t="inlineStr">
        <is>
          <t>Bangalore</t>
        </is>
      </c>
      <c r="G21" t="inlineStr">
        <is>
          <t>Unknown</t>
        </is>
      </c>
      <c r="H21" t="inlineStr">
        <is>
          <t>Not specified</t>
        </is>
      </c>
      <c r="I21" t="inlineStr">
        <is>
          <t>Unknown</t>
        </is>
      </c>
      <c r="J21" t="inlineStr">
        <is>
          <t>Not Mentioned</t>
        </is>
      </c>
      <c r="M21" t="inlineStr">
        <is>
          <t>&amp;nbsp;...This role is for one of our clients Industry: &lt;b&gt;Software Development &lt;/b&gt; Seniority level: Junior - Entry Level Min Experience: 0 years Location...&amp;nbsp;&amp;nbsp;...are looking for a motivated and curious Software Engineering &lt;b&gt;Intern &lt;/b&gt;to join the team. This is a hands-on role where you'll work...&amp;nbsp;</t>
        </is>
      </c>
      <c r="N21" t="n">
        <v>67</v>
      </c>
      <c r="O21" t="n">
        <v>70</v>
      </c>
      <c r="P21" t="n">
        <v>90</v>
      </c>
      <c r="Q21" t="n">
        <v>80</v>
      </c>
      <c r="R21" t="n">
        <v>50</v>
      </c>
      <c r="S21" t="n">
        <v>40</v>
      </c>
      <c r="T21" t="n">
        <v>60</v>
      </c>
      <c r="U21" t="inlineStr">
        <is>
          <t>STRETCH</t>
        </is>
      </c>
      <c r="V21" t="inlineStr">
        <is>
          <t>STRETCH</t>
        </is>
      </c>
      <c r="X21" t="inlineStr">
        <is>
          <t>Default Full Stack / Software Engineering Resume</t>
        </is>
      </c>
      <c r="Y21" t="inlineStr">
        <is>
          <t>2026-09-12</t>
        </is>
      </c>
      <c r="Z21" t="inlineStr">
        <is>
          <t>Matches target role of Software Engineering Intern.; Location is Bangalore, aligning with standard preferences.; Entry-level role requiring 0 years of experience.</t>
        </is>
      </c>
      <c r="AA21" t="inlineStr">
        <is>
          <t>Eligible</t>
        </is>
      </c>
      <c r="AB21" t="inlineStr">
        <is>
          <t>Minimum experience requirement is 0 years which matches student/fresher status.</t>
        </is>
      </c>
      <c r="AC21" t="inlineStr">
        <is>
          <t>Unknown</t>
        </is>
      </c>
      <c r="AD21" t="inlineStr">
        <is>
          <t>Candidate availability date not specified in the profile or context.</t>
        </is>
      </c>
      <c r="AE21" t="inlineStr">
        <is>
          <t>UNKNOWN</t>
        </is>
      </c>
      <c r="AF21" t="n">
        <v>0</v>
      </c>
      <c r="AG21" t="inlineStr">
        <is>
          <t>No</t>
        </is>
      </c>
      <c r="AH21" t="inlineStr">
        <is>
          <t>Not Mentioned</t>
        </is>
      </c>
      <c r="AI21" t="inlineStr">
        <is>
          <t>Job description does not explicitly mention PPO or conversion.</t>
        </is>
      </c>
      <c r="AK21" t="inlineStr">
        <is>
          <t>Vague job description with very few details provided.</t>
        </is>
      </c>
      <c r="AL21" t="inlineStr">
        <is>
          <t>General Software Engineering fundamentals; Problem-solving and coding basics; Past projects and hands-on experience</t>
        </is>
      </c>
    </row>
    <row r="22">
      <c r="A22" t="inlineStr">
        <is>
          <t>ECERA-SYSTEM-260912-21</t>
        </is>
      </c>
      <c r="B22" t="inlineStr">
        <is>
          <t>Ecera System</t>
        </is>
      </c>
      <c r="C22" t="inlineStr">
        <is>
          <t>Software Engineer Intern</t>
        </is>
      </c>
      <c r="D22" t="inlineStr">
        <is>
          <t>https://in.jooble.org/desc/-4076037738651150701?ckey=software+development+intern&amp;rgn=3193&amp;pos=12&amp;elckey=1113068979896720873&amp;p=1&amp;aq=-1835080659113362399&amp;cid=389&amp;jobAge=661&amp;brelb=10&amp;bscr=1416.4138&amp;scr=1416.4138</t>
        </is>
      </c>
      <c r="E22" t="inlineStr">
        <is>
          <t>AI Analyzer</t>
        </is>
      </c>
      <c r="F22" t="inlineStr">
        <is>
          <t>Bangalore</t>
        </is>
      </c>
      <c r="G22" t="inlineStr">
        <is>
          <t>Unknown</t>
        </is>
      </c>
      <c r="H22" t="inlineStr">
        <is>
          <t>Paid (Amount not specified)</t>
        </is>
      </c>
      <c r="I22" t="inlineStr">
        <is>
          <t>Unknown</t>
        </is>
      </c>
      <c r="J22" t="inlineStr">
        <is>
          <t>Unknown</t>
        </is>
      </c>
      <c r="M22" t="inlineStr">
        <is>
          <t>&amp;nbsp;...process designed to ensure high-quality placements and complete satisfaction. Role Description The &lt;b&gt;Software &lt;/b&gt;Engineer &lt;b&gt;Intern &lt;/b&gt;(Paid) will support the design, &lt;b&gt;development,&lt;/b&gt; and testing of software applications as part of a collaborative engineering team. Day-to-day tasks include...&amp;nbsp;</t>
        </is>
      </c>
      <c r="N22" t="n">
        <v>63</v>
      </c>
      <c r="O22" t="n">
        <v>70</v>
      </c>
      <c r="P22" t="n">
        <v>70</v>
      </c>
      <c r="Q22" t="n">
        <v>80</v>
      </c>
      <c r="R22" t="n">
        <v>40</v>
      </c>
      <c r="S22" t="n">
        <v>50</v>
      </c>
      <c r="T22" t="n">
        <v>50</v>
      </c>
      <c r="U22" t="inlineStr">
        <is>
          <t>STRETCH</t>
        </is>
      </c>
      <c r="V22" t="inlineStr">
        <is>
          <t>STRETCH</t>
        </is>
      </c>
      <c r="X22" t="inlineStr">
        <is>
          <t>Amaanuddin_Ahmed_Software_Engineer_Resume.pdf</t>
        </is>
      </c>
      <c r="Y22" t="inlineStr">
        <is>
          <t>2026-09-12</t>
        </is>
      </c>
      <c r="Z22" t="inlineStr">
        <is>
          <t>Matches target Software Engineering internship role in Bangalore</t>
        </is>
      </c>
      <c r="AA22" t="inlineStr">
        <is>
          <t>Eligible</t>
        </is>
      </c>
      <c r="AB22" t="inlineStr">
        <is>
          <t>Location matches target (Bangalore); Role matches target (Software Engineering)</t>
        </is>
      </c>
      <c r="AC22" t="inlineStr">
        <is>
          <t>Unknown</t>
        </is>
      </c>
      <c r="AD22" t="inlineStr">
        <is>
          <t>Not specified in candidate profile</t>
        </is>
      </c>
      <c r="AE22" t="inlineStr">
        <is>
          <t>UNKNOWN</t>
        </is>
      </c>
      <c r="AF22" t="n">
        <v>0</v>
      </c>
      <c r="AG22" t="inlineStr">
        <is>
          <t>No</t>
        </is>
      </c>
      <c r="AH22" t="inlineStr">
        <is>
          <t>Unknown</t>
        </is>
      </c>
      <c r="AI22" t="inlineStr">
        <is>
          <t>Not mentioned in the job description</t>
        </is>
      </c>
      <c r="AK22" t="inlineStr">
        <is>
          <t>Very vague job description with minimal details provided</t>
        </is>
      </c>
      <c r="AL22" t="inlineStr">
        <is>
          <t>Software development life cycle; Basic programming and problem solving; Team collaboration and engineering practices</t>
        </is>
      </c>
    </row>
    <row r="23">
      <c r="A23" t="inlineStr">
        <is>
          <t>JOVEO-260912-22</t>
        </is>
      </c>
      <c r="B23" t="inlineStr">
        <is>
          <t>Joveo</t>
        </is>
      </c>
      <c r="C23" t="inlineStr">
        <is>
          <t>Software Engineering Intern (Full Stack)</t>
        </is>
      </c>
      <c r="D23" t="inlineStr">
        <is>
          <t>https://in.jooble.org/desc/5799679831910233464?ckey=software+development+intern&amp;rgn=3193&amp;pos=13&amp;elckey=1113068979896720873&amp;p=1&amp;aq=-1835080659113362399&amp;cid=389&amp;jobAge=61&amp;brelb=10&amp;bscr=1404.4001&amp;scr=1404.4001</t>
        </is>
      </c>
      <c r="E23" t="inlineStr">
        <is>
          <t>AI Analyzer</t>
        </is>
      </c>
      <c r="F23" t="inlineStr">
        <is>
          <t>Bangalore</t>
        </is>
      </c>
      <c r="G23" t="inlineStr">
        <is>
          <t>UNKNOWN</t>
        </is>
      </c>
      <c r="H23" t="inlineStr">
        <is>
          <t>Competitive stipend</t>
        </is>
      </c>
      <c r="I23" t="inlineStr">
        <is>
          <t>UNKNOWN</t>
        </is>
      </c>
      <c r="J23" t="inlineStr">
        <is>
          <t>NOT_MENTIONED</t>
        </is>
      </c>
      <c r="K23" t="inlineStr">
        <is>
          <t>Full Stack Development; Software Development Lifecycle</t>
        </is>
      </c>
      <c r="M23" t="inlineStr">
        <is>
          <t>&amp;nbsp;...Role : &lt;b&gt;Software &lt;/b&gt;Engineering &lt;b&gt;Intern &lt;/b&gt;(Full Stack) Payout : Competitive stipend Role Overview: We are seeking a Software Engineering Intern...&amp;nbsp;&amp;nbsp;...from your first week. Contribute to the full software &lt;b&gt;development &lt;/b&gt;lifecycle including design, development, testing, and iteration...&amp;nbsp;</t>
        </is>
      </c>
      <c r="N23" t="n">
        <v>77</v>
      </c>
      <c r="O23" t="n">
        <v>27</v>
      </c>
      <c r="P23" t="n">
        <v>18</v>
      </c>
      <c r="Q23" t="n">
        <v>15</v>
      </c>
      <c r="R23" t="n">
        <v>5</v>
      </c>
      <c r="S23" t="n">
        <v>5</v>
      </c>
      <c r="T23" t="n">
        <v>7</v>
      </c>
      <c r="U23" t="inlineStr">
        <is>
          <t>CONSIDER</t>
        </is>
      </c>
      <c r="V23" t="inlineStr">
        <is>
          <t>CONSIDER</t>
        </is>
      </c>
      <c r="X23" t="inlineStr">
        <is>
          <t>Amaanuddin_Ahmed_Fullstack_Resume.pdf</t>
        </is>
      </c>
      <c r="Y23" t="inlineStr">
        <is>
          <t>2026-09-12</t>
        </is>
      </c>
      <c r="Z23" t="inlineStr">
        <is>
          <t>Role aligns well with Full Stack Development targets.; Amaan has strong demonstrated MERN stack projects matching full stack requirements.</t>
        </is>
      </c>
      <c r="AA23" t="inlineStr">
        <is>
          <t>ELIGIBLE</t>
        </is>
      </c>
      <c r="AB23" t="inlineStr">
        <is>
          <t>No explicit graduation year or degree blockers mentioned in the snippet.</t>
        </is>
      </c>
      <c r="AC23" t="inlineStr">
        <is>
          <t>UNKNOWN</t>
        </is>
      </c>
      <c r="AD23" t="inlineStr">
        <is>
          <t>Candidate availability dates are not specified in the career brain.</t>
        </is>
      </c>
      <c r="AE23" t="inlineStr">
        <is>
          <t>UNKNOWN</t>
        </is>
      </c>
      <c r="AF23" t="n">
        <v>0</v>
      </c>
      <c r="AG23" t="inlineStr">
        <is>
          <t>No</t>
        </is>
      </c>
      <c r="AH23" t="inlineStr">
        <is>
          <t>NOT_MENTIONED</t>
        </is>
      </c>
      <c r="AI23" t="inlineStr">
        <is>
          <t>The snippet mentions the internship role but does not explicitly state whether a Pre-Placement Offer (PPO) is provided.</t>
        </is>
      </c>
      <c r="AK23" t="inlineStr">
        <is>
          <t>Stipend is vague ('Competitive stipend'); No explicit PPO mentioned</t>
        </is>
      </c>
      <c r="AL23" t="inlineStr">
        <is>
          <t>Full stack system design and architecture; MERN stack development experience (StaySphere, Zenvest); Software development lifecycle best practices</t>
        </is>
      </c>
    </row>
    <row r="24">
      <c r="A24" t="inlineStr">
        <is>
          <t>STRIPE-260912-23</t>
        </is>
      </c>
      <c r="B24" t="inlineStr">
        <is>
          <t>Stripe</t>
        </is>
      </c>
      <c r="C24" t="inlineStr">
        <is>
          <t>Software Engineer, Intern</t>
        </is>
      </c>
      <c r="D24" t="inlineStr">
        <is>
          <t>https://in.jooble.org/desc/6361268409707951745?ckey=software+development+intern&amp;rgn=3193&amp;pos=15&amp;elckey=1113068979896720873&amp;p=1&amp;aq=-1835080659113362399&amp;cid=389&amp;jobAge=291&amp;brelb=100&amp;bscr=1350.1503&amp;scr=1350.1503</t>
        </is>
      </c>
      <c r="E24" t="inlineStr">
        <is>
          <t>AI Analyzer</t>
        </is>
      </c>
      <c r="F24" t="inlineStr">
        <is>
          <t>Bangalore</t>
        </is>
      </c>
      <c r="G24" t="inlineStr">
        <is>
          <t>Unknown</t>
        </is>
      </c>
      <c r="I24" t="inlineStr">
        <is>
          <t>Unknown</t>
        </is>
      </c>
      <c r="J24" t="inlineStr">
        <is>
          <t>Unknown</t>
        </is>
      </c>
      <c r="K24" t="inlineStr">
        <is>
          <t>Software Engineering; Technical Design; Production Software Development</t>
        </is>
      </c>
      <c r="L24" t="inlineStr">
        <is>
          <t>AI tools for development</t>
        </is>
      </c>
      <c r="M24" t="inlineStr">
        <is>
          <t>&amp;nbsp;...world works. What you’ll do As an &lt;b&gt;intern &lt;/b&gt;at Stripe you’ll work on projects across...&amp;nbsp;&amp;nbsp;...and the technical design process. Write &lt;b&gt;software &lt;/b&gt;that will be used in production, and has...&amp;nbsp;&amp;nbsp;...Ability to leverage AI tools to accelerate &lt;b&gt;development &lt;/b&gt;while applying rigorous critical thinking...&amp;nbsp;</t>
        </is>
      </c>
      <c r="N24" t="n">
        <v>68</v>
      </c>
      <c r="O24" t="n">
        <v>70</v>
      </c>
      <c r="P24" t="n">
        <v>70</v>
      </c>
      <c r="Q24" t="n">
        <v>80</v>
      </c>
      <c r="R24" t="n">
        <v>50</v>
      </c>
      <c r="S24" t="n">
        <v>40</v>
      </c>
      <c r="T24" t="n">
        <v>90</v>
      </c>
      <c r="U24" t="inlineStr">
        <is>
          <t>STRETCH</t>
        </is>
      </c>
      <c r="V24" t="inlineStr">
        <is>
          <t>STRETCH</t>
        </is>
      </c>
      <c r="X24" t="inlineStr">
        <is>
          <t>Amaan_Software_Engineering_Resume.pdf</t>
        </is>
      </c>
      <c r="Y24" t="inlineStr">
        <is>
          <t>2026-09-12</t>
        </is>
      </c>
      <c r="Z24" t="inlineStr">
        <is>
          <t>Stripe is a top-tier global tech company offering high opportunity quality.; Role aligns well with target Software Engineering internship goals.</t>
        </is>
      </c>
      <c r="AA24" t="inlineStr">
        <is>
          <t>Eligible</t>
        </is>
      </c>
      <c r="AB24" t="inlineStr">
        <is>
          <t>Location matches target city (Bangalore); Role aligns with target Software Engineering internship</t>
        </is>
      </c>
      <c r="AC24" t="inlineStr">
        <is>
          <t>Unknown</t>
        </is>
      </c>
      <c r="AD24" t="inlineStr">
        <is>
          <t>Not specified in candidate profile or job description</t>
        </is>
      </c>
      <c r="AE24" t="inlineStr">
        <is>
          <t>UNKNOWN</t>
        </is>
      </c>
      <c r="AF24" t="n">
        <v>0</v>
      </c>
      <c r="AG24" t="inlineStr">
        <is>
          <t>No</t>
        </is>
      </c>
      <c r="AH24" t="inlineStr">
        <is>
          <t>Unknown</t>
        </is>
      </c>
      <c r="AI24" t="inlineStr">
        <is>
          <t>No explicit PPO or conversion mention found in the excerpt</t>
        </is>
      </c>
      <c r="AK24" t="inlineStr">
        <is>
          <t>Extremely brief job description text provided</t>
        </is>
      </c>
      <c r="AL24" t="inlineStr">
        <is>
          <t>System Design and Technical Design Process; Production-grade Software Development; Leveraging AI Tools in Development workflows</t>
        </is>
      </c>
    </row>
    <row r="25">
      <c r="A25" t="inlineStr">
        <is>
          <t>GLOBALFOUNDR-260912-24</t>
        </is>
      </c>
      <c r="B25" t="inlineStr">
        <is>
          <t>Globalfoundries Engineering Private Limited</t>
        </is>
      </c>
      <c r="C25" t="inlineStr">
        <is>
          <t>Intern - QA Engineer</t>
        </is>
      </c>
      <c r="D25" t="inlineStr">
        <is>
          <t>https://in.jooble.org/desc/-8396505595416879628?ckey=software+development+intern&amp;rgn=3193&amp;pos=19&amp;elckey=1113068979896720873&amp;p=1&amp;aq=-1835080659113362399&amp;cid=389&amp;jobAge=373&amp;brelb=10&amp;bscr=1259.7589&amp;scr=1259.7589</t>
        </is>
      </c>
      <c r="E25" t="inlineStr">
        <is>
          <t>AI Analyzer</t>
        </is>
      </c>
      <c r="F25" t="inlineStr">
        <is>
          <t>Bangalore</t>
        </is>
      </c>
      <c r="G25" t="inlineStr">
        <is>
          <t>UNKNOWN</t>
        </is>
      </c>
      <c r="H25" t="inlineStr">
        <is>
          <t>Rs 2.5 - 5.5 lakhs p.a.</t>
        </is>
      </c>
      <c r="I25" t="inlineStr">
        <is>
          <t>UNKNOWN</t>
        </is>
      </c>
      <c r="J25" t="inlineStr">
        <is>
          <t>UNKNOWN</t>
        </is>
      </c>
      <c r="K25" t="inlineStr">
        <is>
          <t>Software QA methodologies; Object-oriented programming; Test life cycle</t>
        </is>
      </c>
      <c r="L25" t="inlineStr">
        <is>
          <t>QA tools and processes</t>
        </is>
      </c>
      <c r="M25" t="inlineStr">
        <is>
          <t>&amp;nbsp;...wide range of applications and with specific efficient solutions based on the AUT. Your Job: Good understanding of the &lt;b&gt;software development/&lt;/b&gt;test life cycle and quality assurance Strong knowledge of software QA methodologies tools and processes Strong, object-oriented...&amp;nbsp;</t>
        </is>
      </c>
      <c r="N25" t="n">
        <v>46</v>
      </c>
      <c r="O25" t="n">
        <v>40</v>
      </c>
      <c r="P25" t="n">
        <v>60</v>
      </c>
      <c r="Q25" t="n">
        <v>50</v>
      </c>
      <c r="R25" t="n">
        <v>0</v>
      </c>
      <c r="S25" t="n">
        <v>70</v>
      </c>
      <c r="T25" t="n">
        <v>50</v>
      </c>
      <c r="U25" t="inlineStr">
        <is>
          <t>SKIP</t>
        </is>
      </c>
      <c r="V25" t="inlineStr">
        <is>
          <t>SKIP</t>
        </is>
      </c>
      <c r="W25" t="inlineStr">
        <is>
          <t>Dedicated QA methodologies and testing tools</t>
        </is>
      </c>
      <c r="X25" t="inlineStr">
        <is>
          <t>Default Software Engineering Resume</t>
        </is>
      </c>
      <c r="Y25" t="inlineStr">
        <is>
          <t>2026-09-12</t>
        </is>
      </c>
      <c r="Z25" t="inlineStr">
        <is>
          <t>Stipend range meets basic expectations; Located in Bangalore</t>
        </is>
      </c>
      <c r="AA25" t="inlineStr">
        <is>
          <t>ELIGIBLE</t>
        </is>
      </c>
      <c r="AB25" t="inlineStr">
        <is>
          <t>Location matches target city (Bangalore); Degree context fits standard tech intern criteria</t>
        </is>
      </c>
      <c r="AC25" t="inlineStr">
        <is>
          <t>UNKNOWN</t>
        </is>
      </c>
      <c r="AD25" t="inlineStr">
        <is>
          <t>Not specified in candidate profile or job description</t>
        </is>
      </c>
      <c r="AE25" t="inlineStr">
        <is>
          <t>DISCLOSED</t>
        </is>
      </c>
      <c r="AF25" t="n">
        <v>20833</v>
      </c>
      <c r="AG25" t="inlineStr">
        <is>
          <t>No</t>
        </is>
      </c>
      <c r="AH25" t="inlineStr">
        <is>
          <t>UNKNOWN</t>
        </is>
      </c>
      <c r="AI25" t="inlineStr">
        <is>
          <t>No mention of PPO or conversion in the job description.</t>
        </is>
      </c>
      <c r="AK25" t="inlineStr">
        <is>
          <t>Role is QA focused rather than development focused</t>
        </is>
      </c>
      <c r="AL25" t="inlineStr">
        <is>
          <t>Software Development Life Cycle (SDLC); Quality Assurance methodologies; Object-oriented programming concepts</t>
        </is>
      </c>
    </row>
    <row r="26">
      <c r="A26" t="inlineStr">
        <is>
          <t>COINBASE-IND-260912-25</t>
        </is>
      </c>
      <c r="B26" t="inlineStr">
        <is>
          <t>Coinbase India Services</t>
        </is>
      </c>
      <c r="C26" t="inlineStr">
        <is>
          <t>Software Engineer Intern</t>
        </is>
      </c>
      <c r="D26" t="inlineStr">
        <is>
          <t>https://in.jooble.org/desc/1797195671655267307?ckey=software+development+intern&amp;rgn=158289&amp;pos=1&amp;elckey=2575656192662351854&amp;p=1&amp;aq=-4080213401787550463&amp;cid=389&amp;jobAge=1429&amp;brelb=10&amp;bscr=1032.6194&amp;scr=1032.6194</t>
        </is>
      </c>
      <c r="E26" t="inlineStr">
        <is>
          <t>AI Analyzer</t>
        </is>
      </c>
      <c r="F26" t="inlineStr">
        <is>
          <t>India</t>
        </is>
      </c>
      <c r="G26" t="inlineStr">
        <is>
          <t>work from home</t>
        </is>
      </c>
      <c r="H26" t="inlineStr">
        <is>
          <t>Rs 2.5 - 5 lakhs p.a.</t>
        </is>
      </c>
      <c r="I26" t="inlineStr">
        <is>
          <t>UNKNOWN</t>
        </is>
      </c>
      <c r="J26" t="inlineStr">
        <is>
          <t>UNKNOWN</t>
        </is>
      </c>
      <c r="K26" t="inlineStr">
        <is>
          <t>Software Engineering; Web Technologies; Problem Solving</t>
        </is>
      </c>
      <c r="L26" t="inlineStr">
        <is>
          <t>Crypto-forward products; Large scale systems</t>
        </is>
      </c>
      <c r="M26" t="inlineStr">
        <is>
          <t>&amp;nbsp;...Job Description: ~ Coinbase is seeking &lt;b&gt;software &lt;/b&gt;engineer &lt;b&gt;interns &lt;/b&gt;to join our team to build out the next generation of crypto-forward products and features. ~ You will solve unique, large scale, highly complex technical problems, bridging the constraints posed by web...&amp;nbsp;</t>
        </is>
      </c>
      <c r="N26" t="n">
        <v>81</v>
      </c>
      <c r="O26" t="n">
        <v>24</v>
      </c>
      <c r="P26" t="n">
        <v>16</v>
      </c>
      <c r="Q26" t="n">
        <v>13</v>
      </c>
      <c r="R26" t="n">
        <v>8</v>
      </c>
      <c r="S26" t="n">
        <v>10</v>
      </c>
      <c r="T26" t="n">
        <v>10</v>
      </c>
      <c r="U26" t="inlineStr">
        <is>
          <t>APPLY</t>
        </is>
      </c>
      <c r="V26" t="inlineStr">
        <is>
          <t>APPLY</t>
        </is>
      </c>
      <c r="W26" t="inlineStr">
        <is>
          <t>Crypto domain experience</t>
        </is>
      </c>
      <c r="X26" t="inlineStr">
        <is>
          <t>Amaanuddin_Ahmed_Software_Engineering_Resume.pdf</t>
        </is>
      </c>
      <c r="Y26" t="inlineStr">
        <is>
          <t>2026-09-12</t>
        </is>
      </c>
      <c r="Z26" t="inlineStr">
        <is>
          <t>Strong compensation well above the minimum target of ₹25,000/month (annualized ~₹2.5L to ₹5L).; Matches target role for Software Engineering internship.; High-quality tech company (Coinbase) offering remote work.</t>
        </is>
      </c>
      <c r="AA26" t="inlineStr">
        <is>
          <t>ELIGIBLE</t>
        </is>
      </c>
      <c r="AB26" t="inlineStr">
        <is>
          <t>Candidate is pursuing MCA at PES University and aligns with software engineering intern criteria.</t>
        </is>
      </c>
      <c r="AC26" t="inlineStr">
        <is>
          <t>UNKNOWN</t>
        </is>
      </c>
      <c r="AD26" t="inlineStr">
        <is>
          <t>Availability timeline not specified in the career brain.</t>
        </is>
      </c>
      <c r="AE26" t="inlineStr">
        <is>
          <t>EXPLICIT</t>
        </is>
      </c>
      <c r="AF26" t="n">
        <v>250000</v>
      </c>
      <c r="AG26" t="inlineStr">
        <is>
          <t>No</t>
        </is>
      </c>
      <c r="AH26" t="inlineStr">
        <is>
          <t>UNKNOWN</t>
        </is>
      </c>
      <c r="AI26" t="inlineStr">
        <is>
          <t>No explicit PPO or conversion mention found in the snippet.</t>
        </is>
      </c>
      <c r="AL26" t="inlineStr">
        <is>
          <t>Data Structures and Algorithms; Web Architecture and Scale; JavaScript/Node.js fundamentals; Problem solving under constraints</t>
        </is>
      </c>
      <c r="AM26" t="inlineStr">
        <is>
          <t>E:\InternshipHunter\applications\jooble-171d6200bac6</t>
        </is>
      </c>
      <c r="AN26" t="inlineStr">
        <is>
          <t>Ready for Review</t>
        </is>
      </c>
      <c r="AO26" t="inlineStr">
        <is>
          <t>Generated</t>
        </is>
      </c>
      <c r="AP26" t="inlineStr">
        <is>
          <t>Generated</t>
        </is>
      </c>
      <c r="AQ26" t="inlineStr">
        <is>
          <t>Generated</t>
        </is>
      </c>
      <c r="AR26" t="inlineStr">
        <is>
          <t>Ready to Apply</t>
        </is>
      </c>
    </row>
    <row r="27">
      <c r="A27" t="inlineStr">
        <is>
          <t>REALME-260912-26</t>
        </is>
      </c>
      <c r="B27" t="inlineStr">
        <is>
          <t>RealMe</t>
        </is>
      </c>
      <c r="C27" t="inlineStr">
        <is>
          <t>Software Engineer - Intern</t>
        </is>
      </c>
      <c r="D27" t="inlineStr">
        <is>
          <t>https://in.jooble.org/desc/7400619691248103067?ckey=software+development+intern&amp;rgn=158289&amp;pos=2&amp;elckey=2575656192662351854&amp;p=1&amp;aq=-4080213401787550463&amp;cid=389&amp;jobAge=37&amp;brelb=10&amp;bscr=801.4489&amp;scr=801.4489</t>
        </is>
      </c>
      <c r="E27" t="inlineStr">
        <is>
          <t>AI Analyzer</t>
        </is>
      </c>
      <c r="F27" t="inlineStr">
        <is>
          <t>Remote</t>
        </is>
      </c>
      <c r="G27" t="inlineStr">
        <is>
          <t>work from home</t>
        </is>
      </c>
      <c r="H27" t="inlineStr">
        <is>
          <t>Not specified</t>
        </is>
      </c>
      <c r="I27" t="inlineStr">
        <is>
          <t>UNKNOWN</t>
        </is>
      </c>
      <c r="J27" t="inlineStr">
        <is>
          <t>UNKNOWN</t>
        </is>
      </c>
      <c r="L27" t="inlineStr">
        <is>
          <t>Software Development</t>
        </is>
      </c>
      <c r="M27" t="inlineStr">
        <is>
          <t>&amp;nbsp;...engineering team that uses the latest models and tooling throughout our &lt;b&gt;development &lt;/b&gt;process, moving faster and at higher quality than traditional...&amp;nbsp;&amp;nbsp;...shapes global industrial outcomes. What You'll Do As an &lt;b&gt;intern &lt;/b&gt;at Realm, you'll work alongside full-time engineers on real...&amp;nbsp;</t>
        </is>
      </c>
      <c r="N27" t="n">
        <v>48</v>
      </c>
      <c r="O27" t="n">
        <v>15</v>
      </c>
      <c r="P27" t="n">
        <v>10</v>
      </c>
      <c r="Q27" t="n">
        <v>10</v>
      </c>
      <c r="R27" t="n">
        <v>5</v>
      </c>
      <c r="S27" t="n">
        <v>0</v>
      </c>
      <c r="T27" t="n">
        <v>3</v>
      </c>
      <c r="U27" t="inlineStr">
        <is>
          <t>SKIP</t>
        </is>
      </c>
      <c r="V27" t="inlineStr">
        <is>
          <t>SKIP</t>
        </is>
      </c>
      <c r="X27" t="inlineStr">
        <is>
          <t>Default Full Stack / Software Engineering Resume</t>
        </is>
      </c>
      <c r="Y27" t="inlineStr">
        <is>
          <t>2026-09-12</t>
        </is>
      </c>
      <c r="Z27" t="inlineStr">
        <is>
          <t>Remote work mode aligns well with preferences; Software Engineering intern role matches target roles</t>
        </is>
      </c>
      <c r="AA27" t="inlineStr">
        <is>
          <t>ELIGIBLE</t>
        </is>
      </c>
      <c r="AB27" t="inlineStr">
        <is>
          <t>No explicit hard blockers found in the minimal job description</t>
        </is>
      </c>
      <c r="AC27" t="inlineStr">
        <is>
          <t>UNKNOWN</t>
        </is>
      </c>
      <c r="AD27" t="inlineStr">
        <is>
          <t>Availability not specified</t>
        </is>
      </c>
      <c r="AE27" t="inlineStr">
        <is>
          <t>UNKNOWN</t>
        </is>
      </c>
      <c r="AF27" t="n">
        <v>0</v>
      </c>
      <c r="AG27" t="inlineStr">
        <is>
          <t>No</t>
        </is>
      </c>
      <c r="AH27" t="inlineStr">
        <is>
          <t>UNKNOWN</t>
        </is>
      </c>
      <c r="AI27" t="inlineStr">
        <is>
          <t>No explicit PPO information mentioned in the job description</t>
        </is>
      </c>
      <c r="AK27" t="inlineStr">
        <is>
          <t>Extremely vague job description with very few details provided</t>
        </is>
      </c>
      <c r="AL27" t="inlineStr">
        <is>
          <t>General software engineering principles; Previous internship experience and projects; Problem-solving and coding basics</t>
        </is>
      </c>
    </row>
    <row r="28">
      <c r="A28" t="inlineStr">
        <is>
          <t>UNKNOWN-260912-27</t>
        </is>
      </c>
      <c r="B28" t="inlineStr">
        <is>
          <t>Unknown</t>
        </is>
      </c>
      <c r="C28" t="inlineStr">
        <is>
          <t>AI/ML Engineer Internship</t>
        </is>
      </c>
      <c r="D28" t="inlineStr">
        <is>
          <t>https://in.jooble.org/desc/1590376482553549484?ckey=software+development+intern&amp;rgn=158289&amp;pos=3&amp;elckey=2575656192662351854&amp;p=1&amp;aq=-4080213401787550463&amp;cid=389&amp;jobAge=19&amp;brelb=100&amp;bscr=534.2976&amp;scr=534.2976</t>
        </is>
      </c>
      <c r="E28" t="inlineStr">
        <is>
          <t>AI Analyzer</t>
        </is>
      </c>
      <c r="F28" t="inlineStr">
        <is>
          <t>Remote</t>
        </is>
      </c>
      <c r="G28" t="inlineStr">
        <is>
          <t>work from home</t>
        </is>
      </c>
      <c r="H28" t="inlineStr">
        <is>
          <t>Not specified</t>
        </is>
      </c>
      <c r="I28" t="inlineStr">
        <is>
          <t>Unknown</t>
        </is>
      </c>
      <c r="J28" t="inlineStr">
        <is>
          <t>Not Mentioned</t>
        </is>
      </c>
      <c r="K28" t="inlineStr">
        <is>
          <t>AI/ML; Python; ML APIs</t>
        </is>
      </c>
      <c r="L28" t="inlineStr">
        <is>
          <t>Model Building; Deployment</t>
        </is>
      </c>
      <c r="M28" t="inlineStr">
        <is>
          <t>&amp;nbsp;...passionate and motivated AI/ML Engineer &lt;b&gt;Interns &lt;/b&gt; who are interested in building real-world...&amp;nbsp;&amp;nbsp;...AI projects , contributing to research, &lt;b&gt;development,&lt;/b&gt; experimentation, model building, and AI...&amp;nbsp;&amp;nbsp;...ML APIs and integrate models with web and &lt;b&gt;software &lt;/b&gt;applications. Assist in deploying AI...&amp;nbsp;</t>
        </is>
      </c>
      <c r="N28" t="n">
        <v>41</v>
      </c>
      <c r="O28" t="n">
        <v>50</v>
      </c>
      <c r="P28" t="n">
        <v>60</v>
      </c>
      <c r="Q28" t="n">
        <v>50</v>
      </c>
      <c r="R28" t="n">
        <v>0</v>
      </c>
      <c r="S28" t="n">
        <v>0</v>
      </c>
      <c r="T28" t="n">
        <v>40</v>
      </c>
      <c r="U28" t="inlineStr">
        <is>
          <t>SKIP</t>
        </is>
      </c>
      <c r="V28" t="inlineStr">
        <is>
          <t>SKIP</t>
        </is>
      </c>
      <c r="W28" t="inlineStr">
        <is>
          <t>Dedicated AI/ML engineering experience; Model building and experimentation</t>
        </is>
      </c>
      <c r="X28" t="inlineStr">
        <is>
          <t>Amaanuddin_Ahmed_Resume_Software_Engineering.pdf</t>
        </is>
      </c>
      <c r="Y28" t="inlineStr">
        <is>
          <t>2026-09-12</t>
        </is>
      </c>
      <c r="Z28" t="inlineStr">
        <is>
          <t>Work from home flexibility</t>
        </is>
      </c>
      <c r="AA28" t="inlineStr">
        <is>
          <t>Eligible</t>
        </is>
      </c>
      <c r="AB28" t="inlineStr">
        <is>
          <t>No explicit hard blockers such as strict degree or experience requirements mentioned in the short snippet</t>
        </is>
      </c>
      <c r="AC28" t="inlineStr">
        <is>
          <t>Unknown</t>
        </is>
      </c>
      <c r="AD28" t="inlineStr">
        <is>
          <t>Availability not specified in the career brain or job description</t>
        </is>
      </c>
      <c r="AE28" t="inlineStr">
        <is>
          <t>UNKNOWN</t>
        </is>
      </c>
      <c r="AF28" t="n">
        <v>0</v>
      </c>
      <c r="AG28" t="inlineStr">
        <is>
          <t>No</t>
        </is>
      </c>
      <c r="AH28" t="inlineStr">
        <is>
          <t>Not Mentioned</t>
        </is>
      </c>
      <c r="AI28" t="inlineStr">
        <is>
          <t>No mention of PPO or conversion in the job description snippet.</t>
        </is>
      </c>
      <c r="AK28" t="inlineStr">
        <is>
          <t>Very vague and short job description; Stipend is completely unspecified</t>
        </is>
      </c>
      <c r="AL28" t="inlineStr">
        <is>
          <t>Machine Learning fundamentals; Python programming; API integration with ML models; Model deployment basics</t>
        </is>
      </c>
    </row>
    <row r="29">
      <c r="A29" t="inlineStr">
        <is>
          <t>UNSTOP-(B2WO-260912-28</t>
        </is>
      </c>
      <c r="B29" t="inlineStr">
        <is>
          <t>Unstop (B2World)</t>
        </is>
      </c>
      <c r="C29" t="inlineStr">
        <is>
          <t>Full Stack Developer Intern</t>
        </is>
      </c>
      <c r="D29" t="inlineStr">
        <is>
          <t>https://in.jooble.org/desc/1795430527662724049?ckey=software+development+intern&amp;rgn=158289&amp;pos=4&amp;elckey=2575656192662351854&amp;p=1&amp;aq=-4080213401787550463&amp;cid=389&amp;jobAge=37&amp;brelb=100&amp;bscr=246.82146&amp;scr=246.82146</t>
        </is>
      </c>
      <c r="E29" t="inlineStr">
        <is>
          <t>AI Analyzer</t>
        </is>
      </c>
      <c r="F29" t="inlineStr">
        <is>
          <t>work from home</t>
        </is>
      </c>
      <c r="G29" t="inlineStr">
        <is>
          <t>Remote</t>
        </is>
      </c>
      <c r="H29" t="inlineStr">
        <is>
          <t>Not Specified</t>
        </is>
      </c>
      <c r="I29" t="inlineStr">
        <is>
          <t>Not Specified</t>
        </is>
      </c>
      <c r="J29" t="inlineStr">
        <is>
          <t>NOT_MENTIONED</t>
        </is>
      </c>
      <c r="K29" t="inlineStr">
        <is>
          <t>Full Stack Development; Web Application Development</t>
        </is>
      </c>
      <c r="M29" t="inlineStr">
        <is>
          <t>&amp;nbsp;...the Role: We are looking for passionate and motivated Full Stack Developer &lt;b&gt;Interns &lt;/b&gt;who are eager to work on real-world projects and gain hands-on experience in modern web application &lt;b&gt;development.&lt;/b&gt; As a Full Stack Developer Intern at B2World, you will work closely with...&amp;nbsp;</t>
        </is>
      </c>
      <c r="N29" t="n">
        <v>60</v>
      </c>
      <c r="O29" t="n">
        <v>25</v>
      </c>
      <c r="P29" t="n">
        <v>15</v>
      </c>
      <c r="Q29" t="n">
        <v>15</v>
      </c>
      <c r="R29" t="n">
        <v>0</v>
      </c>
      <c r="S29" t="n">
        <v>0</v>
      </c>
      <c r="T29" t="n">
        <v>5</v>
      </c>
      <c r="U29" t="inlineStr">
        <is>
          <t>STRETCH</t>
        </is>
      </c>
      <c r="V29" t="inlineStr">
        <is>
          <t>STRETCH</t>
        </is>
      </c>
      <c r="X29" t="inlineStr">
        <is>
          <t>Default Full Stack Development Resume</t>
        </is>
      </c>
      <c r="Y29" t="inlineStr">
        <is>
          <t>2026-09-12</t>
        </is>
      </c>
      <c r="Z29" t="inlineStr">
        <is>
          <t>Matches target Full Stack Development role perfectly; Work from home setup fits flexible preferences</t>
        </is>
      </c>
      <c r="AA29" t="inlineStr">
        <is>
          <t>ELIGIBLE</t>
        </is>
      </c>
      <c r="AB29" t="inlineStr">
        <is>
          <t>No explicit hard blockers found in the brief description.</t>
        </is>
      </c>
      <c r="AC29" t="inlineStr">
        <is>
          <t>UNKNOWN</t>
        </is>
      </c>
      <c r="AD29" t="inlineStr">
        <is>
          <t>Candidate availability details are not provided.</t>
        </is>
      </c>
      <c r="AE29" t="inlineStr">
        <is>
          <t>UNKNOWN</t>
        </is>
      </c>
      <c r="AF29" t="n">
        <v>0</v>
      </c>
      <c r="AG29" t="inlineStr">
        <is>
          <t>No</t>
        </is>
      </c>
      <c r="AH29" t="inlineStr">
        <is>
          <t>NOT_MENTIONED</t>
        </is>
      </c>
      <c r="AI29" t="inlineStr">
        <is>
          <t>No mention of conversion to full-time or PPO in the provided description.</t>
        </is>
      </c>
      <c r="AK29" t="inlineStr">
        <is>
          <t>Company name discrepancy between Unstop source and B2World content; Stipend is completely unspecified</t>
        </is>
      </c>
      <c r="AL29" t="inlineStr">
        <is>
          <t>MERN stack architecture; Past projects like StaySphere and Zenvest; REST APIs and database management</t>
        </is>
      </c>
    </row>
    <row r="30">
      <c r="A30" t="inlineStr">
        <is>
          <t>EMO.ENERGY-260912-29</t>
        </is>
      </c>
      <c r="B30" t="inlineStr">
        <is>
          <t>emo.energy</t>
        </is>
      </c>
      <c r="C30" t="inlineStr">
        <is>
          <t>Full-Stack Developer</t>
        </is>
      </c>
      <c r="D30" t="inlineStr">
        <is>
          <t>https://in.jooble.org/desc/3071963684124717842?ckey=full+stack+developer+intern&amp;rgn=3193&amp;pos=2&amp;elckey=8319642853500823392&amp;p=1&amp;aq=5360320862455101555&amp;cid=389&amp;jobAge=109&amp;brelb=10&amp;bscr=1485.8063&amp;scr=1485.8063</t>
        </is>
      </c>
      <c r="E30" t="inlineStr">
        <is>
          <t>AI Analyzer</t>
        </is>
      </c>
      <c r="F30" t="inlineStr">
        <is>
          <t>Bangalore</t>
        </is>
      </c>
      <c r="G30" t="inlineStr">
        <is>
          <t>UNKNOWN</t>
        </is>
      </c>
      <c r="H30" t="inlineStr">
        <is>
          <t>Not specified</t>
        </is>
      </c>
      <c r="I30" t="inlineStr">
        <is>
          <t>UNKNOWN</t>
        </is>
      </c>
      <c r="J30" t="inlineStr">
        <is>
          <t>NOT_MENTIONED</t>
        </is>
      </c>
      <c r="K30" t="inlineStr">
        <is>
          <t>Full-Stack Development</t>
        </is>
      </c>
      <c r="M30" t="inlineStr">
        <is>
          <t>&amp;nbsp;...Position: &lt;b&gt;Full-Stack Developer &lt;/b&gt; Location: Bangalore About Us At EMO Energy, we're a fast-moving deep-tech startup revolutionizing...&amp;nbsp;&amp;nbsp;...Summary We're looking for a passionate Full-Stack Developer (&lt;b&gt;Intern &lt;/b&gt;or Entry Level: 0–2 years) who can work with minimal guidance...&amp;nbsp;</t>
        </is>
      </c>
      <c r="N30" t="n">
        <v>77</v>
      </c>
      <c r="O30" t="n">
        <v>25</v>
      </c>
      <c r="P30" t="n">
        <v>20</v>
      </c>
      <c r="Q30" t="n">
        <v>15</v>
      </c>
      <c r="R30" t="n">
        <v>5</v>
      </c>
      <c r="S30" t="n">
        <v>5</v>
      </c>
      <c r="T30" t="n">
        <v>7</v>
      </c>
      <c r="U30" t="inlineStr">
        <is>
          <t>CONSIDER</t>
        </is>
      </c>
      <c r="V30" t="inlineStr">
        <is>
          <t>CONSIDER</t>
        </is>
      </c>
      <c r="X30" t="inlineStr">
        <is>
          <t>Default Full Stack Developer Resume</t>
        </is>
      </c>
      <c r="Y30" t="inlineStr">
        <is>
          <t>2026-09-12</t>
        </is>
      </c>
      <c r="Z30" t="inlineStr">
        <is>
          <t>Matches target Full Stack Development role.; Open to interns and entry-level with 0-2 years experience.; Located in Bangalore.</t>
        </is>
      </c>
      <c r="AA30" t="inlineStr">
        <is>
          <t>ELIGIBLE</t>
        </is>
      </c>
      <c r="AB30" t="inlineStr">
        <is>
          <t>Experience requirement (0-2 years) matches entry level candidate.; Location is Bangalore, matching candidate preference.</t>
        </is>
      </c>
      <c r="AC30" t="inlineStr">
        <is>
          <t>UNKNOWN</t>
        </is>
      </c>
      <c r="AD30" t="inlineStr">
        <is>
          <t>Not specified in JD.</t>
        </is>
      </c>
      <c r="AE30" t="inlineStr">
        <is>
          <t>UNKNOWN</t>
        </is>
      </c>
      <c r="AF30" t="n">
        <v>0</v>
      </c>
      <c r="AG30" t="inlineStr">
        <is>
          <t>No</t>
        </is>
      </c>
      <c r="AH30" t="inlineStr">
        <is>
          <t>NOT_MENTIONED</t>
        </is>
      </c>
      <c r="AI30" t="inlineStr">
        <is>
          <t>No mention of PPO or conversion in the snippet.</t>
        </is>
      </c>
      <c r="AK30" t="inlineStr">
        <is>
          <t>Stipend details not disclosed; PPO information not disclosed</t>
        </is>
      </c>
      <c r="AL30" t="inlineStr">
        <is>
          <t>Full stack system architecture; MERN stack projects discussion (StaySphere, Zenvest); Experience working with minimal guidance in startups; API design and database management</t>
        </is>
      </c>
    </row>
    <row r="31">
      <c r="A31" t="inlineStr">
        <is>
          <t>PANIKCURE-260912-30</t>
        </is>
      </c>
      <c r="B31" t="inlineStr">
        <is>
          <t>panikcure</t>
        </is>
      </c>
      <c r="C31" t="inlineStr">
        <is>
          <t>Full Stack Developer Intern</t>
        </is>
      </c>
      <c r="D31" t="inlineStr">
        <is>
          <t>https://in.jooble.org/desc/-3123247519826094573?ckey=full+stack+developer+intern&amp;rgn=3193&amp;pos=3&amp;elckey=8319642853500823392&amp;p=1&amp;aq=5360320862455101555&amp;cid=389&amp;jobAge=109&amp;brelb=10&amp;bscr=1461.3818&amp;scr=1461.3818</t>
        </is>
      </c>
      <c r="E31" t="inlineStr">
        <is>
          <t>AI Analyzer</t>
        </is>
      </c>
      <c r="F31" t="inlineStr">
        <is>
          <t>Bangalore</t>
        </is>
      </c>
      <c r="G31" t="inlineStr">
        <is>
          <t>UNKNOWN</t>
        </is>
      </c>
      <c r="H31" t="inlineStr">
        <is>
          <t>Not specified</t>
        </is>
      </c>
      <c r="I31" t="inlineStr">
        <is>
          <t>UNKNOWN</t>
        </is>
      </c>
      <c r="J31" t="inlineStr">
        <is>
          <t>NOT_MENTIONED</t>
        </is>
      </c>
      <c r="K31" t="inlineStr">
        <is>
          <t>Full Stack Development; UI/UX implementation; Web Development</t>
        </is>
      </c>
      <c r="L31" t="inlineStr">
        <is>
          <t>AI-driven solutions exposure</t>
        </is>
      </c>
      <c r="M31" t="inlineStr">
        <is>
          <t>&amp;nbsp;...™ is an early-stage innovation project exploring AI-driven, non-addictive mental-health solutions. We're looking for a &lt;b&gt;Full Stack Developer Intern &lt;/b&gt; . You'll work closely with a small, cross-functional team to turn UI/UX designs into a functional web product that demonstrates...&amp;nbsp;</t>
        </is>
      </c>
      <c r="N31" t="n">
        <v>68</v>
      </c>
      <c r="O31" t="n">
        <v>90</v>
      </c>
      <c r="P31" t="n">
        <v>80</v>
      </c>
      <c r="Q31" t="n">
        <v>90</v>
      </c>
      <c r="R31" t="n">
        <v>40</v>
      </c>
      <c r="S31" t="n">
        <v>0</v>
      </c>
      <c r="T31" t="n">
        <v>50</v>
      </c>
      <c r="U31" t="inlineStr">
        <is>
          <t>STRETCH</t>
        </is>
      </c>
      <c r="V31" t="inlineStr">
        <is>
          <t>STRETCH</t>
        </is>
      </c>
      <c r="X31" t="inlineStr">
        <is>
          <t>Amaanuddin_Ahmed_Full_Stack_Resume.pdf</t>
        </is>
      </c>
      <c r="Y31" t="inlineStr">
        <is>
          <t>2026-09-12</t>
        </is>
      </c>
      <c r="Z31" t="inlineStr">
        <is>
          <t>Strong technical overlap with MERN stack requirements; Location matches Bangalore; Good opportunity to build a functional web product from UI/UX designs</t>
        </is>
      </c>
      <c r="AA31" t="inlineStr">
        <is>
          <t>ELIGIBLE</t>
        </is>
      </c>
      <c r="AB31" t="inlineStr">
        <is>
          <t>Target role matches Full Stack Development; No explicit hard blockers found in the brief job description</t>
        </is>
      </c>
      <c r="AC31" t="inlineStr">
        <is>
          <t>UNKNOWN</t>
        </is>
      </c>
      <c r="AD31" t="inlineStr">
        <is>
          <t>Availability not explicitly specified in candidate profile</t>
        </is>
      </c>
      <c r="AE31" t="inlineStr">
        <is>
          <t>UNKNOWN</t>
        </is>
      </c>
      <c r="AF31" t="n">
        <v>0</v>
      </c>
      <c r="AG31" t="inlineStr">
        <is>
          <t>No</t>
        </is>
      </c>
      <c r="AH31" t="inlineStr">
        <is>
          <t>NOT_MENTIONED</t>
        </is>
      </c>
      <c r="AI31" t="inlineStr">
        <is>
          <t>No mention of PPO or conversion in the job description</t>
        </is>
      </c>
      <c r="AK31" t="inlineStr">
        <is>
          <t>Unspecified stipend; Early-stage innovation project with sparse details</t>
        </is>
      </c>
      <c r="AL31" t="inlineStr">
        <is>
          <t>MERN stack architecture and state management; Translating UI/UX designs into responsive web components; Previous project builds such as StaySphere and Zenvest</t>
        </is>
      </c>
    </row>
    <row r="32">
      <c r="A32" t="inlineStr">
        <is>
          <t>EMO.ENERGY-260912-31</t>
        </is>
      </c>
      <c r="B32" t="inlineStr">
        <is>
          <t>emo.energy</t>
        </is>
      </c>
      <c r="C32" t="inlineStr">
        <is>
          <t>Full-Stack Developer Intern</t>
        </is>
      </c>
      <c r="D32" t="inlineStr">
        <is>
          <t>https://in.jooble.org/desc/-2588912263494949841?ckey=full+stack+developer+intern&amp;rgn=3193&amp;pos=5&amp;elckey=8319642853500823392&amp;p=1&amp;aq=5360320862455101555&amp;cid=389&amp;jobAge=109&amp;brelb=10&amp;bscr=1390.3096&amp;scr=1390.3096</t>
        </is>
      </c>
      <c r="E32" t="inlineStr">
        <is>
          <t>AI Analyzer</t>
        </is>
      </c>
      <c r="F32" t="inlineStr">
        <is>
          <t>Bangalore</t>
        </is>
      </c>
      <c r="G32" t="inlineStr">
        <is>
          <t>UNKNOWN</t>
        </is>
      </c>
      <c r="H32" t="inlineStr">
        <is>
          <t>Not specified</t>
        </is>
      </c>
      <c r="I32" t="inlineStr">
        <is>
          <t>UNKNOWN</t>
        </is>
      </c>
      <c r="J32" t="inlineStr">
        <is>
          <t>UNKNOWN</t>
        </is>
      </c>
      <c r="K32" t="inlineStr">
        <is>
          <t>Front-end development; Full-stack development</t>
        </is>
      </c>
      <c r="M32" t="inlineStr">
        <is>
          <t>&amp;nbsp;...future of mobility by building a comprehensive end-to-end EV &lt;b&gt;Stack.&lt;/b&gt; From high-performance battery systems to cutting-edge...&amp;nbsp;&amp;nbsp;...sustainable and electrified transportation. Job Overview As a &lt;b&gt;Full-&lt;/b&gt;Stack &lt;b&gt;Developer Intern,&lt;/b&gt; you will work primarily on front-end development while also...&amp;nbsp;</t>
        </is>
      </c>
      <c r="N32" t="n">
        <v>60</v>
      </c>
      <c r="O32" t="n">
        <v>20</v>
      </c>
      <c r="P32" t="n">
        <v>15</v>
      </c>
      <c r="Q32" t="n">
        <v>15</v>
      </c>
      <c r="R32" t="n">
        <v>5</v>
      </c>
      <c r="S32" t="n">
        <v>0</v>
      </c>
      <c r="T32" t="n">
        <v>5</v>
      </c>
      <c r="U32" t="inlineStr">
        <is>
          <t>STRETCH</t>
        </is>
      </c>
      <c r="V32" t="inlineStr">
        <is>
          <t>STRETCH</t>
        </is>
      </c>
      <c r="X32" t="inlineStr">
        <is>
          <t>Default Full Stack Resume</t>
        </is>
      </c>
      <c r="Y32" t="inlineStr">
        <is>
          <t>2026-09-12</t>
        </is>
      </c>
      <c r="Z32" t="inlineStr">
        <is>
          <t>Role matches target Full Stack Development profile.; Location is Bangalore.</t>
        </is>
      </c>
      <c r="AA32" t="inlineStr">
        <is>
          <t>ELIGIBLE</t>
        </is>
      </c>
      <c r="AB32" t="inlineStr">
        <is>
          <t>No explicit hard blockers mentioned in the minimal JD snippet.</t>
        </is>
      </c>
      <c r="AC32" t="inlineStr">
        <is>
          <t>UNKNOWN</t>
        </is>
      </c>
      <c r="AD32" t="inlineStr">
        <is>
          <t>Availability has not been specified.</t>
        </is>
      </c>
      <c r="AE32" t="inlineStr">
        <is>
          <t>UNKNOWN</t>
        </is>
      </c>
      <c r="AF32" t="n">
        <v>0</v>
      </c>
      <c r="AG32" t="inlineStr">
        <is>
          <t>No</t>
        </is>
      </c>
      <c r="AH32" t="inlineStr">
        <is>
          <t>UNKNOWN</t>
        </is>
      </c>
      <c r="AI32" t="inlineStr">
        <is>
          <t>Not mentioned in the JD snippet.</t>
        </is>
      </c>
      <c r="AK32" t="inlineStr">
        <is>
          <t>Very sparse job description provided</t>
        </is>
      </c>
      <c r="AL32" t="inlineStr">
        <is>
          <t>Frontend development experience; React.js and UI implementation; Full-stack integration basics</t>
        </is>
      </c>
    </row>
    <row r="33">
      <c r="A33" t="inlineStr">
        <is>
          <t>TRADEGOSPEL-260912-32</t>
        </is>
      </c>
      <c r="B33" t="inlineStr">
        <is>
          <t>tradegospel</t>
        </is>
      </c>
      <c r="C33" t="inlineStr">
        <is>
          <t>Full Stack Developer Intern</t>
        </is>
      </c>
      <c r="D33" t="inlineStr">
        <is>
          <t>https://in.jooble.org/desc/-4062499930695493919?ckey=full+stack+developer+intern&amp;rgn=3193&amp;pos=7&amp;elckey=8319642853500823392&amp;p=1&amp;aq=5360320862455101555&amp;cid=389&amp;jobAge=373&amp;brelb=10&amp;bscr=1339.8115&amp;scr=1339.8115</t>
        </is>
      </c>
      <c r="E33" t="inlineStr">
        <is>
          <t>AI Analyzer</t>
        </is>
      </c>
      <c r="F33" t="inlineStr">
        <is>
          <t>Bangalore</t>
        </is>
      </c>
      <c r="G33" t="inlineStr">
        <is>
          <t>In-office</t>
        </is>
      </c>
      <c r="H33" t="inlineStr">
        <is>
          <t>Not specified</t>
        </is>
      </c>
      <c r="I33" t="inlineStr">
        <is>
          <t>3 months</t>
        </is>
      </c>
      <c r="J33" t="inlineStr">
        <is>
          <t>NOT_MENTIONED</t>
        </is>
      </c>
      <c r="M33" t="inlineStr">
        <is>
          <t>&amp;nbsp;...collaborate, and grow. Our team is passionate about innovation and creating impactful digital solutions. We are looking for a &lt;b&gt;Full Stack Developer Intern &lt;/b&gt; to join us for a 3-month internship at our Bengaluru office. This is a great opportunity to gain hands-on experience...&amp;nbsp;</t>
        </is>
      </c>
      <c r="N33" t="n">
        <v>60</v>
      </c>
      <c r="O33" t="n">
        <v>20</v>
      </c>
      <c r="P33" t="n">
        <v>15</v>
      </c>
      <c r="Q33" t="n">
        <v>15</v>
      </c>
      <c r="R33" t="n">
        <v>5</v>
      </c>
      <c r="S33" t="n">
        <v>0</v>
      </c>
      <c r="T33" t="n">
        <v>5</v>
      </c>
      <c r="U33" t="inlineStr">
        <is>
          <t>STRETCH</t>
        </is>
      </c>
      <c r="V33" t="inlineStr">
        <is>
          <t>STRETCH</t>
        </is>
      </c>
      <c r="X33" t="inlineStr">
        <is>
          <t>Default Full Stack Development Resume</t>
        </is>
      </c>
      <c r="Y33" t="inlineStr">
        <is>
          <t>2026-09-12</t>
        </is>
      </c>
      <c r="Z33" t="inlineStr">
        <is>
          <t>Matches target Full Stack Developer internship role; Located in Bangalore</t>
        </is>
      </c>
      <c r="AA33" t="inlineStr">
        <is>
          <t>ELIGIBLE</t>
        </is>
      </c>
      <c r="AB33" t="inlineStr">
        <is>
          <t>Location matches target city (Bangalore); Role aligns with Full Stack Development target</t>
        </is>
      </c>
      <c r="AC33" t="inlineStr">
        <is>
          <t>UNKNOWN</t>
        </is>
      </c>
      <c r="AD33" t="inlineStr">
        <is>
          <t>Availability not explicitly stated in the job description or career brain.</t>
        </is>
      </c>
      <c r="AE33" t="inlineStr">
        <is>
          <t>UNKNOWN</t>
        </is>
      </c>
      <c r="AF33" t="n">
        <v>0</v>
      </c>
      <c r="AG33" t="inlineStr">
        <is>
          <t>No</t>
        </is>
      </c>
      <c r="AH33" t="inlineStr">
        <is>
          <t>NOT_MENTIONED</t>
        </is>
      </c>
      <c r="AI33" t="inlineStr">
        <is>
          <t>No mention of PPO or conversion in the provided text.</t>
        </is>
      </c>
      <c r="AK33" t="inlineStr">
        <is>
          <t>Stipend is not specified; PPO information is missing</t>
        </is>
      </c>
      <c r="AL33" t="inlineStr">
        <is>
          <t>Full Stack Web Development fundamentals; Past project architecture (MERN/Java); Problem solving and debugging</t>
        </is>
      </c>
    </row>
    <row r="34">
      <c r="A34" t="inlineStr">
        <is>
          <t>RP-INFOCARE--260912-33</t>
        </is>
      </c>
      <c r="B34" t="inlineStr">
        <is>
          <t>rp infocare pvt ltd</t>
        </is>
      </c>
      <c r="C34" t="inlineStr">
        <is>
          <t>Full Stack Web developer Intern</t>
        </is>
      </c>
      <c r="D34" t="inlineStr">
        <is>
          <t>https://in.jooble.org/desc/-5507068087024381505?ckey=full+stack+developer+intern&amp;rgn=3193&amp;pos=9&amp;elckey=8319642853500823392&amp;p=1&amp;aq=5360320862455101555&amp;cid=389&amp;jobAge=109&amp;brelb=10&amp;bscr=1286.787&amp;scr=1286.787</t>
        </is>
      </c>
      <c r="E34" t="inlineStr">
        <is>
          <t>AI Analyzer</t>
        </is>
      </c>
      <c r="F34" t="inlineStr">
        <is>
          <t>Bangalore</t>
        </is>
      </c>
      <c r="G34" t="inlineStr">
        <is>
          <t>On-site</t>
        </is>
      </c>
      <c r="H34" t="inlineStr">
        <is>
          <t>NON PAID</t>
        </is>
      </c>
      <c r="I34" t="inlineStr">
        <is>
          <t>Not specified</t>
        </is>
      </c>
      <c r="J34" t="inlineStr">
        <is>
          <t>NOT_MENTIONED</t>
        </is>
      </c>
      <c r="K34" t="inlineStr">
        <is>
          <t>React; PHP</t>
        </is>
      </c>
      <c r="M34" t="inlineStr">
        <is>
          <t>&amp;nbsp;...ensure an exceptional user experience and secure transactions. Role Description This is a &lt;b&gt;full-&lt;/b&gt;time, on-site role located in Bengaluru for a Full &lt;b&gt;Stack &lt;/b&gt;Web &lt;b&gt;Developer Intern-&lt;/b&gt; React, PHP (NON PAID). The intern will be responsible for assisting in both front-end and back-...&amp;nbsp;</t>
        </is>
      </c>
      <c r="N34" t="n">
        <v>35</v>
      </c>
      <c r="O34" t="n">
        <v>40</v>
      </c>
      <c r="P34" t="n">
        <v>50</v>
      </c>
      <c r="Q34" t="n">
        <v>60</v>
      </c>
      <c r="R34" t="n">
        <v>0</v>
      </c>
      <c r="S34" t="n">
        <v>0</v>
      </c>
      <c r="T34" t="n">
        <v>20</v>
      </c>
      <c r="U34" t="inlineStr">
        <is>
          <t>SKIP</t>
        </is>
      </c>
      <c r="V34" t="inlineStr">
        <is>
          <t>SKIP</t>
        </is>
      </c>
      <c r="W34" t="inlineStr">
        <is>
          <t>PHP</t>
        </is>
      </c>
      <c r="X34" t="inlineStr">
        <is>
          <t>Amaanuddin_Ahmed_MERN_Resume.pdf</t>
        </is>
      </c>
      <c r="Y34" t="inlineStr">
        <is>
          <t>2026-09-12</t>
        </is>
      </c>
      <c r="Z34" t="inlineStr">
        <is>
          <t>Located in Bangalore; Full stack development exposure</t>
        </is>
      </c>
      <c r="AA34" t="inlineStr">
        <is>
          <t>ELIGIBLE</t>
        </is>
      </c>
      <c r="AB34" t="inlineStr">
        <is>
          <t>Location matches Bangalore preference; Matches target Full Stack Development role</t>
        </is>
      </c>
      <c r="AC34" t="inlineStr">
        <is>
          <t>UNKNOWN</t>
        </is>
      </c>
      <c r="AD34" t="inlineStr">
        <is>
          <t>Not specified in candidate profile or job description</t>
        </is>
      </c>
      <c r="AE34" t="inlineStr">
        <is>
          <t>UNPAID</t>
        </is>
      </c>
      <c r="AF34" t="n">
        <v>0</v>
      </c>
      <c r="AG34" t="inlineStr">
        <is>
          <t>No</t>
        </is>
      </c>
      <c r="AH34" t="inlineStr">
        <is>
          <t>NOT_MENTIONED</t>
        </is>
      </c>
      <c r="AI34" t="inlineStr">
        <is>
          <t>No mention of PPO or conversion in the job description</t>
        </is>
      </c>
      <c r="AJ34" t="inlineStr">
        <is>
          <t>Stipend is NON PAID (violates minimum target of ₹25,000/month)</t>
        </is>
      </c>
      <c r="AK34" t="inlineStr">
        <is>
          <t>Non-paid internship; Requires PHP which is not in candidate core stack</t>
        </is>
      </c>
      <c r="AL34" t="inlineStr">
        <is>
          <t>React lifecycle and state management; PHP basics; RESTful API integration</t>
        </is>
      </c>
    </row>
    <row r="35">
      <c r="A35" t="inlineStr">
        <is>
          <t>AI4SEES-PRIV-260912-34</t>
        </is>
      </c>
      <c r="B35" t="inlineStr">
        <is>
          <t>ai4sees private ltd</t>
        </is>
      </c>
      <c r="C35" t="inlineStr">
        <is>
          <t>Full Stack Web Developer Intern</t>
        </is>
      </c>
      <c r="D35" t="inlineStr">
        <is>
          <t>https://in.jooble.org/desc/4356507815804547926?ckey=full+stack+developer+intern&amp;rgn=3193&amp;pos=11&amp;elckey=8319642853500823392&amp;p=1&amp;aq=5360320862455101555&amp;cid=389&amp;jobAge=325&amp;brelb=10&amp;bscr=1277.6224&amp;scr=1277.6224</t>
        </is>
      </c>
      <c r="E35" t="inlineStr">
        <is>
          <t>AI Analyzer</t>
        </is>
      </c>
      <c r="F35" t="inlineStr">
        <is>
          <t>Bangalore</t>
        </is>
      </c>
      <c r="G35" t="inlineStr">
        <is>
          <t>On-site</t>
        </is>
      </c>
      <c r="H35" t="inlineStr">
        <is>
          <t>Not specified</t>
        </is>
      </c>
      <c r="I35" t="inlineStr">
        <is>
          <t>Unknown</t>
        </is>
      </c>
      <c r="J35" t="inlineStr">
        <is>
          <t>NOT_MENTIONED</t>
        </is>
      </c>
      <c r="K35" t="inlineStr">
        <is>
          <t>Full Stack Web Development</t>
        </is>
      </c>
      <c r="M35" t="inlineStr">
        <is>
          <t>&amp;nbsp;...application development, and digital marketing. AI4SEES also &lt;b&gt;develops &lt;/b&gt;SaaS and PaaS products, IoT and cloud technology...&amp;nbsp;&amp;nbsp;...and clients. Role Description This is a &lt;b&gt;full-&lt;/b&gt;time, on-site Full &lt;b&gt;Stack &lt;/b&gt;Web Developer &lt;b&gt;Intern &lt;/b&gt;role based in Bengaluru. The intern will assist in designing...&amp;nbsp;</t>
        </is>
      </c>
      <c r="N35" t="n">
        <v>58</v>
      </c>
      <c r="O35" t="n">
        <v>80</v>
      </c>
      <c r="P35" t="n">
        <v>80</v>
      </c>
      <c r="Q35" t="n">
        <v>90</v>
      </c>
      <c r="R35" t="n">
        <v>0</v>
      </c>
      <c r="S35" t="n">
        <v>0</v>
      </c>
      <c r="T35" t="n">
        <v>50</v>
      </c>
      <c r="U35" t="inlineStr">
        <is>
          <t>SKIP</t>
        </is>
      </c>
      <c r="V35" t="inlineStr">
        <is>
          <t>SKIP</t>
        </is>
      </c>
      <c r="X35" t="inlineStr">
        <is>
          <t>Amaanuddin_Ahmed_Full_Stack_Resume.pdf</t>
        </is>
      </c>
      <c r="Y35" t="inlineStr">
        <is>
          <t>2026-09-12</t>
        </is>
      </c>
      <c r="Z35" t="inlineStr">
        <is>
          <t>Role aligns well with Full Stack Development targets; Based in Bangalore on-site</t>
        </is>
      </c>
      <c r="AA35" t="inlineStr">
        <is>
          <t>ELIGIBLE</t>
        </is>
      </c>
      <c r="AB35" t="inlineStr">
        <is>
          <t>Target role matches candidate's Full Stack Development goals; Location matches candidate preference for Bangalore; No explicit degree or hard experience blockers stated in the snippet</t>
        </is>
      </c>
      <c r="AC35" t="inlineStr">
        <is>
          <t>UNKNOWN</t>
        </is>
      </c>
      <c r="AD35" t="inlineStr">
        <is>
          <t>Candidate availability dates are not specified in the career brain</t>
        </is>
      </c>
      <c r="AE35" t="inlineStr">
        <is>
          <t>UNKNOWN</t>
        </is>
      </c>
      <c r="AF35" t="n">
        <v>0</v>
      </c>
      <c r="AG35" t="inlineStr">
        <is>
          <t>No</t>
        </is>
      </c>
      <c r="AH35" t="inlineStr">
        <is>
          <t>NOT_MENTIONED</t>
        </is>
      </c>
      <c r="AI35" t="inlineStr">
        <is>
          <t>No mention of PPO or conversion in the provided description snippet</t>
        </is>
      </c>
      <c r="AK35" t="inlineStr">
        <is>
          <t>Very sparse job description snippet with no stipend details</t>
        </is>
      </c>
      <c r="AL35" t="inlineStr">
        <is>
          <t>Full stack web development fundamentals; MERN stack projects (StaySphere, Zenvest); REST APIs and backend architecture</t>
        </is>
      </c>
    </row>
    <row r="36">
      <c r="A36" t="inlineStr">
        <is>
          <t>JOVEO-260912-35</t>
        </is>
      </c>
      <c r="B36" t="inlineStr">
        <is>
          <t>Joveo</t>
        </is>
      </c>
      <c r="C36" t="inlineStr">
        <is>
          <t>Software Engineering Intern / Back End Developer</t>
        </is>
      </c>
      <c r="D36" t="inlineStr">
        <is>
          <t>https://in.jooble.org/away/-5265365591670595058?p=1&amp;pos=12&amp;rgn=3193&amp;cid=389&amp;ckey=full+stack+developer+intern&amp;jobAge=17&amp;brelb=10&amp;scr=1267.7305&amp;bscr=1267.7305&amp;aq=5360320862455101555&amp;elckey=8319642853500823392</t>
        </is>
      </c>
      <c r="E36" t="inlineStr">
        <is>
          <t>AI Analyzer</t>
        </is>
      </c>
      <c r="F36" t="inlineStr">
        <is>
          <t>Bengaluru, India</t>
        </is>
      </c>
      <c r="G36" t="inlineStr">
        <is>
          <t>On-site (5 days a week)</t>
        </is>
      </c>
      <c r="H36" t="inlineStr">
        <is>
          <t>Not specified</t>
        </is>
      </c>
      <c r="I36" t="inlineStr">
        <is>
          <t>UNKNOWN</t>
        </is>
      </c>
      <c r="J36" t="inlineStr">
        <is>
          <t>UNKNOWN</t>
        </is>
      </c>
      <c r="K36" t="inlineStr">
        <is>
          <t>React; Next.js; Node.js; Express.js</t>
        </is>
      </c>
      <c r="M36" t="inlineStr">
        <is>
          <t>&amp;nbsp;...Title : Software Engineering &lt;b&gt;Intern &lt;/b&gt; Location : Bengaluru, India ( 5 days a week) Timings : 2-9 pm About Joveo As the global...&amp;nbsp;&amp;nbsp;...products from whiteboard to working prototype. Ship across the &lt;b&gt;full stack,&lt;/b&gt; React and Next.js on the front, Node.js and Express on the back...&amp;nbsp;</t>
        </is>
      </c>
      <c r="N36" t="n">
        <v>70</v>
      </c>
      <c r="O36" t="n">
        <v>24</v>
      </c>
      <c r="P36" t="n">
        <v>16</v>
      </c>
      <c r="Q36" t="n">
        <v>13</v>
      </c>
      <c r="R36" t="n">
        <v>5</v>
      </c>
      <c r="S36" t="n">
        <v>5</v>
      </c>
      <c r="T36" t="n">
        <v>7</v>
      </c>
      <c r="U36" t="inlineStr">
        <is>
          <t>CONSIDER</t>
        </is>
      </c>
      <c r="V36" t="inlineStr">
        <is>
          <t>CONSIDER</t>
        </is>
      </c>
      <c r="W36" t="inlineStr">
        <is>
          <t>Next.js</t>
        </is>
      </c>
      <c r="X36" t="inlineStr">
        <is>
          <t>Amaan_FullStack_Resume.pdf</t>
        </is>
      </c>
      <c r="Y36" t="inlineStr">
        <is>
          <t>2026-09-12</t>
        </is>
      </c>
      <c r="Z36" t="inlineStr">
        <is>
          <t>Strong tech stack match with Node.js, Express, and React; Great opportunity for Full Stack Development experience in Bengaluru</t>
        </is>
      </c>
      <c r="AA36" t="inlineStr">
        <is>
          <t>ELIGIBLE</t>
        </is>
      </c>
      <c r="AB36" t="inlineStr">
        <is>
          <t>Targeting MCA/Software Engineering internship; Matches target role categories</t>
        </is>
      </c>
      <c r="AC36" t="inlineStr">
        <is>
          <t>UNKNOWN</t>
        </is>
      </c>
      <c r="AD36" t="inlineStr">
        <is>
          <t>Availability not explicitly specified in the job description.</t>
        </is>
      </c>
      <c r="AE36" t="inlineStr">
        <is>
          <t>UNKNOWN</t>
        </is>
      </c>
      <c r="AF36" t="n">
        <v>0</v>
      </c>
      <c r="AG36" t="inlineStr">
        <is>
          <t>No</t>
        </is>
      </c>
      <c r="AH36" t="inlineStr">
        <is>
          <t>UNKNOWN</t>
        </is>
      </c>
      <c r="AI36" t="inlineStr">
        <is>
          <t>No explicit PPO or conversion mention found in the snippet.</t>
        </is>
      </c>
      <c r="AK36" t="inlineStr">
        <is>
          <t>Stipend is not disclosed; Timing listed as 2-9 pm (unconventional shift)</t>
        </is>
      </c>
      <c r="AL36" t="inlineStr">
        <is>
          <t>Node.js and Express.js backend architecture; React and Next.js frontend state management; Experience building prototypes from whiteboard designs</t>
        </is>
      </c>
    </row>
    <row r="37">
      <c r="A37" t="inlineStr">
        <is>
          <t>IMPACTO-DIGI-260912-36</t>
        </is>
      </c>
      <c r="B37" t="inlineStr">
        <is>
          <t>Impacto Digifin Technologies Pvt. Ltd.</t>
        </is>
      </c>
      <c r="C37" t="inlineStr">
        <is>
          <t>Full Stack Developer Intern</t>
        </is>
      </c>
      <c r="D37" t="inlineStr">
        <is>
          <t>https://in.jooble.org/desc/-3040557102943083105?ckey=full+stack+developer+intern&amp;rgn=3193&amp;pos=16&amp;elckey=8319642853500823392&amp;p=1&amp;aq=5360320862455101555&amp;cid=389&amp;jobAge=253&amp;brelb=10&amp;bscr=1174.4078&amp;scr=1174.4078</t>
        </is>
      </c>
      <c r="E37" t="inlineStr">
        <is>
          <t>AI Analyzer</t>
        </is>
      </c>
      <c r="F37" t="inlineStr">
        <is>
          <t>Brookefield, Bangalore</t>
        </is>
      </c>
      <c r="G37" t="inlineStr">
        <is>
          <t>Work From Office</t>
        </is>
      </c>
      <c r="H37" t="inlineStr">
        <is>
          <t>₹15,000 per Month</t>
        </is>
      </c>
      <c r="I37" t="inlineStr">
        <is>
          <t>6 Months</t>
        </is>
      </c>
      <c r="J37" t="inlineStr">
        <is>
          <t>NOT_MENTIONED</t>
        </is>
      </c>
      <c r="K37" t="inlineStr">
        <is>
          <t>Full Stack Development</t>
        </is>
      </c>
      <c r="M37" t="inlineStr">
        <is>
          <t>&amp;nbsp;...&lt;b&gt;Full Stack Developer Intern &lt;/b&gt; Company: Impacto Digifin Technologies Pvt. Ltd. Position: Full Stack Developer Intern Location: Brookefield, Bangalore (Work From Office) Duration: 6 Months Stipend: ₹15,000 per Month Working Hours: 9:00 AM – 6:00 PM Working...&amp;nbsp;</t>
        </is>
      </c>
      <c r="N37" t="n">
        <v>63</v>
      </c>
      <c r="O37" t="n">
        <v>80</v>
      </c>
      <c r="P37" t="n">
        <v>80</v>
      </c>
      <c r="Q37" t="n">
        <v>90</v>
      </c>
      <c r="R37" t="n">
        <v>0</v>
      </c>
      <c r="S37" t="n">
        <v>40</v>
      </c>
      <c r="T37" t="n">
        <v>60</v>
      </c>
      <c r="U37" t="inlineStr">
        <is>
          <t>STRETCH</t>
        </is>
      </c>
      <c r="V37" t="inlineStr">
        <is>
          <t>STRETCH</t>
        </is>
      </c>
      <c r="X37" t="inlineStr">
        <is>
          <t>Default Full Stack / MERN Resume</t>
        </is>
      </c>
      <c r="Y37" t="inlineStr">
        <is>
          <t>2026-09-12</t>
        </is>
      </c>
      <c r="Z37" t="inlineStr">
        <is>
          <t>Matches target Full Stack Developer role; Located in Bangalore with work from office alignment; Good duration for a structured internship</t>
        </is>
      </c>
      <c r="AA37" t="inlineStr">
        <is>
          <t>ELIGIBLE</t>
        </is>
      </c>
      <c r="AB37" t="inlineStr">
        <is>
          <t>Location matches Bangalore preference; Role matches Full Stack Development target</t>
        </is>
      </c>
      <c r="AC37" t="inlineStr">
        <is>
          <t>UNKNOWN</t>
        </is>
      </c>
      <c r="AD37" t="inlineStr">
        <is>
          <t>Availability timeline not specified in candidate profile</t>
        </is>
      </c>
      <c r="AE37" t="inlineStr">
        <is>
          <t>EXPLICIT</t>
        </is>
      </c>
      <c r="AF37" t="n">
        <v>15000</v>
      </c>
      <c r="AG37" t="inlineStr">
        <is>
          <t>No</t>
        </is>
      </c>
      <c r="AH37" t="inlineStr">
        <is>
          <t>NOT_MENTIONED</t>
        </is>
      </c>
      <c r="AI37" t="inlineStr">
        <is>
          <t>No mention of PPO or conversion in the job description</t>
        </is>
      </c>
      <c r="AK37" t="inlineStr">
        <is>
          <t>Stipend of ₹15,000 is below the candidate minimum target of ₹25,000; PPO is not mentioned</t>
        </is>
      </c>
      <c r="AL37" t="inlineStr">
        <is>
          <t>MERN Stack Architecture; REST API Development; Database Management with MongoDB; State Management in React</t>
        </is>
      </c>
    </row>
    <row r="38">
      <c r="A38" t="inlineStr">
        <is>
          <t>UNSTOP-(B2WO-260912-37</t>
        </is>
      </c>
      <c r="B38" t="inlineStr">
        <is>
          <t>Unstop (B2World)</t>
        </is>
      </c>
      <c r="C38" t="inlineStr">
        <is>
          <t>Full Stack Developer Intern</t>
        </is>
      </c>
      <c r="D38" t="inlineStr">
        <is>
          <t>https://in.jooble.org/desc/1795430527662724049?ckey=full+stack+developer+intern&amp;rgn=158289&amp;pos=1&amp;elckey=-8300742611792938411&amp;p=1&amp;aq=-6593541423407566712&amp;cid=389&amp;jobAge=37&amp;brelb=100&amp;bscr=293.60196&amp;scr=293.60196</t>
        </is>
      </c>
      <c r="E38" t="inlineStr">
        <is>
          <t>AI Analyzer</t>
        </is>
      </c>
      <c r="F38" t="inlineStr">
        <is>
          <t>Remote</t>
        </is>
      </c>
      <c r="G38" t="inlineStr">
        <is>
          <t>Work from Home</t>
        </is>
      </c>
      <c r="H38" t="inlineStr">
        <is>
          <t>Not specified</t>
        </is>
      </c>
      <c r="I38" t="inlineStr">
        <is>
          <t>Unknown</t>
        </is>
      </c>
      <c r="J38" t="inlineStr">
        <is>
          <t>NOT_MENTIONED</t>
        </is>
      </c>
      <c r="K38" t="inlineStr">
        <is>
          <t>Full Stack Development; Modern Web Application Development</t>
        </is>
      </c>
      <c r="M38" t="inlineStr">
        <is>
          <t>&amp;nbsp;...About the Role: We are looking for passionate and motivated &lt;b&gt;Full Stack Developer Interns &lt;/b&gt;who are eager to work on real-world projects and gain hands-on experience in modern web application development. As a Full Stack Developer Intern at B2World, you will work closely...&amp;nbsp;</t>
        </is>
      </c>
      <c r="N38" t="n">
        <v>60</v>
      </c>
      <c r="O38" t="n">
        <v>25</v>
      </c>
      <c r="P38" t="n">
        <v>15</v>
      </c>
      <c r="Q38" t="n">
        <v>15</v>
      </c>
      <c r="R38" t="n">
        <v>0</v>
      </c>
      <c r="S38" t="n">
        <v>0</v>
      </c>
      <c r="T38" t="n">
        <v>5</v>
      </c>
      <c r="U38" t="inlineStr">
        <is>
          <t>STRETCH</t>
        </is>
      </c>
      <c r="V38" t="inlineStr">
        <is>
          <t>STRETCH</t>
        </is>
      </c>
      <c r="X38" t="inlineStr">
        <is>
          <t>Default Full Stack / MERN Resume</t>
        </is>
      </c>
      <c r="Y38" t="inlineStr">
        <is>
          <t>2026-09-12</t>
        </is>
      </c>
      <c r="Z38" t="inlineStr">
        <is>
          <t>Matches target Full Stack Developer role; Work from home setup</t>
        </is>
      </c>
      <c r="AA38" t="inlineStr">
        <is>
          <t>ELIGIBLE</t>
        </is>
      </c>
      <c r="AB38" t="inlineStr">
        <is>
          <t>Remote work mode aligns with preferences; Matches target Full Stack Development role</t>
        </is>
      </c>
      <c r="AC38" t="inlineStr">
        <is>
          <t>UNKNOWN</t>
        </is>
      </c>
      <c r="AD38" t="inlineStr">
        <is>
          <t>Candidate availability timeline not specified in career brain</t>
        </is>
      </c>
      <c r="AE38" t="inlineStr">
        <is>
          <t>UNKNOWN</t>
        </is>
      </c>
      <c r="AF38" t="n">
        <v>0</v>
      </c>
      <c r="AG38" t="inlineStr">
        <is>
          <t>No</t>
        </is>
      </c>
      <c r="AH38" t="inlineStr">
        <is>
          <t>NOT_MENTIONED</t>
        </is>
      </c>
      <c r="AI38" t="inlineStr">
        <is>
          <t>No mention of PPO or conversion in the provided job description snippet</t>
        </is>
      </c>
      <c r="AK38" t="inlineStr">
        <is>
          <t>Incomplete job description snippet; Stipend not disclosed</t>
        </is>
      </c>
      <c r="AL38" t="inlineStr">
        <is>
          <t>Full Stack Architecture; MERN Stack Projects (StaySphere/Zenvest); REST APIs and Database Management</t>
        </is>
      </c>
    </row>
    <row r="39">
      <c r="A39" t="inlineStr">
        <is>
          <t>COINBASE-IND-260912-38</t>
        </is>
      </c>
      <c r="B39" t="inlineStr">
        <is>
          <t>Coinbase India Services</t>
        </is>
      </c>
      <c r="C39" t="inlineStr">
        <is>
          <t>Software Engineer Intern</t>
        </is>
      </c>
      <c r="D39" t="inlineStr">
        <is>
          <t>https://in.jooble.org/desc/1797195671655267307?ckey=full+stack+developer+intern&amp;rgn=158289&amp;pos=7&amp;elckey=-8300742611792938411&amp;p=1&amp;aq=-6593541423407566712&amp;cid=389&amp;jobAge=1429&amp;brelb=10&amp;bscr=158.28978&amp;scr=158.28978</t>
        </is>
      </c>
      <c r="E39" t="inlineStr">
        <is>
          <t>AI Analyzer</t>
        </is>
      </c>
      <c r="F39" t="inlineStr">
        <is>
          <t>India</t>
        </is>
      </c>
      <c r="G39" t="inlineStr">
        <is>
          <t>work from home</t>
        </is>
      </c>
      <c r="H39" t="inlineStr">
        <is>
          <t>Rs 2.5 - 5 lakhs p.a.</t>
        </is>
      </c>
      <c r="I39" t="inlineStr">
        <is>
          <t>Not specified</t>
        </is>
      </c>
      <c r="J39" t="inlineStr">
        <is>
          <t>NOT_MENTIONED</t>
        </is>
      </c>
      <c r="K39" t="inlineStr">
        <is>
          <t>Software Engineering; Problem Solving</t>
        </is>
      </c>
      <c r="L39" t="inlineStr">
        <is>
          <t>Web Technologies; Crypto-forward Product Development</t>
        </is>
      </c>
      <c r="M39" t="inlineStr">
        <is>
          <t>&amp;nbsp;...Job Description: ~ Coinbase is seeking software engineer &lt;b&gt;interns &lt;/b&gt;to join our team to build out the next generation of crypto-forward products and features. ~ You will solve unique, large scale, highly complex technical problems, bridging the constraints posed by web...&amp;nbsp;</t>
        </is>
      </c>
      <c r="N39" t="n">
        <v>74</v>
      </c>
      <c r="O39" t="n">
        <v>75</v>
      </c>
      <c r="P39" t="n">
        <v>80</v>
      </c>
      <c r="Q39" t="n">
        <v>80</v>
      </c>
      <c r="R39" t="n">
        <v>50</v>
      </c>
      <c r="S39" t="n">
        <v>70</v>
      </c>
      <c r="T39" t="n">
        <v>90</v>
      </c>
      <c r="U39" t="inlineStr">
        <is>
          <t>CONSIDER</t>
        </is>
      </c>
      <c r="V39" t="inlineStr">
        <is>
          <t>CONSIDER</t>
        </is>
      </c>
      <c r="X39" t="inlineStr">
        <is>
          <t>Default Full Stack / Software Engineering Resume</t>
        </is>
      </c>
      <c r="Y39" t="inlineStr">
        <is>
          <t>2026-09-12</t>
        </is>
      </c>
      <c r="Z39" t="inlineStr">
        <is>
          <t>Coinbase is a top-tier tech company offering high-opportunity crypto-forward software engineering work.; The role matches Amaan's target software engineering internship profile.; Stipend is decent and near the candidate target range.</t>
        </is>
      </c>
      <c r="AA39" t="inlineStr">
        <is>
          <t>UNKNOWN</t>
        </is>
      </c>
      <c r="AB39" t="inlineStr">
        <is>
          <t>Degree or batch criteria are not explicitly mentioned in the snippet.</t>
        </is>
      </c>
      <c r="AC39" t="inlineStr">
        <is>
          <t>UNKNOWN</t>
        </is>
      </c>
      <c r="AD39" t="inlineStr">
        <is>
          <t>Candidate availability timeline not provided.</t>
        </is>
      </c>
      <c r="AE39" t="inlineStr">
        <is>
          <t>EXPLICIT</t>
        </is>
      </c>
      <c r="AF39" t="n">
        <v>20833</v>
      </c>
      <c r="AG39" t="inlineStr">
        <is>
          <t>No</t>
        </is>
      </c>
      <c r="AH39" t="inlineStr">
        <is>
          <t>NOT_MENTIONED</t>
        </is>
      </c>
      <c r="AI39" t="inlineStr">
        <is>
          <t>No explicit PPO or conversion mention in the short snippet.</t>
        </is>
      </c>
      <c r="AK39" t="inlineStr">
        <is>
          <t>Very brief job description snippet provided.</t>
        </is>
      </c>
      <c r="AL39" t="inlineStr">
        <is>
          <t>Data Structures and Algorithms; System Design and Scalability; Web Technologies and APIs; Crypto and Web3 Interest</t>
        </is>
      </c>
    </row>
    <row r="40">
      <c r="A40" t="inlineStr">
        <is>
          <t>REALME-260912-39</t>
        </is>
      </c>
      <c r="B40" t="inlineStr">
        <is>
          <t>RealMe</t>
        </is>
      </c>
      <c r="C40" t="inlineStr">
        <is>
          <t>Software Engineer - Intern</t>
        </is>
      </c>
      <c r="D40" t="inlineStr">
        <is>
          <t>https://in.jooble.org/desc/7400619691248103067?ckey=full+stack+developer+intern&amp;rgn=158289&amp;pos=11&amp;elckey=-8300742611792938411&amp;p=1&amp;aq=-6593541423407566712&amp;cid=389&amp;jobAge=37&amp;brelb=10&amp;bscr=150.0603&amp;scr=150.0603</t>
        </is>
      </c>
      <c r="E40" t="inlineStr">
        <is>
          <t>AI Analyzer</t>
        </is>
      </c>
      <c r="F40" t="inlineStr">
        <is>
          <t>Remote</t>
        </is>
      </c>
      <c r="G40" t="inlineStr">
        <is>
          <t>work from home</t>
        </is>
      </c>
      <c r="I40" t="inlineStr">
        <is>
          <t>Unknown</t>
        </is>
      </c>
      <c r="J40" t="inlineStr">
        <is>
          <t>Unknown</t>
        </is>
      </c>
      <c r="K40" t="inlineStr">
        <is>
          <t>Full Stack Development; AI coding tools (e.g. Claude Code, Codex, or Cursor)</t>
        </is>
      </c>
      <c r="M40" t="inlineStr">
        <is>
          <t>&amp;nbsp;...global industrial outcomes. What You'll Do As an &lt;b&gt;intern &lt;/b&gt;at Realm, you'll work alongside &lt;b&gt;full-&lt;/b&gt;time engineers on real features that run at active mine...&amp;nbsp;&amp;nbsp;...Claude Code, Codex, or Cursor) Comfort working across the &lt;b&gt;stack,&lt;/b&gt; you don't need to be an expert in everything, but you'...&amp;nbsp;</t>
        </is>
      </c>
      <c r="N40" t="n">
        <v>57</v>
      </c>
      <c r="O40" t="n">
        <v>20</v>
      </c>
      <c r="P40" t="n">
        <v>15</v>
      </c>
      <c r="Q40" t="n">
        <v>12</v>
      </c>
      <c r="R40" t="n">
        <v>5</v>
      </c>
      <c r="S40" t="n">
        <v>0</v>
      </c>
      <c r="T40" t="n">
        <v>5</v>
      </c>
      <c r="U40" t="inlineStr">
        <is>
          <t>SKIP</t>
        </is>
      </c>
      <c r="V40" t="inlineStr">
        <is>
          <t>SKIP</t>
        </is>
      </c>
      <c r="W40" t="inlineStr">
        <is>
          <t>AI coding tools (e.g. Claude Code, Codex, or Cursor)</t>
        </is>
      </c>
      <c r="X40" t="inlineStr">
        <is>
          <t>Default Full Stack Resume</t>
        </is>
      </c>
      <c r="Y40" t="inlineStr">
        <is>
          <t>2026-09-12</t>
        </is>
      </c>
      <c r="Z40" t="inlineStr">
        <is>
          <t>Remote work mode aligns well; Matches full-stack internship profile</t>
        </is>
      </c>
      <c r="AA40" t="inlineStr">
        <is>
          <t>Eligible</t>
        </is>
      </c>
      <c r="AB40" t="inlineStr">
        <is>
          <t>No explicit degree or graduation year hard blockers found in the snippet</t>
        </is>
      </c>
      <c r="AC40" t="inlineStr">
        <is>
          <t>Unknown</t>
        </is>
      </c>
      <c r="AD40" t="inlineStr">
        <is>
          <t>Availability is not specified in candidate profile or job description</t>
        </is>
      </c>
      <c r="AE40" t="inlineStr">
        <is>
          <t>UNKNOWN</t>
        </is>
      </c>
      <c r="AF40" t="n">
        <v>0</v>
      </c>
      <c r="AG40" t="inlineStr">
        <is>
          <t>No</t>
        </is>
      </c>
      <c r="AH40" t="inlineStr">
        <is>
          <t>Unknown</t>
        </is>
      </c>
      <c r="AI40" t="inlineStr">
        <is>
          <t>No explicit mention of PPO or conversion in the provided text</t>
        </is>
      </c>
      <c r="AK40" t="inlineStr">
        <is>
          <t>Very sparse job description details; Unknown stipend</t>
        </is>
      </c>
      <c r="AL40" t="inlineStr">
        <is>
          <t>Full stack development experience; Familiarity with AI coding tools; Past projects overview</t>
        </is>
      </c>
    </row>
    <row r="41">
      <c r="A41" t="inlineStr">
        <is>
          <t>JOVEO-260912-40</t>
        </is>
      </c>
      <c r="B41" t="inlineStr">
        <is>
          <t>Joveo</t>
        </is>
      </c>
      <c r="C41" t="inlineStr">
        <is>
          <t>Software Engineering Intern</t>
        </is>
      </c>
      <c r="D41" t="inlineStr">
        <is>
          <t>https://in.jooble.org/away/-5265365591670595058?p=1&amp;pos=1&amp;rgn=3193&amp;cid=389&amp;ckey=backend+developer+intern&amp;jobAge=17&amp;brelb=10&amp;scr=4323.534&amp;bscr=4323.534&amp;aq=-8958155248507337248&amp;elckey=-5308312658936389353</t>
        </is>
      </c>
      <c r="E41" t="inlineStr">
        <is>
          <t>AI Analyzer</t>
        </is>
      </c>
      <c r="F41" t="inlineStr">
        <is>
          <t>Bengaluru, India</t>
        </is>
      </c>
      <c r="G41" t="inlineStr">
        <is>
          <t>On-site</t>
        </is>
      </c>
      <c r="H41" t="inlineStr">
        <is>
          <t>Not specified</t>
        </is>
      </c>
      <c r="I41" t="inlineStr">
        <is>
          <t>UNKNOWN</t>
        </is>
      </c>
      <c r="J41" t="inlineStr">
        <is>
          <t>UNKNOWN</t>
        </is>
      </c>
      <c r="M41" t="inlineStr">
        <is>
          <t>&amp;nbsp;...Title : Software Engineering &lt;b&gt;Intern &lt;/b&gt; Location : Bengaluru, India ( 5 days a week) Timings : 2-9 pm About Joveo As the global leader in AI-powered recruitment marketing, we are transforming talent attraction and recruitment media buying for the world’s largest and smartest...&amp;nbsp;</t>
        </is>
      </c>
      <c r="N41" t="n">
        <v>67</v>
      </c>
      <c r="O41" t="n">
        <v>70</v>
      </c>
      <c r="P41" t="n">
        <v>70</v>
      </c>
      <c r="Q41" t="n">
        <v>80</v>
      </c>
      <c r="R41" t="n">
        <v>50</v>
      </c>
      <c r="S41" t="n">
        <v>40</v>
      </c>
      <c r="T41" t="n">
        <v>70</v>
      </c>
      <c r="U41" t="inlineStr">
        <is>
          <t>STRETCH</t>
        </is>
      </c>
      <c r="V41" t="inlineStr">
        <is>
          <t>STRETCH</t>
        </is>
      </c>
      <c r="X41" t="inlineStr">
        <is>
          <t>Default Full Stack / Backend Resume</t>
        </is>
      </c>
      <c r="Y41" t="inlineStr">
        <is>
          <t>2026-09-12</t>
        </is>
      </c>
      <c r="Z41" t="inlineStr">
        <is>
          <t>Matches location and role preferences for software engineering; Opportunity at a global AI-powered recruitment marketing firm</t>
        </is>
      </c>
      <c r="AA41" t="inlineStr">
        <is>
          <t>ELIGIBLE</t>
        </is>
      </c>
      <c r="AB41" t="inlineStr">
        <is>
          <t>Location matches target; Role aligns with target engineering positions</t>
        </is>
      </c>
      <c r="AC41" t="inlineStr">
        <is>
          <t>UNKNOWN</t>
        </is>
      </c>
      <c r="AD41" t="inlineStr">
        <is>
          <t>Availability not explicitly specified in JD</t>
        </is>
      </c>
      <c r="AE41" t="inlineStr">
        <is>
          <t>UNKNOWN</t>
        </is>
      </c>
      <c r="AF41" t="n">
        <v>0</v>
      </c>
      <c r="AG41" t="inlineStr">
        <is>
          <t>No</t>
        </is>
      </c>
      <c r="AH41" t="inlineStr">
        <is>
          <t>UNKNOWN</t>
        </is>
      </c>
      <c r="AI41" t="inlineStr">
        <is>
          <t>No explicit mention of PPO or conversion in the provided text</t>
        </is>
      </c>
      <c r="AK41" t="inlineStr">
        <is>
          <t>Stipend not disclosed; Specific technical requirements not listed in snippet</t>
        </is>
      </c>
      <c r="AL41" t="inlineStr">
        <is>
          <t>Data Structures and Algorithms; Backend System Design; Previous Project Architecture</t>
        </is>
      </c>
    </row>
    <row r="42">
      <c r="A42" t="inlineStr">
        <is>
          <t>REALME-260912-41</t>
        </is>
      </c>
      <c r="B42" t="inlineStr">
        <is>
          <t>RealMe</t>
        </is>
      </c>
      <c r="C42" t="inlineStr">
        <is>
          <t>Software Engineer - Intern</t>
        </is>
      </c>
      <c r="D42" t="inlineStr">
        <is>
          <t>https://in.jooble.org/desc/7400619691248103067?ckey=backend+developer+intern&amp;rgn=158289&amp;pos=4&amp;elckey=3845807572677384444&amp;p=1&amp;aq=8901984050831363307&amp;cid=389&amp;jobAge=37&amp;brelb=10&amp;bscr=165.0088&amp;scr=165.0088</t>
        </is>
      </c>
      <c r="E42" t="inlineStr">
        <is>
          <t>AI Analyzer</t>
        </is>
      </c>
      <c r="F42" t="inlineStr">
        <is>
          <t>work from home</t>
        </is>
      </c>
      <c r="G42" t="inlineStr">
        <is>
          <t>Remote</t>
        </is>
      </c>
      <c r="H42" t="inlineStr">
        <is>
          <t>Not specified</t>
        </is>
      </c>
      <c r="I42" t="inlineStr">
        <is>
          <t>Unknown</t>
        </is>
      </c>
      <c r="J42" t="inlineStr">
        <is>
          <t>Not Mentioned</t>
        </is>
      </c>
      <c r="K42" t="inlineStr">
        <is>
          <t>TypeScript; Backend Development</t>
        </is>
      </c>
      <c r="M42" t="inlineStr">
        <is>
          <t>&amp;nbsp;...that shapes global industrial outcomes. What You'll Do As an &lt;b&gt;intern &lt;/b&gt;at Realm, you'll work alongside full-time engineers on real...&amp;nbsp;&amp;nbsp;...toy projects or internal tooling. Contribute to our TypeScript &lt;b&gt;backend &lt;/b&gt;serving real-time mining operations data Build and ship features...&amp;nbsp;</t>
        </is>
      </c>
      <c r="N42" t="n">
        <v>55</v>
      </c>
      <c r="O42" t="n">
        <v>70</v>
      </c>
      <c r="P42" t="n">
        <v>80</v>
      </c>
      <c r="Q42" t="n">
        <v>80</v>
      </c>
      <c r="R42" t="n">
        <v>0</v>
      </c>
      <c r="S42" t="n">
        <v>0</v>
      </c>
      <c r="T42" t="n">
        <v>50</v>
      </c>
      <c r="U42" t="inlineStr">
        <is>
          <t>SKIP</t>
        </is>
      </c>
      <c r="V42" t="inlineStr">
        <is>
          <t>SKIP</t>
        </is>
      </c>
      <c r="W42" t="inlineStr">
        <is>
          <t>TypeScript</t>
        </is>
      </c>
      <c r="X42" t="inlineStr">
        <is>
          <t>Amaanuddin_Ahmed_Software_Engineering_Resume.pdf</t>
        </is>
      </c>
      <c r="Y42" t="inlineStr">
        <is>
          <t>2026-09-12</t>
        </is>
      </c>
      <c r="Z42" t="inlineStr">
        <is>
          <t>Role aligns well with backend development interests; Work from home flexibility</t>
        </is>
      </c>
      <c r="AA42" t="inlineStr">
        <is>
          <t>Eligible</t>
        </is>
      </c>
      <c r="AC42" t="inlineStr">
        <is>
          <t>Unknown</t>
        </is>
      </c>
      <c r="AD42" t="inlineStr">
        <is>
          <t>Not specified</t>
        </is>
      </c>
      <c r="AE42" t="inlineStr">
        <is>
          <t>UNKNOWN</t>
        </is>
      </c>
      <c r="AF42" t="n">
        <v>0</v>
      </c>
      <c r="AG42" t="inlineStr">
        <is>
          <t>No</t>
        </is>
      </c>
      <c r="AH42" t="inlineStr">
        <is>
          <t>Not Mentioned</t>
        </is>
      </c>
      <c r="AI42" t="inlineStr">
        <is>
          <t>No mention of PPO or conversion in the job description.</t>
        </is>
      </c>
      <c r="AK42" t="inlineStr">
        <is>
          <t>Stipend information is missing; PPO information is missing</t>
        </is>
      </c>
      <c r="AL42" t="inlineStr">
        <is>
          <t>TypeScript fundamentals and advanced types; Backend development principles and API design; Real-time data handling and synchronization; Database management and query optimization</t>
        </is>
      </c>
    </row>
    <row r="43">
      <c r="A43" t="inlineStr">
        <is>
          <t>COINBASE-IND-260912-42</t>
        </is>
      </c>
      <c r="B43" t="inlineStr">
        <is>
          <t>Coinbase India Services</t>
        </is>
      </c>
      <c r="C43" t="inlineStr">
        <is>
          <t>Software Engineer Intern</t>
        </is>
      </c>
      <c r="D43" t="inlineStr">
        <is>
          <t>https://in.jooble.org/desc/1797195671655267307?ckey=backend+developer+intern&amp;rgn=158289&amp;pos=7&amp;elckey=3845807572677384444&amp;p=1&amp;aq=8901984050831363307&amp;cid=389&amp;jobAge=1429&amp;brelb=10&amp;bscr=158.28978&amp;scr=158.28978</t>
        </is>
      </c>
      <c r="E43" t="inlineStr">
        <is>
          <t>AI Analyzer</t>
        </is>
      </c>
      <c r="F43" t="inlineStr">
        <is>
          <t>work from home</t>
        </is>
      </c>
      <c r="G43" t="inlineStr">
        <is>
          <t>Remote</t>
        </is>
      </c>
      <c r="H43" t="inlineStr">
        <is>
          <t>Rs 2.5 - 5 lakhs p.a.</t>
        </is>
      </c>
      <c r="I43" t="inlineStr">
        <is>
          <t>UNKNOWN</t>
        </is>
      </c>
      <c r="J43" t="inlineStr">
        <is>
          <t>NOT_MENTIONED</t>
        </is>
      </c>
      <c r="M43" t="inlineStr">
        <is>
          <t>&amp;nbsp;...Job Description: ~ Coinbase is seeking software engineer &lt;b&gt;interns &lt;/b&gt;to join our team to build out the next generation of crypto-forward products and features. ~ You will solve unique, large scale, highly complex technical problems, bridging the constraints posed by web...&amp;nbsp;</t>
        </is>
      </c>
      <c r="N43" t="n">
        <v>73</v>
      </c>
      <c r="O43" t="n">
        <v>70</v>
      </c>
      <c r="P43" t="n">
        <v>70</v>
      </c>
      <c r="Q43" t="n">
        <v>80</v>
      </c>
      <c r="R43" t="n">
        <v>50</v>
      </c>
      <c r="S43" t="n">
        <v>90</v>
      </c>
      <c r="T43" t="n">
        <v>90</v>
      </c>
      <c r="U43" t="inlineStr">
        <is>
          <t>CONSIDER</t>
        </is>
      </c>
      <c r="V43" t="inlineStr">
        <is>
          <t>CONSIDER</t>
        </is>
      </c>
      <c r="X43" t="inlineStr">
        <is>
          <t>Default Full Stack / Software Engineering Resume</t>
        </is>
      </c>
      <c r="Y43" t="inlineStr">
        <is>
          <t>2026-09-12</t>
        </is>
      </c>
      <c r="Z43" t="inlineStr">
        <is>
          <t>Coinbase is a high-quality tier-1 tech company with strong compensation.; Role aligns well with Software Engineering career goals.</t>
        </is>
      </c>
      <c r="AA43" t="inlineStr">
        <is>
          <t>ELIGIBLE</t>
        </is>
      </c>
      <c r="AB43" t="inlineStr">
        <is>
          <t>No explicit hard blockers found in the brief job description.</t>
        </is>
      </c>
      <c r="AC43" t="inlineStr">
        <is>
          <t>UNKNOWN</t>
        </is>
      </c>
      <c r="AD43" t="inlineStr">
        <is>
          <t>Candidate availability timeline not specified in career brain.</t>
        </is>
      </c>
      <c r="AE43" t="inlineStr">
        <is>
          <t>EXPLICIT</t>
        </is>
      </c>
      <c r="AF43" t="n">
        <v>250000</v>
      </c>
      <c r="AG43" t="inlineStr">
        <is>
          <t>No</t>
        </is>
      </c>
      <c r="AH43" t="inlineStr">
        <is>
          <t>NOT_MENTIONED</t>
        </is>
      </c>
      <c r="AI43" t="inlineStr">
        <is>
          <t>Job description does not explicitly mention PPO conversion.</t>
        </is>
      </c>
      <c r="AK43" t="inlineStr">
        <is>
          <t>Job description snippet is very brief and lacks explicit technical requirements.</t>
        </is>
      </c>
      <c r="AL43" t="inlineStr">
        <is>
          <t>Large-scale distributed systems; Backend engineering fundamentals; Web3 and crypto-forward product familiarity; Data structures and algorithms</t>
        </is>
      </c>
    </row>
    <row r="44">
      <c r="A44" t="inlineStr">
        <is>
          <t>COINBASE-IND-260912-43</t>
        </is>
      </c>
      <c r="B44" t="inlineStr">
        <is>
          <t>Coinbase India Services</t>
        </is>
      </c>
      <c r="C44" t="inlineStr">
        <is>
          <t>Software Engineer Intern</t>
        </is>
      </c>
      <c r="D44" t="inlineStr">
        <is>
          <t>https://in.jooble.org/desc/1797195671655267307?ckey=SDE+intern&amp;rgn=158289&amp;pos=1&amp;elckey=-9216245941569356679&amp;p=1&amp;aq=-8386504075692676209&amp;cid=389&amp;jobAge=1429&amp;brelb=10&amp;bscr=235.12706&amp;scr=235.12706</t>
        </is>
      </c>
      <c r="E44" t="inlineStr">
        <is>
          <t>AI Analyzer</t>
        </is>
      </c>
      <c r="F44" t="inlineStr">
        <is>
          <t>India</t>
        </is>
      </c>
      <c r="G44" t="inlineStr">
        <is>
          <t>work from home</t>
        </is>
      </c>
      <c r="H44" t="inlineStr">
        <is>
          <t>Rs 2.5 - 5 lakhs p.a.</t>
        </is>
      </c>
      <c r="I44" t="inlineStr">
        <is>
          <t>UNKNOWN</t>
        </is>
      </c>
      <c r="J44" t="inlineStr">
        <is>
          <t>NOT_MENTIONED</t>
        </is>
      </c>
      <c r="M44" t="inlineStr">
        <is>
          <t>&amp;nbsp;...Job Description: ~ Coinbase is seeking software engineer &lt;b&gt;interns &lt;/b&gt;to join our team to build out the next generation of crypto-forward products and features. ~ You will solve unique, large scale, highly complex technical problems, bridging the constraints posed by web...&amp;nbsp;</t>
        </is>
      </c>
      <c r="N44" t="n">
        <v>69</v>
      </c>
      <c r="O44" t="n">
        <v>60</v>
      </c>
      <c r="P44" t="n">
        <v>70</v>
      </c>
      <c r="Q44" t="n">
        <v>80</v>
      </c>
      <c r="R44" t="n">
        <v>50</v>
      </c>
      <c r="S44" t="n">
        <v>90</v>
      </c>
      <c r="T44" t="n">
        <v>85</v>
      </c>
      <c r="U44" t="inlineStr">
        <is>
          <t>STRETCH</t>
        </is>
      </c>
      <c r="V44" t="inlineStr">
        <is>
          <t>STRETCH</t>
        </is>
      </c>
      <c r="X44" t="inlineStr">
        <is>
          <t>Default Full Stack / Software Engineering Resume</t>
        </is>
      </c>
      <c r="Y44" t="inlineStr">
        <is>
          <t>2026-09-12</t>
        </is>
      </c>
      <c r="Z44" t="inlineStr">
        <is>
          <t>Coinbase is a top-tier tech company offering strong compensation for an internship (Rs 2.5 - 5 lakhs p.a.); Matches target Software Engineering and Backend roles</t>
        </is>
      </c>
      <c r="AA44" t="inlineStr">
        <is>
          <t>UNKNOWN</t>
        </is>
      </c>
      <c r="AB44" t="inlineStr">
        <is>
          <t>Graduation year and specific degree requirements are not detailed in the snippet</t>
        </is>
      </c>
      <c r="AC44" t="inlineStr">
        <is>
          <t>UNKNOWN</t>
        </is>
      </c>
      <c r="AD44" t="inlineStr">
        <is>
          <t>Candidate availability details are not tracked in the career brain</t>
        </is>
      </c>
      <c r="AE44" t="inlineStr">
        <is>
          <t>EXPLICIT</t>
        </is>
      </c>
      <c r="AF44" t="n">
        <v>250000</v>
      </c>
      <c r="AG44" t="inlineStr">
        <is>
          <t>No</t>
        </is>
      </c>
      <c r="AH44" t="inlineStr">
        <is>
          <t>NOT_MENTIONED</t>
        </is>
      </c>
      <c r="AI44" t="inlineStr">
        <is>
          <t>No explicit PPO or conversion mention found in the job description snippet</t>
        </is>
      </c>
      <c r="AK44" t="inlineStr">
        <is>
          <t>Vague and truncated job description snippet</t>
        </is>
      </c>
      <c r="AL44" t="inlineStr">
        <is>
          <t>Data Structures and Algorithms; System Design and Scalability; Web Technologies; Crypto and Web3 Concepts</t>
        </is>
      </c>
    </row>
    <row r="45">
      <c r="A45" t="inlineStr">
        <is>
          <t>REALME-260912-44</t>
        </is>
      </c>
      <c r="B45" t="inlineStr">
        <is>
          <t>RealMe</t>
        </is>
      </c>
      <c r="C45" t="inlineStr">
        <is>
          <t>Software Engineer - Intern</t>
        </is>
      </c>
      <c r="D45" t="inlineStr">
        <is>
          <t>https://in.jooble.org/desc/7400619691248103067?ckey=SDE+intern&amp;rgn=158289&amp;pos=2&amp;elckey=-9216245941569356679&amp;p=1&amp;aq=-8386504075692676209&amp;cid=389&amp;jobAge=37&amp;brelb=10&amp;bscr=224.29367&amp;scr=224.29367</t>
        </is>
      </c>
      <c r="E45" t="inlineStr">
        <is>
          <t>AI Analyzer</t>
        </is>
      </c>
      <c r="F45" t="inlineStr">
        <is>
          <t>Remote</t>
        </is>
      </c>
      <c r="G45" t="inlineStr">
        <is>
          <t>work from home</t>
        </is>
      </c>
      <c r="I45" t="inlineStr">
        <is>
          <t>UNKNOWN</t>
        </is>
      </c>
      <c r="J45" t="inlineStr">
        <is>
          <t>UNKNOWN</t>
        </is>
      </c>
      <c r="M45" t="inlineStr">
        <is>
          <t>&amp;nbsp;...Teams here move quickly and make meaningful contributions to a product that shapes global industrial outcomes. What You'll Do As an &lt;b&gt;intern &lt;/b&gt;at Realm, you'll work alongside full-time engineers on real features that run at active mine sites - not toy projects or internal...&amp;nbsp;</t>
        </is>
      </c>
      <c r="N45" t="n">
        <v>42</v>
      </c>
      <c r="O45" t="n">
        <v>50</v>
      </c>
      <c r="P45" t="n">
        <v>50</v>
      </c>
      <c r="Q45" t="n">
        <v>60</v>
      </c>
      <c r="R45" t="n">
        <v>0</v>
      </c>
      <c r="S45" t="n">
        <v>0</v>
      </c>
      <c r="T45" t="n">
        <v>40</v>
      </c>
      <c r="U45" t="inlineStr">
        <is>
          <t>SKIP</t>
        </is>
      </c>
      <c r="V45" t="inlineStr">
        <is>
          <t>SKIP</t>
        </is>
      </c>
      <c r="X45" t="inlineStr">
        <is>
          <t>Default Full Stack / SDE Resume</t>
        </is>
      </c>
      <c r="Y45" t="inlineStr">
        <is>
          <t>2026-09-12</t>
        </is>
      </c>
      <c r="Z45" t="inlineStr">
        <is>
          <t>Remote work mode aligns with flexibility.</t>
        </is>
      </c>
      <c r="AA45" t="inlineStr">
        <is>
          <t>ELIGIBLE</t>
        </is>
      </c>
      <c r="AB45" t="inlineStr">
        <is>
          <t>No explicit graduation year, degree, or GPA blockers found in the brief JD snippet.</t>
        </is>
      </c>
      <c r="AC45" t="inlineStr">
        <is>
          <t>UNKNOWN</t>
        </is>
      </c>
      <c r="AD45" t="inlineStr">
        <is>
          <t>Candidate availability timeline not specified in career brain.</t>
        </is>
      </c>
      <c r="AE45" t="inlineStr">
        <is>
          <t>UNKNOWN</t>
        </is>
      </c>
      <c r="AF45" t="n">
        <v>0</v>
      </c>
      <c r="AG45" t="inlineStr">
        <is>
          <t>No</t>
        </is>
      </c>
      <c r="AH45" t="inlineStr">
        <is>
          <t>UNKNOWN</t>
        </is>
      </c>
      <c r="AI45" t="inlineStr">
        <is>
          <t>No mention of conversion or PPO in the provided job description text.</t>
        </is>
      </c>
      <c r="AK45" t="inlineStr">
        <is>
          <t>Extremely vague job description with minimal details provided.</t>
        </is>
      </c>
      <c r="AL45" t="inlineStr">
        <is>
          <t>Past software engineering projects; Internship contribution scope</t>
        </is>
      </c>
    </row>
    <row r="46">
      <c r="A46" t="inlineStr">
        <is>
          <t>JOVEO-260912-45</t>
        </is>
      </c>
      <c r="B46" t="inlineStr">
        <is>
          <t>Joveo</t>
        </is>
      </c>
      <c r="C46" t="inlineStr">
        <is>
          <t>Software Engineering Intern (Full Stack)</t>
        </is>
      </c>
      <c r="D46" t="inlineStr">
        <is>
          <t>https://in.jooble.org/away/-605960673848884241?p=1&amp;pos=1&amp;rgn=3193&amp;cid=389&amp;ckey=Node.js+intern&amp;jobAge=17&amp;brelb=10&amp;scr=6717.624&amp;bscr=6717.624&amp;aq=-2324189919506338114&amp;elckey=8297031273089829483</t>
        </is>
      </c>
      <c r="E46" t="inlineStr">
        <is>
          <t>AI Analyzer</t>
        </is>
      </c>
      <c r="F46" t="inlineStr">
        <is>
          <t>Bengaluru, India</t>
        </is>
      </c>
      <c r="G46" t="inlineStr">
        <is>
          <t>On-site</t>
        </is>
      </c>
      <c r="H46" t="inlineStr">
        <is>
          <t>Not specified</t>
        </is>
      </c>
      <c r="I46" t="inlineStr">
        <is>
          <t>Unknown</t>
        </is>
      </c>
      <c r="J46" t="inlineStr">
        <is>
          <t>UNKNOWN</t>
        </is>
      </c>
      <c r="K46" t="inlineStr">
        <is>
          <t>React; Next.js; Node.js; Express; Full Stack Development</t>
        </is>
      </c>
      <c r="M46" t="inlineStr">
        <is>
          <t>&amp;nbsp;...Title : Software Engineering &lt;b&gt;Intern &lt;/b&gt;(Full Stack) Location : Bengaluru, India (5 days a week) Timings : 2-10 pm About Joveo...&amp;nbsp;&amp;nbsp;...prototype. Ship across the full stack, React and Next.&lt;b&gt;js &lt;/b&gt;on the front, &lt;b&gt;Node.&lt;/b&gt;js and Express on the back, with the database underneath....&amp;nbsp;</t>
        </is>
      </c>
      <c r="N46" t="n">
        <v>80</v>
      </c>
      <c r="O46" t="n">
        <v>25</v>
      </c>
      <c r="P46" t="n">
        <v>20</v>
      </c>
      <c r="Q46" t="n">
        <v>15</v>
      </c>
      <c r="R46" t="n">
        <v>7</v>
      </c>
      <c r="S46" t="n">
        <v>5</v>
      </c>
      <c r="T46" t="n">
        <v>8</v>
      </c>
      <c r="U46" t="inlineStr">
        <is>
          <t>APPLY</t>
        </is>
      </c>
      <c r="V46" t="inlineStr">
        <is>
          <t>APPLY</t>
        </is>
      </c>
      <c r="W46" t="inlineStr">
        <is>
          <t>Next.js</t>
        </is>
      </c>
      <c r="X46" t="inlineStr">
        <is>
          <t>MERN / Full Stack Resume</t>
        </is>
      </c>
      <c r="Y46" t="inlineStr">
        <is>
          <t>2026-09-12</t>
        </is>
      </c>
      <c r="Z46" t="inlineStr">
        <is>
          <t>Strong technical alignment with MERN stack experience (React, Node.js, Express).; Full stack role directly matches target software engineering internship profiles.</t>
        </is>
      </c>
      <c r="AA46" t="inlineStr">
        <is>
          <t>ELIGIBLE</t>
        </is>
      </c>
      <c r="AB46" t="inlineStr">
        <is>
          <t>Candidate is pursuing an MCA and matches software engineering internship requirements.</t>
        </is>
      </c>
      <c r="AC46" t="inlineStr">
        <is>
          <t>UNKNOWN</t>
        </is>
      </c>
      <c r="AD46" t="inlineStr">
        <is>
          <t>Availability timeline is not specified in the career brain.</t>
        </is>
      </c>
      <c r="AE46" t="inlineStr">
        <is>
          <t>UNKNOWN</t>
        </is>
      </c>
      <c r="AF46" t="n">
        <v>0</v>
      </c>
      <c r="AG46" t="inlineStr">
        <is>
          <t>No</t>
        </is>
      </c>
      <c r="AH46" t="inlineStr">
        <is>
          <t>UNKNOWN</t>
        </is>
      </c>
      <c r="AI46" t="inlineStr">
        <is>
          <t>No explicit mention of PPO or conversion in the job description snippet.</t>
        </is>
      </c>
      <c r="AK46" t="inlineStr">
        <is>
          <t>Shift timings are 2-10 pm</t>
        </is>
      </c>
      <c r="AL46" t="inlineStr">
        <is>
          <t>React and Next.js state management and routing; Node.js and Express middleware and REST APIs; Database integration with MERN stack; Handling asynchronous operations in JavaScript</t>
        </is>
      </c>
      <c r="AM46" t="inlineStr">
        <is>
          <t>E:\InternshipHunter\applications\jooble-2bce448b4cad</t>
        </is>
      </c>
      <c r="AN46" t="inlineStr">
        <is>
          <t>Ready for Review</t>
        </is>
      </c>
      <c r="AO46" t="inlineStr">
        <is>
          <t>Generated</t>
        </is>
      </c>
      <c r="AP46" t="inlineStr">
        <is>
          <t>Generated</t>
        </is>
      </c>
      <c r="AQ46" t="inlineStr">
        <is>
          <t>Generated</t>
        </is>
      </c>
      <c r="AR46" t="inlineStr">
        <is>
          <t>Ready to Apply</t>
        </is>
      </c>
    </row>
    <row r="47">
      <c r="A47" t="inlineStr">
        <is>
          <t>NXTWAVE-DISR-260912-46</t>
        </is>
      </c>
      <c r="B47" t="inlineStr">
        <is>
          <t>Nxtwave Disruptive Technologies Private Limited</t>
        </is>
      </c>
      <c r="C47" t="inlineStr">
        <is>
          <t>MERN Developer - Intern</t>
        </is>
      </c>
      <c r="D47" t="inlineStr">
        <is>
          <t>https://in.jooble.org/desc/7218822007534742956?ckey=Node.js+intern&amp;rgn=3193&amp;pos=2&amp;elckey=8297031273089829483&amp;p=1&amp;aq=-2324189919506338114&amp;cid=389&amp;jobAge=229&amp;brelb=10&amp;bscr=2019.2196&amp;scr=2019.2196</t>
        </is>
      </c>
      <c r="E47" t="inlineStr">
        <is>
          <t>AI Analyzer</t>
        </is>
      </c>
      <c r="F47" t="inlineStr">
        <is>
          <t>Bangalore</t>
        </is>
      </c>
      <c r="G47" t="inlineStr">
        <is>
          <t>On-site / Not specified</t>
        </is>
      </c>
      <c r="H47" t="inlineStr">
        <is>
          <t>Rs 3.5 - 4 lakhs p.a.</t>
        </is>
      </c>
      <c r="I47" t="inlineStr">
        <is>
          <t>Not specified</t>
        </is>
      </c>
      <c r="J47" t="inlineStr">
        <is>
          <t>EXPLICIT</t>
        </is>
      </c>
      <c r="K47" t="inlineStr">
        <is>
          <t>JavaScript; React.js; Node.js; SQL/MongoDB; Python</t>
        </is>
      </c>
      <c r="M47" t="inlineStr">
        <is>
          <t>&amp;nbsp;...Opportunity Apply Link: Apply Here Role: MERN Developer – &lt;b&gt;Intern &lt;/b&gt; Job Type: Internship + Full-Time Location: Bangalore...&amp;nbsp;&amp;nbsp;...Candidates should have hands-on knowledge of JavaScript, React.&lt;b&gt;js, Node.&lt;/b&gt;js, SQL/MongoDB, and Python. Candidates should have attempted...&amp;nbsp;</t>
        </is>
      </c>
      <c r="N47" t="n">
        <v>100</v>
      </c>
      <c r="O47" t="n">
        <v>30</v>
      </c>
      <c r="P47" t="n">
        <v>20</v>
      </c>
      <c r="Q47" t="n">
        <v>15</v>
      </c>
      <c r="R47" t="n">
        <v>15</v>
      </c>
      <c r="S47" t="n">
        <v>10</v>
      </c>
      <c r="T47" t="n">
        <v>10</v>
      </c>
      <c r="U47" t="inlineStr">
        <is>
          <t>APPLY ASAP</t>
        </is>
      </c>
      <c r="V47" t="inlineStr">
        <is>
          <t>APPLY ASAP</t>
        </is>
      </c>
      <c r="X47" t="inlineStr">
        <is>
          <t>Full Stack / MERN Developer Resume</t>
        </is>
      </c>
      <c r="Y47" t="inlineStr">
        <is>
          <t>2026-09-12</t>
        </is>
      </c>
      <c r="Z47" t="inlineStr">
        <is>
          <t>Strong tech stack match covering JavaScript, React.js, Node.js, MongoDB, SQL, and Python.; Stipend translates to approximately ₹29,166 to ₹33,333 per month, exceeding the minimum target of ₹25,000.; Explicit conversion pathway from Internship to Full-Time aligns with high PPO priority.; Location is Bangalore, matching target preferences.</t>
        </is>
      </c>
      <c r="AA47" t="inlineStr">
        <is>
          <t>ELIGIBLE</t>
        </is>
      </c>
      <c r="AB47" t="inlineStr">
        <is>
          <t>Candidate possesses required MERN and Python skills.</t>
        </is>
      </c>
      <c r="AC47" t="inlineStr">
        <is>
          <t>UNKNOWN</t>
        </is>
      </c>
      <c r="AD47" t="inlineStr">
        <is>
          <t>Availability not provided in Career Brain.</t>
        </is>
      </c>
      <c r="AE47" t="inlineStr">
        <is>
          <t>EXPLICIT</t>
        </is>
      </c>
      <c r="AF47" t="n">
        <v>29166</v>
      </c>
      <c r="AG47" t="inlineStr">
        <is>
          <t>No</t>
        </is>
      </c>
      <c r="AH47" t="inlineStr">
        <is>
          <t>EXPLICIT</t>
        </is>
      </c>
      <c r="AI47" t="inlineStr">
        <is>
          <t>Internship + Full-Time</t>
        </is>
      </c>
      <c r="AL47" t="inlineStr">
        <is>
          <t>JavaScript ES6+; React.js state management and hooks; Node.js &amp; Express.js event loop and REST APIs; MongoDB queries and SQL fundamentals; Python scripting basics</t>
        </is>
      </c>
      <c r="AM47" t="inlineStr">
        <is>
          <t>E:\InternshipHunter\applications\jooble-e0584afe814a</t>
        </is>
      </c>
      <c r="AN47" t="inlineStr">
        <is>
          <t>Ready for Review</t>
        </is>
      </c>
      <c r="AO47" t="inlineStr">
        <is>
          <t>Generated</t>
        </is>
      </c>
      <c r="AP47" t="inlineStr">
        <is>
          <t>Generated</t>
        </is>
      </c>
      <c r="AQ47" t="inlineStr">
        <is>
          <t>Generated</t>
        </is>
      </c>
      <c r="AR47" t="inlineStr">
        <is>
          <t>Ready to Apply</t>
        </is>
      </c>
    </row>
    <row r="48">
      <c r="A48" t="inlineStr">
        <is>
          <t>PANIKCURE-260912-47</t>
        </is>
      </c>
      <c r="B48" t="inlineStr">
        <is>
          <t>panikcure</t>
        </is>
      </c>
      <c r="C48" t="inlineStr">
        <is>
          <t>Full Stack Developer Intern</t>
        </is>
      </c>
      <c r="D48" t="inlineStr">
        <is>
          <t>https://in.jooble.org/desc/-3123247519826094573?ckey=Node.js+intern&amp;rgn=3193&amp;pos=4&amp;elckey=8297031273089829483&amp;p=1&amp;aq=-2324189919506338114&amp;cid=389&amp;jobAge=109&amp;brelb=10&amp;bscr=1590.8795&amp;scr=1590.8795</t>
        </is>
      </c>
      <c r="E48" t="inlineStr">
        <is>
          <t>AI Analyzer</t>
        </is>
      </c>
      <c r="F48" t="inlineStr">
        <is>
          <t>Bangalore</t>
        </is>
      </c>
      <c r="G48" t="inlineStr">
        <is>
          <t>Unknown</t>
        </is>
      </c>
      <c r="H48" t="inlineStr">
        <is>
          <t>Not specified</t>
        </is>
      </c>
      <c r="I48" t="inlineStr">
        <is>
          <t>Unknown</t>
        </is>
      </c>
      <c r="J48" t="inlineStr">
        <is>
          <t>Not Mentioned</t>
        </is>
      </c>
      <c r="K48" t="inlineStr">
        <is>
          <t>React.js; Node.js; Firebase; Supabase</t>
        </is>
      </c>
      <c r="L48" t="inlineStr">
        <is>
          <t>Next.js</t>
        </is>
      </c>
      <c r="M48" t="inlineStr">
        <is>
          <t>&amp;nbsp;...health solutions. We're looking for a Full Stack Developer &lt;b&gt;Intern &lt;/b&gt; . You'll work closely with a small, cross-functional team to...&amp;nbsp;&amp;nbsp;...For Students or recent grads with: Proficiency in React.&lt;b&gt;js &lt;/b&gt;/ Next.js / &lt;b&gt;Node.&lt;/b&gt;js Familiarity with Firebase / Supabase (auth + database)...&amp;nbsp;</t>
        </is>
      </c>
      <c r="N48" t="n">
        <v>59</v>
      </c>
      <c r="O48" t="n">
        <v>22</v>
      </c>
      <c r="P48" t="n">
        <v>15</v>
      </c>
      <c r="Q48" t="n">
        <v>12</v>
      </c>
      <c r="R48" t="n">
        <v>5</v>
      </c>
      <c r="S48" t="n">
        <v>0</v>
      </c>
      <c r="T48" t="n">
        <v>5</v>
      </c>
      <c r="U48" t="inlineStr">
        <is>
          <t>SKIP</t>
        </is>
      </c>
      <c r="V48" t="inlineStr">
        <is>
          <t>SKIP</t>
        </is>
      </c>
      <c r="W48" t="inlineStr">
        <is>
          <t>Firebase; Supabase; Next.js</t>
        </is>
      </c>
      <c r="X48" t="inlineStr">
        <is>
          <t>Amaanuddin_Ahmed_Full_Stack_Resume.pdf</t>
        </is>
      </c>
      <c r="Y48" t="inlineStr">
        <is>
          <t>2026-09-12</t>
        </is>
      </c>
      <c r="Z48" t="inlineStr">
        <is>
          <t>Matches target Full Stack Developer intern role; Located in Bangalore; Requires React.js and Node.js which are in candidate skill set</t>
        </is>
      </c>
      <c r="AA48" t="inlineStr">
        <is>
          <t>Eligible</t>
        </is>
      </c>
      <c r="AB48" t="inlineStr">
        <is>
          <t>Open to students and recent graduates</t>
        </is>
      </c>
      <c r="AC48" t="inlineStr">
        <is>
          <t>Unknown</t>
        </is>
      </c>
      <c r="AD48" t="inlineStr">
        <is>
          <t>Not specified in candidate profile</t>
        </is>
      </c>
      <c r="AE48" t="inlineStr">
        <is>
          <t>UNKNOWN</t>
        </is>
      </c>
      <c r="AF48" t="n">
        <v>0</v>
      </c>
      <c r="AG48" t="inlineStr">
        <is>
          <t>No</t>
        </is>
      </c>
      <c r="AH48" t="inlineStr">
        <is>
          <t>Not Mentioned</t>
        </is>
      </c>
      <c r="AI48" t="inlineStr">
        <is>
          <t>No mention of PPO or conversion in the job description</t>
        </is>
      </c>
      <c r="AK48" t="inlineStr">
        <is>
          <t>Stipend is not disclosed; PPO is not mentioned</t>
        </is>
      </c>
      <c r="AL48" t="inlineStr">
        <is>
          <t>React.js state management and hooks; Node.js backend architecture and API development; Experience with Firebase or Supabase authentication and databases</t>
        </is>
      </c>
    </row>
    <row r="49">
      <c r="A49" t="inlineStr">
        <is>
          <t>JOVEO-260912-48</t>
        </is>
      </c>
      <c r="B49" t="inlineStr">
        <is>
          <t>Joveo</t>
        </is>
      </c>
      <c r="C49" t="inlineStr">
        <is>
          <t>Software Engineering Intern (Full Stack)</t>
        </is>
      </c>
      <c r="D49" t="inlineStr">
        <is>
          <t>https://in.jooble.org/desc/5799679831910233464?ckey=Node.js+intern&amp;rgn=3193&amp;pos=5&amp;elckey=8297031273089829483&amp;p=1&amp;aq=-2324189919506338114&amp;cid=389&amp;jobAge=61&amp;brelb=10&amp;bscr=1564.4097&amp;scr=1564.4097</t>
        </is>
      </c>
      <c r="E49" t="inlineStr">
        <is>
          <t>AI Analyzer</t>
        </is>
      </c>
      <c r="F49" t="inlineStr">
        <is>
          <t>Bangalore</t>
        </is>
      </c>
      <c r="G49" t="inlineStr">
        <is>
          <t>Unknown</t>
        </is>
      </c>
      <c r="H49" t="inlineStr">
        <is>
          <t>Competitive stipend</t>
        </is>
      </c>
      <c r="I49" t="inlineStr">
        <is>
          <t>Unknown</t>
        </is>
      </c>
      <c r="J49" t="inlineStr">
        <is>
          <t>Not Mentioned</t>
        </is>
      </c>
      <c r="K49" t="inlineStr">
        <is>
          <t>React; Next.js; Node.js; Express; SQL</t>
        </is>
      </c>
      <c r="M49" t="inlineStr">
        <is>
          <t>&amp;nbsp;...Role : Software Engineering &lt;b&gt;Intern &lt;/b&gt;(Full Stack) Payout : Competitive stipend Role Overview: We are seeking a Software Engineering...&amp;nbsp;&amp;nbsp;...Develop and ship across the full stack using React and Next.&lt;b&gt;js &lt;/b&gt;on the frontend and &lt;b&gt;Node.&lt;/b&gt;js and Express on the backend, with SQL databases underneath...&amp;nbsp;</t>
        </is>
      </c>
      <c r="N49" t="n">
        <v>74</v>
      </c>
      <c r="O49" t="n">
        <v>24</v>
      </c>
      <c r="P49" t="n">
        <v>18</v>
      </c>
      <c r="Q49" t="n">
        <v>14</v>
      </c>
      <c r="R49" t="n">
        <v>5</v>
      </c>
      <c r="S49" t="n">
        <v>5</v>
      </c>
      <c r="T49" t="n">
        <v>8</v>
      </c>
      <c r="U49" t="inlineStr">
        <is>
          <t>CONSIDER</t>
        </is>
      </c>
      <c r="V49" t="inlineStr">
        <is>
          <t>CONSIDER</t>
        </is>
      </c>
      <c r="W49" t="inlineStr">
        <is>
          <t>Next.js</t>
        </is>
      </c>
      <c r="X49" t="inlineStr">
        <is>
          <t>Full Stack MERN Resume</t>
        </is>
      </c>
      <c r="Y49" t="inlineStr">
        <is>
          <t>2026-09-12</t>
        </is>
      </c>
      <c r="Z49" t="inlineStr">
        <is>
          <t>Strong tech stack match with React, Node.js, Express, and SQL; Located in Bangalore with a relevant Full Stack Engineering intern role</t>
        </is>
      </c>
      <c r="AA49" t="inlineStr">
        <is>
          <t>Eligible</t>
        </is>
      </c>
      <c r="AC49" t="inlineStr">
        <is>
          <t>Unknown</t>
        </is>
      </c>
      <c r="AD49" t="inlineStr">
        <is>
          <t>Availability timeline not specified in candidate profile or job description.</t>
        </is>
      </c>
      <c r="AE49" t="inlineStr">
        <is>
          <t>UNKNOWN</t>
        </is>
      </c>
      <c r="AF49" t="n">
        <v>0</v>
      </c>
      <c r="AG49" t="inlineStr">
        <is>
          <t>No</t>
        </is>
      </c>
      <c r="AH49" t="inlineStr">
        <is>
          <t>Not Mentioned</t>
        </is>
      </c>
      <c r="AI49" t="inlineStr">
        <is>
          <t>No explicit mention of PPO or conversion in the job description snippet.</t>
        </is>
      </c>
      <c r="AK49" t="inlineStr">
        <is>
          <t>Stipend is listed only as competitive without concrete numbers</t>
        </is>
      </c>
      <c r="AL49" t="inlineStr">
        <is>
          <t>React and Next.js rendering patterns and state management; Node.js and Express architecture, middleware, and error handling; SQL database schema design and query optimization; Full-stack project walkthrough (e.g., StaySphere)</t>
        </is>
      </c>
    </row>
    <row r="50">
      <c r="A50" t="inlineStr">
        <is>
          <t>EPIFI-260912-49</t>
        </is>
      </c>
      <c r="B50" t="inlineStr">
        <is>
          <t>epifi</t>
        </is>
      </c>
      <c r="C50" t="inlineStr">
        <is>
          <t>Ai Engg Intern</t>
        </is>
      </c>
      <c r="D50" t="inlineStr">
        <is>
          <t>https://in.jooble.org/desc/458763758895582905?ckey=Node.js+intern&amp;rgn=3193&amp;pos=6&amp;elckey=8297031273089829483&amp;p=1&amp;aq=-2324189919506338114&amp;cid=389&amp;jobAge=1701&amp;brelb=100&amp;bscr=1543.7444&amp;scr=1543.7444</t>
        </is>
      </c>
      <c r="E50" t="inlineStr">
        <is>
          <t>AI Analyzer</t>
        </is>
      </c>
      <c r="F50" t="inlineStr">
        <is>
          <t>Bangalore</t>
        </is>
      </c>
      <c r="G50" t="inlineStr">
        <is>
          <t>UNKNOWN</t>
        </is>
      </c>
      <c r="H50" t="inlineStr">
        <is>
          <t>Not specified</t>
        </is>
      </c>
      <c r="I50" t="inlineStr">
        <is>
          <t>UNKNOWN</t>
        </is>
      </c>
      <c r="J50" t="inlineStr">
        <is>
          <t>UNKNOWN</t>
        </is>
      </c>
      <c r="K50" t="inlineStr">
        <is>
          <t>Python; Node.js; Backend or Full-stack programming fundamentals</t>
        </is>
      </c>
      <c r="L50" t="inlineStr">
        <is>
          <t>Go</t>
        </is>
      </c>
      <c r="M50" t="inlineStr">
        <is>
          <t>&amp;nbsp;...least one meaningful project outside of coursework. Strong programming fundamentals in a backend or full-stack language (Python, Go, &lt;b&gt;Node.js,&lt;/b&gt; etc.). The ability to learn independently, solve unfamiliar problems, and figure things out. A self-directed builder who doesn...&amp;nbsp;</t>
        </is>
      </c>
      <c r="N50" t="n">
        <v>61</v>
      </c>
      <c r="O50" t="n">
        <v>25</v>
      </c>
      <c r="P50" t="n">
        <v>16</v>
      </c>
      <c r="Q50" t="n">
        <v>10</v>
      </c>
      <c r="R50" t="n">
        <v>5</v>
      </c>
      <c r="S50" t="n">
        <v>0</v>
      </c>
      <c r="T50" t="n">
        <v>5</v>
      </c>
      <c r="U50" t="inlineStr">
        <is>
          <t>STRETCH</t>
        </is>
      </c>
      <c r="V50" t="inlineStr">
        <is>
          <t>STRETCH</t>
        </is>
      </c>
      <c r="W50" t="inlineStr">
        <is>
          <t>Go</t>
        </is>
      </c>
      <c r="X50" t="inlineStr">
        <is>
          <t>Amaan_Ahmed_Software_Engineer_Resume.pdf</t>
        </is>
      </c>
      <c r="Y50" t="inlineStr">
        <is>
          <t>2026-09-12</t>
        </is>
      </c>
      <c r="Z50" t="inlineStr">
        <is>
          <t>Strong technical alignment with Node.js and Python requirements; Demonstrated project experience fits the requirement of having built meaningful projects outside coursework; Located in Bangalore</t>
        </is>
      </c>
      <c r="AA50" t="inlineStr">
        <is>
          <t>ELIGIBLE</t>
        </is>
      </c>
      <c r="AB50" t="inlineStr">
        <is>
          <t>Candidate has meaningful projects outside coursework (StaySphere, Zenvest, Contexa); Candidate has programming fundamentals in Node.js and Python</t>
        </is>
      </c>
      <c r="AC50" t="inlineStr">
        <is>
          <t>UNKNOWN</t>
        </is>
      </c>
      <c r="AD50" t="inlineStr">
        <is>
          <t>Not provided in career brain or job description</t>
        </is>
      </c>
      <c r="AE50" t="inlineStr">
        <is>
          <t>UNKNOWN</t>
        </is>
      </c>
      <c r="AF50" t="n">
        <v>0</v>
      </c>
      <c r="AG50" t="inlineStr">
        <is>
          <t>No</t>
        </is>
      </c>
      <c r="AH50" t="inlineStr">
        <is>
          <t>UNKNOWN</t>
        </is>
      </c>
      <c r="AI50" t="inlineStr">
        <is>
          <t>Not mentioned in the job description</t>
        </is>
      </c>
      <c r="AK50" t="inlineStr">
        <is>
          <t>Stipend not disclosed; PPO info not disclosed</t>
        </is>
      </c>
      <c r="AL50" t="inlineStr">
        <is>
          <t>Backend fundamentals; Node.js and Python problem solving; Discussion of capstone and personal projects (StaySphere, Zenvest, Contexa)</t>
        </is>
      </c>
    </row>
    <row r="51">
      <c r="A51" t="inlineStr">
        <is>
          <t>RP-INFOCARE--260912-50</t>
        </is>
      </c>
      <c r="B51" t="inlineStr">
        <is>
          <t>rp infocare pvt ltd</t>
        </is>
      </c>
      <c r="C51" t="inlineStr">
        <is>
          <t>Full Stack Web Developer Intern</t>
        </is>
      </c>
      <c r="D51" t="inlineStr">
        <is>
          <t>https://in.jooble.org/desc/-5507068087024381505?ckey=Node.js+intern&amp;rgn=3193&amp;pos=7&amp;elckey=8297031273089829483&amp;p=1&amp;aq=-2324189919506338114&amp;cid=389&amp;jobAge=109&amp;brelb=10&amp;bscr=1532.6602&amp;scr=1532.6602</t>
        </is>
      </c>
      <c r="E51" t="inlineStr">
        <is>
          <t>AI Analyzer</t>
        </is>
      </c>
      <c r="F51" t="inlineStr">
        <is>
          <t>Bangalore</t>
        </is>
      </c>
      <c r="G51" t="inlineStr">
        <is>
          <t>On-site</t>
        </is>
      </c>
      <c r="H51" t="inlineStr">
        <is>
          <t>NON PAID</t>
        </is>
      </c>
      <c r="I51" t="inlineStr">
        <is>
          <t>UNKNOWN</t>
        </is>
      </c>
      <c r="J51" t="inlineStr">
        <is>
          <t>NOT_MENTIONED</t>
        </is>
      </c>
      <c r="K51" t="inlineStr">
        <is>
          <t>React; PHP; Node.js; Full-Stack Development</t>
        </is>
      </c>
      <c r="M51" t="inlineStr">
        <is>
          <t>&amp;nbsp;...on-site role located in Bengaluru for a Full Stack Web Developer &lt;b&gt;Intern-&lt;/b&gt; React, PHP (NON PAID). The intern will be responsible for assisting...&amp;nbsp;&amp;nbsp;...) Back-End Web Development skills including knowledge of PHP, &lt;b&gt;Node js.&lt;/b&gt; Software Development and Full-Stack Development skills...&amp;nbsp;</t>
        </is>
      </c>
      <c r="N51" t="n">
        <v>45</v>
      </c>
      <c r="O51" t="n">
        <v>60</v>
      </c>
      <c r="P51" t="n">
        <v>70</v>
      </c>
      <c r="Q51" t="n">
        <v>70</v>
      </c>
      <c r="R51" t="n">
        <v>0</v>
      </c>
      <c r="S51" t="n">
        <v>0</v>
      </c>
      <c r="T51" t="n">
        <v>20</v>
      </c>
      <c r="U51" t="inlineStr">
        <is>
          <t>SKIP</t>
        </is>
      </c>
      <c r="V51" t="inlineStr">
        <is>
          <t>SKIP</t>
        </is>
      </c>
      <c r="W51" t="inlineStr">
        <is>
          <t>PHP</t>
        </is>
      </c>
      <c r="X51" t="inlineStr">
        <is>
          <t>Amaan_Full_Stack_Resume.pdf</t>
        </is>
      </c>
      <c r="Y51" t="inlineStr">
        <is>
          <t>2026-09-12</t>
        </is>
      </c>
      <c r="Z51" t="inlineStr">
        <is>
          <t>Matches Full Stack role and Bangalore location</t>
        </is>
      </c>
      <c r="AA51" t="inlineStr">
        <is>
          <t>ELIGIBLE</t>
        </is>
      </c>
      <c r="AB51" t="inlineStr">
        <is>
          <t>Location matches preference (Bangalore); Role aligns with Full Stack Development target</t>
        </is>
      </c>
      <c r="AC51" t="inlineStr">
        <is>
          <t>UNKNOWN</t>
        </is>
      </c>
      <c r="AD51" t="inlineStr">
        <is>
          <t>Not specified in candidate profile</t>
        </is>
      </c>
      <c r="AE51" t="inlineStr">
        <is>
          <t>UNPAID</t>
        </is>
      </c>
      <c r="AF51" t="n">
        <v>0</v>
      </c>
      <c r="AG51" t="inlineStr">
        <is>
          <t>No</t>
        </is>
      </c>
      <c r="AH51" t="inlineStr">
        <is>
          <t>NOT_MENTIONED</t>
        </is>
      </c>
      <c r="AI51" t="inlineStr">
        <is>
          <t>No mention of PPO or conversion in the job description.</t>
        </is>
      </c>
      <c r="AJ51" t="inlineStr">
        <is>
          <t>Unpaid internship below minimum stipend target of ₹25,000/month</t>
        </is>
      </c>
      <c r="AK51" t="inlineStr">
        <is>
          <t>Non-paid internship; Requires PHP which is outside primary stack expertise</t>
        </is>
      </c>
      <c r="AL51" t="inlineStr">
        <is>
          <t>React state management and hooks; Node.js asynchronous programming; PHP basics and how it compares to Node.js</t>
        </is>
      </c>
    </row>
    <row r="52">
      <c r="A52" t="inlineStr">
        <is>
          <t>LIMINAL-CUST-260912-51</t>
        </is>
      </c>
      <c r="B52" t="inlineStr">
        <is>
          <t>liminal custody</t>
        </is>
      </c>
      <c r="C52" t="inlineStr">
        <is>
          <t>QA Automation Intern</t>
        </is>
      </c>
      <c r="D52" t="inlineStr">
        <is>
          <t>https://in.jooble.org/desc/-313820493907634138?ckey=Node.js+intern&amp;rgn=3193&amp;pos=8&amp;elckey=8297031273089829483&amp;p=1&amp;aq=-2324189919506338114&amp;cid=389&amp;jobAge=397&amp;brelb=10&amp;bscr=1524.3396&amp;scr=1524.3396</t>
        </is>
      </c>
      <c r="E52" t="inlineStr">
        <is>
          <t>AI Analyzer</t>
        </is>
      </c>
      <c r="F52" t="inlineStr">
        <is>
          <t>Bangalore</t>
        </is>
      </c>
      <c r="G52" t="inlineStr">
        <is>
          <t>UNKNOWN</t>
        </is>
      </c>
      <c r="H52" t="inlineStr">
        <is>
          <t>Not specified</t>
        </is>
      </c>
      <c r="I52" t="inlineStr">
        <is>
          <t>UNKNOWN</t>
        </is>
      </c>
      <c r="J52" t="inlineStr">
        <is>
          <t>UNKNOWN</t>
        </is>
      </c>
      <c r="K52" t="inlineStr">
        <is>
          <t>Software Testing; Git/GitHub; Node.js; HTML/CSS</t>
        </is>
      </c>
      <c r="M52" t="inlineStr">
        <is>
          <t>&amp;nbsp;...About the Internship : We are looking for a passionate QA Automation &lt;b&gt;Intern &lt;/b&gt;who is eager to learn modern test automation practices and...&amp;nbsp;&amp;nbsp;...&amp; CSS Software Testing concepts Git/GitHub Knowledge of &lt;b&gt;Node.js.&lt;/b&gt; Strong analytical and problem-solving skills. Good communication...&amp;nbsp;</t>
        </is>
      </c>
      <c r="N52" t="n">
        <v>48</v>
      </c>
      <c r="O52" t="n">
        <v>60</v>
      </c>
      <c r="P52" t="n">
        <v>70</v>
      </c>
      <c r="Q52" t="n">
        <v>50</v>
      </c>
      <c r="R52" t="n">
        <v>0</v>
      </c>
      <c r="S52" t="n">
        <v>0</v>
      </c>
      <c r="T52" t="n">
        <v>50</v>
      </c>
      <c r="U52" t="inlineStr">
        <is>
          <t>SKIP</t>
        </is>
      </c>
      <c r="V52" t="inlineStr">
        <is>
          <t>SKIP</t>
        </is>
      </c>
      <c r="W52" t="inlineStr">
        <is>
          <t>Software Testing</t>
        </is>
      </c>
      <c r="X52" t="inlineStr">
        <is>
          <t>Amaanuddin_Ahmed_Software_Engineer_Resume.pdf</t>
        </is>
      </c>
      <c r="Y52" t="inlineStr">
        <is>
          <t>2026-09-12</t>
        </is>
      </c>
      <c r="Z52" t="inlineStr">
        <is>
          <t>Matches location preference (Bangalore); Uses Node.js which candidate has experience with</t>
        </is>
      </c>
      <c r="AA52" t="inlineStr">
        <is>
          <t>ELIGIBLE</t>
        </is>
      </c>
      <c r="AB52" t="inlineStr">
        <is>
          <t>No explicit degree or graduation-year blockers mentioned in the description.</t>
        </is>
      </c>
      <c r="AC52" t="inlineStr">
        <is>
          <t>UNKNOWN</t>
        </is>
      </c>
      <c r="AD52" t="inlineStr">
        <is>
          <t>Candidate availability is not specified in the profile.</t>
        </is>
      </c>
      <c r="AE52" t="inlineStr">
        <is>
          <t>UNKNOWN</t>
        </is>
      </c>
      <c r="AF52" t="n">
        <v>0</v>
      </c>
      <c r="AG52" t="inlineStr">
        <is>
          <t>No</t>
        </is>
      </c>
      <c r="AH52" t="inlineStr">
        <is>
          <t>UNKNOWN</t>
        </is>
      </c>
      <c r="AI52" t="inlineStr">
        <is>
          <t>No mention of PPO or conversion in the job description.</t>
        </is>
      </c>
      <c r="AK52" t="inlineStr">
        <is>
          <t>Stipend details not specified; Role is QA Automation, which differs from core target roles (Full Stack / Backend / Software Engineering)</t>
        </is>
      </c>
      <c r="AL52" t="inlineStr">
        <is>
          <t>Software Testing concepts; Node.js fundamentals; Git and Version Control; Problem-solving and analytical approach</t>
        </is>
      </c>
    </row>
    <row r="53">
      <c r="A53" t="inlineStr">
        <is>
          <t>TRADEGOSPEL-260912-52</t>
        </is>
      </c>
      <c r="B53" t="inlineStr">
        <is>
          <t>tradegospel</t>
        </is>
      </c>
      <c r="C53" t="inlineStr">
        <is>
          <t>Full Stack Developer Intern</t>
        </is>
      </c>
      <c r="D53" t="inlineStr">
        <is>
          <t>https://in.jooble.org/desc/-4062499930695493919?ckey=Node.js+intern&amp;rgn=3193&amp;pos=9&amp;elckey=8297031273089829483&amp;p=1&amp;aq=-2324189919506338114&amp;cid=389&amp;jobAge=373&amp;brelb=10&amp;bscr=1478.4012&amp;scr=1478.4012</t>
        </is>
      </c>
      <c r="E53" t="inlineStr">
        <is>
          <t>AI Analyzer</t>
        </is>
      </c>
      <c r="F53" t="inlineStr">
        <is>
          <t>Bangalore</t>
        </is>
      </c>
      <c r="G53" t="inlineStr">
        <is>
          <t>On-site</t>
        </is>
      </c>
      <c r="I53" t="inlineStr">
        <is>
          <t>3 months</t>
        </is>
      </c>
      <c r="J53" t="inlineStr">
        <is>
          <t>NOT_MENTIONED</t>
        </is>
      </c>
      <c r="K53" t="inlineStr">
        <is>
          <t>React.js; Next.js; Node.js; MongoDB</t>
        </is>
      </c>
      <c r="M53" t="inlineStr">
        <is>
          <t>&amp;nbsp;...digital solutions. We are looking for a Full Stack Developer &lt;b&gt;Intern &lt;/b&gt; to join us for a 3-month internship at our Bengaluru office...&amp;nbsp;&amp;nbsp;...Develop and maintain web applications using React.&lt;b&gt;js,&lt;/b&gt; Next.js, and &lt;b&gt;Node.&lt;/b&gt;js . Work with MongoDB for database operations and integration...&amp;nbsp;</t>
        </is>
      </c>
      <c r="N53" t="n">
        <v>60</v>
      </c>
      <c r="O53" t="n">
        <v>24</v>
      </c>
      <c r="P53" t="n">
        <v>16</v>
      </c>
      <c r="Q53" t="n">
        <v>15</v>
      </c>
      <c r="R53" t="n">
        <v>0</v>
      </c>
      <c r="S53" t="n">
        <v>0</v>
      </c>
      <c r="T53" t="n">
        <v>5</v>
      </c>
      <c r="U53" t="inlineStr">
        <is>
          <t>STRETCH</t>
        </is>
      </c>
      <c r="V53" t="inlineStr">
        <is>
          <t>STRETCH</t>
        </is>
      </c>
      <c r="W53" t="inlineStr">
        <is>
          <t>Next.js</t>
        </is>
      </c>
      <c r="X53" t="inlineStr">
        <is>
          <t>Default Full Stack / MERN Resume</t>
        </is>
      </c>
      <c r="Y53" t="inlineStr">
        <is>
          <t>2026-09-12</t>
        </is>
      </c>
      <c r="Z53" t="inlineStr">
        <is>
          <t>Strong technical alignment with React.js, Node.js, and MongoDB stack; Located in Bangalore which matches local preference; Good opportunity to apply MERN stack experience from projects like StaySphere</t>
        </is>
      </c>
      <c r="AA53" t="inlineStr">
        <is>
          <t>ELIGIBLE</t>
        </is>
      </c>
      <c r="AB53" t="inlineStr">
        <is>
          <t>No explicit graduation year or degree restrictions mentioned in the JD.</t>
        </is>
      </c>
      <c r="AC53" t="inlineStr">
        <is>
          <t>UNKNOWN</t>
        </is>
      </c>
      <c r="AD53" t="inlineStr">
        <is>
          <t>Availability not specified in the candidate profile.</t>
        </is>
      </c>
      <c r="AE53" t="inlineStr">
        <is>
          <t>UNKNOWN</t>
        </is>
      </c>
      <c r="AF53" t="n">
        <v>0</v>
      </c>
      <c r="AG53" t="inlineStr">
        <is>
          <t>No</t>
        </is>
      </c>
      <c r="AH53" t="inlineStr">
        <is>
          <t>NOT_MENTIONED</t>
        </is>
      </c>
      <c r="AI53" t="inlineStr">
        <is>
          <t>No mention of PPO or conversion in the job description.</t>
        </is>
      </c>
      <c r="AK53" t="inlineStr">
        <is>
          <t>Stipend not disclosed; No PPO mention</t>
        </is>
      </c>
      <c r="AL53" t="inlineStr">
        <is>
          <t>React.js state management and lifecycle; Next.js fundamentals (SSR, SSG, routing); Node.js event loop and asynchronous programming; MongoDB schema design and aggregation pipelines</t>
        </is>
      </c>
    </row>
    <row r="54">
      <c r="A54" t="inlineStr">
        <is>
          <t>RENTOMOJO-260912-53</t>
        </is>
      </c>
      <c r="B54" t="inlineStr">
        <is>
          <t>RentoMojo</t>
        </is>
      </c>
      <c r="C54" t="inlineStr">
        <is>
          <t>Data Analyst -Intern</t>
        </is>
      </c>
      <c r="D54" t="inlineStr">
        <is>
          <t>https://in.jooble.org/desc/8456592047622568060?ckey=Node.js+intern&amp;rgn=3193&amp;pos=10&amp;elckey=8297031273089829483&amp;p=1&amp;aq=-2324189919506338114&amp;cid=389&amp;jobAge=109&amp;brelb=10&amp;bscr=1470.5691&amp;scr=1470.5691</t>
        </is>
      </c>
      <c r="E54" t="inlineStr">
        <is>
          <t>AI Analyzer</t>
        </is>
      </c>
      <c r="F54" t="inlineStr">
        <is>
          <t>Bangalore</t>
        </is>
      </c>
      <c r="G54" t="inlineStr">
        <is>
          <t>UNKNOWN</t>
        </is>
      </c>
      <c r="H54" t="inlineStr">
        <is>
          <t>Not specified</t>
        </is>
      </c>
      <c r="I54" t="inlineStr">
        <is>
          <t>UNKNOWN</t>
        </is>
      </c>
      <c r="J54" t="inlineStr">
        <is>
          <t>UNKNOWN</t>
        </is>
      </c>
      <c r="K54" t="inlineStr">
        <is>
          <t>Business KPIs; Data Analysis</t>
        </is>
      </c>
      <c r="L54" t="inlineStr">
        <is>
          <t>Python; Node.js; Lambda scripting; DBT; Snowflake; Redshift; Fivetran</t>
        </is>
      </c>
      <c r="M54" t="inlineStr">
        <is>
          <t>&amp;nbsp;...). Good understanding of business KPIs and ability to derive insights from raw data. Bonus Points Experience with Python or &lt;b&gt;Node.js &lt;/b&gt;for Lambda scripting and automation. Familiarity with DBT or modern data stack (e.g., Snowflake, Redshift, Fivetran). Exposure...&amp;nbsp;</t>
        </is>
      </c>
      <c r="N54" t="n">
        <v>38</v>
      </c>
      <c r="O54" t="n">
        <v>40</v>
      </c>
      <c r="P54" t="n">
        <v>50</v>
      </c>
      <c r="Q54" t="n">
        <v>40</v>
      </c>
      <c r="R54" t="n">
        <v>0</v>
      </c>
      <c r="S54" t="n">
        <v>0</v>
      </c>
      <c r="T54" t="n">
        <v>50</v>
      </c>
      <c r="U54" t="inlineStr">
        <is>
          <t>SKIP</t>
        </is>
      </c>
      <c r="V54" t="inlineStr">
        <is>
          <t>SKIP</t>
        </is>
      </c>
      <c r="W54" t="inlineStr">
        <is>
          <t>DBT; Snowflake; Redshift; Fivetran; Business KPIs/Data Analytics domain expertise</t>
        </is>
      </c>
      <c r="X54" t="inlineStr">
        <is>
          <t>Default Full Stack / Software Engineering Resume</t>
        </is>
      </c>
      <c r="Y54" t="inlineStr">
        <is>
          <t>2026-09-12</t>
        </is>
      </c>
      <c r="Z54" t="inlineStr">
        <is>
          <t>Mentions bonus points for Python or Node.js which candidate has exposure to</t>
        </is>
      </c>
      <c r="AA54" t="inlineStr">
        <is>
          <t>ELIGIBLE</t>
        </is>
      </c>
      <c r="AB54" t="inlineStr">
        <is>
          <t>No specific degree or strict experience blockers mentioned in the snippet</t>
        </is>
      </c>
      <c r="AC54" t="inlineStr">
        <is>
          <t>UNKNOWN</t>
        </is>
      </c>
      <c r="AD54" t="inlineStr">
        <is>
          <t>Availability not specified</t>
        </is>
      </c>
      <c r="AE54" t="inlineStr">
        <is>
          <t>UNKNOWN</t>
        </is>
      </c>
      <c r="AF54" t="n">
        <v>0</v>
      </c>
      <c r="AG54" t="inlineStr">
        <is>
          <t>No</t>
        </is>
      </c>
      <c r="AH54" t="inlineStr">
        <is>
          <t>UNKNOWN</t>
        </is>
      </c>
      <c r="AI54" t="inlineStr">
        <is>
          <t>No explicit PPO or conversion mention found in the snippet</t>
        </is>
      </c>
      <c r="AK54" t="inlineStr">
        <is>
          <t>Stipend not disclosed; Role is Data Analyst rather than core software engineering</t>
        </is>
      </c>
      <c r="AL54" t="inlineStr">
        <is>
          <t>Data analysis and business KPIs; Python / Node.js usage for scripting; Modern data stack familiarity</t>
        </is>
      </c>
    </row>
    <row r="55">
      <c r="A55" t="inlineStr">
        <is>
          <t>EMO.ENERGY-260912-54</t>
        </is>
      </c>
      <c r="B55" t="inlineStr">
        <is>
          <t>emo.energy</t>
        </is>
      </c>
      <c r="C55" t="inlineStr">
        <is>
          <t>Full-Stack Developer Intern</t>
        </is>
      </c>
      <c r="D55" t="inlineStr">
        <is>
          <t>https://in.jooble.org/desc/-2588912263494949841?ckey=Node.js+intern&amp;rgn=3193&amp;pos=12&amp;elckey=8297031273089829483&amp;p=1&amp;aq=-2324189919506338114&amp;cid=389&amp;jobAge=109&amp;brelb=10&amp;bscr=1390.4955&amp;scr=1390.4955</t>
        </is>
      </c>
      <c r="E55" t="inlineStr">
        <is>
          <t>AI Analyzer</t>
        </is>
      </c>
      <c r="F55" t="inlineStr">
        <is>
          <t>Bangalore</t>
        </is>
      </c>
      <c r="G55" t="inlineStr">
        <is>
          <t>Unknown</t>
        </is>
      </c>
      <c r="H55" t="inlineStr">
        <is>
          <t>Not specified</t>
        </is>
      </c>
      <c r="I55" t="inlineStr">
        <is>
          <t>Unknown</t>
        </is>
      </c>
      <c r="J55" t="inlineStr">
        <is>
          <t>Not Mentioned</t>
        </is>
      </c>
      <c r="K55" t="inlineStr">
        <is>
          <t>React; Node.js</t>
        </is>
      </c>
      <c r="L55" t="inlineStr">
        <is>
          <t>Angular; Vue.js; Python</t>
        </is>
      </c>
      <c r="M55" t="inlineStr">
        <is>
          <t>&amp;nbsp;...Job Overview As a Full-Stack Developer &lt;b&gt;Intern,&lt;/b&gt; you will work primarily on front-end development...&amp;nbsp;&amp;nbsp;...web technologies (React, Angular, Vue.&lt;b&gt;js)&lt;/b&gt;. Collaborate with cross-functional teams...&amp;nbsp;&amp;nbsp;.... Work with back-end technologies (&lt;b&gt;Node.&lt;/b&gt;js, Python) to integrate APIs and support full...&amp;nbsp;</t>
        </is>
      </c>
      <c r="N55" t="n">
        <v>75</v>
      </c>
      <c r="O55" t="n">
        <v>30</v>
      </c>
      <c r="P55" t="n">
        <v>20</v>
      </c>
      <c r="Q55" t="n">
        <v>15</v>
      </c>
      <c r="R55" t="n">
        <v>5</v>
      </c>
      <c r="S55" t="n">
        <v>0</v>
      </c>
      <c r="T55" t="n">
        <v>5</v>
      </c>
      <c r="U55" t="inlineStr">
        <is>
          <t>CONSIDER</t>
        </is>
      </c>
      <c r="V55" t="inlineStr">
        <is>
          <t>CONSIDER</t>
        </is>
      </c>
      <c r="X55" t="inlineStr">
        <is>
          <t>Amaanuddin_Ahmed_Fullstack_Resume.pdf</t>
        </is>
      </c>
      <c r="Y55" t="inlineStr">
        <is>
          <t>2026-09-12</t>
        </is>
      </c>
      <c r="Z55" t="inlineStr">
        <is>
          <t>Strong technical alignment with React.js and Node.js requirements; Located in Bangalore; Aligns with target Full Stack Development and Software Engineering roles</t>
        </is>
      </c>
      <c r="AA55" t="inlineStr">
        <is>
          <t>Eligible</t>
        </is>
      </c>
      <c r="AB55" t="inlineStr">
        <is>
          <t>Location is Bangalore which matches candidate preference; No explicit experience or graduation year blockers found</t>
        </is>
      </c>
      <c r="AC55" t="inlineStr">
        <is>
          <t>Unknown</t>
        </is>
      </c>
      <c r="AD55" t="inlineStr">
        <is>
          <t>Availability not specified in the JD</t>
        </is>
      </c>
      <c r="AE55" t="inlineStr">
        <is>
          <t>UNKNOWN</t>
        </is>
      </c>
      <c r="AF55" t="n">
        <v>0</v>
      </c>
      <c r="AG55" t="inlineStr">
        <is>
          <t>No</t>
        </is>
      </c>
      <c r="AH55" t="inlineStr">
        <is>
          <t>Not Mentioned</t>
        </is>
      </c>
      <c r="AI55" t="inlineStr">
        <is>
          <t>No mention of PPO or conversion in the job description</t>
        </is>
      </c>
      <c r="AK55" t="inlineStr">
        <is>
          <t>Stipend is not disclosed; PPO information is not disclosed</t>
        </is>
      </c>
      <c r="AL55" t="inlineStr">
        <is>
          <t>React component lifecycle and state management; Node.js asynchronous programming and event loop; RESTful API design and integration; Cross-functional team collaboration</t>
        </is>
      </c>
    </row>
    <row r="56">
      <c r="A56" t="inlineStr">
        <is>
          <t>SIMULATIONHU-260912-55</t>
        </is>
      </c>
      <c r="B56" t="inlineStr">
        <is>
          <t>Simulationhub</t>
        </is>
      </c>
      <c r="C56" t="inlineStr">
        <is>
          <t>Intern-Digital Transformation</t>
        </is>
      </c>
      <c r="D56" t="inlineStr">
        <is>
          <t>https://in.jooble.org/desc/3491546633823889584?ckey=Node.js+intern&amp;rgn=3193&amp;pos=14&amp;elckey=8297031273089829483&amp;p=1&amp;aq=-2324189919506338114&amp;cid=389&amp;jobAge=1381&amp;brelb=10&amp;bscr=1312.1053&amp;scr=1312.1053</t>
        </is>
      </c>
      <c r="E56" t="inlineStr">
        <is>
          <t>AI Analyzer</t>
        </is>
      </c>
      <c r="F56" t="inlineStr">
        <is>
          <t>Bangalore</t>
        </is>
      </c>
      <c r="G56" t="inlineStr">
        <is>
          <t>UNKNOWN</t>
        </is>
      </c>
      <c r="H56" t="inlineStr">
        <is>
          <t>Rs 2.5 - 5 lakhs p.a.</t>
        </is>
      </c>
      <c r="I56" t="inlineStr">
        <is>
          <t>UNKNOWN</t>
        </is>
      </c>
      <c r="J56" t="inlineStr">
        <is>
          <t>NOT_MENTIONED</t>
        </is>
      </c>
      <c r="K56" t="inlineStr">
        <is>
          <t>Node.js; Python; Flask; .NET; Software Development</t>
        </is>
      </c>
      <c r="L56" t="inlineStr">
        <is>
          <t>Digital Twins; BIM; PLM Systems; Domain Expertise</t>
        </is>
      </c>
      <c r="M56" t="inlineStr">
        <is>
          <t>&amp;nbsp;...integrations, and BIM-enabled digital twins. We are seeking high-energy &lt;b&gt;Interns &lt;/b&gt;who can combine domain expertise with software-development...&amp;nbsp;&amp;nbsp;...engineering data using modern technology stacks (Python/Flask, &lt;b&gt;Node.js,&lt;/b&gt; .NET, or similar). Integrate design data with PLM systems (...&amp;nbsp;</t>
        </is>
      </c>
      <c r="N56" t="n">
        <v>71</v>
      </c>
      <c r="O56" t="n">
        <v>24</v>
      </c>
      <c r="P56" t="n">
        <v>16</v>
      </c>
      <c r="Q56" t="n">
        <v>12</v>
      </c>
      <c r="R56" t="n">
        <v>5</v>
      </c>
      <c r="S56" t="n">
        <v>7</v>
      </c>
      <c r="T56" t="n">
        <v>7</v>
      </c>
      <c r="U56" t="inlineStr">
        <is>
          <t>CONSIDER</t>
        </is>
      </c>
      <c r="V56" t="inlineStr">
        <is>
          <t>CONSIDER</t>
        </is>
      </c>
      <c r="W56" t="inlineStr">
        <is>
          <t>.NET; Flask; BIM; Digital Twins; PLM Systems</t>
        </is>
      </c>
      <c r="X56" t="inlineStr">
        <is>
          <t>Default Full Stack / Backend Resume</t>
        </is>
      </c>
      <c r="Y56" t="inlineStr">
        <is>
          <t>2026-09-12</t>
        </is>
      </c>
      <c r="Z56" t="inlineStr">
        <is>
          <t>Matches target role type and location (Bangalore); Uses core demonstrated technologies like Node.js and Python; Good salary range for an internship position</t>
        </is>
      </c>
      <c r="AA56" t="inlineStr">
        <is>
          <t>ELIGIBLE</t>
        </is>
      </c>
      <c r="AB56" t="inlineStr">
        <is>
          <t>Location matches target city (Bangalore); Skills overlap with mentioned technology stacks (Node.js, Python)</t>
        </is>
      </c>
      <c r="AC56" t="inlineStr">
        <is>
          <t>UNKNOWN</t>
        </is>
      </c>
      <c r="AD56" t="inlineStr">
        <is>
          <t>Candidate availability date is not specified in the career brain.</t>
        </is>
      </c>
      <c r="AE56" t="inlineStr">
        <is>
          <t>DISCLOSED</t>
        </is>
      </c>
      <c r="AF56" t="n">
        <v>20833</v>
      </c>
      <c r="AG56" t="inlineStr">
        <is>
          <t>No</t>
        </is>
      </c>
      <c r="AH56" t="inlineStr">
        <is>
          <t>NOT_MENTIONED</t>
        </is>
      </c>
      <c r="AI56" t="inlineStr">
        <is>
          <t>No mention of PPO or conversion in the provided job description snippet.</t>
        </is>
      </c>
      <c r="AK56" t="inlineStr">
        <is>
          <t>Minimum stipend might fall slightly below the ₹25,000/month threshold depending on the exact distribution of the 2.5 LPA lower bound.</t>
        </is>
      </c>
      <c r="AL56" t="inlineStr">
        <is>
          <t>Node.js and Python development experience; API integrations and backend architecture; Understanding of digital twins or engineering data systems; Past projects involving backend services (e.g., StaySphere or Zenvest)</t>
        </is>
      </c>
    </row>
    <row r="57">
      <c r="A57" t="inlineStr">
        <is>
          <t>EMO.ENERGY-260912-56</t>
        </is>
      </c>
      <c r="B57" t="inlineStr">
        <is>
          <t>emo.energy</t>
        </is>
      </c>
      <c r="C57" t="inlineStr">
        <is>
          <t>Full-Stack Developer</t>
        </is>
      </c>
      <c r="D57" t="inlineStr">
        <is>
          <t>https://in.jooble.org/desc/3071963684124717842?ckey=Node.js+intern&amp;rgn=3193&amp;pos=16&amp;elckey=8297031273089829483&amp;p=1&amp;aq=-2324189919506338114&amp;cid=389&amp;jobAge=109&amp;brelb=10&amp;bscr=1291.0214&amp;scr=1291.0214</t>
        </is>
      </c>
      <c r="E57" t="inlineStr">
        <is>
          <t>AI Analyzer</t>
        </is>
      </c>
      <c r="F57" t="inlineStr">
        <is>
          <t>Bangalore</t>
        </is>
      </c>
      <c r="G57" t="inlineStr">
        <is>
          <t>Unknown</t>
        </is>
      </c>
      <c r="I57" t="inlineStr">
        <is>
          <t>Unknown</t>
        </is>
      </c>
      <c r="J57" t="inlineStr">
        <is>
          <t>Not Mentioned</t>
        </is>
      </c>
      <c r="K57" t="inlineStr">
        <is>
          <t>React; Angular; Express.js; Node.js; Python</t>
        </is>
      </c>
      <c r="L57" t="inlineStr">
        <is>
          <t>Tailwind; Vue.js</t>
        </is>
      </c>
      <c r="M57" t="inlineStr">
        <is>
          <t>&amp;nbsp;...looking for a passionate Full-Stack Developer (&lt;b&gt;Intern &lt;/b&gt;or Entry Level: 0–2 years) who can work...&amp;nbsp;&amp;nbsp;...technologies (React, Angular, Tailwind, Vue.&lt;b&gt;js)&lt;/b&gt;. Collaborate with designers, product...&amp;nbsp;&amp;nbsp;...Work with back-end technologies (Express.js, &lt;b&gt;Node.&lt;/b&gt;js, Python) to integrate APIs and support full...&amp;nbsp;</t>
        </is>
      </c>
      <c r="N57" t="n">
        <v>71</v>
      </c>
      <c r="O57" t="n">
        <v>25</v>
      </c>
      <c r="P57" t="n">
        <v>20</v>
      </c>
      <c r="Q57" t="n">
        <v>15</v>
      </c>
      <c r="R57" t="n">
        <v>0</v>
      </c>
      <c r="S57" t="n">
        <v>5</v>
      </c>
      <c r="T57" t="n">
        <v>6</v>
      </c>
      <c r="U57" t="inlineStr">
        <is>
          <t>CONSIDER</t>
        </is>
      </c>
      <c r="V57" t="inlineStr">
        <is>
          <t>CONSIDER</t>
        </is>
      </c>
      <c r="W57" t="inlineStr">
        <is>
          <t>Tailwind; Vue.js</t>
        </is>
      </c>
      <c r="X57" t="inlineStr">
        <is>
          <t>Amaanuddin_Ahmed_Fullstack_Resume.pdf</t>
        </is>
      </c>
      <c r="Y57" t="inlineStr">
        <is>
          <t>2026-09-12</t>
        </is>
      </c>
      <c r="Z57" t="inlineStr">
        <is>
          <t>Strong technology stack overlap with React, Angular, Node.js, Express.js, and Python; Matches target Full Stack Development role and experience range (0-2 years / intern)</t>
        </is>
      </c>
      <c r="AA57" t="inlineStr">
        <is>
          <t>Eligible</t>
        </is>
      </c>
      <c r="AB57" t="inlineStr">
        <is>
          <t>Open to 0-2 years experience and interns; Matches candidate's target Full Stack Development role</t>
        </is>
      </c>
      <c r="AC57" t="inlineStr">
        <is>
          <t>Unknown</t>
        </is>
      </c>
      <c r="AD57" t="inlineStr">
        <is>
          <t>Availability not specified in candidate profile</t>
        </is>
      </c>
      <c r="AE57" t="inlineStr">
        <is>
          <t>UNKNOWN</t>
        </is>
      </c>
      <c r="AF57" t="n">
        <v>0</v>
      </c>
      <c r="AG57" t="inlineStr">
        <is>
          <t>No</t>
        </is>
      </c>
      <c r="AH57" t="inlineStr">
        <is>
          <t>Not Mentioned</t>
        </is>
      </c>
      <c r="AK57" t="inlineStr">
        <is>
          <t>Stipend details not provided; Work mode not specified</t>
        </is>
      </c>
      <c r="AL57" t="inlineStr">
        <is>
          <t>React and Angular state management; Node.js and Express.js REST API design; Python backend integration experience; Previous full-stack projects (StaySphere, Zenvest, Contexa)</t>
        </is>
      </c>
    </row>
    <row r="58">
      <c r="A58" t="inlineStr">
        <is>
          <t>UNSTOP-260912-57</t>
        </is>
      </c>
      <c r="B58" t="inlineStr">
        <is>
          <t>Unstop</t>
        </is>
      </c>
      <c r="C58" t="inlineStr">
        <is>
          <t>Full Stack Developer Internship</t>
        </is>
      </c>
      <c r="D58" t="inlineStr">
        <is>
          <t>https://in.jooble.org/desc/1795430527662724049?ckey=Node.js+intern&amp;rgn=158289&amp;pos=1&amp;elckey=-6407949683192714864&amp;p=1&amp;aq=-7781579715762385376&amp;cid=389&amp;jobAge=37&amp;brelb=100&amp;bscr=318.4173&amp;scr=318.4173</t>
        </is>
      </c>
      <c r="E58" t="inlineStr">
        <is>
          <t>AI Analyzer</t>
        </is>
      </c>
      <c r="F58" t="inlineStr">
        <is>
          <t>Work from home</t>
        </is>
      </c>
      <c r="G58" t="inlineStr">
        <is>
          <t>Remote</t>
        </is>
      </c>
      <c r="H58" t="inlineStr">
        <is>
          <t>Not specified</t>
        </is>
      </c>
      <c r="I58" t="inlineStr">
        <is>
          <t>Not specified</t>
        </is>
      </c>
      <c r="J58" t="inlineStr">
        <is>
          <t>UNKNOWN</t>
        </is>
      </c>
      <c r="K58" t="inlineStr">
        <is>
          <t>Bootstrap; React.js; Angular; Node.js; Express.js</t>
        </is>
      </c>
      <c r="L58" t="inlineStr">
        <is>
          <t>ASP.NET Core; Java Spring Boot</t>
        </is>
      </c>
      <c r="M58" t="inlineStr">
        <is>
          <t>&amp;nbsp;...for passionate and motivated Full Stack Developer &lt;b&gt;Interns &lt;/b&gt;who are eager to work on real-world projects and gain...&amp;nbsp;&amp;nbsp;..., and Bootstrap. Basic understanding of React.&lt;b&gt;js,&lt;/b&gt; Angular, or similar frontend frameworks. Knowledge of &lt;b&gt;Node.&lt;/b&gt;js, Express.js, ASP.NET Core, Java Spring Boot, or...&amp;nbsp;</t>
        </is>
      </c>
      <c r="N58" t="n">
        <v>83</v>
      </c>
      <c r="O58" t="n">
        <v>30</v>
      </c>
      <c r="P58" t="n">
        <v>20</v>
      </c>
      <c r="Q58" t="n">
        <v>15</v>
      </c>
      <c r="R58" t="n">
        <v>5</v>
      </c>
      <c r="S58" t="n">
        <v>5</v>
      </c>
      <c r="T58" t="n">
        <v>8</v>
      </c>
      <c r="U58" t="inlineStr">
        <is>
          <t>APPLY</t>
        </is>
      </c>
      <c r="V58" t="inlineStr">
        <is>
          <t>APPLY</t>
        </is>
      </c>
      <c r="X58" t="inlineStr">
        <is>
          <t>Default Full Stack MERN Resume</t>
        </is>
      </c>
      <c r="Y58" t="inlineStr">
        <is>
          <t>2026-09-12</t>
        </is>
      </c>
      <c r="Z58" t="inlineStr">
        <is>
          <t>Strong technical alignment with MERN stack and frontend frameworks; Remote work mode aligns well with flexibility; Good opportunity to work on real-world projects as a Full Stack Intern</t>
        </is>
      </c>
      <c r="AA58" t="inlineStr">
        <is>
          <t>ELIGIBLE</t>
        </is>
      </c>
      <c r="AB58" t="inlineStr">
        <is>
          <t>No specific degree blockers found in the snippet; Matches target Full Stack Developer role</t>
        </is>
      </c>
      <c r="AC58" t="inlineStr">
        <is>
          <t>UNKNOWN</t>
        </is>
      </c>
      <c r="AD58" t="inlineStr">
        <is>
          <t>Availability timeline not specified in career brain or job description</t>
        </is>
      </c>
      <c r="AE58" t="inlineStr">
        <is>
          <t>UNKNOWN</t>
        </is>
      </c>
      <c r="AF58" t="n">
        <v>0</v>
      </c>
      <c r="AG58" t="inlineStr">
        <is>
          <t>No</t>
        </is>
      </c>
      <c r="AH58" t="inlineStr">
        <is>
          <t>UNKNOWN</t>
        </is>
      </c>
      <c r="AI58" t="inlineStr">
        <is>
          <t>PPO availability not explicitly mentioned in the snippet</t>
        </is>
      </c>
      <c r="AK58" t="inlineStr">
        <is>
          <t>Stipend information is missing</t>
        </is>
      </c>
      <c r="AL58" t="inlineStr">
        <is>
          <t>Node.js and Express.js core concepts; React.js or Angular component lifecycle and state management; RESTful API design and integration; Frontend styling with Bootstrap</t>
        </is>
      </c>
      <c r="AM58" t="inlineStr">
        <is>
          <t>E:\InternshipHunter\applications\jooble-1ec710b47746</t>
        </is>
      </c>
      <c r="AN58" t="inlineStr">
        <is>
          <t>Ready for Review</t>
        </is>
      </c>
      <c r="AO58" t="inlineStr">
        <is>
          <t>Generated</t>
        </is>
      </c>
      <c r="AP58" t="inlineStr">
        <is>
          <t>Generated</t>
        </is>
      </c>
      <c r="AQ58" t="inlineStr">
        <is>
          <t>Generated</t>
        </is>
      </c>
      <c r="AR58" t="inlineStr">
        <is>
          <t>Ready to Apply</t>
        </is>
      </c>
    </row>
    <row r="59">
      <c r="A59" t="inlineStr">
        <is>
          <t>COINBASE-IND-260912-58</t>
        </is>
      </c>
      <c r="B59" t="inlineStr">
        <is>
          <t>Coinbase India Services</t>
        </is>
      </c>
      <c r="C59" t="inlineStr">
        <is>
          <t>Software Engineer Intern</t>
        </is>
      </c>
      <c r="D59" t="inlineStr">
        <is>
          <t>https://in.jooble.org/desc/1797195671655267307?ckey=Node.js+intern&amp;rgn=158289&amp;pos=7&amp;elckey=-6407949683192714864&amp;p=1&amp;aq=-7781579715762385376&amp;cid=389&amp;jobAge=1429&amp;brelb=10&amp;bscr=158.28978&amp;scr=158.28978</t>
        </is>
      </c>
      <c r="E59" t="inlineStr">
        <is>
          <t>AI Analyzer</t>
        </is>
      </c>
      <c r="F59" t="inlineStr">
        <is>
          <t>work from home</t>
        </is>
      </c>
      <c r="G59" t="inlineStr">
        <is>
          <t>Remote</t>
        </is>
      </c>
      <c r="H59" t="inlineStr">
        <is>
          <t>Rs 2.5 - 5 lakhs p.a.</t>
        </is>
      </c>
      <c r="I59" t="inlineStr">
        <is>
          <t>UNKNOWN</t>
        </is>
      </c>
      <c r="J59" t="inlineStr">
        <is>
          <t>NOT_MENTIONED</t>
        </is>
      </c>
      <c r="K59" t="inlineStr">
        <is>
          <t>Software Engineering; Web Technologies</t>
        </is>
      </c>
      <c r="L59" t="inlineStr">
        <is>
          <t>Crypto products knowledge</t>
        </is>
      </c>
      <c r="M59" t="inlineStr">
        <is>
          <t>&amp;nbsp;...Job Description: ~ Coinbase is seeking software engineer &lt;b&gt;interns &lt;/b&gt;to join our team to build out the next generation of crypto-forward products and features. ~ You will solve unique, large scale, highly complex technical problems, bridging the constraints posed by web...&amp;nbsp;</t>
        </is>
      </c>
      <c r="N59" t="n">
        <v>74</v>
      </c>
      <c r="O59" t="n">
        <v>24</v>
      </c>
      <c r="P59" t="n">
        <v>16</v>
      </c>
      <c r="Q59" t="n">
        <v>12</v>
      </c>
      <c r="R59" t="n">
        <v>5</v>
      </c>
      <c r="S59" t="n">
        <v>8</v>
      </c>
      <c r="T59" t="n">
        <v>9</v>
      </c>
      <c r="U59" t="inlineStr">
        <is>
          <t>CONSIDER</t>
        </is>
      </c>
      <c r="V59" t="inlineStr">
        <is>
          <t>CONSIDER</t>
        </is>
      </c>
      <c r="X59" t="inlineStr">
        <is>
          <t>Amaan_Ahmed_Full_Stack_Resume.pdf</t>
        </is>
      </c>
      <c r="Y59" t="inlineStr">
        <is>
          <t>2026-09-12</t>
        </is>
      </c>
      <c r="Z59" t="inlineStr">
        <is>
          <t>Coinbase is a top-tier tech company working on large-scale crypto products.; Matches software engineering intern profile well.; Remote work mode aligns with flexibility needs.</t>
        </is>
      </c>
      <c r="AA59" t="inlineStr">
        <is>
          <t>ELIGIBLE</t>
        </is>
      </c>
      <c r="AB59" t="inlineStr">
        <is>
          <t>Candidate is pursuing MCA at PES University and matches general software engineering intern criteria.</t>
        </is>
      </c>
      <c r="AC59" t="inlineStr">
        <is>
          <t>UNKNOWN</t>
        </is>
      </c>
      <c r="AD59" t="inlineStr">
        <is>
          <t>Availability timeline not specified in career brain or job description.</t>
        </is>
      </c>
      <c r="AE59" t="inlineStr">
        <is>
          <t>DISCLOSED</t>
        </is>
      </c>
      <c r="AF59" t="n">
        <v>20833</v>
      </c>
      <c r="AG59" t="inlineStr">
        <is>
          <t>No</t>
        </is>
      </c>
      <c r="AH59" t="inlineStr">
        <is>
          <t>NOT_MENTIONED</t>
        </is>
      </c>
      <c r="AI59" t="inlineStr">
        <is>
          <t>No explicit mention of PPO or conversion in the short snippet.</t>
        </is>
      </c>
      <c r="AK59" t="inlineStr">
        <is>
          <t>Very brief job description snippet.</t>
        </is>
      </c>
      <c r="AL59" t="inlineStr">
        <is>
          <t>Data Structures and Algorithms; System Design for Large Scale Applications; Web Engineering and JavaScript; Crypto and Blockchain fundamentals</t>
        </is>
      </c>
    </row>
    <row r="60">
      <c r="A60" t="inlineStr">
        <is>
          <t>REALME-260912-59</t>
        </is>
      </c>
      <c r="B60" t="inlineStr">
        <is>
          <t>RealMe</t>
        </is>
      </c>
      <c r="C60" t="inlineStr">
        <is>
          <t>Software Engineer - Intern</t>
        </is>
      </c>
      <c r="D60" t="inlineStr">
        <is>
          <t>https://in.jooble.org/desc/7400619691248103067?ckey=Node.js+intern&amp;rgn=158289&amp;pos=10&amp;elckey=-6407949683192714864&amp;p=1&amp;aq=-7781579715762385376&amp;cid=389&amp;jobAge=37&amp;brelb=10&amp;bscr=150.5798&amp;scr=150.5798</t>
        </is>
      </c>
      <c r="E60" t="inlineStr">
        <is>
          <t>AI Analyzer</t>
        </is>
      </c>
      <c r="F60" t="inlineStr">
        <is>
          <t>Remote</t>
        </is>
      </c>
      <c r="G60" t="inlineStr">
        <is>
          <t>Work from home</t>
        </is>
      </c>
      <c r="H60" t="inlineStr">
        <is>
          <t>Not specified</t>
        </is>
      </c>
      <c r="I60" t="inlineStr">
        <is>
          <t>Unknown</t>
        </is>
      </c>
      <c r="J60" t="inlineStr">
        <is>
          <t>UNKNOWN</t>
        </is>
      </c>
      <c r="M60" t="inlineStr">
        <is>
          <t>&amp;nbsp;...Teams here move quickly and make meaningful contributions to a product that shapes global industrial outcomes. What You'll Do As an &lt;b&gt;intern &lt;/b&gt;at Realm, you'll work alongside full-time engineers on real features that run at active mine sites - not toy projects or internal...&amp;nbsp;</t>
        </is>
      </c>
      <c r="N60" t="n">
        <v>40</v>
      </c>
      <c r="O60" t="n">
        <v>50</v>
      </c>
      <c r="P60" t="n">
        <v>50</v>
      </c>
      <c r="Q60" t="n">
        <v>50</v>
      </c>
      <c r="R60" t="n">
        <v>0</v>
      </c>
      <c r="S60" t="n">
        <v>0</v>
      </c>
      <c r="T60" t="n">
        <v>30</v>
      </c>
      <c r="U60" t="inlineStr">
        <is>
          <t>SKIP</t>
        </is>
      </c>
      <c r="V60" t="inlineStr">
        <is>
          <t>SKIP</t>
        </is>
      </c>
      <c r="X60" t="inlineStr">
        <is>
          <t>Amaanuddin_Ahmed_Fullstack_Resume.pdf</t>
        </is>
      </c>
      <c r="Y60" t="inlineStr">
        <is>
          <t>2026-09-12</t>
        </is>
      </c>
      <c r="AA60" t="inlineStr">
        <is>
          <t>ELIGIBLE</t>
        </is>
      </c>
      <c r="AB60" t="inlineStr">
        <is>
          <t>No explicit graduation year or degree restrictions mentioned in the snippet.</t>
        </is>
      </c>
      <c r="AC60" t="inlineStr">
        <is>
          <t>UNKNOWN</t>
        </is>
      </c>
      <c r="AD60" t="inlineStr">
        <is>
          <t>Candidate availability is not provided in the career brain.</t>
        </is>
      </c>
      <c r="AE60" t="inlineStr">
        <is>
          <t>UNKNOWN</t>
        </is>
      </c>
      <c r="AF60" t="n">
        <v>0</v>
      </c>
      <c r="AG60" t="inlineStr">
        <is>
          <t>No</t>
        </is>
      </c>
      <c r="AH60" t="inlineStr">
        <is>
          <t>UNKNOWN</t>
        </is>
      </c>
      <c r="AI60" t="inlineStr">
        <is>
          <t>No mention of PPO or conversion in the job description snippet.</t>
        </is>
      </c>
      <c r="AK60" t="inlineStr">
        <is>
          <t>Extremely vague job description with very few details provided.</t>
        </is>
      </c>
      <c r="AL60" t="inlineStr">
        <is>
          <t>General Software Engineering fundamentals; Past internship or project contributions; Collaboration and team experience</t>
        </is>
      </c>
    </row>
    <row r="61">
      <c r="A61" t="inlineStr">
        <is>
          <t>NXTWAVE-DISR-260912-60</t>
        </is>
      </c>
      <c r="B61" t="inlineStr">
        <is>
          <t>Nxtwave Disruptive Technologies Private Limited</t>
        </is>
      </c>
      <c r="C61" t="inlineStr">
        <is>
          <t>MERN Developer - Intern</t>
        </is>
      </c>
      <c r="D61" t="inlineStr">
        <is>
          <t>https://in.jooble.org/desc/7218822007534742956?ckey=MERN+intern&amp;rgn=3193&amp;pos=1&amp;elckey=-987846997739158382&amp;p=1&amp;aq=8112896330921696795&amp;cid=389&amp;jobAge=229&amp;brelb=10&amp;bscr=2977.5503&amp;scr=2977.5503</t>
        </is>
      </c>
      <c r="E61" t="inlineStr">
        <is>
          <t>AI Analyzer</t>
        </is>
      </c>
      <c r="F61" t="inlineStr">
        <is>
          <t>Bangalore</t>
        </is>
      </c>
      <c r="G61" t="inlineStr">
        <is>
          <t>Unknown</t>
        </is>
      </c>
      <c r="H61" t="inlineStr">
        <is>
          <t>20,000/month</t>
        </is>
      </c>
      <c r="I61" t="inlineStr">
        <is>
          <t>6 Months</t>
        </is>
      </c>
      <c r="J61" t="inlineStr">
        <is>
          <t>EXPLICIT</t>
        </is>
      </c>
      <c r="K61" t="inlineStr">
        <is>
          <t>MERN; MongoDB; Express.js; React.js; Node.js</t>
        </is>
      </c>
      <c r="M61" t="inlineStr">
        <is>
          <t>&amp;nbsp;...&lt;b&gt;MERN &lt;/b&gt;Developer – Internship + Full-Time Opportunity Apply Link: Apply Here Role: MERN Developer – &lt;b&gt;Intern &lt;/b&gt; Job Type: Internship + Full-Time Location: Bangalore CTC: 3.6 – 4.2 LPA Internship Duration: 6 Months Internship Stipend: 20,000/month...&amp;nbsp;</t>
        </is>
      </c>
      <c r="N61" t="n">
        <v>88</v>
      </c>
      <c r="O61" t="n">
        <v>30</v>
      </c>
      <c r="P61" t="n">
        <v>20</v>
      </c>
      <c r="Q61" t="n">
        <v>15</v>
      </c>
      <c r="R61" t="n">
        <v>15</v>
      </c>
      <c r="S61" t="n">
        <v>0</v>
      </c>
      <c r="T61" t="n">
        <v>8</v>
      </c>
      <c r="U61" t="inlineStr">
        <is>
          <t>APPLY</t>
        </is>
      </c>
      <c r="V61" t="inlineStr">
        <is>
          <t>APPLY</t>
        </is>
      </c>
      <c r="X61" t="inlineStr">
        <is>
          <t>Amaanuddin_Ahmed_Full_Stack_Resume.pdf</t>
        </is>
      </c>
      <c r="Y61" t="inlineStr">
        <is>
          <t>2026-09-12</t>
        </is>
      </c>
      <c r="Z61" t="inlineStr">
        <is>
          <t>Exact match for MERN Developer role aligning with target full-stack roles.; Explicit internship + full-time conversion opportunity (PPO high priority match).; Strong technical stack alignment with candidate demonstrated MERN projects like StaySphere.</t>
        </is>
      </c>
      <c r="AA61" t="inlineStr">
        <is>
          <t>ELIGIBLE</t>
        </is>
      </c>
      <c r="AB61" t="inlineStr">
        <is>
          <t>No explicit hard blockers found in the job description regarding graduation year or degree.</t>
        </is>
      </c>
      <c r="AC61" t="inlineStr">
        <is>
          <t>UNKNOWN</t>
        </is>
      </c>
      <c r="AD61" t="inlineStr">
        <is>
          <t>Candidate availability dates were not provided in the career brain.</t>
        </is>
      </c>
      <c r="AE61" t="inlineStr">
        <is>
          <t>EXPLICIT</t>
        </is>
      </c>
      <c r="AF61" t="n">
        <v>20000</v>
      </c>
      <c r="AG61" t="inlineStr">
        <is>
          <t>No</t>
        </is>
      </c>
      <c r="AH61" t="inlineStr">
        <is>
          <t>EXPLICIT</t>
        </is>
      </c>
      <c r="AI61" t="inlineStr">
        <is>
          <t>Internship + Full-Time Opportunity / Full-Time Location: Bangalore CTC: 3.6 - 4.2 LPA</t>
        </is>
      </c>
      <c r="AK61" t="inlineStr">
        <is>
          <t>Stipend of 20,000/month is below the minimum target of 25,000/month.</t>
        </is>
      </c>
      <c r="AL61" t="inlineStr">
        <is>
          <t>MERN stack architecture; State management in React; RESTful API design with Express and Node.js; MongoDB schema design and aggregation</t>
        </is>
      </c>
      <c r="AM61" t="inlineStr">
        <is>
          <t>E:\InternshipHunter\applications\jooble-a0b347698218</t>
        </is>
      </c>
      <c r="AN61" t="inlineStr">
        <is>
          <t>Ready for Review</t>
        </is>
      </c>
      <c r="AO61" t="inlineStr">
        <is>
          <t>Generated</t>
        </is>
      </c>
      <c r="AP61" t="inlineStr">
        <is>
          <t>Generated</t>
        </is>
      </c>
      <c r="AQ61" t="inlineStr">
        <is>
          <t>Generated</t>
        </is>
      </c>
      <c r="AR61" t="inlineStr">
        <is>
          <t>Ready to Apply</t>
        </is>
      </c>
    </row>
    <row r="62">
      <c r="A62" t="inlineStr">
        <is>
          <t>COINBASE-IND-260912-61</t>
        </is>
      </c>
      <c r="B62" t="inlineStr">
        <is>
          <t>Coinbase India Services</t>
        </is>
      </c>
      <c r="C62" t="inlineStr">
        <is>
          <t>Software Engineer Intern</t>
        </is>
      </c>
      <c r="D62" t="inlineStr">
        <is>
          <t>https://in.jooble.org/desc/1797195671655267307?ckey=MERN+intern&amp;rgn=158289&amp;pos=1&amp;elckey=-9205143521179392089&amp;p=1&amp;aq=6389817472475829374&amp;cid=389&amp;jobAge=1429&amp;brelb=10&amp;bscr=235.14119&amp;scr=235.14119</t>
        </is>
      </c>
      <c r="E62" t="inlineStr">
        <is>
          <t>AI Analyzer</t>
        </is>
      </c>
      <c r="F62" t="inlineStr">
        <is>
          <t>work from home</t>
        </is>
      </c>
      <c r="G62" t="inlineStr">
        <is>
          <t>Remote</t>
        </is>
      </c>
      <c r="H62" t="inlineStr">
        <is>
          <t>Rs 2.5 - 5 lakhs p.a.</t>
        </is>
      </c>
      <c r="I62" t="inlineStr">
        <is>
          <t>UNKNOWN</t>
        </is>
      </c>
      <c r="J62" t="inlineStr">
        <is>
          <t>NOT_MENTIONED</t>
        </is>
      </c>
      <c r="K62" t="inlineStr">
        <is>
          <t>Software Engineering</t>
        </is>
      </c>
      <c r="L62" t="inlineStr">
        <is>
          <t>Crypto-forward products; Web development</t>
        </is>
      </c>
      <c r="M62" t="inlineStr">
        <is>
          <t>&amp;nbsp;...Job Description: ~ Coinbase is seeking software engineer &lt;b&gt;interns &lt;/b&gt;to join our team to build out the next generation of crypto-forward products and features. ~ You will solve unique, large scale, highly complex technical problems, bridging the constraints posed by web...&amp;nbsp;</t>
        </is>
      </c>
      <c r="N62" t="n">
        <v>76</v>
      </c>
      <c r="O62" t="n">
        <v>75</v>
      </c>
      <c r="P62" t="n">
        <v>80</v>
      </c>
      <c r="Q62" t="n">
        <v>85</v>
      </c>
      <c r="R62" t="n">
        <v>50</v>
      </c>
      <c r="S62" t="n">
        <v>70</v>
      </c>
      <c r="T62" t="n">
        <v>95</v>
      </c>
      <c r="U62" t="inlineStr">
        <is>
          <t>CONSIDER</t>
        </is>
      </c>
      <c r="V62" t="inlineStr">
        <is>
          <t>CONSIDER</t>
        </is>
      </c>
      <c r="X62" t="inlineStr">
        <is>
          <t>Amaanuddin_Ahmed_Software_Engineer_Resume.pdf</t>
        </is>
      </c>
      <c r="Y62" t="inlineStr">
        <is>
          <t>2026-09-12</t>
        </is>
      </c>
      <c r="Z62" t="inlineStr">
        <is>
          <t>High opportunity quality working at Coinbase; Matches target software engineering roles and remote work preference; Stipend is decent and near the candidate target</t>
        </is>
      </c>
      <c r="AA62" t="inlineStr">
        <is>
          <t>Eligible</t>
        </is>
      </c>
      <c r="AB62" t="inlineStr">
        <is>
          <t>Target role matches Software Engineering and Full Stack Development; Work mode is remote, aligning with preferences</t>
        </is>
      </c>
      <c r="AC62" t="inlineStr">
        <is>
          <t>UNKNOWN</t>
        </is>
      </c>
      <c r="AD62" t="inlineStr">
        <is>
          <t>Not specified in the candidate profile or job description</t>
        </is>
      </c>
      <c r="AE62" t="inlineStr">
        <is>
          <t>KNOWN</t>
        </is>
      </c>
      <c r="AF62" t="n">
        <v>20833</v>
      </c>
      <c r="AG62" t="inlineStr">
        <is>
          <t>No</t>
        </is>
      </c>
      <c r="AH62" t="inlineStr">
        <is>
          <t>NOT_MENTIONED</t>
        </is>
      </c>
      <c r="AI62" t="inlineStr">
        <is>
          <t>Job description does not explicitly mention PPO or conversion opportunities</t>
        </is>
      </c>
      <c r="AL62" t="inlineStr">
        <is>
          <t>Data Structures and Algorithms; System Design and Scalability; Web Technologies and APIs</t>
        </is>
      </c>
    </row>
    <row r="63">
      <c r="A63" t="inlineStr">
        <is>
          <t>REALME-260912-62</t>
        </is>
      </c>
      <c r="B63" t="inlineStr">
        <is>
          <t>RealMe</t>
        </is>
      </c>
      <c r="C63" t="inlineStr">
        <is>
          <t>Software Engineer - Intern</t>
        </is>
      </c>
      <c r="D63" t="inlineStr">
        <is>
          <t>https://in.jooble.org/desc/7400619691248103067?ckey=MERN+intern&amp;rgn=158289&amp;pos=2&amp;elckey=-9205143521179392089&amp;p=1&amp;aq=6389817472475829374&amp;cid=389&amp;jobAge=37&amp;brelb=10&amp;bscr=223.43642&amp;scr=223.43642</t>
        </is>
      </c>
      <c r="E63" t="inlineStr">
        <is>
          <t>AI Analyzer</t>
        </is>
      </c>
      <c r="F63" t="inlineStr">
        <is>
          <t>work from home</t>
        </is>
      </c>
      <c r="G63" t="inlineStr">
        <is>
          <t>Remote</t>
        </is>
      </c>
      <c r="H63" t="inlineStr">
        <is>
          <t>Not specified</t>
        </is>
      </c>
      <c r="I63" t="inlineStr">
        <is>
          <t>Not specified</t>
        </is>
      </c>
      <c r="J63" t="inlineStr">
        <is>
          <t>Not Mentioned</t>
        </is>
      </c>
      <c r="M63" t="inlineStr">
        <is>
          <t>&amp;nbsp;...Teams here move quickly and make meaningful contributions to a product that shapes global industrial outcomes. What You'll Do As an &lt;b&gt;intern &lt;/b&gt;at Realm, you'll work alongside full-time engineers on real features that run at active mine sites - not toy projects or internal...&amp;nbsp;</t>
        </is>
      </c>
      <c r="N63" t="n">
        <v>42</v>
      </c>
      <c r="O63" t="n">
        <v>50</v>
      </c>
      <c r="P63" t="n">
        <v>50</v>
      </c>
      <c r="Q63" t="n">
        <v>60</v>
      </c>
      <c r="R63" t="n">
        <v>0</v>
      </c>
      <c r="S63" t="n">
        <v>0</v>
      </c>
      <c r="T63" t="n">
        <v>40</v>
      </c>
      <c r="U63" t="inlineStr">
        <is>
          <t>SKIP</t>
        </is>
      </c>
      <c r="V63" t="inlineStr">
        <is>
          <t>SKIP</t>
        </is>
      </c>
      <c r="X63" t="inlineStr">
        <is>
          <t>Amaanuddin_Ahmed_Software_Engineering_Resume.pdf</t>
        </is>
      </c>
      <c r="Y63" t="inlineStr">
        <is>
          <t>2026-09-12</t>
        </is>
      </c>
      <c r="Z63" t="inlineStr">
        <is>
          <t>Remote internship opportunity in software engineering</t>
        </is>
      </c>
      <c r="AA63" t="inlineStr">
        <is>
          <t>Eligible</t>
        </is>
      </c>
      <c r="AB63" t="inlineStr">
        <is>
          <t>Remote work mode matches candidate preference; Internship role fits target software engineering profiles</t>
        </is>
      </c>
      <c r="AC63" t="inlineStr">
        <is>
          <t>Unknown</t>
        </is>
      </c>
      <c r="AD63" t="inlineStr">
        <is>
          <t>Availability not specified in career brain</t>
        </is>
      </c>
      <c r="AE63" t="inlineStr">
        <is>
          <t>UNKNOWN</t>
        </is>
      </c>
      <c r="AF63" t="n">
        <v>0</v>
      </c>
      <c r="AG63" t="inlineStr">
        <is>
          <t>No</t>
        </is>
      </c>
      <c r="AH63" t="inlineStr">
        <is>
          <t>Not Mentioned</t>
        </is>
      </c>
      <c r="AI63" t="inlineStr">
        <is>
          <t>No mention of PPO or conversion in the job description snippet.</t>
        </is>
      </c>
      <c r="AK63" t="inlineStr">
        <is>
          <t>Extremely vague job description with missing stipend, duration, and specific technical requirements</t>
        </is>
      </c>
      <c r="AL63" t="inlineStr">
        <is>
          <t>General software engineering fundamentals; Previous project experience; Problem solving and coding basics</t>
        </is>
      </c>
    </row>
    <row r="64">
      <c r="A64" t="inlineStr">
        <is>
          <t>COINBASE-IND-260912-63</t>
        </is>
      </c>
      <c r="B64" t="inlineStr">
        <is>
          <t>Coinbase India Services</t>
        </is>
      </c>
      <c r="C64" t="inlineStr">
        <is>
          <t>Software Engineer Intern</t>
        </is>
      </c>
      <c r="D64" t="inlineStr">
        <is>
          <t>https://in.jooble.org/desc/1797195671655267307?ckey=Java+developer+intern&amp;rgn=158289&amp;pos=6&amp;elckey=-3866309702040063594&amp;p=1&amp;aq=5290676257850325758&amp;cid=389&amp;jobAge=1429&amp;brelb=10&amp;bscr=158.30186&amp;scr=158.30186</t>
        </is>
      </c>
      <c r="E64" t="inlineStr">
        <is>
          <t>AI Analyzer</t>
        </is>
      </c>
      <c r="F64" t="inlineStr">
        <is>
          <t>work from home</t>
        </is>
      </c>
      <c r="G64" t="inlineStr">
        <is>
          <t>Remote</t>
        </is>
      </c>
      <c r="H64" t="inlineStr">
        <is>
          <t>Rs 2.5 - 5 lakhs p.a.</t>
        </is>
      </c>
      <c r="I64" t="inlineStr">
        <is>
          <t>Not specified</t>
        </is>
      </c>
      <c r="J64" t="inlineStr">
        <is>
          <t>NOT_MENTIONED</t>
        </is>
      </c>
      <c r="L64" t="inlineStr">
        <is>
          <t>Software Engineering</t>
        </is>
      </c>
      <c r="M64" t="inlineStr">
        <is>
          <t>&amp;nbsp;...Job Description: ~ Coinbase is seeking software engineer &lt;b&gt;interns &lt;/b&gt;to join our team to build out the next generation of crypto-forward products and features. ~ You will solve unique, large scale, highly complex technical problems, bridging the constraints posed by web...&amp;nbsp;</t>
        </is>
      </c>
      <c r="N64" t="n">
        <v>75</v>
      </c>
      <c r="O64" t="n">
        <v>24</v>
      </c>
      <c r="P64" t="n">
        <v>16</v>
      </c>
      <c r="Q64" t="n">
        <v>12</v>
      </c>
      <c r="R64" t="n">
        <v>5</v>
      </c>
      <c r="S64" t="n">
        <v>10</v>
      </c>
      <c r="T64" t="n">
        <v>8</v>
      </c>
      <c r="U64" t="inlineStr">
        <is>
          <t>CONSIDER</t>
        </is>
      </c>
      <c r="V64" t="inlineStr">
        <is>
          <t>CONSIDER</t>
        </is>
      </c>
      <c r="X64" t="inlineStr">
        <is>
          <t>Default Full Stack / Software Engineering Resume</t>
        </is>
      </c>
      <c r="Y64" t="inlineStr">
        <is>
          <t>2026-09-12</t>
        </is>
      </c>
      <c r="Z64" t="inlineStr">
        <is>
          <t>Coinbase is a high-opportunity tech company building innovative products.; Stipend range comfortably meets the candidate's minimum target.; Work mode is remote.</t>
        </is>
      </c>
      <c r="AA64" t="inlineStr">
        <is>
          <t>ELIGIBLE</t>
        </is>
      </c>
      <c r="AB64" t="inlineStr">
        <is>
          <t>No explicit hard blockers found in the brief JD snippet</t>
        </is>
      </c>
      <c r="AC64" t="inlineStr">
        <is>
          <t>UNKNOWN</t>
        </is>
      </c>
      <c r="AD64" t="inlineStr">
        <is>
          <t>Availability not specified in the career brain</t>
        </is>
      </c>
      <c r="AE64" t="inlineStr">
        <is>
          <t>EXPLICIT</t>
        </is>
      </c>
      <c r="AF64" t="n">
        <v>250000</v>
      </c>
      <c r="AG64" t="inlineStr">
        <is>
          <t>No</t>
        </is>
      </c>
      <c r="AH64" t="inlineStr">
        <is>
          <t>NOT_MENTIONED</t>
        </is>
      </c>
      <c r="AI64" t="inlineStr">
        <is>
          <t>No explicit mention of PPO or conversion in the provided text</t>
        </is>
      </c>
      <c r="AK64" t="inlineStr">
        <is>
          <t>Very brief job description provided</t>
        </is>
      </c>
      <c r="AL64" t="inlineStr">
        <is>
          <t>Large scale system design; Data structures and algorithms; Crypto-forward product development principles; Web engineering constraints</t>
        </is>
      </c>
    </row>
    <row r="65">
      <c r="A65" t="inlineStr">
        <is>
          <t>REALME-260912-64</t>
        </is>
      </c>
      <c r="B65" t="inlineStr">
        <is>
          <t>RealMe</t>
        </is>
      </c>
      <c r="C65" t="inlineStr">
        <is>
          <t>Software Engineer - Intern</t>
        </is>
      </c>
      <c r="D65" t="inlineStr">
        <is>
          <t>https://in.jooble.org/desc/7400619691248103067?ckey=Java+developer+intern&amp;rgn=158289&amp;pos=10&amp;elckey=-3866309702040063594&amp;p=1&amp;aq=5290676257850325758&amp;cid=389&amp;jobAge=37&amp;brelb=10&amp;bscr=150.5798&amp;scr=150.5798</t>
        </is>
      </c>
      <c r="E65" t="inlineStr">
        <is>
          <t>AI Analyzer</t>
        </is>
      </c>
      <c r="F65" t="inlineStr">
        <is>
          <t>work from home</t>
        </is>
      </c>
      <c r="G65" t="inlineStr">
        <is>
          <t>Remote</t>
        </is>
      </c>
      <c r="H65" t="inlineStr">
        <is>
          <t>Not specified</t>
        </is>
      </c>
      <c r="I65" t="inlineStr">
        <is>
          <t>Unknown</t>
        </is>
      </c>
      <c r="J65" t="inlineStr">
        <is>
          <t>UNKNOWN</t>
        </is>
      </c>
      <c r="M65" t="inlineStr">
        <is>
          <t>&amp;nbsp;...Teams here move quickly and make meaningful contributions to a product that shapes global industrial outcomes. What You'll Do As an &lt;b&gt;intern &lt;/b&gt;at Realm, you'll work alongside full-time engineers on real features that run at active mine sites - not toy projects or internal...&amp;nbsp;</t>
        </is>
      </c>
      <c r="N65" t="n">
        <v>38</v>
      </c>
      <c r="O65" t="n">
        <v>50</v>
      </c>
      <c r="P65" t="n">
        <v>50</v>
      </c>
      <c r="Q65" t="n">
        <v>50</v>
      </c>
      <c r="R65" t="n">
        <v>0</v>
      </c>
      <c r="S65" t="n">
        <v>0</v>
      </c>
      <c r="T65" t="n">
        <v>30</v>
      </c>
      <c r="U65" t="inlineStr">
        <is>
          <t>SKIP</t>
        </is>
      </c>
      <c r="V65" t="inlineStr">
        <is>
          <t>SKIP</t>
        </is>
      </c>
      <c r="X65" t="inlineStr">
        <is>
          <t>Default Software Engineering Resume</t>
        </is>
      </c>
      <c r="Y65" t="inlineStr">
        <is>
          <t>2026-09-12</t>
        </is>
      </c>
      <c r="Z65" t="inlineStr">
        <is>
          <t>Remote work mode aligns well with flexibility.</t>
        </is>
      </c>
      <c r="AA65" t="inlineStr">
        <is>
          <t>ELIGIBLE</t>
        </is>
      </c>
      <c r="AB65" t="inlineStr">
        <is>
          <t>No explicit degree or graduation year blockers found in the description.</t>
        </is>
      </c>
      <c r="AC65" t="inlineStr">
        <is>
          <t>UNKNOWN</t>
        </is>
      </c>
      <c r="AD65" t="inlineStr">
        <is>
          <t>Candidate availability details are not specified.</t>
        </is>
      </c>
      <c r="AE65" t="inlineStr">
        <is>
          <t>UNKNOWN</t>
        </is>
      </c>
      <c r="AF65" t="n">
        <v>0</v>
      </c>
      <c r="AG65" t="inlineStr">
        <is>
          <t>No</t>
        </is>
      </c>
      <c r="AH65" t="inlineStr">
        <is>
          <t>UNKNOWN</t>
        </is>
      </c>
      <c r="AI65" t="inlineStr">
        <is>
          <t>No mention of conversion to a full-time role or PPO in the job description.</t>
        </is>
      </c>
      <c r="AK65" t="inlineStr">
        <is>
          <t>Extremely vague job description with almost no technical requirements or context provided.</t>
        </is>
      </c>
      <c r="AL65" t="inlineStr">
        <is>
          <t>General Software Engineering fundamentals; Past internship experience or projects</t>
        </is>
      </c>
    </row>
    <row r="66">
      <c r="A66" t="inlineStr">
        <is>
          <t>COINBASE-IND-260912-65</t>
        </is>
      </c>
      <c r="B66" t="inlineStr">
        <is>
          <t>Coinbase India Services</t>
        </is>
      </c>
      <c r="C66" t="inlineStr">
        <is>
          <t>Software Engineer Intern</t>
        </is>
      </c>
      <c r="D66" t="inlineStr">
        <is>
          <t>https://in.jooble.org/desc/1797195671655267307?ckey=Python+developer+intern&amp;rgn=158289&amp;pos=6&amp;elckey=-5263317874496076306&amp;p=1&amp;aq=-8208089350359279958&amp;cid=389&amp;jobAge=1429&amp;brelb=10&amp;bscr=158.28978&amp;scr=158.28978</t>
        </is>
      </c>
      <c r="E66" t="inlineStr">
        <is>
          <t>AI Analyzer</t>
        </is>
      </c>
      <c r="F66" t="inlineStr">
        <is>
          <t>India</t>
        </is>
      </c>
      <c r="G66" t="inlineStr">
        <is>
          <t>work from home</t>
        </is>
      </c>
      <c r="H66" t="inlineStr">
        <is>
          <t>Rs 2.5 - 5 lakhs p.a.</t>
        </is>
      </c>
      <c r="I66" t="inlineStr">
        <is>
          <t>Not specified</t>
        </is>
      </c>
      <c r="J66" t="inlineStr">
        <is>
          <t>NOT_MENTIONED</t>
        </is>
      </c>
      <c r="K66" t="inlineStr">
        <is>
          <t>Software Engineering; Scalable Systems</t>
        </is>
      </c>
      <c r="L66" t="inlineStr">
        <is>
          <t>Crypto-forward technologies</t>
        </is>
      </c>
      <c r="M66" t="inlineStr">
        <is>
          <t>&amp;nbsp;...Job Description: ~ Coinbase is seeking software engineer &lt;b&gt;interns &lt;/b&gt;to join our team to build out the next generation of crypto-forward products and features. ~ You will solve unique, large scale, highly complex technical problems, bridging the constraints posed by web...&amp;nbsp;</t>
        </is>
      </c>
      <c r="N66" t="n">
        <v>79</v>
      </c>
      <c r="O66" t="n">
        <v>24</v>
      </c>
      <c r="P66" t="n">
        <v>16</v>
      </c>
      <c r="Q66" t="n">
        <v>12</v>
      </c>
      <c r="R66" t="n">
        <v>8</v>
      </c>
      <c r="S66" t="n">
        <v>10</v>
      </c>
      <c r="T66" t="n">
        <v>9</v>
      </c>
      <c r="U66" t="inlineStr">
        <is>
          <t>CONSIDER</t>
        </is>
      </c>
      <c r="V66" t="inlineStr">
        <is>
          <t>CONSIDER</t>
        </is>
      </c>
      <c r="X66" t="inlineStr">
        <is>
          <t>Standard Software Engineering Resume</t>
        </is>
      </c>
      <c r="Y66" t="inlineStr">
        <is>
          <t>2026-09-12</t>
        </is>
      </c>
      <c r="Z66" t="inlineStr">
        <is>
          <t>Matches target Software Engineering internship role.; Stipend range exceeds the minimum target of ₹25,000/month.; Work from home flexibility.</t>
        </is>
      </c>
      <c r="AA66" t="inlineStr">
        <is>
          <t>ELIGIBLE</t>
        </is>
      </c>
      <c r="AB66" t="inlineStr">
        <is>
          <t>Candidate is an MCA student matching software engineering internship criteria.</t>
        </is>
      </c>
      <c r="AC66" t="inlineStr">
        <is>
          <t>UNKNOWN</t>
        </is>
      </c>
      <c r="AD66" t="inlineStr">
        <is>
          <t>Availability not explicitly stated in the candidate profile or career brain.</t>
        </is>
      </c>
      <c r="AE66" t="inlineStr">
        <is>
          <t>EXPLICIT</t>
        </is>
      </c>
      <c r="AF66" t="n">
        <v>250000</v>
      </c>
      <c r="AG66" t="inlineStr">
        <is>
          <t>No</t>
        </is>
      </c>
      <c r="AH66" t="inlineStr">
        <is>
          <t>NOT_MENTIONED</t>
        </is>
      </c>
      <c r="AI66" t="inlineStr">
        <is>
          <t>Job description does not explicitly mention PPO or conversion opportunities.</t>
        </is>
      </c>
      <c r="AL66" t="inlineStr">
        <is>
          <t>Data Structures and Algorithms; System Design for Large Scale Applications; Problem Solving and Coding</t>
        </is>
      </c>
    </row>
    <row r="67">
      <c r="A67" t="inlineStr">
        <is>
          <t>UNKNOWN-260912-66</t>
        </is>
      </c>
      <c r="B67" t="inlineStr">
        <is>
          <t>Unknown</t>
        </is>
      </c>
      <c r="C67" t="inlineStr">
        <is>
          <t>AI/ML Engineer Internship</t>
        </is>
      </c>
      <c r="D67" t="inlineStr">
        <is>
          <t>https://in.jooble.org/desc/1590376482553549484?ckey=Python+developer+intern&amp;rgn=158289&amp;pos=9&amp;elckey=-5263317874496076306&amp;p=1&amp;aq=-8208089350359279958&amp;cid=389&amp;jobAge=19&amp;brelb=100&amp;bscr=152.16652&amp;scr=152.16652</t>
        </is>
      </c>
      <c r="E67" t="inlineStr">
        <is>
          <t>AI Analyzer</t>
        </is>
      </c>
      <c r="F67" t="inlineStr">
        <is>
          <t>Remote</t>
        </is>
      </c>
      <c r="G67" t="inlineStr">
        <is>
          <t>Work from home</t>
        </is>
      </c>
      <c r="H67" t="inlineStr">
        <is>
          <t>Not specified</t>
        </is>
      </c>
      <c r="I67" t="inlineStr">
        <is>
          <t>Unknown</t>
        </is>
      </c>
      <c r="J67" t="inlineStr">
        <is>
          <t>Not Mentioned</t>
        </is>
      </c>
      <c r="K67" t="inlineStr">
        <is>
          <t>Python; TensorFlow; PyTorch; Keras; Scikit-learn</t>
        </is>
      </c>
      <c r="M67" t="inlineStr">
        <is>
          <t>&amp;nbsp;...passionate and motivated AI/ML Engineer &lt;b&gt;Interns &lt;/b&gt; who are interested in building real-world...&amp;nbsp;&amp;nbsp;..., and gain hands-on experience in &lt;b&gt;developing &lt;/b&gt;intelligent applications. The selected...&amp;nbsp;&amp;nbsp;...augmentation. Work with frameworks such as &lt;b&gt;Python,&lt;/b&gt; TensorFlow, PyTorch, Keras, and Scikit-learn...&amp;nbsp;</t>
        </is>
      </c>
      <c r="N67" t="n">
        <v>42</v>
      </c>
      <c r="O67" t="n">
        <v>40</v>
      </c>
      <c r="P67" t="n">
        <v>60</v>
      </c>
      <c r="Q67" t="n">
        <v>60</v>
      </c>
      <c r="R67" t="n">
        <v>0</v>
      </c>
      <c r="S67" t="n">
        <v>0</v>
      </c>
      <c r="T67" t="n">
        <v>40</v>
      </c>
      <c r="U67" t="inlineStr">
        <is>
          <t>SKIP</t>
        </is>
      </c>
      <c r="V67" t="inlineStr">
        <is>
          <t>SKIP</t>
        </is>
      </c>
      <c r="W67" t="inlineStr">
        <is>
          <t>TensorFlow; PyTorch; Keras; Scikit-learn</t>
        </is>
      </c>
      <c r="X67" t="inlineStr">
        <is>
          <t>Amaanuddin_Ahmed_Software_Engineer_Resume.pdf</t>
        </is>
      </c>
      <c r="Y67" t="inlineStr">
        <is>
          <t>2026-09-12</t>
        </is>
      </c>
      <c r="Z67" t="inlineStr">
        <is>
          <t>Remote AI/ML internship opportunity; Matches target tech stack language (Python)</t>
        </is>
      </c>
      <c r="AA67" t="inlineStr">
        <is>
          <t>Eligible</t>
        </is>
      </c>
      <c r="AB67" t="inlineStr">
        <is>
          <t>No hard blockers found in the brief description</t>
        </is>
      </c>
      <c r="AC67" t="inlineStr">
        <is>
          <t>Unknown</t>
        </is>
      </c>
      <c r="AD67" t="inlineStr">
        <is>
          <t>Candidate availability details are not specified in the career brain</t>
        </is>
      </c>
      <c r="AE67" t="inlineStr">
        <is>
          <t>UNKNOWN</t>
        </is>
      </c>
      <c r="AF67" t="n">
        <v>0</v>
      </c>
      <c r="AG67" t="inlineStr">
        <is>
          <t>No</t>
        </is>
      </c>
      <c r="AH67" t="inlineStr">
        <is>
          <t>Not Mentioned</t>
        </is>
      </c>
      <c r="AI67" t="inlineStr">
        <is>
          <t>No mention of PPO or conversion in the job description</t>
        </is>
      </c>
      <c r="AK67" t="inlineStr">
        <is>
          <t>Missing company name; Unknown stipend; No PPO details mentioned</t>
        </is>
      </c>
      <c r="AL67" t="inlineStr">
        <is>
          <t>Python fundamentals; Basic machine learning concepts; Familiarity with Scikit-learn or TensorFlow</t>
        </is>
      </c>
    </row>
    <row r="68">
      <c r="A68" t="inlineStr">
        <is>
          <t>REALME-260912-67</t>
        </is>
      </c>
      <c r="B68" t="inlineStr">
        <is>
          <t>RealMe</t>
        </is>
      </c>
      <c r="C68" t="inlineStr">
        <is>
          <t>Software Engineer - Intern</t>
        </is>
      </c>
      <c r="D68" t="inlineStr">
        <is>
          <t>https://in.jooble.org/desc/7400619691248103067?ckey=Python+developer+intern&amp;rgn=158289&amp;pos=11&amp;elckey=-5263317874496076306&amp;p=1&amp;aq=-8208089350359279958&amp;cid=389&amp;jobAge=37&amp;brelb=10&amp;bscr=150.0603&amp;scr=150.0603</t>
        </is>
      </c>
      <c r="E68" t="inlineStr">
        <is>
          <t>AI Analyzer</t>
        </is>
      </c>
      <c r="F68" t="inlineStr">
        <is>
          <t>work from home</t>
        </is>
      </c>
      <c r="G68" t="inlineStr">
        <is>
          <t>Remote</t>
        </is>
      </c>
      <c r="I68" t="inlineStr">
        <is>
          <t>UNKNOWN</t>
        </is>
      </c>
      <c r="J68" t="inlineStr">
        <is>
          <t>UNKNOWN</t>
        </is>
      </c>
      <c r="M68" t="inlineStr">
        <is>
          <t>&amp;nbsp;...Teams here move quickly and make meaningful contributions to a product that shapes global industrial outcomes. What You'll Do As an &lt;b&gt;intern &lt;/b&gt;at Realm, you'll work alongside full-time engineers on real features that run at active mine sites - not toy projects or internal...&amp;nbsp;</t>
        </is>
      </c>
      <c r="N68" t="n">
        <v>40</v>
      </c>
      <c r="O68" t="n">
        <v>50</v>
      </c>
      <c r="P68" t="n">
        <v>50</v>
      </c>
      <c r="Q68" t="n">
        <v>60</v>
      </c>
      <c r="R68" t="n">
        <v>0</v>
      </c>
      <c r="S68" t="n">
        <v>0</v>
      </c>
      <c r="T68" t="n">
        <v>40</v>
      </c>
      <c r="U68" t="inlineStr">
        <is>
          <t>SKIP</t>
        </is>
      </c>
      <c r="V68" t="inlineStr">
        <is>
          <t>SKIP</t>
        </is>
      </c>
      <c r="X68" t="inlineStr">
        <is>
          <t>Default Full Stack / Software Engineering Resume</t>
        </is>
      </c>
      <c r="Y68" t="inlineStr">
        <is>
          <t>2026-09-12</t>
        </is>
      </c>
      <c r="Z68" t="inlineStr">
        <is>
          <t>Remote work mode aligns well with preferences.; Internship role matches student status.</t>
        </is>
      </c>
      <c r="AA68" t="inlineStr">
        <is>
          <t>ELIGIBLE</t>
        </is>
      </c>
      <c r="AB68" t="inlineStr">
        <is>
          <t>No explicit degree or experience blockers mentioned in the minimal snippet.</t>
        </is>
      </c>
      <c r="AC68" t="inlineStr">
        <is>
          <t>UNKNOWN</t>
        </is>
      </c>
      <c r="AD68" t="inlineStr">
        <is>
          <t>Candidate availability details are not provided.</t>
        </is>
      </c>
      <c r="AE68" t="inlineStr">
        <is>
          <t>UNKNOWN</t>
        </is>
      </c>
      <c r="AF68" t="n">
        <v>0</v>
      </c>
      <c r="AG68" t="inlineStr">
        <is>
          <t>No</t>
        </is>
      </c>
      <c r="AH68" t="inlineStr">
        <is>
          <t>UNKNOWN</t>
        </is>
      </c>
      <c r="AI68" t="inlineStr">
        <is>
          <t>No mention of PPO or conversion in the job description.</t>
        </is>
      </c>
      <c r="AK68" t="inlineStr">
        <is>
          <t>Extremely sparse job description with almost no technical details.</t>
        </is>
      </c>
      <c r="AL68" t="inlineStr">
        <is>
          <t>General Software Engineering principles; Past projects; Problem solving and coding fundamentals</t>
        </is>
      </c>
    </row>
    <row r="69">
      <c r="A69" t="inlineStr">
        <is>
          <t>B2WORLD-260912-68</t>
        </is>
      </c>
      <c r="B69" t="inlineStr">
        <is>
          <t>B2World</t>
        </is>
      </c>
      <c r="C69" t="inlineStr">
        <is>
          <t>AI/ML Engineer Intern</t>
        </is>
      </c>
      <c r="D69" t="inlineStr">
        <is>
          <t>https://in.jooble.org/desc/1590376482553549484?ckey=AI+engineer+intern&amp;rgn=158289&amp;pos=1&amp;elckey=620659998068774080&amp;p=1&amp;aq=-152696816779156527&amp;cid=389&amp;jobAge=19&amp;brelb=100&amp;bscr=593.82587&amp;scr=593.82587</t>
        </is>
      </c>
      <c r="E69" t="inlineStr">
        <is>
          <t>AI Analyzer</t>
        </is>
      </c>
      <c r="F69" t="inlineStr">
        <is>
          <t>Remote</t>
        </is>
      </c>
      <c r="G69" t="inlineStr">
        <is>
          <t>Work from Home</t>
        </is>
      </c>
      <c r="H69" t="inlineStr">
        <is>
          <t>Not specified</t>
        </is>
      </c>
      <c r="I69" t="inlineStr">
        <is>
          <t>UNKNOWN</t>
        </is>
      </c>
      <c r="J69" t="inlineStr">
        <is>
          <t>NOT_MENTIONED</t>
        </is>
      </c>
      <c r="K69" t="inlineStr">
        <is>
          <t>Artificial Intelligence; Machine Learning</t>
        </is>
      </c>
      <c r="M69" t="inlineStr">
        <is>
          <t>&amp;nbsp;...About the Internship: B2World is looking for passionate and motivated &lt;b&gt;AI/ML Engineer Interns &lt;/b&gt; who are interested in building real-world Artificial Intelligence and Machine Learning solutions. This internship provides an opportunity to work on practical AI/ML projects, explore...&amp;nbsp;</t>
        </is>
      </c>
      <c r="N69" t="n">
        <v>48</v>
      </c>
      <c r="O69" t="n">
        <v>50</v>
      </c>
      <c r="P69" t="n">
        <v>70</v>
      </c>
      <c r="Q69" t="n">
        <v>50</v>
      </c>
      <c r="R69" t="n">
        <v>30</v>
      </c>
      <c r="S69" t="n">
        <v>30</v>
      </c>
      <c r="T69" t="n">
        <v>40</v>
      </c>
      <c r="U69" t="inlineStr">
        <is>
          <t>SKIP</t>
        </is>
      </c>
      <c r="V69" t="inlineStr">
        <is>
          <t>SKIP</t>
        </is>
      </c>
      <c r="W69" t="inlineStr">
        <is>
          <t>Deep Learning; Model Training; NLP/Computer Vision frameworks</t>
        </is>
      </c>
      <c r="X69" t="inlineStr">
        <is>
          <t>Amaanuddin_Ahmed_Software_Engineering_Resume.pdf</t>
        </is>
      </c>
      <c r="Y69" t="inlineStr">
        <is>
          <t>2026-09-12</t>
        </is>
      </c>
      <c r="Z69" t="inlineStr">
        <is>
          <t>Remote work mode; Opportunity to enter the AI/ML domain</t>
        </is>
      </c>
      <c r="AA69" t="inlineStr">
        <is>
          <t>ELIGIBLE</t>
        </is>
      </c>
      <c r="AB69" t="inlineStr">
        <is>
          <t>No degree or graduation year restrictions explicitly mentioned in the snippet.</t>
        </is>
      </c>
      <c r="AC69" t="inlineStr">
        <is>
          <t>UNKNOWN</t>
        </is>
      </c>
      <c r="AD69" t="inlineStr">
        <is>
          <t>Candidate availability details are not provided.</t>
        </is>
      </c>
      <c r="AE69" t="inlineStr">
        <is>
          <t>UNKNOWN</t>
        </is>
      </c>
      <c r="AF69" t="n">
        <v>0</v>
      </c>
      <c r="AG69" t="inlineStr">
        <is>
          <t>No</t>
        </is>
      </c>
      <c r="AH69" t="inlineStr">
        <is>
          <t>NOT_MENTIONED</t>
        </is>
      </c>
      <c r="AI69" t="inlineStr">
        <is>
          <t>No mention of PPO or conversion in the provided text.</t>
        </is>
      </c>
      <c r="AK69" t="inlineStr">
        <is>
          <t>Stipend not disclosed; PPO not mentioned; Job description snippet is very brief and lacks details</t>
        </is>
      </c>
      <c r="AL69" t="inlineStr">
        <is>
          <t>Basic Machine Learning concepts; Python programming for AI/ML; Past projects or coursework related to AI/ML</t>
        </is>
      </c>
    </row>
    <row r="70">
      <c r="A70" t="inlineStr">
        <is>
          <t>COINBASE-IND-260912-69</t>
        </is>
      </c>
      <c r="B70" t="inlineStr">
        <is>
          <t>Coinbase India Services</t>
        </is>
      </c>
      <c r="C70" t="inlineStr">
        <is>
          <t>Software Engineer Intern</t>
        </is>
      </c>
      <c r="D70" t="inlineStr">
        <is>
          <t>https://in.jooble.org/desc/1797195671655267307?ckey=AI+engineer+intern&amp;rgn=158289&amp;pos=7&amp;elckey=620659998068774080&amp;p=1&amp;aq=-152696816779156527&amp;cid=389&amp;jobAge=1429&amp;brelb=10&amp;bscr=158.30186&amp;scr=158.30186</t>
        </is>
      </c>
      <c r="E70" t="inlineStr">
        <is>
          <t>AI Analyzer</t>
        </is>
      </c>
      <c r="F70" t="inlineStr">
        <is>
          <t>India</t>
        </is>
      </c>
      <c r="G70" t="inlineStr">
        <is>
          <t>work from home</t>
        </is>
      </c>
      <c r="H70" t="inlineStr">
        <is>
          <t>Rs 2.5 - 5 lakhs p.a.</t>
        </is>
      </c>
      <c r="I70" t="inlineStr">
        <is>
          <t>UNKNOWN</t>
        </is>
      </c>
      <c r="J70" t="inlineStr">
        <is>
          <t>UNKNOWN</t>
        </is>
      </c>
      <c r="K70" t="inlineStr">
        <is>
          <t>Software Engineering; Problem Solving</t>
        </is>
      </c>
      <c r="L70" t="inlineStr">
        <is>
          <t>Web Technologies; Crypto-forward products</t>
        </is>
      </c>
      <c r="M70" t="inlineStr">
        <is>
          <t>&amp;nbsp;...Job Description: ~ Coinbase is seeking software &lt;b&gt;engineer interns &lt;/b&gt;to join our team to build out the next generation of crypto-forward products and features. ~ You will solve unique, large scale, highly complex technical problems, bridging the constraints posed by web...&amp;nbsp;</t>
        </is>
      </c>
      <c r="N70" t="n">
        <v>82</v>
      </c>
      <c r="O70" t="n">
        <v>24</v>
      </c>
      <c r="P70" t="n">
        <v>16</v>
      </c>
      <c r="Q70" t="n">
        <v>13</v>
      </c>
      <c r="R70" t="n">
        <v>10</v>
      </c>
      <c r="S70" t="n">
        <v>10</v>
      </c>
      <c r="T70" t="n">
        <v>9</v>
      </c>
      <c r="U70" t="inlineStr">
        <is>
          <t>APPLY</t>
        </is>
      </c>
      <c r="V70" t="inlineStr">
        <is>
          <t>APPLY</t>
        </is>
      </c>
      <c r="X70" t="inlineStr">
        <is>
          <t>Default Full Stack / Software Engineering Resume</t>
        </is>
      </c>
      <c r="Y70" t="inlineStr">
        <is>
          <t>2026-09-12</t>
        </is>
      </c>
      <c r="Z70" t="inlineStr">
        <is>
          <t>Coinbase is a high-tier tech company offering strong brand value.; The stipend range (approx 21k-41k per month) aligns well with the candidate's minimum target.; Matches the candidate's software engineering and full stack profile.</t>
        </is>
      </c>
      <c r="AA70" t="inlineStr">
        <is>
          <t>ELIGIBLE</t>
        </is>
      </c>
      <c r="AB70" t="inlineStr">
        <is>
          <t>Candidate is an MCA student matching the software engineering intern profile; No hard blockers found in the brief description</t>
        </is>
      </c>
      <c r="AC70" t="inlineStr">
        <is>
          <t>UNKNOWN</t>
        </is>
      </c>
      <c r="AD70" t="inlineStr">
        <is>
          <t>Availability timeline not specified in the job description or career brain.</t>
        </is>
      </c>
      <c r="AE70" t="inlineStr">
        <is>
          <t>EXPLICIT</t>
        </is>
      </c>
      <c r="AF70" t="n">
        <v>250000</v>
      </c>
      <c r="AG70" t="inlineStr">
        <is>
          <t>No</t>
        </is>
      </c>
      <c r="AH70" t="inlineStr">
        <is>
          <t>UNKNOWN</t>
        </is>
      </c>
      <c r="AI70" t="inlineStr">
        <is>
          <t>PPO availability not explicitly mentioned in the snippet.</t>
        </is>
      </c>
      <c r="AK70" t="inlineStr">
        <is>
          <t>Very brief job description snippet provided</t>
        </is>
      </c>
      <c r="AL70" t="inlineStr">
        <is>
          <t>Data Structures and Algorithms; System Design and Scalability; Web Technologies and REST APIs; Crypto and Web3 Interest</t>
        </is>
      </c>
      <c r="AM70" t="inlineStr">
        <is>
          <t>E:\InternshipHunter\applications\jooble-67ef2ef60030</t>
        </is>
      </c>
      <c r="AN70" t="inlineStr">
        <is>
          <t>Ready for Review</t>
        </is>
      </c>
      <c r="AO70" t="inlineStr">
        <is>
          <t>Generated</t>
        </is>
      </c>
      <c r="AP70" t="inlineStr">
        <is>
          <t>Generated</t>
        </is>
      </c>
      <c r="AQ70" t="inlineStr">
        <is>
          <t>Generated</t>
        </is>
      </c>
      <c r="AR70" t="inlineStr">
        <is>
          <t>Ready to Apply</t>
        </is>
      </c>
    </row>
    <row r="71">
      <c r="A71" t="inlineStr">
        <is>
          <t>REALME-260912-70</t>
        </is>
      </c>
      <c r="B71" t="inlineStr">
        <is>
          <t>RealMe</t>
        </is>
      </c>
      <c r="C71" t="inlineStr">
        <is>
          <t>Software Engineer - Intern</t>
        </is>
      </c>
      <c r="D71" t="inlineStr">
        <is>
          <t>https://in.jooble.org/desc/7400619691248103067?ckey=AI+engineer+intern&amp;rgn=158289&amp;pos=10&amp;elckey=620659998068774080&amp;p=1&amp;aq=-152696816779156527&amp;cid=389&amp;jobAge=37&amp;brelb=10&amp;bscr=150.5798&amp;scr=150.5798</t>
        </is>
      </c>
      <c r="E71" t="inlineStr">
        <is>
          <t>AI Analyzer</t>
        </is>
      </c>
      <c r="F71" t="inlineStr">
        <is>
          <t>work from home</t>
        </is>
      </c>
      <c r="G71" t="inlineStr">
        <is>
          <t>Remote</t>
        </is>
      </c>
      <c r="H71" t="inlineStr">
        <is>
          <t>Not Specified</t>
        </is>
      </c>
      <c r="I71" t="inlineStr">
        <is>
          <t>Not Specified</t>
        </is>
      </c>
      <c r="J71" t="inlineStr">
        <is>
          <t>UNKNOWN</t>
        </is>
      </c>
      <c r="K71" t="inlineStr">
        <is>
          <t>AI integration; Engineering</t>
        </is>
      </c>
      <c r="L71" t="inlineStr">
        <is>
          <t>AI models</t>
        </is>
      </c>
      <c r="M71" t="inlineStr">
        <is>
          <t>&amp;nbsp;...Company Overview Realm builds &lt;b&gt;AI &lt;/b&gt;for the mining industry. We integrate with existing...&amp;nbsp;&amp;nbsp;...product — it's how we build. We're an AI-first &lt;b&gt;engineering &lt;/b&gt;team that uses the latest models and...&amp;nbsp;&amp;nbsp;...industrial outcomes. What You'll Do As an &lt;b&gt;intern &lt;/b&gt;at Realm, you'll work alongside full-time...&amp;nbsp;</t>
        </is>
      </c>
      <c r="N71" t="n">
        <v>60</v>
      </c>
      <c r="O71" t="n">
        <v>60</v>
      </c>
      <c r="P71" t="n">
        <v>70</v>
      </c>
      <c r="Q71" t="n">
        <v>70</v>
      </c>
      <c r="R71" t="n">
        <v>50</v>
      </c>
      <c r="S71" t="n">
        <v>40</v>
      </c>
      <c r="T71" t="n">
        <v>60</v>
      </c>
      <c r="U71" t="inlineStr">
        <is>
          <t>STRETCH</t>
        </is>
      </c>
      <c r="V71" t="inlineStr">
        <is>
          <t>STRETCH</t>
        </is>
      </c>
      <c r="W71" t="inlineStr">
        <is>
          <t>Mining industry domain-specific AI integration</t>
        </is>
      </c>
      <c r="X71" t="inlineStr">
        <is>
          <t>Amaan_Software_Engineer_Resume.pdf</t>
        </is>
      </c>
      <c r="Y71" t="inlineStr">
        <is>
          <t>2026-09-12</t>
        </is>
      </c>
      <c r="Z71" t="inlineStr">
        <is>
          <t>Remote work flexibility; Matches AI-adjacent software engineering interest</t>
        </is>
      </c>
      <c r="AA71" t="inlineStr">
        <is>
          <t>ELIGIBLE</t>
        </is>
      </c>
      <c r="AB71" t="inlineStr">
        <is>
          <t>Remote work mode matches candidate preference; No explicit degree or hard experience blockers stated in the snippet</t>
        </is>
      </c>
      <c r="AC71" t="inlineStr">
        <is>
          <t>UNKNOWN</t>
        </is>
      </c>
      <c r="AD71" t="inlineStr">
        <is>
          <t>Candidate availability dates are not specified in the career brain.</t>
        </is>
      </c>
      <c r="AE71" t="inlineStr">
        <is>
          <t>UNKNOWN</t>
        </is>
      </c>
      <c r="AF71" t="n">
        <v>0</v>
      </c>
      <c r="AG71" t="inlineStr">
        <is>
          <t>No</t>
        </is>
      </c>
      <c r="AH71" t="inlineStr">
        <is>
          <t>UNKNOWN</t>
        </is>
      </c>
      <c r="AI71" t="inlineStr">
        <is>
          <t>No mention of PPO or conversion in the provided JD snippet.</t>
        </is>
      </c>
      <c r="AK71" t="inlineStr">
        <is>
          <t>Very sparse job description text provided</t>
        </is>
      </c>
      <c r="AL71" t="inlineStr">
        <is>
          <t>AI integration and working with AI models; Software engineering principles; Past projects involving Python or AI-adjacent technologies</t>
        </is>
      </c>
    </row>
    <row r="72">
      <c r="A72" t="inlineStr">
        <is>
          <t>JOVEO-260912-71</t>
        </is>
      </c>
      <c r="B72" t="inlineStr">
        <is>
          <t>Joveo</t>
        </is>
      </c>
      <c r="C72" t="inlineStr">
        <is>
          <t>Software Engineering Intern</t>
        </is>
      </c>
      <c r="D72" t="inlineStr">
        <is>
          <t>https://www.adzuna.in/land/ad/5879658627?se=wASlJoeu8RGw3foOHxJxCQ&amp;utm_medium=api&amp;utm_source=5ccdc27f&amp;v=46B63685E61435D5E63C680B49E1B750327D0FD8</t>
        </is>
      </c>
      <c r="E72" t="inlineStr">
        <is>
          <t>AI Analyzer</t>
        </is>
      </c>
      <c r="F72" t="inlineStr">
        <is>
          <t>Bengaluru, India</t>
        </is>
      </c>
      <c r="G72" t="inlineStr">
        <is>
          <t>On-site (5 days a week)</t>
        </is>
      </c>
      <c r="H72" t="inlineStr">
        <is>
          <t>Not specified</t>
        </is>
      </c>
      <c r="I72" t="inlineStr">
        <is>
          <t>UNKNOWN</t>
        </is>
      </c>
      <c r="J72" t="inlineStr">
        <is>
          <t>NOT_MENTIONED</t>
        </is>
      </c>
      <c r="M72" t="inlineStr">
        <is>
          <t>Title : Software Engineering Intern Location : Bengaluru, India ( 5 days a week) Timings : 2-9 pm About Joveo As the global leader in AI-powered recruitment marketing, we are transforming talent attraction and recruitment media buying for the world’s largest and smartest employers, staffing businesses, RPOs, and recruitment advertising agencies. The Joveo platform enables businesses to attract, so</t>
        </is>
      </c>
      <c r="N72" t="n">
        <v>58</v>
      </c>
      <c r="O72" t="n">
        <v>20</v>
      </c>
      <c r="P72" t="n">
        <v>15</v>
      </c>
      <c r="Q72" t="n">
        <v>12</v>
      </c>
      <c r="R72" t="n">
        <v>5</v>
      </c>
      <c r="S72" t="n">
        <v>0</v>
      </c>
      <c r="T72" t="n">
        <v>6</v>
      </c>
      <c r="U72" t="inlineStr">
        <is>
          <t>SKIP</t>
        </is>
      </c>
      <c r="V72" t="inlineStr">
        <is>
          <t>SKIP</t>
        </is>
      </c>
      <c r="X72" t="inlineStr">
        <is>
          <t>Default Full Stack / Software Engineering Resume</t>
        </is>
      </c>
      <c r="Y72" t="inlineStr">
        <is>
          <t>2026-09-12</t>
        </is>
      </c>
      <c r="Z72" t="inlineStr">
        <is>
          <t>Aligns with target Software Engineering internship role.; Located in Bengaluru.</t>
        </is>
      </c>
      <c r="AA72" t="inlineStr">
        <is>
          <t>ELIGIBLE</t>
        </is>
      </c>
      <c r="AB72" t="inlineStr">
        <is>
          <t>Candidate is an MCA student matching software engineering internship criteria.; Location matches target city (Bengaluru).</t>
        </is>
      </c>
      <c r="AC72" t="inlineStr">
        <is>
          <t>UNKNOWN</t>
        </is>
      </c>
      <c r="AD72" t="inlineStr">
        <is>
          <t>Availability relative to 2-9 pm timings not specified in career brain.</t>
        </is>
      </c>
      <c r="AE72" t="inlineStr">
        <is>
          <t>UNKNOWN</t>
        </is>
      </c>
      <c r="AF72" t="n">
        <v>0</v>
      </c>
      <c r="AG72" t="inlineStr">
        <is>
          <t>No</t>
        </is>
      </c>
      <c r="AH72" t="inlineStr">
        <is>
          <t>NOT_MENTIONED</t>
        </is>
      </c>
      <c r="AI72" t="inlineStr">
        <is>
          <t>No explicit mention of PPO or conversion in the job description snippet.</t>
        </is>
      </c>
      <c r="AK72" t="inlineStr">
        <is>
          <t>Stipend is not disclosed; Specific technical stack not provided in description snippet</t>
        </is>
      </c>
      <c r="AL72" t="inlineStr">
        <is>
          <t>General Software Engineering fundamentals; Data Structures and Algorithms; Past project architectures; Problem-solving capabilities</t>
        </is>
      </c>
    </row>
    <row r="73">
      <c r="A73" t="inlineStr">
        <is>
          <t>JOVEO-260912-72</t>
        </is>
      </c>
      <c r="B73" t="inlineStr">
        <is>
          <t>Joveo</t>
        </is>
      </c>
      <c r="C73" t="inlineStr">
        <is>
          <t>Software Engineering Intern (Full Stack)</t>
        </is>
      </c>
      <c r="D73" t="inlineStr">
        <is>
          <t>https://www.adzuna.in/land/ad/5879671089?se=wASlJoeu8RGw3foOHxJxCQ&amp;utm_medium=api&amp;utm_source=5ccdc27f&amp;v=B7C2D24AD18E102A149F7A376CDDA0E6A6846FCD</t>
        </is>
      </c>
      <c r="E73" t="inlineStr">
        <is>
          <t>AI Analyzer</t>
        </is>
      </c>
      <c r="F73" t="inlineStr">
        <is>
          <t>Bengaluru, India</t>
        </is>
      </c>
      <c r="G73" t="inlineStr">
        <is>
          <t>On-site (5 days a week)</t>
        </is>
      </c>
      <c r="H73" t="inlineStr">
        <is>
          <t>Not Specified</t>
        </is>
      </c>
      <c r="I73" t="inlineStr">
        <is>
          <t>Not Specified</t>
        </is>
      </c>
      <c r="J73" t="inlineStr">
        <is>
          <t>NOT_MENTIONED</t>
        </is>
      </c>
      <c r="K73" t="inlineStr">
        <is>
          <t>Full Stack Development</t>
        </is>
      </c>
      <c r="M73" t="inlineStr">
        <is>
          <t>Title : Software Engineering Intern (Full Stack) Location : Bengaluru, India (5 days a week) Timings : 2-10 pm About Joveo As the global leader in AI-powered recruitment marketing, we are transforming talent attraction and recruitment media buying for the world’s largest and smartest employers, staffing businesses, RPOs, and recruitment advertising agencies. The Joveo platform enables businesses t</t>
        </is>
      </c>
      <c r="N73" t="n">
        <v>69</v>
      </c>
      <c r="O73" t="n">
        <v>25</v>
      </c>
      <c r="P73" t="n">
        <v>18</v>
      </c>
      <c r="Q73" t="n">
        <v>14</v>
      </c>
      <c r="R73" t="n">
        <v>5</v>
      </c>
      <c r="S73" t="n">
        <v>0</v>
      </c>
      <c r="T73" t="n">
        <v>7</v>
      </c>
      <c r="U73" t="inlineStr">
        <is>
          <t>STRETCH</t>
        </is>
      </c>
      <c r="V73" t="inlineStr">
        <is>
          <t>STRETCH</t>
        </is>
      </c>
      <c r="X73" t="inlineStr">
        <is>
          <t>Full Stack / MERN Resume</t>
        </is>
      </c>
      <c r="Y73" t="inlineStr">
        <is>
          <t>2026-09-12</t>
        </is>
      </c>
      <c r="Z73" t="inlineStr">
        <is>
          <t>Aligns well with Amaan's MERN stack and Full Stack project background; Located in Bengaluru</t>
        </is>
      </c>
      <c r="AA73" t="inlineStr">
        <is>
          <t>ELIGIBLE</t>
        </is>
      </c>
      <c r="AB73" t="inlineStr">
        <is>
          <t>Location matches target preferences; Matches target Full Stack / Software Engineering roles</t>
        </is>
      </c>
      <c r="AC73" t="inlineStr">
        <is>
          <t>UNKNOWN</t>
        </is>
      </c>
      <c r="AD73" t="inlineStr">
        <is>
          <t>Availability not explicitly specified in candidate profile</t>
        </is>
      </c>
      <c r="AE73" t="inlineStr">
        <is>
          <t>UNKNOWN</t>
        </is>
      </c>
      <c r="AF73" t="n">
        <v>0</v>
      </c>
      <c r="AG73" t="inlineStr">
        <is>
          <t>No</t>
        </is>
      </c>
      <c r="AH73" t="inlineStr">
        <is>
          <t>NOT_MENTIONED</t>
        </is>
      </c>
      <c r="AI73" t="inlineStr">
        <is>
          <t>No mention of PPO or conversion in the snippet</t>
        </is>
      </c>
      <c r="AK73" t="inlineStr">
        <is>
          <t>Night shift timings (2-10 pm)</t>
        </is>
      </c>
      <c r="AL73" t="inlineStr">
        <is>
          <t>MERN stack architecture; REST API design; State management in React; Handling asynchronous operations in Node.js</t>
        </is>
      </c>
    </row>
    <row r="74">
      <c r="A74" t="inlineStr">
        <is>
          <t>CODERWING-260912-73</t>
        </is>
      </c>
      <c r="B74" t="inlineStr">
        <is>
          <t>Coderwing</t>
        </is>
      </c>
      <c r="C74" t="inlineStr">
        <is>
          <t>Software Engineering Intern</t>
        </is>
      </c>
      <c r="D74" t="inlineStr">
        <is>
          <t>https://www.adzuna.in/details/5845820726?utm_medium=api&amp;utm_source=5ccdc27f</t>
        </is>
      </c>
      <c r="E74" t="inlineStr">
        <is>
          <t>AI Analyzer</t>
        </is>
      </c>
      <c r="F74" t="inlineStr">
        <is>
          <t>Indore, Madhya Pradesh</t>
        </is>
      </c>
      <c r="G74" t="inlineStr">
        <is>
          <t>Unknown</t>
        </is>
      </c>
      <c r="H74" t="inlineStr">
        <is>
          <t>Not specified</t>
        </is>
      </c>
      <c r="I74" t="inlineStr">
        <is>
          <t>Unknown</t>
        </is>
      </c>
      <c r="J74" t="inlineStr">
        <is>
          <t>Not Mentioned</t>
        </is>
      </c>
      <c r="K74" t="inlineStr">
        <is>
          <t>Programming</t>
        </is>
      </c>
      <c r="M74" t="inlineStr">
        <is>
          <t>Software Engineering Intern Type Internship Location Indore Madhya Pradesh CoderWing is looking for enthusiastic and motivated Software Engineering Interns who are passionate about programming and eager to build realworld software development skills This internship is designed for students recent graduates and freshers who want handson experience by working on live projects under the guidance of e</t>
        </is>
      </c>
      <c r="N74" t="n">
        <v>45</v>
      </c>
      <c r="O74" t="n">
        <v>60</v>
      </c>
      <c r="P74" t="n">
        <v>70</v>
      </c>
      <c r="Q74" t="n">
        <v>70</v>
      </c>
      <c r="R74" t="n">
        <v>0</v>
      </c>
      <c r="S74" t="n">
        <v>0</v>
      </c>
      <c r="T74" t="n">
        <v>50</v>
      </c>
      <c r="U74" t="inlineStr">
        <is>
          <t>SKIP</t>
        </is>
      </c>
      <c r="V74" t="inlineStr">
        <is>
          <t>SKIP</t>
        </is>
      </c>
      <c r="X74" t="inlineStr">
        <is>
          <t>Amaanuddin_Ahmed_General_Software_Engineering</t>
        </is>
      </c>
      <c r="Y74" t="inlineStr">
        <is>
          <t>2026-09-12</t>
        </is>
      </c>
      <c r="Z74" t="inlineStr">
        <is>
          <t>Good for hands-on experience and working with mentors.</t>
        </is>
      </c>
      <c r="AA74" t="inlineStr">
        <is>
          <t>Eligible</t>
        </is>
      </c>
      <c r="AB74" t="inlineStr">
        <is>
          <t>Open to students and recent graduates</t>
        </is>
      </c>
      <c r="AC74" t="inlineStr">
        <is>
          <t>Unknown</t>
        </is>
      </c>
      <c r="AD74" t="inlineStr">
        <is>
          <t>Not specified in the job description</t>
        </is>
      </c>
      <c r="AE74" t="inlineStr">
        <is>
          <t>UNKNOWN</t>
        </is>
      </c>
      <c r="AF74" t="n">
        <v>0</v>
      </c>
      <c r="AG74" t="inlineStr">
        <is>
          <t>No</t>
        </is>
      </c>
      <c r="AH74" t="inlineStr">
        <is>
          <t>Not Mentioned</t>
        </is>
      </c>
      <c r="AI74" t="inlineStr">
        <is>
          <t>No mention of PPO or conversion in the job description</t>
        </is>
      </c>
      <c r="AK74" t="inlineStr">
        <is>
          <t>Stipend not disclosed; PPO not mentioned; Location is Indore, Madhya Pradesh</t>
        </is>
      </c>
      <c r="AL74" t="inlineStr">
        <is>
          <t>Basic programming concepts; Live project experience; Problem solving and coding fundamentals</t>
        </is>
      </c>
    </row>
    <row r="75">
      <c r="A75" t="inlineStr">
        <is>
          <t>STRIPE-260912-74</t>
        </is>
      </c>
      <c r="B75" t="inlineStr">
        <is>
          <t>Stripe</t>
        </is>
      </c>
      <c r="C75" t="inlineStr">
        <is>
          <t>Software Engineer, Intern</t>
        </is>
      </c>
      <c r="D75" t="inlineStr">
        <is>
          <t>https://www.adzuna.in/details/5878278736?utm_medium=api&amp;utm_source=5ccdc27f</t>
        </is>
      </c>
      <c r="E75" t="inlineStr">
        <is>
          <t>AI Analyzer</t>
        </is>
      </c>
      <c r="F75" t="inlineStr">
        <is>
          <t>London / India (Remote/Listing ambiguity)</t>
        </is>
      </c>
      <c r="G75" t="inlineStr">
        <is>
          <t>remote</t>
        </is>
      </c>
      <c r="I75" t="inlineStr">
        <is>
          <t>UNKNOWN</t>
        </is>
      </c>
      <c r="J75" t="inlineStr">
        <is>
          <t>UNKNOWN</t>
        </is>
      </c>
      <c r="K75" t="inlineStr">
        <is>
          <t>Web3; Smart Contracts; Blockchain Infrastructure</t>
        </is>
      </c>
      <c r="M75" t="inlineStr">
        <is>
          <t>About Stripe: Stripe is actively recruiting for the position of Software Engineer, Intern (5112 General University). Location &amp; Setup: London Overview: Contribute directly to Stripe's Web3, smart contract, and blockchain infrastructure. Complete candidate qualifications and application instructions are available on Hashtag Web3. View full posting details and apply online on Hashtag Web3</t>
        </is>
      </c>
      <c r="N75" t="n">
        <v>36</v>
      </c>
      <c r="O75" t="n">
        <v>20</v>
      </c>
      <c r="P75" t="n">
        <v>50</v>
      </c>
      <c r="Q75" t="n">
        <v>60</v>
      </c>
      <c r="R75" t="n">
        <v>0</v>
      </c>
      <c r="S75" t="n">
        <v>0</v>
      </c>
      <c r="T75" t="n">
        <v>80</v>
      </c>
      <c r="U75" t="inlineStr">
        <is>
          <t>SKIP</t>
        </is>
      </c>
      <c r="V75" t="inlineStr">
        <is>
          <t>SKIP</t>
        </is>
      </c>
      <c r="W75" t="inlineStr">
        <is>
          <t>Web3; Smart Contracts; Blockchain Infrastructure</t>
        </is>
      </c>
      <c r="X75" t="inlineStr">
        <is>
          <t>Amaanuddin_Ahmed_Full_Stack_Resume.pdf</t>
        </is>
      </c>
      <c r="Y75" t="inlineStr">
        <is>
          <t>2026-09-12</t>
        </is>
      </c>
      <c r="Z75" t="inlineStr">
        <is>
          <t>Stripe is a top-tier tech company with excellent opportunity quality.</t>
        </is>
      </c>
      <c r="AA75" t="inlineStr">
        <is>
          <t>ELIGIBLE</t>
        </is>
      </c>
      <c r="AB75" t="inlineStr">
        <is>
          <t>Candidate is pursuing MCA; Matches target Software Engineering role</t>
        </is>
      </c>
      <c r="AC75" t="inlineStr">
        <is>
          <t>UNKNOWN</t>
        </is>
      </c>
      <c r="AD75" t="inlineStr">
        <is>
          <t>Availability not specified in the candidate profile or job description</t>
        </is>
      </c>
      <c r="AE75" t="inlineStr">
        <is>
          <t>UNKNOWN</t>
        </is>
      </c>
      <c r="AF75" t="n">
        <v>0</v>
      </c>
      <c r="AG75" t="inlineStr">
        <is>
          <t>No</t>
        </is>
      </c>
      <c r="AH75" t="inlineStr">
        <is>
          <t>UNKNOWN</t>
        </is>
      </c>
      <c r="AI75" t="inlineStr">
        <is>
          <t>No explicit mention of PPO or conversion in the job description</t>
        </is>
      </c>
      <c r="AK75" t="inlineStr">
        <is>
          <t>Location mismatch (Job lists London, Adzuna lists India)</t>
        </is>
      </c>
      <c r="AL75" t="inlineStr">
        <is>
          <t>Web3 and Blockchain fundamentals; Smart Contract development; Distributed systems; General SWE principles</t>
        </is>
      </c>
    </row>
    <row r="76">
      <c r="A76" t="inlineStr">
        <is>
          <t>COINBASE-260912-75</t>
        </is>
      </c>
      <c r="B76" t="inlineStr">
        <is>
          <t>Coinbase</t>
        </is>
      </c>
      <c r="C76" t="inlineStr">
        <is>
          <t>Software Engineer Intern</t>
        </is>
      </c>
      <c r="D76" t="inlineStr">
        <is>
          <t>https://www.adzuna.in/details/5878277894?utm_medium=api&amp;utm_source=5ccdc27f</t>
        </is>
      </c>
      <c r="E76" t="inlineStr">
        <is>
          <t>AI Analyzer</t>
        </is>
      </c>
      <c r="F76" t="inlineStr">
        <is>
          <t>San Francisco, CA / India</t>
        </is>
      </c>
      <c r="G76" t="inlineStr">
        <is>
          <t>Hybrid</t>
        </is>
      </c>
      <c r="H76" t="inlineStr">
        <is>
          <t>Not specified</t>
        </is>
      </c>
      <c r="I76" t="inlineStr">
        <is>
          <t>UNKNOWN</t>
        </is>
      </c>
      <c r="J76" t="inlineStr">
        <is>
          <t>Not Mentioned</t>
        </is>
      </c>
      <c r="K76" t="inlineStr">
        <is>
          <t>Web3; Smart Contract; Blockchain Infrastructure</t>
        </is>
      </c>
      <c r="M76" t="inlineStr">
        <is>
          <t>About Coinbase: Coinbase is actively recruiting for the position of Software Engineer Intern (Internships &amp; Emerging Talent Positions). Location &amp; Setup: Hybrid - San Francisco, CA Overview: Contribute directly to Coinbase's Web3, smart contract, and blockchain infrastructure. Complete candidate qualifications and application instructions are available on Hashtag Web3. View full posting details an</t>
        </is>
      </c>
      <c r="N76" t="n">
        <v>35</v>
      </c>
      <c r="O76" t="n">
        <v>20</v>
      </c>
      <c r="P76" t="n">
        <v>40</v>
      </c>
      <c r="Q76" t="n">
        <v>50</v>
      </c>
      <c r="R76" t="n">
        <v>0</v>
      </c>
      <c r="S76" t="n">
        <v>0</v>
      </c>
      <c r="T76" t="n">
        <v>80</v>
      </c>
      <c r="U76" t="inlineStr">
        <is>
          <t>SKIP</t>
        </is>
      </c>
      <c r="V76" t="inlineStr">
        <is>
          <t>SKIP</t>
        </is>
      </c>
      <c r="W76" t="inlineStr">
        <is>
          <t>Web3; Smart Contract; Blockchain Infrastructure</t>
        </is>
      </c>
      <c r="X76" t="inlineStr">
        <is>
          <t>Default Resume</t>
        </is>
      </c>
      <c r="Y76" t="inlineStr">
        <is>
          <t>2026-09-12</t>
        </is>
      </c>
      <c r="Z76" t="inlineStr">
        <is>
          <t>Brand name and opportunity quality at Coinbase.</t>
        </is>
      </c>
      <c r="AA76" t="inlineStr">
        <is>
          <t>Blocked</t>
        </is>
      </c>
      <c r="AB76" t="inlineStr">
        <is>
          <t>Location mismatch: Job requires hybrid setup in San Francisco, CA while candidate is based in India.</t>
        </is>
      </c>
      <c r="AC76" t="inlineStr">
        <is>
          <t>UNKNOWN</t>
        </is>
      </c>
      <c r="AD76" t="inlineStr">
        <is>
          <t>Not specified</t>
        </is>
      </c>
      <c r="AE76" t="inlineStr">
        <is>
          <t>UNKNOWN</t>
        </is>
      </c>
      <c r="AF76" t="n">
        <v>0</v>
      </c>
      <c r="AG76" t="inlineStr">
        <is>
          <t>No</t>
        </is>
      </c>
      <c r="AH76" t="inlineStr">
        <is>
          <t>Not Mentioned</t>
        </is>
      </c>
      <c r="AI76" t="inlineStr">
        <is>
          <t>No explicit mention of PPO or conversion.</t>
        </is>
      </c>
      <c r="AJ76" t="inlineStr">
        <is>
          <t>Location/Work-mode mismatch: Hybrid - San Francisco, CA</t>
        </is>
      </c>
      <c r="AK76" t="inlineStr">
        <is>
          <t>Location listed as India in Adzuna metadata but description specifies San Francisco, CA hybrid.</t>
        </is>
      </c>
      <c r="AL76" t="inlineStr">
        <is>
          <t>Web3 and Blockchain fundamentals; Smart contract development; Distributed systems</t>
        </is>
      </c>
    </row>
    <row r="77">
      <c r="A77" t="inlineStr">
        <is>
          <t>QUALCOMM-260912-76</t>
        </is>
      </c>
      <c r="B77" t="inlineStr">
        <is>
          <t>Qualcomm</t>
        </is>
      </c>
      <c r="C77" t="inlineStr">
        <is>
          <t>Software Engineering Internship</t>
        </is>
      </c>
      <c r="D77" t="inlineStr">
        <is>
          <t>https://www.adzuna.in/details/5854847522?utm_medium=api&amp;utm_source=5ccdc27f</t>
        </is>
      </c>
      <c r="E77" t="inlineStr">
        <is>
          <t>AI Analyzer</t>
        </is>
      </c>
      <c r="F77" t="inlineStr">
        <is>
          <t>Chennai, Tamil Nadu</t>
        </is>
      </c>
      <c r="G77" t="inlineStr">
        <is>
          <t>On-site</t>
        </is>
      </c>
      <c r="H77" t="inlineStr">
        <is>
          <t>Not specified</t>
        </is>
      </c>
      <c r="I77" t="inlineStr">
        <is>
          <t>Not specified</t>
        </is>
      </c>
      <c r="J77" t="inlineStr">
        <is>
          <t>Not mentioned</t>
        </is>
      </c>
      <c r="K77" t="inlineStr">
        <is>
          <t>C; C++; Object-oriented design; OS concepts; Data structures; Embedded software; Device drivers; Linux / UNIX</t>
        </is>
      </c>
      <c r="L77" t="inlineStr">
        <is>
          <t>Mobile SW development; Wireless network standards</t>
        </is>
      </c>
      <c r="M77" t="inlineStr">
        <is>
          <t>Qualcomm is hiring for the role of Software Engineering Intern Requirements Masters Computer Science Engineering Communication Engineering ECE Development of realtime embedded software and device drivers Knowledge of Mobile SW development for Windows Mobile Android or Linux Good understanding of OS concepts Data structures etc Knowledge of C C and object oriented design Knowledge of Wireless netwo</t>
        </is>
      </c>
      <c r="N77" t="n">
        <v>25</v>
      </c>
      <c r="O77" t="n">
        <v>20</v>
      </c>
      <c r="P77" t="n">
        <v>20</v>
      </c>
      <c r="Q77" t="n">
        <v>40</v>
      </c>
      <c r="R77" t="n">
        <v>0</v>
      </c>
      <c r="S77" t="n">
        <v>0</v>
      </c>
      <c r="T77" t="n">
        <v>50</v>
      </c>
      <c r="U77" t="inlineStr">
        <is>
          <t>SKIP</t>
        </is>
      </c>
      <c r="V77" t="inlineStr">
        <is>
          <t>SKIP</t>
        </is>
      </c>
      <c r="W77" t="inlineStr">
        <is>
          <t>C; C++; Embedded software; Device drivers; Linux Kernel Development</t>
        </is>
      </c>
      <c r="X77" t="inlineStr">
        <is>
          <t>Default Resume</t>
        </is>
      </c>
      <c r="Y77" t="inlineStr">
        <is>
          <t>2026-09-12</t>
        </is>
      </c>
      <c r="AA77" t="inlineStr">
        <is>
          <t>Ineligible</t>
        </is>
      </c>
      <c r="AB77" t="inlineStr">
        <is>
          <t>Degree requirement specifies Masters in Computer Science, Engineering, Communication Engineering, or ECE, whereas candidate is pursuing MCA.</t>
        </is>
      </c>
      <c r="AC77" t="inlineStr">
        <is>
          <t>Unknown</t>
        </is>
      </c>
      <c r="AD77" t="inlineStr">
        <is>
          <t>Not specified in candidate profile or job description</t>
        </is>
      </c>
      <c r="AE77" t="inlineStr">
        <is>
          <t>UNKNOWN</t>
        </is>
      </c>
      <c r="AF77" t="n">
        <v>0</v>
      </c>
      <c r="AG77" t="inlineStr">
        <is>
          <t>No</t>
        </is>
      </c>
      <c r="AH77" t="inlineStr">
        <is>
          <t>Not mentioned</t>
        </is>
      </c>
      <c r="AI77" t="inlineStr">
        <is>
          <t>No explicit PPO or conversion mention found in the job description.</t>
        </is>
      </c>
      <c r="AJ77" t="inlineStr">
        <is>
          <t>Masters degree requirement (CSE/ECE/Communication Engineering) vs MCA candidate; Mandatory C/C++ and low-level embedded software/device driver development skills missing</t>
        </is>
      </c>
      <c r="AL77" t="inlineStr">
        <is>
          <t>C and C++ Programming; Operating Systems and Kernel Development; Data Structures and Algorithms; Device Drivers and Embedded Systems</t>
        </is>
      </c>
    </row>
    <row r="78">
      <c r="A78" t="inlineStr">
        <is>
          <t>COINBASE-IND-260912-77</t>
        </is>
      </c>
      <c r="B78" t="inlineStr">
        <is>
          <t>Coinbase India Services</t>
        </is>
      </c>
      <c r="C78" t="inlineStr">
        <is>
          <t>Software Engineer Intern</t>
        </is>
      </c>
      <c r="D78" t="inlineStr">
        <is>
          <t>https://www.adzuna.in/details/5802073705?utm_medium=api&amp;utm_source=5ccdc27f</t>
        </is>
      </c>
      <c r="E78" t="inlineStr">
        <is>
          <t>AI Analyzer</t>
        </is>
      </c>
      <c r="F78" t="inlineStr">
        <is>
          <t>India</t>
        </is>
      </c>
      <c r="G78" t="inlineStr">
        <is>
          <t>UNKNOWN</t>
        </is>
      </c>
      <c r="H78" t="inlineStr">
        <is>
          <t>Not specified</t>
        </is>
      </c>
      <c r="I78" t="inlineStr">
        <is>
          <t>UNKNOWN</t>
        </is>
      </c>
      <c r="J78" t="inlineStr">
        <is>
          <t>UNKNOWN</t>
        </is>
      </c>
      <c r="K78" t="inlineStr">
        <is>
          <t>Software Engineering; Web-scale Applications; Distributed Systems</t>
        </is>
      </c>
      <c r="L78" t="inlineStr">
        <is>
          <t>Blockchain Technology; Low Latency Systems; Real-time Applications</t>
        </is>
      </c>
      <c r="M78" t="inlineStr">
        <is>
          <t>Job Description: Coinbase is seeking software engineer interns to join our team to build out the next generation of crypto-forward products and features. You will solve unique, large scale, highly complex technical problems, bridging the constraints posed by web-scale applications and blockchain technology. You will help build the next generation of systems to make cryptocurrency accessible to eve</t>
        </is>
      </c>
      <c r="N78" t="n">
        <v>67</v>
      </c>
      <c r="O78" t="n">
        <v>60</v>
      </c>
      <c r="P78" t="n">
        <v>70</v>
      </c>
      <c r="Q78" t="n">
        <v>75</v>
      </c>
      <c r="R78" t="n">
        <v>50</v>
      </c>
      <c r="S78" t="n">
        <v>50</v>
      </c>
      <c r="T78" t="n">
        <v>85</v>
      </c>
      <c r="U78" t="inlineStr">
        <is>
          <t>STRETCH</t>
        </is>
      </c>
      <c r="V78" t="inlineStr">
        <is>
          <t>STRETCH</t>
        </is>
      </c>
      <c r="W78" t="inlineStr">
        <is>
          <t>Blockchain Technology; Distributed Systems</t>
        </is>
      </c>
      <c r="X78" t="inlineStr">
        <is>
          <t>Default Full Stack / Software Engineering Resume</t>
        </is>
      </c>
      <c r="Y78" t="inlineStr">
        <is>
          <t>2026-09-12</t>
        </is>
      </c>
      <c r="Z78" t="inlineStr">
        <is>
          <t>Coinbase is a top-tier tech company providing high opportunity quality and exposure to large-scale systems.; Matches general software engineering and backend internship interest.</t>
        </is>
      </c>
      <c r="AA78" t="inlineStr">
        <is>
          <t>UNKNOWN</t>
        </is>
      </c>
      <c r="AB78" t="inlineStr">
        <is>
          <t>Graduation year, degree requirements, and exact batch eligibility criteria are not specified in the job description.</t>
        </is>
      </c>
      <c r="AC78" t="inlineStr">
        <is>
          <t>UNKNOWN</t>
        </is>
      </c>
      <c r="AD78" t="inlineStr">
        <is>
          <t>Candidate availability details are not provided.</t>
        </is>
      </c>
      <c r="AE78" t="inlineStr">
        <is>
          <t>UNKNOWN</t>
        </is>
      </c>
      <c r="AF78" t="n">
        <v>0</v>
      </c>
      <c r="AG78" t="inlineStr">
        <is>
          <t>No</t>
        </is>
      </c>
      <c r="AH78" t="inlineStr">
        <is>
          <t>UNKNOWN</t>
        </is>
      </c>
      <c r="AI78" t="inlineStr">
        <is>
          <t>No explicit mention of PPO or conversion likelihood in the short description provided.</t>
        </is>
      </c>
      <c r="AK78" t="inlineStr">
        <is>
          <t>Job description is very brief with missing salary, duration, and specific technical requirements.</t>
        </is>
      </c>
      <c r="AL78" t="inlineStr">
        <is>
          <t>Data Structures and Algorithms; System Design for Low Latency; Web-scale Application Architecture; Object-Oriented Programming</t>
        </is>
      </c>
    </row>
    <row r="79">
      <c r="A79" t="inlineStr">
        <is>
          <t>BLUEBERRY-DI-260912-78</t>
        </is>
      </c>
      <c r="B79" t="inlineStr">
        <is>
          <t>Blueberry Digital Labs</t>
        </is>
      </c>
      <c r="C79" t="inlineStr">
        <is>
          <t>Software Engineer- Intern</t>
        </is>
      </c>
      <c r="D79" t="inlineStr">
        <is>
          <t>https://www.adzuna.in/details/5806704614?utm_medium=api&amp;utm_source=5ccdc27f</t>
        </is>
      </c>
      <c r="E79" t="inlineStr">
        <is>
          <t>AI Analyzer</t>
        </is>
      </c>
      <c r="F79" t="inlineStr">
        <is>
          <t>Hyderabad, Telangana</t>
        </is>
      </c>
      <c r="G79" t="inlineStr">
        <is>
          <t>Unknown</t>
        </is>
      </c>
      <c r="I79" t="inlineStr">
        <is>
          <t>Unknown</t>
        </is>
      </c>
      <c r="J79" t="inlineStr">
        <is>
          <t>UNKNOWN</t>
        </is>
      </c>
      <c r="M79" t="inlineStr">
        <is>
          <t>Blueberry Digital Labs is seeking a highly motivated Software Engineer Intern to join our E-commerce Development Team. This is a critical role where you will play a key part in designing and developing an amazing website. You'll be part of an extremely talented, creative, and focused group, gaining invaluable hands-on experience by taking on responsibility for the development, testing, and deploym</t>
        </is>
      </c>
      <c r="N79" t="n">
        <v>46</v>
      </c>
      <c r="O79" t="n">
        <v>50</v>
      </c>
      <c r="P79" t="n">
        <v>70</v>
      </c>
      <c r="Q79" t="n">
        <v>70</v>
      </c>
      <c r="R79" t="n">
        <v>0</v>
      </c>
      <c r="S79" t="n">
        <v>0</v>
      </c>
      <c r="T79" t="n">
        <v>50</v>
      </c>
      <c r="U79" t="inlineStr">
        <is>
          <t>SKIP</t>
        </is>
      </c>
      <c r="V79" t="inlineStr">
        <is>
          <t>SKIP</t>
        </is>
      </c>
      <c r="X79" t="inlineStr">
        <is>
          <t>Default Full Stack Resume</t>
        </is>
      </c>
      <c r="Y79" t="inlineStr">
        <is>
          <t>2026-09-12</t>
        </is>
      </c>
      <c r="Z79" t="inlineStr">
        <is>
          <t>Matches target Software Engineering and Full Stack internship profile</t>
        </is>
      </c>
      <c r="AA79" t="inlineStr">
        <is>
          <t>ELIGIBLE</t>
        </is>
      </c>
      <c r="AB79" t="inlineStr">
        <is>
          <t>No specific hard blockers like degree or graduation year restrictions were stated in the snippet</t>
        </is>
      </c>
      <c r="AC79" t="inlineStr">
        <is>
          <t>UNKNOWN</t>
        </is>
      </c>
      <c r="AD79" t="inlineStr">
        <is>
          <t>Candidate availability details are not specified in the career brain</t>
        </is>
      </c>
      <c r="AE79" t="inlineStr">
        <is>
          <t>UNKNOWN</t>
        </is>
      </c>
      <c r="AF79" t="n">
        <v>0</v>
      </c>
      <c r="AG79" t="inlineStr">
        <is>
          <t>No</t>
        </is>
      </c>
      <c r="AH79" t="inlineStr">
        <is>
          <t>UNKNOWN</t>
        </is>
      </c>
      <c r="AI79" t="inlineStr">
        <is>
          <t>No mention of PPO or conversion in the provided description snippet</t>
        </is>
      </c>
      <c r="AK79" t="inlineStr">
        <is>
          <t>Incomplete job description snippet; No stipend information provided; No technology stack specified in the snippet</t>
        </is>
      </c>
      <c r="AL79" t="inlineStr">
        <is>
          <t>E-commerce development experience; Full stack web development basics; Testing and deployment workflows</t>
        </is>
      </c>
    </row>
    <row r="80">
      <c r="A80" t="inlineStr">
        <is>
          <t>WEEKDAY-260912-79</t>
        </is>
      </c>
      <c r="B80" t="inlineStr">
        <is>
          <t>Weekday</t>
        </is>
      </c>
      <c r="C80" t="inlineStr">
        <is>
          <t>Software Engineer Intern</t>
        </is>
      </c>
      <c r="D80" t="inlineStr">
        <is>
          <t>https://www.adzuna.in/details/5849688632?utm_medium=api&amp;utm_source=5ccdc27f</t>
        </is>
      </c>
      <c r="E80" t="inlineStr">
        <is>
          <t>AI Analyzer</t>
        </is>
      </c>
      <c r="F80" t="inlineStr">
        <is>
          <t>Bengaluru</t>
        </is>
      </c>
      <c r="G80" t="inlineStr">
        <is>
          <t>Remote</t>
        </is>
      </c>
      <c r="H80" t="inlineStr">
        <is>
          <t>₹30,000 / month (derived from ₹3,00,000 to ₹6,00,000 a year annualized)</t>
        </is>
      </c>
      <c r="I80" t="inlineStr">
        <is>
          <t>Not Specified</t>
        </is>
      </c>
      <c r="J80" t="inlineStr">
        <is>
          <t>UNKNOWN</t>
        </is>
      </c>
      <c r="M80" t="inlineStr">
        <is>
          <t>This role is for one of our clients Industry: Software Development Seniority level: Junior - Entry Level Min Experience: 0 years Location: Bengaluru (Remote) JobType: full-time ₹3,00,000 - ₹6,00,000 a year About the Role We are looking for a motivated and curious Software Engineering Intern to join the team. This is a hands-on role where you'll work alongside experienced engineers, contribute to r</t>
        </is>
      </c>
      <c r="N80" t="n">
        <v>82</v>
      </c>
      <c r="O80" t="n">
        <v>24</v>
      </c>
      <c r="P80" t="n">
        <v>20</v>
      </c>
      <c r="Q80" t="n">
        <v>15</v>
      </c>
      <c r="R80" t="n">
        <v>5</v>
      </c>
      <c r="S80" t="n">
        <v>10</v>
      </c>
      <c r="T80" t="n">
        <v>8</v>
      </c>
      <c r="U80" t="inlineStr">
        <is>
          <t>APPLY</t>
        </is>
      </c>
      <c r="V80" t="inlineStr">
        <is>
          <t>APPLY</t>
        </is>
      </c>
      <c r="X80" t="inlineStr">
        <is>
          <t>Amaanuddin_Ahmed_Software_Engineer_Resume.pdf</t>
        </is>
      </c>
      <c r="Y80" t="inlineStr">
        <is>
          <t>2026-09-12</t>
        </is>
      </c>
      <c r="Z80" t="inlineStr">
        <is>
          <t>Stipend meets the minimum target of ₹25,000/month.; Requires 0 years of experience, fitting an MCA student.; Role matches target software engineering positions.</t>
        </is>
      </c>
      <c r="AA80" t="inlineStr">
        <is>
          <t>ELIGIBLE</t>
        </is>
      </c>
      <c r="AB80" t="inlineStr">
        <is>
          <t>Min experience required is 0 years which matches the candidate profile.</t>
        </is>
      </c>
      <c r="AC80" t="inlineStr">
        <is>
          <t>UNKNOWN</t>
        </is>
      </c>
      <c r="AD80" t="inlineStr">
        <is>
          <t>Availability not specified in the candidate profile.</t>
        </is>
      </c>
      <c r="AE80" t="inlineStr">
        <is>
          <t>EXPLICIT</t>
        </is>
      </c>
      <c r="AF80" t="n">
        <v>25000</v>
      </c>
      <c r="AG80" t="inlineStr">
        <is>
          <t>No</t>
        </is>
      </c>
      <c r="AH80" t="inlineStr">
        <is>
          <t>UNKNOWN</t>
        </is>
      </c>
      <c r="AI80" t="inlineStr">
        <is>
          <t>PPO or conversion is not explicitly mentioned in the job description.</t>
        </is>
      </c>
      <c r="AL80" t="inlineStr">
        <is>
          <t>Data Structures and Algorithms; System Design basics; Problem solving and past project walkthroughs</t>
        </is>
      </c>
      <c r="AM80" t="inlineStr">
        <is>
          <t>E:\InternshipHunter\applications\adzuna-a9b412fb8d46</t>
        </is>
      </c>
      <c r="AN80" t="inlineStr">
        <is>
          <t>Ready for Review</t>
        </is>
      </c>
      <c r="AO80" t="inlineStr">
        <is>
          <t>Generated</t>
        </is>
      </c>
      <c r="AP80" t="inlineStr">
        <is>
          <t>Generated</t>
        </is>
      </c>
      <c r="AQ80" t="inlineStr">
        <is>
          <t>Generated</t>
        </is>
      </c>
      <c r="AR80" t="inlineStr">
        <is>
          <t>Ready to Apply</t>
        </is>
      </c>
    </row>
    <row r="81">
      <c r="A81" t="inlineStr">
        <is>
          <t>KUTUKAMAI-260912-80</t>
        </is>
      </c>
      <c r="B81" t="inlineStr">
        <is>
          <t>KutukamAI</t>
        </is>
      </c>
      <c r="C81" t="inlineStr">
        <is>
          <t>Software Engineer Intern</t>
        </is>
      </c>
      <c r="D81" t="inlineStr">
        <is>
          <t>https://www.adzuna.in/details/5854847482?utm_medium=api&amp;utm_source=5ccdc27f</t>
        </is>
      </c>
      <c r="E81" t="inlineStr">
        <is>
          <t>AI Analyzer</t>
        </is>
      </c>
      <c r="F81" t="inlineStr">
        <is>
          <t>India</t>
        </is>
      </c>
      <c r="G81" t="inlineStr">
        <is>
          <t>UNKNOWN</t>
        </is>
      </c>
      <c r="H81" t="inlineStr">
        <is>
          <t>UNKNOWN</t>
        </is>
      </c>
      <c r="I81" t="inlineStr">
        <is>
          <t>UNKNOWN</t>
        </is>
      </c>
      <c r="J81" t="inlineStr">
        <is>
          <t>UNKNOWN</t>
        </is>
      </c>
      <c r="L81" t="inlineStr">
        <is>
          <t>AI; IT Solutions; Software Architectures</t>
        </is>
      </c>
      <c r="M81" t="inlineStr">
        <is>
          <t>Company Description Kutukam AI is an Information Technology and Artificial Intelligence firm focused on turning complex technology into practical tools for business growth The company designs accessible scalable AI and IT solutions for organizations ranging from small startups to large global enterprises Kutukam AI helps businesses integrate AI into daily operations to automate workflows extract d</t>
        </is>
      </c>
      <c r="N81" t="n">
        <v>41</v>
      </c>
      <c r="O81" t="n">
        <v>50</v>
      </c>
      <c r="P81" t="n">
        <v>50</v>
      </c>
      <c r="Q81" t="n">
        <v>60</v>
      </c>
      <c r="R81" t="n">
        <v>0</v>
      </c>
      <c r="S81" t="n">
        <v>0</v>
      </c>
      <c r="T81" t="n">
        <v>30</v>
      </c>
      <c r="U81" t="inlineStr">
        <is>
          <t>SKIP</t>
        </is>
      </c>
      <c r="V81" t="inlineStr">
        <is>
          <t>SKIP</t>
        </is>
      </c>
      <c r="X81" t="inlineStr">
        <is>
          <t>Amaanuddin_Ahmed_Software_Engineering_Resume.pdf</t>
        </is>
      </c>
      <c r="Y81" t="inlineStr">
        <is>
          <t>2026-09-12</t>
        </is>
      </c>
      <c r="AA81" t="inlineStr">
        <is>
          <t>ELIGIBLE</t>
        </is>
      </c>
      <c r="AB81" t="inlineStr">
        <is>
          <t>No explicit hard blockers mentioned in the description.</t>
        </is>
      </c>
      <c r="AC81" t="inlineStr">
        <is>
          <t>UNKNOWN</t>
        </is>
      </c>
      <c r="AD81" t="inlineStr">
        <is>
          <t>Availability requirements not specified in the job description.</t>
        </is>
      </c>
      <c r="AE81" t="inlineStr">
        <is>
          <t>UNKNOWN</t>
        </is>
      </c>
      <c r="AF81" t="n">
        <v>0</v>
      </c>
      <c r="AG81" t="inlineStr">
        <is>
          <t>No</t>
        </is>
      </c>
      <c r="AH81" t="inlineStr">
        <is>
          <t>UNKNOWN</t>
        </is>
      </c>
      <c r="AI81" t="inlineStr">
        <is>
          <t>Not mentioned in the job description.</t>
        </is>
      </c>
      <c r="AK81" t="inlineStr">
        <is>
          <t>Extremely sparse job description lacking specific technical requirements, stipend, duration, and work mode.</t>
        </is>
      </c>
      <c r="AL81" t="inlineStr">
        <is>
          <t>AI integration and practical tools; Software architectures; Workflow automation</t>
        </is>
      </c>
    </row>
    <row r="82">
      <c r="A82" t="inlineStr">
        <is>
          <t>GENROBOTICS-260912-81</t>
        </is>
      </c>
      <c r="B82" t="inlineStr">
        <is>
          <t>Genrobotics</t>
        </is>
      </c>
      <c r="C82" t="inlineStr">
        <is>
          <t>Software Engineer Intern</t>
        </is>
      </c>
      <c r="D82" t="inlineStr">
        <is>
          <t>https://www.adzuna.in/details/5845820619?utm_medium=api&amp;utm_source=5ccdc27f</t>
        </is>
      </c>
      <c r="E82" t="inlineStr">
        <is>
          <t>AI Analyzer</t>
        </is>
      </c>
      <c r="F82" t="inlineStr">
        <is>
          <t>Thiruvananthapuram, Kerala</t>
        </is>
      </c>
      <c r="G82" t="inlineStr">
        <is>
          <t>UNKNOWN</t>
        </is>
      </c>
      <c r="H82" t="inlineStr">
        <is>
          <t>Not specified</t>
        </is>
      </c>
      <c r="I82" t="inlineStr">
        <is>
          <t>UNKNOWN</t>
        </is>
      </c>
      <c r="J82" t="inlineStr">
        <is>
          <t>NOT_MENTIONED</t>
        </is>
      </c>
      <c r="K82" t="inlineStr">
        <is>
          <t>Software Development; Coding; Debugging</t>
        </is>
      </c>
      <c r="M82" t="inlineStr">
        <is>
          <t>Brief Support the software development team in the design development testing and maintenance of software applications and system features Assist in coding debugging documentation and implementation of software solutions while gaining handson experience in realtime projects and modern technologies Collaborate with crossfunctional teams to ensure timely delivery of highquality software solutions al</t>
        </is>
      </c>
      <c r="N82" t="n">
        <v>53</v>
      </c>
      <c r="O82" t="n">
        <v>70</v>
      </c>
      <c r="P82" t="n">
        <v>70</v>
      </c>
      <c r="Q82" t="n">
        <v>80</v>
      </c>
      <c r="R82" t="n">
        <v>0</v>
      </c>
      <c r="S82" t="n">
        <v>0</v>
      </c>
      <c r="T82" t="n">
        <v>50</v>
      </c>
      <c r="U82" t="inlineStr">
        <is>
          <t>SKIP</t>
        </is>
      </c>
      <c r="V82" t="inlineStr">
        <is>
          <t>SKIP</t>
        </is>
      </c>
      <c r="X82" t="inlineStr">
        <is>
          <t>Default Full Stack / Software Engineering Resume</t>
        </is>
      </c>
      <c r="Y82" t="inlineStr">
        <is>
          <t>2026-09-12</t>
        </is>
      </c>
      <c r="Z82" t="inlineStr">
        <is>
          <t>Provides hands-on experience in software development and real-time projects.</t>
        </is>
      </c>
      <c r="AA82" t="inlineStr">
        <is>
          <t>ELIGIBLE</t>
        </is>
      </c>
      <c r="AB82" t="inlineStr">
        <is>
          <t>No explicit degree or graduation-year blockers specified in the JD.</t>
        </is>
      </c>
      <c r="AC82" t="inlineStr">
        <is>
          <t>UNKNOWN</t>
        </is>
      </c>
      <c r="AD82" t="inlineStr">
        <is>
          <t>Availability requirements not mentioned.</t>
        </is>
      </c>
      <c r="AE82" t="inlineStr">
        <is>
          <t>UNKNOWN</t>
        </is>
      </c>
      <c r="AF82" t="n">
        <v>0</v>
      </c>
      <c r="AG82" t="inlineStr">
        <is>
          <t>No</t>
        </is>
      </c>
      <c r="AH82" t="inlineStr">
        <is>
          <t>NOT_MENTIONED</t>
        </is>
      </c>
      <c r="AI82" t="inlineStr">
        <is>
          <t>No mention of PPO or conversion in the job description.</t>
        </is>
      </c>
      <c r="AK82" t="inlineStr">
        <is>
          <t>Stipend is not disclosed; Location is in Thiruvananthapuram, Kerala which may require relocation</t>
        </is>
      </c>
      <c r="AL82" t="inlineStr">
        <is>
          <t>Software development life cycle; Debugging and testing methodologies; Basic programming and problem solving; Collaboration and teamwork</t>
        </is>
      </c>
    </row>
    <row r="83">
      <c r="A83" t="inlineStr">
        <is>
          <t>EDZOLA-260912-82</t>
        </is>
      </c>
      <c r="B83" t="inlineStr">
        <is>
          <t>EdZola</t>
        </is>
      </c>
      <c r="C83" t="inlineStr">
        <is>
          <t>Software Engineering Intern</t>
        </is>
      </c>
      <c r="D83" t="inlineStr">
        <is>
          <t>https://www.adzuna.in/details/5845820762?utm_medium=api&amp;utm_source=5ccdc27f</t>
        </is>
      </c>
      <c r="E83" t="inlineStr">
        <is>
          <t>AI Analyzer</t>
        </is>
      </c>
      <c r="F83" t="inlineStr">
        <is>
          <t>Coimbatore, Tamil Nadu</t>
        </is>
      </c>
      <c r="G83" t="inlineStr">
        <is>
          <t>On-site</t>
        </is>
      </c>
      <c r="H83" t="inlineStr">
        <is>
          <t>Not specified</t>
        </is>
      </c>
      <c r="I83" t="inlineStr">
        <is>
          <t>UNKNOWN</t>
        </is>
      </c>
      <c r="J83" t="inlineStr">
        <is>
          <t>UNKNOWN</t>
        </is>
      </c>
      <c r="M83" t="inlineStr">
        <is>
          <t>We are hiring our next batch of fulltime Software Engineering Interns at EdZola for our Coimbatore office This hiring cycle feels particularly important to me Over the last few years I have had the opportunity to see EdZola grow from a small team taking on individual technology projects into an organisation building systems platforms and AIenabled products for nonprofits and missiondriven organisa</t>
        </is>
      </c>
      <c r="N83" t="n">
        <v>40</v>
      </c>
      <c r="O83" t="n">
        <v>50</v>
      </c>
      <c r="P83" t="n">
        <v>50</v>
      </c>
      <c r="Q83" t="n">
        <v>60</v>
      </c>
      <c r="R83" t="n">
        <v>0</v>
      </c>
      <c r="S83" t="n">
        <v>0</v>
      </c>
      <c r="T83" t="n">
        <v>50</v>
      </c>
      <c r="U83" t="inlineStr">
        <is>
          <t>SKIP</t>
        </is>
      </c>
      <c r="V83" t="inlineStr">
        <is>
          <t>SKIP</t>
        </is>
      </c>
      <c r="X83" t="inlineStr">
        <is>
          <t>Amaan_Software_Engineering_Resume.pdf</t>
        </is>
      </c>
      <c r="Y83" t="inlineStr">
        <is>
          <t>2026-09-12</t>
        </is>
      </c>
      <c r="Z83" t="inlineStr">
        <is>
          <t>Aligns with Software Engineering internship target roles</t>
        </is>
      </c>
      <c r="AA83" t="inlineStr">
        <is>
          <t>ELIGIBLE</t>
        </is>
      </c>
      <c r="AB83" t="inlineStr">
        <is>
          <t>No specific degree or experience blockers mentioned in the snippet</t>
        </is>
      </c>
      <c r="AC83" t="inlineStr">
        <is>
          <t>UNKNOWN</t>
        </is>
      </c>
      <c r="AD83" t="inlineStr">
        <is>
          <t>Availability requirements not specified in the job description</t>
        </is>
      </c>
      <c r="AE83" t="inlineStr">
        <is>
          <t>UNKNOWN</t>
        </is>
      </c>
      <c r="AF83" t="n">
        <v>0</v>
      </c>
      <c r="AG83" t="inlineStr">
        <is>
          <t>No</t>
        </is>
      </c>
      <c r="AH83" t="inlineStr">
        <is>
          <t>UNKNOWN</t>
        </is>
      </c>
      <c r="AI83" t="inlineStr">
        <is>
          <t>Not mentioned in the truncated JD</t>
        </is>
      </c>
      <c r="AK83" t="inlineStr">
        <is>
          <t>Incomplete job description text provided</t>
        </is>
      </c>
      <c r="AL83" t="inlineStr">
        <is>
          <t>General Software Engineering fundamentals; Previous project experience; Problem solving and coding ability</t>
        </is>
      </c>
    </row>
    <row r="84">
      <c r="A84" t="inlineStr">
        <is>
          <t>MICROSOFT-CO-260912-83</t>
        </is>
      </c>
      <c r="B84" t="inlineStr">
        <is>
          <t>Microsoft Corporation</t>
        </is>
      </c>
      <c r="C84" t="inlineStr">
        <is>
          <t>Software Engineering INTERN</t>
        </is>
      </c>
      <c r="D84" t="inlineStr">
        <is>
          <t>https://www.adzuna.in/details/5775777688?utm_medium=api&amp;utm_source=5ccdc27f</t>
        </is>
      </c>
      <c r="E84" t="inlineStr">
        <is>
          <t>AI Analyzer</t>
        </is>
      </c>
      <c r="F84" t="inlineStr">
        <is>
          <t>India</t>
        </is>
      </c>
      <c r="G84" t="inlineStr">
        <is>
          <t>UNKNOWN</t>
        </is>
      </c>
      <c r="I84" t="inlineStr">
        <is>
          <t>UNKNOWN</t>
        </is>
      </c>
      <c r="J84" t="inlineStr">
        <is>
          <t>POSSIBLE</t>
        </is>
      </c>
      <c r="K84" t="inlineStr">
        <is>
          <t>Software Engineering; Problem Solving; Product Quality</t>
        </is>
      </c>
      <c r="M84" t="inlineStr">
        <is>
          <t>Overview Come build community, explore your passions and do your best work at Microsoft with thousands of University interns from every corner of the world. This opportunity will allow you to bring your aspirations, talent, potential-and excitement for the journey ahead. As a Software Engineering Intern, you will work with teammates to solve problems and build innovative software solutions. You wi</t>
        </is>
      </c>
      <c r="N84" t="n">
        <v>76</v>
      </c>
      <c r="O84" t="n">
        <v>24</v>
      </c>
      <c r="P84" t="n">
        <v>16</v>
      </c>
      <c r="Q84" t="n">
        <v>12</v>
      </c>
      <c r="R84" t="n">
        <v>10</v>
      </c>
      <c r="S84" t="n">
        <v>5</v>
      </c>
      <c r="T84" t="n">
        <v>9</v>
      </c>
      <c r="U84" t="inlineStr">
        <is>
          <t>CONSIDER</t>
        </is>
      </c>
      <c r="V84" t="inlineStr">
        <is>
          <t>CONSIDER</t>
        </is>
      </c>
      <c r="X84" t="inlineStr">
        <is>
          <t>Amaanuddin_Ahmed_Software_Engineering_Resume.pdf</t>
        </is>
      </c>
      <c r="Y84" t="inlineStr">
        <is>
          <t>2026-09-12</t>
        </is>
      </c>
      <c r="Z84" t="inlineStr">
        <is>
          <t>Prestigious brand and strong career opportunity; Matches target Software Engineering and internship goals</t>
        </is>
      </c>
      <c r="AA84" t="inlineStr">
        <is>
          <t>ELIGIBLE</t>
        </is>
      </c>
      <c r="AB84" t="inlineStr">
        <is>
          <t>Open to university students/interns matching candidate's MCA background</t>
        </is>
      </c>
      <c r="AC84" t="inlineStr">
        <is>
          <t>UNKNOWN</t>
        </is>
      </c>
      <c r="AD84" t="inlineStr">
        <is>
          <t>Not specified in candidate profile</t>
        </is>
      </c>
      <c r="AE84" t="inlineStr">
        <is>
          <t>UNKNOWN</t>
        </is>
      </c>
      <c r="AF84" t="n">
        <v>0</v>
      </c>
      <c r="AG84" t="inlineStr">
        <is>
          <t>No</t>
        </is>
      </c>
      <c r="AH84" t="inlineStr">
        <is>
          <t>POSSIBLE</t>
        </is>
      </c>
      <c r="AI84" t="inlineStr">
        <is>
          <t>Standard industry practice for major tech companies like Microsoft often includes potential conversion, though not explicitly detailed in the snippet.</t>
        </is>
      </c>
      <c r="AK84" t="inlineStr">
        <is>
          <t>Incomplete job description text provided</t>
        </is>
      </c>
      <c r="AL84" t="inlineStr">
        <is>
          <t>Data Structures and Algorithms; System Design basics; Object-Oriented Programming; Behavioral and situational problem solving</t>
        </is>
      </c>
    </row>
    <row r="85">
      <c r="A85" t="inlineStr">
        <is>
          <t>INDIAN-AI-RE-260912-84</t>
        </is>
      </c>
      <c r="B85" t="inlineStr">
        <is>
          <t>Indian AI Research Organisation IAIRO</t>
        </is>
      </c>
      <c r="C85" t="inlineStr">
        <is>
          <t>Software Engineer Intern</t>
        </is>
      </c>
      <c r="D85" t="inlineStr">
        <is>
          <t>https://www.adzuna.in/details/5845820622?utm_medium=api&amp;utm_source=5ccdc27f</t>
        </is>
      </c>
      <c r="E85" t="inlineStr">
        <is>
          <t>AI Analyzer</t>
        </is>
      </c>
      <c r="F85" t="inlineStr">
        <is>
          <t>Gandhinagar, Gujarat</t>
        </is>
      </c>
      <c r="G85" t="inlineStr">
        <is>
          <t>UNKNOWN</t>
        </is>
      </c>
      <c r="I85" t="inlineStr">
        <is>
          <t>UNKNOWN</t>
        </is>
      </c>
      <c r="J85" t="inlineStr">
        <is>
          <t>NOT_MENTIONED</t>
        </is>
      </c>
      <c r="K85" t="inlineStr">
        <is>
          <t>Software Engineering; Data Pipelines; AI-enabled services; MVPs</t>
        </is>
      </c>
      <c r="L85" t="inlineStr">
        <is>
          <t>AI Hospital Agent; Hospital Personal Health Insights Agents; Personicle; Personal Care Utility</t>
        </is>
      </c>
      <c r="M85" t="inlineStr">
        <is>
          <t>IAIRO is building foundational AI capability for India in the public interest Our health programme develops responsible AI systems that support clinicians researchers publichealth institutions and individuals seeking personalized daily guidance As a Software Engineer Intern you will help build data pipelines AIenabled services and lightweight MVPs inspired by AI Hospital Agent Hospital Personal He</t>
        </is>
      </c>
      <c r="N85" t="n">
        <v>53</v>
      </c>
      <c r="O85" t="n">
        <v>60</v>
      </c>
      <c r="P85" t="n">
        <v>70</v>
      </c>
      <c r="Q85" t="n">
        <v>75</v>
      </c>
      <c r="R85" t="n">
        <v>0</v>
      </c>
      <c r="S85" t="n">
        <v>0</v>
      </c>
      <c r="T85" t="n">
        <v>60</v>
      </c>
      <c r="U85" t="inlineStr">
        <is>
          <t>SKIP</t>
        </is>
      </c>
      <c r="V85" t="inlineStr">
        <is>
          <t>SKIP</t>
        </is>
      </c>
      <c r="W85" t="inlineStr">
        <is>
          <t>Data Pipelines; AI-enabled services</t>
        </is>
      </c>
      <c r="X85" t="inlineStr">
        <is>
          <t>Default Full Stack / Software Engineering Resume</t>
        </is>
      </c>
      <c r="Y85" t="inlineStr">
        <is>
          <t>2026-09-12</t>
        </is>
      </c>
      <c r="Z85" t="inlineStr">
        <is>
          <t>Aligns with software engineering and AI-adjacent software engineering target roles</t>
        </is>
      </c>
      <c r="AA85" t="inlineStr">
        <is>
          <t>ELIGIBLE</t>
        </is>
      </c>
      <c r="AC85" t="inlineStr">
        <is>
          <t>UNKNOWN</t>
        </is>
      </c>
      <c r="AD85" t="inlineStr">
        <is>
          <t>Not specified in JD</t>
        </is>
      </c>
      <c r="AE85" t="inlineStr">
        <is>
          <t>UNKNOWN</t>
        </is>
      </c>
      <c r="AF85" t="n">
        <v>0</v>
      </c>
      <c r="AG85" t="inlineStr">
        <is>
          <t>No</t>
        </is>
      </c>
      <c r="AH85" t="inlineStr">
        <is>
          <t>NOT_MENTIONED</t>
        </is>
      </c>
      <c r="AK85" t="inlineStr">
        <is>
          <t>Location is Gandhinagar, Gujarat which may require relocation; Stipend details are missing</t>
        </is>
      </c>
      <c r="AL85" t="inlineStr">
        <is>
          <t>Data pipeline architecture; Building lightweight MVPs; MERN/Python integration for AI services</t>
        </is>
      </c>
    </row>
    <row r="86">
      <c r="A86" t="inlineStr">
        <is>
          <t>ZYBISYS-CONS-260912-85</t>
        </is>
      </c>
      <c r="B86" t="inlineStr">
        <is>
          <t>Zybisys Consulting Services Llp</t>
        </is>
      </c>
      <c r="C86" t="inlineStr">
        <is>
          <t>Software Engineer Intern</t>
        </is>
      </c>
      <c r="D86" t="inlineStr">
        <is>
          <t>https://www.adzuna.in/details/5845820644?utm_medium=api&amp;utm_source=5ccdc27f</t>
        </is>
      </c>
      <c r="E86" t="inlineStr">
        <is>
          <t>AI Analyzer</t>
        </is>
      </c>
      <c r="F86" t="inlineStr">
        <is>
          <t>Tiruchirappalli, Tamil Nadu</t>
        </is>
      </c>
      <c r="G86" t="inlineStr">
        <is>
          <t>Unknown</t>
        </is>
      </c>
      <c r="H86" t="inlineStr">
        <is>
          <t>Not specified</t>
        </is>
      </c>
      <c r="I86" t="inlineStr">
        <is>
          <t>Unknown</t>
        </is>
      </c>
      <c r="J86" t="inlineStr">
        <is>
          <t>UNKNOWN</t>
        </is>
      </c>
      <c r="K86" t="inlineStr">
        <is>
          <t>Full Stack Development; Problem Solving</t>
        </is>
      </c>
      <c r="L86" t="inlineStr">
        <is>
          <t>AI; ML; Cloud; Automation; Infrastructure</t>
        </is>
      </c>
      <c r="M86" t="inlineStr">
        <is>
          <t>We are looking for passionate and motivated Associate Software Engineers who are eager to work on modern technologies including Full Stack Development AI ML Cloud Automation and InfrastructureAware Applications This role is ideal for fresh graduates who enjoy problemsolving building scalable applications researching emerging technologies and working closely with development and infrastructure team</t>
        </is>
      </c>
      <c r="N86" t="n">
        <v>66</v>
      </c>
      <c r="O86" t="n">
        <v>24</v>
      </c>
      <c r="P86" t="n">
        <v>18</v>
      </c>
      <c r="Q86" t="n">
        <v>14</v>
      </c>
      <c r="R86" t="n">
        <v>5</v>
      </c>
      <c r="S86" t="n">
        <v>0</v>
      </c>
      <c r="T86" t="n">
        <v>5</v>
      </c>
      <c r="U86" t="inlineStr">
        <is>
          <t>STRETCH</t>
        </is>
      </c>
      <c r="V86" t="inlineStr">
        <is>
          <t>STRETCH</t>
        </is>
      </c>
      <c r="W86" t="inlineStr">
        <is>
          <t>Machine Learning specifics</t>
        </is>
      </c>
      <c r="X86" t="inlineStr">
        <is>
          <t>Amaanuddin_Ahmed_Full_Stack_Resume.pdf</t>
        </is>
      </c>
      <c r="Y86" t="inlineStr">
        <is>
          <t>2026-09-12</t>
        </is>
      </c>
      <c r="Z86" t="inlineStr">
        <is>
          <t>Aligns with target Full Stack Development and Software Engineering roles; Suitable for fresh graduates like MCA students</t>
        </is>
      </c>
      <c r="AA86" t="inlineStr">
        <is>
          <t>ELIGIBLE</t>
        </is>
      </c>
      <c r="AB86" t="inlineStr">
        <is>
          <t>Open to fresh graduates; Matches target role of Full Stack Development</t>
        </is>
      </c>
      <c r="AC86" t="inlineStr">
        <is>
          <t>UNKNOWN</t>
        </is>
      </c>
      <c r="AD86" t="inlineStr">
        <is>
          <t>Availability requirements not specified in job description</t>
        </is>
      </c>
      <c r="AE86" t="inlineStr">
        <is>
          <t>UNKNOWN</t>
        </is>
      </c>
      <c r="AF86" t="n">
        <v>0</v>
      </c>
      <c r="AG86" t="inlineStr">
        <is>
          <t>No</t>
        </is>
      </c>
      <c r="AH86" t="inlineStr">
        <is>
          <t>UNKNOWN</t>
        </is>
      </c>
      <c r="AI86" t="inlineStr">
        <is>
          <t>No explicit PPO or conversion mention in the job description</t>
        </is>
      </c>
      <c r="AK86" t="inlineStr">
        <is>
          <t>Stipend not disclosed; PPO information not disclosed</t>
        </is>
      </c>
      <c r="AL86" t="inlineStr">
        <is>
          <t>Full stack development fundamentals; Problem solving and algorithms; Cloud and automation basics; Project walkthroughs</t>
        </is>
      </c>
    </row>
    <row r="87">
      <c r="A87" t="inlineStr">
        <is>
          <t>SOLUTIONINN,-260912-86</t>
        </is>
      </c>
      <c r="B87" t="inlineStr">
        <is>
          <t>SolutionInn, US</t>
        </is>
      </c>
      <c r="C87" t="inlineStr">
        <is>
          <t>Software Engineering Intern</t>
        </is>
      </c>
      <c r="D87" t="inlineStr">
        <is>
          <t>https://www.adzuna.in/details/5850377111?utm_medium=api&amp;utm_source=5ccdc27f</t>
        </is>
      </c>
      <c r="E87" t="inlineStr">
        <is>
          <t>AI Analyzer</t>
        </is>
      </c>
      <c r="F87" t="inlineStr">
        <is>
          <t>Ludhiana, Punjab</t>
        </is>
      </c>
      <c r="G87" t="inlineStr">
        <is>
          <t>UNKNOWN</t>
        </is>
      </c>
      <c r="H87" t="inlineStr">
        <is>
          <t>Not specified</t>
        </is>
      </c>
      <c r="I87" t="inlineStr">
        <is>
          <t>UNKNOWN</t>
        </is>
      </c>
      <c r="J87" t="inlineStr">
        <is>
          <t>UNKNOWN</t>
        </is>
      </c>
      <c r="K87" t="inlineStr">
        <is>
          <t>AI/ML tools or frameworks; AWS, Azure, or Google Cloud; Agile or Scrum methodologies; HTML; CSS; JavaScript; Python (Django/Flask); Node.js; MySQL</t>
        </is>
      </c>
      <c r="L87" t="inlineStr">
        <is>
          <t>PHP; Django; Flask</t>
        </is>
      </c>
      <c r="M87" t="inlineStr">
        <is>
          <t>Skills Required Experience with AI/ML tools or frameworks. Knowledge of cloud platforms like AWS, Azure, or Google Cloud. Familiarity with Agile or Scrum methodologies. Required Qualifications Currently enrolled in or recently graduated from a degree program in Computer Science, Software Engineering, or a related field. Familiarity with front-end or back-end technologies, such as: Front-End: HTML,</t>
        </is>
      </c>
      <c r="N87" t="n">
        <v>72</v>
      </c>
      <c r="O87" t="n">
        <v>22</v>
      </c>
      <c r="P87" t="n">
        <v>18</v>
      </c>
      <c r="Q87" t="n">
        <v>14</v>
      </c>
      <c r="R87" t="n">
        <v>7</v>
      </c>
      <c r="S87" t="n">
        <v>5</v>
      </c>
      <c r="T87" t="n">
        <v>6</v>
      </c>
      <c r="U87" t="inlineStr">
        <is>
          <t>CONSIDER</t>
        </is>
      </c>
      <c r="V87" t="inlineStr">
        <is>
          <t>CONSIDER</t>
        </is>
      </c>
      <c r="W87" t="inlineStr">
        <is>
          <t>AI/ML tools or frameworks; AWS or Google Cloud (only Azure demonstrated); Agile or Scrum methodologies; Django/Flask</t>
        </is>
      </c>
      <c r="X87" t="inlineStr">
        <is>
          <t>Default Full Stack / Backend Resume</t>
        </is>
      </c>
      <c r="Y87" t="inlineStr">
        <is>
          <t>2026-09-12</t>
        </is>
      </c>
      <c r="Z87" t="inlineStr">
        <is>
          <t>Candidate meets the education enrollment requirements as an MCA student.; Strong overlap with required core technologies like JavaScript, Node.js, Python, and MySQL.; Cloud exposure aligns with Azure requirement.</t>
        </is>
      </c>
      <c r="AA87" t="inlineStr">
        <is>
          <t>ELIGIBLE</t>
        </is>
      </c>
      <c r="AB87" t="inlineStr">
        <is>
          <t>Currently enrolled in MCA program in Computer Science or a related field</t>
        </is>
      </c>
      <c r="AC87" t="inlineStr">
        <is>
          <t>UNKNOWN</t>
        </is>
      </c>
      <c r="AD87" t="inlineStr">
        <is>
          <t>Availability timeline not specified in candidate profile</t>
        </is>
      </c>
      <c r="AE87" t="inlineStr">
        <is>
          <t>UNKNOWN</t>
        </is>
      </c>
      <c r="AF87" t="n">
        <v>0</v>
      </c>
      <c r="AG87" t="inlineStr">
        <is>
          <t>No</t>
        </is>
      </c>
      <c r="AH87" t="inlineStr">
        <is>
          <t>UNKNOWN</t>
        </is>
      </c>
      <c r="AI87" t="inlineStr">
        <is>
          <t>No mention of PPO or conversion in the job description</t>
        </is>
      </c>
      <c r="AL87" t="inlineStr">
        <is>
          <t>Node.js and Python backend experience; Cloud platform experience (Azure/AWS); Database management with MySQL; Previous full stack projects like StaySphere and Zenvest</t>
        </is>
      </c>
    </row>
    <row r="88">
      <c r="A88" t="inlineStr">
        <is>
          <t>SOLUTIONINN-260912-87</t>
        </is>
      </c>
      <c r="B88" t="inlineStr">
        <is>
          <t>SolutionInn</t>
        </is>
      </c>
      <c r="C88" t="inlineStr">
        <is>
          <t>Software Engineering Intern</t>
        </is>
      </c>
      <c r="D88" t="inlineStr">
        <is>
          <t>https://www.adzuna.in/details/5850377236?utm_medium=api&amp;utm_source=5ccdc27f</t>
        </is>
      </c>
      <c r="E88" t="inlineStr">
        <is>
          <t>AI Analyzer</t>
        </is>
      </c>
      <c r="F88" t="inlineStr">
        <is>
          <t>Amritsar, Punjab</t>
        </is>
      </c>
      <c r="G88" t="inlineStr">
        <is>
          <t>UNKNOWN</t>
        </is>
      </c>
      <c r="H88" t="inlineStr">
        <is>
          <t>Not specified</t>
        </is>
      </c>
      <c r="I88" t="inlineStr">
        <is>
          <t>UNKNOWN</t>
        </is>
      </c>
      <c r="J88" t="inlineStr">
        <is>
          <t>UNKNOWN</t>
        </is>
      </c>
      <c r="K88" t="inlineStr">
        <is>
          <t>JavaScript; Python; Node.js; HTML; CSS; MySQL; Cloud platforms (AWS/Azure/GCP); AI/ML tools or frameworks</t>
        </is>
      </c>
      <c r="L88" t="inlineStr">
        <is>
          <t>Django; Flask; PHP; Agile; Scrum</t>
        </is>
      </c>
      <c r="M88" t="inlineStr">
        <is>
          <t>Skills Required Experience with AI/ML tools or frameworks. Knowledge of cloud platforms like AWS, Azure, or Google Cloud. Familiarity with Agile or Scrum methodologies. Required Qualifications Currently enrolled in or recently graduated from a degree program in Computer Science, Software Engineering, or a related field. Familiarity with front-end or back-end technologies, such as: Front-End: HTML,</t>
        </is>
      </c>
      <c r="N88" t="n">
        <v>70</v>
      </c>
      <c r="O88" t="n">
        <v>22</v>
      </c>
      <c r="P88" t="n">
        <v>18</v>
      </c>
      <c r="Q88" t="n">
        <v>14</v>
      </c>
      <c r="R88" t="n">
        <v>5</v>
      </c>
      <c r="S88" t="n">
        <v>5</v>
      </c>
      <c r="T88" t="n">
        <v>6</v>
      </c>
      <c r="U88" t="inlineStr">
        <is>
          <t>CONSIDER</t>
        </is>
      </c>
      <c r="V88" t="inlineStr">
        <is>
          <t>CONSIDER</t>
        </is>
      </c>
      <c r="W88" t="inlineStr">
        <is>
          <t>AI/ML tools or frameworks; Django/Flask; AWS/GCP</t>
        </is>
      </c>
      <c r="X88" t="inlineStr">
        <is>
          <t>Default Full Stack / MERN / Python Resume</t>
        </is>
      </c>
      <c r="Y88" t="inlineStr">
        <is>
          <t>2026-09-12</t>
        </is>
      </c>
      <c r="Z88" t="inlineStr">
        <is>
          <t>Strong alignment with core required skills like JavaScript, Node.js, Python, and MySQL; Meets the educational enrollment criteria being an MCA student</t>
        </is>
      </c>
      <c r="AA88" t="inlineStr">
        <is>
          <t>ELIGIBLE</t>
        </is>
      </c>
      <c r="AB88" t="inlineStr">
        <is>
          <t>Currently enrolled in MCA degree program in a related field</t>
        </is>
      </c>
      <c r="AC88" t="inlineStr">
        <is>
          <t>UNKNOWN</t>
        </is>
      </c>
      <c r="AD88" t="inlineStr">
        <is>
          <t>Availability timeline not specified in candidate profile</t>
        </is>
      </c>
      <c r="AE88" t="inlineStr">
        <is>
          <t>UNKNOWN</t>
        </is>
      </c>
      <c r="AF88" t="n">
        <v>0</v>
      </c>
      <c r="AG88" t="inlineStr">
        <is>
          <t>No</t>
        </is>
      </c>
      <c r="AH88" t="inlineStr">
        <is>
          <t>UNKNOWN</t>
        </is>
      </c>
      <c r="AI88" t="inlineStr">
        <is>
          <t>No explicit PPO or conversion mention found in the job description</t>
        </is>
      </c>
      <c r="AK88" t="inlineStr">
        <is>
          <t>Stipend details not disclosed</t>
        </is>
      </c>
      <c r="AL88" t="inlineStr">
        <is>
          <t>Node.js and Python backend experience; MySQL database management and queries; Cloud platform exposure (Azure); Familiarity with front-end technologies (HTML, CSS, JavaScript)</t>
        </is>
      </c>
    </row>
    <row r="89">
      <c r="A89" t="inlineStr">
        <is>
          <t>AUGLE-AI-260912-88</t>
        </is>
      </c>
      <c r="B89" t="inlineStr">
        <is>
          <t>Augle AI</t>
        </is>
      </c>
      <c r="C89" t="inlineStr">
        <is>
          <t>Software Engineer Intern</t>
        </is>
      </c>
      <c r="D89" t="inlineStr">
        <is>
          <t>https://www.adzuna.in/details/5827200220?utm_medium=api&amp;utm_source=5ccdc27f</t>
        </is>
      </c>
      <c r="E89" t="inlineStr">
        <is>
          <t>AI Analyzer</t>
        </is>
      </c>
      <c r="F89" t="inlineStr">
        <is>
          <t>Mumbai, Maharashtra</t>
        </is>
      </c>
      <c r="G89" t="inlineStr">
        <is>
          <t>Unknown</t>
        </is>
      </c>
      <c r="H89" t="inlineStr">
        <is>
          <t>Not specified</t>
        </is>
      </c>
      <c r="I89" t="inlineStr">
        <is>
          <t>Unknown</t>
        </is>
      </c>
      <c r="J89" t="inlineStr">
        <is>
          <t>Unknown</t>
        </is>
      </c>
      <c r="L89" t="inlineStr">
        <is>
          <t>AI; 3D Vision; Robotics; Automation Systems</t>
        </is>
      </c>
      <c r="M89" t="inlineStr">
        <is>
          <t>Augle AI is a deeptech startup founded by IIT Bombay alumni building AI and 3D Visionpowered Robotics and Automation Systems for manufacturing companies We are developing the next generation of manufacturing technology flexible intelligent and adaptable to rapidly changing consumer demand Our solutions enable manufacturers to achieve new levels of efficiency by automating processes that were previ</t>
        </is>
      </c>
      <c r="N89" t="n">
        <v>35</v>
      </c>
      <c r="O89" t="n">
        <v>40</v>
      </c>
      <c r="P89" t="n">
        <v>50</v>
      </c>
      <c r="Q89" t="n">
        <v>50</v>
      </c>
      <c r="R89" t="n">
        <v>0</v>
      </c>
      <c r="S89" t="n">
        <v>0</v>
      </c>
      <c r="T89" t="n">
        <v>30</v>
      </c>
      <c r="U89" t="inlineStr">
        <is>
          <t>SKIP</t>
        </is>
      </c>
      <c r="V89" t="inlineStr">
        <is>
          <t>SKIP</t>
        </is>
      </c>
      <c r="W89" t="inlineStr">
        <is>
          <t>AI; 3D Vision; Robotics; Automation Systems</t>
        </is>
      </c>
      <c r="X89" t="inlineStr">
        <is>
          <t>Amaanuddin_Ahmed_Software_Engineer_Resume.pdf</t>
        </is>
      </c>
      <c r="Y89" t="inlineStr">
        <is>
          <t>2026-09-12</t>
        </is>
      </c>
      <c r="Z89" t="inlineStr">
        <is>
          <t>Startup founded by IIT Bombay alumni building advanced robotics and AI systems.</t>
        </is>
      </c>
      <c r="AA89" t="inlineStr">
        <is>
          <t>Eligible</t>
        </is>
      </c>
      <c r="AB89" t="inlineStr">
        <is>
          <t>No specific hard blockers like graduation year or degree restrictions are mentioned in the limited JD text.</t>
        </is>
      </c>
      <c r="AC89" t="inlineStr">
        <is>
          <t>Unknown</t>
        </is>
      </c>
      <c r="AD89" t="inlineStr">
        <is>
          <t>Availability not specified in career brain.</t>
        </is>
      </c>
      <c r="AE89" t="inlineStr">
        <is>
          <t>UNKNOWN</t>
        </is>
      </c>
      <c r="AF89" t="n">
        <v>0</v>
      </c>
      <c r="AG89" t="inlineStr">
        <is>
          <t>No</t>
        </is>
      </c>
      <c r="AH89" t="inlineStr">
        <is>
          <t>Unknown</t>
        </is>
      </c>
      <c r="AI89" t="inlineStr">
        <is>
          <t>No mention of PPO or conversion in the job description.</t>
        </is>
      </c>
      <c r="AK89" t="inlineStr">
        <is>
          <t>Extremely brief job description with no salary, required tech stack, or duration details provided.</t>
        </is>
      </c>
      <c r="AL89" t="inlineStr">
        <is>
          <t>Deeptech and Robotics fundamentals; Python / C++ experience if applicable; System architecture for automation systems</t>
        </is>
      </c>
    </row>
    <row r="90">
      <c r="A90" t="inlineStr">
        <is>
          <t>STRIPE-260912-89</t>
        </is>
      </c>
      <c r="B90" t="inlineStr">
        <is>
          <t>Stripe</t>
        </is>
      </c>
      <c r="C90" t="inlineStr">
        <is>
          <t>Software Engineer, Intern</t>
        </is>
      </c>
      <c r="D90" t="inlineStr">
        <is>
          <t>https://www.adzuna.in/details/5797283415?utm_medium=api&amp;utm_source=5ccdc27f</t>
        </is>
      </c>
      <c r="E90" t="inlineStr">
        <is>
          <t>AI Analyzer</t>
        </is>
      </c>
      <c r="F90" t="inlineStr">
        <is>
          <t>Bangalore, Karnataka</t>
        </is>
      </c>
      <c r="G90" t="inlineStr">
        <is>
          <t>Unknown</t>
        </is>
      </c>
      <c r="H90" t="inlineStr">
        <is>
          <t>Not specified</t>
        </is>
      </c>
      <c r="I90" t="inlineStr">
        <is>
          <t>Unknown</t>
        </is>
      </c>
      <c r="J90" t="inlineStr">
        <is>
          <t>Unknown</t>
        </is>
      </c>
      <c r="M90" t="inlineStr">
        <is>
          <t>Who we are About Stripe Stripe is a technology company focused on improving the conditions for economic growth and prosperity. We build programmable financial infrastructure, rethinking from first principles how financial services should work, to make it easier and cheaper for any business to start and scale. More than 10 million businesses build on Stripe, spanning the economic frontier—from solo</t>
        </is>
      </c>
      <c r="N90" t="n">
        <v>68</v>
      </c>
      <c r="O90" t="n">
        <v>70</v>
      </c>
      <c r="P90" t="n">
        <v>70</v>
      </c>
      <c r="Q90" t="n">
        <v>80</v>
      </c>
      <c r="R90" t="n">
        <v>50</v>
      </c>
      <c r="S90" t="n">
        <v>50</v>
      </c>
      <c r="T90" t="n">
        <v>90</v>
      </c>
      <c r="U90" t="inlineStr">
        <is>
          <t>STRETCH</t>
        </is>
      </c>
      <c r="V90" t="inlineStr">
        <is>
          <t>STRETCH</t>
        </is>
      </c>
      <c r="X90" t="inlineStr">
        <is>
          <t>Default Full Stack / Software Engineering Resume</t>
        </is>
      </c>
      <c r="Y90" t="inlineStr">
        <is>
          <t>2026-09-12</t>
        </is>
      </c>
      <c r="Z90" t="inlineStr">
        <is>
          <t>Stripe is a top-tier global technology company offering high opportunity quality.; Aligns well with the candidate's target Software Engineering role.</t>
        </is>
      </c>
      <c r="AA90" t="inlineStr">
        <is>
          <t>Eligible</t>
        </is>
      </c>
      <c r="AB90" t="inlineStr">
        <is>
          <t>Candidate is pursuing MCA at PES University and fits general Software Engineering intern criteria.</t>
        </is>
      </c>
      <c r="AC90" t="inlineStr">
        <is>
          <t>Unknown</t>
        </is>
      </c>
      <c r="AD90" t="inlineStr">
        <is>
          <t>Not specified in candidate profile or job description.</t>
        </is>
      </c>
      <c r="AE90" t="inlineStr">
        <is>
          <t>UNKNOWN</t>
        </is>
      </c>
      <c r="AF90" t="n">
        <v>0</v>
      </c>
      <c r="AG90" t="inlineStr">
        <is>
          <t>No</t>
        </is>
      </c>
      <c r="AH90" t="inlineStr">
        <is>
          <t>Unknown</t>
        </is>
      </c>
      <c r="AI90" t="inlineStr">
        <is>
          <t>Not explicitly mentioned in the truncated job description.</t>
        </is>
      </c>
      <c r="AK90" t="inlineStr">
        <is>
          <t>Job description is heavily truncated with missing specific technical requirements and stipend details.</t>
        </is>
      </c>
      <c r="AL90" t="inlineStr">
        <is>
          <t>Data Structures and Algorithms; System Design basics; Object-Oriented Programming; Past project architecture</t>
        </is>
      </c>
    </row>
    <row r="91">
      <c r="A91" t="inlineStr">
        <is>
          <t>F5-NETWORKS-260912-90</t>
        </is>
      </c>
      <c r="B91" t="inlineStr">
        <is>
          <t>F5 Networks</t>
        </is>
      </c>
      <c r="C91" t="inlineStr">
        <is>
          <t>Software Engineer Apprentice</t>
        </is>
      </c>
      <c r="D91" t="inlineStr">
        <is>
          <t>https://www.adzuna.in/details/5879908284?utm_medium=api&amp;utm_source=5ccdc27f</t>
        </is>
      </c>
      <c r="E91" t="inlineStr">
        <is>
          <t>AI Analyzer</t>
        </is>
      </c>
      <c r="F91" t="inlineStr">
        <is>
          <t>India</t>
        </is>
      </c>
      <c r="G91" t="inlineStr">
        <is>
          <t>UNKNOWN</t>
        </is>
      </c>
      <c r="H91" t="inlineStr">
        <is>
          <t>Not specified</t>
        </is>
      </c>
      <c r="I91" t="inlineStr">
        <is>
          <t>UNKNOWN</t>
        </is>
      </c>
      <c r="J91" t="inlineStr">
        <is>
          <t>UNKNOWN</t>
        </is>
      </c>
      <c r="M91" t="inlineStr">
        <is>
          <t>At F5, we strive to bring a better digital world to life. Our teams empower organizations across the globe to create, secure, and run applications that enhance how we experience our evolving digital world. We are passionate about cybersecurity, from protecting consumers from fraud to enabling companies to focus on innovation. Everything we do centers around people. That means we obsess over how to</t>
        </is>
      </c>
      <c r="N91" t="n">
        <v>40</v>
      </c>
      <c r="O91" t="n">
        <v>50</v>
      </c>
      <c r="P91" t="n">
        <v>50</v>
      </c>
      <c r="Q91" t="n">
        <v>50</v>
      </c>
      <c r="R91" t="n">
        <v>0</v>
      </c>
      <c r="S91" t="n">
        <v>0</v>
      </c>
      <c r="T91" t="n">
        <v>50</v>
      </c>
      <c r="U91" t="inlineStr">
        <is>
          <t>SKIP</t>
        </is>
      </c>
      <c r="V91" t="inlineStr">
        <is>
          <t>SKIP</t>
        </is>
      </c>
      <c r="X91" t="inlineStr">
        <is>
          <t>Default Software Engineering Resume</t>
        </is>
      </c>
      <c r="Y91" t="inlineStr">
        <is>
          <t>2026-09-12</t>
        </is>
      </c>
      <c r="Z91" t="inlineStr">
        <is>
          <t>F5 Networks is a reputable cybersecurity and application delivery company.</t>
        </is>
      </c>
      <c r="AA91" t="inlineStr">
        <is>
          <t>UNKNOWN</t>
        </is>
      </c>
      <c r="AB91" t="inlineStr">
        <is>
          <t>Graduation year, batch criteria, and specific degree requirements are not mentioned in the truncated JD.</t>
        </is>
      </c>
      <c r="AC91" t="inlineStr">
        <is>
          <t>UNKNOWN</t>
        </is>
      </c>
      <c r="AD91" t="inlineStr">
        <is>
          <t>Availability requirements not specified in the JD.</t>
        </is>
      </c>
      <c r="AE91" t="inlineStr">
        <is>
          <t>UNKNOWN</t>
        </is>
      </c>
      <c r="AF91" t="n">
        <v>0</v>
      </c>
      <c r="AG91" t="inlineStr">
        <is>
          <t>No</t>
        </is>
      </c>
      <c r="AH91" t="inlineStr">
        <is>
          <t>UNKNOWN</t>
        </is>
      </c>
      <c r="AI91" t="inlineStr">
        <is>
          <t>No explicit mention of PPO or conversion in the truncated text.</t>
        </is>
      </c>
      <c r="AK91" t="inlineStr">
        <is>
          <t>Incomplete job description text provided.</t>
        </is>
      </c>
      <c r="AL91" t="inlineStr">
        <is>
          <t>Core Computer Science Fundamentals; Object-Oriented Programming; Software Engineering Principles</t>
        </is>
      </c>
    </row>
    <row r="92">
      <c r="A92" t="inlineStr">
        <is>
          <t>TALOS-260912-91</t>
        </is>
      </c>
      <c r="B92" t="inlineStr">
        <is>
          <t>Talos</t>
        </is>
      </c>
      <c r="C92" t="inlineStr">
        <is>
          <t>Software Engineer Intern, Dealer</t>
        </is>
      </c>
      <c r="D92" t="inlineStr">
        <is>
          <t>https://www.adzuna.in/details/5876940245?utm_medium=api&amp;utm_source=5ccdc27f</t>
        </is>
      </c>
      <c r="E92" t="inlineStr">
        <is>
          <t>AI Analyzer</t>
        </is>
      </c>
      <c r="F92" t="inlineStr">
        <is>
          <t>New York / India</t>
        </is>
      </c>
      <c r="G92" t="inlineStr">
        <is>
          <t>UNKNOWN</t>
        </is>
      </c>
      <c r="H92" t="inlineStr">
        <is>
          <t>Not specified</t>
        </is>
      </c>
      <c r="I92" t="inlineStr">
        <is>
          <t>UNKNOWN</t>
        </is>
      </c>
      <c r="J92" t="inlineStr">
        <is>
          <t>NO</t>
        </is>
      </c>
      <c r="K92" t="inlineStr">
        <is>
          <t>Web3; Smart Contract; Blockchain</t>
        </is>
      </c>
      <c r="M92" t="inlineStr">
        <is>
          <t>About Talos: Talos is actively recruiting for the position of Software Engineer Intern, Dealer (Internships). Location &amp; Setup: New York Overview: Contribute directly to Talos's Web3, smart contract, and blockchain infrastructure. Complete candidate qualifications and application instructions are available on Hashtag Web3. View full posting details and apply online on Hashtag Web3</t>
        </is>
      </c>
      <c r="N92" t="n">
        <v>25</v>
      </c>
      <c r="O92" t="n">
        <v>0</v>
      </c>
      <c r="P92" t="n">
        <v>40</v>
      </c>
      <c r="Q92" t="n">
        <v>50</v>
      </c>
      <c r="R92" t="n">
        <v>0</v>
      </c>
      <c r="S92" t="n">
        <v>0</v>
      </c>
      <c r="T92" t="n">
        <v>40</v>
      </c>
      <c r="U92" t="inlineStr">
        <is>
          <t>SKIP</t>
        </is>
      </c>
      <c r="V92" t="inlineStr">
        <is>
          <t>SKIP</t>
        </is>
      </c>
      <c r="W92" t="inlineStr">
        <is>
          <t>Web3; Smart Contract; Blockchain</t>
        </is>
      </c>
      <c r="X92" t="inlineStr">
        <is>
          <t>Amaanuddin_Ahmed_Resume_General.pdf</t>
        </is>
      </c>
      <c r="Y92" t="inlineStr">
        <is>
          <t>2026-09-12</t>
        </is>
      </c>
      <c r="Z92" t="inlineStr">
        <is>
          <t>Software engineering internship opportunity.</t>
        </is>
      </c>
      <c r="AA92" t="inlineStr">
        <is>
          <t>ELIGIBLE</t>
        </is>
      </c>
      <c r="AB92" t="inlineStr">
        <is>
          <t>Open to internship applicants in software engineering.</t>
        </is>
      </c>
      <c r="AC92" t="inlineStr">
        <is>
          <t>UNKNOWN</t>
        </is>
      </c>
      <c r="AD92" t="inlineStr">
        <is>
          <t>Candidate availability dates are not specified.</t>
        </is>
      </c>
      <c r="AE92" t="inlineStr">
        <is>
          <t>UNKNOWN</t>
        </is>
      </c>
      <c r="AF92" t="n">
        <v>0</v>
      </c>
      <c r="AG92" t="inlineStr">
        <is>
          <t>No</t>
        </is>
      </c>
      <c r="AH92" t="inlineStr">
        <is>
          <t>NO</t>
        </is>
      </c>
      <c r="AI92" t="inlineStr">
        <is>
          <t>No mention of PPO or conversion in the job description.</t>
        </is>
      </c>
      <c r="AK92" t="inlineStr">
        <is>
          <t>Location mismatch (Job overview mentions New York, Adzuna lists India); Missing stipend information</t>
        </is>
      </c>
      <c r="AL92" t="inlineStr">
        <is>
          <t>Blockchain fundamentals; Smart contract development; Web3 infrastructure</t>
        </is>
      </c>
    </row>
    <row r="93">
      <c r="A93" t="inlineStr">
        <is>
          <t>TALOS-TRADIN-260912-92</t>
        </is>
      </c>
      <c r="B93" t="inlineStr">
        <is>
          <t>Talos Trading</t>
        </is>
      </c>
      <c r="C93" t="inlineStr">
        <is>
          <t>Software Engineer Intern, RFQ</t>
        </is>
      </c>
      <c r="D93" t="inlineStr">
        <is>
          <t>https://www.adzuna.in/details/5876938609?utm_medium=api&amp;utm_source=5ccdc27f</t>
        </is>
      </c>
      <c r="E93" t="inlineStr">
        <is>
          <t>AI Analyzer</t>
        </is>
      </c>
      <c r="F93" t="inlineStr">
        <is>
          <t>New York / India</t>
        </is>
      </c>
      <c r="G93" t="inlineStr">
        <is>
          <t>UNKNOWN</t>
        </is>
      </c>
      <c r="I93" t="inlineStr">
        <is>
          <t>UNKNOWN</t>
        </is>
      </c>
      <c r="J93" t="inlineStr">
        <is>
          <t>not_mentioned</t>
        </is>
      </c>
      <c r="K93" t="inlineStr">
        <is>
          <t>Web3; smart contract; blockchain infrastructure</t>
        </is>
      </c>
      <c r="M93" t="inlineStr">
        <is>
          <t>About Talos Trading: Talos Trading is actively recruiting for the position of Software Engineer Intern, RFQ (Internships). Location &amp; Setup: New York Overview: Contribute directly to Talos Trading's Web3, smart contract, and blockchain infrastructure. Complete candidate qualifications and application instructions are available on Hashtag Web3. View full posting details and apply online on Hashtag</t>
        </is>
      </c>
      <c r="N93" t="n">
        <v>28</v>
      </c>
      <c r="O93" t="n">
        <v>20</v>
      </c>
      <c r="P93" t="n">
        <v>50</v>
      </c>
      <c r="Q93" t="n">
        <v>40</v>
      </c>
      <c r="R93" t="n">
        <v>0</v>
      </c>
      <c r="S93" t="n">
        <v>0</v>
      </c>
      <c r="T93" t="n">
        <v>40</v>
      </c>
      <c r="U93" t="inlineStr">
        <is>
          <t>SKIP</t>
        </is>
      </c>
      <c r="V93" t="inlineStr">
        <is>
          <t>SKIP</t>
        </is>
      </c>
      <c r="W93" t="inlineStr">
        <is>
          <t>Web3; smart contract; blockchain infrastructure</t>
        </is>
      </c>
      <c r="X93" t="inlineStr">
        <is>
          <t>Default Full Stack / Backend Resume</t>
        </is>
      </c>
      <c r="Y93" t="inlineStr">
        <is>
          <t>2026-09-12</t>
        </is>
      </c>
      <c r="Z93" t="inlineStr">
        <is>
          <t>Software engineering internship opportunity</t>
        </is>
      </c>
      <c r="AA93" t="inlineStr">
        <is>
          <t>eligible</t>
        </is>
      </c>
      <c r="AB93" t="inlineStr">
        <is>
          <t>Student status matches intern role</t>
        </is>
      </c>
      <c r="AC93" t="inlineStr">
        <is>
          <t>UNKNOWN</t>
        </is>
      </c>
      <c r="AD93" t="inlineStr">
        <is>
          <t>Availability not specified in candidate profile.</t>
        </is>
      </c>
      <c r="AE93" t="inlineStr">
        <is>
          <t>UNKNOWN</t>
        </is>
      </c>
      <c r="AF93" t="n">
        <v>0</v>
      </c>
      <c r="AG93" t="inlineStr">
        <is>
          <t>No</t>
        </is>
      </c>
      <c r="AH93" t="inlineStr">
        <is>
          <t>not_mentioned</t>
        </is>
      </c>
      <c r="AI93" t="inlineStr">
        <is>
          <t>No mention of PPO or conversion in the job description.</t>
        </is>
      </c>
      <c r="AK93" t="inlineStr">
        <is>
          <t>Location mismatch between Adzuna (India) and JD text (New York)</t>
        </is>
      </c>
      <c r="AL93" t="inlineStr">
        <is>
          <t>Web3 and Smart Contract development; Blockchain infrastructure fundamentals; Backend systems design</t>
        </is>
      </c>
    </row>
    <row r="94">
      <c r="A94" t="inlineStr">
        <is>
          <t>YO-FOREX-260912-93</t>
        </is>
      </c>
      <c r="B94" t="inlineStr">
        <is>
          <t>Yo Forex</t>
        </is>
      </c>
      <c r="C94" t="inlineStr">
        <is>
          <t>Software Engineering Intern Trading Technology</t>
        </is>
      </c>
      <c r="D94" t="inlineStr">
        <is>
          <t>https://www.adzuna.in/details/5845820632?utm_medium=api&amp;utm_source=5ccdc27f</t>
        </is>
      </c>
      <c r="E94" t="inlineStr">
        <is>
          <t>AI Analyzer</t>
        </is>
      </c>
      <c r="F94" t="inlineStr">
        <is>
          <t>Central Kolkata, West Bengal</t>
        </is>
      </c>
      <c r="G94" t="inlineStr">
        <is>
          <t>On-site</t>
        </is>
      </c>
      <c r="H94" t="inlineStr">
        <is>
          <t>₹5,000 to ₹12,000</t>
        </is>
      </c>
      <c r="I94" t="inlineStr">
        <is>
          <t>6 months</t>
        </is>
      </c>
      <c r="J94" t="inlineStr">
        <is>
          <t>UNKNOWN</t>
        </is>
      </c>
      <c r="K94" t="inlineStr">
        <is>
          <t>Software Development; Debugging; Optimization</t>
        </is>
      </c>
      <c r="L94" t="inlineStr">
        <is>
          <t>Trading Technology; Finance and Technology intersection</t>
        </is>
      </c>
      <c r="M94" t="inlineStr">
        <is>
          <t>Job Title Software Engineering Intern Trading Technology Location Central Kolkata Experience 06 months Education B Tech in Computer Science or Related Feild Stipend 5 000 to 12 000 We are seeking a highly motivated and technically curious Software Engineering Intern to join our development team This role is designed for a fresh B Tech graduate who is passionate about the intersection of finance an</t>
        </is>
      </c>
      <c r="N94" t="n">
        <v>40</v>
      </c>
      <c r="O94" t="n">
        <v>40</v>
      </c>
      <c r="P94" t="n">
        <v>70</v>
      </c>
      <c r="Q94" t="n">
        <v>50</v>
      </c>
      <c r="R94" t="n">
        <v>0</v>
      </c>
      <c r="S94" t="n">
        <v>0</v>
      </c>
      <c r="T94" t="n">
        <v>40</v>
      </c>
      <c r="U94" t="inlineStr">
        <is>
          <t>SKIP</t>
        </is>
      </c>
      <c r="V94" t="inlineStr">
        <is>
          <t>SKIP</t>
        </is>
      </c>
      <c r="X94" t="inlineStr">
        <is>
          <t>Default Full Stack / Software Engineering Resume</t>
        </is>
      </c>
      <c r="Y94" t="inlineStr">
        <is>
          <t>2026-09-12</t>
        </is>
      </c>
      <c r="AA94" t="inlineStr">
        <is>
          <t>NOT_ELIGIBLE</t>
        </is>
      </c>
      <c r="AB94" t="inlineStr">
        <is>
          <t>Education requirement specifies B.Tech in Computer Science or Related Field, whereas candidate is pursuing MCA.</t>
        </is>
      </c>
      <c r="AC94" t="inlineStr">
        <is>
          <t>UNKNOWN</t>
        </is>
      </c>
      <c r="AD94" t="inlineStr">
        <is>
          <t>Availability not specified in career brain or job description.</t>
        </is>
      </c>
      <c r="AE94" t="inlineStr">
        <is>
          <t>PAID</t>
        </is>
      </c>
      <c r="AF94" t="n">
        <v>5000</v>
      </c>
      <c r="AG94" t="inlineStr">
        <is>
          <t>No</t>
        </is>
      </c>
      <c r="AH94" t="inlineStr">
        <is>
          <t>UNKNOWN</t>
        </is>
      </c>
      <c r="AI94" t="inlineStr">
        <is>
          <t>No mention of PPO or conversion in the job description.</t>
        </is>
      </c>
      <c r="AJ94" t="inlineStr">
        <is>
          <t>Education requirement is restricted to B.Tech, while candidate is an MCA student.</t>
        </is>
      </c>
      <c r="AK94" t="inlineStr">
        <is>
          <t>Stipend is below the minimum target of ₹25,000/month.</t>
        </is>
      </c>
      <c r="AL94" t="inlineStr">
        <is>
          <t>Data structures and algorithms; Performance optimization; Basic trading technology concepts</t>
        </is>
      </c>
    </row>
    <row r="95">
      <c r="A95" t="inlineStr">
        <is>
          <t>LOG9-MATERIA-260912-94</t>
        </is>
      </c>
      <c r="B95" t="inlineStr">
        <is>
          <t>Log9 Materials</t>
        </is>
      </c>
      <c r="C95" t="inlineStr">
        <is>
          <t>Quantum Software Engineer Intern</t>
        </is>
      </c>
      <c r="D95" t="inlineStr">
        <is>
          <t>https://www.adzuna.in/details/5854847465?utm_medium=api&amp;utm_source=5ccdc27f</t>
        </is>
      </c>
      <c r="E95" t="inlineStr">
        <is>
          <t>AI Analyzer</t>
        </is>
      </c>
      <c r="F95" t="inlineStr">
        <is>
          <t>Hubballi, Karnataka</t>
        </is>
      </c>
      <c r="G95" t="inlineStr">
        <is>
          <t>On-site</t>
        </is>
      </c>
      <c r="H95" t="inlineStr">
        <is>
          <t>UNKNOWN</t>
        </is>
      </c>
      <c r="I95" t="inlineStr">
        <is>
          <t>UNKNOWN</t>
        </is>
      </c>
      <c r="J95" t="inlineStr">
        <is>
          <t>No</t>
        </is>
      </c>
      <c r="K95" t="inlineStr">
        <is>
          <t>Quantum computing; Quantum algorithms; Simulators; Hardware benchmarking</t>
        </is>
      </c>
      <c r="M95" t="inlineStr">
        <is>
          <t>Join Log9 Materials in Hubballi as a Quantum Software Engineer Intern This entrylevel internship is designed for students and recent graduates who learn best by building shipping and getting real feedback on quantum computing work About the role As a Quantum Software Engineer Intern at Log9 Materials your core focus will be implementing and benchmarking quantum algorithms on simulators and hardwar</t>
        </is>
      </c>
      <c r="N95" t="n">
        <v>14</v>
      </c>
      <c r="O95" t="n">
        <v>0</v>
      </c>
      <c r="P95" t="n">
        <v>30</v>
      </c>
      <c r="Q95" t="n">
        <v>0</v>
      </c>
      <c r="R95" t="n">
        <v>0</v>
      </c>
      <c r="S95" t="n">
        <v>0</v>
      </c>
      <c r="T95" t="n">
        <v>40</v>
      </c>
      <c r="U95" t="inlineStr">
        <is>
          <t>SKIP</t>
        </is>
      </c>
      <c r="V95" t="inlineStr">
        <is>
          <t>SKIP</t>
        </is>
      </c>
      <c r="W95" t="inlineStr">
        <is>
          <t>Quantum computing; Quantum algorithms; Simulators; Hardware benchmarking</t>
        </is>
      </c>
      <c r="X95" t="inlineStr">
        <is>
          <t>Default</t>
        </is>
      </c>
      <c r="Y95" t="inlineStr">
        <is>
          <t>2026-09-12</t>
        </is>
      </c>
      <c r="AA95" t="inlineStr">
        <is>
          <t>Eligible</t>
        </is>
      </c>
      <c r="AB95" t="inlineStr">
        <is>
          <t>Open to students and recent graduates</t>
        </is>
      </c>
      <c r="AC95" t="inlineStr">
        <is>
          <t>UNKNOWN</t>
        </is>
      </c>
      <c r="AD95" t="inlineStr">
        <is>
          <t>Not specified in candidate profile or JD</t>
        </is>
      </c>
      <c r="AE95" t="inlineStr">
        <is>
          <t>UNKNOWN</t>
        </is>
      </c>
      <c r="AF95" t="n">
        <v>0</v>
      </c>
      <c r="AG95" t="inlineStr">
        <is>
          <t>No</t>
        </is>
      </c>
      <c r="AH95" t="inlineStr">
        <is>
          <t>No</t>
        </is>
      </c>
      <c r="AI95" t="inlineStr">
        <is>
          <t>No mention of conversion or PPO in the job description</t>
        </is>
      </c>
      <c r="AJ95" t="inlineStr">
        <is>
          <t>Lack of quantum computing and quantum algorithms experience</t>
        </is>
      </c>
      <c r="AK95" t="inlineStr">
        <is>
          <t>Location is Hubballi while candidate is based for Bangalore roles; Role is entirely outside the target domain (Quantum vs Software/Backend/Full Stack/DevOps)</t>
        </is>
      </c>
      <c r="AL95" t="inlineStr">
        <is>
          <t>Quantum mechanics and algorithms; Linear algebra for quantum computing; Experience with Qiskit or Cirq; Quantum hardware simulators</t>
        </is>
      </c>
    </row>
    <row r="96">
      <c r="A96" t="inlineStr">
        <is>
          <t>CHEGG-260912-95</t>
        </is>
      </c>
      <c r="B96" t="inlineStr">
        <is>
          <t>Chegg</t>
        </is>
      </c>
      <c r="C96" t="inlineStr">
        <is>
          <t>AINative Software Engineering Internship</t>
        </is>
      </c>
      <c r="D96" t="inlineStr">
        <is>
          <t>https://www.adzuna.in/details/5794908422?utm_medium=api&amp;utm_source=5ccdc27f</t>
        </is>
      </c>
      <c r="E96" t="inlineStr">
        <is>
          <t>AI Analyzer</t>
        </is>
      </c>
      <c r="F96" t="inlineStr">
        <is>
          <t>Delhi, India</t>
        </is>
      </c>
      <c r="G96" t="inlineStr">
        <is>
          <t>UNKNOWN</t>
        </is>
      </c>
      <c r="H96" t="inlineStr">
        <is>
          <t>Not specified</t>
        </is>
      </c>
      <c r="I96" t="inlineStr">
        <is>
          <t>UNKNOWN</t>
        </is>
      </c>
      <c r="J96" t="inlineStr">
        <is>
          <t>UNKNOWN</t>
        </is>
      </c>
      <c r="K96" t="inlineStr">
        <is>
          <t>React.js; Next.js; System Design; Backend</t>
        </is>
      </c>
      <c r="L96" t="inlineStr">
        <is>
          <t>AI; Microservices</t>
        </is>
      </c>
      <c r="M96" t="inlineStr">
        <is>
          <t>Chegg is actively hiring for the role of AINative Software Engineering Intern Responsibilities of the Intern Contribute to endtoend feature development from system design discussions through production delivery Collaborate with crossfunctional teams to break down requirements into clean shippable increments Participate in sprint ceremonies code reviews and technical discussions to build engineerin</t>
        </is>
      </c>
      <c r="N96" t="n">
        <v>60</v>
      </c>
      <c r="O96" t="n">
        <v>21</v>
      </c>
      <c r="P96" t="n">
        <v>15</v>
      </c>
      <c r="Q96" t="n">
        <v>12</v>
      </c>
      <c r="R96" t="n">
        <v>5</v>
      </c>
      <c r="S96" t="n">
        <v>0</v>
      </c>
      <c r="T96" t="n">
        <v>7</v>
      </c>
      <c r="U96" t="inlineStr">
        <is>
          <t>STRETCH</t>
        </is>
      </c>
      <c r="V96" t="inlineStr">
        <is>
          <t>STRETCH</t>
        </is>
      </c>
      <c r="W96" t="inlineStr">
        <is>
          <t>Next.js</t>
        </is>
      </c>
      <c r="X96" t="inlineStr">
        <is>
          <t>Amaan_Software_Engineering_Resume.pdf</t>
        </is>
      </c>
      <c r="Y96" t="inlineStr">
        <is>
          <t>2026-09-12</t>
        </is>
      </c>
      <c r="Z96" t="inlineStr">
        <is>
          <t>Matches general software engineering and React.js stack; Good opportunity to work on AI-native applications</t>
        </is>
      </c>
      <c r="AA96" t="inlineStr">
        <is>
          <t>ELIGIBLE</t>
        </is>
      </c>
      <c r="AB96" t="inlineStr">
        <is>
          <t>No explicit graduation year or degree restrictions mentioned in the snippet.</t>
        </is>
      </c>
      <c r="AC96" t="inlineStr">
        <is>
          <t>UNKNOWN</t>
        </is>
      </c>
      <c r="AD96" t="inlineStr">
        <is>
          <t>Not specified in candidate profile or job description.</t>
        </is>
      </c>
      <c r="AE96" t="inlineStr">
        <is>
          <t>UNKNOWN</t>
        </is>
      </c>
      <c r="AF96" t="n">
        <v>0</v>
      </c>
      <c r="AG96" t="inlineStr">
        <is>
          <t>No</t>
        </is>
      </c>
      <c r="AH96" t="inlineStr">
        <is>
          <t>UNKNOWN</t>
        </is>
      </c>
      <c r="AI96" t="inlineStr">
        <is>
          <t>No mention of conversion or PPO in the job description.</t>
        </is>
      </c>
      <c r="AK96" t="inlineStr">
        <is>
          <t>Stipend details not provided; PPO information not mentioned</t>
        </is>
      </c>
      <c r="AL96" t="inlineStr">
        <is>
          <t>React.js and Next.js architectural differences; System design and end-to-end feature development; Backend microservices and API integration; AI-native application patterns</t>
        </is>
      </c>
    </row>
    <row r="97">
      <c r="A97" t="inlineStr">
        <is>
          <t>PALITRONICS--260912-96</t>
        </is>
      </c>
      <c r="B97" t="inlineStr">
        <is>
          <t>PALITRONICS TECH SERVICES PRIVATE LIMITED</t>
        </is>
      </c>
      <c r="C97" t="inlineStr">
        <is>
          <t>Software Development INTERN</t>
        </is>
      </c>
      <c r="D97" t="inlineStr">
        <is>
          <t>https://www.adzuna.in/details/2341052201?utm_medium=api&amp;utm_source=5ccdc27f</t>
        </is>
      </c>
      <c r="E97" t="inlineStr">
        <is>
          <t>AI Analyzer</t>
        </is>
      </c>
      <c r="F97" t="inlineStr">
        <is>
          <t>India</t>
        </is>
      </c>
      <c r="G97" t="inlineStr">
        <is>
          <t>UNKNOWN</t>
        </is>
      </c>
      <c r="H97" t="inlineStr">
        <is>
          <t>Not specified</t>
        </is>
      </c>
      <c r="I97" t="inlineStr">
        <is>
          <t>UNKNOWN</t>
        </is>
      </c>
      <c r="J97" t="inlineStr">
        <is>
          <t>NOT_MENTIONED</t>
        </is>
      </c>
      <c r="K97" t="inlineStr">
        <is>
          <t>node.js</t>
        </is>
      </c>
      <c r="L97" t="inlineStr">
        <is>
          <t>Socket Programming; React.js; React Native</t>
        </is>
      </c>
      <c r="M97" t="inlineStr">
        <is>
          <t>Needed a Software development intern with basic knowledge of node.js. Candidate will be trained on Node, React, Socket.IO Skills:- NodeJS (Node.js), Socket Programming, React.js, React Native and Software Development</t>
        </is>
      </c>
      <c r="N97" t="n">
        <v>65</v>
      </c>
      <c r="O97" t="n">
        <v>25</v>
      </c>
      <c r="P97" t="n">
        <v>20</v>
      </c>
      <c r="Q97" t="n">
        <v>15</v>
      </c>
      <c r="R97" t="n">
        <v>0</v>
      </c>
      <c r="S97" t="n">
        <v>0</v>
      </c>
      <c r="T97" t="n">
        <v>5</v>
      </c>
      <c r="U97" t="inlineStr">
        <is>
          <t>STRETCH</t>
        </is>
      </c>
      <c r="V97" t="inlineStr">
        <is>
          <t>STRETCH</t>
        </is>
      </c>
      <c r="W97" t="inlineStr">
        <is>
          <t>Socket Programming; React Native</t>
        </is>
      </c>
      <c r="X97" t="inlineStr">
        <is>
          <t>Default Full Stack / MERN resume focusing on Node.js and React.js</t>
        </is>
      </c>
      <c r="Y97" t="inlineStr">
        <is>
          <t>2026-09-12</t>
        </is>
      </c>
      <c r="Z97" t="inlineStr">
        <is>
          <t>Matches core technical requirements for Node.js and React.js.; Good opportunity for an internship in full stack development.</t>
        </is>
      </c>
      <c r="AA97" t="inlineStr">
        <is>
          <t>ELIGIBLE</t>
        </is>
      </c>
      <c r="AB97" t="inlineStr">
        <is>
          <t>No specific degree, graduation year, or experience blockers mentioned.</t>
        </is>
      </c>
      <c r="AC97" t="inlineStr">
        <is>
          <t>UNKNOWN</t>
        </is>
      </c>
      <c r="AD97" t="inlineStr">
        <is>
          <t>Not specified in candidate profile or job description.</t>
        </is>
      </c>
      <c r="AE97" t="inlineStr">
        <is>
          <t>UNKNOWN</t>
        </is>
      </c>
      <c r="AF97" t="n">
        <v>0</v>
      </c>
      <c r="AG97" t="inlineStr">
        <is>
          <t>No</t>
        </is>
      </c>
      <c r="AH97" t="inlineStr">
        <is>
          <t>NOT_MENTIONED</t>
        </is>
      </c>
      <c r="AI97" t="inlineStr">
        <is>
          <t>No mention of PPO or conversion.</t>
        </is>
      </c>
      <c r="AK97" t="inlineStr">
        <is>
          <t>Unspecified stipend; No PPO mention</t>
        </is>
      </c>
      <c r="AL97" t="inlineStr">
        <is>
          <t>Node.js fundamentals; React.js basics; Socket Programming concepts</t>
        </is>
      </c>
    </row>
    <row r="98">
      <c r="A98" t="inlineStr">
        <is>
          <t>EASTENCHER-S-260912-97</t>
        </is>
      </c>
      <c r="B98" t="inlineStr">
        <is>
          <t>Eastencher Software Pvt Ltd</t>
        </is>
      </c>
      <c r="C98" t="inlineStr">
        <is>
          <t>Software Developer Intern</t>
        </is>
      </c>
      <c r="D98" t="inlineStr">
        <is>
          <t>https://www.adzuna.in/details/5854847485?utm_medium=api&amp;utm_source=5ccdc27f</t>
        </is>
      </c>
      <c r="E98" t="inlineStr">
        <is>
          <t>AI Analyzer</t>
        </is>
      </c>
      <c r="F98" t="inlineStr">
        <is>
          <t>Bangalore, Karnataka</t>
        </is>
      </c>
      <c r="G98" t="inlineStr">
        <is>
          <t>Not Specified</t>
        </is>
      </c>
      <c r="H98" t="inlineStr">
        <is>
          <t>9,500 per month Including PF Benefits</t>
        </is>
      </c>
      <c r="I98" t="inlineStr">
        <is>
          <t>8 Months</t>
        </is>
      </c>
      <c r="J98" t="inlineStr">
        <is>
          <t>Not Mentioned</t>
        </is>
      </c>
      <c r="K98" t="inlineStr">
        <is>
          <t>Software Development</t>
        </is>
      </c>
      <c r="M98" t="inlineStr">
        <is>
          <t>Software Developer Intern Duration 8 Months Stipend 9 500 per month Including PF Benefits Location Bangalore Start Date Immediate Joiners Preferred About the Role We are looking for a passionate and enthusiastic Software Developer Intern to join our development team This internship is an excellent opportunity for candidates who are eager to gain handson experience in software development while wor</t>
        </is>
      </c>
      <c r="N98" t="n">
        <v>52</v>
      </c>
      <c r="O98" t="n">
        <v>60</v>
      </c>
      <c r="P98" t="n">
        <v>70</v>
      </c>
      <c r="Q98" t="n">
        <v>70</v>
      </c>
      <c r="R98" t="n">
        <v>0</v>
      </c>
      <c r="S98" t="n">
        <v>10</v>
      </c>
      <c r="T98" t="n">
        <v>50</v>
      </c>
      <c r="U98" t="inlineStr">
        <is>
          <t>SKIP</t>
        </is>
      </c>
      <c r="V98" t="inlineStr">
        <is>
          <t>SKIP</t>
        </is>
      </c>
      <c r="X98" t="inlineStr">
        <is>
          <t>Amaanuddin_Ahmed_General_Software_Resume.pdf</t>
        </is>
      </c>
      <c r="Y98" t="inlineStr">
        <is>
          <t>2026-09-12</t>
        </is>
      </c>
      <c r="Z98" t="inlineStr">
        <is>
          <t>Located in Bangalore; Provides hands-on experience in software development</t>
        </is>
      </c>
      <c r="AA98" t="inlineStr">
        <is>
          <t>Eligible</t>
        </is>
      </c>
      <c r="AB98" t="inlineStr">
        <is>
          <t>Location matches Bangalore preference; Immediate joiner preference aligns with general availability</t>
        </is>
      </c>
      <c r="AC98" t="inlineStr">
        <is>
          <t>Unknown</t>
        </is>
      </c>
      <c r="AD98" t="inlineStr">
        <is>
          <t>Exact availability dates not specified by candidate</t>
        </is>
      </c>
      <c r="AE98" t="inlineStr">
        <is>
          <t>Below Minimum</t>
        </is>
      </c>
      <c r="AF98" t="n">
        <v>9500</v>
      </c>
      <c r="AG98" t="inlineStr">
        <is>
          <t>No</t>
        </is>
      </c>
      <c r="AH98" t="inlineStr">
        <is>
          <t>Not Mentioned</t>
        </is>
      </c>
      <c r="AI98" t="inlineStr">
        <is>
          <t>No mention of PPO or conversion in the job description</t>
        </is>
      </c>
      <c r="AK98" t="inlineStr">
        <is>
          <t>Stipend of ₹9,500 per month is significantly below the minimum target of ₹25,000/month; No PPO information provided</t>
        </is>
      </c>
      <c r="AL98" t="inlineStr">
        <is>
          <t>General software development concepts; Previous project experience; Problem-solving basics</t>
        </is>
      </c>
    </row>
    <row r="99">
      <c r="A99" t="inlineStr">
        <is>
          <t>CLARION-TECH-260912-98</t>
        </is>
      </c>
      <c r="B99" t="inlineStr">
        <is>
          <t>Clarion Technologies</t>
        </is>
      </c>
      <c r="C99" t="inlineStr">
        <is>
          <t>Software Developer Intern</t>
        </is>
      </c>
      <c r="D99" t="inlineStr">
        <is>
          <t>https://www.adzuna.in/details/5794908334?utm_medium=api&amp;utm_source=5ccdc27f</t>
        </is>
      </c>
      <c r="E99" t="inlineStr">
        <is>
          <t>AI Analyzer</t>
        </is>
      </c>
      <c r="F99" t="inlineStr">
        <is>
          <t>Pune, Maharashtra</t>
        </is>
      </c>
      <c r="G99" t="inlineStr">
        <is>
          <t>Unknown</t>
        </is>
      </c>
      <c r="H99" t="inlineStr">
        <is>
          <t>Not specified</t>
        </is>
      </c>
      <c r="I99" t="inlineStr">
        <is>
          <t>Unknown</t>
        </is>
      </c>
      <c r="J99" t="inlineStr">
        <is>
          <t>Unknown</t>
        </is>
      </c>
      <c r="M99" t="inlineStr">
        <is>
          <t>As a Software Developer Intern at Clarion Technologies based in Punes Hadapsar IT hub you will have the opportunity to kickstart your career in the tech industry You will be exposed to modern stacks participate in code reviews and contribute to agile delivery processes Additionally there will be a clear path for you to grow within the organization This internship is specifically tailored for stude</t>
        </is>
      </c>
      <c r="N99" t="n">
        <v>59</v>
      </c>
      <c r="O99" t="n">
        <v>50</v>
      </c>
      <c r="P99" t="n">
        <v>80</v>
      </c>
      <c r="Q99" t="n">
        <v>75</v>
      </c>
      <c r="R99" t="n">
        <v>50</v>
      </c>
      <c r="S99" t="n">
        <v>30</v>
      </c>
      <c r="T99" t="n">
        <v>60</v>
      </c>
      <c r="U99" t="inlineStr">
        <is>
          <t>SKIP</t>
        </is>
      </c>
      <c r="V99" t="inlineStr">
        <is>
          <t>SKIP</t>
        </is>
      </c>
      <c r="X99" t="inlineStr">
        <is>
          <t>Amaanuddin_Ahmed_Software_Engineering_Resume.pdf</t>
        </is>
      </c>
      <c r="Y99" t="inlineStr">
        <is>
          <t>2026-09-12</t>
        </is>
      </c>
      <c r="Z99" t="inlineStr">
        <is>
          <t>Good entry-level opportunity for students and recent graduates in Pune</t>
        </is>
      </c>
      <c r="AA99" t="inlineStr">
        <is>
          <t>Eligible</t>
        </is>
      </c>
      <c r="AB99" t="inlineStr">
        <is>
          <t>Targeted at students and recent graduates</t>
        </is>
      </c>
      <c r="AC99" t="inlineStr">
        <is>
          <t>Unknown</t>
        </is>
      </c>
      <c r="AD99" t="inlineStr">
        <is>
          <t>Not specified in candidate profile or job description</t>
        </is>
      </c>
      <c r="AE99" t="inlineStr">
        <is>
          <t>UNKNOWN</t>
        </is>
      </c>
      <c r="AF99" t="n">
        <v>0</v>
      </c>
      <c r="AG99" t="inlineStr">
        <is>
          <t>No</t>
        </is>
      </c>
      <c r="AH99" t="inlineStr">
        <is>
          <t>Unknown</t>
        </is>
      </c>
      <c r="AI99" t="inlineStr">
        <is>
          <t>Clear path for growth mentioned, but no explicit PPO commitment</t>
        </is>
      </c>
      <c r="AK99" t="inlineStr">
        <is>
          <t>Stipend details not specified; Specific tech stack not mentioned in the excerpt</t>
        </is>
      </c>
      <c r="AL99" t="inlineStr">
        <is>
          <t>Agile delivery processes; Basic computer science concepts; Past project experience</t>
        </is>
      </c>
    </row>
    <row r="100">
      <c r="A100" t="inlineStr">
        <is>
          <t>SAFFRONBIZZ--260912-99</t>
        </is>
      </c>
      <c r="B100" t="inlineStr">
        <is>
          <t>Saffronbizz Solutions</t>
        </is>
      </c>
      <c r="C100" t="inlineStr">
        <is>
          <t>Software Developer Intern</t>
        </is>
      </c>
      <c r="D100" t="inlineStr">
        <is>
          <t>https://www.adzuna.in/details/5869822114?utm_medium=api&amp;utm_source=5ccdc27f</t>
        </is>
      </c>
      <c r="E100" t="inlineStr">
        <is>
          <t>AI Analyzer</t>
        </is>
      </c>
      <c r="F100" t="inlineStr">
        <is>
          <t>Bangalore, Karnataka</t>
        </is>
      </c>
      <c r="G100" t="inlineStr">
        <is>
          <t>Unknown</t>
        </is>
      </c>
      <c r="H100" t="inlineStr">
        <is>
          <t>Not specified</t>
        </is>
      </c>
      <c r="I100" t="inlineStr">
        <is>
          <t>Unknown</t>
        </is>
      </c>
      <c r="J100" t="inlineStr">
        <is>
          <t>UNKNOWN</t>
        </is>
      </c>
      <c r="K100" t="inlineStr">
        <is>
          <t>Software development basics; Debugging; Problem solving</t>
        </is>
      </c>
      <c r="L100" t="inlineStr">
        <is>
          <t>Agile methodology</t>
        </is>
      </c>
      <c r="M100" t="inlineStr">
        <is>
          <t>Job description As a Software Developer Intern, you will: Work alongside our experienced software developers on one of our small, energetic development teams. Learn the process of software development using modern languages like Agile to help full-time work in designing, coding, testing, documenting, and supporting our software products. You may enjoy this if: You have a passion for creating softw</t>
        </is>
      </c>
      <c r="N100" t="n">
        <v>67</v>
      </c>
      <c r="O100" t="n">
        <v>70</v>
      </c>
      <c r="P100" t="n">
        <v>80</v>
      </c>
      <c r="Q100" t="n">
        <v>75</v>
      </c>
      <c r="R100" t="n">
        <v>50</v>
      </c>
      <c r="S100" t="n">
        <v>50</v>
      </c>
      <c r="T100" t="n">
        <v>60</v>
      </c>
      <c r="U100" t="inlineStr">
        <is>
          <t>STRETCH</t>
        </is>
      </c>
      <c r="V100" t="inlineStr">
        <is>
          <t>STRETCH</t>
        </is>
      </c>
      <c r="X100" t="inlineStr">
        <is>
          <t>Default Full Stack / Software Engineering Resume</t>
        </is>
      </c>
      <c r="Y100" t="inlineStr">
        <is>
          <t>2026-09-12</t>
        </is>
      </c>
      <c r="Z100" t="inlineStr">
        <is>
          <t>Matches target Software Engineering and internship profile.; Located in Bangalore.</t>
        </is>
      </c>
      <c r="AA100" t="inlineStr">
        <is>
          <t>ELIGIBLE</t>
        </is>
      </c>
      <c r="AB100" t="inlineStr">
        <is>
          <t>No explicit degree, graduation year, or experience blockers mentioned in the JD.</t>
        </is>
      </c>
      <c r="AC100" t="inlineStr">
        <is>
          <t>UNKNOWN</t>
        </is>
      </c>
      <c r="AD100" t="inlineStr">
        <is>
          <t>Candidate availability details are not provided in the career brain.</t>
        </is>
      </c>
      <c r="AE100" t="inlineStr">
        <is>
          <t>UNKNOWN</t>
        </is>
      </c>
      <c r="AF100" t="n">
        <v>0</v>
      </c>
      <c r="AG100" t="inlineStr">
        <is>
          <t>No</t>
        </is>
      </c>
      <c r="AH100" t="inlineStr">
        <is>
          <t>UNKNOWN</t>
        </is>
      </c>
      <c r="AI100" t="inlineStr">
        <is>
          <t>No mention of PPO or conversion to full-time in the job description.</t>
        </is>
      </c>
      <c r="AK100" t="inlineStr">
        <is>
          <t>Vague job description with no specific technology stack mentioned; Stipend information is missing</t>
        </is>
      </c>
      <c r="AL100" t="inlineStr">
        <is>
          <t>Debugging and problem-solving examples; Basic software development lifecycle and Agile principles; Past academic or personal projects</t>
        </is>
      </c>
    </row>
    <row r="101">
      <c r="A101" t="inlineStr">
        <is>
          <t>TRIDIAGONAL--260912-100</t>
        </is>
      </c>
      <c r="B101" t="inlineStr">
        <is>
          <t>Tridiagonal Solutions</t>
        </is>
      </c>
      <c r="C101" t="inlineStr">
        <is>
          <t>Software Development Intern</t>
        </is>
      </c>
      <c r="D101" t="inlineStr">
        <is>
          <t>https://www.adzuna.in/details/5854847471?utm_medium=api&amp;utm_source=5ccdc27f</t>
        </is>
      </c>
      <c r="E101" t="inlineStr">
        <is>
          <t>AI Analyzer</t>
        </is>
      </c>
      <c r="F101" t="inlineStr">
        <is>
          <t>Mumbai, Maharashtra</t>
        </is>
      </c>
      <c r="G101" t="inlineStr">
        <is>
          <t>Unknown</t>
        </is>
      </c>
      <c r="I101" t="inlineStr">
        <is>
          <t>Unknown</t>
        </is>
      </c>
      <c r="J101" t="inlineStr">
        <is>
          <t>NOT_MENTIONED</t>
        </is>
      </c>
      <c r="L101" t="inlineStr">
        <is>
          <t>Web development; Software development practices</t>
        </is>
      </c>
      <c r="M101" t="inlineStr">
        <is>
          <t>We are looking for a motivated and enthusiastic Software Development Intern to join our development team This internship provides an excellent opportunity to gain handson experience in web development work on realworld projects and learn modern software development practices Department Software Development Location Pune India Experience Education Key ResponsibilitiesCollaborate with team members t</t>
        </is>
      </c>
      <c r="N101" t="n">
        <v>55</v>
      </c>
      <c r="O101" t="n">
        <v>75</v>
      </c>
      <c r="P101" t="n">
        <v>80</v>
      </c>
      <c r="Q101" t="n">
        <v>80</v>
      </c>
      <c r="R101" t="n">
        <v>0</v>
      </c>
      <c r="S101" t="n">
        <v>0</v>
      </c>
      <c r="T101" t="n">
        <v>50</v>
      </c>
      <c r="U101" t="inlineStr">
        <is>
          <t>SKIP</t>
        </is>
      </c>
      <c r="V101" t="inlineStr">
        <is>
          <t>SKIP</t>
        </is>
      </c>
      <c r="X101" t="inlineStr">
        <is>
          <t>Default Full Stack / Software Engineering Resume</t>
        </is>
      </c>
      <c r="Y101" t="inlineStr">
        <is>
          <t>2026-09-12</t>
        </is>
      </c>
      <c r="Z101" t="inlineStr">
        <is>
          <t>Provides hands-on experience in software development.</t>
        </is>
      </c>
      <c r="AA101" t="inlineStr">
        <is>
          <t>ELIGIBLE</t>
        </is>
      </c>
      <c r="AB101" t="inlineStr">
        <is>
          <t>Role aligns with MCA background and software engineering targets.</t>
        </is>
      </c>
      <c r="AC101" t="inlineStr">
        <is>
          <t>UNKNOWN</t>
        </is>
      </c>
      <c r="AD101" t="inlineStr">
        <is>
          <t>Candidate availability dates not specified.</t>
        </is>
      </c>
      <c r="AE101" t="inlineStr">
        <is>
          <t>UNKNOWN</t>
        </is>
      </c>
      <c r="AF101" t="n">
        <v>0</v>
      </c>
      <c r="AG101" t="inlineStr">
        <is>
          <t>No</t>
        </is>
      </c>
      <c r="AH101" t="inlineStr">
        <is>
          <t>NOT_MENTIONED</t>
        </is>
      </c>
      <c r="AI101" t="inlineStr">
        <is>
          <t>No explicit mention of PPO or conversion to a full-time role in the job description.</t>
        </is>
      </c>
      <c r="AK101" t="inlineStr">
        <is>
          <t>Conflicting location details between header (Mumbai) and description (Pune); Missing stipend information</t>
        </is>
      </c>
      <c r="AL101" t="inlineStr">
        <is>
          <t>Web development fundamentals; Debugging and troubleshooting experience; Past project architecture</t>
        </is>
      </c>
    </row>
    <row r="102">
      <c r="A102" t="inlineStr">
        <is>
          <t>PODTECH-260912-101</t>
        </is>
      </c>
      <c r="B102" t="inlineStr">
        <is>
          <t>PODTECH</t>
        </is>
      </c>
      <c r="C102" t="inlineStr">
        <is>
          <t>Software Developer - Intern</t>
        </is>
      </c>
      <c r="D102" t="inlineStr">
        <is>
          <t>https://www.adzuna.in/details/4309750168?utm_medium=api&amp;utm_source=5ccdc27f</t>
        </is>
      </c>
      <c r="E102" t="inlineStr">
        <is>
          <t>AI Analyzer</t>
        </is>
      </c>
      <c r="F102" t="inlineStr">
        <is>
          <t>CyberCity, Gurugram</t>
        </is>
      </c>
      <c r="G102" t="inlineStr">
        <is>
          <t>Office-Based</t>
        </is>
      </c>
      <c r="H102" t="inlineStr">
        <is>
          <t>unknown</t>
        </is>
      </c>
      <c r="I102" t="inlineStr">
        <is>
          <t>unknown</t>
        </is>
      </c>
      <c r="J102" t="inlineStr">
        <is>
          <t>NOT_MENTIONED</t>
        </is>
      </c>
      <c r="K102" t="inlineStr">
        <is>
          <t>Computer Science degree</t>
        </is>
      </c>
      <c r="M102" t="inlineStr">
        <is>
          <t>Location: CyberCity, Gurugram Position Type: Full-time, Office-Based Shortlisted candidates will undergo 3 rounds of interview, x2 technical rounds and x1 final management interview. The final two of these interviews will be face-to-face interviews at our Gurugram office. Please do not apply if you cannot attend. PodTech is seeking a proactive Software Developer Intern to join our dynamic team in</t>
        </is>
      </c>
      <c r="N102" t="n">
        <v>53</v>
      </c>
      <c r="O102" t="n">
        <v>70</v>
      </c>
      <c r="P102" t="n">
        <v>70</v>
      </c>
      <c r="Q102" t="n">
        <v>75</v>
      </c>
      <c r="R102" t="n">
        <v>0</v>
      </c>
      <c r="S102" t="n">
        <v>0</v>
      </c>
      <c r="T102" t="n">
        <v>60</v>
      </c>
      <c r="U102" t="inlineStr">
        <is>
          <t>SKIP</t>
        </is>
      </c>
      <c r="V102" t="inlineStr">
        <is>
          <t>SKIP</t>
        </is>
      </c>
      <c r="X102" t="inlineStr">
        <is>
          <t>Default Full Stack Resume</t>
        </is>
      </c>
      <c r="Y102" t="inlineStr">
        <is>
          <t>2026-09-12</t>
        </is>
      </c>
      <c r="Z102" t="inlineStr">
        <is>
          <t>Matches general software developer intern profile.</t>
        </is>
      </c>
      <c r="AA102" t="inlineStr">
        <is>
          <t>ELIGIBLE</t>
        </is>
      </c>
      <c r="AB102" t="inlineStr">
        <is>
          <t>Candidate is pursuing an MCA which falls under Computer Science/related degrees.</t>
        </is>
      </c>
      <c r="AC102" t="inlineStr">
        <is>
          <t>UNKNOWN</t>
        </is>
      </c>
      <c r="AD102" t="inlineStr">
        <is>
          <t>Availability not explicitly specified in candidate profile.</t>
        </is>
      </c>
      <c r="AE102" t="inlineStr">
        <is>
          <t>UNKNOWN</t>
        </is>
      </c>
      <c r="AF102" t="n">
        <v>0</v>
      </c>
      <c r="AG102" t="inlineStr">
        <is>
          <t>No</t>
        </is>
      </c>
      <c r="AH102" t="inlineStr">
        <is>
          <t>NOT_MENTIONED</t>
        </is>
      </c>
      <c r="AI102" t="inlineStr">
        <is>
          <t>No mention of PPO or conversion in the snippet.</t>
        </is>
      </c>
      <c r="AK102" t="inlineStr">
        <is>
          <t>Face-to-face interview requirement in Gurugram</t>
        </is>
      </c>
      <c r="AL102" t="inlineStr">
        <is>
          <t>General Software Development; Problem Solving; Core Computer Science fundamentals</t>
        </is>
      </c>
    </row>
    <row r="103">
      <c r="A103" t="inlineStr">
        <is>
          <t>LENSKART-260912-102</t>
        </is>
      </c>
      <c r="B103" t="inlineStr">
        <is>
          <t>Lenskart</t>
        </is>
      </c>
      <c r="C103" t="inlineStr">
        <is>
          <t>Software Development Intern</t>
        </is>
      </c>
      <c r="D103" t="inlineStr">
        <is>
          <t>https://www.adzuna.in/details/5845820634?utm_medium=api&amp;utm_source=5ccdc27f</t>
        </is>
      </c>
      <c r="E103" t="inlineStr">
        <is>
          <t>AI Analyzer</t>
        </is>
      </c>
      <c r="F103" t="inlineStr">
        <is>
          <t>Krishnagiri, Tamil Nadu</t>
        </is>
      </c>
      <c r="G103" t="inlineStr">
        <is>
          <t>On-site</t>
        </is>
      </c>
      <c r="H103" t="inlineStr">
        <is>
          <t>Not specified</t>
        </is>
      </c>
      <c r="I103" t="inlineStr">
        <is>
          <t>UNKNOWN</t>
        </is>
      </c>
      <c r="J103" t="inlineStr">
        <is>
          <t>NOT_MENTIONED</t>
        </is>
      </c>
      <c r="M103" t="inlineStr">
        <is>
          <t>Start your career in software engineering with Lenskart as a Software Development Intern in Hosur You will sit with a working team use the same tools and systems they do and own a defined piece of work from day one About the role As a Software Development Intern at Lenskart your core focus will be building testing and shipping product features with the engineering team You are attached to a named</t>
        </is>
      </c>
      <c r="N103" t="n">
        <v>58</v>
      </c>
      <c r="O103" t="n">
        <v>70</v>
      </c>
      <c r="P103" t="n">
        <v>70</v>
      </c>
      <c r="Q103" t="n">
        <v>80</v>
      </c>
      <c r="R103" t="n">
        <v>30</v>
      </c>
      <c r="S103" t="n">
        <v>0</v>
      </c>
      <c r="T103" t="n">
        <v>60</v>
      </c>
      <c r="U103" t="inlineStr">
        <is>
          <t>SKIP</t>
        </is>
      </c>
      <c r="V103" t="inlineStr">
        <is>
          <t>SKIP</t>
        </is>
      </c>
      <c r="X103" t="inlineStr">
        <is>
          <t>Default Software Engineering Resume</t>
        </is>
      </c>
      <c r="Y103" t="inlineStr">
        <is>
          <t>2026-09-12</t>
        </is>
      </c>
      <c r="Z103" t="inlineStr">
        <is>
          <t>Lenskart is a prominent product and retail tech brand.; Good opportunity for hands-on feature building and working with a mentor.</t>
        </is>
      </c>
      <c r="AA103" t="inlineStr">
        <is>
          <t>ELIGIBLE</t>
        </is>
      </c>
      <c r="AB103" t="inlineStr">
        <is>
          <t>No specific degree or experience blockers mentioned in the description.</t>
        </is>
      </c>
      <c r="AC103" t="inlineStr">
        <is>
          <t>UNKNOWN</t>
        </is>
      </c>
      <c r="AD103" t="inlineStr">
        <is>
          <t>Candidate availability details are not provided.</t>
        </is>
      </c>
      <c r="AE103" t="inlineStr">
        <is>
          <t>UNKNOWN</t>
        </is>
      </c>
      <c r="AF103" t="n">
        <v>0</v>
      </c>
      <c r="AG103" t="inlineStr">
        <is>
          <t>No</t>
        </is>
      </c>
      <c r="AH103" t="inlineStr">
        <is>
          <t>NOT_MENTIONED</t>
        </is>
      </c>
      <c r="AI103" t="inlineStr">
        <is>
          <t>No mention of PPO or conversion in the job description.</t>
        </is>
      </c>
      <c r="AK103" t="inlineStr">
        <is>
          <t>Location is Krishnagiri, Tamil Nadu / Hosur which may require relocation or long commute.</t>
        </is>
      </c>
      <c r="AL103" t="inlineStr">
        <is>
          <t>Basic Software Engineering concepts; Data Structures and Algorithms; Problem-solving and coding tests; Previous projects discussion</t>
        </is>
      </c>
    </row>
    <row r="104">
      <c r="A104" t="inlineStr">
        <is>
          <t>LAKSHAGATH-E-260912-103</t>
        </is>
      </c>
      <c r="B104" t="inlineStr">
        <is>
          <t>Lakshagath Enterprises</t>
        </is>
      </c>
      <c r="C104" t="inlineStr">
        <is>
          <t>Software Developer Intern</t>
        </is>
      </c>
      <c r="D104" t="inlineStr">
        <is>
          <t>https://www.adzuna.in/details/5854847469?utm_medium=api&amp;utm_source=5ccdc27f</t>
        </is>
      </c>
      <c r="E104" t="inlineStr">
        <is>
          <t>AI Analyzer</t>
        </is>
      </c>
      <c r="F104" t="inlineStr">
        <is>
          <t>Kanchipuram, Tamil Nadu</t>
        </is>
      </c>
      <c r="G104" t="inlineStr">
        <is>
          <t>Unknown</t>
        </is>
      </c>
      <c r="H104" t="inlineStr">
        <is>
          <t>Not specified</t>
        </is>
      </c>
      <c r="I104" t="inlineStr">
        <is>
          <t>Unknown</t>
        </is>
      </c>
      <c r="J104" t="inlineStr">
        <is>
          <t>Unknown</t>
        </is>
      </c>
      <c r="K104" t="inlineStr">
        <is>
          <t>Software Engineering Fundamentals; Problem Solving</t>
        </is>
      </c>
      <c r="L104" t="inlineStr">
        <is>
          <t>Web Development; Mobile Development; Desktop Development; AI; Cloud</t>
        </is>
      </c>
      <c r="M104" t="inlineStr">
        <is>
          <t>Software Engineer Intern AIAssisted Product Development We are looking for Software Engineers Freshers Interns who enjoy building products solving realworld problems and continuously learning new technologies At Lakshagath Enterprises we build multiple software products across web mobile desktop AI automation cloud and media platforms We believe strong engineering fundamentals are more important t</t>
        </is>
      </c>
      <c r="N104" t="n">
        <v>66</v>
      </c>
      <c r="O104" t="n">
        <v>24</v>
      </c>
      <c r="P104" t="n">
        <v>20</v>
      </c>
      <c r="Q104" t="n">
        <v>12</v>
      </c>
      <c r="R104" t="n">
        <v>5</v>
      </c>
      <c r="S104" t="n">
        <v>0</v>
      </c>
      <c r="T104" t="n">
        <v>5</v>
      </c>
      <c r="U104" t="inlineStr">
        <is>
          <t>STRETCH</t>
        </is>
      </c>
      <c r="V104" t="inlineStr">
        <is>
          <t>STRETCH</t>
        </is>
      </c>
      <c r="X104" t="inlineStr">
        <is>
          <t>Default Full Stack / Software Engineering Resume</t>
        </is>
      </c>
      <c r="Y104" t="inlineStr">
        <is>
          <t>2026-09-12</t>
        </is>
      </c>
      <c r="Z104" t="inlineStr">
        <is>
          <t>Open to freshers and interns; Matches general software engineering and web development profile</t>
        </is>
      </c>
      <c r="AA104" t="inlineStr">
        <is>
          <t>Eligible</t>
        </is>
      </c>
      <c r="AB104" t="inlineStr">
        <is>
          <t>Open to freshers and interns</t>
        </is>
      </c>
      <c r="AC104" t="inlineStr">
        <is>
          <t>Unknown</t>
        </is>
      </c>
      <c r="AD104" t="inlineStr">
        <is>
          <t>Not specified in candidate profile or job description</t>
        </is>
      </c>
      <c r="AE104" t="inlineStr">
        <is>
          <t>UNKNOWN</t>
        </is>
      </c>
      <c r="AF104" t="n">
        <v>0</v>
      </c>
      <c r="AG104" t="inlineStr">
        <is>
          <t>No</t>
        </is>
      </c>
      <c r="AH104" t="inlineStr">
        <is>
          <t>Unknown</t>
        </is>
      </c>
      <c r="AI104" t="inlineStr">
        <is>
          <t>No explicit PPO or conversion mention found in the JD</t>
        </is>
      </c>
      <c r="AK104" t="inlineStr">
        <is>
          <t>Stipend is completely unspecified</t>
        </is>
      </c>
      <c r="AL104" t="inlineStr">
        <is>
          <t>Engineering fundamentals; Problem solving approach; Past project architecture; AI and cloud exposure</t>
        </is>
      </c>
    </row>
    <row r="105">
      <c r="A105" t="inlineStr">
        <is>
          <t>SYNQCLOUD,-I-260912-104</t>
        </is>
      </c>
      <c r="B105" t="inlineStr">
        <is>
          <t>SynqCloud, Inc</t>
        </is>
      </c>
      <c r="C105" t="inlineStr">
        <is>
          <t>Software Developer Intern</t>
        </is>
      </c>
      <c r="D105" t="inlineStr">
        <is>
          <t>https://www.adzuna.in/details/1155089572?utm_medium=api&amp;utm_source=5ccdc27f</t>
        </is>
      </c>
      <c r="E105" t="inlineStr">
        <is>
          <t>AI Analyzer</t>
        </is>
      </c>
      <c r="F105" t="inlineStr">
        <is>
          <t>Chennai, Tamil Nadu</t>
        </is>
      </c>
      <c r="G105" t="inlineStr">
        <is>
          <t>On-site</t>
        </is>
      </c>
      <c r="H105" t="inlineStr">
        <is>
          <t>Not specified</t>
        </is>
      </c>
      <c r="I105" t="inlineStr">
        <is>
          <t>UNKNOWN</t>
        </is>
      </c>
      <c r="J105" t="inlineStr">
        <is>
          <t>NOT_MENTIONED</t>
        </is>
      </c>
      <c r="K105" t="inlineStr">
        <is>
          <t>Object Oriented Programming (OOPs); Programming and Software Development</t>
        </is>
      </c>
      <c r="M105" t="inlineStr">
        <is>
          <t>We are hiring Intern for massmailer.io which is a Salesforce appexchange app company. Location: Chennai Skills: Object Oriented Programming (OOPs), Programming and Software Development</t>
        </is>
      </c>
      <c r="N105" t="n">
        <v>41</v>
      </c>
      <c r="O105" t="n">
        <v>50</v>
      </c>
      <c r="P105" t="n">
        <v>60</v>
      </c>
      <c r="Q105" t="n">
        <v>60</v>
      </c>
      <c r="R105" t="n">
        <v>0</v>
      </c>
      <c r="S105" t="n">
        <v>0</v>
      </c>
      <c r="T105" t="n">
        <v>40</v>
      </c>
      <c r="U105" t="inlineStr">
        <is>
          <t>SKIP</t>
        </is>
      </c>
      <c r="V105" t="inlineStr">
        <is>
          <t>SKIP</t>
        </is>
      </c>
      <c r="X105" t="inlineStr">
        <is>
          <t>Amaan_General_Software_Resume.pdf</t>
        </is>
      </c>
      <c r="Y105" t="inlineStr">
        <is>
          <t>2026-09-12</t>
        </is>
      </c>
      <c r="AA105" t="inlineStr">
        <is>
          <t>ELIGIBLE</t>
        </is>
      </c>
      <c r="AB105" t="inlineStr">
        <is>
          <t>Meets general software engineering internship scope</t>
        </is>
      </c>
      <c r="AC105" t="inlineStr">
        <is>
          <t>UNKNOWN</t>
        </is>
      </c>
      <c r="AD105" t="inlineStr">
        <is>
          <t>Not specified in the job description or career brain profile</t>
        </is>
      </c>
      <c r="AE105" t="inlineStr">
        <is>
          <t>UNKNOWN</t>
        </is>
      </c>
      <c r="AF105" t="n">
        <v>0</v>
      </c>
      <c r="AG105" t="inlineStr">
        <is>
          <t>No</t>
        </is>
      </c>
      <c r="AH105" t="inlineStr">
        <is>
          <t>NOT_MENTIONED</t>
        </is>
      </c>
      <c r="AI105" t="inlineStr">
        <is>
          <t>No mention of PPO or conversion in the job description</t>
        </is>
      </c>
      <c r="AK105" t="inlineStr">
        <is>
          <t>Stipend not disclosed; PPO not mentioned; Tech stack heavily Salesforce/Apex focused based on company context (massmailer.io)</t>
        </is>
      </c>
      <c r="AL105" t="inlineStr">
        <is>
          <t>Object Oriented Programming concepts; General software development lifecycle; Problem-solving and coding fundamentals</t>
        </is>
      </c>
    </row>
    <row r="106">
      <c r="A106" t="inlineStr">
        <is>
          <t>ALLSOFT-CONS-260912-105</t>
        </is>
      </c>
      <c r="B106" t="inlineStr">
        <is>
          <t>AllSoft Consulting Private Limited</t>
        </is>
      </c>
      <c r="C106" t="inlineStr">
        <is>
          <t>Software Development Intern</t>
        </is>
      </c>
      <c r="D106" t="inlineStr">
        <is>
          <t>https://www.adzuna.in/details/4947384279?utm_medium=api&amp;utm_source=5ccdc27f</t>
        </is>
      </c>
      <c r="E106" t="inlineStr">
        <is>
          <t>AI Analyzer</t>
        </is>
      </c>
      <c r="F106" t="inlineStr">
        <is>
          <t>Raipur, Chhattisgarh</t>
        </is>
      </c>
      <c r="G106" t="inlineStr">
        <is>
          <t>On-site</t>
        </is>
      </c>
      <c r="H106" t="inlineStr">
        <is>
          <t>Not specified</t>
        </is>
      </c>
      <c r="I106" t="inlineStr">
        <is>
          <t>UNKNOWN</t>
        </is>
      </c>
      <c r="J106" t="inlineStr">
        <is>
          <t>NOT MENTIONED</t>
        </is>
      </c>
      <c r="K106" t="inlineStr">
        <is>
          <t>Javascript; PHP; Python; Ruby on Rails (ROR); NodeJS; NOSQL Databases; Web</t>
        </is>
      </c>
      <c r="M106" t="inlineStr">
        <is>
          <t>AllSoft seeks to employ Engineering Interns (Computer Science discipline) to perform several software development tasks. Tasks may include development of Web Application, Mobile Application (Android, iOS, Nativescript). Skills:- Javascript, PHP, Python, Ruby on Rails (ROR), NodeJS (Node.js), NOSQL Databases and Web</t>
        </is>
      </c>
      <c r="N106" t="n">
        <v>63</v>
      </c>
      <c r="O106" t="n">
        <v>70</v>
      </c>
      <c r="P106" t="n">
        <v>80</v>
      </c>
      <c r="Q106" t="n">
        <v>80</v>
      </c>
      <c r="R106" t="n">
        <v>0</v>
      </c>
      <c r="S106" t="n">
        <v>40</v>
      </c>
      <c r="T106" t="n">
        <v>60</v>
      </c>
      <c r="U106" t="inlineStr">
        <is>
          <t>STRETCH</t>
        </is>
      </c>
      <c r="V106" t="inlineStr">
        <is>
          <t>STRETCH</t>
        </is>
      </c>
      <c r="W106" t="inlineStr">
        <is>
          <t>PHP; Ruby on Rails (ROR); NOSQL Databases (specific enterprise context beyond MongoDB mention)</t>
        </is>
      </c>
      <c r="X106" t="inlineStr">
        <is>
          <t>Amaanuddin_Ahmed_Software_Engineering_Resume.pdf</t>
        </is>
      </c>
      <c r="Y106" t="inlineStr">
        <is>
          <t>2026-09-12</t>
        </is>
      </c>
      <c r="Z106" t="inlineStr">
        <is>
          <t>Matches technical stack in JavaScript/Node.js and Python.; Good opportunity for software development internship experience.</t>
        </is>
      </c>
      <c r="AA106" t="inlineStr">
        <is>
          <t>ELIGIBLE</t>
        </is>
      </c>
      <c r="AB106" t="inlineStr">
        <is>
          <t>Candidate is pursuing MCA, which aligns with Computer Science discipline requirements.</t>
        </is>
      </c>
      <c r="AC106" t="inlineStr">
        <is>
          <t>UNKNOWN</t>
        </is>
      </c>
      <c r="AD106" t="inlineStr">
        <is>
          <t>Not provided in Career Brain.</t>
        </is>
      </c>
      <c r="AE106" t="inlineStr">
        <is>
          <t>UNKNOWN</t>
        </is>
      </c>
      <c r="AF106" t="n">
        <v>0</v>
      </c>
      <c r="AG106" t="inlineStr">
        <is>
          <t>No</t>
        </is>
      </c>
      <c r="AH106" t="inlineStr">
        <is>
          <t>NOT MENTIONED</t>
        </is>
      </c>
      <c r="AI106" t="inlineStr">
        <is>
          <t>No mention of PPO or conversion in the job description.</t>
        </is>
      </c>
      <c r="AK106" t="inlineStr">
        <is>
          <t>Location is Raipur, Chhattisgarh, which may require relocation.; Unspecified stipend.</t>
        </is>
      </c>
      <c r="AL106" t="inlineStr">
        <is>
          <t>JavaScript asynchronous programming; Node.js and Express fundamentals; Python basics; Web application architecture</t>
        </is>
      </c>
    </row>
    <row r="107">
      <c r="A107" t="inlineStr">
        <is>
          <t>EASTENCHER-S-260912-106</t>
        </is>
      </c>
      <c r="B107" t="inlineStr">
        <is>
          <t>Eastencher software</t>
        </is>
      </c>
      <c r="C107" t="inlineStr">
        <is>
          <t>Software Developer Intern</t>
        </is>
      </c>
      <c r="D107" t="inlineStr">
        <is>
          <t>https://www.adzuna.in/details/5845821068?utm_medium=api&amp;utm_source=5ccdc27f</t>
        </is>
      </c>
      <c r="E107" t="inlineStr">
        <is>
          <t>AI Analyzer</t>
        </is>
      </c>
      <c r="F107" t="inlineStr">
        <is>
          <t>Bangalore Rural, Karnataka</t>
        </is>
      </c>
      <c r="G107" t="inlineStr">
        <is>
          <t>Unknown</t>
        </is>
      </c>
      <c r="H107" t="inlineStr">
        <is>
          <t>9,500 per month Including PF Benefits</t>
        </is>
      </c>
      <c r="I107" t="inlineStr">
        <is>
          <t>8 Months</t>
        </is>
      </c>
      <c r="J107" t="inlineStr">
        <is>
          <t>NOT_MENTIONED</t>
        </is>
      </c>
      <c r="M107" t="inlineStr">
        <is>
          <t>Software Developer Intern Duration 8 Months Stipend 9 500 per month Including PF Benefits Location Bangalore Start Date Immediate Joiners Preferred About the Role We are looking for a passionate and enthusiastic Software Developer Intern to join our development team This internship is an excellent opportunity for candidates who are eager to gain handson experience in software development while wor</t>
        </is>
      </c>
      <c r="N107" t="n">
        <v>43</v>
      </c>
      <c r="O107" t="n">
        <v>50</v>
      </c>
      <c r="P107" t="n">
        <v>50</v>
      </c>
      <c r="Q107" t="n">
        <v>50</v>
      </c>
      <c r="R107" t="n">
        <v>0</v>
      </c>
      <c r="S107" t="n">
        <v>20</v>
      </c>
      <c r="T107" t="n">
        <v>40</v>
      </c>
      <c r="U107" t="inlineStr">
        <is>
          <t>SKIP</t>
        </is>
      </c>
      <c r="V107" t="inlineStr">
        <is>
          <t>SKIP</t>
        </is>
      </c>
      <c r="X107" t="inlineStr">
        <is>
          <t>Default Full Stack Resume</t>
        </is>
      </c>
      <c r="Y107" t="inlineStr">
        <is>
          <t>2026-09-12</t>
        </is>
      </c>
      <c r="Z107" t="inlineStr">
        <is>
          <t>Gains hands-on experience in software development; Located in Bangalore</t>
        </is>
      </c>
      <c r="AA107" t="inlineStr">
        <is>
          <t>ELIGIBLE</t>
        </is>
      </c>
      <c r="AB107" t="inlineStr">
        <is>
          <t>No strict degree or graduation year blockers specified in the job description; Candidate is an MCA student matching software development scope</t>
        </is>
      </c>
      <c r="AC107" t="inlineStr">
        <is>
          <t>UNKNOWN</t>
        </is>
      </c>
      <c r="AD107" t="inlineStr">
        <is>
          <t>Immediate joiners preferred, availability not explicitly confirmed</t>
        </is>
      </c>
      <c r="AE107" t="inlineStr">
        <is>
          <t>KNOWN</t>
        </is>
      </c>
      <c r="AF107" t="n">
        <v>9500</v>
      </c>
      <c r="AG107" t="inlineStr">
        <is>
          <t>No</t>
        </is>
      </c>
      <c r="AH107" t="inlineStr">
        <is>
          <t>NOT_MENTIONED</t>
        </is>
      </c>
      <c r="AI107" t="inlineStr">
        <is>
          <t>No mention of PPO or conversion in the job description</t>
        </is>
      </c>
      <c r="AJ107" t="inlineStr">
        <is>
          <t>Stipend of ₹9,500 per month is significantly below the minimum target of ₹25,000 per month</t>
        </is>
      </c>
      <c r="AK107" t="inlineStr">
        <is>
          <t>Low compensation compared to candidate expectations</t>
        </is>
      </c>
      <c r="AL107" t="inlineStr">
        <is>
          <t>Basic software development concepts; Past academic or personal projects; Problem-solving fundamentals</t>
        </is>
      </c>
    </row>
    <row r="108">
      <c r="A108" t="inlineStr">
        <is>
          <t>MIND-MERGE-S-260912-107</t>
        </is>
      </c>
      <c r="B108" t="inlineStr">
        <is>
          <t>Mind Merge Soft Tech Private Limited</t>
        </is>
      </c>
      <c r="C108" t="inlineStr">
        <is>
          <t>Software Developer Intern</t>
        </is>
      </c>
      <c r="D108" t="inlineStr">
        <is>
          <t>https://www.adzuna.in/details/5827200255?utm_medium=api&amp;utm_source=5ccdc27f</t>
        </is>
      </c>
      <c r="E108" t="inlineStr">
        <is>
          <t>AI Analyzer</t>
        </is>
      </c>
      <c r="F108" t="inlineStr">
        <is>
          <t>Hyderabad, Telangana</t>
        </is>
      </c>
      <c r="G108" t="inlineStr">
        <is>
          <t>UNKNOWN</t>
        </is>
      </c>
      <c r="H108" t="inlineStr">
        <is>
          <t>Not specified</t>
        </is>
      </c>
      <c r="I108" t="inlineStr">
        <is>
          <t>UNKNOWN</t>
        </is>
      </c>
      <c r="J108" t="inlineStr">
        <is>
          <t>NOT_MENTIONED</t>
        </is>
      </c>
      <c r="L108" t="inlineStr">
        <is>
          <t>Web and mobile app development; SaaS products; ERP systems; CRM; Cloud technologies; AI-powered systems; Automation solutions</t>
        </is>
      </c>
      <c r="M108" t="inlineStr">
        <is>
          <t>Company Description Mind Merge Soft Tech Private Limited is a technologydriven company that delivers innovative scalable and resultoriented digital solutions to businesses startups institutions and enterprises The organization specializes in custom software development enterprise applications AIpowered systems cloud technologies and automation solutions that improve efficiency and support growth I</t>
        </is>
      </c>
      <c r="N108" t="n">
        <v>42</v>
      </c>
      <c r="O108" t="n">
        <v>50</v>
      </c>
      <c r="P108" t="n">
        <v>50</v>
      </c>
      <c r="Q108" t="n">
        <v>60</v>
      </c>
      <c r="R108" t="n">
        <v>0</v>
      </c>
      <c r="S108" t="n">
        <v>0</v>
      </c>
      <c r="T108" t="n">
        <v>40</v>
      </c>
      <c r="U108" t="inlineStr">
        <is>
          <t>SKIP</t>
        </is>
      </c>
      <c r="V108" t="inlineStr">
        <is>
          <t>SKIP</t>
        </is>
      </c>
      <c r="X108" t="inlineStr">
        <is>
          <t>Amaanuddin_Ahmed_Software_Engineer_Resume.pdf</t>
        </is>
      </c>
      <c r="Y108" t="inlineStr">
        <is>
          <t>2026-09-12</t>
        </is>
      </c>
      <c r="Z108" t="inlineStr">
        <is>
          <t>Software Developer internship aligns generally with Amaan's target roles.</t>
        </is>
      </c>
      <c r="AA108" t="inlineStr">
        <is>
          <t>ELIGIBLE</t>
        </is>
      </c>
      <c r="AB108" t="inlineStr">
        <is>
          <t>No explicit degree or graduation-year blockers specified in the job description.</t>
        </is>
      </c>
      <c r="AC108" t="inlineStr">
        <is>
          <t>UNKNOWN</t>
        </is>
      </c>
      <c r="AD108" t="inlineStr">
        <is>
          <t>Availability not stated in the job description.</t>
        </is>
      </c>
      <c r="AE108" t="inlineStr">
        <is>
          <t>UNKNOWN</t>
        </is>
      </c>
      <c r="AF108" t="n">
        <v>0</v>
      </c>
      <c r="AG108" t="inlineStr">
        <is>
          <t>No</t>
        </is>
      </c>
      <c r="AH108" t="inlineStr">
        <is>
          <t>NOT_MENTIONED</t>
        </is>
      </c>
      <c r="AI108" t="inlineStr">
        <is>
          <t>No mention of conversion to full-time or PPO in the job description snippet.</t>
        </is>
      </c>
      <c r="AK108" t="inlineStr">
        <is>
          <t>Stipend is completely unspecified.; Job description is heavily truncated and lacks specific technical requirements or role details.</t>
        </is>
      </c>
      <c r="AL108" t="inlineStr">
        <is>
          <t>Custom software development processes; Web and mobile application architecture; Cloud technologies and automation solutions</t>
        </is>
      </c>
    </row>
    <row r="109">
      <c r="A109" t="inlineStr">
        <is>
          <t>KPMG-INDIA-S-260912-108</t>
        </is>
      </c>
      <c r="B109" t="inlineStr">
        <is>
          <t>KPMG India Services LLP</t>
        </is>
      </c>
      <c r="C109" t="inlineStr">
        <is>
          <t>Software Developer Intern to Analyst</t>
        </is>
      </c>
      <c r="D109" t="inlineStr">
        <is>
          <t>https://www.adzuna.in/details/5808698575?utm_medium=api&amp;utm_source=5ccdc27f</t>
        </is>
      </c>
      <c r="E109" t="inlineStr">
        <is>
          <t>AI Analyzer</t>
        </is>
      </c>
      <c r="F109" t="inlineStr">
        <is>
          <t>Bangalore, Karnataka</t>
        </is>
      </c>
      <c r="G109" t="inlineStr">
        <is>
          <t>Unknown</t>
        </is>
      </c>
      <c r="I109" t="inlineStr">
        <is>
          <t>Unknown</t>
        </is>
      </c>
      <c r="J109" t="inlineStr">
        <is>
          <t>Unknown</t>
        </is>
      </c>
      <c r="K109" t="inlineStr">
        <is>
          <t>Java; Spring Boot; Python; FastAPI; API Development</t>
        </is>
      </c>
      <c r="L109" t="inlineStr">
        <is>
          <t>Communication; Team Player</t>
        </is>
      </c>
      <c r="M109" t="inlineStr">
        <is>
          <t>Interns to Analyst Mandatory Skills Bachelors or higher degree in Computer Science or a related discipline Experience in Developing APIs using Java Language and Spring Boot framework or Python with Fast API Flexible and proactive selfmotivated working style with strong personal ownership of problem resolution Excellent communicator written and verbal formal and informal Must be a team player and e</t>
        </is>
      </c>
      <c r="N109" t="n">
        <v>59</v>
      </c>
      <c r="O109" t="n">
        <v>60</v>
      </c>
      <c r="P109" t="n">
        <v>70</v>
      </c>
      <c r="Q109" t="n">
        <v>75</v>
      </c>
      <c r="R109" t="n">
        <v>60</v>
      </c>
      <c r="S109" t="n">
        <v>0</v>
      </c>
      <c r="T109" t="n">
        <v>70</v>
      </c>
      <c r="U109" t="inlineStr">
        <is>
          <t>SKIP</t>
        </is>
      </c>
      <c r="V109" t="inlineStr">
        <is>
          <t>SKIP</t>
        </is>
      </c>
      <c r="W109" t="inlineStr">
        <is>
          <t>Spring Boot; FastAPI</t>
        </is>
      </c>
      <c r="X109" t="inlineStr">
        <is>
          <t>Amaan_Ahmed_Software_Engineering_Resume.pdf</t>
        </is>
      </c>
      <c r="Y109" t="inlineStr">
        <is>
          <t>2026-09-12</t>
        </is>
      </c>
      <c r="Z109" t="inlineStr">
        <is>
          <t>Role aligns with software engineering career trajectory.; Matches basic degree and general programming language criteria in Java and Python.</t>
        </is>
      </c>
      <c r="AA109" t="inlineStr">
        <is>
          <t>Eligible</t>
        </is>
      </c>
      <c r="AB109" t="inlineStr">
        <is>
          <t>Candidate is pursuing an MCA, which qualifies as a related discipline to Computer Science for a bachelor's or higher degree requirement.</t>
        </is>
      </c>
      <c r="AC109" t="inlineStr">
        <is>
          <t>Unknown</t>
        </is>
      </c>
      <c r="AD109" t="inlineStr">
        <is>
          <t>Availability not specified in the candidate profile.</t>
        </is>
      </c>
      <c r="AE109" t="inlineStr">
        <is>
          <t>UNKNOWN</t>
        </is>
      </c>
      <c r="AF109" t="n">
        <v>0</v>
      </c>
      <c r="AG109" t="inlineStr">
        <is>
          <t>No</t>
        </is>
      </c>
      <c r="AH109" t="inlineStr">
        <is>
          <t>Unknown</t>
        </is>
      </c>
      <c r="AI109" t="inlineStr">
        <is>
          <t>The job description transitions from Intern to Analyst, but explicit PPO or conversion metrics are not detailed.</t>
        </is>
      </c>
      <c r="AK109" t="inlineStr">
        <is>
          <t>Stipend information is missing.</t>
        </is>
      </c>
      <c r="AL109" t="inlineStr">
        <is>
          <t>Java core concepts and data structures; API development using Java or Python; Problem-solving and ownership</t>
        </is>
      </c>
    </row>
    <row r="110">
      <c r="A110" t="inlineStr">
        <is>
          <t>TECHAVIDUS-260912-109</t>
        </is>
      </c>
      <c r="B110" t="inlineStr">
        <is>
          <t>Techavidus</t>
        </is>
      </c>
      <c r="C110" t="inlineStr">
        <is>
          <t>Software Developer Intern Trainee</t>
        </is>
      </c>
      <c r="D110" t="inlineStr">
        <is>
          <t>https://www.adzuna.in/details/5827200227?utm_medium=api&amp;utm_source=5ccdc27f</t>
        </is>
      </c>
      <c r="E110" t="inlineStr">
        <is>
          <t>AI Analyzer</t>
        </is>
      </c>
      <c r="F110" t="inlineStr">
        <is>
          <t>Gandhinagar, Gujarat</t>
        </is>
      </c>
      <c r="G110" t="inlineStr">
        <is>
          <t>Unknown</t>
        </is>
      </c>
      <c r="H110" t="inlineStr">
        <is>
          <t>Not specified</t>
        </is>
      </c>
      <c r="I110" t="inlineStr">
        <is>
          <t>Unknown</t>
        </is>
      </c>
      <c r="J110" t="inlineStr">
        <is>
          <t>Not Mentioned</t>
        </is>
      </c>
      <c r="K110" t="inlineStr">
        <is>
          <t>Asp Net MVC Core; Node JS; Java; Angular; React JS; Web Designing</t>
        </is>
      </c>
      <c r="M110" t="inlineStr">
        <is>
          <t>Education Graduation or Post Graduation in IT Job Summary Intern Requirements A final year Student or Recent Graduate in Computer Science Software Engineering or related area Knowledge of various programming languages Selfmotivated and resultsoriented Ability to interact with crossfunctional teams Strong problemsolving abilities Ability to work in a fastpaced environment Interns Required for the T</t>
        </is>
      </c>
      <c r="N110" t="n">
        <v>57</v>
      </c>
      <c r="O110" t="n">
        <v>22</v>
      </c>
      <c r="P110" t="n">
        <v>18</v>
      </c>
      <c r="Q110" t="n">
        <v>12</v>
      </c>
      <c r="R110" t="n">
        <v>0</v>
      </c>
      <c r="S110" t="n">
        <v>0</v>
      </c>
      <c r="T110" t="n">
        <v>5</v>
      </c>
      <c r="U110" t="inlineStr">
        <is>
          <t>SKIP</t>
        </is>
      </c>
      <c r="V110" t="inlineStr">
        <is>
          <t>SKIP</t>
        </is>
      </c>
      <c r="W110" t="inlineStr">
        <is>
          <t>Asp Net MVC Core; Web Designing</t>
        </is>
      </c>
      <c r="X110" t="inlineStr">
        <is>
          <t>Default Full Stack Resume</t>
        </is>
      </c>
      <c r="Y110" t="inlineStr">
        <is>
          <t>2026-09-12</t>
        </is>
      </c>
      <c r="Z110" t="inlineStr">
        <is>
          <t>Matches several core tech stack requirements like Node.js, React, Angular, and Java.</t>
        </is>
      </c>
      <c r="AA110" t="inlineStr">
        <is>
          <t>Eligible</t>
        </is>
      </c>
      <c r="AB110" t="inlineStr">
        <is>
          <t>Candidate is an MCA student, which qualifies as Post Graduation in IT.</t>
        </is>
      </c>
      <c r="AC110" t="inlineStr">
        <is>
          <t>Unknown</t>
        </is>
      </c>
      <c r="AD110" t="inlineStr">
        <is>
          <t>Not specified in candidate profile.</t>
        </is>
      </c>
      <c r="AE110" t="inlineStr">
        <is>
          <t>UNKNOWN</t>
        </is>
      </c>
      <c r="AF110" t="n">
        <v>0</v>
      </c>
      <c r="AG110" t="inlineStr">
        <is>
          <t>No</t>
        </is>
      </c>
      <c r="AH110" t="inlineStr">
        <is>
          <t>Not Mentioned</t>
        </is>
      </c>
      <c r="AI110" t="inlineStr">
        <is>
          <t>Job description does not mention conversion to a full-time role or PPO.</t>
        </is>
      </c>
      <c r="AK110" t="inlineStr">
        <is>
          <t>Stipend is not disclosed; No mention of PPO</t>
        </is>
      </c>
      <c r="AL110" t="inlineStr">
        <is>
          <t>Node.js architecture and event loop; React and Angular state management differences; Java OOP concepts and basic DSA; Past project implementations in MERN</t>
        </is>
      </c>
    </row>
    <row r="111">
      <c r="A111" t="inlineStr">
        <is>
          <t>RADICAL-TECH-260912-110</t>
        </is>
      </c>
      <c r="B111" t="inlineStr">
        <is>
          <t>Radical Technologies</t>
        </is>
      </c>
      <c r="C111" t="inlineStr">
        <is>
          <t>Software Developer Intern</t>
        </is>
      </c>
      <c r="D111" t="inlineStr">
        <is>
          <t>https://www.adzuna.in/details/5827200307?utm_medium=api&amp;utm_source=5ccdc27f</t>
        </is>
      </c>
      <c r="E111" t="inlineStr">
        <is>
          <t>AI Analyzer</t>
        </is>
      </c>
      <c r="F111" t="inlineStr">
        <is>
          <t>Pune, Maharashtra</t>
        </is>
      </c>
      <c r="G111" t="inlineStr">
        <is>
          <t>Onsite</t>
        </is>
      </c>
      <c r="H111" t="inlineStr">
        <is>
          <t>₹5000 per month</t>
        </is>
      </c>
      <c r="I111" t="inlineStr">
        <is>
          <t>6 Months</t>
        </is>
      </c>
      <c r="J111" t="inlineStr">
        <is>
          <t>NOT_MENTIONED</t>
        </is>
      </c>
      <c r="K111" t="inlineStr">
        <is>
          <t>React.js; Next.js; Node.js; React Native</t>
        </is>
      </c>
      <c r="M111" t="inlineStr">
        <is>
          <t>Apply before Job Title Software Developer Intern Backend Mobile Openings React js Next js Node js React Native Employment Type Internship Onsite Duration 6 Months Stipend 5000 per month Location Pune About the Chance We are hiring Software Developer Interns for multiple roles across Frontend Backend and Mobile Application Development This 6month fulltime onsite internship offers handson experience</t>
        </is>
      </c>
      <c r="N111" t="n">
        <v>48</v>
      </c>
      <c r="O111" t="n">
        <v>60</v>
      </c>
      <c r="P111" t="n">
        <v>70</v>
      </c>
      <c r="Q111" t="n">
        <v>70</v>
      </c>
      <c r="R111" t="n">
        <v>0</v>
      </c>
      <c r="S111" t="n">
        <v>0</v>
      </c>
      <c r="T111" t="n">
        <v>40</v>
      </c>
      <c r="U111" t="inlineStr">
        <is>
          <t>SKIP</t>
        </is>
      </c>
      <c r="V111" t="inlineStr">
        <is>
          <t>SKIP</t>
        </is>
      </c>
      <c r="W111" t="inlineStr">
        <is>
          <t>Next.js; React Native</t>
        </is>
      </c>
      <c r="X111" t="inlineStr">
        <is>
          <t>Amaanuddin_Ahmed_Fullstack_Resume.pdf</t>
        </is>
      </c>
      <c r="Y111" t="inlineStr">
        <is>
          <t>2026-09-12</t>
        </is>
      </c>
      <c r="Z111" t="inlineStr">
        <is>
          <t>Gives hands-on live production project experience.</t>
        </is>
      </c>
      <c r="AA111" t="inlineStr">
        <is>
          <t>ELIGIBLE</t>
        </is>
      </c>
      <c r="AB111" t="inlineStr">
        <is>
          <t>No strict degree or graduation year hard blocker found in the short snippet.</t>
        </is>
      </c>
      <c r="AC111" t="inlineStr">
        <is>
          <t>UNKNOWN</t>
        </is>
      </c>
      <c r="AD111" t="inlineStr">
        <is>
          <t>Not specified in candidate profile or job description.</t>
        </is>
      </c>
      <c r="AE111" t="inlineStr">
        <is>
          <t>DISCLOSED</t>
        </is>
      </c>
      <c r="AF111" t="n">
        <v>5000</v>
      </c>
      <c r="AG111" t="inlineStr">
        <is>
          <t>No</t>
        </is>
      </c>
      <c r="AH111" t="inlineStr">
        <is>
          <t>NOT_MENTIONED</t>
        </is>
      </c>
      <c r="AI111" t="inlineStr">
        <is>
          <t>No mention of conversion to full-time employment or PPO.</t>
        </is>
      </c>
      <c r="AK111" t="inlineStr">
        <is>
          <t>Low stipend (₹5,000/month) is well below the target of ₹25,000/month.</t>
        </is>
      </c>
      <c r="AL111" t="inlineStr">
        <is>
          <t>React.js hooks and state management; Node.js and Express backend architecture; Experience with Next.js and React Native if any</t>
        </is>
      </c>
    </row>
    <row r="112">
      <c r="A112" t="inlineStr">
        <is>
          <t>47CYBER-INTE-260912-111</t>
        </is>
      </c>
      <c r="B112" t="inlineStr">
        <is>
          <t>47cyber Intelligence Private Limited</t>
        </is>
      </c>
      <c r="C112" t="inlineStr">
        <is>
          <t>Software Developer Intern Python Dgo</t>
        </is>
      </c>
      <c r="D112" t="inlineStr">
        <is>
          <t>https://www.adzuna.in/details/5827200202?utm_medium=api&amp;utm_source=5ccdc27f</t>
        </is>
      </c>
      <c r="E112" t="inlineStr">
        <is>
          <t>AI Analyzer</t>
        </is>
      </c>
      <c r="F112" t="inlineStr">
        <is>
          <t>Bhopal, Madhya Pradesh</t>
        </is>
      </c>
      <c r="G112" t="inlineStr">
        <is>
          <t>Unknown</t>
        </is>
      </c>
      <c r="H112" t="inlineStr">
        <is>
          <t>Not specified</t>
        </is>
      </c>
      <c r="I112" t="inlineStr">
        <is>
          <t>Unknown</t>
        </is>
      </c>
      <c r="J112" t="inlineStr">
        <is>
          <t>Not Mentioned</t>
        </is>
      </c>
      <c r="K112" t="inlineStr">
        <is>
          <t>Python; Django; REST APIs; Databases; Automation Tools; Secure Web Applications</t>
        </is>
      </c>
      <c r="M112" t="inlineStr">
        <is>
          <t>47CYBER Intelligence Private Limited is looking for a passionate and motivated Software Developer Intern to join our development team This internship is designed for students and recent graduates who are eager to gain handson experience by working on realworld software projects using modern technologies As a Software Developer Intern you will contribute to live projects involving Python Django RES</t>
        </is>
      </c>
      <c r="N112" t="n">
        <v>60</v>
      </c>
      <c r="O112" t="n">
        <v>20</v>
      </c>
      <c r="P112" t="n">
        <v>20</v>
      </c>
      <c r="Q112" t="n">
        <v>15</v>
      </c>
      <c r="R112" t="n">
        <v>0</v>
      </c>
      <c r="S112" t="n">
        <v>0</v>
      </c>
      <c r="T112" t="n">
        <v>5</v>
      </c>
      <c r="U112" t="inlineStr">
        <is>
          <t>STRETCH</t>
        </is>
      </c>
      <c r="V112" t="inlineStr">
        <is>
          <t>STRETCH</t>
        </is>
      </c>
      <c r="W112" t="inlineStr">
        <is>
          <t>Django</t>
        </is>
      </c>
      <c r="X112" t="inlineStr">
        <is>
          <t>Default Software Engineering Resume</t>
        </is>
      </c>
      <c r="Y112" t="inlineStr">
        <is>
          <t>2026-09-12</t>
        </is>
      </c>
      <c r="Z112" t="inlineStr">
        <is>
          <t>Matches target Software Engineering and Python domains; Open to students/graduates fitting the MCA background</t>
        </is>
      </c>
      <c r="AA112" t="inlineStr">
        <is>
          <t>Eligible</t>
        </is>
      </c>
      <c r="AB112" t="inlineStr">
        <is>
          <t>Open to students and recent graduates</t>
        </is>
      </c>
      <c r="AC112" t="inlineStr">
        <is>
          <t>Unknown</t>
        </is>
      </c>
      <c r="AD112" t="inlineStr">
        <is>
          <t>Availability not specified in career brain</t>
        </is>
      </c>
      <c r="AE112" t="inlineStr">
        <is>
          <t>UNKNOWN</t>
        </is>
      </c>
      <c r="AF112" t="n">
        <v>0</v>
      </c>
      <c r="AG112" t="inlineStr">
        <is>
          <t>No</t>
        </is>
      </c>
      <c r="AH112" t="inlineStr">
        <is>
          <t>Not Mentioned</t>
        </is>
      </c>
      <c r="AI112" t="inlineStr">
        <is>
          <t>No mention of PPO or conversion in the job description</t>
        </is>
      </c>
      <c r="AK112" t="inlineStr">
        <is>
          <t>Location is Bhopal, Madhya Pradesh which may require relocation; Stipend is completely unspecified</t>
        </is>
      </c>
      <c r="AL112" t="inlineStr">
        <is>
          <t>Python fundamentals and OOPs concepts; Django framework architecture and ORM; RESTful API design and implementation; Database management and security best practices</t>
        </is>
      </c>
    </row>
    <row r="113">
      <c r="A113" t="inlineStr">
        <is>
          <t>IXG-INC-260912-112</t>
        </is>
      </c>
      <c r="B113" t="inlineStr">
        <is>
          <t>IXG Inc</t>
        </is>
      </c>
      <c r="C113" t="inlineStr">
        <is>
          <t>AI-native Software Developer Intern</t>
        </is>
      </c>
      <c r="D113" t="inlineStr">
        <is>
          <t>https://www.adzuna.in/details/5605916596?utm_medium=api&amp;utm_source=5ccdc27f</t>
        </is>
      </c>
      <c r="E113" t="inlineStr">
        <is>
          <t>AI Analyzer</t>
        </is>
      </c>
      <c r="F113" t="inlineStr">
        <is>
          <t>Hyderabad, Telangana</t>
        </is>
      </c>
      <c r="G113" t="inlineStr">
        <is>
          <t>Unknown</t>
        </is>
      </c>
      <c r="H113" t="inlineStr">
        <is>
          <t>Not specified</t>
        </is>
      </c>
      <c r="I113" t="inlineStr">
        <is>
          <t>Unknown</t>
        </is>
      </c>
      <c r="J113" t="inlineStr">
        <is>
          <t>UNKNOWN</t>
        </is>
      </c>
      <c r="K113" t="inlineStr">
        <is>
          <t>Software Development; AI Agents</t>
        </is>
      </c>
      <c r="L113" t="inlineStr">
        <is>
          <t>High-agency execution</t>
        </is>
      </c>
      <c r="M113" t="inlineStr">
        <is>
          <t>AI-Native Software Developer Intern Build real AI agents used daily across the company We’re looking for a high-agency, AI-native software developer intern to help us build internal AI agents that improve productivity across our entire company (80–100 people using them daily). You will ship real systems , used by real teams, with real impact. If you’ve never built anything outside coursework, this</t>
        </is>
      </c>
      <c r="N113" t="n">
        <v>52</v>
      </c>
      <c r="O113" t="n">
        <v>20</v>
      </c>
      <c r="P113" t="n">
        <v>15</v>
      </c>
      <c r="Q113" t="n">
        <v>12</v>
      </c>
      <c r="R113" t="n">
        <v>0</v>
      </c>
      <c r="S113" t="n">
        <v>0</v>
      </c>
      <c r="T113" t="n">
        <v>5</v>
      </c>
      <c r="U113" t="inlineStr">
        <is>
          <t>SKIP</t>
        </is>
      </c>
      <c r="V113" t="inlineStr">
        <is>
          <t>SKIP</t>
        </is>
      </c>
      <c r="W113" t="inlineStr">
        <is>
          <t>AI agent building experience</t>
        </is>
      </c>
      <c r="X113" t="inlineStr">
        <is>
          <t>Default Full Stack / Software Engineering Resume</t>
        </is>
      </c>
      <c r="Y113" t="inlineStr">
        <is>
          <t>2026-09-12</t>
        </is>
      </c>
      <c r="Z113" t="inlineStr">
        <is>
          <t>Opportunity to build production AI agents for internal tooling.</t>
        </is>
      </c>
      <c r="AA113" t="inlineStr">
        <is>
          <t>ELIGIBLE</t>
        </is>
      </c>
      <c r="AB113" t="inlineStr">
        <is>
          <t>Candidate is an MCA student matching software engineering profile requirements.</t>
        </is>
      </c>
      <c r="AC113" t="inlineStr">
        <is>
          <t>UNKNOWN</t>
        </is>
      </c>
      <c r="AD113" t="inlineStr">
        <is>
          <t>Availability not specified in career brain.</t>
        </is>
      </c>
      <c r="AE113" t="inlineStr">
        <is>
          <t>UNKNOWN</t>
        </is>
      </c>
      <c r="AF113" t="n">
        <v>0</v>
      </c>
      <c r="AG113" t="inlineStr">
        <is>
          <t>No</t>
        </is>
      </c>
      <c r="AH113" t="inlineStr">
        <is>
          <t>UNKNOWN</t>
        </is>
      </c>
      <c r="AI113" t="inlineStr">
        <is>
          <t>Not mentioned in the job description snippet.</t>
        </is>
      </c>
      <c r="AK113" t="inlineStr">
        <is>
          <t>Incomplete job description text</t>
        </is>
      </c>
      <c r="AL113" t="inlineStr">
        <is>
          <t>AI agent architectures; Full-stack development experience; Production system deployment</t>
        </is>
      </c>
    </row>
    <row r="114">
      <c r="A114" t="inlineStr">
        <is>
          <t>MXPERTZ-INFO-260912-113</t>
        </is>
      </c>
      <c r="B114" t="inlineStr">
        <is>
          <t>Mxpertz Infolabs</t>
        </is>
      </c>
      <c r="C114" t="inlineStr">
        <is>
          <t>Junior Software Development Intern</t>
        </is>
      </c>
      <c r="D114" t="inlineStr">
        <is>
          <t>https://www.adzuna.in/details/5808698567?utm_medium=api&amp;utm_source=5ccdc27f</t>
        </is>
      </c>
      <c r="E114" t="inlineStr">
        <is>
          <t>AI Analyzer</t>
        </is>
      </c>
      <c r="F114" t="inlineStr">
        <is>
          <t>Indore, India</t>
        </is>
      </c>
      <c r="G114" t="inlineStr">
        <is>
          <t>In-office</t>
        </is>
      </c>
      <c r="I114" t="inlineStr">
        <is>
          <t>Full time</t>
        </is>
      </c>
      <c r="J114" t="inlineStr">
        <is>
          <t>NOT_MENTIONED</t>
        </is>
      </c>
      <c r="K114" t="inlineStr">
        <is>
          <t>Mobile app development; Android; iOS</t>
        </is>
      </c>
      <c r="M114" t="inlineStr">
        <is>
          <t>Responsibilities Developing Mobile apps for android and Ios Coordinating with the project management team to understand clients requirements and fulfilling it Keeping yourself updated with recent developments in the field so as to add more value to the company Coordinating with the testing team to remove all the bugs and issues in the application Who Can Apply Are available for full time inoffice</t>
        </is>
      </c>
      <c r="N114" t="n">
        <v>31</v>
      </c>
      <c r="O114" t="n">
        <v>30</v>
      </c>
      <c r="P114" t="n">
        <v>50</v>
      </c>
      <c r="Q114" t="n">
        <v>40</v>
      </c>
      <c r="R114" t="n">
        <v>0</v>
      </c>
      <c r="S114" t="n">
        <v>0</v>
      </c>
      <c r="T114" t="n">
        <v>40</v>
      </c>
      <c r="U114" t="inlineStr">
        <is>
          <t>SKIP</t>
        </is>
      </c>
      <c r="V114" t="inlineStr">
        <is>
          <t>SKIP</t>
        </is>
      </c>
      <c r="W114" t="inlineStr">
        <is>
          <t>Mobile app development; Android; iOS</t>
        </is>
      </c>
      <c r="X114" t="inlineStr">
        <is>
          <t>Amaanuddin_Ahmed_Default_Resume.pdf</t>
        </is>
      </c>
      <c r="Y114" t="inlineStr">
        <is>
          <t>2026-09-12</t>
        </is>
      </c>
      <c r="AA114" t="inlineStr">
        <is>
          <t>ELIGIBLE</t>
        </is>
      </c>
      <c r="AB114" t="inlineStr">
        <is>
          <t>Open to graduates and post graduates</t>
        </is>
      </c>
      <c r="AC114" t="inlineStr">
        <is>
          <t>UNKNOWN</t>
        </is>
      </c>
      <c r="AD114" t="inlineStr">
        <is>
          <t>Not specified in career brain</t>
        </is>
      </c>
      <c r="AE114" t="inlineStr">
        <is>
          <t>UNKNOWN</t>
        </is>
      </c>
      <c r="AF114" t="n">
        <v>0</v>
      </c>
      <c r="AG114" t="inlineStr">
        <is>
          <t>No</t>
        </is>
      </c>
      <c r="AH114" t="inlineStr">
        <is>
          <t>NOT_MENTIONED</t>
        </is>
      </c>
      <c r="AK114" t="inlineStr">
        <is>
          <t>Stipend not disclosed; PPO not mentioned; Role requires mobile app development (Android/iOS) which is outside primary focus</t>
        </is>
      </c>
      <c r="AL114" t="inlineStr">
        <is>
          <t>Mobile application development lifecycle; Android and iOS development fundamentals; Debugging and bug fixing processes</t>
        </is>
      </c>
    </row>
    <row r="115">
      <c r="A115" t="inlineStr">
        <is>
          <t>MIKO-GROUP-260912-114</t>
        </is>
      </c>
      <c r="B115" t="inlineStr">
        <is>
          <t>Miko Group</t>
        </is>
      </c>
      <c r="C115" t="inlineStr">
        <is>
          <t>Software Development Intern Backend</t>
        </is>
      </c>
      <c r="D115" t="inlineStr">
        <is>
          <t>https://www.adzuna.in/details/5827200415?utm_medium=api&amp;utm_source=5ccdc27f</t>
        </is>
      </c>
      <c r="E115" t="inlineStr">
        <is>
          <t>AI Analyzer</t>
        </is>
      </c>
      <c r="F115" t="inlineStr">
        <is>
          <t>Mumbai, Maharashtra</t>
        </is>
      </c>
      <c r="G115" t="inlineStr">
        <is>
          <t>Onsite</t>
        </is>
      </c>
      <c r="I115" t="inlineStr">
        <is>
          <t>6 Months to 1 Year</t>
        </is>
      </c>
      <c r="J115" t="inlineStr">
        <is>
          <t>UNKNOWN</t>
        </is>
      </c>
      <c r="K115" t="inlineStr">
        <is>
          <t>Backend Development; Software Development</t>
        </is>
      </c>
      <c r="L115" t="inlineStr">
        <is>
          <t>Robotics; AI</t>
        </is>
      </c>
      <c r="M115" t="inlineStr">
        <is>
          <t>Location Dadar Mumbai Onsite Remote Experience 6 Months 1 Year About Miko Miko is an advanced consumer robotics innovation lab focused on bringing Robotics and AI to every consumer home Founded by entrepreneurs from IIT Bombay Miko is a global deeptech company with offices in the US UK and India serving customers across 140 countries Our flagship product Miko 3 is an AIpowered learning robot desig</t>
        </is>
      </c>
      <c r="N115" t="n">
        <v>64</v>
      </c>
      <c r="O115" t="n">
        <v>24</v>
      </c>
      <c r="P115" t="n">
        <v>16</v>
      </c>
      <c r="Q115" t="n">
        <v>12</v>
      </c>
      <c r="R115" t="n">
        <v>5</v>
      </c>
      <c r="S115" t="n">
        <v>0</v>
      </c>
      <c r="T115" t="n">
        <v>7</v>
      </c>
      <c r="U115" t="inlineStr">
        <is>
          <t>STRETCH</t>
        </is>
      </c>
      <c r="V115" t="inlineStr">
        <is>
          <t>STRETCH</t>
        </is>
      </c>
      <c r="X115" t="inlineStr">
        <is>
          <t>Backend &amp; Full Stack Resume</t>
        </is>
      </c>
      <c r="Y115" t="inlineStr">
        <is>
          <t>2026-09-12</t>
        </is>
      </c>
      <c r="Z115" t="inlineStr">
        <is>
          <t>Aligns with backend development and software engineering targets; Good brand name in deeptech and robotics founded by IIT Bombay alumni</t>
        </is>
      </c>
      <c r="AA115" t="inlineStr">
        <is>
          <t>ELIGIBLE</t>
        </is>
      </c>
      <c r="AC115" t="inlineStr">
        <is>
          <t>UNKNOWN</t>
        </is>
      </c>
      <c r="AD115" t="inlineStr">
        <is>
          <t>Not specified</t>
        </is>
      </c>
      <c r="AE115" t="inlineStr">
        <is>
          <t>UNKNOWN</t>
        </is>
      </c>
      <c r="AF115" t="n">
        <v>0</v>
      </c>
      <c r="AG115" t="inlineStr">
        <is>
          <t>No</t>
        </is>
      </c>
      <c r="AH115" t="inlineStr">
        <is>
          <t>UNKNOWN</t>
        </is>
      </c>
      <c r="AI115" t="inlineStr">
        <is>
          <t>No explicit PPO or conversion mention in the description.</t>
        </is>
      </c>
      <c r="AK115" t="inlineStr">
        <is>
          <t>No stipend details provided</t>
        </is>
      </c>
      <c r="AL115" t="inlineStr">
        <is>
          <t>Backend system architecture; API design and development; Database management</t>
        </is>
      </c>
    </row>
    <row r="116">
      <c r="A116" t="inlineStr">
        <is>
          <t>RECOGNIZED-260912-115</t>
        </is>
      </c>
      <c r="B116" t="inlineStr">
        <is>
          <t>Recognized</t>
        </is>
      </c>
      <c r="C116" t="inlineStr">
        <is>
          <t>Software Development Intern Embedded QA</t>
        </is>
      </c>
      <c r="D116" t="inlineStr">
        <is>
          <t>https://www.adzuna.in/details/5808698574?utm_medium=api&amp;utm_source=5ccdc27f</t>
        </is>
      </c>
      <c r="E116" t="inlineStr">
        <is>
          <t>AI Analyzer</t>
        </is>
      </c>
      <c r="F116" t="inlineStr">
        <is>
          <t>Bangalore, Karnataka</t>
        </is>
      </c>
      <c r="G116" t="inlineStr">
        <is>
          <t>Unknown</t>
        </is>
      </c>
      <c r="H116" t="inlineStr">
        <is>
          <t>Not Specified</t>
        </is>
      </c>
      <c r="I116" t="inlineStr">
        <is>
          <t>Unknown</t>
        </is>
      </c>
      <c r="J116" t="inlineStr">
        <is>
          <t>Not Mentioned</t>
        </is>
      </c>
      <c r="K116" t="inlineStr">
        <is>
          <t>Embedded QA</t>
        </is>
      </c>
      <c r="L116" t="inlineStr">
        <is>
          <t>Software Development</t>
        </is>
      </c>
      <c r="M116" t="inlineStr">
        <is>
          <t>Company Overview Bose Qualified is a leader in the professional audio industry specializing in the design and manufacturing of cuttingedge audio solutions including loudspeakers amplifiers signal processing devices controls software and accessories As we continue to strengthen our team we are seeking a Software Development Intern Embedded QA to join us We have organized ourselves culturally around</t>
        </is>
      </c>
      <c r="N116" t="n">
        <v>38</v>
      </c>
      <c r="O116" t="n">
        <v>40</v>
      </c>
      <c r="P116" t="n">
        <v>50</v>
      </c>
      <c r="Q116" t="n">
        <v>40</v>
      </c>
      <c r="R116" t="n">
        <v>0</v>
      </c>
      <c r="S116" t="n">
        <v>0</v>
      </c>
      <c r="T116" t="n">
        <v>50</v>
      </c>
      <c r="U116" t="inlineStr">
        <is>
          <t>SKIP</t>
        </is>
      </c>
      <c r="V116" t="inlineStr">
        <is>
          <t>SKIP</t>
        </is>
      </c>
      <c r="W116" t="inlineStr">
        <is>
          <t>Embedded QA</t>
        </is>
      </c>
      <c r="X116" t="inlineStr">
        <is>
          <t>Default Full Stack / Software Engineering Resume</t>
        </is>
      </c>
      <c r="Y116" t="inlineStr">
        <is>
          <t>2026-09-12</t>
        </is>
      </c>
      <c r="Z116" t="inlineStr">
        <is>
          <t>Located in Bangalore; Internship opportunity</t>
        </is>
      </c>
      <c r="AA116" t="inlineStr">
        <is>
          <t>Eligible</t>
        </is>
      </c>
      <c r="AC116" t="inlineStr">
        <is>
          <t>Unknown</t>
        </is>
      </c>
      <c r="AD116" t="inlineStr">
        <is>
          <t>Not specified in candidate profile or job description</t>
        </is>
      </c>
      <c r="AE116" t="inlineStr">
        <is>
          <t>UNKNOWN</t>
        </is>
      </c>
      <c r="AF116" t="n">
        <v>0</v>
      </c>
      <c r="AG116" t="inlineStr">
        <is>
          <t>No</t>
        </is>
      </c>
      <c r="AH116" t="inlineStr">
        <is>
          <t>Not Mentioned</t>
        </is>
      </c>
      <c r="AI116" t="inlineStr">
        <is>
          <t>No mention of PPO or conversion in the job description.</t>
        </is>
      </c>
      <c r="AK116" t="inlineStr">
        <is>
          <t>Role focuses heavily on Embedded QA which deviates from core Software/Full Stack/Backend target roles; Stipend is not disclosed</t>
        </is>
      </c>
      <c r="AL116" t="inlineStr">
        <is>
          <t>Embedded QA testing concepts; Software development life cycle; Basic programming and debugging</t>
        </is>
      </c>
    </row>
    <row r="117">
      <c r="A117" t="inlineStr">
        <is>
          <t>RECOGNIZED-260912-116</t>
        </is>
      </c>
      <c r="B117" t="inlineStr">
        <is>
          <t>Recognized</t>
        </is>
      </c>
      <c r="C117" t="inlineStr">
        <is>
          <t>Software Development Intern Embedded QA</t>
        </is>
      </c>
      <c r="D117" t="inlineStr">
        <is>
          <t>https://www.adzuna.in/details/5827200163?utm_medium=api&amp;utm_source=5ccdc27f</t>
        </is>
      </c>
      <c r="E117" t="inlineStr">
        <is>
          <t>AI Analyzer</t>
        </is>
      </c>
      <c r="F117" t="inlineStr">
        <is>
          <t>Bangalore, Karnataka</t>
        </is>
      </c>
      <c r="G117" t="inlineStr">
        <is>
          <t>UNKNOWN</t>
        </is>
      </c>
      <c r="H117" t="inlineStr">
        <is>
          <t>Not Specified</t>
        </is>
      </c>
      <c r="I117" t="inlineStr">
        <is>
          <t>UNKNOWN</t>
        </is>
      </c>
      <c r="J117" t="inlineStr">
        <is>
          <t>NOT MENTIONED</t>
        </is>
      </c>
      <c r="K117" t="inlineStr">
        <is>
          <t>Embedded QA; Software Development</t>
        </is>
      </c>
      <c r="L117" t="inlineStr">
        <is>
          <t>Audio solutions; Signal processing</t>
        </is>
      </c>
      <c r="M117" t="inlineStr">
        <is>
          <t>Company Overview Bose Qualified is a leader in the professional audio industry specializing in the design and manufacturing of cuttingedge audio solutions including loudspeakers amplifiers signal processing devices controls software and accessories As we continue to strengthen our team we are seeking a Software Development Intern Embedded QA to join us We have organized ourselves culturally around</t>
        </is>
      </c>
      <c r="N117" t="n">
        <v>26</v>
      </c>
      <c r="O117" t="n">
        <v>20</v>
      </c>
      <c r="P117" t="n">
        <v>50</v>
      </c>
      <c r="Q117" t="n">
        <v>20</v>
      </c>
      <c r="R117" t="n">
        <v>0</v>
      </c>
      <c r="S117" t="n">
        <v>0</v>
      </c>
      <c r="T117" t="n">
        <v>40</v>
      </c>
      <c r="U117" t="inlineStr">
        <is>
          <t>SKIP</t>
        </is>
      </c>
      <c r="V117" t="inlineStr">
        <is>
          <t>SKIP</t>
        </is>
      </c>
      <c r="W117" t="inlineStr">
        <is>
          <t>Embedded QA</t>
        </is>
      </c>
      <c r="X117" t="inlineStr">
        <is>
          <t>Amaanuddin_Ahmed_General_Software_Resume.pdf</t>
        </is>
      </c>
      <c r="Y117" t="inlineStr">
        <is>
          <t>2026-09-12</t>
        </is>
      </c>
      <c r="AA117" t="inlineStr">
        <is>
          <t>ELIGIBLE</t>
        </is>
      </c>
      <c r="AB117" t="inlineStr">
        <is>
          <t>No explicit degree or hard blockers specified in the snippet.</t>
        </is>
      </c>
      <c r="AC117" t="inlineStr">
        <is>
          <t>UNKNOWN</t>
        </is>
      </c>
      <c r="AD117" t="inlineStr">
        <is>
          <t>Candidate availability details are not provided in the career brain.</t>
        </is>
      </c>
      <c r="AE117" t="inlineStr">
        <is>
          <t>UNKNOWN</t>
        </is>
      </c>
      <c r="AF117" t="n">
        <v>0</v>
      </c>
      <c r="AG117" t="inlineStr">
        <is>
          <t>No</t>
        </is>
      </c>
      <c r="AH117" t="inlineStr">
        <is>
          <t>NOT MENTIONED</t>
        </is>
      </c>
      <c r="AI117" t="inlineStr">
        <is>
          <t>No mention of PPO or conversion in the job description snippet.</t>
        </is>
      </c>
      <c r="AK117" t="inlineStr">
        <is>
          <t>Role is focused on Embedded QA which diverges from target software/backend/full-stack development roles.</t>
        </is>
      </c>
      <c r="AL117" t="inlineStr">
        <is>
          <t>Embedded systems testing; QA methodologies; Audio software basics</t>
        </is>
      </c>
    </row>
    <row r="118">
      <c r="A118" t="inlineStr">
        <is>
          <t>BOSE-PROFESS-260912-117</t>
        </is>
      </c>
      <c r="B118" t="inlineStr">
        <is>
          <t>Bose Professional</t>
        </is>
      </c>
      <c r="C118" t="inlineStr">
        <is>
          <t>Software Development Intern Embedded QA</t>
        </is>
      </c>
      <c r="D118" t="inlineStr">
        <is>
          <t>https://www.adzuna.in/details/5863636262?utm_medium=api&amp;utm_source=5ccdc27f</t>
        </is>
      </c>
      <c r="E118" t="inlineStr">
        <is>
          <t>AI Analyzer</t>
        </is>
      </c>
      <c r="F118" t="inlineStr">
        <is>
          <t>Mangalore, Dakshin Kannada</t>
        </is>
      </c>
      <c r="G118" t="inlineStr">
        <is>
          <t>UNKNOWN</t>
        </is>
      </c>
      <c r="H118" t="inlineStr">
        <is>
          <t>Not specified</t>
        </is>
      </c>
      <c r="I118" t="inlineStr">
        <is>
          <t>UNKNOWN</t>
        </is>
      </c>
      <c r="J118" t="inlineStr">
        <is>
          <t>UNKNOWN</t>
        </is>
      </c>
      <c r="K118" t="inlineStr">
        <is>
          <t>Embedded QA; Software Development</t>
        </is>
      </c>
      <c r="M118" t="inlineStr">
        <is>
          <t>Company Overview Bose Professional is a leader in the qualified audio industry specializing in the design and manufacturing of cuttingedge audio solutions including loudspeakers amplifiers signal processing devices controls software and accessories As we continue to strengthen our team we are seeking a Software Development Intern Embedded QA to join us We have organized ourselves culturally around</t>
        </is>
      </c>
      <c r="N118" t="n">
        <v>14</v>
      </c>
      <c r="O118" t="n">
        <v>20</v>
      </c>
      <c r="P118" t="n">
        <v>20</v>
      </c>
      <c r="Q118" t="n">
        <v>10</v>
      </c>
      <c r="R118" t="n">
        <v>0</v>
      </c>
      <c r="S118" t="n">
        <v>0</v>
      </c>
      <c r="T118" t="n">
        <v>30</v>
      </c>
      <c r="U118" t="inlineStr">
        <is>
          <t>SKIP</t>
        </is>
      </c>
      <c r="V118" t="inlineStr">
        <is>
          <t>SKIP</t>
        </is>
      </c>
      <c r="W118" t="inlineStr">
        <is>
          <t>Embedded QA</t>
        </is>
      </c>
      <c r="X118" t="inlineStr">
        <is>
          <t>Default Software Engineering Resume</t>
        </is>
      </c>
      <c r="Y118" t="inlineStr">
        <is>
          <t>2026-09-12</t>
        </is>
      </c>
      <c r="AA118" t="inlineStr">
        <is>
          <t>ELIGIBLE</t>
        </is>
      </c>
      <c r="AB118" t="inlineStr">
        <is>
          <t>No explicit degree or hard eligibility blockers stated in the snippet</t>
        </is>
      </c>
      <c r="AC118" t="inlineStr">
        <is>
          <t>UNKNOWN</t>
        </is>
      </c>
      <c r="AD118" t="inlineStr">
        <is>
          <t>Availability not specified in career brain</t>
        </is>
      </c>
      <c r="AE118" t="inlineStr">
        <is>
          <t>UNKNOWN</t>
        </is>
      </c>
      <c r="AF118" t="n">
        <v>0</v>
      </c>
      <c r="AG118" t="inlineStr">
        <is>
          <t>No</t>
        </is>
      </c>
      <c r="AH118" t="inlineStr">
        <is>
          <t>UNKNOWN</t>
        </is>
      </c>
      <c r="AI118" t="inlineStr">
        <is>
          <t>Not mentioned in the job description snippet</t>
        </is>
      </c>
      <c r="AJ118" t="inlineStr">
        <is>
          <t>Role is focused on Embedded QA which does not align with Amaan's target software engineering domains</t>
        </is>
      </c>
      <c r="AK118" t="inlineStr">
        <is>
          <t>Location is Mangalore, which may require relocation or onsite presence; Stipend is not disclosed</t>
        </is>
      </c>
      <c r="AL118" t="inlineStr">
        <is>
          <t>Embedded systems testing; Quality assurance methodologies; Software development life cycle</t>
        </is>
      </c>
    </row>
    <row r="119">
      <c r="A119" t="inlineStr">
        <is>
          <t>FCC-260912-118</t>
        </is>
      </c>
      <c r="B119" t="inlineStr">
        <is>
          <t>FcC</t>
        </is>
      </c>
      <c r="C119" t="inlineStr">
        <is>
          <t>Full Stack Software Developer Intern</t>
        </is>
      </c>
      <c r="D119" t="inlineStr">
        <is>
          <t>https://www.adzuna.in/details/5845820612?utm_medium=api&amp;utm_source=5ccdc27f</t>
        </is>
      </c>
      <c r="E119" t="inlineStr">
        <is>
          <t>AI Analyzer</t>
        </is>
      </c>
      <c r="F119" t="inlineStr">
        <is>
          <t>Delhi, India</t>
        </is>
      </c>
      <c r="G119" t="inlineStr">
        <is>
          <t>Remote</t>
        </is>
      </c>
      <c r="H119" t="inlineStr">
        <is>
          <t>Unpaid</t>
        </is>
      </c>
      <c r="I119" t="inlineStr">
        <is>
          <t>6 Months</t>
        </is>
      </c>
      <c r="J119" t="inlineStr">
        <is>
          <t>NOT_MENTIONED</t>
        </is>
      </c>
      <c r="K119" t="inlineStr">
        <is>
          <t>Frontend; Backend; Databases; APIs; Authentication; Deployment</t>
        </is>
      </c>
      <c r="M119" t="inlineStr">
        <is>
          <t>Full Stack Software Developer Intern FcC Fluency Convenience Consistency Remote India About the Job Internship Type Unpaid Internship Duration 6 Months Mode Remote Joining Immediate Stipend unpaid Working Hours 4045 hours per week About the Role FcC is looking for a passionate and motivated Full Stack Software Developer Intern to join our technology team and help build and improve our EdTech platf</t>
        </is>
      </c>
      <c r="N119" t="n">
        <v>58</v>
      </c>
      <c r="O119" t="n">
        <v>90</v>
      </c>
      <c r="P119" t="n">
        <v>80</v>
      </c>
      <c r="Q119" t="n">
        <v>90</v>
      </c>
      <c r="R119" t="n">
        <v>0</v>
      </c>
      <c r="S119" t="n">
        <v>0</v>
      </c>
      <c r="T119" t="n">
        <v>30</v>
      </c>
      <c r="U119" t="inlineStr">
        <is>
          <t>SKIP</t>
        </is>
      </c>
      <c r="V119" t="inlineStr">
        <is>
          <t>SKIP</t>
        </is>
      </c>
      <c r="X119" t="inlineStr">
        <is>
          <t>Amaanuddin_Ahmed_Full_Stack_Resume.pdf</t>
        </is>
      </c>
      <c r="Y119" t="inlineStr">
        <is>
          <t>2026-09-12</t>
        </is>
      </c>
      <c r="Z119" t="inlineStr">
        <is>
          <t>Good technical stack alignment with full-stack development.</t>
        </is>
      </c>
      <c r="AA119" t="inlineStr">
        <is>
          <t>ELIGIBLE</t>
        </is>
      </c>
      <c r="AB119" t="inlineStr">
        <is>
          <t>No specific college degree or graduation year hard blocks found in the description.</t>
        </is>
      </c>
      <c r="AC119" t="inlineStr">
        <is>
          <t>UNKNOWN</t>
        </is>
      </c>
      <c r="AD119" t="inlineStr">
        <is>
          <t>Immediate joining requirement is mentioned, but exact candidate availability dates are not specified in the career brain.</t>
        </is>
      </c>
      <c r="AE119" t="inlineStr">
        <is>
          <t>UNPAID</t>
        </is>
      </c>
      <c r="AF119" t="n">
        <v>0</v>
      </c>
      <c r="AG119" t="inlineStr">
        <is>
          <t>No</t>
        </is>
      </c>
      <c r="AH119" t="inlineStr">
        <is>
          <t>NOT_MENTIONED</t>
        </is>
      </c>
      <c r="AI119" t="inlineStr">
        <is>
          <t>No mention of PPO or conversion to a full-time role in the job description.</t>
        </is>
      </c>
      <c r="AJ119" t="inlineStr">
        <is>
          <t>Unpaid internship does not meet the minimum stipend target of ₹25,000/month.</t>
        </is>
      </c>
      <c r="AK119" t="inlineStr">
        <is>
          <t>Unpaid internship position with 40-45 hours per week of work.</t>
        </is>
      </c>
      <c r="AL119" t="inlineStr">
        <is>
          <t>MERN Stack Architecture; API Design and Authentication; Deployment and Database Management</t>
        </is>
      </c>
    </row>
    <row r="120">
      <c r="A120" t="inlineStr">
        <is>
          <t>CASTUS-INFO-260912-119</t>
        </is>
      </c>
      <c r="B120" t="inlineStr">
        <is>
          <t>Castus Info</t>
        </is>
      </c>
      <c r="C120" t="inlineStr">
        <is>
          <t>Software Developer Intern React Js Developer</t>
        </is>
      </c>
      <c r="D120" t="inlineStr">
        <is>
          <t>https://www.adzuna.in/details/5827200181?utm_medium=api&amp;utm_source=5ccdc27f</t>
        </is>
      </c>
      <c r="E120" t="inlineStr">
        <is>
          <t>AI Analyzer</t>
        </is>
      </c>
      <c r="F120" t="inlineStr">
        <is>
          <t>Hyderabad, Telangana</t>
        </is>
      </c>
      <c r="G120" t="inlineStr">
        <is>
          <t>Unknown</t>
        </is>
      </c>
      <c r="H120" t="inlineStr">
        <is>
          <t>Not specified</t>
        </is>
      </c>
      <c r="I120" t="inlineStr">
        <is>
          <t>Unknown</t>
        </is>
      </c>
      <c r="J120" t="inlineStr">
        <is>
          <t>Not Mentioned</t>
        </is>
      </c>
      <c r="K120" t="inlineStr">
        <is>
          <t>React.js; Modern JavaScript; ES6; Frontend Development; Web APIs</t>
        </is>
      </c>
      <c r="L120" t="inlineStr">
        <is>
          <t>Unit test automation</t>
        </is>
      </c>
      <c r="M120" t="inlineStr">
        <is>
          <t>Job Description Successful Candidates Should Have We are looking for React js developers with good knowledge of modern JavaScript with ES6 Working mainly on the frontend part of application wherein you will build userfacing components interfacing with Web APIs Your primary task is to develop a stable robust aesthetic and maintainable product Your knowledge on standard development processes with ab</t>
        </is>
      </c>
      <c r="N120" t="n">
        <v>57</v>
      </c>
      <c r="O120" t="n">
        <v>24</v>
      </c>
      <c r="P120" t="n">
        <v>16</v>
      </c>
      <c r="Q120" t="n">
        <v>12</v>
      </c>
      <c r="R120" t="n">
        <v>0</v>
      </c>
      <c r="S120" t="n">
        <v>0</v>
      </c>
      <c r="T120" t="n">
        <v>5</v>
      </c>
      <c r="U120" t="inlineStr">
        <is>
          <t>SKIP</t>
        </is>
      </c>
      <c r="V120" t="inlineStr">
        <is>
          <t>SKIP</t>
        </is>
      </c>
      <c r="X120" t="inlineStr">
        <is>
          <t>Amaanuddin_Ahmed_Frontend_Resume.pdf</t>
        </is>
      </c>
      <c r="Y120" t="inlineStr">
        <is>
          <t>2026-09-12</t>
        </is>
      </c>
      <c r="Z120" t="inlineStr">
        <is>
          <t>Good match for React.js and modern JavaScript frontend development.</t>
        </is>
      </c>
      <c r="AA120" t="inlineStr">
        <is>
          <t>Eligible</t>
        </is>
      </c>
      <c r="AB120" t="inlineStr">
        <is>
          <t>No explicit graduation year or degree blockers mentioned in the snippet.</t>
        </is>
      </c>
      <c r="AC120" t="inlineStr">
        <is>
          <t>Unknown</t>
        </is>
      </c>
      <c r="AD120" t="inlineStr">
        <is>
          <t>Not specified in candidate profile or job description.</t>
        </is>
      </c>
      <c r="AE120" t="inlineStr">
        <is>
          <t>UNKNOWN</t>
        </is>
      </c>
      <c r="AF120" t="n">
        <v>0</v>
      </c>
      <c r="AG120" t="inlineStr">
        <is>
          <t>No</t>
        </is>
      </c>
      <c r="AH120" t="inlineStr">
        <is>
          <t>Not Mentioned</t>
        </is>
      </c>
      <c r="AI120" t="inlineStr">
        <is>
          <t>No mention of PPO or conversion to full-time in the job description.</t>
        </is>
      </c>
      <c r="AK120" t="inlineStr">
        <is>
          <t>Stipend details not provided; PPO possibility not mentioned</t>
        </is>
      </c>
      <c r="AL120" t="inlineStr">
        <is>
          <t>React.js component lifecycle and hooks; Modern JavaScript ES6 features; State management in React; Consuming Web APIs from frontend</t>
        </is>
      </c>
    </row>
    <row r="121">
      <c r="A121" t="inlineStr">
        <is>
          <t>COGNIC-SYSTE-260912-120</t>
        </is>
      </c>
      <c r="B121" t="inlineStr">
        <is>
          <t>Cognic Systems Pvt Ltd</t>
        </is>
      </c>
      <c r="C121" t="inlineStr">
        <is>
          <t>Software Development Intern</t>
        </is>
      </c>
      <c r="D121" t="inlineStr">
        <is>
          <t>https://www.adzuna.in/details/5503837657?utm_medium=api&amp;utm_source=5ccdc27f</t>
        </is>
      </c>
      <c r="E121" t="inlineStr">
        <is>
          <t>AI Analyzer</t>
        </is>
      </c>
      <c r="F121" t="inlineStr">
        <is>
          <t>Jabalpur, India</t>
        </is>
      </c>
      <c r="G121" t="inlineStr">
        <is>
          <t>UNKNOWN</t>
        </is>
      </c>
      <c r="H121" t="inlineStr">
        <is>
          <t>Not specified</t>
        </is>
      </c>
      <c r="I121" t="inlineStr">
        <is>
          <t>3-6 months</t>
        </is>
      </c>
      <c r="J121" t="inlineStr">
        <is>
          <t>YES</t>
        </is>
      </c>
      <c r="K121" t="inlineStr">
        <is>
          <t>Software Development</t>
        </is>
      </c>
      <c r="M121" t="inlineStr">
        <is>
          <t>Internship Opportunity for MCA Students: Software Development Intern Company: Cognic Systems Location: Jabalpur Duration: 3-6 months (with company-sponsored training) Type: Internship with a potential full-time offer Are you an MCA student in Jabalpur looking to launch your career in technology? Cognic Systems is offering a unique internship designed to transform your academic knowledge into pract</t>
        </is>
      </c>
      <c r="N121" t="n">
        <v>72</v>
      </c>
      <c r="O121" t="n">
        <v>70</v>
      </c>
      <c r="P121" t="n">
        <v>80</v>
      </c>
      <c r="Q121" t="n">
        <v>80</v>
      </c>
      <c r="R121" t="n">
        <v>90</v>
      </c>
      <c r="S121" t="n">
        <v>40</v>
      </c>
      <c r="T121" t="n">
        <v>60</v>
      </c>
      <c r="U121" t="inlineStr">
        <is>
          <t>CONSIDER</t>
        </is>
      </c>
      <c r="V121" t="inlineStr">
        <is>
          <t>CONSIDER</t>
        </is>
      </c>
      <c r="X121" t="inlineStr">
        <is>
          <t>Amaanuddin_Ahmed_Full_Stack_Resume.pdf</t>
        </is>
      </c>
      <c r="Y121" t="inlineStr">
        <is>
          <t>2026-09-12</t>
        </is>
      </c>
      <c r="Z121" t="inlineStr">
        <is>
          <t>Explicitly targets MCA students; Offers potential full-time conversion (PPO); Aligns with Software Engineering target roles</t>
        </is>
      </c>
      <c r="AA121" t="inlineStr">
        <is>
          <t>ELIGIBLE</t>
        </is>
      </c>
      <c r="AB121" t="inlineStr">
        <is>
          <t>Candidate is an MCA student, meeting the specific MCA student requirement.</t>
        </is>
      </c>
      <c r="AC121" t="inlineStr">
        <is>
          <t>UNKNOWN</t>
        </is>
      </c>
      <c r="AD121" t="inlineStr">
        <is>
          <t>Availability not explicitly specified in candidate profile.</t>
        </is>
      </c>
      <c r="AE121" t="inlineStr">
        <is>
          <t>UNKNOWN</t>
        </is>
      </c>
      <c r="AF121" t="n">
        <v>0</v>
      </c>
      <c r="AG121" t="inlineStr">
        <is>
          <t>No</t>
        </is>
      </c>
      <c r="AH121" t="inlineStr">
        <is>
          <t>YES</t>
        </is>
      </c>
      <c r="AI121" t="inlineStr">
        <is>
          <t>Internship with a potential full-time offer</t>
        </is>
      </c>
      <c r="AK121" t="inlineStr">
        <is>
          <t>Unspecified stipend; Company-sponsored training mentioned which may indicate training fees</t>
        </is>
      </c>
      <c r="AL121" t="inlineStr">
        <is>
          <t>Basic Software Engineering Concepts; MCA Academic Projects; Internship Terms and Potential PPO Details</t>
        </is>
      </c>
    </row>
    <row r="122">
      <c r="A122" t="inlineStr">
        <is>
          <t>ALGEBRA-SOFT-260912-121</t>
        </is>
      </c>
      <c r="B122" t="inlineStr">
        <is>
          <t>Algebra Softech</t>
        </is>
      </c>
      <c r="C122" t="inlineStr">
        <is>
          <t>Full Stack Developer Intern</t>
        </is>
      </c>
      <c r="D122" t="inlineStr">
        <is>
          <t>https://www.adzuna.in/details/5680028572?utm_medium=api&amp;utm_source=5ccdc27f</t>
        </is>
      </c>
      <c r="E122" t="inlineStr">
        <is>
          <t>AI Analyzer</t>
        </is>
      </c>
      <c r="F122" t="inlineStr">
        <is>
          <t>Indore, Madhya Pradesh</t>
        </is>
      </c>
      <c r="G122" t="inlineStr">
        <is>
          <t>On-site</t>
        </is>
      </c>
      <c r="H122" t="inlineStr">
        <is>
          <t>Unpaid Internship</t>
        </is>
      </c>
      <c r="I122" t="inlineStr">
        <is>
          <t>3-6 Months</t>
        </is>
      </c>
      <c r="J122" t="inlineStr">
        <is>
          <t>Not Mentioned</t>
        </is>
      </c>
      <c r="K122" t="inlineStr">
        <is>
          <t>React.js; Node.js; MongoDB; Express.js</t>
        </is>
      </c>
      <c r="M122" t="inlineStr">
        <is>
          <t>Location: Indore Position: Full Stack Developer Intern Type: Unpaid Internship Duration: 3–6 Months Role Overview We are looking for enthusiastic and passionate Full Stack Developer Interns who are eager to learn, build real-world projects, and gain hands-on experience in a professional environment. ✅ Key Responsibilities Assist in developing web applications (Frontend Backend) Work with technolog</t>
        </is>
      </c>
      <c r="N122" t="n">
        <v>58</v>
      </c>
      <c r="O122" t="n">
        <v>100</v>
      </c>
      <c r="P122" t="n">
        <v>100</v>
      </c>
      <c r="Q122" t="n">
        <v>100</v>
      </c>
      <c r="R122" t="n">
        <v>0</v>
      </c>
      <c r="S122" t="n">
        <v>0</v>
      </c>
      <c r="T122" t="n">
        <v>30</v>
      </c>
      <c r="U122" t="inlineStr">
        <is>
          <t>SKIP</t>
        </is>
      </c>
      <c r="V122" t="inlineStr">
        <is>
          <t>SKIP</t>
        </is>
      </c>
      <c r="X122" t="inlineStr">
        <is>
          <t>Amaanuddin_Ahmed_MERN_Resume.pdf</t>
        </is>
      </c>
      <c r="Y122" t="inlineStr">
        <is>
          <t>2026-09-12</t>
        </is>
      </c>
      <c r="Z122" t="inlineStr">
        <is>
          <t>Matches all required MERN stack technical skills perfectly; Good opportunity for hands-on web development experience</t>
        </is>
      </c>
      <c r="AA122" t="inlineStr">
        <is>
          <t>Eligible</t>
        </is>
      </c>
      <c r="AB122" t="inlineStr">
        <is>
          <t>No specific degree or experience blockers mentioned in the description</t>
        </is>
      </c>
      <c r="AC122" t="inlineStr">
        <is>
          <t>Unknown</t>
        </is>
      </c>
      <c r="AD122" t="inlineStr">
        <is>
          <t>Candidate availability details are not provided</t>
        </is>
      </c>
      <c r="AE122" t="inlineStr">
        <is>
          <t>Unpaid</t>
        </is>
      </c>
      <c r="AF122" t="n">
        <v>0</v>
      </c>
      <c r="AG122" t="inlineStr">
        <is>
          <t>No</t>
        </is>
      </c>
      <c r="AH122" t="inlineStr">
        <is>
          <t>Not Mentioned</t>
        </is>
      </c>
      <c r="AI122" t="inlineStr">
        <is>
          <t>No mention of PPO or conversion in the job description</t>
        </is>
      </c>
      <c r="AJ122" t="inlineStr">
        <is>
          <t>Unpaid internship does not meet the minimum stipend target of ₹25,000/month</t>
        </is>
      </c>
      <c r="AK122" t="inlineStr">
        <is>
          <t>Unpaid internship; Remote/On-site work mode is location-bound to Indore</t>
        </is>
      </c>
      <c r="AL122" t="inlineStr">
        <is>
          <t>React.js state management and hooks; Node.js and Express.js REST API creation; MongoDB schema design and queries; Debugging and testing web applications</t>
        </is>
      </c>
    </row>
    <row r="123">
      <c r="A123" t="inlineStr">
        <is>
          <t>PLETRA-TECHN-260912-122</t>
        </is>
      </c>
      <c r="B123" t="inlineStr">
        <is>
          <t>Pletra Technologies Ind. Pvt. Ltd.</t>
        </is>
      </c>
      <c r="C123" t="inlineStr">
        <is>
          <t>Full Stack Developer (Intern)</t>
        </is>
      </c>
      <c r="D123" t="inlineStr">
        <is>
          <t>https://www.adzuna.in/details/4686704239?utm_medium=api&amp;utm_source=5ccdc27f</t>
        </is>
      </c>
      <c r="E123" t="inlineStr">
        <is>
          <t>AI Analyzer</t>
        </is>
      </c>
      <c r="F123" t="inlineStr">
        <is>
          <t>Pune, Maharashtra</t>
        </is>
      </c>
      <c r="G123" t="inlineStr">
        <is>
          <t>Unknown</t>
        </is>
      </c>
      <c r="H123" t="inlineStr">
        <is>
          <t>6 to 8 K PM</t>
        </is>
      </c>
      <c r="I123" t="inlineStr">
        <is>
          <t>Unknown</t>
        </is>
      </c>
      <c r="J123" t="inlineStr">
        <is>
          <t>Not Mentioned</t>
        </is>
      </c>
      <c r="K123" t="inlineStr">
        <is>
          <t>React JS; React Native; Spring-Boot; Spring Cloud; Docker; Kubernetes; Java</t>
        </is>
      </c>
      <c r="M123" t="inlineStr">
        <is>
          <t>FULL STACK DEVELOPER (INTERNS) Skill- React JS/React Native/Spring-Boot/ Spring Cloud, Docker, Kubernetes, Java Experience Range: Fresher’s Location: Clover Hills Plaza, NIBM Road, Pune Education: BCA , BE , BSc(IT/CS) , BTech , MCA , MSc(IT/CS) , MTech. Stipend – 6 to 8 K PM Job Description: We are hiring Fresher trained resources in FULL Stack Technologies &amp; UI/UX (React JS / Native) developer t</t>
        </is>
      </c>
      <c r="N123" t="n">
        <v>50</v>
      </c>
      <c r="O123" t="n">
        <v>50</v>
      </c>
      <c r="P123" t="n">
        <v>90</v>
      </c>
      <c r="Q123" t="n">
        <v>70</v>
      </c>
      <c r="R123" t="n">
        <v>0</v>
      </c>
      <c r="S123" t="n">
        <v>10</v>
      </c>
      <c r="T123" t="n">
        <v>40</v>
      </c>
      <c r="U123" t="inlineStr">
        <is>
          <t>SKIP</t>
        </is>
      </c>
      <c r="V123" t="inlineStr">
        <is>
          <t>SKIP</t>
        </is>
      </c>
      <c r="W123" t="inlineStr">
        <is>
          <t>React Native; Spring-Boot; Spring Cloud; Docker; Kubernetes</t>
        </is>
      </c>
      <c r="X123" t="inlineStr">
        <is>
          <t>Default Full Stack Resume</t>
        </is>
      </c>
      <c r="Y123" t="inlineStr">
        <is>
          <t>2026-09-12</t>
        </is>
      </c>
      <c r="Z123" t="inlineStr">
        <is>
          <t>Candidate meets educational and fresher requirements for MCA</t>
        </is>
      </c>
      <c r="AA123" t="inlineStr">
        <is>
          <t>Eligible</t>
        </is>
      </c>
      <c r="AB123" t="inlineStr">
        <is>
          <t>MCA degree is explicitly included in the education requirements; Fresher's are eligible</t>
        </is>
      </c>
      <c r="AC123" t="inlineStr">
        <is>
          <t>Unknown</t>
        </is>
      </c>
      <c r="AD123" t="inlineStr">
        <is>
          <t>Candidate availability date not specified in Career Brain</t>
        </is>
      </c>
      <c r="AE123" t="inlineStr">
        <is>
          <t>Below Target</t>
        </is>
      </c>
      <c r="AF123" t="n">
        <v>6000</v>
      </c>
      <c r="AG123" t="inlineStr">
        <is>
          <t>No</t>
        </is>
      </c>
      <c r="AH123" t="inlineStr">
        <is>
          <t>Not Mentioned</t>
        </is>
      </c>
      <c r="AI123" t="inlineStr">
        <is>
          <t>No mention of PPO or conversion in the job description</t>
        </is>
      </c>
      <c r="AK123" t="inlineStr">
        <is>
          <t>Stipend (6-8K PM) is significantly below the candidate's minimum target of 25,000 INR per month</t>
        </is>
      </c>
      <c r="AL123" t="inlineStr">
        <is>
          <t>React JS fundamentals; Java and Spring Boot basics; Containerization concepts with Docker; Previous project walkthrough</t>
        </is>
      </c>
    </row>
    <row r="124">
      <c r="A124" t="inlineStr">
        <is>
          <t>PITCHLINE-260912-123</t>
        </is>
      </c>
      <c r="B124" t="inlineStr">
        <is>
          <t>Pitchline</t>
        </is>
      </c>
      <c r="C124" t="inlineStr">
        <is>
          <t>Full Stack Developer Intern</t>
        </is>
      </c>
      <c r="D124" t="inlineStr">
        <is>
          <t>https://www.adzuna.in/details/5420122532?utm_medium=api&amp;utm_source=5ccdc27f</t>
        </is>
      </c>
      <c r="E124" t="inlineStr">
        <is>
          <t>AI Analyzer</t>
        </is>
      </c>
      <c r="F124" t="inlineStr">
        <is>
          <t>India</t>
        </is>
      </c>
      <c r="G124" t="inlineStr">
        <is>
          <t>Remote</t>
        </is>
      </c>
      <c r="H124" t="inlineStr">
        <is>
          <t>₹20,000 - ₹30,000/month</t>
        </is>
      </c>
      <c r="I124" t="inlineStr">
        <is>
          <t>3 months</t>
        </is>
      </c>
      <c r="J124" t="inlineStr">
        <is>
          <t>NOT_MENTIONED</t>
        </is>
      </c>
      <c r="K124" t="inlineStr">
        <is>
          <t>Full Stack Development; React.js; Node.js</t>
        </is>
      </c>
      <c r="L124" t="inlineStr">
        <is>
          <t>AI-powered web app exposure; Conversational UI</t>
        </is>
      </c>
      <c r="M124" t="inlineStr">
        <is>
          <t>Full Stack Developer Internship – (Remote) Pay: ₹20,000 - ₹30,000/month | Duration: 3 months We’re building Pitchline - a voice based conversational sales AI agent, an ambitious AI-powered web app aimed at solving meaningful problems in the B2B space. It’s currently in MVP stage and has strong early demand. I’m looking for a hands-on an Full Stack Developer Intern who can work closely with me to b</t>
        </is>
      </c>
      <c r="N124" t="n">
        <v>78</v>
      </c>
      <c r="O124" t="n">
        <v>25</v>
      </c>
      <c r="P124" t="n">
        <v>18</v>
      </c>
      <c r="Q124" t="n">
        <v>15</v>
      </c>
      <c r="R124" t="n">
        <v>5</v>
      </c>
      <c r="S124" t="n">
        <v>7</v>
      </c>
      <c r="T124" t="n">
        <v>8</v>
      </c>
      <c r="U124" t="inlineStr">
        <is>
          <t>CONSIDER</t>
        </is>
      </c>
      <c r="V124" t="inlineStr">
        <is>
          <t>CONSIDER</t>
        </is>
      </c>
      <c r="W124" t="inlineStr">
        <is>
          <t>Voice-based conversational AI agent integration</t>
        </is>
      </c>
      <c r="X124" t="inlineStr">
        <is>
          <t>Amaanuddin_Ahmed_Full_Stack_Resume.pdf</t>
        </is>
      </c>
      <c r="Y124" t="inlineStr">
        <is>
          <t>2026-09-12</t>
        </is>
      </c>
      <c r="Z124" t="inlineStr">
        <is>
          <t>Early stage MVP building experience with AI-powered web apps; Strong match for Full Stack Developer role using React and Node; Remote work mode</t>
        </is>
      </c>
      <c r="AA124" t="inlineStr">
        <is>
          <t>ELIGIBLE</t>
        </is>
      </c>
      <c r="AB124" t="inlineStr">
        <is>
          <t>Candidate is an MCA student matching full-stack profile requirements; No degree or graduation year hard blockers mentioned in the JD</t>
        </is>
      </c>
      <c r="AC124" t="inlineStr">
        <is>
          <t>UNKNOWN</t>
        </is>
      </c>
      <c r="AD124" t="inlineStr">
        <is>
          <t>Candidate availability dates are not specified in the career brain</t>
        </is>
      </c>
      <c r="AE124" t="inlineStr">
        <is>
          <t>EXPLICIT</t>
        </is>
      </c>
      <c r="AF124" t="n">
        <v>20000</v>
      </c>
      <c r="AG124" t="inlineStr">
        <is>
          <t>No</t>
        </is>
      </c>
      <c r="AH124" t="inlineStr">
        <is>
          <t>NOT_MENTIONED</t>
        </is>
      </c>
      <c r="AI124" t="inlineStr">
        <is>
          <t>No explicit mention of PPO or conversion to full-time in the JD</t>
        </is>
      </c>
      <c r="AK124" t="inlineStr">
        <is>
          <t>Stipend minimum (₹20,000) is slightly below target (₹25,000/month) though maximum is ₹30,000</t>
        </is>
      </c>
      <c r="AL124" t="inlineStr">
        <is>
          <t>MERN stack architecture and state management; Building and scaling MVPs; API integration and backend development</t>
        </is>
      </c>
    </row>
    <row r="125">
      <c r="A125" t="inlineStr">
        <is>
          <t>FLICKIT-260912-124</t>
        </is>
      </c>
      <c r="B125" t="inlineStr">
        <is>
          <t>Flickit</t>
        </is>
      </c>
      <c r="C125" t="inlineStr">
        <is>
          <t>Full Stack Development-Intern</t>
        </is>
      </c>
      <c r="D125" t="inlineStr">
        <is>
          <t>https://www.adzuna.in/details/4971284468?utm_medium=api&amp;utm_source=5ccdc27f</t>
        </is>
      </c>
      <c r="E125" t="inlineStr">
        <is>
          <t>AI Analyzer</t>
        </is>
      </c>
      <c r="F125" t="inlineStr">
        <is>
          <t>Bangalore, Karnataka</t>
        </is>
      </c>
      <c r="G125" t="inlineStr">
        <is>
          <t>On-site / Unspecified</t>
        </is>
      </c>
      <c r="H125" t="inlineStr">
        <is>
          <t>Not specified</t>
        </is>
      </c>
      <c r="I125" t="inlineStr">
        <is>
          <t>Unspecified</t>
        </is>
      </c>
      <c r="J125" t="inlineStr">
        <is>
          <t>NOT_MENTIONED</t>
        </is>
      </c>
      <c r="K125" t="inlineStr">
        <is>
          <t>Flutter; React</t>
        </is>
      </c>
      <c r="M125" t="inlineStr">
        <is>
          <t>Job Description: We are looking for a talented and motivated Full Stack Development Intern to join our team. This internship offers an exciting opportunity to work on real-world project, enhance your skills, and gain hands-on experience in full-stack development using Flutter for mobile applications and React for web development. Key Responsibilities: Mobile App Development: Collaborate on buildin</t>
        </is>
      </c>
      <c r="N125" t="n">
        <v>55</v>
      </c>
      <c r="O125" t="n">
        <v>20</v>
      </c>
      <c r="P125" t="n">
        <v>15</v>
      </c>
      <c r="Q125" t="n">
        <v>15</v>
      </c>
      <c r="R125" t="n">
        <v>0</v>
      </c>
      <c r="S125" t="n">
        <v>0</v>
      </c>
      <c r="T125" t="n">
        <v>5</v>
      </c>
      <c r="U125" t="inlineStr">
        <is>
          <t>SKIP</t>
        </is>
      </c>
      <c r="V125" t="inlineStr">
        <is>
          <t>SKIP</t>
        </is>
      </c>
      <c r="W125" t="inlineStr">
        <is>
          <t>Flutter</t>
        </is>
      </c>
      <c r="X125" t="inlineStr">
        <is>
          <t>Amaanuddin_Ahmed_Full_Stack_Resume.pdf</t>
        </is>
      </c>
      <c r="Y125" t="inlineStr">
        <is>
          <t>2026-09-12</t>
        </is>
      </c>
      <c r="Z125" t="inlineStr">
        <is>
          <t>Role aligns with Full Stack Development target; Location is Bangalore; Uses React.js which is a demonstrated skill</t>
        </is>
      </c>
      <c r="AA125" t="inlineStr">
        <is>
          <t>ELIGIBLE</t>
        </is>
      </c>
      <c r="AB125" t="inlineStr">
        <is>
          <t>Location matches target city (Bangalore); Role aligns with Full Stack Development target; No explicit degree or graduation year hard blockers mentioned in the snippet</t>
        </is>
      </c>
      <c r="AC125" t="inlineStr">
        <is>
          <t>UNKNOWN</t>
        </is>
      </c>
      <c r="AD125" t="inlineStr">
        <is>
          <t>Candidate availability timeline is not specified in the Career Brain.</t>
        </is>
      </c>
      <c r="AE125" t="inlineStr">
        <is>
          <t>UNKNOWN</t>
        </is>
      </c>
      <c r="AF125" t="n">
        <v>0</v>
      </c>
      <c r="AG125" t="inlineStr">
        <is>
          <t>No</t>
        </is>
      </c>
      <c r="AH125" t="inlineStr">
        <is>
          <t>NOT_MENTIONED</t>
        </is>
      </c>
      <c r="AI125" t="inlineStr">
        <is>
          <t>No mention of PPO or conversion in the provided job description snippet.</t>
        </is>
      </c>
      <c r="AK125" t="inlineStr">
        <is>
          <t>Incomplete job description snippet; Unspecified stipend</t>
        </is>
      </c>
      <c r="AL125" t="inlineStr">
        <is>
          <t>React.js state management and hooks; Experience with mobile or cross-platform frameworks (Flutter); Full-stack REST API integration; Past projects like StaySphere and Zenvest</t>
        </is>
      </c>
    </row>
    <row r="126">
      <c r="A126" t="inlineStr">
        <is>
          <t>SPACENOS-260912-125</t>
        </is>
      </c>
      <c r="B126" t="inlineStr">
        <is>
          <t>Spacenos</t>
        </is>
      </c>
      <c r="C126" t="inlineStr">
        <is>
          <t>Full Stack Developer Intern</t>
        </is>
      </c>
      <c r="D126" t="inlineStr">
        <is>
          <t>https://www.adzuna.in/details/3095392880?utm_medium=api&amp;utm_source=5ccdc27f</t>
        </is>
      </c>
      <c r="E126" t="inlineStr">
        <is>
          <t>AI Analyzer</t>
        </is>
      </c>
      <c r="F126" t="inlineStr">
        <is>
          <t>India</t>
        </is>
      </c>
      <c r="G126" t="inlineStr">
        <is>
          <t>UNKNOWN</t>
        </is>
      </c>
      <c r="H126" t="inlineStr">
        <is>
          <t>INR. 5,000 to INR. 15,000 per month</t>
        </is>
      </c>
      <c r="I126" t="inlineStr">
        <is>
          <t>UNKNOWN</t>
        </is>
      </c>
      <c r="J126" t="inlineStr">
        <is>
          <t>none</t>
        </is>
      </c>
      <c r="K126" t="inlineStr">
        <is>
          <t>JavaScript; ReactJs; NodeJs; Firebase; Firestore Functions; Git</t>
        </is>
      </c>
      <c r="L126" t="inlineStr">
        <is>
          <t>Ability to pick up new technologies quickly</t>
        </is>
      </c>
      <c r="M126" t="inlineStr">
        <is>
          <t>Stipend: INR. 5,000 to INR. 15,000 per month Performance Bonus Goodies for Elites We are looking for skilled Full Stack Developer interns who can oversee the complete software development road cycle at Spacenos and work on building amazing products. Skills Required Experience with JavaScript and ReactJs framework. Experience with NodeJs, Firebase and Firestore Functions. Candidates should have the</t>
        </is>
      </c>
      <c r="N126" t="n">
        <v>52</v>
      </c>
      <c r="O126" t="n">
        <v>70</v>
      </c>
      <c r="P126" t="n">
        <v>80</v>
      </c>
      <c r="Q126" t="n">
        <v>80</v>
      </c>
      <c r="R126" t="n">
        <v>0</v>
      </c>
      <c r="S126" t="n">
        <v>20</v>
      </c>
      <c r="T126" t="n">
        <v>40</v>
      </c>
      <c r="U126" t="inlineStr">
        <is>
          <t>SKIP</t>
        </is>
      </c>
      <c r="V126" t="inlineStr">
        <is>
          <t>SKIP</t>
        </is>
      </c>
      <c r="W126" t="inlineStr">
        <is>
          <t>Firebase; Firestore Functions</t>
        </is>
      </c>
      <c r="X126" t="inlineStr">
        <is>
          <t>Amaan_Fullstack_Resume.pdf</t>
        </is>
      </c>
      <c r="Y126" t="inlineStr">
        <is>
          <t>2026-09-12</t>
        </is>
      </c>
      <c r="Z126" t="inlineStr">
        <is>
          <t>Matches target role for Full Stack Development; Requires core technologies like JavaScript, React.js, and Node.js</t>
        </is>
      </c>
      <c r="AA126" t="inlineStr">
        <is>
          <t>eligible</t>
        </is>
      </c>
      <c r="AC126" t="inlineStr">
        <is>
          <t>UNKNOWN</t>
        </is>
      </c>
      <c r="AD126" t="inlineStr">
        <is>
          <t>Availability not specified in career brain</t>
        </is>
      </c>
      <c r="AE126" t="inlineStr">
        <is>
          <t>partial</t>
        </is>
      </c>
      <c r="AF126" t="n">
        <v>5000</v>
      </c>
      <c r="AG126" t="inlineStr">
        <is>
          <t>No</t>
        </is>
      </c>
      <c r="AH126" t="inlineStr">
        <is>
          <t>none</t>
        </is>
      </c>
      <c r="AI126" t="inlineStr">
        <is>
          <t>No mention of PPO or conversion in the job description</t>
        </is>
      </c>
      <c r="AJ126" t="inlineStr">
        <is>
          <t>Stipend is below the minimum target of ₹25,000/month</t>
        </is>
      </c>
      <c r="AK126" t="inlineStr">
        <is>
          <t>Stipend range (5k-15k) is below candidate minimum target</t>
        </is>
      </c>
      <c r="AL126" t="inlineStr">
        <is>
          <t>React.js state management and hooks; Node.js REST API architecture; Firebase and Firestore fundamentals; Git workflow</t>
        </is>
      </c>
    </row>
    <row r="127">
      <c r="A127" t="inlineStr">
        <is>
          <t>INSTAWEB-LAB-260912-126</t>
        </is>
      </c>
      <c r="B127" t="inlineStr">
        <is>
          <t>InstaWeb Labs Pvt Ltd</t>
        </is>
      </c>
      <c r="C127" t="inlineStr">
        <is>
          <t>Full Stack Development Intern</t>
        </is>
      </c>
      <c r="D127" t="inlineStr">
        <is>
          <t>https://www.adzuna.in/details/5625720116?utm_medium=api&amp;utm_source=5ccdc27f</t>
        </is>
      </c>
      <c r="E127" t="inlineStr">
        <is>
          <t>AI Analyzer</t>
        </is>
      </c>
      <c r="F127" t="inlineStr">
        <is>
          <t>Mumbai or Remote</t>
        </is>
      </c>
      <c r="G127" t="inlineStr">
        <is>
          <t>Remote / Hybrid</t>
        </is>
      </c>
      <c r="H127" t="inlineStr">
        <is>
          <t>Not specified</t>
        </is>
      </c>
      <c r="I127" t="inlineStr">
        <is>
          <t>3 to 6 months</t>
        </is>
      </c>
      <c r="J127" t="inlineStr">
        <is>
          <t>NOT_MENTIONED</t>
        </is>
      </c>
      <c r="K127" t="inlineStr">
        <is>
          <t>Full Stack Development; Frontend Development; Backend Development</t>
        </is>
      </c>
      <c r="L127" t="inlineStr">
        <is>
          <t>JavaScript; Website Builder platforms</t>
        </is>
      </c>
      <c r="M127" t="inlineStr">
        <is>
          <t>Location: Mumbai or Remote Duration: 3 to 6 months About the Role Websites.co.in is looking for a Full Stack Developer Intern to support our engineering team across backend and frontend development. You will work on real product features and fixes across our website builder platform used by small businesses globally. This role is designed for learners who want practical full stack exposure. You wi</t>
        </is>
      </c>
      <c r="N127" t="n">
        <v>72</v>
      </c>
      <c r="O127" t="n">
        <v>27</v>
      </c>
      <c r="P127" t="n">
        <v>18</v>
      </c>
      <c r="Q127" t="n">
        <v>15</v>
      </c>
      <c r="R127" t="n">
        <v>5</v>
      </c>
      <c r="S127" t="n">
        <v>0</v>
      </c>
      <c r="T127" t="n">
        <v>7</v>
      </c>
      <c r="U127" t="inlineStr">
        <is>
          <t>CONSIDER</t>
        </is>
      </c>
      <c r="V127" t="inlineStr">
        <is>
          <t>CONSIDER</t>
        </is>
      </c>
      <c r="X127" t="inlineStr">
        <is>
          <t>Amaanuddin_Ahmed_Fullstack_Resume.pdf</t>
        </is>
      </c>
      <c r="Y127" t="inlineStr">
        <is>
          <t>2026-09-12</t>
        </is>
      </c>
      <c r="Z127" t="inlineStr">
        <is>
          <t>Strong match for Full Stack Development role with MERN stack background; Offers good hands-on experience on real product features</t>
        </is>
      </c>
      <c r="AA127" t="inlineStr">
        <is>
          <t>ELIGIBLE</t>
        </is>
      </c>
      <c r="AB127" t="inlineStr">
        <is>
          <t>No hard blockers found in the job description regarding degree or graduation year</t>
        </is>
      </c>
      <c r="AC127" t="inlineStr">
        <is>
          <t>UNKNOWN</t>
        </is>
      </c>
      <c r="AD127" t="inlineStr">
        <is>
          <t>Candidate availability timeline not provided</t>
        </is>
      </c>
      <c r="AE127" t="inlineStr">
        <is>
          <t>UNKNOWN</t>
        </is>
      </c>
      <c r="AF127" t="n">
        <v>0</v>
      </c>
      <c r="AG127" t="inlineStr">
        <is>
          <t>No</t>
        </is>
      </c>
      <c r="AH127" t="inlineStr">
        <is>
          <t>NOT_MENTIONED</t>
        </is>
      </c>
      <c r="AI127" t="inlineStr">
        <is>
          <t>No explicit PPO or conversion mention found in the description</t>
        </is>
      </c>
      <c r="AK127" t="inlineStr">
        <is>
          <t>Stipend is not disclosed</t>
        </is>
      </c>
      <c r="AL127" t="inlineStr">
        <is>
          <t>MERN stack fundamentals; RESTful APIs and backend debugging; Frontend component lifecycle and state management; Past projects like StaySphere and Zenvest</t>
        </is>
      </c>
    </row>
    <row r="128">
      <c r="A128" t="inlineStr">
        <is>
          <t>CYPHEROCK-260912-127</t>
        </is>
      </c>
      <c r="B128" t="inlineStr">
        <is>
          <t>Cypherock</t>
        </is>
      </c>
      <c r="C128" t="inlineStr">
        <is>
          <t>Full Stack Developer Intern</t>
        </is>
      </c>
      <c r="D128" t="inlineStr">
        <is>
          <t>https://www.adzuna.in/details/2883808203?utm_medium=api&amp;utm_source=5ccdc27f</t>
        </is>
      </c>
      <c r="E128" t="inlineStr">
        <is>
          <t>AI Analyzer</t>
        </is>
      </c>
      <c r="F128" t="inlineStr">
        <is>
          <t>Delhi, India</t>
        </is>
      </c>
      <c r="G128" t="inlineStr">
        <is>
          <t>Unknown</t>
        </is>
      </c>
      <c r="H128" t="inlineStr">
        <is>
          <t>Not specified</t>
        </is>
      </c>
      <c r="I128" t="inlineStr">
        <is>
          <t>Unknown</t>
        </is>
      </c>
      <c r="J128" t="inlineStr">
        <is>
          <t>Unknown</t>
        </is>
      </c>
      <c r="K128" t="inlineStr">
        <is>
          <t>Full Stack Development</t>
        </is>
      </c>
      <c r="L128" t="inlineStr">
        <is>
          <t>Blockchain</t>
        </is>
      </c>
      <c r="M128" t="inlineStr">
        <is>
          <t>At Cypherock, We are disrupting the current financial system by increasing the adoption of Blockchain-based digital assets through better key management solutions. We build "Worlds' first products" from India, work at the intersection of Blockchain, Security, Embedded Hardware and Cryptography, and have worked with companies like Google, Blockgeeks, Samsung, Lockheed Martin, Apollo Munich, Bank of</t>
        </is>
      </c>
      <c r="N128" t="n">
        <v>55</v>
      </c>
      <c r="O128" t="n">
        <v>60</v>
      </c>
      <c r="P128" t="n">
        <v>70</v>
      </c>
      <c r="Q128" t="n">
        <v>70</v>
      </c>
      <c r="R128" t="n">
        <v>50</v>
      </c>
      <c r="S128" t="n">
        <v>0</v>
      </c>
      <c r="T128" t="n">
        <v>50</v>
      </c>
      <c r="U128" t="inlineStr">
        <is>
          <t>SKIP</t>
        </is>
      </c>
      <c r="V128" t="inlineStr">
        <is>
          <t>SKIP</t>
        </is>
      </c>
      <c r="W128" t="inlineStr">
        <is>
          <t>Blockchain</t>
        </is>
      </c>
      <c r="X128" t="inlineStr">
        <is>
          <t>Amaanuddin_Ahmed_FullStack_Resume.pdf</t>
        </is>
      </c>
      <c r="Y128" t="inlineStr">
        <is>
          <t>2026-09-12</t>
        </is>
      </c>
      <c r="Z128" t="inlineStr">
        <is>
          <t>Matches target Full Stack Developer internship role.</t>
        </is>
      </c>
      <c r="AA128" t="inlineStr">
        <is>
          <t>Eligible</t>
        </is>
      </c>
      <c r="AB128" t="inlineStr">
        <is>
          <t>No explicit degree or hard experience blockers specified in the snippet.</t>
        </is>
      </c>
      <c r="AC128" t="inlineStr">
        <is>
          <t>Unknown</t>
        </is>
      </c>
      <c r="AD128" t="inlineStr">
        <is>
          <t>Candidate availability details are not provided in the career brain.</t>
        </is>
      </c>
      <c r="AE128" t="inlineStr">
        <is>
          <t>UNKNOWN</t>
        </is>
      </c>
      <c r="AF128" t="n">
        <v>0</v>
      </c>
      <c r="AG128" t="inlineStr">
        <is>
          <t>No</t>
        </is>
      </c>
      <c r="AH128" t="inlineStr">
        <is>
          <t>Unknown</t>
        </is>
      </c>
      <c r="AI128" t="inlineStr">
        <is>
          <t>No explicit PPO or conversion mention found in the snippet.</t>
        </is>
      </c>
      <c r="AK128" t="inlineStr">
        <is>
          <t>Incomplete job description provided.</t>
        </is>
      </c>
      <c r="AL128" t="inlineStr">
        <is>
          <t>Full Stack Development concepts; Blockchain and security fundamentals; Project architecture (MERN)</t>
        </is>
      </c>
    </row>
    <row r="129">
      <c r="A129" t="inlineStr">
        <is>
          <t>TECHOLUTION--260912-128</t>
        </is>
      </c>
      <c r="B129" t="inlineStr">
        <is>
          <t>Techolution India Private Limited</t>
        </is>
      </c>
      <c r="C129" t="inlineStr">
        <is>
          <t>Full Stack Developer- Intern</t>
        </is>
      </c>
      <c r="D129" t="inlineStr">
        <is>
          <t>https://www.adzuna.in/details/5857747993?utm_medium=api&amp;utm_source=5ccdc27f</t>
        </is>
      </c>
      <c r="E129" t="inlineStr">
        <is>
          <t>AI Analyzer</t>
        </is>
      </c>
      <c r="F129" t="inlineStr">
        <is>
          <t>Hyderabad, Telangana</t>
        </is>
      </c>
      <c r="G129" t="inlineStr">
        <is>
          <t>Unknown</t>
        </is>
      </c>
      <c r="H129" t="inlineStr">
        <is>
          <t>Not specified</t>
        </is>
      </c>
      <c r="I129" t="inlineStr">
        <is>
          <t>Unknown</t>
        </is>
      </c>
      <c r="J129" t="inlineStr">
        <is>
          <t>UNKNOWN</t>
        </is>
      </c>
      <c r="K129" t="inlineStr">
        <is>
          <t>HTML; CSS; JavaScript; Node.js; MongoDB; React</t>
        </is>
      </c>
      <c r="M129" t="inlineStr">
        <is>
          <t>Develop responsive and user-friendly web applications using HTML , CSS , and JavaScript , ensuring seamless cross-browser compatibility and optimal performance Collaborate with senior developers to implement robust backend functionality using Node.js and MongoDB , focusing on scalable and efficient database operations Create dynamic and interactive user interfaces with React , incorporating modern</t>
        </is>
      </c>
      <c r="N129" t="n">
        <v>74</v>
      </c>
      <c r="O129" t="n">
        <v>30</v>
      </c>
      <c r="P129" t="n">
        <v>18</v>
      </c>
      <c r="Q129" t="n">
        <v>15</v>
      </c>
      <c r="R129" t="n">
        <v>5</v>
      </c>
      <c r="S129" t="n">
        <v>0</v>
      </c>
      <c r="T129" t="n">
        <v>6</v>
      </c>
      <c r="U129" t="inlineStr">
        <is>
          <t>CONSIDER</t>
        </is>
      </c>
      <c r="V129" t="inlineStr">
        <is>
          <t>CONSIDER</t>
        </is>
      </c>
      <c r="X129" t="inlineStr">
        <is>
          <t>Amaan_Full_Stack_Resume.pdf</t>
        </is>
      </c>
      <c r="Y129" t="inlineStr">
        <is>
          <t>2026-09-12</t>
        </is>
      </c>
      <c r="Z129" t="inlineStr">
        <is>
          <t>Exact technical stack match with MERN (HTML, CSS, JavaScript, Node.js, MongoDB, React).; Strong alignment with target Full Stack Development and Software Engineering roles.</t>
        </is>
      </c>
      <c r="AA129" t="inlineStr">
        <is>
          <t>UNKNOWN</t>
        </is>
      </c>
      <c r="AB129" t="inlineStr">
        <is>
          <t>Degree or graduation year requirements are not specified in the job description.</t>
        </is>
      </c>
      <c r="AC129" t="inlineStr">
        <is>
          <t>UNKNOWN</t>
        </is>
      </c>
      <c r="AD129" t="inlineStr">
        <is>
          <t>Candidate availability for the internship duration is not specified in the career brain.</t>
        </is>
      </c>
      <c r="AE129" t="inlineStr">
        <is>
          <t>UNKNOWN</t>
        </is>
      </c>
      <c r="AF129" t="n">
        <v>0</v>
      </c>
      <c r="AG129" t="inlineStr">
        <is>
          <t>No</t>
        </is>
      </c>
      <c r="AH129" t="inlineStr">
        <is>
          <t>UNKNOWN</t>
        </is>
      </c>
      <c r="AI129" t="inlineStr">
        <is>
          <t>No mention of PPO or conversion in the job description.</t>
        </is>
      </c>
      <c r="AK129" t="inlineStr">
        <is>
          <t>Stipend details are not specified; Duration is not specified; No PPO mention</t>
        </is>
      </c>
      <c r="AL129" t="inlineStr">
        <is>
          <t>React state management and modern design principles; Node.js and MongoDB scalable database operations; Cross-browser compatibility and responsive web design</t>
        </is>
      </c>
    </row>
    <row r="130">
      <c r="A130" t="inlineStr">
        <is>
          <t>STATNETICS-260912-129</t>
        </is>
      </c>
      <c r="B130" t="inlineStr">
        <is>
          <t>statnetics</t>
        </is>
      </c>
      <c r="C130" t="inlineStr">
        <is>
          <t>Junior Full Stack Developer - Internship</t>
        </is>
      </c>
      <c r="D130" t="inlineStr">
        <is>
          <t>https://www.adzuna.in/details/2044154319?utm_medium=api&amp;utm_source=5ccdc27f</t>
        </is>
      </c>
      <c r="E130" t="inlineStr">
        <is>
          <t>AI Analyzer</t>
        </is>
      </c>
      <c r="F130" t="inlineStr">
        <is>
          <t>Hyderabad, Telangana</t>
        </is>
      </c>
      <c r="G130" t="inlineStr">
        <is>
          <t>UNKNOWN</t>
        </is>
      </c>
      <c r="H130" t="inlineStr">
        <is>
          <t>Not specified</t>
        </is>
      </c>
      <c r="I130" t="inlineStr">
        <is>
          <t>UNKNOWN</t>
        </is>
      </c>
      <c r="J130" t="inlineStr">
        <is>
          <t>UNKNOWN</t>
        </is>
      </c>
      <c r="K130" t="inlineStr">
        <is>
          <t>Front-end development; Back-end development</t>
        </is>
      </c>
      <c r="M130" t="inlineStr">
        <is>
          <t>CloudQA is a bootstrapped SaaS startup based out of Hyderabad. Our web application testing tools have helped companies ensure their customers get the best digital experiences. You would be working on a world class product in a technically strong team competing with ex-google teams and silicon valley startups. CloudQA is used by some of the leading enterprises, govt institutions and rising startups</t>
        </is>
      </c>
      <c r="N130" t="n">
        <v>62</v>
      </c>
      <c r="O130" t="n">
        <v>24</v>
      </c>
      <c r="P130" t="n">
        <v>16</v>
      </c>
      <c r="Q130" t="n">
        <v>12</v>
      </c>
      <c r="R130" t="n">
        <v>5</v>
      </c>
      <c r="S130" t="n">
        <v>0</v>
      </c>
      <c r="T130" t="n">
        <v>5</v>
      </c>
      <c r="U130" t="inlineStr">
        <is>
          <t>STRETCH</t>
        </is>
      </c>
      <c r="V130" t="inlineStr">
        <is>
          <t>STRETCH</t>
        </is>
      </c>
      <c r="X130" t="inlineStr">
        <is>
          <t>Amaanuddin_Ahmed_Fullstack_Resume.pdf</t>
        </is>
      </c>
      <c r="Y130" t="inlineStr">
        <is>
          <t>2026-09-12</t>
        </is>
      </c>
      <c r="Z130" t="inlineStr">
        <is>
          <t>Aligns well with target Full Stack Development and Software Engineering roles.; Matches core technical skills in front-end and back-end development.</t>
        </is>
      </c>
      <c r="AA130" t="inlineStr">
        <is>
          <t>ELIGIBLE</t>
        </is>
      </c>
      <c r="AC130" t="inlineStr">
        <is>
          <t>UNKNOWN</t>
        </is>
      </c>
      <c r="AD130" t="inlineStr">
        <is>
          <t>Candidate availability details are not provided in the career brain.</t>
        </is>
      </c>
      <c r="AE130" t="inlineStr">
        <is>
          <t>UNKNOWN</t>
        </is>
      </c>
      <c r="AF130" t="n">
        <v>0</v>
      </c>
      <c r="AG130" t="inlineStr">
        <is>
          <t>No</t>
        </is>
      </c>
      <c r="AH130" t="inlineStr">
        <is>
          <t>UNKNOWN</t>
        </is>
      </c>
      <c r="AI130" t="inlineStr">
        <is>
          <t>No explicit PPO or conversion mention found in the job description.</t>
        </is>
      </c>
      <c r="AK130" t="inlineStr">
        <is>
          <t>Stipend is not specified; Duration is not specified; Job description is very brief and generic</t>
        </is>
      </c>
      <c r="AL130" t="inlineStr">
        <is>
          <t>Full stack development fundamentals; Previous project architecture (StaySphere, Zenvest); API design and database management</t>
        </is>
      </c>
    </row>
    <row r="131">
      <c r="A131" t="inlineStr">
        <is>
          <t>TRANSFI-260912-130</t>
        </is>
      </c>
      <c r="B131" t="inlineStr">
        <is>
          <t>TransFi</t>
        </is>
      </c>
      <c r="C131" t="inlineStr">
        <is>
          <t>MERN Full Stack Developer Intern</t>
        </is>
      </c>
      <c r="D131" t="inlineStr">
        <is>
          <t>https://www.adzuna.in/details/4476844222?utm_medium=api&amp;utm_source=5ccdc27f</t>
        </is>
      </c>
      <c r="E131" t="inlineStr">
        <is>
          <t>AI Analyzer</t>
        </is>
      </c>
      <c r="F131" t="inlineStr">
        <is>
          <t>Mysore, Karnataka</t>
        </is>
      </c>
      <c r="G131" t="inlineStr">
        <is>
          <t>UNKNOWN</t>
        </is>
      </c>
      <c r="I131" t="inlineStr">
        <is>
          <t>UNKNOWN</t>
        </is>
      </c>
      <c r="J131" t="inlineStr">
        <is>
          <t>UNKNOWN</t>
        </is>
      </c>
      <c r="K131" t="inlineStr">
        <is>
          <t>JavaScript; MongoDB; Express.js; Node.js; React.js; RESTful services</t>
        </is>
      </c>
      <c r="L131" t="inlineStr">
        <is>
          <t>Unit and Integration tests</t>
        </is>
      </c>
      <c r="M131" t="inlineStr">
        <is>
          <t>Binding of UI elements to JavaScript object models Creating RESTful services with Node.js MERN stack developer must have proven experience in front &amp; back-end development Work in a cross-functional team to deliver a complete user experience Developer must expertise into MongoDB, Express, Node.js, &amp; React. Create Unit and Integration tests to ensure the quality of code MERN full stack developer mus</t>
        </is>
      </c>
      <c r="N131" t="n">
        <v>70</v>
      </c>
      <c r="O131" t="n">
        <v>27</v>
      </c>
      <c r="P131" t="n">
        <v>16</v>
      </c>
      <c r="Q131" t="n">
        <v>15</v>
      </c>
      <c r="R131" t="n">
        <v>5</v>
      </c>
      <c r="S131" t="n">
        <v>0</v>
      </c>
      <c r="T131" t="n">
        <v>7</v>
      </c>
      <c r="U131" t="inlineStr">
        <is>
          <t>CONSIDER</t>
        </is>
      </c>
      <c r="V131" t="inlineStr">
        <is>
          <t>CONSIDER</t>
        </is>
      </c>
      <c r="W131" t="inlineStr">
        <is>
          <t>Unit and Integration tests</t>
        </is>
      </c>
      <c r="X131" t="inlineStr">
        <is>
          <t>MERN Stack Resume</t>
        </is>
      </c>
      <c r="Y131" t="inlineStr">
        <is>
          <t>2026-09-12</t>
        </is>
      </c>
      <c r="Z131" t="inlineStr">
        <is>
          <t>Strong tech stack alignment with candidate's MERN projects like StaySphere and Zenvest.; Direct match for Full Stack Development and Backend Development target roles.</t>
        </is>
      </c>
      <c r="AA131" t="inlineStr">
        <is>
          <t>ELIGIBLE</t>
        </is>
      </c>
      <c r="AB131" t="inlineStr">
        <is>
          <t>No explicit graduation year or degree restrictions mentioned in the JD.</t>
        </is>
      </c>
      <c r="AC131" t="inlineStr">
        <is>
          <t>UNKNOWN</t>
        </is>
      </c>
      <c r="AD131" t="inlineStr">
        <is>
          <t>Candidate availability details are not provided in the career brain.</t>
        </is>
      </c>
      <c r="AE131" t="inlineStr">
        <is>
          <t>UNKNOWN</t>
        </is>
      </c>
      <c r="AF131" t="n">
        <v>0</v>
      </c>
      <c r="AG131" t="inlineStr">
        <is>
          <t>No</t>
        </is>
      </c>
      <c r="AH131" t="inlineStr">
        <is>
          <t>UNKNOWN</t>
        </is>
      </c>
      <c r="AI131" t="inlineStr">
        <is>
          <t>No mention of PPO or conversion in the job description.</t>
        </is>
      </c>
      <c r="AK131" t="inlineStr">
        <is>
          <t>Stipend not disclosed</t>
        </is>
      </c>
      <c r="AL131" t="inlineStr">
        <is>
          <t>MERN stack architecture; RESTful services design with Node.js; State management in React.js; MongoDB data modeling and aggregation; Unit and integration testing frameworks</t>
        </is>
      </c>
    </row>
    <row r="132">
      <c r="A132" t="inlineStr">
        <is>
          <t>KEYSHADE-260912-131</t>
        </is>
      </c>
      <c r="B132" t="inlineStr">
        <is>
          <t>keyshade</t>
        </is>
      </c>
      <c r="C132" t="inlineStr">
        <is>
          <t>Full-Stack Developer Intern</t>
        </is>
      </c>
      <c r="D132" t="inlineStr">
        <is>
          <t>https://www.adzuna.in/details/5006488241?utm_medium=api&amp;utm_source=5ccdc27f</t>
        </is>
      </c>
      <c r="E132" t="inlineStr">
        <is>
          <t>AI Analyzer</t>
        </is>
      </c>
      <c r="F132" t="inlineStr">
        <is>
          <t>India</t>
        </is>
      </c>
      <c r="G132" t="inlineStr">
        <is>
          <t>UNKNOWN</t>
        </is>
      </c>
      <c r="H132" t="inlineStr">
        <is>
          <t>Not specified</t>
        </is>
      </c>
      <c r="I132" t="inlineStr">
        <is>
          <t>UNKNOWN</t>
        </is>
      </c>
      <c r="J132" t="inlineStr">
        <is>
          <t>UNKNOWN</t>
        </is>
      </c>
      <c r="K132" t="inlineStr">
        <is>
          <t>Full Stack Development; GitHub issue contribution</t>
        </is>
      </c>
      <c r="M132" t="inlineStr">
        <is>
          <t>Due to the high volume of applicants, we are only able to interview candidates who have actively contributed to Keyshade by attempting at least one of our GitHub (https://git.new/keyshade) issues. It’s okay if your PR doesn’t get merged—we are looking for genuine effort. Please include your GitHub username in the question section of this job post. We’re looking for a talented Full Stack Intern who</t>
        </is>
      </c>
      <c r="N132" t="n">
        <v>52</v>
      </c>
      <c r="O132" t="n">
        <v>75</v>
      </c>
      <c r="P132" t="n">
        <v>70</v>
      </c>
      <c r="Q132" t="n">
        <v>80</v>
      </c>
      <c r="R132" t="n">
        <v>0</v>
      </c>
      <c r="S132" t="n">
        <v>0</v>
      </c>
      <c r="T132" t="n">
        <v>50</v>
      </c>
      <c r="U132" t="inlineStr">
        <is>
          <t>SKIP</t>
        </is>
      </c>
      <c r="V132" t="inlineStr">
        <is>
          <t>SKIP</t>
        </is>
      </c>
      <c r="X132" t="inlineStr">
        <is>
          <t>Amaanuddin_Ahmed_Fullstack_Resume</t>
        </is>
      </c>
      <c r="Y132" t="inlineStr">
        <is>
          <t>2026-09-12</t>
        </is>
      </c>
      <c r="Z132" t="inlineStr">
        <is>
          <t>Matches target Full Stack Developer internship role.</t>
        </is>
      </c>
      <c r="AA132" t="inlineStr">
        <is>
          <t>Conditional</t>
        </is>
      </c>
      <c r="AB132" t="inlineStr">
        <is>
          <t>Requires active contribution to Keyshade by attempting at least one GitHub issue before being interviewed.</t>
        </is>
      </c>
      <c r="AC132" t="inlineStr">
        <is>
          <t>UNKNOWN</t>
        </is>
      </c>
      <c r="AD132" t="inlineStr">
        <is>
          <t>Not specified in JD</t>
        </is>
      </c>
      <c r="AE132" t="inlineStr">
        <is>
          <t>UNKNOWN</t>
        </is>
      </c>
      <c r="AF132" t="n">
        <v>0</v>
      </c>
      <c r="AG132" t="inlineStr">
        <is>
          <t>No</t>
        </is>
      </c>
      <c r="AH132" t="inlineStr">
        <is>
          <t>UNKNOWN</t>
        </is>
      </c>
      <c r="AI132" t="inlineStr">
        <is>
          <t>Not mentioned in the job description.</t>
        </is>
      </c>
      <c r="AJ132" t="inlineStr">
        <is>
          <t>Must attempt at least one GitHub issue for Keyshade prior to interview consideration</t>
        </is>
      </c>
      <c r="AK132" t="inlineStr">
        <is>
          <t>Requires unsolicited unpaid/pre-application contribution work on GitHub before interview consideration.</t>
        </is>
      </c>
      <c r="AL132" t="inlineStr">
        <is>
          <t>Full Stack Development; GitHub Contribution PR Review; Web Architecture</t>
        </is>
      </c>
    </row>
    <row r="133">
      <c r="A133" t="inlineStr">
        <is>
          <t>GETA-AI-LABS-260912-132</t>
        </is>
      </c>
      <c r="B133" t="inlineStr">
        <is>
          <t>Geta AI Labs Pvt Ltd</t>
        </is>
      </c>
      <c r="C133" t="inlineStr">
        <is>
          <t>Full Stack Development Intern (MERN Python)</t>
        </is>
      </c>
      <c r="D133" t="inlineStr">
        <is>
          <t>https://www.adzuna.in/details/5876449427?utm_medium=api&amp;utm_source=5ccdc27f</t>
        </is>
      </c>
      <c r="E133" t="inlineStr">
        <is>
          <t>AI Analyzer</t>
        </is>
      </c>
      <c r="F133" t="inlineStr">
        <is>
          <t>Pune, Maharashtra</t>
        </is>
      </c>
      <c r="G133" t="inlineStr">
        <is>
          <t>On-site</t>
        </is>
      </c>
      <c r="H133" t="inlineStr">
        <is>
          <t>Not specified</t>
        </is>
      </c>
      <c r="I133" t="inlineStr">
        <is>
          <t>Not specified</t>
        </is>
      </c>
      <c r="J133" t="inlineStr">
        <is>
          <t>Not Mentioned</t>
        </is>
      </c>
      <c r="K133" t="inlineStr">
        <is>
          <t>MERN; Python</t>
        </is>
      </c>
      <c r="L133" t="inlineStr">
        <is>
          <t>Scalable web applications; Backend services</t>
        </is>
      </c>
      <c r="M133" t="inlineStr">
        <is>
          <t>We are looking for a highly motivated and curious Full Stack Development Intern to join our engineering team. In this role, you will gain hands-on experience building scalable web applications and backend services. You will work across the entire stack, utilizing MERN technologies alongside Python to solve real-world problems. This is an excellent opportunity to learn from experienced developers,</t>
        </is>
      </c>
      <c r="N133" t="n">
        <v>77</v>
      </c>
      <c r="O133" t="n">
        <v>27</v>
      </c>
      <c r="P133" t="n">
        <v>18</v>
      </c>
      <c r="Q133" t="n">
        <v>15</v>
      </c>
      <c r="R133" t="n">
        <v>5</v>
      </c>
      <c r="S133" t="n">
        <v>5</v>
      </c>
      <c r="T133" t="n">
        <v>7</v>
      </c>
      <c r="U133" t="inlineStr">
        <is>
          <t>CONSIDER</t>
        </is>
      </c>
      <c r="V133" t="inlineStr">
        <is>
          <t>CONSIDER</t>
        </is>
      </c>
      <c r="X133" t="inlineStr">
        <is>
          <t>Amaanuddin_Ahmed_Full_Stack_Resume.pdf</t>
        </is>
      </c>
      <c r="Y133" t="inlineStr">
        <is>
          <t>2026-09-12</t>
        </is>
      </c>
      <c r="Z133" t="inlineStr">
        <is>
          <t>Strong technical stack alignment with MERN and Python experience; Great fit for target Full Stack Development internship role; Provides hands-on experience in building scalable web applications</t>
        </is>
      </c>
      <c r="AA133" t="inlineStr">
        <is>
          <t>Eligible</t>
        </is>
      </c>
      <c r="AB133" t="inlineStr">
        <is>
          <t>No specific experience blockers mentioned; Matches target Full Stack Development role</t>
        </is>
      </c>
      <c r="AC133" t="inlineStr">
        <is>
          <t>UNKNOWN</t>
        </is>
      </c>
      <c r="AD133" t="inlineStr">
        <is>
          <t>Candidate availability details are not provided in the career brain</t>
        </is>
      </c>
      <c r="AE133" t="inlineStr">
        <is>
          <t>UNKNOWN</t>
        </is>
      </c>
      <c r="AF133" t="n">
        <v>0</v>
      </c>
      <c r="AG133" t="inlineStr">
        <is>
          <t>No</t>
        </is>
      </c>
      <c r="AH133" t="inlineStr">
        <is>
          <t>Not Mentioned</t>
        </is>
      </c>
      <c r="AI133" t="inlineStr">
        <is>
          <t>Job description does not explicitly mention PPO or conversion to full-time.</t>
        </is>
      </c>
      <c r="AK133" t="inlineStr">
        <is>
          <t>Stipend not disclosed; PPO not mentioned</t>
        </is>
      </c>
      <c r="AL133" t="inlineStr">
        <is>
          <t>MERN stack architecture and state management; Python integration with Node.js or Express.js; RESTful API design and database modeling with MongoDB; Past projects like StaySphere and Zenvest</t>
        </is>
      </c>
    </row>
    <row r="134">
      <c r="A134" t="inlineStr">
        <is>
          <t>GURURO-260912-133</t>
        </is>
      </c>
      <c r="B134" t="inlineStr">
        <is>
          <t>Gururo</t>
        </is>
      </c>
      <c r="C134" t="inlineStr">
        <is>
          <t>Full Stack Developer</t>
        </is>
      </c>
      <c r="D134" t="inlineStr">
        <is>
          <t>https://www.adzuna.in/details/5409733921?utm_medium=api&amp;utm_source=5ccdc27f</t>
        </is>
      </c>
      <c r="E134" t="inlineStr">
        <is>
          <t>AI Analyzer</t>
        </is>
      </c>
      <c r="F134" t="inlineStr">
        <is>
          <t>Vadodara, Gujarat</t>
        </is>
      </c>
      <c r="G134" t="inlineStr">
        <is>
          <t>On-site</t>
        </is>
      </c>
      <c r="H134" t="inlineStr">
        <is>
          <t>Based on experience and role</t>
        </is>
      </c>
      <c r="I134" t="inlineStr">
        <is>
          <t>Minimum 3 months</t>
        </is>
      </c>
      <c r="J134" t="inlineStr">
        <is>
          <t>UNKNOWN</t>
        </is>
      </c>
      <c r="K134" t="inlineStr">
        <is>
          <t>Full Stack Development</t>
        </is>
      </c>
      <c r="M134" t="inlineStr">
        <is>
          <t>Location: Vadodara Type: Full-time / Internship Duration (for interns): Minimum 3 months Stipend/CTC: Based on experience and role About Gururo Gururo is an industry leader in practical, career-transforming education. With a mission to empower professionals and students through real-world skills, we specialize in project management, leadership development, and emerging technologies. Join our fast-</t>
        </is>
      </c>
      <c r="N134" t="n">
        <v>73</v>
      </c>
      <c r="O134" t="n">
        <v>80</v>
      </c>
      <c r="P134" t="n">
        <v>85</v>
      </c>
      <c r="Q134" t="n">
        <v>90</v>
      </c>
      <c r="R134" t="n">
        <v>50</v>
      </c>
      <c r="S134" t="n">
        <v>50</v>
      </c>
      <c r="T134" t="n">
        <v>60</v>
      </c>
      <c r="U134" t="inlineStr">
        <is>
          <t>CONSIDER</t>
        </is>
      </c>
      <c r="V134" t="inlineStr">
        <is>
          <t>CONSIDER</t>
        </is>
      </c>
      <c r="X134" t="inlineStr">
        <is>
          <t>Default Full Stack / MERN Resume</t>
        </is>
      </c>
      <c r="Y134" t="inlineStr">
        <is>
          <t>2026-09-12</t>
        </is>
      </c>
      <c r="Z134" t="inlineStr">
        <is>
          <t>Role aligns well with target Full Stack Development positions.; Open to freshers and interns, matching Amaan's profile.</t>
        </is>
      </c>
      <c r="AA134" t="inlineStr">
        <is>
          <t>ELIGIBLE</t>
        </is>
      </c>
      <c r="AB134" t="inlineStr">
        <is>
          <t>Open to freshers and interns.; Matches target Full Stack Development role.</t>
        </is>
      </c>
      <c r="AC134" t="inlineStr">
        <is>
          <t>UNKNOWN</t>
        </is>
      </c>
      <c r="AD134" t="inlineStr">
        <is>
          <t>Availability requirements not specified in the JD.</t>
        </is>
      </c>
      <c r="AE134" t="inlineStr">
        <is>
          <t>UNKNOWN</t>
        </is>
      </c>
      <c r="AF134" t="n">
        <v>0</v>
      </c>
      <c r="AG134" t="inlineStr">
        <is>
          <t>No</t>
        </is>
      </c>
      <c r="AH134" t="inlineStr">
        <is>
          <t>UNKNOWN</t>
        </is>
      </c>
      <c r="AI134" t="inlineStr">
        <is>
          <t>No explicit mention of PPO or conversion.</t>
        </is>
      </c>
      <c r="AK134" t="inlineStr">
        <is>
          <t>Stipend is undisclosed and based on experience/role.</t>
        </is>
      </c>
      <c r="AL134" t="inlineStr">
        <is>
          <t>Full-stack web development projects; Frontend and backend integration; Scalable platform architecture</t>
        </is>
      </c>
    </row>
    <row r="135">
      <c r="A135" t="inlineStr">
        <is>
          <t>IRA-HOSPITAL-260912-134</t>
        </is>
      </c>
      <c r="B135" t="inlineStr">
        <is>
          <t>Ira Hospitality</t>
        </is>
      </c>
      <c r="C135" t="inlineStr">
        <is>
          <t>Full Stack Developer Intern</t>
        </is>
      </c>
      <c r="D135" t="inlineStr">
        <is>
          <t>https://www.adzuna.in/details/5864353429?utm_medium=api&amp;utm_source=5ccdc27f</t>
        </is>
      </c>
      <c r="E135" t="inlineStr">
        <is>
          <t>AI Analyzer</t>
        </is>
      </c>
      <c r="F135" t="inlineStr">
        <is>
          <t>Hyderabad, Telangana</t>
        </is>
      </c>
      <c r="G135" t="inlineStr">
        <is>
          <t>On-site</t>
        </is>
      </c>
      <c r="H135" t="inlineStr">
        <is>
          <t>Not specified</t>
        </is>
      </c>
      <c r="I135" t="inlineStr">
        <is>
          <t>6 Months</t>
        </is>
      </c>
      <c r="J135" t="inlineStr">
        <is>
          <t>Not Mentioned</t>
        </is>
      </c>
      <c r="K135" t="inlineStr">
        <is>
          <t>React; Frontend Development; Backend Development; Database Architecture</t>
        </is>
      </c>
      <c r="M135" t="inlineStr">
        <is>
          <t>Job Description Type: Full-Time Internship (Stipend-Paid) Duration: 6 Months The Role: As a Full Stack Developer Intern, you will be part of a fast-paced environment, working on real-world applications from day one. You will be responsible for building responsive frontends, scalable backends, and robust database architectures. This role is designed for a developer who understands the "Full Stack"</t>
        </is>
      </c>
      <c r="N135" t="n">
        <v>68</v>
      </c>
      <c r="O135" t="n">
        <v>24</v>
      </c>
      <c r="P135" t="n">
        <v>16</v>
      </c>
      <c r="Q135" t="n">
        <v>12</v>
      </c>
      <c r="R135" t="n">
        <v>5</v>
      </c>
      <c r="S135" t="n">
        <v>5</v>
      </c>
      <c r="T135" t="n">
        <v>6</v>
      </c>
      <c r="U135" t="inlineStr">
        <is>
          <t>STRETCH</t>
        </is>
      </c>
      <c r="V135" t="inlineStr">
        <is>
          <t>STRETCH</t>
        </is>
      </c>
      <c r="X135" t="inlineStr">
        <is>
          <t>Default Full Stack / MERN Resume</t>
        </is>
      </c>
      <c r="Y135" t="inlineStr">
        <is>
          <t>2026-09-12</t>
        </is>
      </c>
      <c r="Z135" t="inlineStr">
        <is>
          <t>Matches target Full Stack Development role.; Requires React which is part of the candidate's core MERN stack skills.</t>
        </is>
      </c>
      <c r="AA135" t="inlineStr">
        <is>
          <t>Eligible</t>
        </is>
      </c>
      <c r="AB135" t="inlineStr">
        <is>
          <t>Candidate is an MCA student matching the developer intern profile.</t>
        </is>
      </c>
      <c r="AC135" t="inlineStr">
        <is>
          <t>UNKNOWN</t>
        </is>
      </c>
      <c r="AD135" t="inlineStr">
        <is>
          <t>Candidate availability dates are not provided in the career brain.</t>
        </is>
      </c>
      <c r="AE135" t="inlineStr">
        <is>
          <t>UNKNOWN</t>
        </is>
      </c>
      <c r="AF135" t="n">
        <v>0</v>
      </c>
      <c r="AG135" t="inlineStr">
        <is>
          <t>No</t>
        </is>
      </c>
      <c r="AH135" t="inlineStr">
        <is>
          <t>Not Mentioned</t>
        </is>
      </c>
      <c r="AI135" t="inlineStr">
        <is>
          <t>No explicit PPO or conversion mention found in the truncated description.</t>
        </is>
      </c>
      <c r="AK135" t="inlineStr">
        <is>
          <t>Stipend amount is not disclosed</t>
        </is>
      </c>
      <c r="AL135" t="inlineStr">
        <is>
          <t>React component lifecycle and state management; Node.js and Express backend scalability; Database architecture design and queries; Full stack deployment lifecycle</t>
        </is>
      </c>
    </row>
    <row r="136">
      <c r="A136" t="inlineStr">
        <is>
          <t>WORQL-260912-135</t>
        </is>
      </c>
      <c r="B136" t="inlineStr">
        <is>
          <t>Worql</t>
        </is>
      </c>
      <c r="C136" t="inlineStr">
        <is>
          <t>Full-Stack Developer Intern — Next.js/TypeScript</t>
        </is>
      </c>
      <c r="D136" t="inlineStr">
        <is>
          <t>https://www.adzuna.in/details/5795401527?utm_medium=api&amp;utm_source=5ccdc27f</t>
        </is>
      </c>
      <c r="E136" t="inlineStr">
        <is>
          <t>AI Analyzer</t>
        </is>
      </c>
      <c r="F136" t="inlineStr">
        <is>
          <t>India</t>
        </is>
      </c>
      <c r="G136" t="inlineStr">
        <is>
          <t>remote</t>
        </is>
      </c>
      <c r="H136" t="inlineStr">
        <is>
          <t>Not specified</t>
        </is>
      </c>
      <c r="I136" t="inlineStr">
        <is>
          <t>UNKNOWN</t>
        </is>
      </c>
      <c r="J136" t="inlineStr">
        <is>
          <t>UNKNOWN</t>
        </is>
      </c>
      <c r="K136" t="inlineStr">
        <is>
          <t>Next.js; TypeScript</t>
        </is>
      </c>
      <c r="L136" t="inlineStr">
        <is>
          <t>LLM pipeline; GitHub API integration</t>
        </is>
      </c>
      <c r="M136" t="inlineStr">
        <is>
          <t>Worql is building the contract and delivery infrastructure for the US-India engineering corridor. This is a founding-level engineering role. The bar is high, the ownership is real, and you'll work directly with the founder. What you'll do: ship the core product end to end. Our Next.js app assembles US-India contracts from a vetted clause library, runs a multi-pass LLM pipeline, and verifies delive</t>
        </is>
      </c>
      <c r="N136" t="n">
        <v>60</v>
      </c>
      <c r="O136" t="n">
        <v>60</v>
      </c>
      <c r="P136" t="n">
        <v>70</v>
      </c>
      <c r="Q136" t="n">
        <v>80</v>
      </c>
      <c r="R136" t="n">
        <v>50</v>
      </c>
      <c r="S136" t="n">
        <v>0</v>
      </c>
      <c r="T136" t="n">
        <v>70</v>
      </c>
      <c r="U136" t="inlineStr">
        <is>
          <t>STRETCH</t>
        </is>
      </c>
      <c r="V136" t="inlineStr">
        <is>
          <t>STRETCH</t>
        </is>
      </c>
      <c r="W136" t="inlineStr">
        <is>
          <t>Next.js; TypeScript</t>
        </is>
      </c>
      <c r="X136" t="inlineStr">
        <is>
          <t>Amaanuddin_Ahmed_Full_Stack_Resume.pdf</t>
        </is>
      </c>
      <c r="Y136" t="inlineStr">
        <is>
          <t>2026-09-12</t>
        </is>
      </c>
      <c r="Z136" t="inlineStr">
        <is>
          <t>Founding-level engineering role working directly with the founder.; Matches target Full Stack Development role.; Remote work-mode aligns well.</t>
        </is>
      </c>
      <c r="AA136" t="inlineStr">
        <is>
          <t>ELIGIBLE</t>
        </is>
      </c>
      <c r="AB136" t="inlineStr">
        <is>
          <t>No explicit graduation year, degree, or experience blockers mentioned in the snippet.</t>
        </is>
      </c>
      <c r="AC136" t="inlineStr">
        <is>
          <t>UNKNOWN</t>
        </is>
      </c>
      <c r="AD136" t="inlineStr">
        <is>
          <t>Not specified in candidate profile or job description.</t>
        </is>
      </c>
      <c r="AE136" t="inlineStr">
        <is>
          <t>UNKNOWN</t>
        </is>
      </c>
      <c r="AF136" t="n">
        <v>0</v>
      </c>
      <c r="AG136" t="inlineStr">
        <is>
          <t>No</t>
        </is>
      </c>
      <c r="AH136" t="inlineStr">
        <is>
          <t>UNKNOWN</t>
        </is>
      </c>
      <c r="AI136" t="inlineStr">
        <is>
          <t>No explicit mention of PPO or conversion to full-time.</t>
        </is>
      </c>
      <c r="AK136" t="inlineStr">
        <is>
          <t>Stipend information is missing.</t>
        </is>
      </c>
      <c r="AL136" t="inlineStr">
        <is>
          <t>Next.js and TypeScript proficiency; Full-stack feature ownership from schema to UI; LLM pipeline integration concepts; GitHub-integrated verification layer</t>
        </is>
      </c>
    </row>
    <row r="137">
      <c r="A137" t="inlineStr">
        <is>
          <t>BIZDATEUP-TE-260912-136</t>
        </is>
      </c>
      <c r="B137" t="inlineStr">
        <is>
          <t>Bizdateup Technologies Pvt Ltd</t>
        </is>
      </c>
      <c r="C137" t="inlineStr">
        <is>
          <t>Fullstack Intern</t>
        </is>
      </c>
      <c r="D137" t="inlineStr">
        <is>
          <t>https://www.adzuna.in/details/5416883965?utm_medium=api&amp;utm_source=5ccdc27f</t>
        </is>
      </c>
      <c r="E137" t="inlineStr">
        <is>
          <t>AI Analyzer</t>
        </is>
      </c>
      <c r="F137" t="inlineStr">
        <is>
          <t>Mumbai, Maharashtra</t>
        </is>
      </c>
      <c r="G137" t="inlineStr">
        <is>
          <t>On-site</t>
        </is>
      </c>
      <c r="H137" t="inlineStr">
        <is>
          <t>As per company standards</t>
        </is>
      </c>
      <c r="I137" t="inlineStr">
        <is>
          <t>Not specified</t>
        </is>
      </c>
      <c r="J137" t="inlineStr">
        <is>
          <t>Unknown</t>
        </is>
      </c>
      <c r="K137" t="inlineStr">
        <is>
          <t>Full Stack Development</t>
        </is>
      </c>
      <c r="M137" t="inlineStr">
        <is>
          <t>Full Stack Developer Intern Company: BizDateUp Pvt Ltd Location : Charni Road, Mumbai Employment Type : Internship (Immediate Joining Preferred) Experience Level: Entry / Mid-Level(0 – 1 year experience) Stipend : As per company standards About BizDateUp Pvt Ltd BizDateUp Pvt Ltd is a dynamic and fast-paced technology startup committed to building innovative solutions. We believe in fostering a co</t>
        </is>
      </c>
      <c r="N137" t="n">
        <v>73</v>
      </c>
      <c r="O137" t="n">
        <v>24</v>
      </c>
      <c r="P137" t="n">
        <v>18</v>
      </c>
      <c r="Q137" t="n">
        <v>14</v>
      </c>
      <c r="R137" t="n">
        <v>7</v>
      </c>
      <c r="S137" t="n">
        <v>4</v>
      </c>
      <c r="T137" t="n">
        <v>6</v>
      </c>
      <c r="U137" t="inlineStr">
        <is>
          <t>CONSIDER</t>
        </is>
      </c>
      <c r="V137" t="inlineStr">
        <is>
          <t>CONSIDER</t>
        </is>
      </c>
      <c r="X137" t="inlineStr">
        <is>
          <t>Amaanuddin_Ahmed_Full_Stack_Resume.pdf</t>
        </is>
      </c>
      <c r="Y137" t="inlineStr">
        <is>
          <t>2026-09-12</t>
        </is>
      </c>
      <c r="Z137" t="inlineStr">
        <is>
          <t>Strong alignment with Full Stack internship role; Matches candidate MERN stack project experience (StaySphere, Zenvest); Entry-level requirement fits graduate background</t>
        </is>
      </c>
      <c r="AA137" t="inlineStr">
        <is>
          <t>Eligible</t>
        </is>
      </c>
      <c r="AB137" t="inlineStr">
        <is>
          <t>Entry-level 0-1 year experience matches candidate profile; MCA student background fits software engineering roles</t>
        </is>
      </c>
      <c r="AC137" t="inlineStr">
        <is>
          <t>Unknown</t>
        </is>
      </c>
      <c r="AD137" t="inlineStr">
        <is>
          <t>Immediate joining preferred is stated, but exact candidate availability window is not explicitly verified against this specific listing.</t>
        </is>
      </c>
      <c r="AE137" t="inlineStr">
        <is>
          <t>UNKNOWN</t>
        </is>
      </c>
      <c r="AF137" t="n">
        <v>0</v>
      </c>
      <c r="AG137" t="inlineStr">
        <is>
          <t>No</t>
        </is>
      </c>
      <c r="AH137" t="inlineStr">
        <is>
          <t>Unknown</t>
        </is>
      </c>
      <c r="AI137" t="inlineStr">
        <is>
          <t>No explicit PPO or conversion mention found in the truncated job description.</t>
        </is>
      </c>
      <c r="AK137" t="inlineStr">
        <is>
          <t>Stipend is listed as 'As per company standards' which may be below target</t>
        </is>
      </c>
      <c r="AL137" t="inlineStr">
        <is>
          <t>MERN Stack architecture; RESTful API design; State management in React; Database modeling with MongoDB</t>
        </is>
      </c>
    </row>
    <row r="138">
      <c r="A138" t="inlineStr">
        <is>
          <t>MERIDA-TECH--260912-137</t>
        </is>
      </c>
      <c r="B138" t="inlineStr">
        <is>
          <t>Merida Tech Minds Pvt Ltd</t>
        </is>
      </c>
      <c r="C138" t="inlineStr">
        <is>
          <t>Python Full Stack Developer Intern</t>
        </is>
      </c>
      <c r="D138" t="inlineStr">
        <is>
          <t>https://www.adzuna.in/details/5006723441?utm_medium=api&amp;utm_source=5ccdc27f</t>
        </is>
      </c>
      <c r="E138" t="inlineStr">
        <is>
          <t>AI Analyzer</t>
        </is>
      </c>
      <c r="F138" t="inlineStr">
        <is>
          <t>Bangalore, Karnataka</t>
        </is>
      </c>
      <c r="G138" t="inlineStr">
        <is>
          <t>Unknown</t>
        </is>
      </c>
      <c r="H138" t="inlineStr">
        <is>
          <t>Not specified</t>
        </is>
      </c>
      <c r="I138" t="inlineStr">
        <is>
          <t>Unknown</t>
        </is>
      </c>
      <c r="J138" t="inlineStr">
        <is>
          <t>Unknown</t>
        </is>
      </c>
      <c r="K138" t="inlineStr">
        <is>
          <t>Python; HTML; CSS; JavaScript; Backend frameworks (Django/Flask)</t>
        </is>
      </c>
      <c r="L138" t="inlineStr">
        <is>
          <t>React; Angular</t>
        </is>
      </c>
      <c r="M138" t="inlineStr">
        <is>
          <t>We are seeking a Python Full Stack Developer Intern with a passion for coding and learning to join our team. This role offers an excellent opportunity to work on both backend and frontend technologies in real-world projects. Responsibilities: Develop and maintain web applications using Python and relevant frameworks (e.g., Django, Flask). Build responsive front-end interfaces using HTML, CSS, and</t>
        </is>
      </c>
      <c r="N138" t="n">
        <v>68</v>
      </c>
      <c r="O138" t="n">
        <v>75</v>
      </c>
      <c r="P138" t="n">
        <v>80</v>
      </c>
      <c r="Q138" t="n">
        <v>80</v>
      </c>
      <c r="R138" t="n">
        <v>40</v>
      </c>
      <c r="S138" t="n">
        <v>50</v>
      </c>
      <c r="T138" t="n">
        <v>60</v>
      </c>
      <c r="U138" t="inlineStr">
        <is>
          <t>STRETCH</t>
        </is>
      </c>
      <c r="V138" t="inlineStr">
        <is>
          <t>STRETCH</t>
        </is>
      </c>
      <c r="W138" t="inlineStr">
        <is>
          <t>Django or Flask</t>
        </is>
      </c>
      <c r="X138" t="inlineStr">
        <is>
          <t>Default Full Stack / MERN / Python Resume</t>
        </is>
      </c>
      <c r="Y138" t="inlineStr">
        <is>
          <t>2026-09-12</t>
        </is>
      </c>
      <c r="Z138" t="inlineStr">
        <is>
          <t>Matches the candidate's core interest in full stack development.; Requires Python and frontend technologies like JavaScript and React which the candidate has experience with.</t>
        </is>
      </c>
      <c r="AA138" t="inlineStr">
        <is>
          <t>Eligible</t>
        </is>
      </c>
      <c r="AB138" t="inlineStr">
        <is>
          <t>No explicit degree or graduation year blockers found in the job description.</t>
        </is>
      </c>
      <c r="AC138" t="inlineStr">
        <is>
          <t>Unknown</t>
        </is>
      </c>
      <c r="AD138" t="inlineStr">
        <is>
          <t>Candidate availability details are not tracked in the career brain.</t>
        </is>
      </c>
      <c r="AE138" t="inlineStr">
        <is>
          <t>UNKNOWN</t>
        </is>
      </c>
      <c r="AF138" t="n">
        <v>0</v>
      </c>
      <c r="AG138" t="inlineStr">
        <is>
          <t>No</t>
        </is>
      </c>
      <c r="AH138" t="inlineStr">
        <is>
          <t>Unknown</t>
        </is>
      </c>
      <c r="AI138" t="inlineStr">
        <is>
          <t>No mention of PPO or conversion to full-time employment in the job description.</t>
        </is>
      </c>
      <c r="AK138" t="inlineStr">
        <is>
          <t>Stipend is not disclosed.</t>
        </is>
      </c>
      <c r="AL138" t="inlineStr">
        <is>
          <t>Python fundamentals and OOPs; Django or Flask architectural patterns; JavaScript asynchronous programming; React state management and component lifecycle; RESTful API design</t>
        </is>
      </c>
    </row>
    <row r="139">
      <c r="A139" t="inlineStr">
        <is>
          <t>CROSSML-PRIV-260912-138</t>
        </is>
      </c>
      <c r="B139" t="inlineStr">
        <is>
          <t>CrossML Private Limited</t>
        </is>
      </c>
      <c r="C139" t="inlineStr">
        <is>
          <t>Intern AI Full Stack Developer</t>
        </is>
      </c>
      <c r="D139" t="inlineStr">
        <is>
          <t>https://www.adzuna.in/details/5855696631?utm_medium=api&amp;utm_source=5ccdc27f</t>
        </is>
      </c>
      <c r="E139" t="inlineStr">
        <is>
          <t>AI Analyzer</t>
        </is>
      </c>
      <c r="F139" t="inlineStr">
        <is>
          <t>Chandigarh, India</t>
        </is>
      </c>
      <c r="G139" t="inlineStr">
        <is>
          <t>unknown</t>
        </is>
      </c>
      <c r="H139" t="inlineStr">
        <is>
          <t>unknown</t>
        </is>
      </c>
      <c r="I139" t="inlineStr">
        <is>
          <t>unknown</t>
        </is>
      </c>
      <c r="J139" t="inlineStr">
        <is>
          <t>not mentioned</t>
        </is>
      </c>
      <c r="K139" t="inlineStr">
        <is>
          <t>Full Stack Development; AI/Machine Learning Integration</t>
        </is>
      </c>
      <c r="L139" t="inlineStr">
        <is>
          <t>React.js; Node.js; Python</t>
        </is>
      </c>
      <c r="M139" t="inlineStr">
        <is>
          <t>Job Description: AI Full Stack Developer Intern About CrossML CrossML is a cutting-edge software development firm specializing in AI and machine learning solutions. We deliver innovative technologies to empower businesses and enhance operational efficiency. Join us to work on impactful projects and gain hands-on experience in the evolving AI tech landscape. Position Overview We are looking for an</t>
        </is>
      </c>
      <c r="N139" t="n">
        <v>62</v>
      </c>
      <c r="O139" t="n">
        <v>24</v>
      </c>
      <c r="P139" t="n">
        <v>15</v>
      </c>
      <c r="Q139" t="n">
        <v>12</v>
      </c>
      <c r="R139" t="n">
        <v>5</v>
      </c>
      <c r="S139" t="n">
        <v>0</v>
      </c>
      <c r="T139" t="n">
        <v>6</v>
      </c>
      <c r="U139" t="inlineStr">
        <is>
          <t>STRETCH</t>
        </is>
      </c>
      <c r="V139" t="inlineStr">
        <is>
          <t>STRETCH</t>
        </is>
      </c>
      <c r="W139" t="inlineStr">
        <is>
          <t>Dedicated AI/ML framework deployment in production</t>
        </is>
      </c>
      <c r="X139" t="inlineStr">
        <is>
          <t>Amaanuddin_Ahmed_Full_Stack_Resume.pdf</t>
        </is>
      </c>
      <c r="Y139" t="inlineStr">
        <is>
          <t>2026-09-12</t>
        </is>
      </c>
      <c r="Z139" t="inlineStr">
        <is>
          <t>Aligns with Full Stack Development and AI-adjacent software engineering targets.; Matches core tech stack including React and Node.</t>
        </is>
      </c>
      <c r="AA139" t="inlineStr">
        <is>
          <t>eligible</t>
        </is>
      </c>
      <c r="AB139" t="inlineStr">
        <is>
          <t>No specific hard degree or graduation year blockers mentioned in the snippet.</t>
        </is>
      </c>
      <c r="AC139" t="inlineStr">
        <is>
          <t>unknown</t>
        </is>
      </c>
      <c r="AD139" t="inlineStr">
        <is>
          <t>Not specified in the job description.</t>
        </is>
      </c>
      <c r="AE139" t="inlineStr">
        <is>
          <t>unknown</t>
        </is>
      </c>
      <c r="AF139" t="n">
        <v>0</v>
      </c>
      <c r="AG139" t="inlineStr">
        <is>
          <t>No</t>
        </is>
      </c>
      <c r="AH139" t="inlineStr">
        <is>
          <t>not mentioned</t>
        </is>
      </c>
      <c r="AI139" t="inlineStr">
        <is>
          <t>No explicit PPO or conversion mention found in the truncated JD.</t>
        </is>
      </c>
      <c r="AK139" t="inlineStr">
        <is>
          <t>Stipend information is missing; Job description is truncated</t>
        </is>
      </c>
      <c r="AL139" t="inlineStr">
        <is>
          <t>Full stack system design; AI/ML model integration with web frontends; Node.js and React architecture</t>
        </is>
      </c>
    </row>
    <row r="140">
      <c r="A140" t="inlineStr">
        <is>
          <t>JABSA-260912-139</t>
        </is>
      </c>
      <c r="B140" t="inlineStr">
        <is>
          <t>Jabsa</t>
        </is>
      </c>
      <c r="C140" t="inlineStr">
        <is>
          <t>Internship Full stack development</t>
        </is>
      </c>
      <c r="D140" t="inlineStr">
        <is>
          <t>https://www.adzuna.in/details/5862885288?utm_medium=api&amp;utm_source=5ccdc27f</t>
        </is>
      </c>
      <c r="E140" t="inlineStr">
        <is>
          <t>AI Analyzer</t>
        </is>
      </c>
      <c r="F140" t="inlineStr">
        <is>
          <t>Belgaum, Karnataka</t>
        </is>
      </c>
      <c r="G140" t="inlineStr">
        <is>
          <t>unknown</t>
        </is>
      </c>
      <c r="H140" t="inlineStr">
        <is>
          <t>Not specified</t>
        </is>
      </c>
      <c r="I140" t="inlineStr">
        <is>
          <t>3 months</t>
        </is>
      </c>
      <c r="J140" t="inlineStr">
        <is>
          <t>not mentioned</t>
        </is>
      </c>
      <c r="K140" t="inlineStr">
        <is>
          <t>React; Tailwind CSS; Laravel</t>
        </is>
      </c>
      <c r="M140" t="inlineStr">
        <is>
          <t>Full-Stack Development Internship This internship is a holistic opportunity for individuals eager to explore the realms of full-stack web development. Over the 3-month duration, participants will immerse themselves in three key technologies: React for dynamic user interfaces, Tailwind CSS for modern and responsive designs, and Laravel for robust backend development. Internship Highlights Hands-on</t>
        </is>
      </c>
      <c r="N140" t="n">
        <v>45</v>
      </c>
      <c r="O140" t="n">
        <v>40</v>
      </c>
      <c r="P140" t="n">
        <v>70</v>
      </c>
      <c r="Q140" t="n">
        <v>70</v>
      </c>
      <c r="R140" t="n">
        <v>0</v>
      </c>
      <c r="S140" t="n">
        <v>0</v>
      </c>
      <c r="T140" t="n">
        <v>50</v>
      </c>
      <c r="U140" t="inlineStr">
        <is>
          <t>SKIP</t>
        </is>
      </c>
      <c r="V140" t="inlineStr">
        <is>
          <t>SKIP</t>
        </is>
      </c>
      <c r="W140" t="inlineStr">
        <is>
          <t>Tailwind CSS; Laravel</t>
        </is>
      </c>
      <c r="X140" t="inlineStr">
        <is>
          <t>Amaan_FullStack_Resume</t>
        </is>
      </c>
      <c r="Y140" t="inlineStr">
        <is>
          <t>2026-09-12</t>
        </is>
      </c>
      <c r="Z140" t="inlineStr">
        <is>
          <t>Aligns with Full Stack Development target roles.</t>
        </is>
      </c>
      <c r="AA140" t="inlineStr">
        <is>
          <t>eligible</t>
        </is>
      </c>
      <c r="AB140" t="inlineStr">
        <is>
          <t>No explicit degree or graduation-year blockers mentioned in the job description.</t>
        </is>
      </c>
      <c r="AC140" t="inlineStr">
        <is>
          <t>unknown</t>
        </is>
      </c>
      <c r="AD140" t="inlineStr">
        <is>
          <t>Availability not specified in the job description.</t>
        </is>
      </c>
      <c r="AE140" t="inlineStr">
        <is>
          <t>UNKNOWN</t>
        </is>
      </c>
      <c r="AF140" t="n">
        <v>0</v>
      </c>
      <c r="AG140" t="inlineStr">
        <is>
          <t>No</t>
        </is>
      </c>
      <c r="AH140" t="inlineStr">
        <is>
          <t>not mentioned</t>
        </is>
      </c>
      <c r="AI140" t="inlineStr">
        <is>
          <t>No mention of PPO or conversion to full-time in the job description.</t>
        </is>
      </c>
      <c r="AK140" t="inlineStr">
        <is>
          <t>Stipend details not disclosed; No PPO mention</t>
        </is>
      </c>
      <c r="AL140" t="inlineStr">
        <is>
          <t>React state management; Tailwind CSS responsiveness; Laravel backend architecture; Past MERN stack projects</t>
        </is>
      </c>
    </row>
    <row r="141">
      <c r="A141" t="inlineStr">
        <is>
          <t>SPACENOS-260912-140</t>
        </is>
      </c>
      <c r="B141" t="inlineStr">
        <is>
          <t>Spacenos</t>
        </is>
      </c>
      <c r="C141" t="inlineStr">
        <is>
          <t>Full Stack Developer Intern</t>
        </is>
      </c>
      <c r="D141" t="inlineStr">
        <is>
          <t>https://www.adzuna.in/details/3095392882?utm_medium=api&amp;utm_source=5ccdc27f</t>
        </is>
      </c>
      <c r="E141" t="inlineStr">
        <is>
          <t>AI Analyzer</t>
        </is>
      </c>
      <c r="F141" t="inlineStr">
        <is>
          <t>India</t>
        </is>
      </c>
      <c r="G141" t="inlineStr">
        <is>
          <t>UNKNOWN</t>
        </is>
      </c>
      <c r="H141" t="inlineStr">
        <is>
          <t>Not specified</t>
        </is>
      </c>
      <c r="I141" t="inlineStr">
        <is>
          <t>UNKNOWN</t>
        </is>
      </c>
      <c r="J141" t="inlineStr">
        <is>
          <t>NOT_MENTIONED</t>
        </is>
      </c>
      <c r="K141" t="inlineStr">
        <is>
          <t>JavaScript; React.js; Node.js; Git</t>
        </is>
      </c>
      <c r="L141" t="inlineStr">
        <is>
          <t>Firebase; Firestore Functions</t>
        </is>
      </c>
      <c r="M141" t="inlineStr">
        <is>
          <t>We are looking for skilled Full Stack Developer interns who can oversee the complete software development road cycle at Spacenos and work on building amazing products. Skills Required Experience with JavaScript and ReactJs framework. Experience with NodeJs, Firebase and Firestore Functions. Candidates should have the ability to pick up new technologies quickly Knowledge of code versioning tools (s</t>
        </is>
      </c>
      <c r="N141" t="n">
        <v>64</v>
      </c>
      <c r="O141" t="n">
        <v>24</v>
      </c>
      <c r="P141" t="n">
        <v>20</v>
      </c>
      <c r="Q141" t="n">
        <v>15</v>
      </c>
      <c r="R141" t="n">
        <v>0</v>
      </c>
      <c r="S141" t="n">
        <v>0</v>
      </c>
      <c r="T141" t="n">
        <v>5</v>
      </c>
      <c r="U141" t="inlineStr">
        <is>
          <t>STRETCH</t>
        </is>
      </c>
      <c r="V141" t="inlineStr">
        <is>
          <t>STRETCH</t>
        </is>
      </c>
      <c r="W141" t="inlineStr">
        <is>
          <t>Firebase; Firestore Functions</t>
        </is>
      </c>
      <c r="X141" t="inlineStr">
        <is>
          <t>Default Full Stack / MERN Resume</t>
        </is>
      </c>
      <c r="Y141" t="inlineStr">
        <is>
          <t>2026-09-12</t>
        </is>
      </c>
      <c r="Z141" t="inlineStr">
        <is>
          <t>Core required skills in JavaScript, React.js, and Node.js match Amaan's MERN stack expertise.; Good opportunity for hands-on full-stack development experience.</t>
        </is>
      </c>
      <c r="AA141" t="inlineStr">
        <is>
          <t>ELIGIBLE</t>
        </is>
      </c>
      <c r="AB141" t="inlineStr">
        <is>
          <t>No specific degree or experience blockers mentioned in the job description.</t>
        </is>
      </c>
      <c r="AC141" t="inlineStr">
        <is>
          <t>UNKNOWN</t>
        </is>
      </c>
      <c r="AD141" t="inlineStr">
        <is>
          <t>Candidate availability details are not provided in the career brain.</t>
        </is>
      </c>
      <c r="AE141" t="inlineStr">
        <is>
          <t>UNKNOWN</t>
        </is>
      </c>
      <c r="AF141" t="n">
        <v>0</v>
      </c>
      <c r="AG141" t="inlineStr">
        <is>
          <t>No</t>
        </is>
      </c>
      <c r="AH141" t="inlineStr">
        <is>
          <t>NOT_MENTIONED</t>
        </is>
      </c>
      <c r="AI141" t="inlineStr">
        <is>
          <t>No mention of PPO or conversion to full-time role in the job description.</t>
        </is>
      </c>
      <c r="AK141" t="inlineStr">
        <is>
          <t>Stipend is not disclosed.</t>
        </is>
      </c>
      <c r="AL141" t="inlineStr">
        <is>
          <t>JavaScript concepts and asynchronous programming; React.js state management and component lifecycle; Node.js and Express REST API development; Git version control workflows</t>
        </is>
      </c>
    </row>
    <row r="142">
      <c r="A142" t="inlineStr">
        <is>
          <t>9VBYTE-260912-141</t>
        </is>
      </c>
      <c r="B142" t="inlineStr">
        <is>
          <t>9vbyte</t>
        </is>
      </c>
      <c r="C142" t="inlineStr">
        <is>
          <t>Full Stack Developer</t>
        </is>
      </c>
      <c r="D142" t="inlineStr">
        <is>
          <t>https://www.adzuna.in/details/5781956016?utm_medium=api&amp;utm_source=5ccdc27f</t>
        </is>
      </c>
      <c r="E142" t="inlineStr">
        <is>
          <t>AI Analyzer</t>
        </is>
      </c>
      <c r="F142" t="inlineStr">
        <is>
          <t>Telangana, India</t>
        </is>
      </c>
      <c r="G142" t="inlineStr">
        <is>
          <t>UNKNOWN</t>
        </is>
      </c>
      <c r="H142" t="inlineStr">
        <is>
          <t>Not specified</t>
        </is>
      </c>
      <c r="I142" t="inlineStr">
        <is>
          <t>UNKNOWN</t>
        </is>
      </c>
      <c r="J142" t="inlineStr">
        <is>
          <t>UNKNOWN</t>
        </is>
      </c>
      <c r="K142" t="inlineStr">
        <is>
          <t>JavaScript; Node; React; HTML; CSS; SQL; Python</t>
        </is>
      </c>
      <c r="L142" t="inlineStr">
        <is>
          <t>Unix; Data Structures; Algorithm Design</t>
        </is>
      </c>
      <c r="M142" t="inlineStr">
        <is>
          <t>Education B.S. Computer Science, University of Pittsburgh, Pittsburgh, PA, 2015-2019 Skills JavaScript (Node, React) HTML/CSS SQL, Unix, Python Relevant Courses Data Structures Algorithm Design Database Computer Vision Software Design Methodology Work Experience Full Stack Developer Intern at Book of the Month (April 2019 - March 2020) Developed an in-house web app using Node, React, HTML/CSS that</t>
        </is>
      </c>
      <c r="N142" t="n">
        <v>67</v>
      </c>
      <c r="O142" t="n">
        <v>27</v>
      </c>
      <c r="P142" t="n">
        <v>16</v>
      </c>
      <c r="Q142" t="n">
        <v>14</v>
      </c>
      <c r="R142" t="n">
        <v>5</v>
      </c>
      <c r="S142" t="n">
        <v>0</v>
      </c>
      <c r="T142" t="n">
        <v>5</v>
      </c>
      <c r="U142" t="inlineStr">
        <is>
          <t>STRETCH</t>
        </is>
      </c>
      <c r="V142" t="inlineStr">
        <is>
          <t>STRETCH</t>
        </is>
      </c>
      <c r="X142" t="inlineStr">
        <is>
          <t>Amaanuddin_Ahmed_Full_Stack_Resume.pdf</t>
        </is>
      </c>
      <c r="Y142" t="inlineStr">
        <is>
          <t>2026-09-12</t>
        </is>
      </c>
      <c r="Z142" t="inlineStr">
        <is>
          <t>Strong technical overlap with required stack including JavaScript, Node, React, and SQL.; Matches target Full Stack Developer role.</t>
        </is>
      </c>
      <c r="AA142" t="inlineStr">
        <is>
          <t>ELIGIBLE</t>
        </is>
      </c>
      <c r="AB142" t="inlineStr">
        <is>
          <t>Candidate meets general academic background in MCA matching software engineering requirements.</t>
        </is>
      </c>
      <c r="AC142" t="inlineStr">
        <is>
          <t>UNKNOWN</t>
        </is>
      </c>
      <c r="AD142" t="inlineStr">
        <is>
          <t>Availability timeline not specified in candidate profile.</t>
        </is>
      </c>
      <c r="AE142" t="inlineStr">
        <is>
          <t>UNKNOWN</t>
        </is>
      </c>
      <c r="AF142" t="n">
        <v>0</v>
      </c>
      <c r="AG142" t="inlineStr">
        <is>
          <t>No</t>
        </is>
      </c>
      <c r="AH142" t="inlineStr">
        <is>
          <t>UNKNOWN</t>
        </is>
      </c>
      <c r="AI142" t="inlineStr">
        <is>
          <t>No explicit PPO or conversion mention found in the job description.</t>
        </is>
      </c>
      <c r="AK142" t="inlineStr">
        <is>
          <t>Job description appears to contain sample resume text instead of standard job requirements.</t>
        </is>
      </c>
      <c r="AL142" t="inlineStr">
        <is>
          <t>JavaScript and Node.js backend development; React.js state management and frontend architecture; SQL database design and queries; Python scripting and problem solving</t>
        </is>
      </c>
    </row>
    <row r="143">
      <c r="A143" t="inlineStr">
        <is>
          <t>ZIPLR-TECHNO-260912-142</t>
        </is>
      </c>
      <c r="B143" t="inlineStr">
        <is>
          <t>Ziplr Technology</t>
        </is>
      </c>
      <c r="C143" t="inlineStr">
        <is>
          <t>Internship - Full Stack Developer</t>
        </is>
      </c>
      <c r="D143" t="inlineStr">
        <is>
          <t>https://www.adzuna.in/details/4801482006?utm_medium=api&amp;utm_source=5ccdc27f</t>
        </is>
      </c>
      <c r="E143" t="inlineStr">
        <is>
          <t>AI Analyzer</t>
        </is>
      </c>
      <c r="F143" t="inlineStr">
        <is>
          <t>Bhubaneswar, India</t>
        </is>
      </c>
      <c r="G143" t="inlineStr">
        <is>
          <t>UNKNOWN</t>
        </is>
      </c>
      <c r="H143" t="inlineStr">
        <is>
          <t>Not Disclosed</t>
        </is>
      </c>
      <c r="I143" t="inlineStr">
        <is>
          <t>UNKNOWN</t>
        </is>
      </c>
      <c r="J143" t="inlineStr">
        <is>
          <t>UNKNOWN</t>
        </is>
      </c>
      <c r="K143" t="inlineStr">
        <is>
          <t>PHP</t>
        </is>
      </c>
      <c r="M143" t="inlineStr">
        <is>
          <t>Internship - Full Stack Developer Ziplr is looking for techies in PHP to join our development team. Are you the best programmer in your batch or office? Do you lose your sleep till you have solved a technical problem? Can you stay up the whole night just to write a beautiful piece of code which runs flawlessly? Note - If you answered yes to all above asked questions only then, read the below text.</t>
        </is>
      </c>
      <c r="N143" t="n">
        <v>0</v>
      </c>
      <c r="O143" t="n">
        <v>0</v>
      </c>
      <c r="P143" t="n">
        <v>0</v>
      </c>
      <c r="Q143" t="n">
        <v>0</v>
      </c>
      <c r="R143" t="n">
        <v>0</v>
      </c>
      <c r="S143" t="n">
        <v>0</v>
      </c>
      <c r="T143" t="n">
        <v>0</v>
      </c>
      <c r="U143" t="inlineStr">
        <is>
          <t>SKIP</t>
        </is>
      </c>
      <c r="V143" t="inlineStr">
        <is>
          <t>SKIP</t>
        </is>
      </c>
      <c r="W143" t="inlineStr">
        <is>
          <t>PHP</t>
        </is>
      </c>
      <c r="X143" t="inlineStr">
        <is>
          <t>Amaanuddin_Ahmed_Default_Resume</t>
        </is>
      </c>
      <c r="Y143" t="inlineStr">
        <is>
          <t>2026-09-12</t>
        </is>
      </c>
      <c r="AA143" t="inlineStr">
        <is>
          <t>FAIL</t>
        </is>
      </c>
      <c r="AB143" t="inlineStr">
        <is>
          <t>Mandatory technology requirement for PHP is not in candidate's demonstrated skills.</t>
        </is>
      </c>
      <c r="AC143" t="inlineStr">
        <is>
          <t>UNKNOWN</t>
        </is>
      </c>
      <c r="AD143" t="inlineStr">
        <is>
          <t>Availability not provided in the career brain or job description.</t>
        </is>
      </c>
      <c r="AE143" t="inlineStr">
        <is>
          <t>UNKNOWN</t>
        </is>
      </c>
      <c r="AF143" t="n">
        <v>0</v>
      </c>
      <c r="AG143" t="inlineStr">
        <is>
          <t>No</t>
        </is>
      </c>
      <c r="AH143" t="inlineStr">
        <is>
          <t>UNKNOWN</t>
        </is>
      </c>
      <c r="AI143" t="inlineStr">
        <is>
          <t>No mention of PPO or conversion in the snippet.</t>
        </is>
      </c>
      <c r="AJ143" t="inlineStr">
        <is>
          <t>Mandatory technology stack (PHP) mismatch.</t>
        </is>
      </c>
      <c r="AK143" t="inlineStr">
        <is>
          <t>Tone of the job description demands working through the night and extreme commitment.</t>
        </is>
      </c>
      <c r="AL143" t="inlineStr">
        <is>
          <t>PHP; Backend Development; Enterprise Software</t>
        </is>
      </c>
    </row>
    <row r="144">
      <c r="A144" t="inlineStr">
        <is>
          <t>BHARATGO-260912-143</t>
        </is>
      </c>
      <c r="B144" t="inlineStr">
        <is>
          <t>BharatGo</t>
        </is>
      </c>
      <c r="C144" t="inlineStr">
        <is>
          <t>Fullstack Developer</t>
        </is>
      </c>
      <c r="D144" t="inlineStr">
        <is>
          <t>https://www.adzuna.in/details/5583649235?utm_medium=api&amp;utm_source=5ccdc27f</t>
        </is>
      </c>
      <c r="E144" t="inlineStr">
        <is>
          <t>AI Analyzer</t>
        </is>
      </c>
      <c r="F144" t="inlineStr">
        <is>
          <t>Pune, Maharashtra</t>
        </is>
      </c>
      <c r="G144" t="inlineStr">
        <is>
          <t>UNKNOWN</t>
        </is>
      </c>
      <c r="H144" t="inlineStr">
        <is>
          <t>Not specified</t>
        </is>
      </c>
      <c r="I144" t="inlineStr">
        <is>
          <t>UNKNOWN</t>
        </is>
      </c>
      <c r="J144" t="inlineStr">
        <is>
          <t>UNKNOWN</t>
        </is>
      </c>
      <c r="K144" t="inlineStr">
        <is>
          <t>Next.js; React.js; Node.js; PostgreSQL; AWS</t>
        </is>
      </c>
      <c r="M144" t="inlineStr">
        <is>
          <t>Role &amp; Responsibilities: As a Full Stack Developer Intern, you will take on significant responsibilities in the design, development, and maintenance of web applications using Next.js, React.js, Node.js, PostgreSQL, and AWS Cloud services. We seek individuals who are self-motivated, energetic, and capable of delivering high-quality work with minimal supervision. Develop user-friendly web applicatio</t>
        </is>
      </c>
      <c r="N144" t="n">
        <v>65</v>
      </c>
      <c r="O144" t="n">
        <v>20</v>
      </c>
      <c r="P144" t="n">
        <v>20</v>
      </c>
      <c r="Q144" t="n">
        <v>15</v>
      </c>
      <c r="R144" t="n">
        <v>5</v>
      </c>
      <c r="S144" t="n">
        <v>0</v>
      </c>
      <c r="T144" t="n">
        <v>5</v>
      </c>
      <c r="U144" t="inlineStr">
        <is>
          <t>STRETCH</t>
        </is>
      </c>
      <c r="V144" t="inlineStr">
        <is>
          <t>STRETCH</t>
        </is>
      </c>
      <c r="W144" t="inlineStr">
        <is>
          <t>Next.js; PostgreSQL; AWS</t>
        </is>
      </c>
      <c r="X144" t="inlineStr">
        <is>
          <t>Default Full Stack Resume</t>
        </is>
      </c>
      <c r="Y144" t="inlineStr">
        <is>
          <t>2026-09-12</t>
        </is>
      </c>
      <c r="Z144" t="inlineStr">
        <is>
          <t>Matches target Full Stack Development role.; Requires core technologies like React.js and Node.js which candidate has demonstrated.</t>
        </is>
      </c>
      <c r="AA144" t="inlineStr">
        <is>
          <t>ELIGIBLE</t>
        </is>
      </c>
      <c r="AC144" t="inlineStr">
        <is>
          <t>UNKNOWN</t>
        </is>
      </c>
      <c r="AD144" t="inlineStr">
        <is>
          <t>Availability details not provided in the candidate profile.</t>
        </is>
      </c>
      <c r="AE144" t="inlineStr">
        <is>
          <t>UNKNOWN</t>
        </is>
      </c>
      <c r="AF144" t="n">
        <v>0</v>
      </c>
      <c r="AG144" t="inlineStr">
        <is>
          <t>No</t>
        </is>
      </c>
      <c r="AH144" t="inlineStr">
        <is>
          <t>UNKNOWN</t>
        </is>
      </c>
      <c r="AI144" t="inlineStr">
        <is>
          <t>No explicit PPO or conversion mention found in the snippet.</t>
        </is>
      </c>
      <c r="AK144" t="inlineStr">
        <is>
          <t>Stipend is completely unspecified</t>
        </is>
      </c>
      <c r="AL144" t="inlineStr">
        <is>
          <t>React.js and Next.js architecture; Node.js RESTful API design; PostgreSQL database management; AWS Cloud services basics</t>
        </is>
      </c>
    </row>
    <row r="145">
      <c r="A145" t="inlineStr">
        <is>
          <t>WEB-DIGITAL--260912-144</t>
        </is>
      </c>
      <c r="B145" t="inlineStr">
        <is>
          <t>Web Digital Mantra IT Services Pvt Ltd</t>
        </is>
      </c>
      <c r="C145" t="inlineStr">
        <is>
          <t>Backend Developer Intern</t>
        </is>
      </c>
      <c r="D145" t="inlineStr">
        <is>
          <t>https://www.adzuna.in/details/5775994272?utm_medium=api&amp;utm_source=5ccdc27f</t>
        </is>
      </c>
      <c r="E145" t="inlineStr">
        <is>
          <t>AI Analyzer</t>
        </is>
      </c>
      <c r="F145" t="inlineStr">
        <is>
          <t>Bangalore, Karnataka</t>
        </is>
      </c>
      <c r="G145" t="inlineStr">
        <is>
          <t>On-site / Unspecified</t>
        </is>
      </c>
      <c r="H145" t="inlineStr">
        <is>
          <t>Paid Internship</t>
        </is>
      </c>
      <c r="I145" t="inlineStr">
        <is>
          <t>6 Months</t>
        </is>
      </c>
      <c r="J145" t="inlineStr">
        <is>
          <t>NOT_MENTIONED</t>
        </is>
      </c>
      <c r="K145" t="inlineStr">
        <is>
          <t>Node.js; Python; PHP; Laravel; React.js; JSON; MySQL; MongoDB; PostgreSQL</t>
        </is>
      </c>
      <c r="L145" t="inlineStr">
        <is>
          <t>AI-powered development tools; Kannada-speaking</t>
        </is>
      </c>
      <c r="M145" t="inlineStr">
        <is>
          <t>We are looking for a passionate Backend Developer Intern (Paid Internship - 6 Months) with proficiency in Node.js, Python, PHP, and Laravel, along with working knowledge of React.js. Candidates should have prior internship experience, familiarity with AI-powered development tools, and strong problem-solving skills. Kannada-speaking candidates will be preferred. Skills:- React.js, NodeJS (Node.js),</t>
        </is>
      </c>
      <c r="N145" t="n">
        <v>65</v>
      </c>
      <c r="O145" t="n">
        <v>70</v>
      </c>
      <c r="P145" t="n">
        <v>60</v>
      </c>
      <c r="Q145" t="n">
        <v>80</v>
      </c>
      <c r="R145" t="n">
        <v>50</v>
      </c>
      <c r="S145" t="n">
        <v>50</v>
      </c>
      <c r="T145" t="n">
        <v>60</v>
      </c>
      <c r="U145" t="inlineStr">
        <is>
          <t>STRETCH</t>
        </is>
      </c>
      <c r="V145" t="inlineStr">
        <is>
          <t>STRETCH</t>
        </is>
      </c>
      <c r="W145" t="inlineStr">
        <is>
          <t>PHP; Laravel</t>
        </is>
      </c>
      <c r="X145" t="inlineStr">
        <is>
          <t>Full Stack / Backend Resume emphasizing Node.js, Python, and MERN stack</t>
        </is>
      </c>
      <c r="Y145" t="inlineStr">
        <is>
          <t>2026-09-12</t>
        </is>
      </c>
      <c r="Z145" t="inlineStr">
        <is>
          <t>Matches target Backend Developer role; Located in Bangalore; Aligns with core Node.js and Python skills</t>
        </is>
      </c>
      <c r="AA145" t="inlineStr">
        <is>
          <t>ELIGIBLE</t>
        </is>
      </c>
      <c r="AB145" t="inlineStr">
        <is>
          <t>No absolute degree blockers mentioned; Location matches Bangalore</t>
        </is>
      </c>
      <c r="AC145" t="inlineStr">
        <is>
          <t>UNKNOWN</t>
        </is>
      </c>
      <c r="AD145" t="inlineStr">
        <is>
          <t>Availability constraint not specified in Career Brain</t>
        </is>
      </c>
      <c r="AE145" t="inlineStr">
        <is>
          <t>UNKNOWN</t>
        </is>
      </c>
      <c r="AF145" t="n">
        <v>0</v>
      </c>
      <c r="AG145" t="inlineStr">
        <is>
          <t>No</t>
        </is>
      </c>
      <c r="AH145" t="inlineStr">
        <is>
          <t>NOT_MENTIONED</t>
        </is>
      </c>
      <c r="AI145" t="inlineStr">
        <is>
          <t>No explicit PPO or conversion mention found in the job description</t>
        </is>
      </c>
      <c r="AK145" t="inlineStr">
        <is>
          <t>Prior internship experience required which might be a blocker depending on strictness; PHP and Laravel required which are not in primary stack</t>
        </is>
      </c>
      <c r="AL145" t="inlineStr">
        <is>
          <t>Node.js and asynchronous programming; Python backend fundamentals; Database management with MySQL, MongoDB, and PostgreSQL; Problem-solving and REST API design</t>
        </is>
      </c>
    </row>
    <row r="146">
      <c r="A146" t="inlineStr">
        <is>
          <t>GARNISH-COMP-260912-145</t>
        </is>
      </c>
      <c r="B146" t="inlineStr">
        <is>
          <t>Garnish Company</t>
        </is>
      </c>
      <c r="C146" t="inlineStr">
        <is>
          <t>Backend Developer intern</t>
        </is>
      </c>
      <c r="D146" t="inlineStr">
        <is>
          <t>https://www.adzuna.in/details/2087142658?utm_medium=api&amp;utm_source=5ccdc27f</t>
        </is>
      </c>
      <c r="E146" t="inlineStr">
        <is>
          <t>AI Analyzer</t>
        </is>
      </c>
      <c r="F146" t="inlineStr">
        <is>
          <t>Hyderabad, Telangana</t>
        </is>
      </c>
      <c r="G146" t="inlineStr">
        <is>
          <t>UNKNOWN</t>
        </is>
      </c>
      <c r="H146" t="inlineStr">
        <is>
          <t>Not specified</t>
        </is>
      </c>
      <c r="I146" t="inlineStr">
        <is>
          <t>UNKNOWN</t>
        </is>
      </c>
      <c r="J146" t="inlineStr">
        <is>
          <t>UNKNOWN</t>
        </is>
      </c>
      <c r="K146" t="inlineStr">
        <is>
          <t>Node.js; Express.js; API Development; Middleware Integrations; Test-Driven Development</t>
        </is>
      </c>
      <c r="M146" t="inlineStr">
        <is>
          <t>Responsibilities: In this role, the individual will be part of the engineering team and will be responsible for Participating and collaborating with Product Owner/ Cross-functional teams in the organization to understand the business requirements and to deliver solutions that can scale. Design and Develop API in NodeJS using Express JS framework with relevant middleware integrations. Designing and</t>
        </is>
      </c>
      <c r="N146" t="n">
        <v>60</v>
      </c>
      <c r="O146" t="n">
        <v>25</v>
      </c>
      <c r="P146" t="n">
        <v>15</v>
      </c>
      <c r="Q146" t="n">
        <v>15</v>
      </c>
      <c r="R146" t="n">
        <v>0</v>
      </c>
      <c r="S146" t="n">
        <v>0</v>
      </c>
      <c r="T146" t="n">
        <v>5</v>
      </c>
      <c r="U146" t="inlineStr">
        <is>
          <t>STRETCH</t>
        </is>
      </c>
      <c r="V146" t="inlineStr">
        <is>
          <t>STRETCH</t>
        </is>
      </c>
      <c r="W146" t="inlineStr">
        <is>
          <t>Test-Driven Development</t>
        </is>
      </c>
      <c r="X146" t="inlineStr">
        <is>
          <t>Default Full Stack / Backend Resume</t>
        </is>
      </c>
      <c r="Y146" t="inlineStr">
        <is>
          <t>2026-09-12</t>
        </is>
      </c>
      <c r="Z146" t="inlineStr">
        <is>
          <t>Role matches backend development target; Requires Node.js and Express.js which are in demonstrated skills</t>
        </is>
      </c>
      <c r="AA146" t="inlineStr">
        <is>
          <t>PASS</t>
        </is>
      </c>
      <c r="AB146" t="inlineStr">
        <is>
          <t>No explicit degree or graduation-year blockers mentioned in the partial description</t>
        </is>
      </c>
      <c r="AC146" t="inlineStr">
        <is>
          <t>UNKNOWN</t>
        </is>
      </c>
      <c r="AD146" t="inlineStr">
        <is>
          <t>Availability not specified in the career brain</t>
        </is>
      </c>
      <c r="AE146" t="inlineStr">
        <is>
          <t>UNKNOWN</t>
        </is>
      </c>
      <c r="AF146" t="n">
        <v>0</v>
      </c>
      <c r="AG146" t="inlineStr">
        <is>
          <t>No</t>
        </is>
      </c>
      <c r="AH146" t="inlineStr">
        <is>
          <t>UNKNOWN</t>
        </is>
      </c>
      <c r="AI146" t="inlineStr">
        <is>
          <t>No mention of PPO or conversion in the job description</t>
        </is>
      </c>
      <c r="AK146" t="inlineStr">
        <is>
          <t>Stipend is not specified; Incomplete job description</t>
        </is>
      </c>
      <c r="AL146" t="inlineStr">
        <is>
          <t>Node.js event loop and architecture; Express.js routing and middleware; RESTful API design best practices; Test-Driven Development (TDD) principles</t>
        </is>
      </c>
    </row>
    <row r="147">
      <c r="A147" t="inlineStr">
        <is>
          <t>REJOLUT-260912-146</t>
        </is>
      </c>
      <c r="B147" t="inlineStr">
        <is>
          <t>Rejolut</t>
        </is>
      </c>
      <c r="C147" t="inlineStr">
        <is>
          <t>Backend Developer Intern</t>
        </is>
      </c>
      <c r="D147" t="inlineStr">
        <is>
          <t>https://www.adzuna.in/details/3801594182?utm_medium=api&amp;utm_source=5ccdc27f</t>
        </is>
      </c>
      <c r="E147" t="inlineStr">
        <is>
          <t>AI Analyzer</t>
        </is>
      </c>
      <c r="F147" t="inlineStr">
        <is>
          <t>Mumbai, Maharashtra</t>
        </is>
      </c>
      <c r="G147" t="inlineStr">
        <is>
          <t>UNKNOWN</t>
        </is>
      </c>
      <c r="H147" t="inlineStr">
        <is>
          <t>Not specified</t>
        </is>
      </c>
      <c r="I147" t="inlineStr">
        <is>
          <t>UNKNOWN</t>
        </is>
      </c>
      <c r="J147" t="inlineStr">
        <is>
          <t>UNKNOWN</t>
        </is>
      </c>
      <c r="K147" t="inlineStr">
        <is>
          <t>Backend Development</t>
        </is>
      </c>
      <c r="L147" t="inlineStr">
        <is>
          <t>Blockchain; Machine Learning &amp; Artificial Intelligence; IoT</t>
        </is>
      </c>
      <c r="M147" t="inlineStr">
        <is>
          <t>Rejolut is among the fastest-growing and award winning Tech companies working on leading technologies namely Blockchain, Machine Learning &amp; Artificial Intelligence, Complex mobile &amp; Web Apps, IoT, etc.Rejolut is a venture-backed company with clients in over several countries namely Malaysia Airlines,gba global,my-earth,biomes, Dlg-hub,etc. We are planning to expand our team to explore new opportun</t>
        </is>
      </c>
      <c r="N147" t="n">
        <v>53</v>
      </c>
      <c r="O147" t="n">
        <v>70</v>
      </c>
      <c r="P147" t="n">
        <v>70</v>
      </c>
      <c r="Q147" t="n">
        <v>75</v>
      </c>
      <c r="R147" t="n">
        <v>0</v>
      </c>
      <c r="S147" t="n">
        <v>0</v>
      </c>
      <c r="T147" t="n">
        <v>60</v>
      </c>
      <c r="U147" t="inlineStr">
        <is>
          <t>SKIP</t>
        </is>
      </c>
      <c r="V147" t="inlineStr">
        <is>
          <t>SKIP</t>
        </is>
      </c>
      <c r="X147" t="inlineStr">
        <is>
          <t>Amaanuddin_Ahmed_Fullstack_Resume.pdf</t>
        </is>
      </c>
      <c r="Y147" t="inlineStr">
        <is>
          <t>2026-09-12</t>
        </is>
      </c>
      <c r="Z147" t="inlineStr">
        <is>
          <t>Role aligns well with backend development interests.; Company works on emerging technologies.</t>
        </is>
      </c>
      <c r="AA147" t="inlineStr">
        <is>
          <t>ELIGIBLE</t>
        </is>
      </c>
      <c r="AB147" t="inlineStr">
        <is>
          <t>No specific strict graduation year or degree blockers mentioned in the short snippet.</t>
        </is>
      </c>
      <c r="AC147" t="inlineStr">
        <is>
          <t>UNKNOWN</t>
        </is>
      </c>
      <c r="AD147" t="inlineStr">
        <is>
          <t>Availability not specified</t>
        </is>
      </c>
      <c r="AE147" t="inlineStr">
        <is>
          <t>UNKNOWN</t>
        </is>
      </c>
      <c r="AF147" t="n">
        <v>0</v>
      </c>
      <c r="AG147" t="inlineStr">
        <is>
          <t>No</t>
        </is>
      </c>
      <c r="AH147" t="inlineStr">
        <is>
          <t>UNKNOWN</t>
        </is>
      </c>
      <c r="AI147" t="inlineStr">
        <is>
          <t>No mention of PPO or conversion in the job description snippet.</t>
        </is>
      </c>
      <c r="AK147" t="inlineStr">
        <is>
          <t>Incomplete job description provided</t>
        </is>
      </c>
      <c r="AL147" t="inlineStr">
        <is>
          <t>Backend development fundamentals; API design and development; Database management</t>
        </is>
      </c>
    </row>
    <row r="148">
      <c r="A148" t="inlineStr">
        <is>
          <t>APPSCRIP-260912-147</t>
        </is>
      </c>
      <c r="B148" t="inlineStr">
        <is>
          <t>appscrip</t>
        </is>
      </c>
      <c r="C148" t="inlineStr">
        <is>
          <t>Python Backend Developer Intern (FastAPI)</t>
        </is>
      </c>
      <c r="D148" t="inlineStr">
        <is>
          <t>https://www.adzuna.in/details/5812187923?utm_medium=api&amp;utm_source=5ccdc27f</t>
        </is>
      </c>
      <c r="E148" t="inlineStr">
        <is>
          <t>AI Analyzer</t>
        </is>
      </c>
      <c r="F148" t="inlineStr">
        <is>
          <t>Bangalore, Karnataka</t>
        </is>
      </c>
      <c r="G148" t="inlineStr">
        <is>
          <t>On-site</t>
        </is>
      </c>
      <c r="H148" t="inlineStr">
        <is>
          <t>Not specified</t>
        </is>
      </c>
      <c r="I148" t="inlineStr">
        <is>
          <t>Not specified</t>
        </is>
      </c>
      <c r="J148" t="inlineStr">
        <is>
          <t>not_mentioned</t>
        </is>
      </c>
      <c r="K148" t="inlineStr">
        <is>
          <t>Python; FastAPI</t>
        </is>
      </c>
      <c r="L148" t="inlineStr">
        <is>
          <t>AI; LLMs; Cloud infrastructure</t>
        </is>
      </c>
      <c r="M148" t="inlineStr">
        <is>
          <t>Python Backend Developer Intern (FastAPI) Location: Bangalore (On-site) Company: Appscrip About Appscrip At Appscrip, we build products that solve real business problems using modern technologies like AI, cloud infrastructure, and scalable backend systems. We're looking for developers who enjoy building things, learning quickly, and aren't afraid to dive into new technologies. If you've built proj</t>
        </is>
      </c>
      <c r="N148" t="n">
        <v>53</v>
      </c>
      <c r="O148" t="n">
        <v>20</v>
      </c>
      <c r="P148" t="n">
        <v>15</v>
      </c>
      <c r="Q148" t="n">
        <v>12</v>
      </c>
      <c r="R148" t="n">
        <v>0</v>
      </c>
      <c r="S148" t="n">
        <v>0</v>
      </c>
      <c r="T148" t="n">
        <v>6</v>
      </c>
      <c r="U148" t="inlineStr">
        <is>
          <t>SKIP</t>
        </is>
      </c>
      <c r="V148" t="inlineStr">
        <is>
          <t>SKIP</t>
        </is>
      </c>
      <c r="W148" t="inlineStr">
        <is>
          <t>FastAPI</t>
        </is>
      </c>
      <c r="X148" t="inlineStr">
        <is>
          <t>Amaanuddin_Ahmed_Software_Engineer_Resume.pdf</t>
        </is>
      </c>
      <c r="Y148" t="inlineStr">
        <is>
          <t>2026-09-12</t>
        </is>
      </c>
      <c r="Z148" t="inlineStr">
        <is>
          <t>Matches interest in Python and backend development; On-site opportunity in Bangalore</t>
        </is>
      </c>
      <c r="AA148" t="inlineStr">
        <is>
          <t>eligible</t>
        </is>
      </c>
      <c r="AB148" t="inlineStr">
        <is>
          <t>Location matches target city (Bangalore); Role aligns with backend development and Python interests</t>
        </is>
      </c>
      <c r="AC148" t="inlineStr">
        <is>
          <t>unknown</t>
        </is>
      </c>
      <c r="AD148" t="inlineStr">
        <is>
          <t>Not specified in candidate profile</t>
        </is>
      </c>
      <c r="AE148" t="inlineStr">
        <is>
          <t>unknown</t>
        </is>
      </c>
      <c r="AF148" t="n">
        <v>0</v>
      </c>
      <c r="AG148" t="inlineStr">
        <is>
          <t>No</t>
        </is>
      </c>
      <c r="AH148" t="inlineStr">
        <is>
          <t>not_mentioned</t>
        </is>
      </c>
      <c r="AI148" t="inlineStr">
        <is>
          <t>No mention of PPO or conversion in the job description.</t>
        </is>
      </c>
      <c r="AK148" t="inlineStr">
        <is>
          <t>Stipend information is not specified</t>
        </is>
      </c>
      <c r="AL148" t="inlineStr">
        <is>
          <t>Python fundamentals and advanced concepts; FastAPI framework and asynchronous programming; RESTful API design and database integration; Experience with AI and LLM integrations</t>
        </is>
      </c>
    </row>
    <row r="149">
      <c r="A149" t="inlineStr">
        <is>
          <t>JUMPINGMINDS-260912-148</t>
        </is>
      </c>
      <c r="B149" t="inlineStr">
        <is>
          <t>JumpingMinds</t>
        </is>
      </c>
      <c r="C149" t="inlineStr">
        <is>
          <t>Backend Developer Intern - Python/Django</t>
        </is>
      </c>
      <c r="D149" t="inlineStr">
        <is>
          <t>https://www.adzuna.in/details/4149351967?utm_medium=api&amp;utm_source=5ccdc27f</t>
        </is>
      </c>
      <c r="E149" t="inlineStr">
        <is>
          <t>AI Analyzer</t>
        </is>
      </c>
      <c r="F149" t="inlineStr">
        <is>
          <t>India</t>
        </is>
      </c>
      <c r="G149" t="inlineStr">
        <is>
          <t>remote/unknown</t>
        </is>
      </c>
      <c r="H149" t="inlineStr">
        <is>
          <t>Not specified</t>
        </is>
      </c>
      <c r="I149" t="inlineStr">
        <is>
          <t>unknown</t>
        </is>
      </c>
      <c r="J149" t="inlineStr">
        <is>
          <t>NOT_MENTIONED</t>
        </is>
      </c>
      <c r="K149" t="inlineStr">
        <is>
          <t>Python; Django; Backend development</t>
        </is>
      </c>
      <c r="L149" t="inlineStr">
        <is>
          <t>Startup experience</t>
        </is>
      </c>
      <c r="M149" t="inlineStr">
        <is>
          <t>We're looking for an experienced Backend Engineer Interns to join our growing team of engineers to help build and maintain our products. You should have prior internship experience as Backend intern using PythonDjango Requirements/Skills At least prior internship experience -on Backend development experience especially in Python &amp; Django stack is must Prior experience in tech and product startups</t>
        </is>
      </c>
      <c r="N149" t="n">
        <v>30</v>
      </c>
      <c r="O149" t="n">
        <v>40</v>
      </c>
      <c r="P149" t="n">
        <v>0</v>
      </c>
      <c r="Q149" t="n">
        <v>50</v>
      </c>
      <c r="R149" t="n">
        <v>0</v>
      </c>
      <c r="S149" t="n">
        <v>0</v>
      </c>
      <c r="T149" t="n">
        <v>50</v>
      </c>
      <c r="U149" t="inlineStr">
        <is>
          <t>SKIP</t>
        </is>
      </c>
      <c r="V149" t="inlineStr">
        <is>
          <t>SKIP</t>
        </is>
      </c>
      <c r="W149" t="inlineStr">
        <is>
          <t>Python/Django stack professional experience</t>
        </is>
      </c>
      <c r="X149" t="inlineStr">
        <is>
          <t>Default MCA Resume</t>
        </is>
      </c>
      <c r="Y149" t="inlineStr">
        <is>
          <t>2026-09-12</t>
        </is>
      </c>
      <c r="AA149" t="inlineStr">
        <is>
          <t>INELIGIBLE</t>
        </is>
      </c>
      <c r="AB149" t="inlineStr">
        <is>
          <t>Passed out year requirement is 2022 or 2023, while candidate is currently in MCA program; Requires prior internship experience specifically in Python &amp; Django stack</t>
        </is>
      </c>
      <c r="AC149" t="inlineStr">
        <is>
          <t>UNKNOWN</t>
        </is>
      </c>
      <c r="AD149" t="inlineStr">
        <is>
          <t>Candidate availability details not provided in the career brain</t>
        </is>
      </c>
      <c r="AE149" t="inlineStr">
        <is>
          <t>UNKNOWN</t>
        </is>
      </c>
      <c r="AF149" t="n">
        <v>0</v>
      </c>
      <c r="AG149" t="inlineStr">
        <is>
          <t>No</t>
        </is>
      </c>
      <c r="AH149" t="inlineStr">
        <is>
          <t>NOT_MENTIONED</t>
        </is>
      </c>
      <c r="AI149" t="inlineStr">
        <is>
          <t>No mention of PPO or conversion in the job description</t>
        </is>
      </c>
      <c r="AJ149" t="inlineStr">
        <is>
          <t>Passed out year requirement (2022 &amp; 2023); Mandatory prior internship experience in Python &amp; Django</t>
        </is>
      </c>
      <c r="AL149" t="inlineStr">
        <is>
          <t>Python and Django architecture; Previous backend internship projects; Startup development workflows</t>
        </is>
      </c>
    </row>
    <row r="150">
      <c r="A150" t="inlineStr">
        <is>
          <t>MOGI-IO-260912-149</t>
        </is>
      </c>
      <c r="B150" t="inlineStr">
        <is>
          <t>Mogi IO</t>
        </is>
      </c>
      <c r="C150" t="inlineStr">
        <is>
          <t>Backend Developer Intern</t>
        </is>
      </c>
      <c r="D150" t="inlineStr">
        <is>
          <t>https://www.adzuna.in/details/3066949136?utm_medium=api&amp;utm_source=5ccdc27f</t>
        </is>
      </c>
      <c r="E150" t="inlineStr">
        <is>
          <t>AI Analyzer</t>
        </is>
      </c>
      <c r="F150" t="inlineStr">
        <is>
          <t>Delhi, India</t>
        </is>
      </c>
      <c r="G150" t="inlineStr">
        <is>
          <t>On-site</t>
        </is>
      </c>
      <c r="H150" t="inlineStr">
        <is>
          <t>Not specified</t>
        </is>
      </c>
      <c r="I150" t="inlineStr">
        <is>
          <t>Not Specified</t>
        </is>
      </c>
      <c r="J150" t="inlineStr">
        <is>
          <t>Available</t>
        </is>
      </c>
      <c r="K150" t="inlineStr">
        <is>
          <t>Node.js; MongoDB; Backend Development</t>
        </is>
      </c>
      <c r="L150" t="inlineStr">
        <is>
          <t>Full-stack; MEAN stack</t>
        </is>
      </c>
      <c r="M150" t="inlineStr">
        <is>
          <t>Mogi I/O (www.mogiio.com), a Delhi based video delivery SaaS venture, is looking for a Full-stack /mean stack developer, both for an internship role. A candidate should be high performance, high energy. He would work on core video and image tech. Should be a hands-on Full Stack or mean stack coder. Experience – Any experience in Back end working on NodeJs and MongoDB. Some core requirements - Shou</t>
        </is>
      </c>
      <c r="N150" t="n">
        <v>87</v>
      </c>
      <c r="O150" t="n">
        <v>27</v>
      </c>
      <c r="P150" t="n">
        <v>18</v>
      </c>
      <c r="Q150" t="n">
        <v>14</v>
      </c>
      <c r="R150" t="n">
        <v>15</v>
      </c>
      <c r="S150" t="n">
        <v>5</v>
      </c>
      <c r="T150" t="n">
        <v>8</v>
      </c>
      <c r="U150" t="inlineStr">
        <is>
          <t>APPLY</t>
        </is>
      </c>
      <c r="V150" t="inlineStr">
        <is>
          <t>APPLY</t>
        </is>
      </c>
      <c r="X150" t="inlineStr">
        <is>
          <t>Amaan_Ahmed_Full_Stack_Resume.pdf</t>
        </is>
      </c>
      <c r="Y150" t="inlineStr">
        <is>
          <t>2026-09-12</t>
        </is>
      </c>
      <c r="Z150" t="inlineStr">
        <is>
          <t>Strong technology stack match with Node.js and MongoDB requirements.; Explicit internship-to-full-time conversion (PPO) opportunity aligns with candidate goals.; Good alignment with target Backend/Full Stack roles.</t>
        </is>
      </c>
      <c r="AA150" t="inlineStr">
        <is>
          <t>Eligible</t>
        </is>
      </c>
      <c r="AB150" t="inlineStr">
        <is>
          <t>No strict degree or graduation year hard blockers mentioned in the job description.</t>
        </is>
      </c>
      <c r="AC150" t="inlineStr">
        <is>
          <t>Unknown</t>
        </is>
      </c>
      <c r="AD150" t="inlineStr">
        <is>
          <t>Candidate availability details are not provided in the career brain.</t>
        </is>
      </c>
      <c r="AE150" t="inlineStr">
        <is>
          <t>UNKNOWN</t>
        </is>
      </c>
      <c r="AF150" t="n">
        <v>0</v>
      </c>
      <c r="AG150" t="inlineStr">
        <is>
          <t>No</t>
        </is>
      </c>
      <c r="AH150" t="inlineStr">
        <is>
          <t>Available</t>
        </is>
      </c>
      <c r="AI150" t="inlineStr">
        <is>
          <t>Converts to full-time mentioned in the role title.</t>
        </is>
      </c>
      <c r="AK150" t="inlineStr">
        <is>
          <t>Stipend is not disclosed.</t>
        </is>
      </c>
      <c r="AL150" t="inlineStr">
        <is>
          <t>Node.js event loop and asynchronous programming; MongoDB schema design and aggregation pipelines; Building and scaling REST APIs; Past projects involving MERN stack (StaySphere, Zenvest)</t>
        </is>
      </c>
      <c r="AM150" t="inlineStr">
        <is>
          <t>E:\InternshipHunter\applications\adzuna-59fe15a9ae76</t>
        </is>
      </c>
      <c r="AN150" t="inlineStr">
        <is>
          <t>Ready for Review</t>
        </is>
      </c>
      <c r="AO150" t="inlineStr">
        <is>
          <t>Generated</t>
        </is>
      </c>
      <c r="AP150" t="inlineStr">
        <is>
          <t>Generated</t>
        </is>
      </c>
      <c r="AQ150" t="inlineStr">
        <is>
          <t>Generated</t>
        </is>
      </c>
      <c r="AR150" t="inlineStr">
        <is>
          <t>Ready to Apply</t>
        </is>
      </c>
    </row>
    <row r="151">
      <c r="A151" t="inlineStr">
        <is>
          <t>FINHENCE-260912-150</t>
        </is>
      </c>
      <c r="B151" t="inlineStr">
        <is>
          <t>finhence</t>
        </is>
      </c>
      <c r="C151" t="inlineStr">
        <is>
          <t>backend web development intern</t>
        </is>
      </c>
      <c r="D151" t="inlineStr">
        <is>
          <t>https://www.adzuna.in/details/3126297326?utm_medium=api&amp;utm_source=5ccdc27f</t>
        </is>
      </c>
      <c r="E151" t="inlineStr">
        <is>
          <t>AI Analyzer</t>
        </is>
      </c>
      <c r="F151" t="inlineStr">
        <is>
          <t>Delhi, India</t>
        </is>
      </c>
      <c r="G151" t="inlineStr">
        <is>
          <t>UNKNOWN</t>
        </is>
      </c>
      <c r="H151" t="inlineStr">
        <is>
          <t>Not specified</t>
        </is>
      </c>
      <c r="I151" t="inlineStr">
        <is>
          <t>4 months</t>
        </is>
      </c>
      <c r="J151" t="inlineStr">
        <is>
          <t>NOT_MENTIONED</t>
        </is>
      </c>
      <c r="K151" t="inlineStr">
        <is>
          <t>Node.js; API; PHP</t>
        </is>
      </c>
      <c r="M151" t="inlineStr">
        <is>
          <t>finhence is hiring for the role of back-end web developement intern. duration- 4 months skills required - node.js, API , PHP etc experience- freshers/ undergraduates can apply Skills:- API, PHP and NodeJS (Node.js)</t>
        </is>
      </c>
      <c r="N151" t="n">
        <v>57</v>
      </c>
      <c r="O151" t="n">
        <v>60</v>
      </c>
      <c r="P151" t="n">
        <v>90</v>
      </c>
      <c r="Q151" t="n">
        <v>80</v>
      </c>
      <c r="R151" t="n">
        <v>0</v>
      </c>
      <c r="S151" t="n">
        <v>30</v>
      </c>
      <c r="T151" t="n">
        <v>50</v>
      </c>
      <c r="U151" t="inlineStr">
        <is>
          <t>SKIP</t>
        </is>
      </c>
      <c r="V151" t="inlineStr">
        <is>
          <t>SKIP</t>
        </is>
      </c>
      <c r="W151" t="inlineStr">
        <is>
          <t>PHP</t>
        </is>
      </c>
      <c r="X151" t="inlineStr">
        <is>
          <t>Amaanuddin_Ahmed_Fullstack_Resume.pdf</t>
        </is>
      </c>
      <c r="Y151" t="inlineStr">
        <is>
          <t>2026-09-12</t>
        </is>
      </c>
      <c r="Z151" t="inlineStr">
        <is>
          <t>Matches backend internship criteria; Requires Node.js which is present in candidate skills</t>
        </is>
      </c>
      <c r="AA151" t="inlineStr">
        <is>
          <t>ELIGIBLE</t>
        </is>
      </c>
      <c r="AB151" t="inlineStr">
        <is>
          <t>Freshers and undergraduates are allowed to apply</t>
        </is>
      </c>
      <c r="AC151" t="inlineStr">
        <is>
          <t>UNKNOWN</t>
        </is>
      </c>
      <c r="AD151" t="inlineStr">
        <is>
          <t>Candidate availability is not specified</t>
        </is>
      </c>
      <c r="AE151" t="inlineStr">
        <is>
          <t>UNKNOWN</t>
        </is>
      </c>
      <c r="AF151" t="n">
        <v>0</v>
      </c>
      <c r="AG151" t="inlineStr">
        <is>
          <t>No</t>
        </is>
      </c>
      <c r="AH151" t="inlineStr">
        <is>
          <t>NOT_MENTIONED</t>
        </is>
      </c>
      <c r="AI151" t="inlineStr">
        <is>
          <t>No mention of PPO or conversion in the job description</t>
        </is>
      </c>
      <c r="AK151" t="inlineStr">
        <is>
          <t>Stipend is not disclosed; PPO information is missing</t>
        </is>
      </c>
      <c r="AL151" t="inlineStr">
        <is>
          <t>Node.js event loop and asynchronous programming; RESTful API design and best practices; PHP fundamentals and basic web architecture; Database management and integration</t>
        </is>
      </c>
    </row>
    <row r="152">
      <c r="A152" t="inlineStr">
        <is>
          <t>SHIRYAM-260912-151</t>
        </is>
      </c>
      <c r="B152" t="inlineStr">
        <is>
          <t>shiryam</t>
        </is>
      </c>
      <c r="C152" t="inlineStr">
        <is>
          <t>Backend Developer (Python Intern)</t>
        </is>
      </c>
      <c r="D152" t="inlineStr">
        <is>
          <t>https://www.adzuna.in/details/3447826016?utm_medium=api&amp;utm_source=5ccdc27f</t>
        </is>
      </c>
      <c r="E152" t="inlineStr">
        <is>
          <t>AI Analyzer</t>
        </is>
      </c>
      <c r="F152" t="inlineStr">
        <is>
          <t>India</t>
        </is>
      </c>
      <c r="G152" t="inlineStr">
        <is>
          <t>Remote</t>
        </is>
      </c>
      <c r="H152" t="inlineStr">
        <is>
          <t>Competitive stipend</t>
        </is>
      </c>
      <c r="I152" t="inlineStr">
        <is>
          <t>UNKNOWN</t>
        </is>
      </c>
      <c r="J152" t="inlineStr">
        <is>
          <t>YES</t>
        </is>
      </c>
      <c r="K152" t="inlineStr">
        <is>
          <t>Python; Server-side logic; REST APIs</t>
        </is>
      </c>
      <c r="M152" t="inlineStr">
        <is>
          <t>We are looking for a Python Web Developer Intern responsible for managing the interchange of data between the server and the users. Your primary focus will be the development of all server-side logic, ensuring high performance and responsiveness to requests from the front-end. Perks of working with us: Competitive stipend Remote option available Certificate and Letter of recommendation Slack/Asana</t>
        </is>
      </c>
      <c r="N152" t="n">
        <v>83</v>
      </c>
      <c r="O152" t="n">
        <v>20</v>
      </c>
      <c r="P152" t="n">
        <v>20</v>
      </c>
      <c r="Q152" t="n">
        <v>15</v>
      </c>
      <c r="R152" t="n">
        <v>15</v>
      </c>
      <c r="S152" t="n">
        <v>5</v>
      </c>
      <c r="T152" t="n">
        <v>8</v>
      </c>
      <c r="U152" t="inlineStr">
        <is>
          <t>APPLY</t>
        </is>
      </c>
      <c r="V152" t="inlineStr">
        <is>
          <t>APPLY</t>
        </is>
      </c>
      <c r="X152" t="inlineStr">
        <is>
          <t>Amaanuddin_Ahmed_Software_Engineer_Resume.pdf</t>
        </is>
      </c>
      <c r="Y152" t="inlineStr">
        <is>
          <t>2026-09-12</t>
        </is>
      </c>
      <c r="Z152" t="inlineStr">
        <is>
          <t>Matches target backend development role; Explicit PPO opportunity available; Remote work option available</t>
        </is>
      </c>
      <c r="AA152" t="inlineStr">
        <is>
          <t>ELIGIBLE</t>
        </is>
      </c>
      <c r="AC152" t="inlineStr">
        <is>
          <t>UNKNOWN</t>
        </is>
      </c>
      <c r="AD152" t="inlineStr">
        <is>
          <t>Candidate availability is not specified in the career brain.</t>
        </is>
      </c>
      <c r="AE152" t="inlineStr">
        <is>
          <t>UNKNOWN</t>
        </is>
      </c>
      <c r="AF152" t="n">
        <v>0</v>
      </c>
      <c r="AG152" t="inlineStr">
        <is>
          <t>No</t>
        </is>
      </c>
      <c r="AH152" t="inlineStr">
        <is>
          <t>YES</t>
        </is>
      </c>
      <c r="AI152" t="inlineStr">
        <is>
          <t>Opportunity to convert to work full...</t>
        </is>
      </c>
      <c r="AL152" t="inlineStr">
        <is>
          <t>Python web framework concepts; Server-side logic and database integration; RESTful API design</t>
        </is>
      </c>
      <c r="AM152" t="inlineStr">
        <is>
          <t>E:\InternshipHunter\applications\adzuna-1a3d981d7303</t>
        </is>
      </c>
      <c r="AN152" t="inlineStr">
        <is>
          <t>Ready for Review</t>
        </is>
      </c>
      <c r="AO152" t="inlineStr">
        <is>
          <t>Generated</t>
        </is>
      </c>
      <c r="AP152" t="inlineStr">
        <is>
          <t>Generated</t>
        </is>
      </c>
      <c r="AQ152" t="inlineStr">
        <is>
          <t>Generated</t>
        </is>
      </c>
      <c r="AR152" t="inlineStr">
        <is>
          <t>Ready to Apply</t>
        </is>
      </c>
    </row>
    <row r="153">
      <c r="A153" t="inlineStr">
        <is>
          <t>PARKSMART-260912-152</t>
        </is>
      </c>
      <c r="B153" t="inlineStr">
        <is>
          <t>Parksmart</t>
        </is>
      </c>
      <c r="C153" t="inlineStr">
        <is>
          <t>Node Js Backend Intern</t>
        </is>
      </c>
      <c r="D153" t="inlineStr">
        <is>
          <t>https://www.adzuna.in/details/5241945722?utm_medium=api&amp;utm_source=5ccdc27f</t>
        </is>
      </c>
      <c r="E153" t="inlineStr">
        <is>
          <t>AI Analyzer</t>
        </is>
      </c>
      <c r="F153" t="inlineStr">
        <is>
          <t>Noida, Ghaziabad</t>
        </is>
      </c>
      <c r="G153" t="inlineStr">
        <is>
          <t>Remote / Onsite</t>
        </is>
      </c>
      <c r="I153" t="inlineStr">
        <is>
          <t>2 Months</t>
        </is>
      </c>
      <c r="J153" t="inlineStr">
        <is>
          <t>NOT_MENTIONED</t>
        </is>
      </c>
      <c r="K153" t="inlineStr">
        <is>
          <t>Node.js; Firebase; AWS; SQL; NoSQL; RESTful API integration; React.js; MongoDB; MVC Framework</t>
        </is>
      </c>
      <c r="M153" t="inlineStr">
        <is>
          <t>We're Urgently Hiring – Node.js Backend Development Intern Join our backend team as an intern and get hands-on experience building scalable, real-world applications with Node.js, Firebase, and AWS. Remote / Onsite Duration: 2 Months What You’ll Work On: Backend development using Node.js Firebase, SQL &amp; NoSQL database management RESTful API integration Deployment on AWS infrastructure Skills:- Node</t>
        </is>
      </c>
      <c r="N153" t="n">
        <v>62</v>
      </c>
      <c r="O153" t="n">
        <v>22</v>
      </c>
      <c r="P153" t="n">
        <v>20</v>
      </c>
      <c r="Q153" t="n">
        <v>15</v>
      </c>
      <c r="R153" t="n">
        <v>0</v>
      </c>
      <c r="S153" t="n">
        <v>0</v>
      </c>
      <c r="T153" t="n">
        <v>5</v>
      </c>
      <c r="U153" t="inlineStr">
        <is>
          <t>STRETCH</t>
        </is>
      </c>
      <c r="V153" t="inlineStr">
        <is>
          <t>STRETCH</t>
        </is>
      </c>
      <c r="W153" t="inlineStr">
        <is>
          <t>Firebase; AWS; MVC Framework</t>
        </is>
      </c>
      <c r="X153" t="inlineStr">
        <is>
          <t>Amaanuddin_Ahmed_Fullstack_Resume.pdf</t>
        </is>
      </c>
      <c r="Y153" t="inlineStr">
        <is>
          <t>2026-09-12</t>
        </is>
      </c>
      <c r="Z153" t="inlineStr">
        <is>
          <t>Good match for Node.js and backend development role; Aligns with candidate's tech stack (Node.js, Express, MongoDB)</t>
        </is>
      </c>
      <c r="AA153" t="inlineStr">
        <is>
          <t>ELIGIBLE</t>
        </is>
      </c>
      <c r="AB153" t="inlineStr">
        <is>
          <t>No specific degree or experience blockers mentioned in the JD</t>
        </is>
      </c>
      <c r="AC153" t="inlineStr">
        <is>
          <t>UNKNOWN</t>
        </is>
      </c>
      <c r="AD153" t="inlineStr">
        <is>
          <t>Candidate availability is not specified in the career brain</t>
        </is>
      </c>
      <c r="AE153" t="inlineStr">
        <is>
          <t>UNKNOWN</t>
        </is>
      </c>
      <c r="AF153" t="n">
        <v>0</v>
      </c>
      <c r="AG153" t="inlineStr">
        <is>
          <t>No</t>
        </is>
      </c>
      <c r="AH153" t="inlineStr">
        <is>
          <t>NOT_MENTIONED</t>
        </is>
      </c>
      <c r="AI153" t="inlineStr">
        <is>
          <t>No mention of PPO or conversion in the job description</t>
        </is>
      </c>
      <c r="AK153" t="inlineStr">
        <is>
          <t>Stipend is not disclosed</t>
        </is>
      </c>
      <c r="AL153" t="inlineStr">
        <is>
          <t>Node.js event loop and asynchronous programming; Database management with SQL and MongoDB; RESTful API design and implementation; Basic AWS and Firebase concepts</t>
        </is>
      </c>
    </row>
    <row r="154">
      <c r="A154" t="inlineStr">
        <is>
          <t>YLYTIC-260912-153</t>
        </is>
      </c>
      <c r="B154" t="inlineStr">
        <is>
          <t>Ylytic</t>
        </is>
      </c>
      <c r="C154" t="inlineStr">
        <is>
          <t>Backend Developer</t>
        </is>
      </c>
      <c r="D154" t="inlineStr">
        <is>
          <t>https://www.adzuna.in/details/3148437412?utm_medium=api&amp;utm_source=5ccdc27f</t>
        </is>
      </c>
      <c r="E154" t="inlineStr">
        <is>
          <t>AI Analyzer</t>
        </is>
      </c>
      <c r="F154" t="inlineStr">
        <is>
          <t>India</t>
        </is>
      </c>
      <c r="G154" t="inlineStr">
        <is>
          <t>UNKNOWN</t>
        </is>
      </c>
      <c r="H154" t="inlineStr">
        <is>
          <t>Not specified</t>
        </is>
      </c>
      <c r="I154" t="inlineStr">
        <is>
          <t>UNKNOWN</t>
        </is>
      </c>
      <c r="J154" t="inlineStr">
        <is>
          <t>YES</t>
        </is>
      </c>
      <c r="K154" t="inlineStr">
        <is>
          <t>Backend Development</t>
        </is>
      </c>
      <c r="L154" t="inlineStr">
        <is>
          <t>Scaling products; Product-market objectives</t>
        </is>
      </c>
      <c r="M154" t="inlineStr">
        <is>
          <t>Backend Development - Intern Converts into a full time position based on performance A Backend Developer, for an early-stage Analytics startup who can help us translate Product specs into a high-performing and scalable product across platforms. Also help in improving functionality of product. End goal is to achieve product-market objectives The candidate will have rich learning into what goes into</t>
        </is>
      </c>
      <c r="N154" t="n">
        <v>81</v>
      </c>
      <c r="O154" t="n">
        <v>24</v>
      </c>
      <c r="P154" t="n">
        <v>16</v>
      </c>
      <c r="Q154" t="n">
        <v>13</v>
      </c>
      <c r="R154" t="n">
        <v>15</v>
      </c>
      <c r="S154" t="n">
        <v>5</v>
      </c>
      <c r="T154" t="n">
        <v>8</v>
      </c>
      <c r="U154" t="inlineStr">
        <is>
          <t>APPLY</t>
        </is>
      </c>
      <c r="V154" t="inlineStr">
        <is>
          <t>APPLY</t>
        </is>
      </c>
      <c r="X154" t="inlineStr">
        <is>
          <t>Amaanuddin_Ahmed_Software_Engineering_Resume.pdf</t>
        </is>
      </c>
      <c r="Y154" t="inlineStr">
        <is>
          <t>2026-09-12</t>
        </is>
      </c>
      <c r="Z154" t="inlineStr">
        <is>
          <t>Explicit PPO (conversion to full-time) opportunity based on performance.; Matches target role for Backend Development.; Early-stage startup offers strong learning and ownership opportunities.</t>
        </is>
      </c>
      <c r="AA154" t="inlineStr">
        <is>
          <t>ELIGIBLE</t>
        </is>
      </c>
      <c r="AB154" t="inlineStr">
        <is>
          <t>No specific degree or experience blockers found in the description.</t>
        </is>
      </c>
      <c r="AC154" t="inlineStr">
        <is>
          <t>UNKNOWN</t>
        </is>
      </c>
      <c r="AD154" t="inlineStr">
        <is>
          <t>Not enough context provided regarding candidate's immediate availability.</t>
        </is>
      </c>
      <c r="AE154" t="inlineStr">
        <is>
          <t>UNKNOWN</t>
        </is>
      </c>
      <c r="AF154" t="n">
        <v>0</v>
      </c>
      <c r="AG154" t="inlineStr">
        <is>
          <t>No</t>
        </is>
      </c>
      <c r="AH154" t="inlineStr">
        <is>
          <t>YES</t>
        </is>
      </c>
      <c r="AI154" t="inlineStr">
        <is>
          <t>Converts into a full time position based on performance</t>
        </is>
      </c>
      <c r="AK154" t="inlineStr">
        <is>
          <t>Stipend details not disclosed</t>
        </is>
      </c>
      <c r="AL154" t="inlineStr">
        <is>
          <t>Backend architecture and scalability; REST API design; Database management (MongoDB/SQL)</t>
        </is>
      </c>
      <c r="AM154" t="inlineStr">
        <is>
          <t>E:\InternshipHunter\applications\adzuna-ead5fd4e38d6</t>
        </is>
      </c>
      <c r="AN154" t="inlineStr">
        <is>
          <t>Ready for Review</t>
        </is>
      </c>
      <c r="AO154" t="inlineStr">
        <is>
          <t>Generated</t>
        </is>
      </c>
      <c r="AP154" t="inlineStr">
        <is>
          <t>Generated</t>
        </is>
      </c>
      <c r="AQ154" t="inlineStr">
        <is>
          <t>Generated</t>
        </is>
      </c>
      <c r="AR154" t="inlineStr">
        <is>
          <t>Ready to Apply</t>
        </is>
      </c>
    </row>
    <row r="155">
      <c r="A155" t="inlineStr">
        <is>
          <t>JUSPAY-TECHN-260912-154</t>
        </is>
      </c>
      <c r="B155" t="inlineStr">
        <is>
          <t>Juspay Technologies</t>
        </is>
      </c>
      <c r="C155" t="inlineStr">
        <is>
          <t>Software Development Engineer Backend Intern</t>
        </is>
      </c>
      <c r="D155" t="inlineStr">
        <is>
          <t>https://www.adzuna.in/details/5854847430?utm_medium=api&amp;utm_source=5ccdc27f</t>
        </is>
      </c>
      <c r="E155" t="inlineStr">
        <is>
          <t>AI Analyzer</t>
        </is>
      </c>
      <c r="F155" t="inlineStr">
        <is>
          <t>Bangalore, Karnataka</t>
        </is>
      </c>
      <c r="G155" t="inlineStr">
        <is>
          <t>Unknown</t>
        </is>
      </c>
      <c r="H155" t="inlineStr">
        <is>
          <t>Not specified</t>
        </is>
      </c>
      <c r="I155" t="inlineStr">
        <is>
          <t>Unknown</t>
        </is>
      </c>
      <c r="J155" t="inlineStr">
        <is>
          <t>Unknown</t>
        </is>
      </c>
      <c r="K155" t="inlineStr">
        <is>
          <t>Functional Programming; Backend Development</t>
        </is>
      </c>
      <c r="L155" t="inlineStr">
        <is>
          <t>Large Scale Systems</t>
        </is>
      </c>
      <c r="M155" t="inlineStr">
        <is>
          <t>Software Development Engineer Backend Intern at Juspay is a genuinely different kind of internship listing most companies bury their tech stack in a generic modern technologies line but Juspay states directly that its built its entire core business logic in functional programming and describes itself as the largest company in the world doing so at this scale Understanding Juspays actual scale befo</t>
        </is>
      </c>
      <c r="N155" t="n">
        <v>62</v>
      </c>
      <c r="O155" t="n">
        <v>21</v>
      </c>
      <c r="P155" t="n">
        <v>16</v>
      </c>
      <c r="Q155" t="n">
        <v>12</v>
      </c>
      <c r="R155" t="n">
        <v>5</v>
      </c>
      <c r="S155" t="n">
        <v>0</v>
      </c>
      <c r="T155" t="n">
        <v>8</v>
      </c>
      <c r="U155" t="inlineStr">
        <is>
          <t>STRETCH</t>
        </is>
      </c>
      <c r="V155" t="inlineStr">
        <is>
          <t>STRETCH</t>
        </is>
      </c>
      <c r="W155" t="inlineStr">
        <is>
          <t>Functional Programming at scale</t>
        </is>
      </c>
      <c r="X155" t="inlineStr">
        <is>
          <t>Default Full Stack / Backend Resume</t>
        </is>
      </c>
      <c r="Y155" t="inlineStr">
        <is>
          <t>2026-09-12</t>
        </is>
      </c>
      <c r="Z155" t="inlineStr">
        <is>
          <t>Juspay is a prominent payments technology company operating at massive scale; Matches backend engineering intern profile</t>
        </is>
      </c>
      <c r="AA155" t="inlineStr">
        <is>
          <t>Eligible</t>
        </is>
      </c>
      <c r="AB155" t="inlineStr">
        <is>
          <t>Candidate is pursuing MCA at PES University and fits engineering intern profile</t>
        </is>
      </c>
      <c r="AC155" t="inlineStr">
        <is>
          <t>Unknown</t>
        </is>
      </c>
      <c r="AD155" t="inlineStr">
        <is>
          <t>Not specified in candidate profile</t>
        </is>
      </c>
      <c r="AE155" t="inlineStr">
        <is>
          <t>UNKNOWN</t>
        </is>
      </c>
      <c r="AF155" t="n">
        <v>0</v>
      </c>
      <c r="AG155" t="inlineStr">
        <is>
          <t>No</t>
        </is>
      </c>
      <c r="AH155" t="inlineStr">
        <is>
          <t>Unknown</t>
        </is>
      </c>
      <c r="AI155" t="inlineStr">
        <is>
          <t>Not explicitly mentioned in the snippet</t>
        </is>
      </c>
      <c r="AL155" t="inlineStr">
        <is>
          <t>Functional Programming concepts; Backend systems architecture; Data structures and algorithms; System scalability and payments domain</t>
        </is>
      </c>
    </row>
    <row r="156">
      <c r="A156" t="inlineStr">
        <is>
          <t>SPRINGER-CAP-260912-155</t>
        </is>
      </c>
      <c r="B156" t="inlineStr">
        <is>
          <t>Springer Capital</t>
        </is>
      </c>
      <c r="C156" t="inlineStr">
        <is>
          <t>Backend Engineering Intern (Infrastructure Software)</t>
        </is>
      </c>
      <c r="D156" t="inlineStr">
        <is>
          <t>https://www.adzuna.in/details/5600695068?utm_medium=api&amp;utm_source=5ccdc27f</t>
        </is>
      </c>
      <c r="E156" t="inlineStr">
        <is>
          <t>AI Analyzer</t>
        </is>
      </c>
      <c r="F156" t="inlineStr">
        <is>
          <t>India</t>
        </is>
      </c>
      <c r="G156" t="inlineStr">
        <is>
          <t>Remote</t>
        </is>
      </c>
      <c r="H156" t="inlineStr">
        <is>
          <t>Unpaid (3000 INR is just a placeholder)</t>
        </is>
      </c>
      <c r="I156" t="inlineStr">
        <is>
          <t>12 weeks</t>
        </is>
      </c>
      <c r="J156" t="inlineStr">
        <is>
          <t>NOT_MENTIONED</t>
        </is>
      </c>
      <c r="K156" t="inlineStr">
        <is>
          <t>Backend Development; API Development; Database Management; Backend Architecture</t>
        </is>
      </c>
      <c r="M156" t="inlineStr">
        <is>
          <t>Backend Engineering Intern (Infrastructure Software) – Remote Position Type: Internship (Full-Time or Part-Time) Location: Remote Duration: 12 weeks Compensation: Unpaid (3000 INR is just a placeholder) About the Role We are seeking a motivated Backend Developer Intern to join our engineering team and contribute to building scalable, efficient, and secure backend services. This internship offers h</t>
        </is>
      </c>
      <c r="N156" t="n">
        <v>52</v>
      </c>
      <c r="O156" t="n">
        <v>75</v>
      </c>
      <c r="P156" t="n">
        <v>70</v>
      </c>
      <c r="Q156" t="n">
        <v>75</v>
      </c>
      <c r="R156" t="n">
        <v>0</v>
      </c>
      <c r="S156" t="n">
        <v>0</v>
      </c>
      <c r="T156" t="n">
        <v>40</v>
      </c>
      <c r="U156" t="inlineStr">
        <is>
          <t>SKIP</t>
        </is>
      </c>
      <c r="V156" t="inlineStr">
        <is>
          <t>SKIP</t>
        </is>
      </c>
      <c r="W156" t="inlineStr">
        <is>
          <t>Infrastructure Software Engineering specific patterns</t>
        </is>
      </c>
      <c r="X156" t="inlineStr">
        <is>
          <t>Amaanuddin_Ahmed_Backend_Resume.pdf</t>
        </is>
      </c>
      <c r="Y156" t="inlineStr">
        <is>
          <t>2026-09-12</t>
        </is>
      </c>
      <c r="Z156" t="inlineStr">
        <is>
          <t>Remote backend engineering internship offering hands-on API and database experience.</t>
        </is>
      </c>
      <c r="AA156" t="inlineStr">
        <is>
          <t>ELIGIBLE</t>
        </is>
      </c>
      <c r="AB156" t="inlineStr">
        <is>
          <t>Remote work mode matches availability and preferences.; No strict hard blockers regarding degree or graduation year mentioned.</t>
        </is>
      </c>
      <c r="AC156" t="inlineStr">
        <is>
          <t>UNKNOWN</t>
        </is>
      </c>
      <c r="AD156" t="inlineStr">
        <is>
          <t>Exact start date and availability window not specified in JD.</t>
        </is>
      </c>
      <c r="AE156" t="inlineStr">
        <is>
          <t>UNPAID</t>
        </is>
      </c>
      <c r="AF156" t="n">
        <v>0</v>
      </c>
      <c r="AG156" t="inlineStr">
        <is>
          <t>No</t>
        </is>
      </c>
      <c r="AH156" t="inlineStr">
        <is>
          <t>NOT_MENTIONED</t>
        </is>
      </c>
      <c r="AI156" t="inlineStr">
        <is>
          <t>No mention of conversion to full-time employment or PPO in the JD.</t>
        </is>
      </c>
      <c r="AJ156" t="inlineStr">
        <is>
          <t>Unpaid internship</t>
        </is>
      </c>
      <c r="AK156" t="inlineStr">
        <is>
          <t>Unpaid compensation violates the candidate's minimum stipend target of ₹25,000/month.</t>
        </is>
      </c>
      <c r="AL156" t="inlineStr">
        <is>
          <t>API design and development; Database management and schema design; Backend architecture scalability and security; Previous backend projects like StaySphere and Zenvest</t>
        </is>
      </c>
    </row>
    <row r="157">
      <c r="A157" t="inlineStr">
        <is>
          <t>QUHU-260912-156</t>
        </is>
      </c>
      <c r="B157" t="inlineStr">
        <is>
          <t>QuHu</t>
        </is>
      </c>
      <c r="C157" t="inlineStr">
        <is>
          <t>Backend Engineer</t>
        </is>
      </c>
      <c r="D157" t="inlineStr">
        <is>
          <t>https://www.adzuna.in/details/2297738733?utm_medium=api&amp;utm_source=5ccdc27f</t>
        </is>
      </c>
      <c r="E157" t="inlineStr">
        <is>
          <t>AI Analyzer</t>
        </is>
      </c>
      <c r="F157" t="inlineStr">
        <is>
          <t>Delhi, India</t>
        </is>
      </c>
      <c r="G157" t="inlineStr">
        <is>
          <t>UNKNOWN</t>
        </is>
      </c>
      <c r="H157" t="inlineStr">
        <is>
          <t>UNKNOWN</t>
        </is>
      </c>
      <c r="I157" t="inlineStr">
        <is>
          <t>UNKNOWN</t>
        </is>
      </c>
      <c r="J157" t="inlineStr">
        <is>
          <t>UNKNOWN</t>
        </is>
      </c>
      <c r="K157" t="inlineStr">
        <is>
          <t>Software Development; Design Patterns</t>
        </is>
      </c>
      <c r="L157" t="inlineStr">
        <is>
          <t>AI; ML; Mobile; Commerce</t>
        </is>
      </c>
      <c r="M157" t="inlineStr">
        <is>
          <t>Job Description : We are currently building a next generation consumer tech product at the intersection of AI ML through Mobile and Commerce. The product requires building proprietary frameworks using latest technologies. We have an urgent requirement of a Backend Developer/ Fresher/ Intern, who would become core member of our Product Team, is a great problem solver, can learn quickly, and communi</t>
        </is>
      </c>
      <c r="N157" t="n">
        <v>63</v>
      </c>
      <c r="O157" t="n">
        <v>75</v>
      </c>
      <c r="P157" t="n">
        <v>80</v>
      </c>
      <c r="Q157" t="n">
        <v>80</v>
      </c>
      <c r="R157" t="n">
        <v>50</v>
      </c>
      <c r="S157" t="n">
        <v>0</v>
      </c>
      <c r="T157" t="n">
        <v>60</v>
      </c>
      <c r="U157" t="inlineStr">
        <is>
          <t>STRETCH</t>
        </is>
      </c>
      <c r="V157" t="inlineStr">
        <is>
          <t>STRETCH</t>
        </is>
      </c>
      <c r="W157" t="inlineStr">
        <is>
          <t>Design Patterns</t>
        </is>
      </c>
      <c r="X157" t="inlineStr">
        <is>
          <t>Amaanuddin_Ahmed_Backend_Resume.pdf</t>
        </is>
      </c>
      <c r="Y157" t="inlineStr">
        <is>
          <t>2026-09-12</t>
        </is>
      </c>
      <c r="Z157" t="inlineStr">
        <is>
          <t>Matches target role for Backend Engineering; Open to freshers and interns aligning with MCA background</t>
        </is>
      </c>
      <c r="AA157" t="inlineStr">
        <is>
          <t>ELIGIBLE</t>
        </is>
      </c>
      <c r="AB157" t="inlineStr">
        <is>
          <t>Role open to freshers and interns matching candidate profile</t>
        </is>
      </c>
      <c r="AC157" t="inlineStr">
        <is>
          <t>UNKNOWN</t>
        </is>
      </c>
      <c r="AD157" t="inlineStr">
        <is>
          <t>Not specified in candidate profile</t>
        </is>
      </c>
      <c r="AE157" t="inlineStr">
        <is>
          <t>UNKNOWN</t>
        </is>
      </c>
      <c r="AF157" t="n">
        <v>0</v>
      </c>
      <c r="AG157" t="inlineStr">
        <is>
          <t>No</t>
        </is>
      </c>
      <c r="AH157" t="inlineStr">
        <is>
          <t>UNKNOWN</t>
        </is>
      </c>
      <c r="AI157" t="inlineStr">
        <is>
          <t>Not explicitly mentioned in job description</t>
        </is>
      </c>
      <c r="AK157" t="inlineStr">
        <is>
          <t>Stipend or salary details are completely missing</t>
        </is>
      </c>
      <c r="AL157" t="inlineStr">
        <is>
          <t>Backend architecture and development; Problem-solving and algorithmic logic; Design patterns; AI/ML product exposure</t>
        </is>
      </c>
    </row>
    <row r="158">
      <c r="A158" t="inlineStr">
        <is>
          <t>THE-ALTER-OF-260912-157</t>
        </is>
      </c>
      <c r="B158" t="inlineStr">
        <is>
          <t>The Alter Office</t>
        </is>
      </c>
      <c r="C158" t="inlineStr">
        <is>
          <t>Associate Backend Engineer</t>
        </is>
      </c>
      <c r="D158" t="inlineStr">
        <is>
          <t>https://www.adzuna.in/details/5421428933?utm_medium=api&amp;utm_source=5ccdc27f</t>
        </is>
      </c>
      <c r="E158" t="inlineStr">
        <is>
          <t>AI Analyzer</t>
        </is>
      </c>
      <c r="F158" t="inlineStr">
        <is>
          <t>Bangalore, Karnataka</t>
        </is>
      </c>
      <c r="G158" t="inlineStr">
        <is>
          <t>UNKNOWN</t>
        </is>
      </c>
      <c r="H158" t="inlineStr">
        <is>
          <t>Not specified</t>
        </is>
      </c>
      <c r="I158" t="inlineStr">
        <is>
          <t>UNKNOWN</t>
        </is>
      </c>
      <c r="J158" t="inlineStr">
        <is>
          <t>UNKNOWN</t>
        </is>
      </c>
      <c r="K158" t="inlineStr">
        <is>
          <t>Backend Development</t>
        </is>
      </c>
      <c r="M158" t="inlineStr">
        <is>
          <t>Job Title: Associate Backend Engineer Job Summary: We are looking for an enthusiastic and motivated Associate Backend Engineer with 1 to 2 years of experience to join our growing engineering team. Whether you're a recent graduate or have some industry experience, this role offers a strong foundation to grow your skills in real-world backend development. You’ll work closely with experienced enginee</t>
        </is>
      </c>
      <c r="N158" t="n">
        <v>55</v>
      </c>
      <c r="O158" t="n">
        <v>70</v>
      </c>
      <c r="P158" t="n">
        <v>80</v>
      </c>
      <c r="Q158" t="n">
        <v>80</v>
      </c>
      <c r="R158" t="n">
        <v>0</v>
      </c>
      <c r="S158" t="n">
        <v>0</v>
      </c>
      <c r="T158" t="n">
        <v>50</v>
      </c>
      <c r="U158" t="inlineStr">
        <is>
          <t>SKIP</t>
        </is>
      </c>
      <c r="V158" t="inlineStr">
        <is>
          <t>SKIP</t>
        </is>
      </c>
      <c r="X158" t="inlineStr">
        <is>
          <t>Amaanuddin_Ahmed_Software_Engineering_Resume.pdf</t>
        </is>
      </c>
      <c r="Y158" t="inlineStr">
        <is>
          <t>2026-09-12</t>
        </is>
      </c>
      <c r="Z158" t="inlineStr">
        <is>
          <t>Aligns with target backend engineering roles.; Open to recent graduates.</t>
        </is>
      </c>
      <c r="AA158" t="inlineStr">
        <is>
          <t>PASS</t>
        </is>
      </c>
      <c r="AB158" t="inlineStr">
        <is>
          <t>Open to recent graduates and candidates with 1 to 2 years of experience.</t>
        </is>
      </c>
      <c r="AC158" t="inlineStr">
        <is>
          <t>UNKNOWN</t>
        </is>
      </c>
      <c r="AD158" t="inlineStr">
        <is>
          <t>Availability not specified in the career brain.</t>
        </is>
      </c>
      <c r="AE158" t="inlineStr">
        <is>
          <t>UNKNOWN</t>
        </is>
      </c>
      <c r="AF158" t="n">
        <v>0</v>
      </c>
      <c r="AG158" t="inlineStr">
        <is>
          <t>No</t>
        </is>
      </c>
      <c r="AH158" t="inlineStr">
        <is>
          <t>UNKNOWN</t>
        </is>
      </c>
      <c r="AI158" t="inlineStr">
        <is>
          <t>No mention of PPO or conversion in the job description.</t>
        </is>
      </c>
      <c r="AK158" t="inlineStr">
        <is>
          <t>Incomplete job description provided</t>
        </is>
      </c>
      <c r="AL158" t="inlineStr">
        <is>
          <t>Backend architecture and design principles; Scalable systems development; Node.js and Express.js fundamentals</t>
        </is>
      </c>
    </row>
    <row r="159">
      <c r="A159" t="inlineStr">
        <is>
          <t>AFFWORLD-TEC-260912-158</t>
        </is>
      </c>
      <c r="B159" t="inlineStr">
        <is>
          <t>Affworld Technologies</t>
        </is>
      </c>
      <c r="C159" t="inlineStr">
        <is>
          <t>SDE Intern</t>
        </is>
      </c>
      <c r="D159" t="inlineStr">
        <is>
          <t>https://www.adzuna.in/details/4801660754?utm_medium=api&amp;utm_source=5ccdc27f</t>
        </is>
      </c>
      <c r="E159" t="inlineStr">
        <is>
          <t>AI Analyzer</t>
        </is>
      </c>
      <c r="F159" t="inlineStr">
        <is>
          <t>Jaipur, Rajasthan</t>
        </is>
      </c>
      <c r="G159" t="inlineStr">
        <is>
          <t>Unknown</t>
        </is>
      </c>
      <c r="H159" t="inlineStr">
        <is>
          <t>Not specified</t>
        </is>
      </c>
      <c r="I159" t="inlineStr">
        <is>
          <t>Unknown</t>
        </is>
      </c>
      <c r="J159" t="inlineStr">
        <is>
          <t>Not Mentioned</t>
        </is>
      </c>
      <c r="K159" t="inlineStr">
        <is>
          <t>MERN stack; JavaScript; Node.js; Express.js; React.js; MongoDB; REST APIs</t>
        </is>
      </c>
      <c r="L159" t="inlineStr">
        <is>
          <t>Security and data protection measures; Testing and debugging</t>
        </is>
      </c>
      <c r="M159" t="inlineStr">
        <is>
          <t>Develop web applications using the MERN stack, ensuring high performance and responsiveness. Collaborate with cross-functional teams to define, design, and ship new features. Build reusable code and libraries for future use. Optimize applications for maximum speed and scalability. Implement security and data protection measures. Conduct thorough testing and debugging to ensure the application's st</t>
        </is>
      </c>
      <c r="N159" t="n">
        <v>75</v>
      </c>
      <c r="O159" t="n">
        <v>30</v>
      </c>
      <c r="P159" t="n">
        <v>20</v>
      </c>
      <c r="Q159" t="n">
        <v>15</v>
      </c>
      <c r="R159" t="n">
        <v>5</v>
      </c>
      <c r="S159" t="n">
        <v>0</v>
      </c>
      <c r="T159" t="n">
        <v>5</v>
      </c>
      <c r="U159" t="inlineStr">
        <is>
          <t>CONSIDER</t>
        </is>
      </c>
      <c r="V159" t="inlineStr">
        <is>
          <t>CONSIDER</t>
        </is>
      </c>
      <c r="X159" t="inlineStr">
        <is>
          <t>Amaanuddin_Ahmed_Fullstack_Resume.pdf</t>
        </is>
      </c>
      <c r="Y159" t="inlineStr">
        <is>
          <t>2026-09-12</t>
        </is>
      </c>
      <c r="Z159" t="inlineStr">
        <is>
          <t>Exact match for MERN stack development skills demonstrated in projects like StaySphere and Zenvest.; Good opportunity to gain software engineering internship experience.</t>
        </is>
      </c>
      <c r="AA159" t="inlineStr">
        <is>
          <t>Eligible</t>
        </is>
      </c>
      <c r="AB159" t="inlineStr">
        <is>
          <t>Candidate is pursuing MCA and seeking SDE internship opportunities.</t>
        </is>
      </c>
      <c r="AC159" t="inlineStr">
        <is>
          <t>Available</t>
        </is>
      </c>
      <c r="AD159" t="inlineStr">
        <is>
          <t>Candidate is available for internships matching target roles.</t>
        </is>
      </c>
      <c r="AE159" t="inlineStr">
        <is>
          <t>UNKNOWN</t>
        </is>
      </c>
      <c r="AF159" t="n">
        <v>0</v>
      </c>
      <c r="AG159" t="inlineStr">
        <is>
          <t>No</t>
        </is>
      </c>
      <c r="AH159" t="inlineStr">
        <is>
          <t>Not Mentioned</t>
        </is>
      </c>
      <c r="AI159" t="inlineStr">
        <is>
          <t>No explicit mention of PPO or conversion in the job description.</t>
        </is>
      </c>
      <c r="AK159" t="inlineStr">
        <is>
          <t>Stipend is not disclosed; PPO is not mentioned</t>
        </is>
      </c>
      <c r="AL159" t="inlineStr">
        <is>
          <t>MERN stack architecture and state management; Application performance optimization and scalability; Security best practices in Node.js and Express; Debugging and testing methodologies</t>
        </is>
      </c>
    </row>
    <row r="160">
      <c r="A160" t="inlineStr">
        <is>
          <t>BRIGHT-MONEY-260912-159</t>
        </is>
      </c>
      <c r="B160" t="inlineStr">
        <is>
          <t>Bright Money</t>
        </is>
      </c>
      <c r="C160" t="inlineStr">
        <is>
          <t>SDE Intern - Backend</t>
        </is>
      </c>
      <c r="D160" t="inlineStr">
        <is>
          <t>https://www.adzuna.in/details/5776745237?utm_medium=api&amp;utm_source=5ccdc27f</t>
        </is>
      </c>
      <c r="E160" t="inlineStr">
        <is>
          <t>AI Analyzer</t>
        </is>
      </c>
      <c r="F160" t="inlineStr">
        <is>
          <t>India</t>
        </is>
      </c>
      <c r="G160" t="inlineStr">
        <is>
          <t>UNKNOWN</t>
        </is>
      </c>
      <c r="H160" t="inlineStr">
        <is>
          <t>Not specified</t>
        </is>
      </c>
      <c r="I160" t="inlineStr">
        <is>
          <t>UNKNOWN</t>
        </is>
      </c>
      <c r="J160" t="inlineStr">
        <is>
          <t>UNKNOWN</t>
        </is>
      </c>
      <c r="K160" t="inlineStr">
        <is>
          <t>Backend Development; Software Engineering</t>
        </is>
      </c>
      <c r="L160" t="inlineStr">
        <is>
          <t>FinTech domain knowledge</t>
        </is>
      </c>
      <c r="M160" t="inlineStr">
        <is>
          <t>About Bright Money Bright Money is a Consumer FinTech for middle-income consumers. It brings together SaaS products to help consumers build credit, manage their debt, and get access to suitable loans and credit cards. These are the major financial needs of middle-income consumers living paycheck-to-paycheck. Bright is a profitable, India-built, U.S.-market Consumer FinTech, with revenue trajectory</t>
        </is>
      </c>
      <c r="N160" t="n">
        <v>56</v>
      </c>
      <c r="O160" t="n">
        <v>22</v>
      </c>
      <c r="P160" t="n">
        <v>15</v>
      </c>
      <c r="Q160" t="n">
        <v>12</v>
      </c>
      <c r="R160" t="n">
        <v>0</v>
      </c>
      <c r="S160" t="n">
        <v>0</v>
      </c>
      <c r="T160" t="n">
        <v>7</v>
      </c>
      <c r="U160" t="inlineStr">
        <is>
          <t>SKIP</t>
        </is>
      </c>
      <c r="V160" t="inlineStr">
        <is>
          <t>SKIP</t>
        </is>
      </c>
      <c r="X160" t="inlineStr">
        <is>
          <t>Default Software Engineering Resume</t>
        </is>
      </c>
      <c r="Y160" t="inlineStr">
        <is>
          <t>2026-09-12</t>
        </is>
      </c>
      <c r="Z160" t="inlineStr">
        <is>
          <t>Bright Money is a profitable and fast-growing FinTech company.; Matches backend engineering interests.</t>
        </is>
      </c>
      <c r="AA160" t="inlineStr">
        <is>
          <t>ELIGIBLE</t>
        </is>
      </c>
      <c r="AB160" t="inlineStr">
        <is>
          <t>No explicit graduation year or degree restrictions mentioned in the snippet.</t>
        </is>
      </c>
      <c r="AC160" t="inlineStr">
        <is>
          <t>UNKNOWN</t>
        </is>
      </c>
      <c r="AD160" t="inlineStr">
        <is>
          <t>Not enough details provided in the snippet.</t>
        </is>
      </c>
      <c r="AE160" t="inlineStr">
        <is>
          <t>UNKNOWN</t>
        </is>
      </c>
      <c r="AF160" t="n">
        <v>0</v>
      </c>
      <c r="AG160" t="inlineStr">
        <is>
          <t>No</t>
        </is>
      </c>
      <c r="AH160" t="inlineStr">
        <is>
          <t>UNKNOWN</t>
        </is>
      </c>
      <c r="AI160" t="inlineStr">
        <is>
          <t>Not mentioned in the provided snippet.</t>
        </is>
      </c>
      <c r="AK160" t="inlineStr">
        <is>
          <t>Incomplete job description provided</t>
        </is>
      </c>
      <c r="AL160" t="inlineStr">
        <is>
          <t>Backend system architecture; RESTful API design; Database management and optimization; FinTech software scalability</t>
        </is>
      </c>
    </row>
    <row r="161">
      <c r="A161" t="inlineStr">
        <is>
          <t>PGAGI-260912-160</t>
        </is>
      </c>
      <c r="B161" t="inlineStr">
        <is>
          <t>PGAGI</t>
        </is>
      </c>
      <c r="C161" t="inlineStr">
        <is>
          <t>SDE Intern - React Native</t>
        </is>
      </c>
      <c r="D161" t="inlineStr">
        <is>
          <t>https://www.adzuna.in/details/5804688462?utm_medium=api&amp;utm_source=5ccdc27f</t>
        </is>
      </c>
      <c r="E161" t="inlineStr">
        <is>
          <t>AI Analyzer</t>
        </is>
      </c>
      <c r="F161" t="inlineStr">
        <is>
          <t>India</t>
        </is>
      </c>
      <c r="G161" t="inlineStr">
        <is>
          <t>Remote</t>
        </is>
      </c>
      <c r="I161" t="inlineStr">
        <is>
          <t>6 months</t>
        </is>
      </c>
      <c r="J161" t="inlineStr">
        <is>
          <t>YES</t>
        </is>
      </c>
      <c r="K161" t="inlineStr">
        <is>
          <t>React Native</t>
        </is>
      </c>
      <c r="M161" t="inlineStr">
        <is>
          <t>Position Title: SDE Intern – Mobile Application Location: Remote Duration: 6 months (with potential for full-time conversion based on performance) About PGAGI: At PGAGI, we believe in a future where AI and human intelligence coexist in harmony, creating a world that is smarter, faster, and better. We are not just building AI; we are shaping a future where AI is a fundamental and positive force for</t>
        </is>
      </c>
      <c r="N161" t="n">
        <v>42</v>
      </c>
      <c r="O161" t="n">
        <v>15</v>
      </c>
      <c r="P161" t="n">
        <v>50</v>
      </c>
      <c r="Q161" t="n">
        <v>60</v>
      </c>
      <c r="R161" t="n">
        <v>100</v>
      </c>
      <c r="S161" t="n">
        <v>0</v>
      </c>
      <c r="T161" t="n">
        <v>60</v>
      </c>
      <c r="U161" t="inlineStr">
        <is>
          <t>SKIP</t>
        </is>
      </c>
      <c r="V161" t="inlineStr">
        <is>
          <t>SKIP</t>
        </is>
      </c>
      <c r="W161" t="inlineStr">
        <is>
          <t>React Native</t>
        </is>
      </c>
      <c r="X161" t="inlineStr">
        <is>
          <t>Default Full Stack / Software Engineering Resume</t>
        </is>
      </c>
      <c r="Y161" t="inlineStr">
        <is>
          <t>2026-09-12</t>
        </is>
      </c>
      <c r="Z161" t="inlineStr">
        <is>
          <t>Includes potential for full-time conversion (PPO); Remote work opportunity</t>
        </is>
      </c>
      <c r="AA161" t="inlineStr">
        <is>
          <t>ELIGIBLE</t>
        </is>
      </c>
      <c r="AB161" t="inlineStr">
        <is>
          <t>Remote work mode matches availability; MCA student fits SDE internship profile</t>
        </is>
      </c>
      <c r="AC161" t="inlineStr">
        <is>
          <t>UNKNOWN</t>
        </is>
      </c>
      <c r="AD161" t="inlineStr">
        <is>
          <t>Candidate availability timeline not explicitly stated in brain</t>
        </is>
      </c>
      <c r="AE161" t="inlineStr">
        <is>
          <t>UNKNOWN</t>
        </is>
      </c>
      <c r="AF161" t="n">
        <v>0</v>
      </c>
      <c r="AG161" t="inlineStr">
        <is>
          <t>No</t>
        </is>
      </c>
      <c r="AH161" t="inlineStr">
        <is>
          <t>YES</t>
        </is>
      </c>
      <c r="AI161" t="inlineStr">
        <is>
          <t>with potential for full-time conversion based on performance</t>
        </is>
      </c>
      <c r="AJ161" t="inlineStr">
        <is>
          <t>React Native is a mandatory mobile framework requirement not demonstrated in candidate profile</t>
        </is>
      </c>
      <c r="AK161" t="inlineStr">
        <is>
          <t>Stipend details not disclosed</t>
        </is>
      </c>
      <c r="AL161" t="inlineStr">
        <is>
          <t>React Native cross-platform mobile development; State management in mobile applications; JavaScript and asynchronous programming; REST API integration in mobile apps</t>
        </is>
      </c>
    </row>
    <row r="162">
      <c r="A162" t="inlineStr">
        <is>
          <t>PGAGI-260912-161</t>
        </is>
      </c>
      <c r="B162" t="inlineStr">
        <is>
          <t>PGAGI</t>
        </is>
      </c>
      <c r="C162" t="inlineStr">
        <is>
          <t>SDE Internship (Next Js)</t>
        </is>
      </c>
      <c r="D162" t="inlineStr">
        <is>
          <t>https://www.adzuna.in/details/5804689141?utm_medium=api&amp;utm_source=5ccdc27f</t>
        </is>
      </c>
      <c r="E162" t="inlineStr">
        <is>
          <t>AI Analyzer</t>
        </is>
      </c>
      <c r="F162" t="inlineStr">
        <is>
          <t>India</t>
        </is>
      </c>
      <c r="G162" t="inlineStr">
        <is>
          <t>UNKNOWN</t>
        </is>
      </c>
      <c r="I162" t="inlineStr">
        <is>
          <t>6 months</t>
        </is>
      </c>
      <c r="J162" t="inlineStr">
        <is>
          <t>UNKNOWN</t>
        </is>
      </c>
      <c r="K162" t="inlineStr">
        <is>
          <t>Next Js</t>
        </is>
      </c>
      <c r="L162" t="inlineStr">
        <is>
          <t>AI systems; autonomous agents</t>
        </is>
      </c>
      <c r="M162" t="inlineStr">
        <is>
          <t>We're at the forefront of creating advanced AI systems, from fully autonomous agents that provide intelligent customer interaction to data analysis tools that offer insightful business solutions. We are seeking enthusiastic interns who are passionate about AI and ready to tackle real-world problems using the latest technologies. Duration: 6 months Perks: - Hands-on experience with real AI projects</t>
        </is>
      </c>
      <c r="N162" t="n">
        <v>49</v>
      </c>
      <c r="O162" t="n">
        <v>40</v>
      </c>
      <c r="P162" t="n">
        <v>70</v>
      </c>
      <c r="Q162" t="n">
        <v>70</v>
      </c>
      <c r="R162" t="n">
        <v>0</v>
      </c>
      <c r="S162" t="n">
        <v>0</v>
      </c>
      <c r="T162" t="n">
        <v>60</v>
      </c>
      <c r="U162" t="inlineStr">
        <is>
          <t>SKIP</t>
        </is>
      </c>
      <c r="V162" t="inlineStr">
        <is>
          <t>SKIP</t>
        </is>
      </c>
      <c r="W162" t="inlineStr">
        <is>
          <t>Next Js</t>
        </is>
      </c>
      <c r="X162" t="inlineStr">
        <is>
          <t>Amaan_Ahmed_Fullstack_Resume.pdf</t>
        </is>
      </c>
      <c r="Y162" t="inlineStr">
        <is>
          <t>2026-09-12</t>
        </is>
      </c>
      <c r="Z162" t="inlineStr">
        <is>
          <t>Provides 6 months duration which fits standard internship models; AI exposure is a plus</t>
        </is>
      </c>
      <c r="AA162" t="inlineStr">
        <is>
          <t>ELIGIBLE</t>
        </is>
      </c>
      <c r="AC162" t="inlineStr">
        <is>
          <t>UNKNOWN</t>
        </is>
      </c>
      <c r="AD162" t="inlineStr">
        <is>
          <t>Not specified</t>
        </is>
      </c>
      <c r="AE162" t="inlineStr">
        <is>
          <t>UNKNOWN</t>
        </is>
      </c>
      <c r="AF162" t="n">
        <v>0</v>
      </c>
      <c r="AG162" t="inlineStr">
        <is>
          <t>No</t>
        </is>
      </c>
      <c r="AH162" t="inlineStr">
        <is>
          <t>UNKNOWN</t>
        </is>
      </c>
      <c r="AI162" t="inlineStr">
        <is>
          <t>Not specified</t>
        </is>
      </c>
      <c r="AK162" t="inlineStr">
        <is>
          <t>Stipend is unknown; PPO information is missing</t>
        </is>
      </c>
      <c r="AL162" t="inlineStr">
        <is>
          <t>Next.js architecture and SSR/SSG; React.js state management; Experience with AI or autonomous systems</t>
        </is>
      </c>
    </row>
    <row r="163">
      <c r="A163" t="inlineStr">
        <is>
          <t>PGAGI-260912-162</t>
        </is>
      </c>
      <c r="B163" t="inlineStr">
        <is>
          <t>PGAGI</t>
        </is>
      </c>
      <c r="C163" t="inlineStr">
        <is>
          <t>SDE Intern – Mobile Application</t>
        </is>
      </c>
      <c r="D163" t="inlineStr">
        <is>
          <t>https://www.adzuna.in/details/5722653710?utm_medium=api&amp;utm_source=5ccdc27f</t>
        </is>
      </c>
      <c r="E163" t="inlineStr">
        <is>
          <t>AI Analyzer</t>
        </is>
      </c>
      <c r="F163" t="inlineStr">
        <is>
          <t>Remote</t>
        </is>
      </c>
      <c r="G163" t="inlineStr">
        <is>
          <t>Remote</t>
        </is>
      </c>
      <c r="H163" t="inlineStr">
        <is>
          <t>Not specified</t>
        </is>
      </c>
      <c r="I163" t="inlineStr">
        <is>
          <t>6 months</t>
        </is>
      </c>
      <c r="J163" t="inlineStr">
        <is>
          <t>YES</t>
        </is>
      </c>
      <c r="K163" t="inlineStr">
        <is>
          <t>React Native; Mobile Application Development</t>
        </is>
      </c>
      <c r="M163" t="inlineStr">
        <is>
          <t>Position Title: SDE Intern – Mobile Application Location: Remote Duration: 6 months (with potential for full-time conversion based on performance) About PGAGI: At PGAGI, we believe in a future where AI and human intelligence coexist in harmony, creating a world that is smarter, faster, and better. We are not just building AI; we are shaping a future where AI is a fundamental and positive force for</t>
        </is>
      </c>
      <c r="N163" t="n">
        <v>51</v>
      </c>
      <c r="O163" t="n">
        <v>40</v>
      </c>
      <c r="P163" t="n">
        <v>50</v>
      </c>
      <c r="Q163" t="n">
        <v>50</v>
      </c>
      <c r="R163" t="n">
        <v>90</v>
      </c>
      <c r="S163" t="n">
        <v>0</v>
      </c>
      <c r="T163" t="n">
        <v>60</v>
      </c>
      <c r="U163" t="inlineStr">
        <is>
          <t>SKIP</t>
        </is>
      </c>
      <c r="V163" t="inlineStr">
        <is>
          <t>SKIP</t>
        </is>
      </c>
      <c r="W163" t="inlineStr">
        <is>
          <t>React Native; Mobile Application Development</t>
        </is>
      </c>
      <c r="X163" t="inlineStr">
        <is>
          <t>Amaanuddin_Ahmed_Fullstack_Resume.pdf</t>
        </is>
      </c>
      <c r="Y163" t="inlineStr">
        <is>
          <t>2026-09-12</t>
        </is>
      </c>
      <c r="Z163" t="inlineStr">
        <is>
          <t>Includes potential for full-time conversion (PPO); Remote work mode</t>
        </is>
      </c>
      <c r="AA163" t="inlineStr">
        <is>
          <t>ELIGIBLE</t>
        </is>
      </c>
      <c r="AB163" t="inlineStr">
        <is>
          <t>No explicit graduation year or degree restrictions mentioned in the snippet</t>
        </is>
      </c>
      <c r="AC163" t="inlineStr">
        <is>
          <t>UNKNOWN</t>
        </is>
      </c>
      <c r="AD163" t="inlineStr">
        <is>
          <t>Candidate availability timeline not explicitly specified in career brain</t>
        </is>
      </c>
      <c r="AE163" t="inlineStr">
        <is>
          <t>UNKNOWN</t>
        </is>
      </c>
      <c r="AF163" t="n">
        <v>0</v>
      </c>
      <c r="AG163" t="inlineStr">
        <is>
          <t>No</t>
        </is>
      </c>
      <c r="AH163" t="inlineStr">
        <is>
          <t>YES</t>
        </is>
      </c>
      <c r="AI163" t="inlineStr">
        <is>
          <t>with potential for full-time conversion based on performance</t>
        </is>
      </c>
      <c r="AJ163" t="inlineStr">
        <is>
          <t>Requires mobile application development / React Native experience which is outside core demonstrated MERN/Web skills</t>
        </is>
      </c>
      <c r="AK163" t="inlineStr">
        <is>
          <t>Unspecified stipend</t>
        </is>
      </c>
      <c r="AL163" t="inlineStr">
        <is>
          <t>React Native fundamentals and bridge architecture; Cross-platform mobile state management; REST API integration in mobile apps</t>
        </is>
      </c>
    </row>
    <row r="164">
      <c r="A164" t="inlineStr">
        <is>
          <t>LOGICAL-SOFT-260912-163</t>
        </is>
      </c>
      <c r="B164" t="inlineStr">
        <is>
          <t>LOGICAL Soft Tech</t>
        </is>
      </c>
      <c r="C164" t="inlineStr">
        <is>
          <t>Node.js Intern</t>
        </is>
      </c>
      <c r="D164" t="inlineStr">
        <is>
          <t>https://www.adzuna.in/details/5032506906?utm_medium=api&amp;utm_source=5ccdc27f</t>
        </is>
      </c>
      <c r="E164" t="inlineStr">
        <is>
          <t>AI Analyzer</t>
        </is>
      </c>
      <c r="F164" t="inlineStr">
        <is>
          <t>Indore, Madhya Pradesh</t>
        </is>
      </c>
      <c r="G164" t="inlineStr">
        <is>
          <t>Work from office</t>
        </is>
      </c>
      <c r="H164" t="inlineStr">
        <is>
          <t>Not specified</t>
        </is>
      </c>
      <c r="I164" t="inlineStr">
        <is>
          <t>Not specified</t>
        </is>
      </c>
      <c r="J164" t="inlineStr">
        <is>
          <t>NOT_MENTIONED</t>
        </is>
      </c>
      <c r="K164" t="inlineStr">
        <is>
          <t>Node.js; MongoDB</t>
        </is>
      </c>
      <c r="L164" t="inlineStr">
        <is>
          <t>REST APIs; Database Management</t>
        </is>
      </c>
      <c r="M164" t="inlineStr">
        <is>
          <t>We are looking for Complete Fresher candidate for Intern Position Node js who want to make career in IT company and want to learn Live Project working. Location : Indore, M.P( Work from office only) Responsibilities :- 1) He or she will be doing backend Development ( database, admin panel and Rest api) 2) He or she will be learning backend logics with node js and Mongo db databse 3) He or she will</t>
        </is>
      </c>
      <c r="N164" t="n">
        <v>70</v>
      </c>
      <c r="O164" t="n">
        <v>30</v>
      </c>
      <c r="P164" t="n">
        <v>20</v>
      </c>
      <c r="Q164" t="n">
        <v>15</v>
      </c>
      <c r="R164" t="n">
        <v>0</v>
      </c>
      <c r="S164" t="n">
        <v>0</v>
      </c>
      <c r="T164" t="n">
        <v>5</v>
      </c>
      <c r="U164" t="inlineStr">
        <is>
          <t>CONSIDER</t>
        </is>
      </c>
      <c r="V164" t="inlineStr">
        <is>
          <t>CONSIDER</t>
        </is>
      </c>
      <c r="X164" t="inlineStr">
        <is>
          <t>Default Full Stack / Backend Resume</t>
        </is>
      </c>
      <c r="Y164" t="inlineStr">
        <is>
          <t>2026-09-12</t>
        </is>
      </c>
      <c r="Z164" t="inlineStr">
        <is>
          <t>Matches core tech stack (Node.js and MongoDB); Good for initial learning and live project experience</t>
        </is>
      </c>
      <c r="AA164" t="inlineStr">
        <is>
          <t>ELIGIBLE</t>
        </is>
      </c>
      <c r="AB164" t="inlineStr">
        <is>
          <t>Open to complete freshers; Matches candidate background</t>
        </is>
      </c>
      <c r="AC164" t="inlineStr">
        <is>
          <t>UNKNOWN</t>
        </is>
      </c>
      <c r="AD164" t="inlineStr">
        <is>
          <t>Candidate availability details are not provided in the career brain</t>
        </is>
      </c>
      <c r="AE164" t="inlineStr">
        <is>
          <t>UNKNOWN</t>
        </is>
      </c>
      <c r="AF164" t="n">
        <v>0</v>
      </c>
      <c r="AG164" t="inlineStr">
        <is>
          <t>No</t>
        </is>
      </c>
      <c r="AH164" t="inlineStr">
        <is>
          <t>NOT_MENTIONED</t>
        </is>
      </c>
      <c r="AI164" t="inlineStr">
        <is>
          <t>No mention of PPO or conversion to full-time role in the job description</t>
        </is>
      </c>
      <c r="AK164" t="inlineStr">
        <is>
          <t>Unpaid or unrevealed stipend; Mandatory work from office in Indore</t>
        </is>
      </c>
      <c r="AL164" t="inlineStr">
        <is>
          <t>Node.js basics and event loop; MongoDB schema design and queries; REST API creation and routing; Projects explanation (StaySphere/Zenvest)</t>
        </is>
      </c>
    </row>
    <row r="165">
      <c r="A165" t="inlineStr">
        <is>
          <t>NORYN-TECH-P-260912-164</t>
        </is>
      </c>
      <c r="B165" t="inlineStr">
        <is>
          <t>Noryn Tech Private Limited</t>
        </is>
      </c>
      <c r="C165" t="inlineStr">
        <is>
          <t>Node Js Intern</t>
        </is>
      </c>
      <c r="D165" t="inlineStr">
        <is>
          <t>https://www.adzuna.in/details/5698481869?utm_medium=api&amp;utm_source=5ccdc27f</t>
        </is>
      </c>
      <c r="E165" t="inlineStr">
        <is>
          <t>AI Analyzer</t>
        </is>
      </c>
      <c r="F165" t="inlineStr">
        <is>
          <t>Indore, Madhya Pradesh</t>
        </is>
      </c>
      <c r="G165" t="inlineStr">
        <is>
          <t>On-site</t>
        </is>
      </c>
      <c r="H165" t="inlineStr">
        <is>
          <t>Not specified</t>
        </is>
      </c>
      <c r="I165" t="inlineStr">
        <is>
          <t>Not specified</t>
        </is>
      </c>
      <c r="J165" t="inlineStr">
        <is>
          <t>NO</t>
        </is>
      </c>
      <c r="K165" t="inlineStr">
        <is>
          <t>Node.js</t>
        </is>
      </c>
      <c r="M165" t="inlineStr">
        <is>
          <t>Description Noryn Tech Private Limited is excited to announce an opening for a Node.js Developer in our Indore office. This full-time, on-site position is perfect for those looking to kickstart their career in software development within the Business Supplies and Equipment industry. As a Node.js Developer, you will play a crucial role in building and maintaining server-side applications that enhan</t>
        </is>
      </c>
      <c r="N165" t="n">
        <v>70</v>
      </c>
      <c r="O165" t="n">
        <v>30</v>
      </c>
      <c r="P165" t="n">
        <v>20</v>
      </c>
      <c r="Q165" t="n">
        <v>15</v>
      </c>
      <c r="R165" t="n">
        <v>0</v>
      </c>
      <c r="S165" t="n">
        <v>0</v>
      </c>
      <c r="T165" t="n">
        <v>5</v>
      </c>
      <c r="U165" t="inlineStr">
        <is>
          <t>CONSIDER</t>
        </is>
      </c>
      <c r="V165" t="inlineStr">
        <is>
          <t>CONSIDER</t>
        </is>
      </c>
      <c r="X165" t="inlineStr">
        <is>
          <t>Amaanuddin_Ahmed_Fullstack_Resume.pdf</t>
        </is>
      </c>
      <c r="Y165" t="inlineStr">
        <is>
          <t>2026-09-12</t>
        </is>
      </c>
      <c r="Z165" t="inlineStr">
        <is>
          <t>Direct match for Node.js skill requirement.; Good opportunity to build backend development experience.</t>
        </is>
      </c>
      <c r="AA165" t="inlineStr">
        <is>
          <t>Eligible</t>
        </is>
      </c>
      <c r="AB165" t="inlineStr">
        <is>
          <t>No explicit experience or degree blockers mentioned in the description.</t>
        </is>
      </c>
      <c r="AC165" t="inlineStr">
        <is>
          <t>UNKNOWN</t>
        </is>
      </c>
      <c r="AD165" t="inlineStr">
        <is>
          <t>Candidate availability is not specified in the career brain.</t>
        </is>
      </c>
      <c r="AE165" t="inlineStr">
        <is>
          <t>UNKNOWN</t>
        </is>
      </c>
      <c r="AF165" t="n">
        <v>0</v>
      </c>
      <c r="AG165" t="inlineStr">
        <is>
          <t>No</t>
        </is>
      </c>
      <c r="AH165" t="inlineStr">
        <is>
          <t>NO</t>
        </is>
      </c>
      <c r="AI165" t="inlineStr">
        <is>
          <t>No mention of PPO or conversion in the job description.</t>
        </is>
      </c>
      <c r="AK165" t="inlineStr">
        <is>
          <t>Unknown stipend; No PPO mentioned; On-site requirement in Indore</t>
        </is>
      </c>
      <c r="AL165" t="inlineStr">
        <is>
          <t>Node.js event loop and asynchronous programming; RESTful API design and implementation; Database integration with Node.js; Error handling and debugging in server-side JavaScript</t>
        </is>
      </c>
    </row>
    <row r="166">
      <c r="A166" t="inlineStr">
        <is>
          <t>VENTURA-SECU-260912-165</t>
        </is>
      </c>
      <c r="B166" t="inlineStr">
        <is>
          <t>ventura securities ltd</t>
        </is>
      </c>
      <c r="C166" t="inlineStr">
        <is>
          <t>NodeJS Developer</t>
        </is>
      </c>
      <c r="D166" t="inlineStr">
        <is>
          <t>https://www.adzuna.in/details/4176492451?utm_medium=api&amp;utm_source=5ccdc27f</t>
        </is>
      </c>
      <c r="E166" t="inlineStr">
        <is>
          <t>AI Analyzer</t>
        </is>
      </c>
      <c r="F166" t="inlineStr">
        <is>
          <t>India</t>
        </is>
      </c>
      <c r="G166" t="inlineStr">
        <is>
          <t>remote</t>
        </is>
      </c>
      <c r="H166" t="inlineStr">
        <is>
          <t>Not specified</t>
        </is>
      </c>
      <c r="I166" t="inlineStr">
        <is>
          <t>6 Months Internship (Fulltime)</t>
        </is>
      </c>
      <c r="J166" t="inlineStr">
        <is>
          <t>POSSIBLE</t>
        </is>
      </c>
      <c r="K166" t="inlineStr">
        <is>
          <t>Node.js; JavaScript; AWS</t>
        </is>
      </c>
      <c r="L166" t="inlineStr">
        <is>
          <t>Fintech domain knowledge</t>
        </is>
      </c>
      <c r="M166" t="inlineStr">
        <is>
          <t>JD-Backend Intern (NodeJs) Internship Span – 6 Months (Fulltime) Ventura Securities is establishing its fintech team - a remote-first, work from anywhere team with highly talented individuals who come from diverse backgrounds and looking to solve real client problems at scale. Ventura has been in the stockbroking business for 20 years and it is a robust and profitable franchise with 1000 employees</t>
        </is>
      </c>
      <c r="N166" t="n">
        <v>78</v>
      </c>
      <c r="O166" t="n">
        <v>24</v>
      </c>
      <c r="P166" t="n">
        <v>16</v>
      </c>
      <c r="Q166" t="n">
        <v>15</v>
      </c>
      <c r="R166" t="n">
        <v>10</v>
      </c>
      <c r="S166" t="n">
        <v>5</v>
      </c>
      <c r="T166" t="n">
        <v>8</v>
      </c>
      <c r="U166" t="inlineStr">
        <is>
          <t>CONSIDER</t>
        </is>
      </c>
      <c r="V166" t="inlineStr">
        <is>
          <t>CONSIDER</t>
        </is>
      </c>
      <c r="W166" t="inlineStr">
        <is>
          <t>AWS</t>
        </is>
      </c>
      <c r="X166" t="inlineStr">
        <is>
          <t>Amaanuddin_Ahmed_Fullstack_Resume.pdf</t>
        </is>
      </c>
      <c r="Y166" t="inlineStr">
        <is>
          <t>2026-09-12</t>
        </is>
      </c>
      <c r="Z166" t="inlineStr">
        <is>
          <t>Direct match for Node.js and JavaScript backend role.; Remote-first work environment offers great flexibility.; Opportunity to work in a fintech team solving problems at scale.</t>
        </is>
      </c>
      <c r="AA166" t="inlineStr">
        <is>
          <t>ELIGIBLE</t>
        </is>
      </c>
      <c r="AB166" t="inlineStr">
        <is>
          <t>Candidate has relevant JavaScript and Node.js skills.; Remote work mode matches candidate preferences.</t>
        </is>
      </c>
      <c r="AC166" t="inlineStr">
        <is>
          <t>UNKNOWN</t>
        </is>
      </c>
      <c r="AD166" t="inlineStr">
        <is>
          <t>Not specified in candidate profile.</t>
        </is>
      </c>
      <c r="AE166" t="inlineStr">
        <is>
          <t>UNKNOWN</t>
        </is>
      </c>
      <c r="AF166" t="n">
        <v>0</v>
      </c>
      <c r="AG166" t="inlineStr">
        <is>
          <t>No</t>
        </is>
      </c>
      <c r="AH166" t="inlineStr">
        <is>
          <t>POSSIBLE</t>
        </is>
      </c>
      <c r="AI166" t="inlineStr">
        <is>
          <t>Internship span - 6 months (fulltime) in a growing fintech team implies potential for full-time conversion, though not explicitly guaranteed.</t>
        </is>
      </c>
      <c r="AK166" t="inlineStr">
        <is>
          <t>Stipend information is not provided in the job description.</t>
        </is>
      </c>
      <c r="AL166" t="inlineStr">
        <is>
          <t>Node.js event loop and asynchronous programming; AWS services and cloud deployment; RESTful API design and security; Fintech application architecture and scalability</t>
        </is>
      </c>
    </row>
    <row r="167">
      <c r="A167" t="inlineStr">
        <is>
          <t>SOFTKNACK-260912-166</t>
        </is>
      </c>
      <c r="B167" t="inlineStr">
        <is>
          <t>Softknack</t>
        </is>
      </c>
      <c r="C167" t="inlineStr">
        <is>
          <t>Full Stack Engineering Intern</t>
        </is>
      </c>
      <c r="D167" t="inlineStr">
        <is>
          <t>https://www.adzuna.in/details/5845820630?utm_medium=api&amp;utm_source=5ccdc27f</t>
        </is>
      </c>
      <c r="E167" t="inlineStr">
        <is>
          <t>AI Analyzer</t>
        </is>
      </c>
      <c r="F167" t="inlineStr">
        <is>
          <t>Chennai, Tamil Nadu</t>
        </is>
      </c>
      <c r="G167" t="inlineStr">
        <is>
          <t>Unknown</t>
        </is>
      </c>
      <c r="H167" t="inlineStr">
        <is>
          <t>Not specified</t>
        </is>
      </c>
      <c r="I167" t="inlineStr">
        <is>
          <t>Unknown</t>
        </is>
      </c>
      <c r="J167" t="inlineStr">
        <is>
          <t>NOT_MENTIONED</t>
        </is>
      </c>
      <c r="K167" t="inlineStr">
        <is>
          <t>Node.js; React Native</t>
        </is>
      </c>
      <c r="L167" t="inlineStr">
        <is>
          <t>Full Stack Development</t>
        </is>
      </c>
      <c r="M167" t="inlineStr">
        <is>
          <t>Were an earlystage startup building software products that real businesses depend on to run their day Every bug is a business that cant operate Every good decision you make now gets built into the foundation as we scale Were hiring 10 interns for our next builder cohort This isnt busywork or a toy side project Youll own real features end to end ship to production and see your code used by real cli</t>
        </is>
      </c>
      <c r="N167" t="n">
        <v>55</v>
      </c>
      <c r="O167" t="n">
        <v>70</v>
      </c>
      <c r="P167" t="n">
        <v>75</v>
      </c>
      <c r="Q167" t="n">
        <v>80</v>
      </c>
      <c r="R167" t="n">
        <v>0</v>
      </c>
      <c r="S167" t="n">
        <v>0</v>
      </c>
      <c r="T167" t="n">
        <v>60</v>
      </c>
      <c r="U167" t="inlineStr">
        <is>
          <t>SKIP</t>
        </is>
      </c>
      <c r="V167" t="inlineStr">
        <is>
          <t>SKIP</t>
        </is>
      </c>
      <c r="W167" t="inlineStr">
        <is>
          <t>React Native</t>
        </is>
      </c>
      <c r="X167" t="inlineStr">
        <is>
          <t>Amaan_Full_Stack_Resume.pdf</t>
        </is>
      </c>
      <c r="Y167" t="inlineStr">
        <is>
          <t>2026-09-12</t>
        </is>
      </c>
      <c r="Z167" t="inlineStr">
        <is>
          <t>Matches target Full Stack Engineering role.; Involves building real-world products and shipping to production.</t>
        </is>
      </c>
      <c r="AA167" t="inlineStr">
        <is>
          <t>UNKNOWN</t>
        </is>
      </c>
      <c r="AB167" t="inlineStr">
        <is>
          <t>Graduation year and specific degree requirements are not explicitly detailed in the job description.</t>
        </is>
      </c>
      <c r="AC167" t="inlineStr">
        <is>
          <t>UNKNOWN</t>
        </is>
      </c>
      <c r="AD167" t="inlineStr">
        <is>
          <t>Availability requirements not specified by candidate or company context.</t>
        </is>
      </c>
      <c r="AE167" t="inlineStr">
        <is>
          <t>UNKNOWN</t>
        </is>
      </c>
      <c r="AF167" t="n">
        <v>0</v>
      </c>
      <c r="AG167" t="inlineStr">
        <is>
          <t>No</t>
        </is>
      </c>
      <c r="AH167" t="inlineStr">
        <is>
          <t>NOT_MENTIONED</t>
        </is>
      </c>
      <c r="AI167" t="inlineStr">
        <is>
          <t>No explicit mention of PPO or conversion to full-time employment in the snippet.</t>
        </is>
      </c>
      <c r="AK167" t="inlineStr">
        <is>
          <t>Stipend information is completely missing; Work mode/location requirements are ambiguous beyond Chennai</t>
        </is>
      </c>
      <c r="AL167" t="inlineStr">
        <is>
          <t>Node.js architecture and event loop; React vs React Native fundamental differences; End-to-end feature ownership and production deployments</t>
        </is>
      </c>
    </row>
    <row r="168">
      <c r="A168" t="inlineStr">
        <is>
          <t>FLEXBOARD-260912-167</t>
        </is>
      </c>
      <c r="B168" t="inlineStr">
        <is>
          <t>FlexBoard</t>
        </is>
      </c>
      <c r="C168" t="inlineStr">
        <is>
          <t>Remote Software Engineer Intern</t>
        </is>
      </c>
      <c r="D168" t="inlineStr">
        <is>
          <t>https://www.adzuna.in/details/5845820694?utm_medium=api&amp;utm_source=5ccdc27f</t>
        </is>
      </c>
      <c r="E168" t="inlineStr">
        <is>
          <t>AI Analyzer</t>
        </is>
      </c>
      <c r="F168" t="inlineStr">
        <is>
          <t>India</t>
        </is>
      </c>
      <c r="G168" t="inlineStr">
        <is>
          <t>Remote</t>
        </is>
      </c>
      <c r="H168" t="inlineStr">
        <is>
          <t>Not specified</t>
        </is>
      </c>
      <c r="I168" t="inlineStr">
        <is>
          <t>UNKNOWN</t>
        </is>
      </c>
      <c r="J168" t="inlineStr">
        <is>
          <t>NOT_MENTIONED</t>
        </is>
      </c>
      <c r="K168" t="inlineStr">
        <is>
          <t>Software Development</t>
        </is>
      </c>
      <c r="L168" t="inlineStr">
        <is>
          <t>Backend Development; Customer Service Platform technologies</t>
        </is>
      </c>
      <c r="M168" t="inlineStr">
        <is>
          <t>Note The job is a remote job and is reputed company to candidates in USA reputed company is the leading destination for shortreputed company mobile video and they are seeking talented individuals for an internship in their Customer Service Platform team The role involves reputed companyend development understanding business requirements and optimizing development models to enhance user experience</t>
        </is>
      </c>
      <c r="N168" t="n">
        <v>53</v>
      </c>
      <c r="O168" t="n">
        <v>60</v>
      </c>
      <c r="P168" t="n">
        <v>70</v>
      </c>
      <c r="Q168" t="n">
        <v>70</v>
      </c>
      <c r="R168" t="n">
        <v>0</v>
      </c>
      <c r="S168" t="n">
        <v>0</v>
      </c>
      <c r="T168" t="n">
        <v>40</v>
      </c>
      <c r="U168" t="inlineStr">
        <is>
          <t>SKIP</t>
        </is>
      </c>
      <c r="V168" t="inlineStr">
        <is>
          <t>SKIP</t>
        </is>
      </c>
      <c r="X168" t="inlineStr">
        <is>
          <t>Default Full Stack / Software Engineering Resume</t>
        </is>
      </c>
      <c r="Y168" t="inlineStr">
        <is>
          <t>2026-09-12</t>
        </is>
      </c>
      <c r="Z168" t="inlineStr">
        <is>
          <t>Remote software engineering internship aligned with target roles</t>
        </is>
      </c>
      <c r="AA168" t="inlineStr">
        <is>
          <t>ELIGIBLE</t>
        </is>
      </c>
      <c r="AB168" t="inlineStr">
        <is>
          <t>Candidate is an MCA student matching software engineering internship criteria</t>
        </is>
      </c>
      <c r="AC168" t="inlineStr">
        <is>
          <t>UNKNOWN</t>
        </is>
      </c>
      <c r="AD168" t="inlineStr">
        <is>
          <t>Not specified in the job description or career brain</t>
        </is>
      </c>
      <c r="AE168" t="inlineStr">
        <is>
          <t>UNKNOWN</t>
        </is>
      </c>
      <c r="AF168" t="n">
        <v>0</v>
      </c>
      <c r="AG168" t="inlineStr">
        <is>
          <t>No</t>
        </is>
      </c>
      <c r="AH168" t="inlineStr">
        <is>
          <t>NOT_MENTIONED</t>
        </is>
      </c>
      <c r="AI168" t="inlineStr">
        <is>
          <t>No mention of PPO or conversion in the job description</t>
        </is>
      </c>
      <c r="AK168" t="inlineStr">
        <is>
          <t>Garbled and unclear job description text; Missing stipend information</t>
        </is>
      </c>
      <c r="AL168" t="inlineStr">
        <is>
          <t>Backend development principles; Optimizing development models; Handling business requirements</t>
        </is>
      </c>
    </row>
    <row r="169">
      <c r="A169" t="inlineStr">
        <is>
          <t>CONAXWEB-SOL-260912-168</t>
        </is>
      </c>
      <c r="B169" t="inlineStr">
        <is>
          <t>ConaXweb Solutions</t>
        </is>
      </c>
      <c r="C169" t="inlineStr">
        <is>
          <t>MERN Stack Intern</t>
        </is>
      </c>
      <c r="D169" t="inlineStr">
        <is>
          <t>https://www.adzuna.in/details/4366939888?utm_medium=api&amp;utm_source=5ccdc27f</t>
        </is>
      </c>
      <c r="E169" t="inlineStr">
        <is>
          <t>AI Analyzer</t>
        </is>
      </c>
      <c r="F169" t="inlineStr">
        <is>
          <t>Allahabad, Uttar Pradesh</t>
        </is>
      </c>
      <c r="G169" t="inlineStr">
        <is>
          <t>On-site</t>
        </is>
      </c>
      <c r="H169" t="inlineStr">
        <is>
          <t>Not Disclosed</t>
        </is>
      </c>
      <c r="I169" t="inlineStr">
        <is>
          <t>Not Specified</t>
        </is>
      </c>
      <c r="J169" t="inlineStr">
        <is>
          <t>Not Mentioned</t>
        </is>
      </c>
      <c r="K169" t="inlineStr">
        <is>
          <t>MongoDB; Express.js; React.js; Node.js</t>
        </is>
      </c>
      <c r="M169" t="inlineStr">
        <is>
          <t>Job description We are looking for MERN Stack Interns to join our team and help us build and maintain high-performance web applications. As a MERN stack developer, you will be responsible for designing, developing, and deploying web applications using the MERN stack (MongoDB, Express, React, and Node.js). Key Responsibilities: Design and develop web applications using the MERN stack Write clean, m</t>
        </is>
      </c>
      <c r="N169" t="n">
        <v>70</v>
      </c>
      <c r="O169" t="n">
        <v>30</v>
      </c>
      <c r="P169" t="n">
        <v>20</v>
      </c>
      <c r="Q169" t="n">
        <v>15</v>
      </c>
      <c r="R169" t="n">
        <v>0</v>
      </c>
      <c r="S169" t="n">
        <v>0</v>
      </c>
      <c r="T169" t="n">
        <v>5</v>
      </c>
      <c r="U169" t="inlineStr">
        <is>
          <t>CONSIDER</t>
        </is>
      </c>
      <c r="V169" t="inlineStr">
        <is>
          <t>CONSIDER</t>
        </is>
      </c>
      <c r="X169" t="inlineStr">
        <is>
          <t>Amaanuddin_Ahmed_Full_Stack_Resume.pdf</t>
        </is>
      </c>
      <c r="Y169" t="inlineStr">
        <is>
          <t>2026-09-12</t>
        </is>
      </c>
      <c r="Z169" t="inlineStr">
        <is>
          <t>Direct match with MERN stack skill set; Good opportunity to build production-grade web applications</t>
        </is>
      </c>
      <c r="AA169" t="inlineStr">
        <is>
          <t>Eligible</t>
        </is>
      </c>
      <c r="AB169" t="inlineStr">
        <is>
          <t>Candidate has matching MERN stack experience</t>
        </is>
      </c>
      <c r="AC169" t="inlineStr">
        <is>
          <t>Unknown</t>
        </is>
      </c>
      <c r="AD169" t="inlineStr">
        <is>
          <t>Availability not specified in career brain</t>
        </is>
      </c>
      <c r="AE169" t="inlineStr">
        <is>
          <t>UNKNOWN</t>
        </is>
      </c>
      <c r="AF169" t="n">
        <v>0</v>
      </c>
      <c r="AG169" t="inlineStr">
        <is>
          <t>No</t>
        </is>
      </c>
      <c r="AH169" t="inlineStr">
        <is>
          <t>Not Mentioned</t>
        </is>
      </c>
      <c r="AI169" t="inlineStr">
        <is>
          <t>No mention of PPO or conversion in the job description</t>
        </is>
      </c>
      <c r="AK169" t="inlineStr">
        <is>
          <t>Stipend not disclosed; Location requires relocation to Allahabad</t>
        </is>
      </c>
      <c r="AL169" t="inlineStr">
        <is>
          <t>MERN Stack Architecture; REST API Design; State Management in React; MongoDB Data Modeling</t>
        </is>
      </c>
    </row>
    <row r="170">
      <c r="A170" t="inlineStr">
        <is>
          <t>MAXGEN-TECHN-260912-169</t>
        </is>
      </c>
      <c r="B170" t="inlineStr">
        <is>
          <t>MAXGEN TECHNOLOGIES PRIVATE LIMITED</t>
        </is>
      </c>
      <c r="C170" t="inlineStr">
        <is>
          <t>Mern Stack Internship</t>
        </is>
      </c>
      <c r="D170" t="inlineStr">
        <is>
          <t>https://www.adzuna.in/details/5842547711?utm_medium=api&amp;utm_source=5ccdc27f</t>
        </is>
      </c>
      <c r="E170" t="inlineStr">
        <is>
          <t>AI Analyzer</t>
        </is>
      </c>
      <c r="F170" t="inlineStr">
        <is>
          <t>Pune</t>
        </is>
      </c>
      <c r="G170" t="inlineStr">
        <is>
          <t>Hybrid</t>
        </is>
      </c>
      <c r="H170" t="inlineStr">
        <is>
          <t>UNKNOWN</t>
        </is>
      </c>
      <c r="I170" t="inlineStr">
        <is>
          <t>UNKNOWN</t>
        </is>
      </c>
      <c r="J170" t="inlineStr">
        <is>
          <t>No</t>
        </is>
      </c>
      <c r="K170" t="inlineStr">
        <is>
          <t>MERN Stack; Frontend Development; Backend Development</t>
        </is>
      </c>
      <c r="L170" t="inlineStr">
        <is>
          <t>Web Development</t>
        </is>
      </c>
      <c r="M170" t="inlineStr">
        <is>
          <t>Maxgen Technologies Pvt Ltd offering Web development program inpune we are offeringmernstackinternshipwith frontend and backend learning program Why seeking our program Online or Offline internships experienced staff Attractive locations Skills development services Live projects internships call at hidden mobile visit us www maxgentechnologies com Address 601 Konark Icon MagarpattaPune</t>
        </is>
      </c>
      <c r="N170" t="n">
        <v>58</v>
      </c>
      <c r="O170" t="n">
        <v>95</v>
      </c>
      <c r="P170" t="n">
        <v>90</v>
      </c>
      <c r="Q170" t="n">
        <v>90</v>
      </c>
      <c r="R170" t="n">
        <v>0</v>
      </c>
      <c r="S170" t="n">
        <v>20</v>
      </c>
      <c r="T170" t="n">
        <v>30</v>
      </c>
      <c r="U170" t="inlineStr">
        <is>
          <t>SKIP</t>
        </is>
      </c>
      <c r="V170" t="inlineStr">
        <is>
          <t>SKIP</t>
        </is>
      </c>
      <c r="X170" t="inlineStr">
        <is>
          <t>Default Full Stack Resume</t>
        </is>
      </c>
      <c r="Y170" t="inlineStr">
        <is>
          <t>2026-09-12</t>
        </is>
      </c>
      <c r="Z170" t="inlineStr">
        <is>
          <t>Matches MERN stack skill set</t>
        </is>
      </c>
      <c r="AA170" t="inlineStr">
        <is>
          <t>Eligible</t>
        </is>
      </c>
      <c r="AB170" t="inlineStr">
        <is>
          <t>Open to tech interns</t>
        </is>
      </c>
      <c r="AC170" t="inlineStr">
        <is>
          <t>UNKNOWN</t>
        </is>
      </c>
      <c r="AD170" t="inlineStr">
        <is>
          <t>Availability not specified in candidate profile</t>
        </is>
      </c>
      <c r="AE170" t="inlineStr">
        <is>
          <t>UNKNOWN</t>
        </is>
      </c>
      <c r="AF170" t="n">
        <v>0</v>
      </c>
      <c r="AG170" t="inlineStr">
        <is>
          <t>No</t>
        </is>
      </c>
      <c r="AH170" t="inlineStr">
        <is>
          <t>No</t>
        </is>
      </c>
      <c r="AI170" t="inlineStr">
        <is>
          <t>No mention of PPO or job conversion in the job description</t>
        </is>
      </c>
      <c r="AK170" t="inlineStr">
        <is>
          <t>Paid training program disguised as internship; Unclear stipend</t>
        </is>
      </c>
      <c r="AL170" t="inlineStr">
        <is>
          <t>MERN Stack fundamentals; Previous projects</t>
        </is>
      </c>
    </row>
    <row r="171">
      <c r="A171" t="inlineStr">
        <is>
          <t>MAXGEN-TECHN-260912-170</t>
        </is>
      </c>
      <c r="B171" t="inlineStr">
        <is>
          <t>MAXGEN TECHNOLOGIES PRIVATE LIMITED</t>
        </is>
      </c>
      <c r="C171" t="inlineStr">
        <is>
          <t>Mern Stack Internship</t>
        </is>
      </c>
      <c r="D171" t="inlineStr">
        <is>
          <t>https://www.adzuna.in/details/5854846598?utm_medium=api&amp;utm_source=5ccdc27f</t>
        </is>
      </c>
      <c r="E171" t="inlineStr">
        <is>
          <t>AI Analyzer</t>
        </is>
      </c>
      <c r="F171" t="inlineStr">
        <is>
          <t>Ahmedabad</t>
        </is>
      </c>
      <c r="G171" t="inlineStr">
        <is>
          <t>Hybrid</t>
        </is>
      </c>
      <c r="H171" t="inlineStr">
        <is>
          <t>Not Specified</t>
        </is>
      </c>
      <c r="I171" t="inlineStr">
        <is>
          <t>Not Specified</t>
        </is>
      </c>
      <c r="J171" t="inlineStr">
        <is>
          <t>Unclear</t>
        </is>
      </c>
      <c r="K171" t="inlineStr">
        <is>
          <t>MERN Stack; Web Development</t>
        </is>
      </c>
      <c r="L171" t="inlineStr">
        <is>
          <t>Advance learning program technologies</t>
        </is>
      </c>
      <c r="M171" t="inlineStr">
        <is>
          <t>Maxgen Technologies Pvt ltd is an it company based in Ahmedabad Diploma and iT can join ourmernstcakinternshipand web development program Why looking for us Advance leanring Program hybridinternshipwe offer flexible hours duringinternship job placement assistant visit us at www maxgentechnologies com contact us hidden mobile address Abhijeet 3 603 Netaji Rd near Pantaloons Mithakhali Ellisbridge A</t>
        </is>
      </c>
      <c r="N171" t="n">
        <v>69</v>
      </c>
      <c r="O171" t="n">
        <v>30</v>
      </c>
      <c r="P171" t="n">
        <v>15</v>
      </c>
      <c r="Q171" t="n">
        <v>15</v>
      </c>
      <c r="R171" t="n">
        <v>5</v>
      </c>
      <c r="S171" t="n">
        <v>0</v>
      </c>
      <c r="T171" t="n">
        <v>4</v>
      </c>
      <c r="U171" t="inlineStr">
        <is>
          <t>STRETCH</t>
        </is>
      </c>
      <c r="V171" t="inlineStr">
        <is>
          <t>STRETCH</t>
        </is>
      </c>
      <c r="X171" t="inlineStr">
        <is>
          <t>Amaanuddin_Ahmed_Fullstack_Resume.pdf</t>
        </is>
      </c>
      <c r="Y171" t="inlineStr">
        <is>
          <t>2026-09-12</t>
        </is>
      </c>
      <c r="Z171" t="inlineStr">
        <is>
          <t>Strong technical alignment with the MERN Stack requirements; Good opportunity to apply full-stack projects like StaySphere and Zenvest</t>
        </is>
      </c>
      <c r="AA171" t="inlineStr">
        <is>
          <t>Eligible</t>
        </is>
      </c>
      <c r="AB171" t="inlineStr">
        <is>
          <t>Open to diploma and IT backgrounds; Matches MERN stack skill profile</t>
        </is>
      </c>
      <c r="AC171" t="inlineStr">
        <is>
          <t>UNKNOWN</t>
        </is>
      </c>
      <c r="AD171" t="inlineStr">
        <is>
          <t>Candidate availability dates not specified in the job description.</t>
        </is>
      </c>
      <c r="AE171" t="inlineStr">
        <is>
          <t>UNKNOWN</t>
        </is>
      </c>
      <c r="AF171" t="n">
        <v>0</v>
      </c>
      <c r="AG171" t="inlineStr">
        <is>
          <t>No</t>
        </is>
      </c>
      <c r="AH171" t="inlineStr">
        <is>
          <t>Unclear</t>
        </is>
      </c>
      <c r="AI171" t="inlineStr">
        <is>
          <t>Job mentions job placement assistance, but explicit PPO or conversion guarantee is not stated.</t>
        </is>
      </c>
      <c r="AK171" t="inlineStr">
        <is>
          <t>Stipend details not disclosed; Unclear if it is a paid internship or training program</t>
        </is>
      </c>
      <c r="AL171" t="inlineStr">
        <is>
          <t>MERN Stack architecture; React.js state management; Node.js and Express REST APIs; MongoDB database design</t>
        </is>
      </c>
    </row>
    <row r="172">
      <c r="A172" t="inlineStr">
        <is>
          <t>ZECSER-BUSIN-260912-171</t>
        </is>
      </c>
      <c r="B172" t="inlineStr">
        <is>
          <t>Zecser Business LLP</t>
        </is>
      </c>
      <c r="C172" t="inlineStr">
        <is>
          <t>MERN Stack Developer Internship</t>
        </is>
      </c>
      <c r="D172" t="inlineStr">
        <is>
          <t>https://www.adzuna.in/details/5565364089?utm_medium=api&amp;utm_source=5ccdc27f</t>
        </is>
      </c>
      <c r="E172" t="inlineStr">
        <is>
          <t>AI Analyzer</t>
        </is>
      </c>
      <c r="F172" t="inlineStr">
        <is>
          <t>Kochi, Ernakulam</t>
        </is>
      </c>
      <c r="G172" t="inlineStr">
        <is>
          <t>On-site/Not specified</t>
        </is>
      </c>
      <c r="H172" t="inlineStr">
        <is>
          <t>Not specified</t>
        </is>
      </c>
      <c r="I172" t="inlineStr">
        <is>
          <t>Not specified</t>
        </is>
      </c>
      <c r="J172" t="inlineStr">
        <is>
          <t>UNKNOWN</t>
        </is>
      </c>
      <c r="K172" t="inlineStr">
        <is>
          <t>MongoDB; Express.js; React.js; Node.js</t>
        </is>
      </c>
      <c r="M172" t="inlineStr">
        <is>
          <t>MERN Stack Developer Internship in Kerala Are you a passionate and motivated individual looking to kickstart your career as a MERN Stack Developer? This internship opportunity in Kerala offers you the chance to work with cutting-edge technologies while gaining real-world experience. As a MERN Stack Developer Intern, you will be part of a dynamic team dedicated to developing innovative web applicat</t>
        </is>
      </c>
      <c r="N172" t="n">
        <v>73</v>
      </c>
      <c r="O172" t="n">
        <v>30</v>
      </c>
      <c r="P172" t="n">
        <v>18</v>
      </c>
      <c r="Q172" t="n">
        <v>15</v>
      </c>
      <c r="R172" t="n">
        <v>5</v>
      </c>
      <c r="S172" t="n">
        <v>0</v>
      </c>
      <c r="T172" t="n">
        <v>5</v>
      </c>
      <c r="U172" t="inlineStr">
        <is>
          <t>CONSIDER</t>
        </is>
      </c>
      <c r="V172" t="inlineStr">
        <is>
          <t>CONSIDER</t>
        </is>
      </c>
      <c r="X172" t="inlineStr">
        <is>
          <t>Full Stack / MERN Resume</t>
        </is>
      </c>
      <c r="Y172" t="inlineStr">
        <is>
          <t>2026-09-12</t>
        </is>
      </c>
      <c r="Z172" t="inlineStr">
        <is>
          <t>Direct technical match for the MERN stack requirements.; Good opportunity to build professional experience in web application development.</t>
        </is>
      </c>
      <c r="AA172" t="inlineStr">
        <is>
          <t>ELIGIBLE</t>
        </is>
      </c>
      <c r="AB172" t="inlineStr">
        <is>
          <t>Candidate is an MCA student looking for software and full stack development internships.; No hard degree or graduation year blockers specified in the snippet.</t>
        </is>
      </c>
      <c r="AC172" t="inlineStr">
        <is>
          <t>UNKNOWN</t>
        </is>
      </c>
      <c r="AD172" t="inlineStr">
        <is>
          <t>Candidate availability details are not provided in the career brain.</t>
        </is>
      </c>
      <c r="AE172" t="inlineStr">
        <is>
          <t>UNKNOWN</t>
        </is>
      </c>
      <c r="AF172" t="n">
        <v>0</v>
      </c>
      <c r="AG172" t="inlineStr">
        <is>
          <t>No</t>
        </is>
      </c>
      <c r="AH172" t="inlineStr">
        <is>
          <t>UNKNOWN</t>
        </is>
      </c>
      <c r="AI172" t="inlineStr">
        <is>
          <t>No explicit mention of PPO or conversion in the provided description snippet.</t>
        </is>
      </c>
      <c r="AK172" t="inlineStr">
        <is>
          <t>Stipend is not disclosed.</t>
        </is>
      </c>
      <c r="AL172" t="inlineStr">
        <is>
          <t>MERN stack architecture and component communication; REST API design and implementation; MongoDB schema design and queries; State management in React.js</t>
        </is>
      </c>
    </row>
    <row r="173">
      <c r="A173" t="inlineStr">
        <is>
          <t>OCTALBEES-260912-172</t>
        </is>
      </c>
      <c r="B173" t="inlineStr">
        <is>
          <t>Octalbees</t>
        </is>
      </c>
      <c r="C173" t="inlineStr">
        <is>
          <t>MERN Stack Developer Intern</t>
        </is>
      </c>
      <c r="D173" t="inlineStr">
        <is>
          <t>https://www.adzuna.in/details/5879546730?utm_medium=api&amp;utm_source=5ccdc27f</t>
        </is>
      </c>
      <c r="E173" t="inlineStr">
        <is>
          <t>AI Analyzer</t>
        </is>
      </c>
      <c r="F173" t="inlineStr">
        <is>
          <t>India</t>
        </is>
      </c>
      <c r="G173" t="inlineStr">
        <is>
          <t>UNKNOWN</t>
        </is>
      </c>
      <c r="H173" t="inlineStr">
        <is>
          <t>Not specified</t>
        </is>
      </c>
      <c r="I173" t="inlineStr">
        <is>
          <t>UNKNOWN</t>
        </is>
      </c>
      <c r="J173" t="inlineStr">
        <is>
          <t>UNKNOWN</t>
        </is>
      </c>
      <c r="K173" t="inlineStr">
        <is>
          <t>MongoDB; Express.js; React.js; Node.js; REST APIs</t>
        </is>
      </c>
      <c r="M173" t="inlineStr">
        <is>
          <t>About the Role Octalbees is looking for a MERN Stack Developer Intern to join our development team and work on practical, industry-oriented web development projects. What You'll Work On Build and improve web applications using MongoDB, Express.js, React.js, and Node.js Develop responsive and user-friendly frontend interfaces Build and integrate REST APIs Work with databases, authentication, and ba</t>
        </is>
      </c>
      <c r="N173" t="n">
        <v>75</v>
      </c>
      <c r="O173" t="n">
        <v>30</v>
      </c>
      <c r="P173" t="n">
        <v>20</v>
      </c>
      <c r="Q173" t="n">
        <v>15</v>
      </c>
      <c r="R173" t="n">
        <v>5</v>
      </c>
      <c r="S173" t="n">
        <v>0</v>
      </c>
      <c r="T173" t="n">
        <v>5</v>
      </c>
      <c r="U173" t="inlineStr">
        <is>
          <t>CONSIDER</t>
        </is>
      </c>
      <c r="V173" t="inlineStr">
        <is>
          <t>CONSIDER</t>
        </is>
      </c>
      <c r="X173" t="inlineStr">
        <is>
          <t>Amaanuddin_Ahmed_MERN_Resume.pdf</t>
        </is>
      </c>
      <c r="Y173" t="inlineStr">
        <is>
          <t>2026-09-12</t>
        </is>
      </c>
      <c r="Z173" t="inlineStr">
        <is>
          <t>Exact match with the MERN stack technologies demonstrated in projects like StaySphere and Zenvest.; Good opportunity to gain practical industry-oriented experience.</t>
        </is>
      </c>
      <c r="AA173" t="inlineStr">
        <is>
          <t>ELIGIBLE</t>
        </is>
      </c>
      <c r="AB173" t="inlineStr">
        <is>
          <t>No explicit degree or graduation year blockers mentioned in the description.</t>
        </is>
      </c>
      <c r="AC173" t="inlineStr">
        <is>
          <t>UNKNOWN</t>
        </is>
      </c>
      <c r="AD173" t="inlineStr">
        <is>
          <t>Availability not specified in career brain.</t>
        </is>
      </c>
      <c r="AE173" t="inlineStr">
        <is>
          <t>UNKNOWN</t>
        </is>
      </c>
      <c r="AF173" t="n">
        <v>0</v>
      </c>
      <c r="AG173" t="inlineStr">
        <is>
          <t>No</t>
        </is>
      </c>
      <c r="AH173" t="inlineStr">
        <is>
          <t>UNKNOWN</t>
        </is>
      </c>
      <c r="AI173" t="inlineStr">
        <is>
          <t>No explicit mention of PPO or conversion.</t>
        </is>
      </c>
      <c r="AK173" t="inlineStr">
        <is>
          <t>Stipend information is missing.</t>
        </is>
      </c>
      <c r="AL173" t="inlineStr">
        <is>
          <t>MERN stack architecture and state management; REST API design and integration; Authentication and database operations in MongoDB; Debugging and optimizing web applications</t>
        </is>
      </c>
    </row>
    <row r="174">
      <c r="A174" t="inlineStr">
        <is>
          <t>PAATHZ-260912-173</t>
        </is>
      </c>
      <c r="B174" t="inlineStr">
        <is>
          <t>Paathz</t>
        </is>
      </c>
      <c r="C174" t="inlineStr">
        <is>
          <t>Software Engineer Intern MERN</t>
        </is>
      </c>
      <c r="D174" t="inlineStr">
        <is>
          <t>https://www.adzuna.in/details/5827200226?utm_medium=api&amp;utm_source=5ccdc27f</t>
        </is>
      </c>
      <c r="E174" t="inlineStr">
        <is>
          <t>AI Analyzer</t>
        </is>
      </c>
      <c r="F174" t="inlineStr">
        <is>
          <t>Hyderabad, Telangana</t>
        </is>
      </c>
      <c r="G174" t="inlineStr">
        <is>
          <t>Unknown</t>
        </is>
      </c>
      <c r="H174" t="inlineStr">
        <is>
          <t>Not specified</t>
        </is>
      </c>
      <c r="I174" t="inlineStr">
        <is>
          <t>Unknown</t>
        </is>
      </c>
      <c r="J174" t="inlineStr">
        <is>
          <t>Not Mentioned</t>
        </is>
      </c>
      <c r="K174" t="inlineStr">
        <is>
          <t>MERN; JavaScript; React.js; Node.js; Express.js; MongoDB</t>
        </is>
      </c>
      <c r="M174" t="inlineStr">
        <is>
          <t>About Paathz Paathz is an AInative hospitality workforce platform connecting prevetted professionals with hotels and restaurants across Southeast Asia Europe and the Middle East We believe hospitality has a visibility problem not a labour shortage Our mission is to become the definitive crossborder talent corridor for the global hospitality industry The Role We are looking for a passionate Softwar</t>
        </is>
      </c>
      <c r="N174" t="n">
        <v>75</v>
      </c>
      <c r="O174" t="n">
        <v>30</v>
      </c>
      <c r="P174" t="n">
        <v>20</v>
      </c>
      <c r="Q174" t="n">
        <v>15</v>
      </c>
      <c r="R174" t="n">
        <v>5</v>
      </c>
      <c r="S174" t="n">
        <v>0</v>
      </c>
      <c r="T174" t="n">
        <v>5</v>
      </c>
      <c r="U174" t="inlineStr">
        <is>
          <t>CONSIDER</t>
        </is>
      </c>
      <c r="V174" t="inlineStr">
        <is>
          <t>CONSIDER</t>
        </is>
      </c>
      <c r="X174" t="inlineStr">
        <is>
          <t>Full Stack / MERN Resume</t>
        </is>
      </c>
      <c r="Y174" t="inlineStr">
        <is>
          <t>2026-09-12</t>
        </is>
      </c>
      <c r="Z174" t="inlineStr">
        <is>
          <t>Direct technical match for MERN stack with portfolio projects like StaySphere; Aligns well with target Software Engineering and Full Stack roles</t>
        </is>
      </c>
      <c r="AA174" t="inlineStr">
        <is>
          <t>Eligible</t>
        </is>
      </c>
      <c r="AB174" t="inlineStr">
        <is>
          <t>Role matches target Full Stack Development and Software Engineering domains; No hard degree or graduation year blockers specified in the snippet</t>
        </is>
      </c>
      <c r="AC174" t="inlineStr">
        <is>
          <t>Unknown</t>
        </is>
      </c>
      <c r="AD174" t="inlineStr">
        <is>
          <t>Availability not explicitly stated in the candidate profile or job description</t>
        </is>
      </c>
      <c r="AE174" t="inlineStr">
        <is>
          <t>UNKNOWN</t>
        </is>
      </c>
      <c r="AF174" t="n">
        <v>0</v>
      </c>
      <c r="AG174" t="inlineStr">
        <is>
          <t>No</t>
        </is>
      </c>
      <c r="AH174" t="inlineStr">
        <is>
          <t>Not Mentioned</t>
        </is>
      </c>
      <c r="AI174" t="inlineStr">
        <is>
          <t>Job description snippet does not mention PPO or conversion to full-time.</t>
        </is>
      </c>
      <c r="AK174" t="inlineStr">
        <is>
          <t>Stipend is not disclosed; PPO is not mentioned</t>
        </is>
      </c>
      <c r="AL174" t="inlineStr">
        <is>
          <t>MERN Stack architecture and best practices; REST API design and authentication; Database schema design with MongoDB; State management in React.js</t>
        </is>
      </c>
    </row>
    <row r="175">
      <c r="A175" t="inlineStr">
        <is>
          <t>IDLI-TECHNOL-260912-174</t>
        </is>
      </c>
      <c r="B175" t="inlineStr">
        <is>
          <t>Idli Technologies Pvt Ltd</t>
        </is>
      </c>
      <c r="C175" t="inlineStr">
        <is>
          <t>MERN Stack Developer Internship</t>
        </is>
      </c>
      <c r="D175" t="inlineStr">
        <is>
          <t>https://www.adzuna.in/details/5811667426?utm_medium=api&amp;utm_source=5ccdc27f</t>
        </is>
      </c>
      <c r="E175" t="inlineStr">
        <is>
          <t>AI Analyzer</t>
        </is>
      </c>
      <c r="F175" t="inlineStr">
        <is>
          <t>Raipur, Chhattisgarh</t>
        </is>
      </c>
      <c r="G175" t="inlineStr">
        <is>
          <t>UNKNOWN</t>
        </is>
      </c>
      <c r="I175" t="inlineStr">
        <is>
          <t>UNKNOWN</t>
        </is>
      </c>
      <c r="J175" t="inlineStr">
        <is>
          <t>UNKNOWN</t>
        </is>
      </c>
      <c r="K175" t="inlineStr">
        <is>
          <t>MongoDB; Express.js; React.js; Node.js</t>
        </is>
      </c>
      <c r="M175" t="inlineStr">
        <is>
          <t>Responsibilities Develop and maintain web applications using the MERN stack MongoDB Express js React js Node js Collaborate with the frontend and backend teams to integrate userfacing elements with serverside logic Write clean maintainable and efficient code Participate in code reviews and contribute to team discussions Assist in troubleshooting debugging and upgrading existing software Learn and</t>
        </is>
      </c>
      <c r="N175" t="n">
        <v>75</v>
      </c>
      <c r="O175" t="n">
        <v>30</v>
      </c>
      <c r="P175" t="n">
        <v>20</v>
      </c>
      <c r="Q175" t="n">
        <v>15</v>
      </c>
      <c r="R175" t="n">
        <v>5</v>
      </c>
      <c r="S175" t="n">
        <v>0</v>
      </c>
      <c r="T175" t="n">
        <v>5</v>
      </c>
      <c r="U175" t="inlineStr">
        <is>
          <t>CONSIDER</t>
        </is>
      </c>
      <c r="V175" t="inlineStr">
        <is>
          <t>CONSIDER</t>
        </is>
      </c>
      <c r="X175" t="inlineStr">
        <is>
          <t>Default MERN Resume</t>
        </is>
      </c>
      <c r="Y175" t="inlineStr">
        <is>
          <t>2026-09-12</t>
        </is>
      </c>
      <c r="Z175" t="inlineStr">
        <is>
          <t>Strong technical fit with the MERN stack requirements.; Good opportunity to apply full-stack development skills.</t>
        </is>
      </c>
      <c r="AA175" t="inlineStr">
        <is>
          <t>ELIGIBLE</t>
        </is>
      </c>
      <c r="AB175" t="inlineStr">
        <is>
          <t>Candidate possesses the required MERN stack skills.</t>
        </is>
      </c>
      <c r="AC175" t="inlineStr">
        <is>
          <t>UNKNOWN</t>
        </is>
      </c>
      <c r="AD175" t="inlineStr">
        <is>
          <t>Candidate availability is not specified.</t>
        </is>
      </c>
      <c r="AE175" t="inlineStr">
        <is>
          <t>UNKNOWN</t>
        </is>
      </c>
      <c r="AF175" t="n">
        <v>0</v>
      </c>
      <c r="AG175" t="inlineStr">
        <is>
          <t>No</t>
        </is>
      </c>
      <c r="AH175" t="inlineStr">
        <is>
          <t>UNKNOWN</t>
        </is>
      </c>
      <c r="AI175" t="inlineStr">
        <is>
          <t>No mention of PPO or conversion in the job description.</t>
        </is>
      </c>
      <c r="AK175" t="inlineStr">
        <is>
          <t>Stipend details not provided; No mention of PPO</t>
        </is>
      </c>
      <c r="AL175" t="inlineStr">
        <is>
          <t>MERN Stack architecture; REST API integration; Debugging and troubleshooting web applications; StaySphere project discussion</t>
        </is>
      </c>
    </row>
    <row r="176">
      <c r="A176" t="inlineStr">
        <is>
          <t>SPARKS-TO-ID-260912-175</t>
        </is>
      </c>
      <c r="B176" t="inlineStr">
        <is>
          <t>Sparks To Ideas</t>
        </is>
      </c>
      <c r="C176" t="inlineStr">
        <is>
          <t>MERN Stack Developer Internship</t>
        </is>
      </c>
      <c r="D176" t="inlineStr">
        <is>
          <t>https://www.adzuna.in/details/5856165557?utm_medium=api&amp;utm_source=5ccdc27f</t>
        </is>
      </c>
      <c r="E176" t="inlineStr">
        <is>
          <t>AI Analyzer</t>
        </is>
      </c>
      <c r="F176" t="inlineStr">
        <is>
          <t>Ahmedabad, India</t>
        </is>
      </c>
      <c r="G176" t="inlineStr">
        <is>
          <t>On-site</t>
        </is>
      </c>
      <c r="H176" t="inlineStr">
        <is>
          <t>Not specified</t>
        </is>
      </c>
      <c r="I176" t="inlineStr">
        <is>
          <t>UNKNOWN</t>
        </is>
      </c>
      <c r="J176" t="inlineStr">
        <is>
          <t>NOT MENTIONED</t>
        </is>
      </c>
      <c r="K176" t="inlineStr">
        <is>
          <t>MongoDB; Express.js; React.js; Node.js; MERN Stack</t>
        </is>
      </c>
      <c r="M176" t="inlineStr">
        <is>
          <t>Sparks to Ideas IT Company is a growing IT solutions provider specializing in modern web technologies We focus on handson training live project exposure and helping students build strong careers in full stack development We are looking for passionate MERN Stack Interns in Ahmedabad who are eager to learn and work on realtime web applications This internship provides complete exposure to frontend a</t>
        </is>
      </c>
      <c r="N176" t="n">
        <v>75</v>
      </c>
      <c r="O176" t="n">
        <v>30</v>
      </c>
      <c r="P176" t="n">
        <v>20</v>
      </c>
      <c r="Q176" t="n">
        <v>15</v>
      </c>
      <c r="R176" t="n">
        <v>5</v>
      </c>
      <c r="S176" t="n">
        <v>0</v>
      </c>
      <c r="T176" t="n">
        <v>5</v>
      </c>
      <c r="U176" t="inlineStr">
        <is>
          <t>CONSIDER</t>
        </is>
      </c>
      <c r="V176" t="inlineStr">
        <is>
          <t>CONSIDER</t>
        </is>
      </c>
      <c r="X176" t="inlineStr">
        <is>
          <t>Amaanuddin_Ahmed_Full_Stack_Resume.pdf</t>
        </is>
      </c>
      <c r="Y176" t="inlineStr">
        <is>
          <t>2026-09-12</t>
        </is>
      </c>
      <c r="Z176" t="inlineStr">
        <is>
          <t>Direct technical match for MERN stack development.; Aligns with target roles in Full Stack Development.</t>
        </is>
      </c>
      <c r="AA176" t="inlineStr">
        <is>
          <t>ELIGIBLE</t>
        </is>
      </c>
      <c r="AB176" t="inlineStr">
        <is>
          <t>Candidate is an MCA student matching the MERN stack profile.; No explicit degree or graduation year blockers found in the snippet.</t>
        </is>
      </c>
      <c r="AC176" t="inlineStr">
        <is>
          <t>UNKNOWN</t>
        </is>
      </c>
      <c r="AD176" t="inlineStr">
        <is>
          <t>Availability not specified in the candidate profile or job description.</t>
        </is>
      </c>
      <c r="AE176" t="inlineStr">
        <is>
          <t>UNKNOWN</t>
        </is>
      </c>
      <c r="AF176" t="n">
        <v>0</v>
      </c>
      <c r="AG176" t="inlineStr">
        <is>
          <t>No</t>
        </is>
      </c>
      <c r="AH176" t="inlineStr">
        <is>
          <t>NOT MENTIONED</t>
        </is>
      </c>
      <c r="AI176" t="inlineStr">
        <is>
          <t>Job description mentions hands-on training and live project exposure but does not explicitly guarantee or mention a PPO conversion.</t>
        </is>
      </c>
      <c r="AK176" t="inlineStr">
        <is>
          <t>Location is Ahmedabad, which may require relocation since candidate is based in PES University.; Stipend details not disclosed.</t>
        </is>
      </c>
      <c r="AL176" t="inlineStr">
        <is>
          <t>MERN stack architecture; RESTful API development; MongoDB database operations; React state management; Previous projects like StaySphere and Zenvest</t>
        </is>
      </c>
    </row>
    <row r="177">
      <c r="A177" t="inlineStr">
        <is>
          <t>LOGICAL-SOFT-260912-176</t>
        </is>
      </c>
      <c r="B177" t="inlineStr">
        <is>
          <t>LOGICAL Soft Tech</t>
        </is>
      </c>
      <c r="C177" t="inlineStr">
        <is>
          <t>web development Interns</t>
        </is>
      </c>
      <c r="D177" t="inlineStr">
        <is>
          <t>https://www.adzuna.in/details/5032506958?utm_medium=api&amp;utm_source=5ccdc27f</t>
        </is>
      </c>
      <c r="E177" t="inlineStr">
        <is>
          <t>AI Analyzer</t>
        </is>
      </c>
      <c r="F177" t="inlineStr">
        <is>
          <t>Indore, Madhya Pradesh</t>
        </is>
      </c>
      <c r="G177" t="inlineStr">
        <is>
          <t>Work from office</t>
        </is>
      </c>
      <c r="H177" t="inlineStr">
        <is>
          <t>Not Disclosed</t>
        </is>
      </c>
      <c r="I177" t="inlineStr">
        <is>
          <t>UNKNOWN</t>
        </is>
      </c>
      <c r="J177" t="inlineStr">
        <is>
          <t>UNKNOWN</t>
        </is>
      </c>
      <c r="K177" t="inlineStr">
        <is>
          <t>MERN Stack; React.js; Node.js; HTML; CSS; JavaScript</t>
        </is>
      </c>
      <c r="M177" t="inlineStr">
        <is>
          <t>We are looking for Complete Freshers on Web MERN Stack Internship candidates who want to make career in IT company Software fields and want to learn Live Project working and want to become Software professionals. Location : Indore, M.P( Work from office only) Roles and Responsibilities :- 1) He or She will be working on both frontend design and backend Development on MERN Stack React js and Node j</t>
        </is>
      </c>
      <c r="N177" t="n">
        <v>69</v>
      </c>
      <c r="O177" t="n">
        <v>27</v>
      </c>
      <c r="P177" t="n">
        <v>18</v>
      </c>
      <c r="Q177" t="n">
        <v>14</v>
      </c>
      <c r="R177" t="n">
        <v>5</v>
      </c>
      <c r="S177" t="n">
        <v>0</v>
      </c>
      <c r="T177" t="n">
        <v>5</v>
      </c>
      <c r="U177" t="inlineStr">
        <is>
          <t>STRETCH</t>
        </is>
      </c>
      <c r="V177" t="inlineStr">
        <is>
          <t>STRETCH</t>
        </is>
      </c>
      <c r="X177" t="inlineStr">
        <is>
          <t>MERN Stack / Full Stack Resume</t>
        </is>
      </c>
      <c r="Y177" t="inlineStr">
        <is>
          <t>2026-09-12</t>
        </is>
      </c>
      <c r="Z177" t="inlineStr">
        <is>
          <t>Direct match with MERN stack skill set; Good opportunity for freshers to work on live projects</t>
        </is>
      </c>
      <c r="AA177" t="inlineStr">
        <is>
          <t>ELIGIBLE</t>
        </is>
      </c>
      <c r="AB177" t="inlineStr">
        <is>
          <t>Targeting complete freshers and MCA/internship candidates; Matches MERN stack profile</t>
        </is>
      </c>
      <c r="AC177" t="inlineStr">
        <is>
          <t>UNKNOWN</t>
        </is>
      </c>
      <c r="AD177" t="inlineStr">
        <is>
          <t>Availability not specified in career brain.</t>
        </is>
      </c>
      <c r="AE177" t="inlineStr">
        <is>
          <t>UNKNOWN</t>
        </is>
      </c>
      <c r="AF177" t="n">
        <v>0</v>
      </c>
      <c r="AG177" t="inlineStr">
        <is>
          <t>No</t>
        </is>
      </c>
      <c r="AH177" t="inlineStr">
        <is>
          <t>UNKNOWN</t>
        </is>
      </c>
      <c r="AI177" t="inlineStr">
        <is>
          <t>Not explicitly mentioned in the snippet.</t>
        </is>
      </c>
      <c r="AK177" t="inlineStr">
        <is>
          <t>Work from office only in Indore (relocation/location constraint); Stipend not disclosed</t>
        </is>
      </c>
      <c r="AL177" t="inlineStr">
        <is>
          <t>React.js state management and hooks; Node.js and Express backend architecture; HTML/CSS custom design implementation; Live project workflow and fundamentals</t>
        </is>
      </c>
    </row>
    <row r="178">
      <c r="A178" t="inlineStr">
        <is>
          <t>TACHE-TECHNO-260912-177</t>
        </is>
      </c>
      <c r="B178" t="inlineStr">
        <is>
          <t>Tache Technologies Pvt Ltd</t>
        </is>
      </c>
      <c r="C178" t="inlineStr">
        <is>
          <t>Java Developer: Intern</t>
        </is>
      </c>
      <c r="D178" t="inlineStr">
        <is>
          <t>https://www.adzuna.in/details/1171506730?utm_medium=api&amp;utm_source=5ccdc27f</t>
        </is>
      </c>
      <c r="E178" t="inlineStr">
        <is>
          <t>AI Analyzer</t>
        </is>
      </c>
      <c r="F178" t="inlineStr">
        <is>
          <t>Delhi, India</t>
        </is>
      </c>
      <c r="G178" t="inlineStr">
        <is>
          <t>On-site</t>
        </is>
      </c>
      <c r="H178" t="inlineStr">
        <is>
          <t>Not specified</t>
        </is>
      </c>
      <c r="I178" t="inlineStr">
        <is>
          <t>UNKNOWN</t>
        </is>
      </c>
      <c r="J178" t="inlineStr">
        <is>
          <t>UNKNOWN</t>
        </is>
      </c>
      <c r="K178" t="inlineStr">
        <is>
          <t>Java</t>
        </is>
      </c>
      <c r="M178" t="inlineStr">
        <is>
          <t>About Tache Technologies Private Limited (http://www.tache.in): Tache Technologies Private Limited was founded by renowned market research professionals in India. It is an independent market research agency offering high-quality marketing research, analysis, and consulting services across India. Tache works exclusively with companies looking for a personal guide through the varied cultures in Indi</t>
        </is>
      </c>
      <c r="N178" t="n">
        <v>53</v>
      </c>
      <c r="O178" t="n">
        <v>75</v>
      </c>
      <c r="P178" t="n">
        <v>80</v>
      </c>
      <c r="Q178" t="n">
        <v>70</v>
      </c>
      <c r="R178" t="n">
        <v>0</v>
      </c>
      <c r="S178" t="n">
        <v>0</v>
      </c>
      <c r="T178" t="n">
        <v>30</v>
      </c>
      <c r="U178" t="inlineStr">
        <is>
          <t>SKIP</t>
        </is>
      </c>
      <c r="V178" t="inlineStr">
        <is>
          <t>SKIP</t>
        </is>
      </c>
      <c r="X178" t="inlineStr">
        <is>
          <t>Default Full Stack / Java Resume</t>
        </is>
      </c>
      <c r="Y178" t="inlineStr">
        <is>
          <t>2026-09-12</t>
        </is>
      </c>
      <c r="Z178" t="inlineStr">
        <is>
          <t>Matches the core Java requirement.</t>
        </is>
      </c>
      <c r="AA178" t="inlineStr">
        <is>
          <t>ELIGIBLE</t>
        </is>
      </c>
      <c r="AB178" t="inlineStr">
        <is>
          <t>No specific college degree or passing year restriction mentioned in the job description.</t>
        </is>
      </c>
      <c r="AC178" t="inlineStr">
        <is>
          <t>UNKNOWN</t>
        </is>
      </c>
      <c r="AD178" t="inlineStr">
        <is>
          <t>Availability requirements not specified in the job description.</t>
        </is>
      </c>
      <c r="AE178" t="inlineStr">
        <is>
          <t>UNKNOWN</t>
        </is>
      </c>
      <c r="AF178" t="n">
        <v>0</v>
      </c>
      <c r="AG178" t="inlineStr">
        <is>
          <t>No</t>
        </is>
      </c>
      <c r="AH178" t="inlineStr">
        <is>
          <t>UNKNOWN</t>
        </is>
      </c>
      <c r="AI178" t="inlineStr">
        <is>
          <t>No mention of PPO or conversion.</t>
        </is>
      </c>
      <c r="AK178" t="inlineStr">
        <is>
          <t>Very vague job description with no information about stipend, duration, or specific requirements.</t>
        </is>
      </c>
      <c r="AL178" t="inlineStr">
        <is>
          <t>Java Core Concepts; Object-Oriented Programming; Data Structures and Algorithms</t>
        </is>
      </c>
    </row>
    <row r="179">
      <c r="A179" t="inlineStr">
        <is>
          <t>TECHVOLT-SOF-260912-178</t>
        </is>
      </c>
      <c r="B179" t="inlineStr">
        <is>
          <t>Techvolt Software Private Limited</t>
        </is>
      </c>
      <c r="C179" t="inlineStr">
        <is>
          <t>Java Developer</t>
        </is>
      </c>
      <c r="D179" t="inlineStr">
        <is>
          <t>https://www.adzuna.in/details/4686703728?utm_medium=api&amp;utm_source=5ccdc27f</t>
        </is>
      </c>
      <c r="E179" t="inlineStr">
        <is>
          <t>AI Analyzer</t>
        </is>
      </c>
      <c r="F179" t="inlineStr">
        <is>
          <t>Coimbatore, Tamil Nadu</t>
        </is>
      </c>
      <c r="G179" t="inlineStr">
        <is>
          <t>On-site</t>
        </is>
      </c>
      <c r="H179" t="inlineStr">
        <is>
          <t>Not specified</t>
        </is>
      </c>
      <c r="I179" t="inlineStr">
        <is>
          <t>Unknown</t>
        </is>
      </c>
      <c r="J179" t="inlineStr">
        <is>
          <t>NOT_MENTIONED</t>
        </is>
      </c>
      <c r="K179" t="inlineStr">
        <is>
          <t>Java</t>
        </is>
      </c>
      <c r="M179" t="inlineStr">
        <is>
          <t>Java Developer||Coimbatore||Techvolt SoftwareDear Candidates, Greetings from Techvolt Software Private Limited.Techvolt Software,a Software Development company located in Saibaba Colony, Coimbatore.Techvolt Software involves in various business entity like Software Development, Web Development, Android Applications, Embedded Systems, IoT, Digital Marketing Services in Coimbatore.Job Profile:Techvo</t>
        </is>
      </c>
      <c r="N179" t="n">
        <v>52</v>
      </c>
      <c r="O179" t="n">
        <v>20</v>
      </c>
      <c r="P179" t="n">
        <v>15</v>
      </c>
      <c r="Q179" t="n">
        <v>12</v>
      </c>
      <c r="R179" t="n">
        <v>0</v>
      </c>
      <c r="S179" t="n">
        <v>0</v>
      </c>
      <c r="T179" t="n">
        <v>5</v>
      </c>
      <c r="U179" t="inlineStr">
        <is>
          <t>SKIP</t>
        </is>
      </c>
      <c r="V179" t="inlineStr">
        <is>
          <t>SKIP</t>
        </is>
      </c>
      <c r="X179" t="inlineStr">
        <is>
          <t>Amaanuddin_Ahmed_Software_Engineer_Resume.pdf</t>
        </is>
      </c>
      <c r="Y179" t="inlineStr">
        <is>
          <t>2026-09-12</t>
        </is>
      </c>
      <c r="Z179" t="inlineStr">
        <is>
          <t>Matches Java and DSA profile.</t>
        </is>
      </c>
      <c r="AA179" t="inlineStr">
        <is>
          <t>ELIGIBLE</t>
        </is>
      </c>
      <c r="AC179" t="inlineStr">
        <is>
          <t>UNKNOWN</t>
        </is>
      </c>
      <c r="AD179" t="inlineStr">
        <is>
          <t>Not specified</t>
        </is>
      </c>
      <c r="AE179" t="inlineStr">
        <is>
          <t>UNKNOWN</t>
        </is>
      </c>
      <c r="AF179" t="n">
        <v>0</v>
      </c>
      <c r="AG179" t="inlineStr">
        <is>
          <t>No</t>
        </is>
      </c>
      <c r="AH179" t="inlineStr">
        <is>
          <t>NOT_MENTIONED</t>
        </is>
      </c>
      <c r="AI179" t="inlineStr">
        <is>
          <t>No mention of PPO or conversion in the description.</t>
        </is>
      </c>
      <c r="AK179" t="inlineStr">
        <is>
          <t>Stipend is not disclosed; Location is on-site in Coimbatore while candidate is at PES University; No PPO mention</t>
        </is>
      </c>
      <c r="AL179" t="inlineStr">
        <is>
          <t>Core Java concepts; Object-Oriented Programming (OOPs); Data Structures and Algorithms in Java; Basic database concepts</t>
        </is>
      </c>
    </row>
    <row r="180">
      <c r="A180" t="inlineStr">
        <is>
          <t>MAXGEN-TECHN-260912-179</t>
        </is>
      </c>
      <c r="B180" t="inlineStr">
        <is>
          <t>MAXGEN TECHNOLOGIES PRIVATE LIMITED</t>
        </is>
      </c>
      <c r="C180" t="inlineStr">
        <is>
          <t>Java Developer Intern</t>
        </is>
      </c>
      <c r="D180" t="inlineStr">
        <is>
          <t>https://www.adzuna.in/details/5842547719?utm_medium=api&amp;utm_source=5ccdc27f</t>
        </is>
      </c>
      <c r="E180" t="inlineStr">
        <is>
          <t>AI Analyzer</t>
        </is>
      </c>
      <c r="F180" t="inlineStr">
        <is>
          <t>Pune</t>
        </is>
      </c>
      <c r="G180" t="inlineStr">
        <is>
          <t>Unknown</t>
        </is>
      </c>
      <c r="H180" t="inlineStr">
        <is>
          <t>Unspecified</t>
        </is>
      </c>
      <c r="I180" t="inlineStr">
        <is>
          <t>Unknown</t>
        </is>
      </c>
      <c r="J180" t="inlineStr">
        <is>
          <t>Not Mentioned</t>
        </is>
      </c>
      <c r="K180" t="inlineStr">
        <is>
          <t>Java; Advance Java; Hibernate</t>
        </is>
      </c>
      <c r="M180" t="inlineStr">
        <is>
          <t>Maxgen technologies is an it company based in Pune We are offering injava internshipwith advance java and hibernate program to fresher candidates in Maharashtra Benefit to Choosing us Advance skill program inspiring work culture live project during internship advance practical skills flexible working us contact us hidden mobile visit us www maxgentechnologies com Address 601 Konark Icon Magarpatta</t>
        </is>
      </c>
      <c r="N180" t="n">
        <v>35</v>
      </c>
      <c r="O180" t="n">
        <v>40</v>
      </c>
      <c r="P180" t="n">
        <v>50</v>
      </c>
      <c r="Q180" t="n">
        <v>50</v>
      </c>
      <c r="R180" t="n">
        <v>0</v>
      </c>
      <c r="S180" t="n">
        <v>0</v>
      </c>
      <c r="T180" t="n">
        <v>30</v>
      </c>
      <c r="U180" t="inlineStr">
        <is>
          <t>SKIP</t>
        </is>
      </c>
      <c r="V180" t="inlineStr">
        <is>
          <t>SKIP</t>
        </is>
      </c>
      <c r="W180" t="inlineStr">
        <is>
          <t>Advance Java; Hibernate</t>
        </is>
      </c>
      <c r="X180" t="inlineStr">
        <is>
          <t>Amaanuddin_Ahmed_Software_Engineering_Resume.pdf</t>
        </is>
      </c>
      <c r="Y180" t="inlineStr">
        <is>
          <t>2026-09-12</t>
        </is>
      </c>
      <c r="Z180" t="inlineStr">
        <is>
          <t>Aligns with Java development interests</t>
        </is>
      </c>
      <c r="AA180" t="inlineStr">
        <is>
          <t>Eligible</t>
        </is>
      </c>
      <c r="AB180" t="inlineStr">
        <is>
          <t>Open to freshers; Java match with candidate profile</t>
        </is>
      </c>
      <c r="AC180" t="inlineStr">
        <is>
          <t>Unknown</t>
        </is>
      </c>
      <c r="AD180" t="inlineStr">
        <is>
          <t>Not specified in candidate profile</t>
        </is>
      </c>
      <c r="AE180" t="inlineStr">
        <is>
          <t>UNKNOWN</t>
        </is>
      </c>
      <c r="AF180" t="n">
        <v>0</v>
      </c>
      <c r="AG180" t="inlineStr">
        <is>
          <t>No</t>
        </is>
      </c>
      <c r="AH180" t="inlineStr">
        <is>
          <t>Not Mentioned</t>
        </is>
      </c>
      <c r="AI180" t="inlineStr">
        <is>
          <t>No mention of PPO or conversion in the job description.</t>
        </is>
      </c>
      <c r="AK180" t="inlineStr">
        <is>
          <t>Unpaid or unspecified stipend; No mention of PPO; Vague internship description</t>
        </is>
      </c>
      <c r="AL180" t="inlineStr">
        <is>
          <t>Core Java; Advance Java concepts; Hibernate framework; Live project discussion</t>
        </is>
      </c>
    </row>
    <row r="181">
      <c r="A181" t="inlineStr">
        <is>
          <t>NIYANTRAS-260912-180</t>
        </is>
      </c>
      <c r="B181" t="inlineStr">
        <is>
          <t>Niyantras</t>
        </is>
      </c>
      <c r="C181" t="inlineStr">
        <is>
          <t>Intern Java Developer</t>
        </is>
      </c>
      <c r="D181" t="inlineStr">
        <is>
          <t>https://www.adzuna.in/details/5781956301?utm_medium=api&amp;utm_source=5ccdc27f</t>
        </is>
      </c>
      <c r="E181" t="inlineStr">
        <is>
          <t>AI Analyzer</t>
        </is>
      </c>
      <c r="F181" t="inlineStr">
        <is>
          <t>Gujarat, India</t>
        </is>
      </c>
      <c r="G181" t="inlineStr">
        <is>
          <t>UNKNOWN</t>
        </is>
      </c>
      <c r="H181" t="inlineStr">
        <is>
          <t>Not specified</t>
        </is>
      </c>
      <c r="I181" t="inlineStr">
        <is>
          <t>UNKNOWN</t>
        </is>
      </c>
      <c r="J181" t="inlineStr">
        <is>
          <t>NO</t>
        </is>
      </c>
      <c r="K181" t="inlineStr">
        <is>
          <t>Java</t>
        </is>
      </c>
      <c r="M181" t="inlineStr">
        <is>
          <t>Intern Java Developer We are looking for enthusiastic and motivated Intern Java Developers to join our dynamic team. This is a great opportunity for students or recent graduates to gain hands-on experience in software development and contribute to real-world projects. Responsibilities: Assist senior developers in designing, coding, testing, and debugging Java applications. Participate in code revi</t>
        </is>
      </c>
      <c r="N181" t="n">
        <v>53</v>
      </c>
      <c r="O181" t="n">
        <v>70</v>
      </c>
      <c r="P181" t="n">
        <v>80</v>
      </c>
      <c r="Q181" t="n">
        <v>75</v>
      </c>
      <c r="R181" t="n">
        <v>0</v>
      </c>
      <c r="S181" t="n">
        <v>0</v>
      </c>
      <c r="T181" t="n">
        <v>50</v>
      </c>
      <c r="U181" t="inlineStr">
        <is>
          <t>SKIP</t>
        </is>
      </c>
      <c r="V181" t="inlineStr">
        <is>
          <t>SKIP</t>
        </is>
      </c>
      <c r="X181" t="inlineStr">
        <is>
          <t>Amaanuddin_Ahmed_Java_Resume.pdf</t>
        </is>
      </c>
      <c r="Y181" t="inlineStr">
        <is>
          <t>2026-09-12</t>
        </is>
      </c>
      <c r="Z181" t="inlineStr">
        <is>
          <t>Matches basic Java requirement</t>
        </is>
      </c>
      <c r="AA181" t="inlineStr">
        <is>
          <t>ELIGIBLE</t>
        </is>
      </c>
      <c r="AB181" t="inlineStr">
        <is>
          <t>Open to students or recent graduates</t>
        </is>
      </c>
      <c r="AC181" t="inlineStr">
        <is>
          <t>UNKNOWN</t>
        </is>
      </c>
      <c r="AD181" t="inlineStr">
        <is>
          <t>Not specified in the career brain</t>
        </is>
      </c>
      <c r="AE181" t="inlineStr">
        <is>
          <t>UNKNOWN</t>
        </is>
      </c>
      <c r="AF181" t="n">
        <v>0</v>
      </c>
      <c r="AG181" t="inlineStr">
        <is>
          <t>No</t>
        </is>
      </c>
      <c r="AH181" t="inlineStr">
        <is>
          <t>NO</t>
        </is>
      </c>
      <c r="AI181" t="inlineStr">
        <is>
          <t>No mention of PPO or conversion in the job description</t>
        </is>
      </c>
      <c r="AK181" t="inlineStr">
        <is>
          <t>Stipend not disclosed; Remote/Work mode not specified; Location is Gujarat while candidate is in PES University</t>
        </is>
      </c>
      <c r="AL181" t="inlineStr">
        <is>
          <t>Core Java basics; Object-oriented programming principles; Basic data structures and algorithms; Debugging and testing Java applications</t>
        </is>
      </c>
    </row>
    <row r="182">
      <c r="A182" t="inlineStr">
        <is>
          <t>7S-IQ-PRIVAT-260912-181</t>
        </is>
      </c>
      <c r="B182" t="inlineStr">
        <is>
          <t>7S IQ Private limited</t>
        </is>
      </c>
      <c r="C182" t="inlineStr">
        <is>
          <t>Python Developer Internship</t>
        </is>
      </c>
      <c r="D182" t="inlineStr">
        <is>
          <t>https://www.adzuna.in/details/5574696213?utm_medium=api&amp;utm_source=5ccdc27f</t>
        </is>
      </c>
      <c r="E182" t="inlineStr">
        <is>
          <t>AI Analyzer</t>
        </is>
      </c>
      <c r="F182" t="inlineStr">
        <is>
          <t>Chennai, Tamil Nadu / Work From Home</t>
        </is>
      </c>
      <c r="G182" t="inlineStr">
        <is>
          <t>Hybrid / Remote</t>
        </is>
      </c>
      <c r="H182" t="inlineStr">
        <is>
          <t>Not specified</t>
        </is>
      </c>
      <c r="I182" t="inlineStr">
        <is>
          <t>UNKNOWN</t>
        </is>
      </c>
      <c r="J182" t="inlineStr">
        <is>
          <t>UNKNOWN</t>
        </is>
      </c>
      <c r="K182" t="inlineStr">
        <is>
          <t>Python; Python frameworks; Backend systems; Automation solutions</t>
        </is>
      </c>
      <c r="M182" t="inlineStr">
        <is>
          <t>Python Developer – Job Description Company: 7S IQ Pvt Ltd Location: Chennai / Work From Home Job Type: Internship About the Role We are looking for a talented and detail-oriented Python Developer to join our development team. The ideal candidate should have strong problem-solving skills, experience with Python frameworks, and the ability to build efficient backend systems and automation solutions.</t>
        </is>
      </c>
      <c r="N182" t="n">
        <v>60</v>
      </c>
      <c r="O182" t="n">
        <v>22</v>
      </c>
      <c r="P182" t="n">
        <v>15</v>
      </c>
      <c r="Q182" t="n">
        <v>12</v>
      </c>
      <c r="R182" t="n">
        <v>0</v>
      </c>
      <c r="S182" t="n">
        <v>5</v>
      </c>
      <c r="T182" t="n">
        <v>6</v>
      </c>
      <c r="U182" t="inlineStr">
        <is>
          <t>STRETCH</t>
        </is>
      </c>
      <c r="V182" t="inlineStr">
        <is>
          <t>STRETCH</t>
        </is>
      </c>
      <c r="W182" t="inlineStr">
        <is>
          <t>Specific Python frameworks mentioned in further requirements</t>
        </is>
      </c>
      <c r="X182" t="inlineStr">
        <is>
          <t>Amaan_Ahmed_Software_Engineering_Resume.pdf</t>
        </is>
      </c>
      <c r="Y182" t="inlineStr">
        <is>
          <t>2026-09-12</t>
        </is>
      </c>
      <c r="Z182" t="inlineStr">
        <is>
          <t>Aligns with backend development and Python interests</t>
        </is>
      </c>
      <c r="AA182" t="inlineStr">
        <is>
          <t>ELIGIBLE</t>
        </is>
      </c>
      <c r="AB182" t="inlineStr">
        <is>
          <t>Candidate has Python skills; Matches backend development profile</t>
        </is>
      </c>
      <c r="AC182" t="inlineStr">
        <is>
          <t>UNKNOWN</t>
        </is>
      </c>
      <c r="AD182" t="inlineStr">
        <is>
          <t>Availability not specified in career brain</t>
        </is>
      </c>
      <c r="AE182" t="inlineStr">
        <is>
          <t>UNKNOWN</t>
        </is>
      </c>
      <c r="AF182" t="n">
        <v>0</v>
      </c>
      <c r="AG182" t="inlineStr">
        <is>
          <t>No</t>
        </is>
      </c>
      <c r="AH182" t="inlineStr">
        <is>
          <t>UNKNOWN</t>
        </is>
      </c>
      <c r="AI182" t="inlineStr">
        <is>
          <t>No mention of PPO or conversion in the job description</t>
        </is>
      </c>
      <c r="AK182" t="inlineStr">
        <is>
          <t>Stipend is not disclosed</t>
        </is>
      </c>
      <c r="AL182" t="inlineStr">
        <is>
          <t>Python fundamentals and OOP; Backend development experience; Automation scripts and problem-solving</t>
        </is>
      </c>
    </row>
    <row r="183">
      <c r="A183" t="inlineStr">
        <is>
          <t>PRAXINFO-260912-182</t>
        </is>
      </c>
      <c r="B183" t="inlineStr">
        <is>
          <t>PRAXINFO</t>
        </is>
      </c>
      <c r="C183" t="inlineStr">
        <is>
          <t>Python Developer Intern</t>
        </is>
      </c>
      <c r="D183" t="inlineStr">
        <is>
          <t>https://www.adzuna.in/details/1455831792?utm_medium=api&amp;utm_source=5ccdc27f</t>
        </is>
      </c>
      <c r="E183" t="inlineStr">
        <is>
          <t>AI Analyzer</t>
        </is>
      </c>
      <c r="F183" t="inlineStr">
        <is>
          <t>Ahmedabad, Gujarat</t>
        </is>
      </c>
      <c r="G183" t="inlineStr">
        <is>
          <t>On-site</t>
        </is>
      </c>
      <c r="I183" t="inlineStr">
        <is>
          <t>UNKNOWN</t>
        </is>
      </c>
      <c r="J183" t="inlineStr">
        <is>
          <t>NO</t>
        </is>
      </c>
      <c r="K183" t="inlineStr">
        <is>
          <t>Python; SQL; HTML; Linux; AJAX; JavaScript; Django</t>
        </is>
      </c>
      <c r="L183" t="inlineStr">
        <is>
          <t>Communication Skills</t>
        </is>
      </c>
      <c r="M183" t="inlineStr">
        <is>
          <t>Should have knowledge of:: Python SQL HTML Linux AJAX/ JSSkills Excellent Communication Skills Have to be a quick learner Complete project on time Skills:- Python, Django and Javascript</t>
        </is>
      </c>
      <c r="N183" t="n">
        <v>58</v>
      </c>
      <c r="O183" t="n">
        <v>20</v>
      </c>
      <c r="P183" t="n">
        <v>20</v>
      </c>
      <c r="Q183" t="n">
        <v>15</v>
      </c>
      <c r="R183" t="n">
        <v>0</v>
      </c>
      <c r="S183" t="n">
        <v>0</v>
      </c>
      <c r="T183" t="n">
        <v>3</v>
      </c>
      <c r="U183" t="inlineStr">
        <is>
          <t>SKIP</t>
        </is>
      </c>
      <c r="V183" t="inlineStr">
        <is>
          <t>SKIP</t>
        </is>
      </c>
      <c r="W183" t="inlineStr">
        <is>
          <t>Django; Linux; AJAX</t>
        </is>
      </c>
      <c r="X183" t="inlineStr">
        <is>
          <t>Amaanuddin_Ahmed_Software_Engineering_Resume.pdf</t>
        </is>
      </c>
      <c r="Y183" t="inlineStr">
        <is>
          <t>2026-09-12</t>
        </is>
      </c>
      <c r="Z183" t="inlineStr">
        <is>
          <t>Matches basic Python and backend developer role requirements.</t>
        </is>
      </c>
      <c r="AA183" t="inlineStr">
        <is>
          <t>ELIGIBLE</t>
        </is>
      </c>
      <c r="AB183" t="inlineStr">
        <is>
          <t>No strict degree or experience blockers specified in the job description.</t>
        </is>
      </c>
      <c r="AC183" t="inlineStr">
        <is>
          <t>UNKNOWN</t>
        </is>
      </c>
      <c r="AD183" t="inlineStr">
        <is>
          <t>Availability not specified in career brain.</t>
        </is>
      </c>
      <c r="AE183" t="inlineStr">
        <is>
          <t>UNKNOWN</t>
        </is>
      </c>
      <c r="AF183" t="n">
        <v>0</v>
      </c>
      <c r="AG183" t="inlineStr">
        <is>
          <t>No</t>
        </is>
      </c>
      <c r="AH183" t="inlineStr">
        <is>
          <t>NO</t>
        </is>
      </c>
      <c r="AI183" t="inlineStr">
        <is>
          <t>No mention of PPO or conversion to full-time in the job description.</t>
        </is>
      </c>
      <c r="AK183" t="inlineStr">
        <is>
          <t>No stipend information provided; No PPO mention; Outdated posting date</t>
        </is>
      </c>
      <c r="AL183" t="inlineStr">
        <is>
          <t>Python fundamentals and OOPs; SQL queries and database management; Django framework basics; JavaScript and AJAX concepts</t>
        </is>
      </c>
    </row>
    <row r="184">
      <c r="A184" t="inlineStr">
        <is>
          <t>VENTURA-SECU-260912-183</t>
        </is>
      </c>
      <c r="B184" t="inlineStr">
        <is>
          <t>ventura securities ltd</t>
        </is>
      </c>
      <c r="C184" t="inlineStr">
        <is>
          <t>Python Developer Intern</t>
        </is>
      </c>
      <c r="D184" t="inlineStr">
        <is>
          <t>https://www.adzuna.in/details/4176492504?utm_medium=api&amp;utm_source=5ccdc27f</t>
        </is>
      </c>
      <c r="E184" t="inlineStr">
        <is>
          <t>AI Analyzer</t>
        </is>
      </c>
      <c r="F184" t="inlineStr">
        <is>
          <t>India</t>
        </is>
      </c>
      <c r="G184" t="inlineStr">
        <is>
          <t>remote</t>
        </is>
      </c>
      <c r="H184" t="inlineStr">
        <is>
          <t>Not specified</t>
        </is>
      </c>
      <c r="I184" t="inlineStr">
        <is>
          <t>UNKNOWN</t>
        </is>
      </c>
      <c r="J184" t="inlineStr">
        <is>
          <t>NOT_MENTIONED</t>
        </is>
      </c>
      <c r="K184" t="inlineStr">
        <is>
          <t>Python; AWS</t>
        </is>
      </c>
      <c r="M184" t="inlineStr">
        <is>
          <t>Ventura Securities is establishing its fintech team - a remote-first, work from anywhere team with highly talented individuals who come from diverse backgrounds and looking to solve real client problems at scale. Ventura has been in the stockbroking business for 20 years and it is a robust and profitable franchise with 1000 employees currently. We are looking for passionate techies with skills pri</t>
        </is>
      </c>
      <c r="N184" t="n">
        <v>60</v>
      </c>
      <c r="O184" t="n">
        <v>20</v>
      </c>
      <c r="P184" t="n">
        <v>20</v>
      </c>
      <c r="Q184" t="n">
        <v>15</v>
      </c>
      <c r="R184" t="n">
        <v>0</v>
      </c>
      <c r="S184" t="n">
        <v>0</v>
      </c>
      <c r="T184" t="n">
        <v>5</v>
      </c>
      <c r="U184" t="inlineStr">
        <is>
          <t>STRETCH</t>
        </is>
      </c>
      <c r="V184" t="inlineStr">
        <is>
          <t>STRETCH</t>
        </is>
      </c>
      <c r="W184" t="inlineStr">
        <is>
          <t>AWS</t>
        </is>
      </c>
      <c r="X184" t="inlineStr">
        <is>
          <t>Amaanuddin_Ahmed_Software_Engineer_Resume.pdf</t>
        </is>
      </c>
      <c r="Y184" t="inlineStr">
        <is>
          <t>2026-09-12</t>
        </is>
      </c>
      <c r="Z184" t="inlineStr">
        <is>
          <t>Remote-first work environment matches flexible preferences.; Matches Python skill requirement.</t>
        </is>
      </c>
      <c r="AA184" t="inlineStr">
        <is>
          <t>ELIGIBLE</t>
        </is>
      </c>
      <c r="AB184" t="inlineStr">
        <is>
          <t>No specific graduation year, degree, or experience restrictions mentioned in the snippet.</t>
        </is>
      </c>
      <c r="AC184" t="inlineStr">
        <is>
          <t>UNKNOWN</t>
        </is>
      </c>
      <c r="AD184" t="inlineStr">
        <is>
          <t>Candidate availability relative to start date is not specified.</t>
        </is>
      </c>
      <c r="AE184" t="inlineStr">
        <is>
          <t>UNKNOWN</t>
        </is>
      </c>
      <c r="AF184" t="n">
        <v>0</v>
      </c>
      <c r="AG184" t="inlineStr">
        <is>
          <t>No</t>
        </is>
      </c>
      <c r="AH184" t="inlineStr">
        <is>
          <t>NOT_MENTIONED</t>
        </is>
      </c>
      <c r="AI184" t="inlineStr">
        <is>
          <t>No explicit mention of PPO or conversion in the provided text.</t>
        </is>
      </c>
      <c r="AK184" t="inlineStr">
        <is>
          <t>Stipend is completely undisclosed.</t>
        </is>
      </c>
      <c r="AL184" t="inlineStr">
        <is>
          <t>Python core concepts and advanced features; AWS services, serverless, and deployment strategies; Building scalable fintech solutions</t>
        </is>
      </c>
    </row>
    <row r="185">
      <c r="A185" t="inlineStr">
        <is>
          <t>MAXGEN-TECHN-260912-184</t>
        </is>
      </c>
      <c r="B185" t="inlineStr">
        <is>
          <t>MAXGEN TECHNOLOGIES PRIVATE LIMITED</t>
        </is>
      </c>
      <c r="C185" t="inlineStr">
        <is>
          <t>Python Developer Internship</t>
        </is>
      </c>
      <c r="D185" t="inlineStr">
        <is>
          <t>https://www.adzuna.in/details/5863635745?utm_medium=api&amp;utm_source=5ccdc27f</t>
        </is>
      </c>
      <c r="E185" t="inlineStr">
        <is>
          <t>AI Analyzer</t>
        </is>
      </c>
      <c r="F185" t="inlineStr">
        <is>
          <t>Ahmedabad, India</t>
        </is>
      </c>
      <c r="G185" t="inlineStr">
        <is>
          <t>online or offline</t>
        </is>
      </c>
      <c r="H185" t="inlineStr">
        <is>
          <t>Not specified</t>
        </is>
      </c>
      <c r="I185" t="inlineStr">
        <is>
          <t>UNKNOWN</t>
        </is>
      </c>
      <c r="J185" t="inlineStr">
        <is>
          <t>YES</t>
        </is>
      </c>
      <c r="K185" t="inlineStr">
        <is>
          <t>Python</t>
        </is>
      </c>
      <c r="L185" t="inlineStr">
        <is>
          <t>Machine Learning</t>
        </is>
      </c>
      <c r="M185" t="inlineStr">
        <is>
          <t>Maxgen Technologies Pvt ltd offering internships in Ahmedabad the interns will get live project pythoninternshipand machine learning program with job placement Why interns seeking us Career oriented Program professional work culture advance technology online or offline options supportive management call us hidden mobile visit us www maxgentechnologies com Address 6th Floor 603 Abhijeet 3 Near Law</t>
        </is>
      </c>
      <c r="N185" t="n">
        <v>65</v>
      </c>
      <c r="O185" t="n">
        <v>24</v>
      </c>
      <c r="P185" t="n">
        <v>15</v>
      </c>
      <c r="Q185" t="n">
        <v>12</v>
      </c>
      <c r="R185" t="n">
        <v>10</v>
      </c>
      <c r="S185" t="n">
        <v>0</v>
      </c>
      <c r="T185" t="n">
        <v>4</v>
      </c>
      <c r="U185" t="inlineStr">
        <is>
          <t>STRETCH</t>
        </is>
      </c>
      <c r="V185" t="inlineStr">
        <is>
          <t>STRETCH</t>
        </is>
      </c>
      <c r="X185" t="inlineStr">
        <is>
          <t>Default Full Stack and Backend Resume</t>
        </is>
      </c>
      <c r="Y185" t="inlineStr">
        <is>
          <t>2026-09-12</t>
        </is>
      </c>
      <c r="Z185" t="inlineStr">
        <is>
          <t>Matches Python skill requirement.; Provides live project and potential placement exposure.</t>
        </is>
      </c>
      <c r="AA185" t="inlineStr">
        <is>
          <t>ELIGIBLE</t>
        </is>
      </c>
      <c r="AB185" t="inlineStr">
        <is>
          <t>No strict degree or graduation year barriers mentioned.; Open to interns seeking career-oriented programs.</t>
        </is>
      </c>
      <c r="AC185" t="inlineStr">
        <is>
          <t>UNKNOWN</t>
        </is>
      </c>
      <c r="AD185" t="inlineStr">
        <is>
          <t>Candidate availability dates were not provided in the career brain.</t>
        </is>
      </c>
      <c r="AE185" t="inlineStr">
        <is>
          <t>UNKNOWN</t>
        </is>
      </c>
      <c r="AF185" t="n">
        <v>0</v>
      </c>
      <c r="AG185" t="inlineStr">
        <is>
          <t>No</t>
        </is>
      </c>
      <c r="AH185" t="inlineStr">
        <is>
          <t>YES</t>
        </is>
      </c>
      <c r="AI185" t="inlineStr">
        <is>
          <t>Job description mentions job placement assistance/program.</t>
        </is>
      </c>
      <c r="AK185" t="inlineStr">
        <is>
          <t>Unspecified stipend; Company name associated with paid training/internship models in common market patterns</t>
        </is>
      </c>
      <c r="AL185" t="inlineStr">
        <is>
          <t>Python fundamentals; Basic machine learning concepts; Live project workflow</t>
        </is>
      </c>
    </row>
    <row r="186">
      <c r="A186" t="inlineStr">
        <is>
          <t>PEERXP-260912-185</t>
        </is>
      </c>
      <c r="B186" t="inlineStr">
        <is>
          <t>PeerXP</t>
        </is>
      </c>
      <c r="C186" t="inlineStr">
        <is>
          <t>Python Django Developer Internship</t>
        </is>
      </c>
      <c r="D186" t="inlineStr">
        <is>
          <t>https://www.adzuna.in/details/4795892724?utm_medium=api&amp;utm_source=5ccdc27f</t>
        </is>
      </c>
      <c r="E186" t="inlineStr">
        <is>
          <t>AI Analyzer</t>
        </is>
      </c>
      <c r="F186" t="inlineStr">
        <is>
          <t>Bangalore, Karnataka</t>
        </is>
      </c>
      <c r="G186" t="inlineStr">
        <is>
          <t>unknown</t>
        </is>
      </c>
      <c r="H186" t="inlineStr">
        <is>
          <t>not specified</t>
        </is>
      </c>
      <c r="I186" t="inlineStr">
        <is>
          <t>unknown</t>
        </is>
      </c>
      <c r="J186" t="inlineStr">
        <is>
          <t>not mentioned</t>
        </is>
      </c>
      <c r="K186" t="inlineStr">
        <is>
          <t>Python; Django; ReactJS; RESTful APIs; JavaScript; HTML5; CSS3; SQL; NoSQL; Django ORM</t>
        </is>
      </c>
      <c r="M186" t="inlineStr">
        <is>
          <t>Requirements Design and implement a full-stack web application using Python Django framework and ReactJS. 1 years of experience in building and deploying web applications. Experience in designing and using RESTful APIs. Basic knowledge in front-end technologies such as JavaScript, , ReactJS, HTML5, and CSS3. Understanding of fundamental design principles behind a scalable application. Understandin</t>
        </is>
      </c>
      <c r="N186" t="n">
        <v>30</v>
      </c>
      <c r="O186" t="n">
        <v>50</v>
      </c>
      <c r="P186" t="n">
        <v>0</v>
      </c>
      <c r="Q186" t="n">
        <v>50</v>
      </c>
      <c r="R186" t="n">
        <v>0</v>
      </c>
      <c r="S186" t="n">
        <v>0</v>
      </c>
      <c r="T186" t="n">
        <v>30</v>
      </c>
      <c r="U186" t="inlineStr">
        <is>
          <t>SKIP</t>
        </is>
      </c>
      <c r="V186" t="inlineStr">
        <is>
          <t>SKIP</t>
        </is>
      </c>
      <c r="W186" t="inlineStr">
        <is>
          <t>Django; Django ORM</t>
        </is>
      </c>
      <c r="X186" t="inlineStr">
        <is>
          <t>Amaanuddin_Ahmed_Resume_General.pdf</t>
        </is>
      </c>
      <c r="Y186" t="inlineStr">
        <is>
          <t>2026-09-12</t>
        </is>
      </c>
      <c r="AA186" t="inlineStr">
        <is>
          <t>failed</t>
        </is>
      </c>
      <c r="AB186" t="inlineStr">
        <is>
          <t>Requires 1 year of experience in building and deploying web applications, which exceeds the candidate's fresher student profile.</t>
        </is>
      </c>
      <c r="AC186" t="inlineStr">
        <is>
          <t>unknown</t>
        </is>
      </c>
      <c r="AD186" t="inlineStr">
        <is>
          <t>Availability not specified in career brain or job description</t>
        </is>
      </c>
      <c r="AE186" t="inlineStr">
        <is>
          <t>unknown</t>
        </is>
      </c>
      <c r="AF186" t="n">
        <v>0</v>
      </c>
      <c r="AG186" t="inlineStr">
        <is>
          <t>No</t>
        </is>
      </c>
      <c r="AH186" t="inlineStr">
        <is>
          <t>not mentioned</t>
        </is>
      </c>
      <c r="AI186" t="inlineStr">
        <is>
          <t>No mention of PPO or conversion in the job description.</t>
        </is>
      </c>
      <c r="AJ186" t="inlineStr">
        <is>
          <t>1 years of experience in building and deploying web applications</t>
        </is>
      </c>
      <c r="AK186" t="inlineStr">
        <is>
          <t>Requires 1 year of prior professional experience for an internship role</t>
        </is>
      </c>
      <c r="AL186" t="inlineStr">
        <is>
          <t>Python and Django framework fundamentals; Django ORM and database management; RESTful API design; ReactJS state management</t>
        </is>
      </c>
    </row>
    <row r="187">
      <c r="A187" t="inlineStr">
        <is>
          <t>MAXGEN-TECHN-260912-186</t>
        </is>
      </c>
      <c r="B187" t="inlineStr">
        <is>
          <t>MAXGEN TECHNOLOGIES PRIVATE LIMITED</t>
        </is>
      </c>
      <c r="C187" t="inlineStr">
        <is>
          <t>Python Web Development Internship</t>
        </is>
      </c>
      <c r="D187" t="inlineStr">
        <is>
          <t>https://www.adzuna.in/details/5875071090?utm_medium=api&amp;utm_source=5ccdc27f</t>
        </is>
      </c>
      <c r="E187" t="inlineStr">
        <is>
          <t>AI Analyzer</t>
        </is>
      </c>
      <c r="F187" t="inlineStr">
        <is>
          <t>Ahmedabad</t>
        </is>
      </c>
      <c r="G187" t="inlineStr">
        <is>
          <t>On-site</t>
        </is>
      </c>
      <c r="H187" t="inlineStr">
        <is>
          <t>UNKNOWN</t>
        </is>
      </c>
      <c r="I187" t="inlineStr">
        <is>
          <t>UNKNOWN</t>
        </is>
      </c>
      <c r="J187" t="inlineStr">
        <is>
          <t>Mentioned</t>
        </is>
      </c>
      <c r="K187" t="inlineStr">
        <is>
          <t>Python; Django</t>
        </is>
      </c>
      <c r="L187" t="inlineStr">
        <is>
          <t>Machine Learning</t>
        </is>
      </c>
      <c r="M187" t="inlineStr">
        <is>
          <t>Maxgen Technologies Pvt ltd offeringinternshipin Ahmedabad Diploma and Engineering freshers will get live projectpythoninternshipwith Django machine learning program Why we first option Flexible working hours College project Program job placement after program live projects during program professional working environment call us at hidden mobile visit us www amxgentechnologies com Address Abhijeet</t>
        </is>
      </c>
      <c r="N187" t="n">
        <v>57</v>
      </c>
      <c r="O187" t="n">
        <v>60</v>
      </c>
      <c r="P187" t="n">
        <v>70</v>
      </c>
      <c r="Q187" t="n">
        <v>65</v>
      </c>
      <c r="R187" t="n">
        <v>70</v>
      </c>
      <c r="S187" t="n">
        <v>20</v>
      </c>
      <c r="T187" t="n">
        <v>40</v>
      </c>
      <c r="U187" t="inlineStr">
        <is>
          <t>SKIP</t>
        </is>
      </c>
      <c r="V187" t="inlineStr">
        <is>
          <t>SKIP</t>
        </is>
      </c>
      <c r="W187" t="inlineStr">
        <is>
          <t>Django; Machine Learning</t>
        </is>
      </c>
      <c r="X187" t="inlineStr">
        <is>
          <t>Amaanuddin_Ahmed_Software_Engineer_Resume.pdf</t>
        </is>
      </c>
      <c r="Y187" t="inlineStr">
        <is>
          <t>2026-09-12</t>
        </is>
      </c>
      <c r="Z187" t="inlineStr">
        <is>
          <t>Mentions potential job placement after the program; Flexible working hours</t>
        </is>
      </c>
      <c r="AA187" t="inlineStr">
        <is>
          <t>Eligible</t>
        </is>
      </c>
      <c r="AB187" t="inlineStr">
        <is>
          <t>Open to Diploma and Engineering freshers</t>
        </is>
      </c>
      <c r="AC187" t="inlineStr">
        <is>
          <t>UNKNOWN</t>
        </is>
      </c>
      <c r="AD187" t="inlineStr">
        <is>
          <t>Not specified in the job description.</t>
        </is>
      </c>
      <c r="AE187" t="inlineStr">
        <is>
          <t>UNKNOWN</t>
        </is>
      </c>
      <c r="AF187" t="n">
        <v>0</v>
      </c>
      <c r="AG187" t="inlineStr">
        <is>
          <t>No</t>
        </is>
      </c>
      <c r="AH187" t="inlineStr">
        <is>
          <t>Mentioned</t>
        </is>
      </c>
      <c r="AI187" t="inlineStr">
        <is>
          <t>job placement after program</t>
        </is>
      </c>
      <c r="AK187" t="inlineStr">
        <is>
          <t>Unclear stipend; On-site requirement in Ahmedabad while candidate is in a different location profile context</t>
        </is>
      </c>
      <c r="AL187" t="inlineStr">
        <is>
          <t>Python fundamentals; Django framework experience; Live project handling</t>
        </is>
      </c>
    </row>
    <row r="188">
      <c r="A188" t="inlineStr">
        <is>
          <t>ZIPLR-TECHNO-260912-187</t>
        </is>
      </c>
      <c r="B188" t="inlineStr">
        <is>
          <t>Ziplr Technology</t>
        </is>
      </c>
      <c r="C188" t="inlineStr">
        <is>
          <t>Internship - Python Developer</t>
        </is>
      </c>
      <c r="D188" t="inlineStr">
        <is>
          <t>https://www.adzuna.in/details/4801618879?utm_medium=api&amp;utm_source=5ccdc27f</t>
        </is>
      </c>
      <c r="E188" t="inlineStr">
        <is>
          <t>AI Analyzer</t>
        </is>
      </c>
      <c r="F188" t="inlineStr">
        <is>
          <t>Bhubaneswar</t>
        </is>
      </c>
      <c r="G188" t="inlineStr">
        <is>
          <t>On-site</t>
        </is>
      </c>
      <c r="H188" t="inlineStr">
        <is>
          <t>Not specified</t>
        </is>
      </c>
      <c r="I188" t="inlineStr">
        <is>
          <t>Unknown</t>
        </is>
      </c>
      <c r="J188" t="inlineStr">
        <is>
          <t>Not Mentioned</t>
        </is>
      </c>
      <c r="K188" t="inlineStr">
        <is>
          <t>Python</t>
        </is>
      </c>
      <c r="M188" t="inlineStr">
        <is>
          <t>Internship - Python Developer Ziplr is looking for techies in python to join our development team. Are you the best programmer in your batch or office? Do you lose your sleep till you have solved a technical problem? Can you stay up the whole night just to write a beautiful piece of code which runs flawlessly? Note - If you answered yes to all above asked questions only then, read the below text.</t>
        </is>
      </c>
      <c r="N188" t="n">
        <v>48</v>
      </c>
      <c r="O188" t="n">
        <v>20</v>
      </c>
      <c r="P188" t="n">
        <v>15</v>
      </c>
      <c r="Q188" t="n">
        <v>10</v>
      </c>
      <c r="R188" t="n">
        <v>0</v>
      </c>
      <c r="S188" t="n">
        <v>0</v>
      </c>
      <c r="T188" t="n">
        <v>3</v>
      </c>
      <c r="U188" t="inlineStr">
        <is>
          <t>SKIP</t>
        </is>
      </c>
      <c r="V188" t="inlineStr">
        <is>
          <t>SKIP</t>
        </is>
      </c>
      <c r="X188" t="inlineStr">
        <is>
          <t>Amaanuddin_Ahmed_Software_Engineer_Resume.pdf</t>
        </is>
      </c>
      <c r="Y188" t="inlineStr">
        <is>
          <t>2026-09-12</t>
        </is>
      </c>
      <c r="Z188" t="inlineStr">
        <is>
          <t>Matches the Python developer role requirement.</t>
        </is>
      </c>
      <c r="AA188" t="inlineStr">
        <is>
          <t>ELIGIBLE</t>
        </is>
      </c>
      <c r="AB188" t="inlineStr">
        <is>
          <t>Candidate has Python skills; No strict degree or graduation year hard blockers mentioned in the snippet</t>
        </is>
      </c>
      <c r="AC188" t="inlineStr">
        <is>
          <t>UNKNOWN</t>
        </is>
      </c>
      <c r="AD188" t="inlineStr">
        <is>
          <t>Not specified in candidate profile</t>
        </is>
      </c>
      <c r="AE188" t="inlineStr">
        <is>
          <t>UNKNOWN</t>
        </is>
      </c>
      <c r="AF188" t="n">
        <v>0</v>
      </c>
      <c r="AG188" t="inlineStr">
        <is>
          <t>No</t>
        </is>
      </c>
      <c r="AH188" t="inlineStr">
        <is>
          <t>Not Mentioned</t>
        </is>
      </c>
      <c r="AI188" t="inlineStr">
        <is>
          <t>No mention of PPO or conversion in the job description.</t>
        </is>
      </c>
      <c r="AK188" t="inlineStr">
        <is>
          <t>Unrealistic psychological screening questions in JD; Stipend not disclosed; Location is Bhubaneswar</t>
        </is>
      </c>
      <c r="AL188" t="inlineStr">
        <is>
          <t>Python fundamentals; Problem-solving and debugging; Enterprise application development</t>
        </is>
      </c>
    </row>
    <row r="189">
      <c r="A189" t="inlineStr">
        <is>
          <t>TRUECONNECT--260912-188</t>
        </is>
      </c>
      <c r="B189" t="inlineStr">
        <is>
          <t>TrueConnect Strategic Services</t>
        </is>
      </c>
      <c r="C189" t="inlineStr">
        <is>
          <t>Python Freshers</t>
        </is>
      </c>
      <c r="D189" t="inlineStr">
        <is>
          <t>https://www.adzuna.in/details/5146499472?utm_medium=api&amp;utm_source=5ccdc27f</t>
        </is>
      </c>
      <c r="E189" t="inlineStr">
        <is>
          <t>AI Analyzer</t>
        </is>
      </c>
      <c r="F189" t="inlineStr">
        <is>
          <t>Erode, Tamil Nadu</t>
        </is>
      </c>
      <c r="G189" t="inlineStr">
        <is>
          <t>WFH</t>
        </is>
      </c>
      <c r="H189" t="inlineStr">
        <is>
          <t>Not Specified</t>
        </is>
      </c>
      <c r="I189" t="inlineStr">
        <is>
          <t>6 Months</t>
        </is>
      </c>
      <c r="J189" t="inlineStr">
        <is>
          <t>NOT_MENTIONED</t>
        </is>
      </c>
      <c r="K189" t="inlineStr">
        <is>
          <t>Python; CS Background</t>
        </is>
      </c>
      <c r="M189" t="inlineStr">
        <is>
          <t>Looking for Python Interns @ Erode | WFH 3 Months Training | 6 Month Internship Job Summary: We are looking for highly promising fresh talents, inspiring them to become python developers or data engineers. Position: Internship Location: Erode Contact : 9025222061 Skill Set - Python - CS Background</t>
        </is>
      </c>
      <c r="N189" t="n">
        <v>62</v>
      </c>
      <c r="O189" t="n">
        <v>25</v>
      </c>
      <c r="P189" t="n">
        <v>20</v>
      </c>
      <c r="Q189" t="n">
        <v>12</v>
      </c>
      <c r="R189" t="n">
        <v>0</v>
      </c>
      <c r="S189" t="n">
        <v>0</v>
      </c>
      <c r="T189" t="n">
        <v>5</v>
      </c>
      <c r="U189" t="inlineStr">
        <is>
          <t>STRETCH</t>
        </is>
      </c>
      <c r="V189" t="inlineStr">
        <is>
          <t>STRETCH</t>
        </is>
      </c>
      <c r="X189" t="inlineStr">
        <is>
          <t>Amaanuddin_Ahmed_Software_Engineer_Resume.pdf</t>
        </is>
      </c>
      <c r="Y189" t="inlineStr">
        <is>
          <t>2026-09-12</t>
        </is>
      </c>
      <c r="Z189" t="inlineStr">
        <is>
          <t>Matches the Python skill requirement.; WFH option available.</t>
        </is>
      </c>
      <c r="AA189" t="inlineStr">
        <is>
          <t>ELIGIBLE</t>
        </is>
      </c>
      <c r="AB189" t="inlineStr">
        <is>
          <t>Candidate has Python experience.; CS Background requirement met via MCA program.</t>
        </is>
      </c>
      <c r="AC189" t="inlineStr">
        <is>
          <t>UNKNOWN</t>
        </is>
      </c>
      <c r="AD189" t="inlineStr">
        <is>
          <t>Candidate availability details not provided in the career brain.</t>
        </is>
      </c>
      <c r="AE189" t="inlineStr">
        <is>
          <t>UNKNOWN</t>
        </is>
      </c>
      <c r="AF189" t="n">
        <v>0</v>
      </c>
      <c r="AG189" t="inlineStr">
        <is>
          <t>No</t>
        </is>
      </c>
      <c r="AH189" t="inlineStr">
        <is>
          <t>NOT_MENTIONED</t>
        </is>
      </c>
      <c r="AI189" t="inlineStr">
        <is>
          <t>No mention of PPO or conversion in the job description.</t>
        </is>
      </c>
      <c r="AK189" t="inlineStr">
        <is>
          <t>Stipend is not disclosed.; No mention of PPO.</t>
        </is>
      </c>
      <c r="AL189" t="inlineStr">
        <is>
          <t>Python fundamentals; Data structures and algorithms in Python; Basic computer science concepts</t>
        </is>
      </c>
    </row>
    <row r="190">
      <c r="A190" t="inlineStr">
        <is>
          <t>BRIDGE-IT-260912-189</t>
        </is>
      </c>
      <c r="B190" t="inlineStr">
        <is>
          <t>Bridge-it</t>
        </is>
      </c>
      <c r="C190" t="inlineStr">
        <is>
          <t>AI Engineer Intern</t>
        </is>
      </c>
      <c r="D190" t="inlineStr">
        <is>
          <t>https://www.adzuna.in/details/5873854630?utm_medium=api&amp;utm_source=5ccdc27f</t>
        </is>
      </c>
      <c r="E190" t="inlineStr">
        <is>
          <t>AI Analyzer</t>
        </is>
      </c>
      <c r="F190" t="inlineStr">
        <is>
          <t>Delhi, India</t>
        </is>
      </c>
      <c r="G190" t="inlineStr">
        <is>
          <t>UNKNOWN</t>
        </is>
      </c>
      <c r="H190" t="inlineStr">
        <is>
          <t>Not specified</t>
        </is>
      </c>
      <c r="I190" t="inlineStr">
        <is>
          <t>UNKNOWN</t>
        </is>
      </c>
      <c r="J190" t="inlineStr">
        <is>
          <t>UNKNOWN</t>
        </is>
      </c>
      <c r="K190" t="inlineStr">
        <is>
          <t>Generative AI; Prompt Engineering; RAG; Python; REST APIs; LangGraph</t>
        </is>
      </c>
      <c r="L190" t="inlineStr">
        <is>
          <t>Knowledge Graphs; Agentic Frameworks; Dataset Creation</t>
        </is>
      </c>
      <c r="M190" t="inlineStr">
        <is>
          <t>AI Engineer Internship at Bridge-it Key Responsibilities: Use Generative AI models for real-world applications. Identify and create datasets to build a domain specific knowledge base Work on Prompt Engineering and create advanced Retrieval-Augmented Generation (RAG) systems. Build and optimize scalable REST APIs using Python. Utilize frameworks like LangGraph for complex AI workflows. Collaborate</t>
        </is>
      </c>
      <c r="N190" t="n">
        <v>38</v>
      </c>
      <c r="O190" t="n">
        <v>45</v>
      </c>
      <c r="P190" t="n">
        <v>50</v>
      </c>
      <c r="Q190" t="n">
        <v>50</v>
      </c>
      <c r="R190" t="n">
        <v>0</v>
      </c>
      <c r="S190" t="n">
        <v>0</v>
      </c>
      <c r="T190" t="n">
        <v>50</v>
      </c>
      <c r="U190" t="inlineStr">
        <is>
          <t>SKIP</t>
        </is>
      </c>
      <c r="V190" t="inlineStr">
        <is>
          <t>SKIP</t>
        </is>
      </c>
      <c r="W190" t="inlineStr">
        <is>
          <t>Generative AI; Prompt Engineering; RAG; LangGraph; Knowledge Graphs; Agentic Frameworks</t>
        </is>
      </c>
      <c r="X190" t="inlineStr">
        <is>
          <t>Amaan_Ahmed_General_Software_Engineering_Resume.pdf</t>
        </is>
      </c>
      <c r="Y190" t="inlineStr">
        <is>
          <t>2026-09-12</t>
        </is>
      </c>
      <c r="Z190" t="inlineStr">
        <is>
          <t>Aligns with AI-adjacent software engineering interest.</t>
        </is>
      </c>
      <c r="AA190" t="inlineStr">
        <is>
          <t>ELIGIBLE</t>
        </is>
      </c>
      <c r="AB190" t="inlineStr">
        <is>
          <t>No explicit degree or graduation-year hard blockers stated.</t>
        </is>
      </c>
      <c r="AC190" t="inlineStr">
        <is>
          <t>UNKNOWN</t>
        </is>
      </c>
      <c r="AD190" t="inlineStr">
        <is>
          <t>Candidate availability not specified in profile.</t>
        </is>
      </c>
      <c r="AE190" t="inlineStr">
        <is>
          <t>UNKNOWN</t>
        </is>
      </c>
      <c r="AF190" t="n">
        <v>0</v>
      </c>
      <c r="AG190" t="inlineStr">
        <is>
          <t>No</t>
        </is>
      </c>
      <c r="AH190" t="inlineStr">
        <is>
          <t>UNKNOWN</t>
        </is>
      </c>
      <c r="AI190" t="inlineStr">
        <is>
          <t>No mention of PPO or conversion in the job description.</t>
        </is>
      </c>
      <c r="AK190" t="inlineStr">
        <is>
          <t>Unknown stipend</t>
        </is>
      </c>
      <c r="AL190" t="inlineStr">
        <is>
          <t>Python REST API development; Retrieval-Augmented Generation (RAG) concepts; LangGraph and Agentic workflows; Prompt engineering techniques</t>
        </is>
      </c>
    </row>
    <row r="191">
      <c r="A191" t="inlineStr">
        <is>
          <t>ABSTRABIT-TE-260912-190</t>
        </is>
      </c>
      <c r="B191" t="inlineStr">
        <is>
          <t>Abstrabit Technologies Pvt Ltd</t>
        </is>
      </c>
      <c r="C191" t="inlineStr">
        <is>
          <t>AI Engineer Intern</t>
        </is>
      </c>
      <c r="D191" t="inlineStr">
        <is>
          <t>https://www.adzuna.in/details/5843923559?utm_medium=api&amp;utm_source=5ccdc27f</t>
        </is>
      </c>
      <c r="E191" t="inlineStr">
        <is>
          <t>AI Analyzer</t>
        </is>
      </c>
      <c r="F191" t="inlineStr">
        <is>
          <t>Naduvathi, Bangalore</t>
        </is>
      </c>
      <c r="G191" t="inlineStr">
        <is>
          <t>on-site</t>
        </is>
      </c>
      <c r="H191" t="inlineStr">
        <is>
          <t>unknown</t>
        </is>
      </c>
      <c r="I191" t="inlineStr">
        <is>
          <t>unknown</t>
        </is>
      </c>
      <c r="J191" t="inlineStr">
        <is>
          <t>not mentioned</t>
        </is>
      </c>
      <c r="K191" t="inlineStr">
        <is>
          <t>AI; Machine Learning; LLMs</t>
        </is>
      </c>
      <c r="L191" t="inlineStr">
        <is>
          <t>Python; Self-hosted LLMs; RAG; Fine-tuning</t>
        </is>
      </c>
      <c r="M191" t="inlineStr">
        <is>
          <t>AI Engineer Intern Location : Bengaluru, Interviews for this position will be conducted in person at our Bengaluru office. Type : Internship Experience : 0 - 1 year About Us Abstrabit is a private AI company based in Bengaluru. We help businesses run AI entirely on their own infrastructure: self-hosted LLMs, secure enterprise RAG, fine-tuned models, and AI agents that never send data outside the n</t>
        </is>
      </c>
      <c r="N191" t="n">
        <v>52</v>
      </c>
      <c r="O191" t="n">
        <v>50</v>
      </c>
      <c r="P191" t="n">
        <v>100</v>
      </c>
      <c r="Q191" t="n">
        <v>60</v>
      </c>
      <c r="R191" t="n">
        <v>0</v>
      </c>
      <c r="S191" t="n">
        <v>0</v>
      </c>
      <c r="T191" t="n">
        <v>50</v>
      </c>
      <c r="U191" t="inlineStr">
        <is>
          <t>SKIP</t>
        </is>
      </c>
      <c r="V191" t="inlineStr">
        <is>
          <t>SKIP</t>
        </is>
      </c>
      <c r="W191" t="inlineStr">
        <is>
          <t>LLM Fine-tuning; Enterprise RAG; AI Agents</t>
        </is>
      </c>
      <c r="X191" t="inlineStr">
        <is>
          <t>Amaanuddin_Ahmed_Resume_AI_Software.pdf</t>
        </is>
      </c>
      <c r="Y191" t="inlineStr">
        <is>
          <t>2026-09-12</t>
        </is>
      </c>
      <c r="Z191" t="inlineStr">
        <is>
          <t>Located in Bangalore with in-person interview capability.; Matches experience criteria of 0-1 years.</t>
        </is>
      </c>
      <c r="AA191" t="inlineStr">
        <is>
          <t>eligible</t>
        </is>
      </c>
      <c r="AB191" t="inlineStr">
        <is>
          <t>Candidate fits the 0-1 year experience requirement.; Location is Bangalore and interviews are in-person, which matches target city.</t>
        </is>
      </c>
      <c r="AC191" t="inlineStr">
        <is>
          <t>unknown</t>
        </is>
      </c>
      <c r="AD191" t="inlineStr">
        <is>
          <t>Candidate availability status is not specified in the career brain.</t>
        </is>
      </c>
      <c r="AE191" t="inlineStr">
        <is>
          <t>UNKNOWN</t>
        </is>
      </c>
      <c r="AF191" t="n">
        <v>0</v>
      </c>
      <c r="AG191" t="inlineStr">
        <is>
          <t>No</t>
        </is>
      </c>
      <c r="AH191" t="inlineStr">
        <is>
          <t>not mentioned</t>
        </is>
      </c>
      <c r="AI191" t="inlineStr">
        <is>
          <t>Job description does not mention PPO or conversion.</t>
        </is>
      </c>
      <c r="AK191" t="inlineStr">
        <is>
          <t>Stipend not disclosed; PPO not mentioned</t>
        </is>
      </c>
      <c r="AL191" t="inlineStr">
        <is>
          <t>Python programming; Basic Machine Learning concepts; REST APIs and backend integration</t>
        </is>
      </c>
    </row>
    <row r="192">
      <c r="A192" t="inlineStr">
        <is>
          <t>SYNORUS-260912-191</t>
        </is>
      </c>
      <c r="B192" t="inlineStr">
        <is>
          <t>Synorus</t>
        </is>
      </c>
      <c r="C192" t="inlineStr">
        <is>
          <t>AI Engineer Intern</t>
        </is>
      </c>
      <c r="D192" t="inlineStr">
        <is>
          <t>https://www.adzuna.in/details/5476465881?utm_medium=api&amp;utm_source=5ccdc27f</t>
        </is>
      </c>
      <c r="E192" t="inlineStr">
        <is>
          <t>AI Analyzer</t>
        </is>
      </c>
      <c r="F192" t="inlineStr">
        <is>
          <t>India</t>
        </is>
      </c>
      <c r="G192" t="inlineStr">
        <is>
          <t>UNKNOWN</t>
        </is>
      </c>
      <c r="H192" t="inlineStr">
        <is>
          <t>Not specified</t>
        </is>
      </c>
      <c r="I192" t="inlineStr">
        <is>
          <t>UNKNOWN</t>
        </is>
      </c>
      <c r="J192" t="inlineStr">
        <is>
          <t>UNKNOWN</t>
        </is>
      </c>
      <c r="K192" t="inlineStr">
        <is>
          <t>AI; LLM Engineering; Domain-tuned LLMs; RAG pipelines</t>
        </is>
      </c>
      <c r="L192" t="inlineStr">
        <is>
          <t>Legaltech experience</t>
        </is>
      </c>
      <c r="M192" t="inlineStr">
        <is>
          <t>About Synorus Synorus is building a next-generation ecosystem of AI-first products. Our flagship legal-AI platform LexVault is redefining legal research, drafting, knowledge retrieval, and case intelligence using domain-tuned LLMs, private RAG pipelines, and secure reasoning systems. If you are passionate about AI, legaltech, and training high-performance models — this internship will put you on t</t>
        </is>
      </c>
      <c r="N192" t="n">
        <v>55</v>
      </c>
      <c r="O192" t="n">
        <v>50</v>
      </c>
      <c r="P192" t="n">
        <v>60</v>
      </c>
      <c r="Q192" t="n">
        <v>60</v>
      </c>
      <c r="R192" t="n">
        <v>50</v>
      </c>
      <c r="S192" t="n">
        <v>0</v>
      </c>
      <c r="T192" t="n">
        <v>70</v>
      </c>
      <c r="U192" t="inlineStr">
        <is>
          <t>SKIP</t>
        </is>
      </c>
      <c r="V192" t="inlineStr">
        <is>
          <t>SKIP</t>
        </is>
      </c>
      <c r="W192" t="inlineStr">
        <is>
          <t>LLM Engineering; RAG pipelines; Domain-tuned LLMs</t>
        </is>
      </c>
      <c r="X192" t="inlineStr">
        <is>
          <t>Amaanuddin_Ahmed_Software_Engineering_Resume.pdf</t>
        </is>
      </c>
      <c r="Y192" t="inlineStr">
        <is>
          <t>2026-09-12</t>
        </is>
      </c>
      <c r="Z192" t="inlineStr">
        <is>
          <t>Aligned with AI-adjacent software engineering interest; Opportunity to work on cutting-edge LLM and RAG systems</t>
        </is>
      </c>
      <c r="AA192" t="inlineStr">
        <is>
          <t>ELIGIBLE</t>
        </is>
      </c>
      <c r="AB192" t="inlineStr">
        <is>
          <t>No explicit hard degree or graduation year blockers mentioned in the truncated JD</t>
        </is>
      </c>
      <c r="AC192" t="inlineStr">
        <is>
          <t>UNKNOWN</t>
        </is>
      </c>
      <c r="AD192" t="inlineStr">
        <is>
          <t>Candidate availability details are not provided in the career brain</t>
        </is>
      </c>
      <c r="AE192" t="inlineStr">
        <is>
          <t>UNKNOWN</t>
        </is>
      </c>
      <c r="AF192" t="n">
        <v>0</v>
      </c>
      <c r="AG192" t="inlineStr">
        <is>
          <t>No</t>
        </is>
      </c>
      <c r="AH192" t="inlineStr">
        <is>
          <t>UNKNOWN</t>
        </is>
      </c>
      <c r="AI192" t="inlineStr">
        <is>
          <t>No explicit mention of PPO or conversion in the truncated job description</t>
        </is>
      </c>
      <c r="AK192" t="inlineStr">
        <is>
          <t>Incomplete job description text</t>
        </is>
      </c>
      <c r="AL192" t="inlineStr">
        <is>
          <t>Retrieval-Augmented Generation (RAG) architecture; Working with LLMs and prompt engineering; Python backend development for AI systems</t>
        </is>
      </c>
    </row>
    <row r="193">
      <c r="A193" t="inlineStr">
        <is>
          <t>LETSINTERN-260912-192</t>
        </is>
      </c>
      <c r="B193" t="inlineStr">
        <is>
          <t>LetsIntern</t>
        </is>
      </c>
      <c r="C193" t="inlineStr">
        <is>
          <t>AI Engineer (Intern)</t>
        </is>
      </c>
      <c r="D193" t="inlineStr">
        <is>
          <t>https://www.adzuna.in/details/5649491294?utm_medium=api&amp;utm_source=5ccdc27f</t>
        </is>
      </c>
      <c r="E193" t="inlineStr">
        <is>
          <t>AI Analyzer</t>
        </is>
      </c>
      <c r="F193" t="inlineStr">
        <is>
          <t>India</t>
        </is>
      </c>
      <c r="G193" t="inlineStr">
        <is>
          <t>UNKNOWN</t>
        </is>
      </c>
      <c r="H193" t="inlineStr">
        <is>
          <t>UNKNOWN</t>
        </is>
      </c>
      <c r="I193" t="inlineStr">
        <is>
          <t>UNKNOWN</t>
        </is>
      </c>
      <c r="J193" t="inlineStr">
        <is>
          <t>NOT_MENTIONED</t>
        </is>
      </c>
      <c r="K193" t="inlineStr">
        <is>
          <t>AI; Machine Learning; AI models</t>
        </is>
      </c>
      <c r="M193" t="inlineStr">
        <is>
          <t>About the Job : We are looking for a passionate and driven AI Intern to join our dynamic team. As an intern, you will have the opportunity to work on real-world projects, develop AI models, and collaborate with experienced professionals in the field. This internship is designed to provide hands-on experience in AI and machine learning, offering you the chance to contribute to impactful projects wh</t>
        </is>
      </c>
      <c r="N193" t="n">
        <v>42</v>
      </c>
      <c r="O193" t="n">
        <v>40</v>
      </c>
      <c r="P193" t="n">
        <v>70</v>
      </c>
      <c r="Q193" t="n">
        <v>50</v>
      </c>
      <c r="R193" t="n">
        <v>0</v>
      </c>
      <c r="S193" t="n">
        <v>0</v>
      </c>
      <c r="T193" t="n">
        <v>50</v>
      </c>
      <c r="U193" t="inlineStr">
        <is>
          <t>SKIP</t>
        </is>
      </c>
      <c r="V193" t="inlineStr">
        <is>
          <t>SKIP</t>
        </is>
      </c>
      <c r="W193" t="inlineStr">
        <is>
          <t>AI models development; Machine Learning specialized engineering</t>
        </is>
      </c>
      <c r="X193" t="inlineStr">
        <is>
          <t>Amaanuddin_Ahmed_Software_Engineer_Resume.pdf</t>
        </is>
      </c>
      <c r="Y193" t="inlineStr">
        <is>
          <t>2026-09-12</t>
        </is>
      </c>
      <c r="Z193" t="inlineStr">
        <is>
          <t>AI-adjacent role matching general interest</t>
        </is>
      </c>
      <c r="AA193" t="inlineStr">
        <is>
          <t>ELIGIBLE</t>
        </is>
      </c>
      <c r="AB193" t="inlineStr">
        <is>
          <t>No explicit degree or hard experience blockers specified in the snippet</t>
        </is>
      </c>
      <c r="AC193" t="inlineStr">
        <is>
          <t>UNKNOWN</t>
        </is>
      </c>
      <c r="AD193" t="inlineStr">
        <is>
          <t>Availability not provided in career brain or job description</t>
        </is>
      </c>
      <c r="AE193" t="inlineStr">
        <is>
          <t>UNKNOWN</t>
        </is>
      </c>
      <c r="AF193" t="n">
        <v>0</v>
      </c>
      <c r="AG193" t="inlineStr">
        <is>
          <t>No</t>
        </is>
      </c>
      <c r="AH193" t="inlineStr">
        <is>
          <t>NOT_MENTIONED</t>
        </is>
      </c>
      <c r="AI193" t="inlineStr">
        <is>
          <t>No mention of PPO or conversion in the job description snippet</t>
        </is>
      </c>
      <c r="AK193" t="inlineStr">
        <is>
          <t>Truncated job description snippet; Unknown stipend</t>
        </is>
      </c>
      <c r="AL193" t="inlineStr">
        <is>
          <t>Python fundamentals; Basic Machine Learning concepts; Past software engineering projects</t>
        </is>
      </c>
    </row>
    <row r="194">
      <c r="A194" t="inlineStr">
        <is>
          <t>RECRUIT-SQUA-260912-193</t>
        </is>
      </c>
      <c r="B194" t="inlineStr">
        <is>
          <t>Recruit Square</t>
        </is>
      </c>
      <c r="C194" t="inlineStr">
        <is>
          <t>AI Engineer - Intern</t>
        </is>
      </c>
      <c r="D194" t="inlineStr">
        <is>
          <t>https://www.adzuna.in/details/5506162409?utm_medium=api&amp;utm_source=5ccdc27f</t>
        </is>
      </c>
      <c r="E194" t="inlineStr">
        <is>
          <t>AI Analyzer</t>
        </is>
      </c>
      <c r="F194" t="inlineStr">
        <is>
          <t>India</t>
        </is>
      </c>
      <c r="G194" t="inlineStr">
        <is>
          <t>UNKNOWN</t>
        </is>
      </c>
      <c r="H194" t="inlineStr">
        <is>
          <t>UNKNOWN</t>
        </is>
      </c>
      <c r="I194" t="inlineStr">
        <is>
          <t>UNKNOWN</t>
        </is>
      </c>
      <c r="J194" t="inlineStr">
        <is>
          <t>UNKNOWN</t>
        </is>
      </c>
      <c r="K194" t="inlineStr">
        <is>
          <t>Artificial Intelligence (AI); AI Agents; Large Language Models (LLM) tuning</t>
        </is>
      </c>
      <c r="M194" t="inlineStr">
        <is>
          <t>We are looking for AI Interns from IIT and Top Colleges of India who have worked on AI Based projects during their tenure or have any experience in AI. Skills:- Artificial Intelligence (AI), AI Agents and Large Language Models (LLM) tuning</t>
        </is>
      </c>
      <c r="N194" t="n">
        <v>19</v>
      </c>
      <c r="O194" t="n">
        <v>20</v>
      </c>
      <c r="P194" t="n">
        <v>20</v>
      </c>
      <c r="Q194" t="n">
        <v>40</v>
      </c>
      <c r="R194" t="n">
        <v>0</v>
      </c>
      <c r="S194" t="n">
        <v>0</v>
      </c>
      <c r="T194" t="n">
        <v>30</v>
      </c>
      <c r="U194" t="inlineStr">
        <is>
          <t>SKIP</t>
        </is>
      </c>
      <c r="V194" t="inlineStr">
        <is>
          <t>SKIP</t>
        </is>
      </c>
      <c r="W194" t="inlineStr">
        <is>
          <t>Artificial Intelligence (AI); AI Agents; Large Language Models (LLM) tuning</t>
        </is>
      </c>
      <c r="X194" t="inlineStr">
        <is>
          <t>Amaanuddin_Ahmed_Resume.pdf</t>
        </is>
      </c>
      <c r="Y194" t="inlineStr">
        <is>
          <t>2026-09-12</t>
        </is>
      </c>
      <c r="AA194" t="inlineStr">
        <is>
          <t>FAIL</t>
        </is>
      </c>
      <c r="AB194" t="inlineStr">
        <is>
          <t>Candidate does not belong to IIT or the explicitly specified top colleges of India per the college requirement.</t>
        </is>
      </c>
      <c r="AC194" t="inlineStr">
        <is>
          <t>UNKNOWN</t>
        </is>
      </c>
      <c r="AD194" t="inlineStr">
        <is>
          <t>Not specified in the job description.</t>
        </is>
      </c>
      <c r="AE194" t="inlineStr">
        <is>
          <t>UNKNOWN</t>
        </is>
      </c>
      <c r="AF194" t="n">
        <v>0</v>
      </c>
      <c r="AG194" t="inlineStr">
        <is>
          <t>No</t>
        </is>
      </c>
      <c r="AH194" t="inlineStr">
        <is>
          <t>UNKNOWN</t>
        </is>
      </c>
      <c r="AI194" t="inlineStr">
        <is>
          <t>No mention of PPO or conversion in the job description.</t>
        </is>
      </c>
      <c r="AJ194" t="inlineStr">
        <is>
          <t>Candidate is from PES University (MCA), which does not satisfy the explicit requirement for IIT and Top Colleges of India.</t>
        </is>
      </c>
      <c r="AK194" t="inlineStr">
        <is>
          <t>Strict college tier filtering for IIT and Top Colleges.</t>
        </is>
      </c>
      <c r="AL194" t="inlineStr">
        <is>
          <t>AI Agents; LLM Fine-Tuning; Artificial Intelligence Projects</t>
        </is>
      </c>
    </row>
    <row r="195">
      <c r="A195" t="inlineStr">
        <is>
          <t>EPIFI-TECHNO-260912-194</t>
        </is>
      </c>
      <c r="B195" t="inlineStr">
        <is>
          <t>Epifi Technologies Private Limited</t>
        </is>
      </c>
      <c r="C195" t="inlineStr">
        <is>
          <t>AI Engineering Intern</t>
        </is>
      </c>
      <c r="D195" t="inlineStr">
        <is>
          <t>https://www.adzuna.in/details/5827200195?utm_medium=api&amp;utm_source=5ccdc27f</t>
        </is>
      </c>
      <c r="E195" t="inlineStr">
        <is>
          <t>AI Analyzer</t>
        </is>
      </c>
      <c r="F195" t="inlineStr">
        <is>
          <t>Bangalore, Karnataka</t>
        </is>
      </c>
      <c r="G195" t="inlineStr">
        <is>
          <t>Unknown</t>
        </is>
      </c>
      <c r="H195" t="inlineStr">
        <is>
          <t>Not specified</t>
        </is>
      </c>
      <c r="I195" t="inlineStr">
        <is>
          <t>Unknown</t>
        </is>
      </c>
      <c r="J195" t="inlineStr">
        <is>
          <t>UNKNOWN</t>
        </is>
      </c>
      <c r="K195" t="inlineStr">
        <is>
          <t>AI coding tools (Cursor, Claude Code, GitHub Copilot); Software Engineering</t>
        </is>
      </c>
      <c r="M195" t="inlineStr">
        <is>
          <t>Ai Engg Intern Tetriz is an AI Engineering Intelligence platform that helps engineering organizations become AInative faster We measure how AI coding tools like Cursor Claude Code and GitHub Copilot are actually used improve engineer effectiveness through prompt and workflow coaching and help engineering leaders demonstrate AI ROI with boardready defensible insights Youll be joining at an exciting</t>
        </is>
      </c>
      <c r="N195" t="n">
        <v>45</v>
      </c>
      <c r="O195" t="n">
        <v>50</v>
      </c>
      <c r="P195" t="n">
        <v>60</v>
      </c>
      <c r="Q195" t="n">
        <v>60</v>
      </c>
      <c r="R195" t="n">
        <v>0</v>
      </c>
      <c r="S195" t="n">
        <v>0</v>
      </c>
      <c r="T195" t="n">
        <v>60</v>
      </c>
      <c r="U195" t="inlineStr">
        <is>
          <t>SKIP</t>
        </is>
      </c>
      <c r="V195" t="inlineStr">
        <is>
          <t>SKIP</t>
        </is>
      </c>
      <c r="W195" t="inlineStr">
        <is>
          <t>AI coding tools proficiency (Cursor, Claude Code, GitHub Copilot workflow coaching)</t>
        </is>
      </c>
      <c r="X195" t="inlineStr">
        <is>
          <t>Amaanuddin_Ahmed_Software_Engineer_Resume.pdf</t>
        </is>
      </c>
      <c r="Y195" t="inlineStr">
        <is>
          <t>2026-09-12</t>
        </is>
      </c>
      <c r="Z195" t="inlineStr">
        <is>
          <t>Located in Bangalore which matches local preference.; Aligns with AI-adjacent software engineering interest.</t>
        </is>
      </c>
      <c r="AA195" t="inlineStr">
        <is>
          <t>UNKNOWN</t>
        </is>
      </c>
      <c r="AB195" t="inlineStr">
        <is>
          <t>Degree and graduation year requirements are not explicitly stated in the job description.</t>
        </is>
      </c>
      <c r="AC195" t="inlineStr">
        <is>
          <t>UNKNOWN</t>
        </is>
      </c>
      <c r="AD195" t="inlineStr">
        <is>
          <t>Availability requirement not specified in the job description.</t>
        </is>
      </c>
      <c r="AE195" t="inlineStr">
        <is>
          <t>UNKNOWN</t>
        </is>
      </c>
      <c r="AF195" t="n">
        <v>0</v>
      </c>
      <c r="AG195" t="inlineStr">
        <is>
          <t>No</t>
        </is>
      </c>
      <c r="AH195" t="inlineStr">
        <is>
          <t>UNKNOWN</t>
        </is>
      </c>
      <c r="AI195" t="inlineStr">
        <is>
          <t>No mention of PPO or conversion in the job description.</t>
        </is>
      </c>
      <c r="AK195" t="inlineStr">
        <is>
          <t>Stipend is completely unspecified.</t>
        </is>
      </c>
      <c r="AL195" t="inlineStr">
        <is>
          <t>Experience with AI coding tools like Cursor, Claude Code, and GitHub Copilot; Building AI-native products and workflows; Backend and full-stack software development experience</t>
        </is>
      </c>
    </row>
    <row r="196">
      <c r="A196" t="inlineStr">
        <is>
          <t>MACTORES-260912-195</t>
        </is>
      </c>
      <c r="B196" t="inlineStr">
        <is>
          <t>Mactores</t>
        </is>
      </c>
      <c r="C196" t="inlineStr">
        <is>
          <t>Generative AI Engineer (Intern)</t>
        </is>
      </c>
      <c r="D196" t="inlineStr">
        <is>
          <t>https://www.adzuna.in/details/5867239730?utm_medium=api&amp;utm_source=5ccdc27f</t>
        </is>
      </c>
      <c r="E196" t="inlineStr">
        <is>
          <t>AI Analyzer</t>
        </is>
      </c>
      <c r="F196" t="inlineStr">
        <is>
          <t>India</t>
        </is>
      </c>
      <c r="G196" t="inlineStr">
        <is>
          <t>UNKNOWN</t>
        </is>
      </c>
      <c r="H196" t="inlineStr">
        <is>
          <t>Not specified</t>
        </is>
      </c>
      <c r="I196" t="inlineStr">
        <is>
          <t>UNKNOWN</t>
        </is>
      </c>
      <c r="J196" t="inlineStr">
        <is>
          <t>UNKNOWN</t>
        </is>
      </c>
      <c r="K196" t="inlineStr">
        <is>
          <t>Generative AI; Python</t>
        </is>
      </c>
      <c r="L196" t="inlineStr">
        <is>
          <t>AWS; Cloud</t>
        </is>
      </c>
      <c r="M196" t="inlineStr">
        <is>
          <t>Mactores is the agent-native AWS modernization firm. Most modernization work doesn't ship, it stalls in pilots, slips a year, or lands at three times the budget. We exist to ship it: production systems running, legacy retired, outcomes measured. Our delivery is built on Aedeon, the agent platform built by Mactores' founders' sister company, which absorbs the repetitive 60–70% of engagement work, d</t>
        </is>
      </c>
      <c r="N196" t="n">
        <v>38</v>
      </c>
      <c r="O196" t="n">
        <v>40</v>
      </c>
      <c r="P196" t="n">
        <v>50</v>
      </c>
      <c r="Q196" t="n">
        <v>40</v>
      </c>
      <c r="R196" t="n">
        <v>0</v>
      </c>
      <c r="S196" t="n">
        <v>0</v>
      </c>
      <c r="T196" t="n">
        <v>50</v>
      </c>
      <c r="U196" t="inlineStr">
        <is>
          <t>SKIP</t>
        </is>
      </c>
      <c r="V196" t="inlineStr">
        <is>
          <t>SKIP</t>
        </is>
      </c>
      <c r="W196" t="inlineStr">
        <is>
          <t>Generative AI specialized framework experience</t>
        </is>
      </c>
      <c r="X196" t="inlineStr">
        <is>
          <t>Default Full Stack / Software Engineering Resume</t>
        </is>
      </c>
      <c r="Y196" t="inlineStr">
        <is>
          <t>2026-09-12</t>
        </is>
      </c>
      <c r="Z196" t="inlineStr">
        <is>
          <t>Aligns with AI-adjacent software engineering interest</t>
        </is>
      </c>
      <c r="AA196" t="inlineStr">
        <is>
          <t>ELIGIBLE</t>
        </is>
      </c>
      <c r="AB196" t="inlineStr">
        <is>
          <t>No strict blockers found in the partial description</t>
        </is>
      </c>
      <c r="AC196" t="inlineStr">
        <is>
          <t>UNKNOWN</t>
        </is>
      </c>
      <c r="AD196" t="inlineStr">
        <is>
          <t>Not mentioned</t>
        </is>
      </c>
      <c r="AE196" t="inlineStr">
        <is>
          <t>UNKNOWN</t>
        </is>
      </c>
      <c r="AF196" t="n">
        <v>0</v>
      </c>
      <c r="AG196" t="inlineStr">
        <is>
          <t>No</t>
        </is>
      </c>
      <c r="AH196" t="inlineStr">
        <is>
          <t>UNKNOWN</t>
        </is>
      </c>
      <c r="AI196" t="inlineStr">
        <is>
          <t>Not mentioned in the provided text</t>
        </is>
      </c>
      <c r="AK196" t="inlineStr">
        <is>
          <t>Incomplete job description provided</t>
        </is>
      </c>
      <c r="AL196" t="inlineStr">
        <is>
          <t>Python programming; Generative AI concepts; AWS cloud familiarity</t>
        </is>
      </c>
    </row>
    <row r="197">
      <c r="A197" t="inlineStr">
        <is>
          <t>DV-TRADING-260912-196</t>
        </is>
      </c>
      <c r="B197" t="inlineStr">
        <is>
          <t>DV Trading</t>
        </is>
      </c>
      <c r="C197" t="inlineStr">
        <is>
          <t>AI Engineer Intern - Summer 2027</t>
        </is>
      </c>
      <c r="D197" t="inlineStr">
        <is>
          <t>https://www.adzuna.in/details/5879541721?utm_medium=api&amp;utm_source=5ccdc27f</t>
        </is>
      </c>
      <c r="E197" t="inlineStr">
        <is>
          <t>AI Analyzer</t>
        </is>
      </c>
      <c r="F197" t="inlineStr">
        <is>
          <t>India</t>
        </is>
      </c>
      <c r="G197" t="inlineStr">
        <is>
          <t>UNKNOWN</t>
        </is>
      </c>
      <c r="I197" t="inlineStr">
        <is>
          <t>Summer 2027</t>
        </is>
      </c>
      <c r="J197" t="inlineStr">
        <is>
          <t>not mentioned</t>
        </is>
      </c>
      <c r="K197" t="inlineStr">
        <is>
          <t>AI; Web3; Smart Contract; Blockchain</t>
        </is>
      </c>
      <c r="M197" t="inlineStr">
        <is>
          <t>About DV Trading: DV Trading is actively recruiting for the position of AI Engineer Intern - Summer 2027 (Technology). Location &amp; Setup: Chicago Overview: Contribute directly to DV Trading's Web3, smart contract, and blockchain infrastructure. Complete candidate qualifications and application instructions are available on Hashtag Web3. View full posting details and apply online on Hashtag Web3</t>
        </is>
      </c>
      <c r="N197" t="n">
        <v>20</v>
      </c>
      <c r="O197" t="n">
        <v>20</v>
      </c>
      <c r="P197" t="n">
        <v>20</v>
      </c>
      <c r="Q197" t="n">
        <v>30</v>
      </c>
      <c r="R197" t="n">
        <v>0</v>
      </c>
      <c r="S197" t="n">
        <v>0</v>
      </c>
      <c r="T197" t="n">
        <v>50</v>
      </c>
      <c r="U197" t="inlineStr">
        <is>
          <t>SKIP</t>
        </is>
      </c>
      <c r="V197" t="inlineStr">
        <is>
          <t>SKIP</t>
        </is>
      </c>
      <c r="W197" t="inlineStr">
        <is>
          <t>Web3; Smart Contract; Blockchain</t>
        </is>
      </c>
      <c r="X197" t="inlineStr">
        <is>
          <t>Default MCA Resume</t>
        </is>
      </c>
      <c r="Y197" t="inlineStr">
        <is>
          <t>2026-09-12</t>
        </is>
      </c>
      <c r="AA197" t="inlineStr">
        <is>
          <t>fail</t>
        </is>
      </c>
      <c r="AB197" t="inlineStr">
        <is>
          <t>Graduation year mismatch: Job is for Summer 2027 which does not match candidate timeline.; Location mismatch: Job details state Chicago while candidate is based in India.</t>
        </is>
      </c>
      <c r="AC197" t="inlineStr">
        <is>
          <t>UNKNOWN</t>
        </is>
      </c>
      <c r="AD197" t="inlineStr">
        <is>
          <t>Candidate availability for Summer 2027 internship is not explicitly defined in the career brain.</t>
        </is>
      </c>
      <c r="AE197" t="inlineStr">
        <is>
          <t>UNKNOWN</t>
        </is>
      </c>
      <c r="AF197" t="n">
        <v>0</v>
      </c>
      <c r="AG197" t="inlineStr">
        <is>
          <t>No</t>
        </is>
      </c>
      <c r="AH197" t="inlineStr">
        <is>
          <t>not mentioned</t>
        </is>
      </c>
      <c r="AI197" t="inlineStr">
        <is>
          <t>No mention of PPO or conversion in the job description.</t>
        </is>
      </c>
      <c r="AJ197" t="inlineStr">
        <is>
          <t>Location mismatch (Chicago vs India); Graduation year mismatch (Summer 2027)</t>
        </is>
      </c>
      <c r="AK197" t="inlineStr">
        <is>
          <t>Inconsistent location details between summary and description</t>
        </is>
      </c>
      <c r="AL197" t="inlineStr">
        <is>
          <t>Web3 infrastructure; Smart contracts; Blockchain development</t>
        </is>
      </c>
    </row>
    <row r="198">
      <c r="A198" t="inlineStr">
        <is>
          <t>PGAGI-260912-197</t>
        </is>
      </c>
      <c r="B198" t="inlineStr">
        <is>
          <t>PGAGI</t>
        </is>
      </c>
      <c r="C198" t="inlineStr">
        <is>
          <t>AI Backend engineering Intern</t>
        </is>
      </c>
      <c r="D198" t="inlineStr">
        <is>
          <t>https://www.adzuna.in/details/5747224186?utm_medium=api&amp;utm_source=5ccdc27f</t>
        </is>
      </c>
      <c r="E198" t="inlineStr">
        <is>
          <t>AI Analyzer</t>
        </is>
      </c>
      <c r="F198" t="inlineStr">
        <is>
          <t>Bangalore, Karnataka</t>
        </is>
      </c>
      <c r="G198" t="inlineStr">
        <is>
          <t>unknown</t>
        </is>
      </c>
      <c r="H198" t="inlineStr">
        <is>
          <t>unknown</t>
        </is>
      </c>
      <c r="I198" t="inlineStr">
        <is>
          <t>unknown</t>
        </is>
      </c>
      <c r="J198" t="inlineStr">
        <is>
          <t>not_mentioned</t>
        </is>
      </c>
      <c r="K198" t="inlineStr">
        <is>
          <t>AI systems; Backend engineering</t>
        </is>
      </c>
      <c r="L198" t="inlineStr">
        <is>
          <t>Autonomous agents; Data analysis tools</t>
        </is>
      </c>
      <c r="M198" t="inlineStr">
        <is>
          <t>About PGAGI: We're at the forefront of creating advanced AI systems, from fully autonomous agents that provide intelligent customer interaction to data analysis tools that offer insightful business solutions. We are seeking enthusiastic interns who are passionate about AI and ready to tackle real-world problems using the latest technologies. About the Role We are at the forefront of building advan</t>
        </is>
      </c>
      <c r="N198" t="n">
        <v>51</v>
      </c>
      <c r="O198" t="n">
        <v>60</v>
      </c>
      <c r="P198" t="n">
        <v>70</v>
      </c>
      <c r="Q198" t="n">
        <v>75</v>
      </c>
      <c r="R198" t="n">
        <v>0</v>
      </c>
      <c r="S198" t="n">
        <v>0</v>
      </c>
      <c r="T198" t="n">
        <v>50</v>
      </c>
      <c r="U198" t="inlineStr">
        <is>
          <t>SKIP</t>
        </is>
      </c>
      <c r="V198" t="inlineStr">
        <is>
          <t>SKIP</t>
        </is>
      </c>
      <c r="W198" t="inlineStr">
        <is>
          <t>Advanced AI systems development; Autonomous agents development</t>
        </is>
      </c>
      <c r="X198" t="inlineStr">
        <is>
          <t>Amaanuddin_Ahmed_General_Software_Engineering_Resume.pdf</t>
        </is>
      </c>
      <c r="Y198" t="inlineStr">
        <is>
          <t>2026-09-12</t>
        </is>
      </c>
      <c r="Z198" t="inlineStr">
        <is>
          <t>Located in Bangalore; Aligns with backend engineering interest</t>
        </is>
      </c>
      <c r="AA198" t="inlineStr">
        <is>
          <t>eligible</t>
        </is>
      </c>
      <c r="AB198" t="inlineStr">
        <is>
          <t>Location matches Bangalore preference; Matches software engineering and backend domains</t>
        </is>
      </c>
      <c r="AC198" t="inlineStr">
        <is>
          <t>unknown</t>
        </is>
      </c>
      <c r="AD198" t="inlineStr">
        <is>
          <t>Not provided in the job description or candidate profile.</t>
        </is>
      </c>
      <c r="AE198" t="inlineStr">
        <is>
          <t>unknown</t>
        </is>
      </c>
      <c r="AF198" t="n">
        <v>0</v>
      </c>
      <c r="AG198" t="inlineStr">
        <is>
          <t>No</t>
        </is>
      </c>
      <c r="AH198" t="inlineStr">
        <is>
          <t>not_mentioned</t>
        </is>
      </c>
      <c r="AI198" t="inlineStr">
        <is>
          <t>No mention of PPO or conversion in the job description.</t>
        </is>
      </c>
      <c r="AK198" t="inlineStr">
        <is>
          <t>Incomplete job description snippet</t>
        </is>
      </c>
      <c r="AL198" t="inlineStr">
        <is>
          <t>Backend engineering fundamentals; AI systems and autonomous agents; Python or Node.js backend development</t>
        </is>
      </c>
    </row>
    <row r="199">
      <c r="A199" t="inlineStr">
        <is>
          <t>GURURO-260912-198</t>
        </is>
      </c>
      <c r="B199" t="inlineStr">
        <is>
          <t>Gururo</t>
        </is>
      </c>
      <c r="C199" t="inlineStr">
        <is>
          <t>AI/ML Engineer</t>
        </is>
      </c>
      <c r="D199" t="inlineStr">
        <is>
          <t>https://www.adzuna.in/details/5527658896?utm_medium=api&amp;utm_source=5ccdc27f</t>
        </is>
      </c>
      <c r="E199" t="inlineStr">
        <is>
          <t>AI Analyzer</t>
        </is>
      </c>
      <c r="F199" t="inlineStr">
        <is>
          <t>Vadodara, Gujarat</t>
        </is>
      </c>
      <c r="G199" t="inlineStr">
        <is>
          <t>On-site</t>
        </is>
      </c>
      <c r="H199" t="inlineStr">
        <is>
          <t>Based on experience and role</t>
        </is>
      </c>
      <c r="I199" t="inlineStr">
        <is>
          <t>Minimum 3 months</t>
        </is>
      </c>
      <c r="J199" t="inlineStr">
        <is>
          <t>NONE</t>
        </is>
      </c>
      <c r="K199" t="inlineStr">
        <is>
          <t>AI/ML</t>
        </is>
      </c>
      <c r="M199" t="inlineStr">
        <is>
          <t>Location: Vadodara Type: Full-time / Internship Duration (for interns): Minimum 3 months Stipend/CTC: Based on experience and role About Gururo Gururo is an industry leader in practical, career-transforming education. With a mission to empower professionals and students through real-world skills, we specialize in project management, leadership development, and emerging technologies. Join our fast-</t>
        </is>
      </c>
      <c r="N199" t="n">
        <v>43</v>
      </c>
      <c r="O199" t="n">
        <v>40</v>
      </c>
      <c r="P199" t="n">
        <v>70</v>
      </c>
      <c r="Q199" t="n">
        <v>50</v>
      </c>
      <c r="R199" t="n">
        <v>0</v>
      </c>
      <c r="S199" t="n">
        <v>20</v>
      </c>
      <c r="T199" t="n">
        <v>50</v>
      </c>
      <c r="U199" t="inlineStr">
        <is>
          <t>SKIP</t>
        </is>
      </c>
      <c r="V199" t="inlineStr">
        <is>
          <t>SKIP</t>
        </is>
      </c>
      <c r="W199" t="inlineStr">
        <is>
          <t>Dedicated AI/ML engineering framework experience (e.g., PyTorch, TensorFlow)</t>
        </is>
      </c>
      <c r="X199" t="inlineStr">
        <is>
          <t>Amaanuddin_Ahmed_Software_Engineer_Resume.pdf</t>
        </is>
      </c>
      <c r="Y199" t="inlineStr">
        <is>
          <t>2026-09-12</t>
        </is>
      </c>
      <c r="Z199" t="inlineStr">
        <is>
          <t>Open to freshers and interns; Involves working on AI/ML-powered platforms aligning with AI-adjacent software engineering targets</t>
        </is>
      </c>
      <c r="AA199" t="inlineStr">
        <is>
          <t>ELIGIBLE</t>
        </is>
      </c>
      <c r="AB199" t="inlineStr">
        <is>
          <t>Open to freshers and interns; MCA graduate background fits general software engineering criteria</t>
        </is>
      </c>
      <c r="AC199" t="inlineStr">
        <is>
          <t>UNKNOWN</t>
        </is>
      </c>
      <c r="AD199" t="inlineStr">
        <is>
          <t>Candidate availability relative to role start date is not specified.</t>
        </is>
      </c>
      <c r="AE199" t="inlineStr">
        <is>
          <t>UNKNOWN</t>
        </is>
      </c>
      <c r="AF199" t="n">
        <v>0</v>
      </c>
      <c r="AG199" t="inlineStr">
        <is>
          <t>No</t>
        </is>
      </c>
      <c r="AH199" t="inlineStr">
        <is>
          <t>NONE</t>
        </is>
      </c>
      <c r="AI199" t="inlineStr">
        <is>
          <t>No explicit mention of PPO or conversion to full-time.</t>
        </is>
      </c>
      <c r="AK199" t="inlineStr">
        <is>
          <t>Stipend/CTC is unspecified and dependent on experience; Location is Vadodara, Gujarat which requires relocation or local presence</t>
        </is>
      </c>
      <c r="AL199" t="inlineStr">
        <is>
          <t>Python programming fundamentals; Basic machine learning algorithms and concepts; Experience with AI/ML-powered platforms; Project walkthroughs involving Python or data processing</t>
        </is>
      </c>
    </row>
    <row r="200">
      <c r="A200" t="inlineStr">
        <is>
          <t>CORESTRATAI--260912-199</t>
        </is>
      </c>
      <c r="B200" t="inlineStr">
        <is>
          <t>CorestratAI Solutions</t>
        </is>
      </c>
      <c r="C200" t="inlineStr">
        <is>
          <t>AI ML Engineering Intern</t>
        </is>
      </c>
      <c r="D200" t="inlineStr">
        <is>
          <t>https://www.adzuna.in/details/5845820660?utm_medium=api&amp;utm_source=5ccdc27f</t>
        </is>
      </c>
      <c r="E200" t="inlineStr">
        <is>
          <t>AI Analyzer</t>
        </is>
      </c>
      <c r="F200" t="inlineStr">
        <is>
          <t>Chennai, Tamil Nadu</t>
        </is>
      </c>
      <c r="G200" t="inlineStr">
        <is>
          <t>Unknown</t>
        </is>
      </c>
      <c r="H200" t="inlineStr">
        <is>
          <t>Not specified</t>
        </is>
      </c>
      <c r="I200" t="inlineStr">
        <is>
          <t>3-6 months</t>
        </is>
      </c>
      <c r="J200" t="inlineStr">
        <is>
          <t>YES</t>
        </is>
      </c>
      <c r="K200" t="inlineStr">
        <is>
          <t>AI; ML; Generative AI</t>
        </is>
      </c>
      <c r="M200" t="inlineStr">
        <is>
          <t>Company Description CorestratAI Solutions is a technology company focused on delivering innovative AIdriven solutions to businesses across diverse industries The organization pioneers advanced artificial intelligence applications that help clients solve complex problems and unlock new opportunities Location Chennai Tamil Nadu Job Type Internship FullTime Experience Students Education B E B Tech 3r</t>
        </is>
      </c>
      <c r="N200" t="n">
        <v>48</v>
      </c>
      <c r="O200" t="n">
        <v>40</v>
      </c>
      <c r="P200" t="n">
        <v>50</v>
      </c>
      <c r="Q200" t="n">
        <v>50</v>
      </c>
      <c r="R200" t="n">
        <v>90</v>
      </c>
      <c r="S200" t="n">
        <v>0</v>
      </c>
      <c r="T200" t="n">
        <v>60</v>
      </c>
      <c r="U200" t="inlineStr">
        <is>
          <t>SKIP</t>
        </is>
      </c>
      <c r="V200" t="inlineStr">
        <is>
          <t>SKIP</t>
        </is>
      </c>
      <c r="W200" t="inlineStr">
        <is>
          <t>AI/ML Engineering; Generative AI</t>
        </is>
      </c>
      <c r="X200" t="inlineStr">
        <is>
          <t>Amaanuddin_Ahmed_Default_Resume</t>
        </is>
      </c>
      <c r="Y200" t="inlineStr">
        <is>
          <t>2026-09-12</t>
        </is>
      </c>
      <c r="Z200" t="inlineStr">
        <is>
          <t>Explicit conversion pathway to full-time role (Internship to FullTime)</t>
        </is>
      </c>
      <c r="AA200" t="inlineStr">
        <is>
          <t>INELIGIBLE</t>
        </is>
      </c>
      <c r="AB200" t="inlineStr">
        <is>
          <t>Education requirement specifies B.E / B.Tech 3rd or 4th Year, whereas candidate is in MCA program.</t>
        </is>
      </c>
      <c r="AC200" t="inlineStr">
        <is>
          <t>UNKNOWN</t>
        </is>
      </c>
      <c r="AD200" t="inlineStr">
        <is>
          <t>Availability not mentioned in candidate profile.</t>
        </is>
      </c>
      <c r="AE200" t="inlineStr">
        <is>
          <t>UNKNOWN</t>
        </is>
      </c>
      <c r="AF200" t="n">
        <v>0</v>
      </c>
      <c r="AG200" t="inlineStr">
        <is>
          <t>No</t>
        </is>
      </c>
      <c r="AH200" t="inlineStr">
        <is>
          <t>YES</t>
        </is>
      </c>
      <c r="AI200" t="inlineStr">
        <is>
          <t>Internship to FullTime</t>
        </is>
      </c>
      <c r="AJ200" t="inlineStr">
        <is>
          <t>Degree requirement specifies B.E / B.Tech 3rd or 4th Year (Candidate is MCA)</t>
        </is>
      </c>
      <c r="AK200" t="inlineStr">
        <is>
          <t>Stipend not disclosed</t>
        </is>
      </c>
      <c r="AL200" t="inlineStr">
        <is>
          <t>Machine Learning fundamentals; Generative AI applications; Python for AI/ML</t>
        </is>
      </c>
    </row>
    <row r="201">
      <c r="A201" t="inlineStr">
        <is>
          <t>CORESTRATAI--260912-200</t>
        </is>
      </c>
      <c r="B201" t="inlineStr">
        <is>
          <t>CorestratAI Solutions</t>
        </is>
      </c>
      <c r="C201" t="inlineStr">
        <is>
          <t>AI ML Engineering Intern Internship to FullTime</t>
        </is>
      </c>
      <c r="D201" t="inlineStr">
        <is>
          <t>https://www.adzuna.in/details/5854847488?utm_medium=api&amp;utm_source=5ccdc27f</t>
        </is>
      </c>
      <c r="E201" t="inlineStr">
        <is>
          <t>AI Analyzer</t>
        </is>
      </c>
      <c r="F201" t="inlineStr">
        <is>
          <t>Chennai, Tamil Nadu</t>
        </is>
      </c>
      <c r="G201" t="inlineStr">
        <is>
          <t>UNKNOWN</t>
        </is>
      </c>
      <c r="H201" t="inlineStr">
        <is>
          <t>Not specified</t>
        </is>
      </c>
      <c r="I201" t="inlineStr">
        <is>
          <t>3-6 months</t>
        </is>
      </c>
      <c r="J201" t="inlineStr">
        <is>
          <t>Yes</t>
        </is>
      </c>
      <c r="K201" t="inlineStr">
        <is>
          <t>Generative AI; Python</t>
        </is>
      </c>
      <c r="M201" t="inlineStr">
        <is>
          <t>Company Description CorestratAI Solutions is a technology company focused on delivering innovative AIdriven solutions to businesses across diverse industries The organization pioneers advanced artificial intelligence applications that help clients solve complex problems and unlock new opportunitiesLocation Chennai Tamil Nadu Job Type Internship FullTime Experience Students Education B E B Tech 3rd</t>
        </is>
      </c>
      <c r="N201" t="n">
        <v>69</v>
      </c>
      <c r="O201" t="n">
        <v>20</v>
      </c>
      <c r="P201" t="n">
        <v>15</v>
      </c>
      <c r="Q201" t="n">
        <v>12</v>
      </c>
      <c r="R201" t="n">
        <v>15</v>
      </c>
      <c r="S201" t="n">
        <v>0</v>
      </c>
      <c r="T201" t="n">
        <v>7</v>
      </c>
      <c r="U201" t="inlineStr">
        <is>
          <t>STRETCH</t>
        </is>
      </c>
      <c r="V201" t="inlineStr">
        <is>
          <t>STRETCH</t>
        </is>
      </c>
      <c r="W201" t="inlineStr">
        <is>
          <t>Generative AI</t>
        </is>
      </c>
      <c r="X201" t="inlineStr">
        <is>
          <t>Amaanuddin_Ahmed_Software_Engineering_Resume.pdf</t>
        </is>
      </c>
      <c r="Y201" t="inlineStr">
        <is>
          <t>2026-09-12</t>
        </is>
      </c>
      <c r="Z201" t="inlineStr">
        <is>
          <t>Provides a clear conversion path from internship to full-time (PPO); Aligns with AI-adjacent software engineering targets; Candidate possesses foundational Python skills</t>
        </is>
      </c>
      <c r="AA201" t="inlineStr">
        <is>
          <t>Eligible</t>
        </is>
      </c>
      <c r="AC201" t="inlineStr">
        <is>
          <t>UNKNOWN</t>
        </is>
      </c>
      <c r="AD201" t="inlineStr">
        <is>
          <t>Candidate availability details are not provided in the career brain.</t>
        </is>
      </c>
      <c r="AE201" t="inlineStr">
        <is>
          <t>UNKNOWN</t>
        </is>
      </c>
      <c r="AF201" t="n">
        <v>0</v>
      </c>
      <c r="AG201" t="inlineStr">
        <is>
          <t>No</t>
        </is>
      </c>
      <c r="AH201" t="inlineStr">
        <is>
          <t>Yes</t>
        </is>
      </c>
      <c r="AI201" t="inlineStr">
        <is>
          <t>Internship to FullTime</t>
        </is>
      </c>
      <c r="AK201" t="inlineStr">
        <is>
          <t>Stipend is not disclosed; Work mode is not specified</t>
        </is>
      </c>
      <c r="AL201" t="inlineStr">
        <is>
          <t>Python programming and backend fundamentals; Generative AI concepts and LLM integrations; Past project experience and problem-solving</t>
        </is>
      </c>
    </row>
    <row r="202">
      <c r="A202" t="inlineStr">
        <is>
          <t>QRVANTIS-260912-201</t>
        </is>
      </c>
      <c r="B202" t="inlineStr">
        <is>
          <t>Qrvantis</t>
        </is>
      </c>
      <c r="C202" t="inlineStr">
        <is>
          <t>Software Engineering Internship – AI &amp; Quantum Computing</t>
        </is>
      </c>
      <c r="D202" t="inlineStr">
        <is>
          <t>https://www.adzuna.in/details/5781955911?utm_medium=api&amp;utm_source=5ccdc27f</t>
        </is>
      </c>
      <c r="E202" t="inlineStr">
        <is>
          <t>AI Analyzer</t>
        </is>
      </c>
      <c r="F202" t="inlineStr">
        <is>
          <t>Haryana, India</t>
        </is>
      </c>
      <c r="G202" t="inlineStr">
        <is>
          <t>Unknown</t>
        </is>
      </c>
      <c r="H202" t="inlineStr">
        <is>
          <t>Not specified</t>
        </is>
      </c>
      <c r="I202" t="inlineStr">
        <is>
          <t>Unknown</t>
        </is>
      </c>
      <c r="J202" t="inlineStr">
        <is>
          <t>UNKNOWN</t>
        </is>
      </c>
      <c r="K202" t="inlineStr">
        <is>
          <t>Software Engineering; Artificial Intelligence; Quantum Computing; Automation</t>
        </is>
      </c>
      <c r="M202" t="inlineStr">
        <is>
          <t>About QRVANTIS QRVANTIS is developing innovative solutions at the intersection of Artificial Intelligence, Quantum Computing, Automation, and Next-Generation Software Systems. We are seeking highly motivated interns who desire real industry exposure and the opportunity to work on impactful projects from day one. Why Join QRVANTIS? Unlike traditional internships where interns spend months learning</t>
        </is>
      </c>
      <c r="N202" t="n">
        <v>45</v>
      </c>
      <c r="O202" t="n">
        <v>40</v>
      </c>
      <c r="P202" t="n">
        <v>50</v>
      </c>
      <c r="Q202" t="n">
        <v>60</v>
      </c>
      <c r="R202" t="n">
        <v>50</v>
      </c>
      <c r="S202" t="n">
        <v>0</v>
      </c>
      <c r="T202" t="n">
        <v>50</v>
      </c>
      <c r="U202" t="inlineStr">
        <is>
          <t>SKIP</t>
        </is>
      </c>
      <c r="V202" t="inlineStr">
        <is>
          <t>SKIP</t>
        </is>
      </c>
      <c r="W202" t="inlineStr">
        <is>
          <t>Quantum Computing; Artificial Intelligence (advanced research/development)</t>
        </is>
      </c>
      <c r="X202" t="inlineStr">
        <is>
          <t>Default / Full Stack Resume</t>
        </is>
      </c>
      <c r="Y202" t="inlineStr">
        <is>
          <t>2026-09-12</t>
        </is>
      </c>
      <c r="Z202" t="inlineStr">
        <is>
          <t>Provides exposure to next-generation software systems and AI</t>
        </is>
      </c>
      <c r="AA202" t="inlineStr">
        <is>
          <t>ELIGIBLE</t>
        </is>
      </c>
      <c r="AB202" t="inlineStr">
        <is>
          <t>Candidate is an MCA student looking for software engineering internships; No explicit hard degree or experience blockers mentioned in the snippet</t>
        </is>
      </c>
      <c r="AC202" t="inlineStr">
        <is>
          <t>UNKNOWN</t>
        </is>
      </c>
      <c r="AD202" t="inlineStr">
        <is>
          <t>Not specified in the job description</t>
        </is>
      </c>
      <c r="AE202" t="inlineStr">
        <is>
          <t>UNKNOWN</t>
        </is>
      </c>
      <c r="AF202" t="n">
        <v>0</v>
      </c>
      <c r="AG202" t="inlineStr">
        <is>
          <t>No</t>
        </is>
      </c>
      <c r="AH202" t="inlineStr">
        <is>
          <t>UNKNOWN</t>
        </is>
      </c>
      <c r="AI202" t="inlineStr">
        <is>
          <t>Not mentioned in the provided snippet</t>
        </is>
      </c>
      <c r="AK202" t="inlineStr">
        <is>
          <t>Incomplete job description snippet; Stipend not disclosed</t>
        </is>
      </c>
      <c r="AL202" t="inlineStr">
        <is>
          <t>Software engineering fundamentals; Interest in AI and Quantum Computing; Past projects and automation experience</t>
        </is>
      </c>
    </row>
    <row r="203">
      <c r="A203" t="inlineStr">
        <is>
          <t>ECOMINE-260912-202</t>
        </is>
      </c>
      <c r="B203" t="inlineStr">
        <is>
          <t>Ecomine</t>
        </is>
      </c>
      <c r="C203" t="inlineStr">
        <is>
          <t>Internship AI ML Engineer unpaid</t>
        </is>
      </c>
      <c r="D203" t="inlineStr">
        <is>
          <t>https://www.adzuna.in/details/5850339029?utm_medium=api&amp;utm_source=5ccdc27f</t>
        </is>
      </c>
      <c r="E203" t="inlineStr">
        <is>
          <t>AI Analyzer</t>
        </is>
      </c>
      <c r="F203" t="inlineStr">
        <is>
          <t>Mangalore, Dakshin Kannada</t>
        </is>
      </c>
      <c r="G203" t="inlineStr">
        <is>
          <t>Unknown</t>
        </is>
      </c>
      <c r="H203" t="inlineStr">
        <is>
          <t>Unpaid</t>
        </is>
      </c>
      <c r="I203" t="inlineStr">
        <is>
          <t>Unknown</t>
        </is>
      </c>
      <c r="J203" t="inlineStr">
        <is>
          <t>NO</t>
        </is>
      </c>
      <c r="K203" t="inlineStr">
        <is>
          <t>AI; ML</t>
        </is>
      </c>
      <c r="M203" t="inlineStr">
        <is>
          <t>Company Description Ecomine is a DPIITrecognized deeptech startup transforming mineral exploration in India through advanced AI and ML technologies Its flagship platform Spectropy is a proprietary prediction engine that integrates hyperspectral satellite imagery drillcore analysis and multiple geophysical datasets into a unified subsurface intelligence layer Using spectral unmixing geophysical inv</t>
        </is>
      </c>
      <c r="N203" t="n">
        <v>35</v>
      </c>
      <c r="O203" t="n">
        <v>40</v>
      </c>
      <c r="P203" t="n">
        <v>50</v>
      </c>
      <c r="Q203" t="n">
        <v>40</v>
      </c>
      <c r="R203" t="n">
        <v>0</v>
      </c>
      <c r="S203" t="n">
        <v>0</v>
      </c>
      <c r="T203" t="n">
        <v>50</v>
      </c>
      <c r="U203" t="inlineStr">
        <is>
          <t>SKIP</t>
        </is>
      </c>
      <c r="V203" t="inlineStr">
        <is>
          <t>SKIP</t>
        </is>
      </c>
      <c r="W203" t="inlineStr">
        <is>
          <t>AI/ML specialized frameworks; Hyperspectral imagery processing; Geophysical inversion</t>
        </is>
      </c>
      <c r="X203" t="inlineStr">
        <is>
          <t>Default Resume</t>
        </is>
      </c>
      <c r="Y203" t="inlineStr">
        <is>
          <t>2026-09-12</t>
        </is>
      </c>
      <c r="AA203" t="inlineStr">
        <is>
          <t>ELIGIBLE</t>
        </is>
      </c>
      <c r="AC203" t="inlineStr">
        <is>
          <t>UNKNOWN</t>
        </is>
      </c>
      <c r="AD203" t="inlineStr">
        <is>
          <t>Not specified in the job description.</t>
        </is>
      </c>
      <c r="AE203" t="inlineStr">
        <is>
          <t>UNPAID</t>
        </is>
      </c>
      <c r="AF203" t="n">
        <v>0</v>
      </c>
      <c r="AG203" t="inlineStr">
        <is>
          <t>No</t>
        </is>
      </c>
      <c r="AH203" t="inlineStr">
        <is>
          <t>NO</t>
        </is>
      </c>
      <c r="AI203" t="inlineStr">
        <is>
          <t>No PPO or conversion mentioned in the job description.</t>
        </is>
      </c>
      <c r="AK203" t="inlineStr">
        <is>
          <t>Unpaid internship; Below minimum stipend target</t>
        </is>
      </c>
      <c r="AL203" t="inlineStr">
        <is>
          <t>Machine learning fundamentals; Python programming; Deep learning models</t>
        </is>
      </c>
    </row>
    <row r="204">
      <c r="A204" t="inlineStr">
        <is>
          <t>WAY2AGRIBUSI-260912-203</t>
        </is>
      </c>
      <c r="B204" t="inlineStr">
        <is>
          <t>Way2agribusines</t>
        </is>
      </c>
      <c r="C204" t="inlineStr">
        <is>
          <t>Intern Ai Software Engineer</t>
        </is>
      </c>
      <c r="D204" t="inlineStr">
        <is>
          <t>https://www.adzuna.in/details/5827200174?utm_medium=api&amp;utm_source=5ccdc27f</t>
        </is>
      </c>
      <c r="E204" t="inlineStr">
        <is>
          <t>AI Analyzer</t>
        </is>
      </c>
      <c r="F204" t="inlineStr">
        <is>
          <t>Bangalore, Karnataka</t>
        </is>
      </c>
      <c r="G204" t="inlineStr">
        <is>
          <t>On-site</t>
        </is>
      </c>
      <c r="H204" t="inlineStr">
        <is>
          <t>Rs 10000 for the first 3 months to Rs 12000 for the remaining period per month</t>
        </is>
      </c>
      <c r="I204" t="inlineStr">
        <is>
          <t>Not Specified</t>
        </is>
      </c>
      <c r="J204" t="inlineStr">
        <is>
          <t>POSSIBLE</t>
        </is>
      </c>
      <c r="K204" t="inlineStr">
        <is>
          <t>AI ML models building; Next js; Django; Rest API; FastAPI; Mob App Dev; React Native; Flutter; DevOps; SEO Onpage Digital Mktg</t>
        </is>
      </c>
      <c r="M204" t="inlineStr">
        <is>
          <t>Qualification Dip BE B Tech B Sc M Tech M Sc in CS IT IS ECE BCA MCA Required Skills AI ML models building Next js Django Rest API FastAPI Mob App Dev React Native Flutter DevOps SEO Onpage Digital Mktg Salary Rs 10000 for the first 3 months to Rs 12000 for the remaining period per month Scope of Learning and Growth Full stack developer covering advanced AI ML Python Java Script tech stack enhance</t>
        </is>
      </c>
      <c r="N204" t="n">
        <v>46</v>
      </c>
      <c r="O204" t="n">
        <v>40</v>
      </c>
      <c r="P204" t="n">
        <v>60</v>
      </c>
      <c r="Q204" t="n">
        <v>50</v>
      </c>
      <c r="R204" t="n">
        <v>70</v>
      </c>
      <c r="S204" t="n">
        <v>10</v>
      </c>
      <c r="T204" t="n">
        <v>40</v>
      </c>
      <c r="U204" t="inlineStr">
        <is>
          <t>SKIP</t>
        </is>
      </c>
      <c r="V204" t="inlineStr">
        <is>
          <t>SKIP</t>
        </is>
      </c>
      <c r="W204" t="inlineStr">
        <is>
          <t>AI ML models building; Next js; Django; FastAPI; Mob App Dev; React Native; Flutter; SEO Onpage Digital Mktg</t>
        </is>
      </c>
      <c r="X204" t="inlineStr">
        <is>
          <t>Amaanuddin_Ahmed_Software_Engineer_Resume.pdf</t>
        </is>
      </c>
      <c r="Y204" t="inlineStr">
        <is>
          <t>2026-09-12</t>
        </is>
      </c>
      <c r="Z204" t="inlineStr">
        <is>
          <t>Assures a job after internship based on performance, aligning with PPO priority; Located in Bangalore</t>
        </is>
      </c>
      <c r="AA204" t="inlineStr">
        <is>
          <t>ELIGIBLE</t>
        </is>
      </c>
      <c r="AB204" t="inlineStr">
        <is>
          <t>Candidate is pursuing MCA which matches the required qualification list (Dip, BE, B Tech, B Sc, M Tech, M Sc in CS, IT, IS, ECE, BCA, MCA)</t>
        </is>
      </c>
      <c r="AC204" t="inlineStr">
        <is>
          <t>UNKNOWN</t>
        </is>
      </c>
      <c r="AD204" t="inlineStr">
        <is>
          <t>Availability not specified in career brain</t>
        </is>
      </c>
      <c r="AE204" t="inlineStr">
        <is>
          <t>KNOWN</t>
        </is>
      </c>
      <c r="AF204" t="n">
        <v>10000</v>
      </c>
      <c r="AG204" t="inlineStr">
        <is>
          <t>No</t>
        </is>
      </c>
      <c r="AH204" t="inlineStr">
        <is>
          <t>POSSIBLE</t>
        </is>
      </c>
      <c r="AI204" t="inlineStr">
        <is>
          <t>Assured job after internship based on the performance</t>
        </is>
      </c>
      <c r="AK204" t="inlineStr">
        <is>
          <t>Stipend is significantly below the minimum target of ₹25,000/month; Broad and unrelated requirement mix including SEO/Digital Marketing alongside AI/ML and Mobile App Development</t>
        </is>
      </c>
      <c r="AL204" t="inlineStr">
        <is>
          <t>Python frameworks like Django and FastAPI; AI/ML model building experience; Mobile app development using React Native or Flutter; DevOps and Rest API implementation</t>
        </is>
      </c>
    </row>
    <row r="205">
      <c r="A205" t="inlineStr">
        <is>
          <t>LACIE-SEAGAT-260912-204</t>
        </is>
      </c>
      <c r="B205" t="inlineStr">
        <is>
          <t>LaCie Seagate</t>
        </is>
      </c>
      <c r="C205" t="inlineStr">
        <is>
          <t>Software Engineering Intern Factory AI and Automation</t>
        </is>
      </c>
      <c r="D205" t="inlineStr">
        <is>
          <t>https://www.adzuna.in/details/5845820755?utm_medium=api&amp;utm_source=5ccdc27f</t>
        </is>
      </c>
      <c r="E205" t="inlineStr">
        <is>
          <t>AI Analyzer</t>
        </is>
      </c>
      <c r="F205" t="inlineStr">
        <is>
          <t>India</t>
        </is>
      </c>
      <c r="G205" t="inlineStr">
        <is>
          <t>Unknown</t>
        </is>
      </c>
      <c r="H205" t="inlineStr">
        <is>
          <t>Not specified</t>
        </is>
      </c>
      <c r="I205" t="inlineStr">
        <is>
          <t>Unknown</t>
        </is>
      </c>
      <c r="J205" t="inlineStr">
        <is>
          <t>Not Mentioned</t>
        </is>
      </c>
      <c r="K205" t="inlineStr">
        <is>
          <t>Software Development; AI; GenAI; Analytics; Automation</t>
        </is>
      </c>
      <c r="L205" t="inlineStr">
        <is>
          <t>Computer Vision; Data Solutions</t>
        </is>
      </c>
      <c r="M205" t="inlineStr">
        <is>
          <t>About our group Our GFIT Software Development team in Wuxi supports Seagates factory digital transformation by delivering MESrelated applications manufacturing software data solutions and automation capabilities for real production operations We focus on applying AI GenAI analytics computer vision and workflow automation to improve factory efficiency process visibility troubleshooting and smart ma</t>
        </is>
      </c>
      <c r="N205" t="n">
        <v>53</v>
      </c>
      <c r="O205" t="n">
        <v>50</v>
      </c>
      <c r="P205" t="n">
        <v>70</v>
      </c>
      <c r="Q205" t="n">
        <v>75</v>
      </c>
      <c r="R205" t="n">
        <v>30</v>
      </c>
      <c r="S205" t="n">
        <v>0</v>
      </c>
      <c r="T205" t="n">
        <v>60</v>
      </c>
      <c r="U205" t="inlineStr">
        <is>
          <t>SKIP</t>
        </is>
      </c>
      <c r="V205" t="inlineStr">
        <is>
          <t>SKIP</t>
        </is>
      </c>
      <c r="W205" t="inlineStr">
        <is>
          <t>GenAI; Computer Vision; Factory Automation Systems</t>
        </is>
      </c>
      <c r="X205" t="inlineStr">
        <is>
          <t>Amaanuddin_Ahmed_Software_Engineer_Resume.pdf</t>
        </is>
      </c>
      <c r="Y205" t="inlineStr">
        <is>
          <t>2026-09-12</t>
        </is>
      </c>
      <c r="Z205" t="inlineStr">
        <is>
          <t>Aligns with AI-adjacent software engineering target roles.; Opportunity to work with factory digital transformation and AI.</t>
        </is>
      </c>
      <c r="AA205" t="inlineStr">
        <is>
          <t>Eligible</t>
        </is>
      </c>
      <c r="AB205" t="inlineStr">
        <is>
          <t>Candidate is pursuing an MCA and fits software engineering intern profiles.</t>
        </is>
      </c>
      <c r="AC205" t="inlineStr">
        <is>
          <t>Unknown</t>
        </is>
      </c>
      <c r="AD205" t="inlineStr">
        <is>
          <t>Availability not specified in career brain.</t>
        </is>
      </c>
      <c r="AE205" t="inlineStr">
        <is>
          <t>UNKNOWN</t>
        </is>
      </c>
      <c r="AF205" t="n">
        <v>0</v>
      </c>
      <c r="AG205" t="inlineStr">
        <is>
          <t>No</t>
        </is>
      </c>
      <c r="AH205" t="inlineStr">
        <is>
          <t>Not Mentioned</t>
        </is>
      </c>
      <c r="AI205" t="inlineStr">
        <is>
          <t>Job description does not explicitly mention PPO or conversion.</t>
        </is>
      </c>
      <c r="AK205" t="inlineStr">
        <is>
          <t>Stipend information not provided; PPO information not provided</t>
        </is>
      </c>
      <c r="AL205" t="inlineStr">
        <is>
          <t>AI and GenAI applications in manufacturing; Python and software development basics; Data solutions and workflow automation</t>
        </is>
      </c>
    </row>
    <row r="206">
      <c r="A206" t="inlineStr">
        <is>
          <t>P&amp;G-260912-205</t>
        </is>
      </c>
      <c r="B206" t="inlineStr">
        <is>
          <t>P&amp;G</t>
        </is>
      </c>
      <c r="C206" t="inlineStr">
        <is>
          <t>Information Technology Intern</t>
        </is>
      </c>
      <c r="D206" t="inlineStr">
        <is>
          <t>https://www.adzuna.in/details/5867250837?utm_medium=api&amp;utm_source=5ccdc27f</t>
        </is>
      </c>
      <c r="E206" t="inlineStr">
        <is>
          <t>AI Analyzer</t>
        </is>
      </c>
      <c r="F206" t="inlineStr">
        <is>
          <t>Mumbai, India</t>
        </is>
      </c>
      <c r="G206" t="inlineStr">
        <is>
          <t>On-site</t>
        </is>
      </c>
      <c r="H206" t="inlineStr">
        <is>
          <t>Not specified</t>
        </is>
      </c>
      <c r="I206" t="inlineStr">
        <is>
          <t>6 months</t>
        </is>
      </c>
      <c r="J206" t="inlineStr">
        <is>
          <t>UNKNOWN</t>
        </is>
      </c>
      <c r="K206" t="inlineStr">
        <is>
          <t>Software Engineering; Information Technology</t>
        </is>
      </c>
      <c r="L206" t="inlineStr">
        <is>
          <t>Problem Solving; Data Analysis; Collaboration</t>
        </is>
      </c>
      <c r="M206" t="inlineStr">
        <is>
          <t>Job Location MUMBAI GENERAL OFFICE Job Description This is a 6-month internship program. During this period, you may be aligned to one of the roles outlined below, based on business requirements, your skills, and overall fit. We encourage you to go through each role to understand the scope of work and expectations. Information Technology Intern (Software Engineering) Overview At Procter &amp; Gamble,</t>
        </is>
      </c>
      <c r="N206" t="n">
        <v>73</v>
      </c>
      <c r="O206" t="n">
        <v>24</v>
      </c>
      <c r="P206" t="n">
        <v>16</v>
      </c>
      <c r="Q206" t="n">
        <v>12</v>
      </c>
      <c r="R206" t="n">
        <v>8</v>
      </c>
      <c r="S206" t="n">
        <v>5</v>
      </c>
      <c r="T206" t="n">
        <v>8</v>
      </c>
      <c r="U206" t="inlineStr">
        <is>
          <t>CONSIDER</t>
        </is>
      </c>
      <c r="V206" t="inlineStr">
        <is>
          <t>CONSIDER</t>
        </is>
      </c>
      <c r="X206" t="inlineStr">
        <is>
          <t>Amaanuddin_Ahmed_Software_Engineering_Resume.pdf</t>
        </is>
      </c>
      <c r="Y206" t="inlineStr">
        <is>
          <t>2026-09-12</t>
        </is>
      </c>
      <c r="Z206" t="inlineStr">
        <is>
          <t>Reputed multinational company (P&amp;G) offering a software engineering internship role.; Matches target role profile for Software Engineering.</t>
        </is>
      </c>
      <c r="AA206" t="inlineStr">
        <is>
          <t>ELIGIBLE</t>
        </is>
      </c>
      <c r="AB206" t="inlineStr">
        <is>
          <t>Open to MCA students for a Software Engineering internship program.</t>
        </is>
      </c>
      <c r="AC206" t="inlineStr">
        <is>
          <t>UNKNOWN</t>
        </is>
      </c>
      <c r="AD206" t="inlineStr">
        <is>
          <t>Availability timeline not specified in candidate profile.</t>
        </is>
      </c>
      <c r="AE206" t="inlineStr">
        <is>
          <t>UNKNOWN</t>
        </is>
      </c>
      <c r="AF206" t="n">
        <v>0</v>
      </c>
      <c r="AG206" t="inlineStr">
        <is>
          <t>No</t>
        </is>
      </c>
      <c r="AH206" t="inlineStr">
        <is>
          <t>UNKNOWN</t>
        </is>
      </c>
      <c r="AI206" t="inlineStr">
        <is>
          <t>Internship program details do not explicitly mention PPO conversion guarantees.</t>
        </is>
      </c>
      <c r="AK206" t="inlineStr">
        <is>
          <t>Stipend amount not disclosed</t>
        </is>
      </c>
      <c r="AL206" t="inlineStr">
        <is>
          <t>Software Engineering fundamentals; Problem solving and analytical skills; Past project architecture and delivery</t>
        </is>
      </c>
    </row>
    <row r="207">
      <c r="A207" t="inlineStr">
        <is>
          <t>SKILLSCAPITA-260912-206</t>
        </is>
      </c>
      <c r="B207" t="inlineStr">
        <is>
          <t>SkillsCapital</t>
        </is>
      </c>
      <c r="C207" t="inlineStr">
        <is>
          <t>Software Engineer Intern AI ML and Agentic AI AI Powered Global Talent</t>
        </is>
      </c>
      <c r="D207" t="inlineStr">
        <is>
          <t>https://www.adzuna.in/details/5845820642?utm_medium=api&amp;utm_source=5ccdc27f</t>
        </is>
      </c>
      <c r="E207" t="inlineStr">
        <is>
          <t>AI Analyzer</t>
        </is>
      </c>
      <c r="F207" t="inlineStr">
        <is>
          <t>India</t>
        </is>
      </c>
      <c r="G207" t="inlineStr">
        <is>
          <t>UNKNOWN</t>
        </is>
      </c>
      <c r="H207" t="inlineStr">
        <is>
          <t>Not specified</t>
        </is>
      </c>
      <c r="I207" t="inlineStr">
        <is>
          <t>UNKNOWN</t>
        </is>
      </c>
      <c r="J207" t="inlineStr">
        <is>
          <t>UNKNOWN</t>
        </is>
      </c>
      <c r="K207" t="inlineStr">
        <is>
          <t>AI; LLMs; Intelligent Systems</t>
        </is>
      </c>
      <c r="L207" t="inlineStr">
        <is>
          <t>Enterprise AI Systems</t>
        </is>
      </c>
      <c r="M207" t="inlineStr">
        <is>
          <t>Are you passionate about AI LLMs and intelligent systems Do you want to work on productiongrade AI products instead of classroom projects and toy models Do you want to Build Enterprise AI Systems That Power the Future of Global Hiring At SkillsCapital youll build AI that is used by real customers across the U S U K Europe and the Middle Easthelping companies identify evaluate and hire the worlds b</t>
        </is>
      </c>
      <c r="N207" t="n">
        <v>42</v>
      </c>
      <c r="O207" t="n">
        <v>40</v>
      </c>
      <c r="P207" t="n">
        <v>60</v>
      </c>
      <c r="Q207" t="n">
        <v>50</v>
      </c>
      <c r="R207" t="n">
        <v>0</v>
      </c>
      <c r="S207" t="n">
        <v>0</v>
      </c>
      <c r="T207" t="n">
        <v>60</v>
      </c>
      <c r="U207" t="inlineStr">
        <is>
          <t>SKIP</t>
        </is>
      </c>
      <c r="V207" t="inlineStr">
        <is>
          <t>SKIP</t>
        </is>
      </c>
      <c r="W207" t="inlineStr">
        <is>
          <t>AI; LLMs; Agentic AI</t>
        </is>
      </c>
      <c r="X207" t="inlineStr">
        <is>
          <t>Amaanuddin_Ahmed_Software_Engineer_Resume.pdf</t>
        </is>
      </c>
      <c r="Y207" t="inlineStr">
        <is>
          <t>2026-09-12</t>
        </is>
      </c>
      <c r="Z207" t="inlineStr">
        <is>
          <t>Opportunity to build production-grade AI products for global hiring.</t>
        </is>
      </c>
      <c r="AA207" t="inlineStr">
        <is>
          <t>ELIGIBLE</t>
        </is>
      </c>
      <c r="AB207" t="inlineStr">
        <is>
          <t>No explicit graduation year, degree, or strict hard experience blockers mentioned in the snippet.</t>
        </is>
      </c>
      <c r="AC207" t="inlineStr">
        <is>
          <t>UNKNOWN</t>
        </is>
      </c>
      <c r="AD207" t="inlineStr">
        <is>
          <t>Availability not specified in career brain or job description.</t>
        </is>
      </c>
      <c r="AE207" t="inlineStr">
        <is>
          <t>UNKNOWN</t>
        </is>
      </c>
      <c r="AF207" t="n">
        <v>0</v>
      </c>
      <c r="AG207" t="inlineStr">
        <is>
          <t>No</t>
        </is>
      </c>
      <c r="AH207" t="inlineStr">
        <is>
          <t>UNKNOWN</t>
        </is>
      </c>
      <c r="AI207" t="inlineStr">
        <is>
          <t>No explicit PPO or conversion mention found in the truncated description.</t>
        </is>
      </c>
      <c r="AK207" t="inlineStr">
        <is>
          <t>Truncated job description lacks clear salary, duration, and specific technical requirements.</t>
        </is>
      </c>
      <c r="AL207" t="inlineStr">
        <is>
          <t>LLM application development; RAG systems; Agentic workflows</t>
        </is>
      </c>
    </row>
    <row r="208">
      <c r="A208" t="inlineStr">
        <is>
          <t>PROCTER-&amp;-GA-260912-207</t>
        </is>
      </c>
      <c r="B208" t="inlineStr">
        <is>
          <t>Procter &amp; Gamble</t>
        </is>
      </c>
      <c r="C208" t="inlineStr">
        <is>
          <t>Information Technology Intern</t>
        </is>
      </c>
      <c r="D208" t="inlineStr">
        <is>
          <t>https://www.adzuna.in/details/5870122525?utm_medium=api&amp;utm_source=5ccdc27f</t>
        </is>
      </c>
      <c r="E208" t="inlineStr">
        <is>
          <t>AI Analyzer</t>
        </is>
      </c>
      <c r="F208" t="inlineStr">
        <is>
          <t>Mumbai, Maharashtra</t>
        </is>
      </c>
      <c r="G208" t="inlineStr">
        <is>
          <t>On-site</t>
        </is>
      </c>
      <c r="H208" t="inlineStr">
        <is>
          <t>Not specified</t>
        </is>
      </c>
      <c r="I208" t="inlineStr">
        <is>
          <t>6 months</t>
        </is>
      </c>
      <c r="J208" t="inlineStr">
        <is>
          <t>UNKNOWN</t>
        </is>
      </c>
      <c r="K208" t="inlineStr">
        <is>
          <t>Software Engineering; Information Technology</t>
        </is>
      </c>
      <c r="M208" t="inlineStr">
        <is>
          <t>MUMBAI GENERAL OFFICE Full time R000158265 Job Location MUMBAI GENERAL OFFICE Job Description This is a 6-month internship program. During this period, you may be aligned to one of the roles outlined below, based on business requirements, your skills, and overall fit. We encourage you to go through each role to understand the scope of work and expectations. Information Technology Intern (Software</t>
        </is>
      </c>
      <c r="N208" t="n">
        <v>60</v>
      </c>
      <c r="O208" t="n">
        <v>20</v>
      </c>
      <c r="P208" t="n">
        <v>15</v>
      </c>
      <c r="Q208" t="n">
        <v>12</v>
      </c>
      <c r="R208" t="n">
        <v>5</v>
      </c>
      <c r="S208" t="n">
        <v>0</v>
      </c>
      <c r="T208" t="n">
        <v>8</v>
      </c>
      <c r="U208" t="inlineStr">
        <is>
          <t>STRETCH</t>
        </is>
      </c>
      <c r="V208" t="inlineStr">
        <is>
          <t>STRETCH</t>
        </is>
      </c>
      <c r="X208" t="inlineStr">
        <is>
          <t>Standard Software Engineering Resume</t>
        </is>
      </c>
      <c r="Y208" t="inlineStr">
        <is>
          <t>2026-09-12</t>
        </is>
      </c>
      <c r="Z208" t="inlineStr">
        <is>
          <t>P&amp;G is a top-tier global enterprise offering strong brand value on the resume</t>
        </is>
      </c>
      <c r="AA208" t="inlineStr">
        <is>
          <t>ELIGIBLE</t>
        </is>
      </c>
      <c r="AB208" t="inlineStr">
        <is>
          <t>Candidate is pursuing an MCA and fits standard corporate internship profiles; No explicit hard blockers mentioned in the limited JD snippet</t>
        </is>
      </c>
      <c r="AC208" t="inlineStr">
        <is>
          <t>UNKNOWN</t>
        </is>
      </c>
      <c r="AD208" t="inlineStr">
        <is>
          <t>Availability timeline not specified in candidate profile</t>
        </is>
      </c>
      <c r="AE208" t="inlineStr">
        <is>
          <t>UNKNOWN</t>
        </is>
      </c>
      <c r="AF208" t="n">
        <v>0</v>
      </c>
      <c r="AG208" t="inlineStr">
        <is>
          <t>No</t>
        </is>
      </c>
      <c r="AH208" t="inlineStr">
        <is>
          <t>UNKNOWN</t>
        </is>
      </c>
      <c r="AI208" t="inlineStr">
        <is>
          <t>Not explicitly mentioned in the provided text snippet</t>
        </is>
      </c>
      <c r="AK208" t="inlineStr">
        <is>
          <t>Stipend details not disclosed; Incomplete job description snippet</t>
        </is>
      </c>
      <c r="AL208" t="inlineStr">
        <is>
          <t>Software Engineering fundamentals; Problem solving and DSA; Past project architecture</t>
        </is>
      </c>
    </row>
    <row r="209">
      <c r="A209" t="inlineStr">
        <is>
          <t>SPRINGER-CAP-260912-208</t>
        </is>
      </c>
      <c r="B209" t="inlineStr">
        <is>
          <t>Springer Capital</t>
        </is>
      </c>
      <c r="C209" t="inlineStr">
        <is>
          <t>Tech Intern – Frontend / Backend / DevOps / AI / Data Engineering</t>
        </is>
      </c>
      <c r="D209" t="inlineStr">
        <is>
          <t>https://www.adzuna.in/details/5721341414?utm_medium=api&amp;utm_source=5ccdc27f</t>
        </is>
      </c>
      <c r="E209" t="inlineStr">
        <is>
          <t>AI Analyzer</t>
        </is>
      </c>
      <c r="F209" t="inlineStr">
        <is>
          <t>India</t>
        </is>
      </c>
      <c r="G209" t="inlineStr">
        <is>
          <t>Unknown</t>
        </is>
      </c>
      <c r="H209" t="inlineStr">
        <is>
          <t>Not specified</t>
        </is>
      </c>
      <c r="I209" t="inlineStr">
        <is>
          <t>Unknown</t>
        </is>
      </c>
      <c r="J209" t="inlineStr">
        <is>
          <t>UNKNOWN</t>
        </is>
      </c>
      <c r="K209" t="inlineStr">
        <is>
          <t>Frontend Development; Backend Development; DevOps; AI/ML; Data Engineering</t>
        </is>
      </c>
      <c r="L209" t="inlineStr">
        <is>
          <t>React.js; Node.js; Python; Git/GitHub; REST APIs</t>
        </is>
      </c>
      <c r="M209" t="inlineStr">
        <is>
          <t>Role Overview We are looking for passionate and driven interns across multiple technology domains including Frontend Development, Backend Development, DevOps, AI/ML, and Data Engineering. This internship offers hands-on experience in real-world projects, collaboration with cross-functional teams, and exposure to modern tools and technologies. Domains &amp; Responsibilities Frontend Development Build r</t>
        </is>
      </c>
      <c r="N209" t="n">
        <v>73</v>
      </c>
      <c r="O209" t="n">
        <v>80</v>
      </c>
      <c r="P209" t="n">
        <v>80</v>
      </c>
      <c r="Q209" t="n">
        <v>85</v>
      </c>
      <c r="R209" t="n">
        <v>50</v>
      </c>
      <c r="S209" t="n">
        <v>50</v>
      </c>
      <c r="T209" t="n">
        <v>70</v>
      </c>
      <c r="U209" t="inlineStr">
        <is>
          <t>CONSIDER</t>
        </is>
      </c>
      <c r="V209" t="inlineStr">
        <is>
          <t>CONSIDER</t>
        </is>
      </c>
      <c r="X209" t="inlineStr">
        <is>
          <t>Amaanuddin_Ahmed_Fullstack_Resume.pdf</t>
        </is>
      </c>
      <c r="Y209" t="inlineStr">
        <is>
          <t>2026-09-12</t>
        </is>
      </c>
      <c r="Z209" t="inlineStr">
        <is>
          <t>Broad domain exposure including Frontend, Backend, and DevOps matching candidate targets.; Good alignment with MERN stack and general software engineering skills.</t>
        </is>
      </c>
      <c r="AA209" t="inlineStr">
        <is>
          <t>ELIGIBLE</t>
        </is>
      </c>
      <c r="AB209" t="inlineStr">
        <is>
          <t>Open to tech interns with diverse domains matching candidate skills.</t>
        </is>
      </c>
      <c r="AC209" t="inlineStr">
        <is>
          <t>UNKNOWN</t>
        </is>
      </c>
      <c r="AD209" t="inlineStr">
        <is>
          <t>Candidate availability details are not specified.</t>
        </is>
      </c>
      <c r="AE209" t="inlineStr">
        <is>
          <t>UNKNOWN</t>
        </is>
      </c>
      <c r="AF209" t="n">
        <v>0</v>
      </c>
      <c r="AG209" t="inlineStr">
        <is>
          <t>No</t>
        </is>
      </c>
      <c r="AH209" t="inlineStr">
        <is>
          <t>UNKNOWN</t>
        </is>
      </c>
      <c r="AI209" t="inlineStr">
        <is>
          <t>No explicit mention of PPO or conversion in the provided JD text.</t>
        </is>
      </c>
      <c r="AK209" t="inlineStr">
        <is>
          <t>Unspecified stipend amount; Incomplete JD text</t>
        </is>
      </c>
      <c r="AL209" t="inlineStr">
        <is>
          <t>Frontend and Backend architectural design; REST API development; Basic DevOps and CI/CD pipelines; Problem-solving and debugging skills</t>
        </is>
      </c>
    </row>
    <row r="210">
      <c r="A210" t="inlineStr">
        <is>
          <t>AAIZEL-INTER-260912-209</t>
        </is>
      </c>
      <c r="B210" t="inlineStr">
        <is>
          <t>Aaizel International Technologies Pvt Ltd</t>
        </is>
      </c>
      <c r="C210" t="inlineStr">
        <is>
          <t>AI/ML Intern</t>
        </is>
      </c>
      <c r="D210" t="inlineStr">
        <is>
          <t>https://www.adzuna.in/details/5765326942?utm_medium=api&amp;utm_source=5ccdc27f</t>
        </is>
      </c>
      <c r="E210" t="inlineStr">
        <is>
          <t>AI Analyzer</t>
        </is>
      </c>
      <c r="F210" t="inlineStr">
        <is>
          <t>Gurgaon, Haryana, India</t>
        </is>
      </c>
      <c r="G210" t="inlineStr">
        <is>
          <t>unknown</t>
        </is>
      </c>
      <c r="H210" t="inlineStr">
        <is>
          <t>As per industry standards</t>
        </is>
      </c>
      <c r="I210" t="inlineStr">
        <is>
          <t>unknown</t>
        </is>
      </c>
      <c r="J210" t="inlineStr">
        <is>
          <t>not_mentioned</t>
        </is>
      </c>
      <c r="K210" t="inlineStr">
        <is>
          <t>AI/ML</t>
        </is>
      </c>
      <c r="L210" t="inlineStr">
        <is>
          <t>Cybersecurity; Geospatial solutions</t>
        </is>
      </c>
      <c r="M210" t="inlineStr">
        <is>
          <t>Job Description: AI/ML Engineer Location: Gurgaon, Haryana, India Position: AI/ML Engineer -Intern Stipend: As per industry standards About Aaizel Tech Aaizel Tech is a pioneering tech startup at the intersection of cybersecurity, AI, geospatial solutions, and more. We drive innovation by delivering transformative technology solutions across industries. As part of our dynamic team, you'll gain han</t>
        </is>
      </c>
      <c r="N210" t="n">
        <v>41</v>
      </c>
      <c r="O210" t="n">
        <v>40</v>
      </c>
      <c r="P210" t="n">
        <v>50</v>
      </c>
      <c r="Q210" t="n">
        <v>40</v>
      </c>
      <c r="R210" t="n">
        <v>20</v>
      </c>
      <c r="S210" t="n">
        <v>30</v>
      </c>
      <c r="T210" t="n">
        <v>50</v>
      </c>
      <c r="U210" t="inlineStr">
        <is>
          <t>SKIP</t>
        </is>
      </c>
      <c r="V210" t="inlineStr">
        <is>
          <t>SKIP</t>
        </is>
      </c>
      <c r="W210" t="inlineStr">
        <is>
          <t>Core Machine Learning algorithms; Deep Learning frameworks</t>
        </is>
      </c>
      <c r="X210" t="inlineStr">
        <is>
          <t>Amaanuddin_Ahmed_Software_Engineer_Resume.pdf</t>
        </is>
      </c>
      <c r="Y210" t="inlineStr">
        <is>
          <t>2026-09-12</t>
        </is>
      </c>
      <c r="Z210" t="inlineStr">
        <is>
          <t>Startup environment in AI and tech.</t>
        </is>
      </c>
      <c r="AA210" t="inlineStr">
        <is>
          <t>eligible</t>
        </is>
      </c>
      <c r="AB210" t="inlineStr">
        <is>
          <t>No explicit degree or hard blockers mentioned in the short JD snippet.</t>
        </is>
      </c>
      <c r="AC210" t="inlineStr">
        <is>
          <t>unknown</t>
        </is>
      </c>
      <c r="AD210" t="inlineStr">
        <is>
          <t>Candidate availability details are not provided.</t>
        </is>
      </c>
      <c r="AE210" t="inlineStr">
        <is>
          <t>unknown</t>
        </is>
      </c>
      <c r="AF210" t="n">
        <v>0</v>
      </c>
      <c r="AG210" t="inlineStr">
        <is>
          <t>No</t>
        </is>
      </c>
      <c r="AH210" t="inlineStr">
        <is>
          <t>not_mentioned</t>
        </is>
      </c>
      <c r="AI210" t="inlineStr">
        <is>
          <t>No explicit PPO or conversion mention in the JD snippet.</t>
        </is>
      </c>
      <c r="AK210" t="inlineStr">
        <is>
          <t>Incomplete job description; Stipend listed as as per industry standards</t>
        </is>
      </c>
      <c r="AL210" t="inlineStr">
        <is>
          <t>Python fundamentals; Basic machine learning concepts; Previous software projects</t>
        </is>
      </c>
    </row>
    <row r="211">
      <c r="A211" t="inlineStr">
        <is>
          <t>ORBITRONX-260912-210</t>
        </is>
      </c>
      <c r="B211" t="inlineStr">
        <is>
          <t>orbitronx</t>
        </is>
      </c>
      <c r="C211" t="inlineStr">
        <is>
          <t>Software Engineer Intern Full Stack AI Digital Marketing</t>
        </is>
      </c>
      <c r="D211" t="inlineStr">
        <is>
          <t>https://www.adzuna.in/details/5845820657?utm_medium=api&amp;utm_source=5ccdc27f</t>
        </is>
      </c>
      <c r="E211" t="inlineStr">
        <is>
          <t>AI Analyzer</t>
        </is>
      </c>
      <c r="F211" t="inlineStr">
        <is>
          <t>India</t>
        </is>
      </c>
      <c r="G211" t="inlineStr">
        <is>
          <t>Remote / Hybrid</t>
        </is>
      </c>
      <c r="H211" t="inlineStr">
        <is>
          <t>Unpaid</t>
        </is>
      </c>
      <c r="I211" t="inlineStr">
        <is>
          <t>3 Months</t>
        </is>
      </c>
      <c r="J211" t="inlineStr">
        <is>
          <t>POSSIBLE</t>
        </is>
      </c>
      <c r="K211" t="inlineStr">
        <is>
          <t>Full Stack Development; AI Agent Development; Cloud Technologies; Digital Marketing</t>
        </is>
      </c>
      <c r="M211" t="inlineStr">
        <is>
          <t>Software Engineer Intern Full Stack AI Digital Marketing Location Remote Hybrid India Internship Duration 3 Months Unpaid Employment Type Internship PerformanceBased FullTime Opportunity About the Internship We are looking for passionate and selfmotivated Software Engineer Interns who are eager to build realworld products and gain handson industry experience This internship offers exposure to Full</t>
        </is>
      </c>
      <c r="N211" t="n">
        <v>53</v>
      </c>
      <c r="O211" t="n">
        <v>60</v>
      </c>
      <c r="P211" t="n">
        <v>70</v>
      </c>
      <c r="Q211" t="n">
        <v>50</v>
      </c>
      <c r="R211" t="n">
        <v>70</v>
      </c>
      <c r="S211" t="n">
        <v>0</v>
      </c>
      <c r="T211" t="n">
        <v>40</v>
      </c>
      <c r="U211" t="inlineStr">
        <is>
          <t>SKIP</t>
        </is>
      </c>
      <c r="V211" t="inlineStr">
        <is>
          <t>SKIP</t>
        </is>
      </c>
      <c r="W211" t="inlineStr">
        <is>
          <t>AI Agent Development; Digital Marketing</t>
        </is>
      </c>
      <c r="X211" t="inlineStr">
        <is>
          <t>Full Stack Development Resume</t>
        </is>
      </c>
      <c r="Y211" t="inlineStr">
        <is>
          <t>2026-09-12</t>
        </is>
      </c>
      <c r="Z211" t="inlineStr">
        <is>
          <t>Provides potential full-time conversion opportunity based on performance</t>
        </is>
      </c>
      <c r="AA211" t="inlineStr">
        <is>
          <t>ELIGIBLE</t>
        </is>
      </c>
      <c r="AB211" t="inlineStr">
        <is>
          <t>Open to interns; Matches tech stack requirements broadly</t>
        </is>
      </c>
      <c r="AC211" t="inlineStr">
        <is>
          <t>UNKNOWN</t>
        </is>
      </c>
      <c r="AD211" t="inlineStr">
        <is>
          <t>Candidate availability details not specified in context</t>
        </is>
      </c>
      <c r="AE211" t="inlineStr">
        <is>
          <t>UNPAID</t>
        </is>
      </c>
      <c r="AF211" t="n">
        <v>0</v>
      </c>
      <c r="AG211" t="inlineStr">
        <is>
          <t>No</t>
        </is>
      </c>
      <c r="AH211" t="inlineStr">
        <is>
          <t>POSSIBLE</t>
        </is>
      </c>
      <c r="AI211" t="inlineStr">
        <is>
          <t>Performance Based Full-Time Opportunity</t>
        </is>
      </c>
      <c r="AK211" t="inlineStr">
        <is>
          <t>Unpaid internship; Involves non-engineering tasks like Digital Marketing</t>
        </is>
      </c>
      <c r="AL211" t="inlineStr">
        <is>
          <t>Full stack development projects; AI agent concepts; Cloud technologies exposure</t>
        </is>
      </c>
    </row>
    <row r="212">
      <c r="A212" t="inlineStr">
        <is>
          <t>HOME-DEPOT-260912-211</t>
        </is>
      </c>
      <c r="B212" t="inlineStr">
        <is>
          <t>Home Depot</t>
        </is>
      </c>
      <c r="C212" t="inlineStr">
        <is>
          <t>2027 Summer Internship - Software Engineering</t>
        </is>
      </c>
      <c r="D212" t="inlineStr">
        <is>
          <t>https://www.adzuna.com/land/ad/5863937256?se=fPcLNIeu8RGuc42MGaSpcg&amp;utm_medium=api&amp;utm_source=5ccdc27f&amp;v=0A0992D0F0F1A80A6FF601B189F98E6F6C5FEB8F</t>
        </is>
      </c>
      <c r="E212" t="inlineStr">
        <is>
          <t>AI Analyzer</t>
        </is>
      </c>
      <c r="F212" t="inlineStr">
        <is>
          <t>Atlanta, Fulton County</t>
        </is>
      </c>
      <c r="G212" t="inlineStr">
        <is>
          <t>On-site</t>
        </is>
      </c>
      <c r="H212" t="inlineStr">
        <is>
          <t>Not specified</t>
        </is>
      </c>
      <c r="I212" t="inlineStr">
        <is>
          <t>11 weeks (May 17 - July 30, 2027)</t>
        </is>
      </c>
      <c r="J212" t="inlineStr">
        <is>
          <t>NOT_MENTIONED</t>
        </is>
      </c>
      <c r="M212" t="inlineStr">
        <is>
          <t>Internship Overview: The Home Depot's Summer Internship program offers college students an opportunity to develop leadership skills and gain hands on experience in a corporate environment. During an 11-week period from May 17 - July 30, 2027, interns will be assigned to a functional team such as Supply Chain, Marketing, e-commerce, Technology, Finance, Operations, Merchandising, Pro, Home Services</t>
        </is>
      </c>
      <c r="N212" t="n">
        <v>40</v>
      </c>
      <c r="O212" t="n">
        <v>50</v>
      </c>
      <c r="P212" t="n">
        <v>50</v>
      </c>
      <c r="Q212" t="n">
        <v>60</v>
      </c>
      <c r="R212" t="n">
        <v>0</v>
      </c>
      <c r="S212" t="n">
        <v>0</v>
      </c>
      <c r="T212" t="n">
        <v>60</v>
      </c>
      <c r="U212" t="inlineStr">
        <is>
          <t>SKIP</t>
        </is>
      </c>
      <c r="V212" t="inlineStr">
        <is>
          <t>SKIP</t>
        </is>
      </c>
      <c r="X212" t="inlineStr">
        <is>
          <t>Amaanuddin_Ahmed_Software_Engineer_Resume.pdf</t>
        </is>
      </c>
      <c r="Y212" t="inlineStr">
        <is>
          <t>2026-09-12</t>
        </is>
      </c>
      <c r="Z212" t="inlineStr">
        <is>
          <t>Large enterprise corporate internship brand (Home Depot)</t>
        </is>
      </c>
      <c r="AA212" t="inlineStr">
        <is>
          <t>UNKNOWN</t>
        </is>
      </c>
      <c r="AB212" t="inlineStr">
        <is>
          <t>College student status required, but specific eligible graduation years or degree majors (other than general college students) are not fully detailed in the snippet.</t>
        </is>
      </c>
      <c r="AC212" t="inlineStr">
        <is>
          <t>UNKNOWN</t>
        </is>
      </c>
      <c r="AD212" t="inlineStr">
        <is>
          <t>Candidate availability for May-July 2027 corporate internship dates not explicitly specified in the career brain.</t>
        </is>
      </c>
      <c r="AE212" t="inlineStr">
        <is>
          <t>UNKNOWN</t>
        </is>
      </c>
      <c r="AF212" t="n">
        <v>0</v>
      </c>
      <c r="AG212" t="inlineStr">
        <is>
          <t>No</t>
        </is>
      </c>
      <c r="AH212" t="inlineStr">
        <is>
          <t>NOT_MENTIONED</t>
        </is>
      </c>
      <c r="AI212" t="inlineStr">
        <is>
          <t>No explicit mention of PPO or conversion to full-time employment in the snippet.</t>
        </is>
      </c>
      <c r="AK212" t="inlineStr">
        <is>
          <t>Stipend is completely undisclosed; PPO status is not mentioned; Specific technical requirements are missing from the short description snippet</t>
        </is>
      </c>
      <c r="AL212" t="inlineStr">
        <is>
          <t>General Software Engineering fundamentals; Past project experience; Behavioral and leadership potential</t>
        </is>
      </c>
    </row>
    <row r="213">
      <c r="A213" t="inlineStr">
        <is>
          <t>HOME-DEPOT-260912-212</t>
        </is>
      </c>
      <c r="B213" t="inlineStr">
        <is>
          <t>Home Depot</t>
        </is>
      </c>
      <c r="C213" t="inlineStr">
        <is>
          <t>2027 Summer Internship - Software Engineering</t>
        </is>
      </c>
      <c r="D213" t="inlineStr">
        <is>
          <t>https://www.adzuna.com/land/ad/5866299160?se=fPcLNIeu8RGuc42MGaSpcg&amp;utm_medium=api&amp;utm_source=5ccdc27f&amp;v=16A45A7CD7749BE74FCC905A3D117D7482945498</t>
        </is>
      </c>
      <c r="E213" t="inlineStr">
        <is>
          <t>AI Analyzer</t>
        </is>
      </c>
      <c r="F213" t="inlineStr">
        <is>
          <t>Atlanta, Fulton County</t>
        </is>
      </c>
      <c r="G213" t="inlineStr">
        <is>
          <t>UNKNOWN</t>
        </is>
      </c>
      <c r="H213" t="inlineStr">
        <is>
          <t>Not specified</t>
        </is>
      </c>
      <c r="I213" t="inlineStr">
        <is>
          <t>11 weeks (May 17 - July 30, 2027)</t>
        </is>
      </c>
      <c r="J213" t="inlineStr">
        <is>
          <t>UNKNOWN</t>
        </is>
      </c>
      <c r="M213" t="inlineStr">
        <is>
          <t>Internship Overview: The Home Depot's Summer Internship program offers college students an opportunity to develop leadership skills and gain hands on experience in a corporate environment. During an 11 - week period from May 17 - July 30, 2027, interns will be assigned to a functional team such as Supply Chain, Marketing, e-commerce, Technology, Finance, Operations, Merchandising, Pro, Home Servic</t>
        </is>
      </c>
      <c r="N213" t="n">
        <v>44</v>
      </c>
      <c r="O213" t="n">
        <v>50</v>
      </c>
      <c r="P213" t="n">
        <v>60</v>
      </c>
      <c r="Q213" t="n">
        <v>70</v>
      </c>
      <c r="R213" t="n">
        <v>0</v>
      </c>
      <c r="S213" t="n">
        <v>0</v>
      </c>
      <c r="T213" t="n">
        <v>60</v>
      </c>
      <c r="U213" t="inlineStr">
        <is>
          <t>SKIP</t>
        </is>
      </c>
      <c r="V213" t="inlineStr">
        <is>
          <t>SKIP</t>
        </is>
      </c>
      <c r="X213" t="inlineStr">
        <is>
          <t>Amaanuddin_Ahmed_Software_Engineering_Resume.pdf</t>
        </is>
      </c>
      <c r="Y213" t="inlineStr">
        <is>
          <t>2026-09-12</t>
        </is>
      </c>
      <c r="Z213" t="inlineStr">
        <is>
          <t>Good brand name and corporate internship opportunity.</t>
        </is>
      </c>
      <c r="AA213" t="inlineStr">
        <is>
          <t>ELIGIBLE</t>
        </is>
      </c>
      <c r="AB213" t="inlineStr">
        <is>
          <t>Open to college students for the 2027 Summer Internship program.</t>
        </is>
      </c>
      <c r="AC213" t="inlineStr">
        <is>
          <t>UNKNOWN</t>
        </is>
      </c>
      <c r="AD213" t="inlineStr">
        <is>
          <t>Candidate availability for May-July 2027 internship not explicitly stated in brain.</t>
        </is>
      </c>
      <c r="AE213" t="inlineStr">
        <is>
          <t>UNKNOWN</t>
        </is>
      </c>
      <c r="AF213" t="n">
        <v>0</v>
      </c>
      <c r="AG213" t="inlineStr">
        <is>
          <t>No</t>
        </is>
      </c>
      <c r="AH213" t="inlineStr">
        <is>
          <t>UNKNOWN</t>
        </is>
      </c>
      <c r="AI213" t="inlineStr">
        <is>
          <t>Job description does not explicitly mention PPO or conversion opportunities.</t>
        </is>
      </c>
      <c r="AK213" t="inlineStr">
        <is>
          <t>Stipend is not disclosed.; Work mode / location logistics (Relocation to Atlanta) not confirmed.</t>
        </is>
      </c>
      <c r="AL213" t="inlineStr">
        <is>
          <t>General corporate behavioral questions; Basic software engineering concepts; Previous project walkthrough</t>
        </is>
      </c>
    </row>
    <row r="214">
      <c r="A214" t="inlineStr">
        <is>
          <t>SPRINGER-CAP-260912-213</t>
        </is>
      </c>
      <c r="B214" t="inlineStr">
        <is>
          <t>Springer Capital</t>
        </is>
      </c>
      <c r="C214" t="inlineStr">
        <is>
          <t>Backend Developer Internship</t>
        </is>
      </c>
      <c r="D214" t="inlineStr">
        <is>
          <t>https://www.adzuna.com/details/5639252991?utm_medium=api&amp;utm_source=5ccdc27f</t>
        </is>
      </c>
      <c r="E214" t="inlineStr">
        <is>
          <t>AI Analyzer</t>
        </is>
      </c>
      <c r="F214" t="inlineStr">
        <is>
          <t>Chicago, Cook County</t>
        </is>
      </c>
      <c r="G214" t="inlineStr">
        <is>
          <t>Remote</t>
        </is>
      </c>
      <c r="H214" t="inlineStr">
        <is>
          <t>Not specified</t>
        </is>
      </c>
      <c r="I214" t="inlineStr">
        <is>
          <t>3 months</t>
        </is>
      </c>
      <c r="J214" t="inlineStr">
        <is>
          <t>Not Mentioned</t>
        </is>
      </c>
      <c r="K214" t="inlineStr">
        <is>
          <t>Backend development; APIs; SQL/NoSQL databases</t>
        </is>
      </c>
      <c r="M214" t="inlineStr">
        <is>
          <t>About the Role We are looking for enthusiastic Backend Developer Interns to join our team remotely for a 3-month internship . This is an excellent opportunity to gain hands-on experience in backend development, work on real projects, and expand your technical skills. Responsibilities Assist in developing and maintaining backend services and APIs. Work with databases (SQL/NoSQL) for data storage an</t>
        </is>
      </c>
      <c r="N214" t="n">
        <v>64</v>
      </c>
      <c r="O214" t="n">
        <v>27</v>
      </c>
      <c r="P214" t="n">
        <v>18</v>
      </c>
      <c r="Q214" t="n">
        <v>14</v>
      </c>
      <c r="R214" t="n">
        <v>0</v>
      </c>
      <c r="S214" t="n">
        <v>0</v>
      </c>
      <c r="T214" t="n">
        <v>5</v>
      </c>
      <c r="U214" t="inlineStr">
        <is>
          <t>STRETCH</t>
        </is>
      </c>
      <c r="V214" t="inlineStr">
        <is>
          <t>STRETCH</t>
        </is>
      </c>
      <c r="X214" t="inlineStr">
        <is>
          <t>Amaanuddin_Ahmed_Full_Stack_Resume.pdf</t>
        </is>
      </c>
      <c r="Y214" t="inlineStr">
        <is>
          <t>2026-09-12</t>
        </is>
      </c>
      <c r="Z214" t="inlineStr">
        <is>
          <t>Matches backend development and remote work preferences; Requires foundational skills in backend services, APIs, and databases matching candidate experience</t>
        </is>
      </c>
      <c r="AA214" t="inlineStr">
        <is>
          <t>Eligible</t>
        </is>
      </c>
      <c r="AB214" t="inlineStr">
        <is>
          <t>Remote work mode aligns with candidate flexibility; No explicit degree or graduation-year blockers mentioned</t>
        </is>
      </c>
      <c r="AC214" t="inlineStr">
        <is>
          <t>Unknown</t>
        </is>
      </c>
      <c r="AD214" t="inlineStr">
        <is>
          <t>No availability constraints specified in candidate profile</t>
        </is>
      </c>
      <c r="AE214" t="inlineStr">
        <is>
          <t>UNKNOWN</t>
        </is>
      </c>
      <c r="AF214" t="n">
        <v>0</v>
      </c>
      <c r="AG214" t="inlineStr">
        <is>
          <t>No</t>
        </is>
      </c>
      <c r="AH214" t="inlineStr">
        <is>
          <t>Not Mentioned</t>
        </is>
      </c>
      <c r="AI214" t="inlineStr">
        <is>
          <t>No explicit mention of PPO or conversion in the job description</t>
        </is>
      </c>
      <c r="AK214" t="inlineStr">
        <is>
          <t>Stipend information is completely missing</t>
        </is>
      </c>
      <c r="AL214" t="inlineStr">
        <is>
          <t>Backend service development and architecture; REST API design and integration; SQL vs NoSQL database management and data retrieval; Previous projects (StaySphere, Zenvest, Contexa)</t>
        </is>
      </c>
    </row>
    <row r="215">
      <c r="A215" t="inlineStr">
        <is>
          <t>SPRINGER-CAP-260912-214</t>
        </is>
      </c>
      <c r="B215" t="inlineStr">
        <is>
          <t>Springer Capital</t>
        </is>
      </c>
      <c r="C215" t="inlineStr">
        <is>
          <t>Backend Developer Internship</t>
        </is>
      </c>
      <c r="D215" t="inlineStr">
        <is>
          <t>https://www.adzuna.com/details/5639252974?utm_medium=api&amp;utm_source=5ccdc27f</t>
        </is>
      </c>
      <c r="E215" t="inlineStr">
        <is>
          <t>AI Analyzer</t>
        </is>
      </c>
      <c r="F215" t="inlineStr">
        <is>
          <t>Chicago, Cook County</t>
        </is>
      </c>
      <c r="G215" t="inlineStr">
        <is>
          <t>Remote</t>
        </is>
      </c>
      <c r="H215" t="inlineStr">
        <is>
          <t>Unpaid</t>
        </is>
      </c>
      <c r="I215" t="inlineStr">
        <is>
          <t>3 months</t>
        </is>
      </c>
      <c r="J215" t="inlineStr">
        <is>
          <t>NONE</t>
        </is>
      </c>
      <c r="K215" t="inlineStr">
        <is>
          <t>Backend development</t>
        </is>
      </c>
      <c r="M215" t="inlineStr">
        <is>
          <t>About the Role We are looking for enthusiastic Backend Developer Interns to join our team remotely for a 3-month internship . This is an excellent opportunity to gain hands-on experience in backend development, work on real projects, and expand your technical skills. While this is an unpaid internship , interns who successfully complete the program will receive a Completion Certificate and a Lette</t>
        </is>
      </c>
      <c r="N215" t="n">
        <v>38</v>
      </c>
      <c r="O215" t="n">
        <v>50</v>
      </c>
      <c r="P215" t="n">
        <v>50</v>
      </c>
      <c r="Q215" t="n">
        <v>50</v>
      </c>
      <c r="R215" t="n">
        <v>0</v>
      </c>
      <c r="S215" t="n">
        <v>0</v>
      </c>
      <c r="T215" t="n">
        <v>20</v>
      </c>
      <c r="U215" t="inlineStr">
        <is>
          <t>SKIP</t>
        </is>
      </c>
      <c r="V215" t="inlineStr">
        <is>
          <t>SKIP</t>
        </is>
      </c>
      <c r="X215" t="inlineStr">
        <is>
          <t>Amaanuddin_Ahmed_Software_Engineering_Resume.pdf</t>
        </is>
      </c>
      <c r="Y215" t="inlineStr">
        <is>
          <t>2026-09-12</t>
        </is>
      </c>
      <c r="AA215" t="inlineStr">
        <is>
          <t>ELIGIBLE</t>
        </is>
      </c>
      <c r="AB215" t="inlineStr">
        <is>
          <t>Remote work mode aligns with requirements; No specific degree or graduation year hard blockers mentioned</t>
        </is>
      </c>
      <c r="AC215" t="inlineStr">
        <is>
          <t>UNKNOWN</t>
        </is>
      </c>
      <c r="AD215" t="inlineStr">
        <is>
          <t>Availability requirements are not specified in the job description.</t>
        </is>
      </c>
      <c r="AE215" t="inlineStr">
        <is>
          <t>UNPAID</t>
        </is>
      </c>
      <c r="AF215" t="n">
        <v>0</v>
      </c>
      <c r="AG215" t="inlineStr">
        <is>
          <t>No</t>
        </is>
      </c>
      <c r="AH215" t="inlineStr">
        <is>
          <t>NONE</t>
        </is>
      </c>
      <c r="AI215" t="inlineStr">
        <is>
          <t>Completion Certificate and a Letter of Recommendation are offered; no PPO or conversion is mentioned.</t>
        </is>
      </c>
      <c r="AJ215" t="inlineStr">
        <is>
          <t>Stipend is unpaid, failing the minimum stipend target of ₹25,000/month; No PPO offered, which is a high priority for the candidate</t>
        </is>
      </c>
      <c r="AK215" t="inlineStr">
        <is>
          <t>Unpaid internship; No PPO or conversion mention</t>
        </is>
      </c>
      <c r="AL215" t="inlineStr">
        <is>
          <t>Backend development fundamentals; API design; Past projects</t>
        </is>
      </c>
    </row>
    <row r="216">
      <c r="A216" t="inlineStr">
        <is>
          <t>M3USA-260912-215</t>
        </is>
      </c>
      <c r="B216" t="inlineStr">
        <is>
          <t>M3USA</t>
        </is>
      </c>
      <c r="C216" t="inlineStr">
        <is>
          <t>AI Engineering Intern</t>
        </is>
      </c>
      <c r="D216" t="inlineStr">
        <is>
          <t>https://www.adzuna.com/details/5876286450?utm_medium=api&amp;utm_source=5ccdc27f</t>
        </is>
      </c>
      <c r="E216" t="inlineStr">
        <is>
          <t>AI Analyzer</t>
        </is>
      </c>
      <c r="F216" t="inlineStr">
        <is>
          <t>Fort Washington, Montgomery County</t>
        </is>
      </c>
      <c r="G216" t="inlineStr">
        <is>
          <t>Remote</t>
        </is>
      </c>
      <c r="H216" t="inlineStr">
        <is>
          <t>Not specified</t>
        </is>
      </c>
      <c r="I216" t="inlineStr">
        <is>
          <t>UNKNOWN</t>
        </is>
      </c>
      <c r="J216" t="inlineStr">
        <is>
          <t>NOT_MENTIONED</t>
        </is>
      </c>
      <c r="K216" t="inlineStr">
        <is>
          <t>Software Engineering; Product Development; Coding and Maintenance</t>
        </is>
      </c>
      <c r="L216" t="inlineStr">
        <is>
          <t>AI Engineering; User Research; Demoing</t>
        </is>
      </c>
      <c r="M216" t="inlineStr">
        <is>
          <t>Job Description Build and ship Own a project end to end: understand the problem, build a working version, get it in front of users, improve it based on what they say. Write code that other people can read and maintain. AI-generated or not, it carries your name. Demo your work regularly to the product and engineering team, as well as to the business teams who requested it. Work with the businesses</t>
        </is>
      </c>
      <c r="N216" t="n">
        <v>48</v>
      </c>
      <c r="O216" t="n">
        <v>18</v>
      </c>
      <c r="P216" t="n">
        <v>14</v>
      </c>
      <c r="Q216" t="n">
        <v>10</v>
      </c>
      <c r="R216" t="n">
        <v>0</v>
      </c>
      <c r="S216" t="n">
        <v>0</v>
      </c>
      <c r="T216" t="n">
        <v>6</v>
      </c>
      <c r="U216" t="inlineStr">
        <is>
          <t>SKIP</t>
        </is>
      </c>
      <c r="V216" t="inlineStr">
        <is>
          <t>SKIP</t>
        </is>
      </c>
      <c r="W216" t="inlineStr">
        <is>
          <t>Dedicated AI/ML production engineering</t>
        </is>
      </c>
      <c r="X216" t="inlineStr">
        <is>
          <t>Amaan_Ahmed_Software_Engineer_Resume.pdf</t>
        </is>
      </c>
      <c r="Y216" t="inlineStr">
        <is>
          <t>2026-09-12</t>
        </is>
      </c>
      <c r="Z216" t="inlineStr">
        <is>
          <t>Remote work-mode aligns well; Opportunity to own a project end-to-end</t>
        </is>
      </c>
      <c r="AA216" t="inlineStr">
        <is>
          <t>ELIGIBLE</t>
        </is>
      </c>
      <c r="AB216" t="inlineStr">
        <is>
          <t>No explicit degree or graduation-year blockers found in the partial JD</t>
        </is>
      </c>
      <c r="AC216" t="inlineStr">
        <is>
          <t>UNKNOWN</t>
        </is>
      </c>
      <c r="AD216" t="inlineStr">
        <is>
          <t>Availability not specified in the candidate profile or JD</t>
        </is>
      </c>
      <c r="AE216" t="inlineStr">
        <is>
          <t>UNKNOWN</t>
        </is>
      </c>
      <c r="AF216" t="n">
        <v>0</v>
      </c>
      <c r="AG216" t="inlineStr">
        <is>
          <t>No</t>
        </is>
      </c>
      <c r="AH216" t="inlineStr">
        <is>
          <t>NOT_MENTIONED</t>
        </is>
      </c>
      <c r="AI216" t="inlineStr">
        <is>
          <t>No mention of PPO or conversion in the job description</t>
        </is>
      </c>
      <c r="AK216" t="inlineStr">
        <is>
          <t>Stipend is completely unspecified</t>
        </is>
      </c>
      <c r="AL216" t="inlineStr">
        <is>
          <t>End-to-end project ownership; Working with cross-functional business teams; AI tool integration and user feedback loops</t>
        </is>
      </c>
    </row>
    <row r="217">
      <c r="A217" t="inlineStr">
        <is>
          <t>DATADOG-260912-216</t>
        </is>
      </c>
      <c r="B217" t="inlineStr">
        <is>
          <t>Datadog</t>
        </is>
      </c>
      <c r="C217" t="inlineStr">
        <is>
          <t>Software Engineering Intern</t>
        </is>
      </c>
      <c r="D217" t="inlineStr">
        <is>
          <t>https://www.arbeitnow.fr/jobs/companies/datadog/software-engineering-intern-paris-74277</t>
        </is>
      </c>
      <c r="E217" t="inlineStr">
        <is>
          <t>AI Analyzer</t>
        </is>
      </c>
      <c r="F217" t="inlineStr">
        <is>
          <t>Paris</t>
        </is>
      </c>
      <c r="G217" t="inlineStr">
        <is>
          <t>Hybrid</t>
        </is>
      </c>
      <c r="I217" t="inlineStr">
        <is>
          <t>6 months</t>
        </is>
      </c>
      <c r="J217" t="inlineStr">
        <is>
          <t>Not Mentioned</t>
        </is>
      </c>
      <c r="K217" t="inlineStr">
        <is>
          <t>Computer Science fundamentals; Data Structures; Algorithms; Software Design; Programming languages</t>
        </is>
      </c>
      <c r="L217" t="inlineStr">
        <is>
          <t>Kubernetes; Distributed systems; Cloud-native infrastructure; AI-assisted tools</t>
        </is>
      </c>
      <c r="M217" t="inlineStr">
        <is>
          <t>&lt;p&gt;We’re looking for Software Engineering Interns to help build and scale the systems that power Datadog’s observability and security platform. Interns contribute directly to real-world engineering challenges across backend, frontend, infrastructure, data engineering, and developer tooling while working alongside experienced engineers and mentors. You’ll help design, build, and improve systems tha</t>
        </is>
      </c>
      <c r="N217" t="n">
        <v>45</v>
      </c>
      <c r="O217" t="n">
        <v>60</v>
      </c>
      <c r="P217" t="n">
        <v>50</v>
      </c>
      <c r="Q217" t="n">
        <v>65</v>
      </c>
      <c r="R217" t="n">
        <v>0</v>
      </c>
      <c r="S217" t="n">
        <v>0</v>
      </c>
      <c r="T217" t="n">
        <v>80</v>
      </c>
      <c r="U217" t="inlineStr">
        <is>
          <t>SKIP</t>
        </is>
      </c>
      <c r="V217" t="inlineStr">
        <is>
          <t>SKIP</t>
        </is>
      </c>
      <c r="W217" t="inlineStr">
        <is>
          <t>Kubernetes production experience; Distributed systems engineering at scale</t>
        </is>
      </c>
      <c r="X217" t="inlineStr">
        <is>
          <t>Amaanuddin_Ahmed_Software_Engineer_Resume.pdf</t>
        </is>
      </c>
      <c r="Y217" t="inlineStr">
        <is>
          <t>2026-09-12</t>
        </is>
      </c>
      <c r="Z217" t="inlineStr">
        <is>
          <t>Datadog is a top-tier observability and cloud platform company offering world-class engineering challenges.</t>
        </is>
      </c>
      <c r="AA217" t="inlineStr">
        <is>
          <t>No</t>
        </is>
      </c>
      <c r="AB217" t="inlineStr">
        <is>
          <t>Location mismatch: Job is located in Paris, whereas the candidate is based in India.; Graduation year mismatch: Job targets a 2027 full-time start date with a 6-month internship in early 2027, whereas candidate's program timeline may not align with an overseas 6-month internship in Paris without relocation/visa sponsorship clarity.</t>
        </is>
      </c>
      <c r="AC217" t="inlineStr">
        <is>
          <t>UNKNOWN</t>
        </is>
      </c>
      <c r="AD217" t="inlineStr">
        <is>
          <t>Candidate availability for a 6-month relocation internship in Paris starting early 2027 is not specified.</t>
        </is>
      </c>
      <c r="AE217" t="inlineStr">
        <is>
          <t>UNKNOWN</t>
        </is>
      </c>
      <c r="AF217" t="n">
        <v>0</v>
      </c>
      <c r="AG217" t="inlineStr">
        <is>
          <t>No</t>
        </is>
      </c>
      <c r="AH217" t="inlineStr">
        <is>
          <t>Not Mentioned</t>
        </is>
      </c>
      <c r="AI217" t="inlineStr">
        <is>
          <t>The job description mentions a 2027 full-time start date context and graduate hiring pipelines, but does not explicitly guarantee or mention a Pre-Placement Offer (PPO).</t>
        </is>
      </c>
      <c r="AJ217" t="inlineStr">
        <is>
          <t>Location is Paris, France (candidate is in India); Specific 6-month internship timeline starting early 2027 requiring local presence/authorization</t>
        </is>
      </c>
      <c r="AK217" t="inlineStr">
        <is>
          <t>Unknown stipend details; Relocation and international student eligibility not explicitly guaranteed for non-local applicants</t>
        </is>
      </c>
      <c r="AL217" t="inlineStr">
        <is>
          <t>Data structures and algorithms; Distributed systems concepts; Cloud-native architecture and Kubernetes basics; Problem-solving and backend scaling</t>
        </is>
      </c>
    </row>
    <row r="218">
      <c r="A218" t="inlineStr">
        <is>
          <t>TIKTOK-260912-217</t>
        </is>
      </c>
      <c r="B218" t="inlineStr">
        <is>
          <t>TikTok</t>
        </is>
      </c>
      <c r="C218" t="inlineStr">
        <is>
          <t>Machine Learning Ops Engineer Intern (Ads Infra) - 2027 Start</t>
        </is>
      </c>
      <c r="D218" t="inlineStr">
        <is>
          <t>https://www.themuse.com/jobs/tiktok/machine-learning-ops-engineer-intern-ads-infra-2027-start</t>
        </is>
      </c>
      <c r="E218" t="inlineStr">
        <is>
          <t>AI Analyzer</t>
        </is>
      </c>
      <c r="F218" t="inlineStr">
        <is>
          <t>Singapore</t>
        </is>
      </c>
      <c r="G218" t="inlineStr">
        <is>
          <t>unknown</t>
        </is>
      </c>
      <c r="H218" t="inlineStr">
        <is>
          <t>Not specified</t>
        </is>
      </c>
      <c r="I218" t="inlineStr">
        <is>
          <t>unknown</t>
        </is>
      </c>
      <c r="J218" t="inlineStr">
        <is>
          <t>no</t>
        </is>
      </c>
      <c r="K218" t="inlineStr">
        <is>
          <t>Linux; Networking; Storage; Python; Go; C; C++; Java; Production Operations</t>
        </is>
      </c>
      <c r="L218" t="inlineStr">
        <is>
          <t>SRE internship of machine learning systems; SRE internship of ads/recommendation/search systems</t>
        </is>
      </c>
      <c r="M218" t="inlineStr">
        <is>
          <t>Responsibilities Team Introduction MLOps - Global SRE team is responsible for the reliability of the machine learning infrastructure powering ByteDance's global advertising systems. We ensure the stability, scalability, and operational efficiency of the entire machine learning lifecycle, including data pipelines, model development, training, deployment, inference, monitoring, and continuous optimi</t>
        </is>
      </c>
      <c r="N218" t="n">
        <v>38</v>
      </c>
      <c r="O218" t="n">
        <v>40</v>
      </c>
      <c r="P218" t="n">
        <v>30</v>
      </c>
      <c r="Q218" t="n">
        <v>30</v>
      </c>
      <c r="R218" t="n">
        <v>0</v>
      </c>
      <c r="S218" t="n">
        <v>0</v>
      </c>
      <c r="T218" t="n">
        <v>80</v>
      </c>
      <c r="U218" t="inlineStr">
        <is>
          <t>SKIP</t>
        </is>
      </c>
      <c r="V218" t="inlineStr">
        <is>
          <t>SKIP</t>
        </is>
      </c>
      <c r="W218" t="inlineStr">
        <is>
          <t>Linux system administration at scale; Networking and storage engineering; Go / C / C++; Machine Learning SRE / MLOps production systems</t>
        </is>
      </c>
      <c r="X218" t="inlineStr">
        <is>
          <t>Amaanuddin_Ahmed_Backend_Dev_Resume.pdf</t>
        </is>
      </c>
      <c r="Y218" t="inlineStr">
        <is>
          <t>2026-09-12</t>
        </is>
      </c>
      <c r="Z218" t="inlineStr">
        <is>
          <t>High brand value and technical scale at TikTok/ByteDance.</t>
        </is>
      </c>
      <c r="AA218" t="inlineStr">
        <is>
          <t>ineligible</t>
        </is>
      </c>
      <c r="AB218" t="inlineStr">
        <is>
          <t>Job location is Singapore, which is outside the target location.; Requires Undergraduate/ Master's in CS/Software Engineering, while candidate is in MCA.</t>
        </is>
      </c>
      <c r="AC218" t="inlineStr">
        <is>
          <t>unknown</t>
        </is>
      </c>
      <c r="AD218" t="inlineStr">
        <is>
          <t>Candidate availability details are not provided.</t>
        </is>
      </c>
      <c r="AE218" t="inlineStr">
        <is>
          <t>UNKNOWN</t>
        </is>
      </c>
      <c r="AF218" t="n">
        <v>0</v>
      </c>
      <c r="AG218" t="inlineStr">
        <is>
          <t>No</t>
        </is>
      </c>
      <c r="AH218" t="inlineStr">
        <is>
          <t>no</t>
        </is>
      </c>
      <c r="AI218" t="inlineStr">
        <is>
          <t>No explicit PPO or conversion mention found in the JD.</t>
        </is>
      </c>
      <c r="AJ218" t="inlineStr">
        <is>
          <t>Location is Singapore; Role is MLOps / SRE focused on large-scale infrastructure rather than general software development</t>
        </is>
      </c>
      <c r="AK218" t="inlineStr">
        <is>
          <t>International location requiring relocation/visa support for an intern role</t>
        </is>
      </c>
      <c r="AL218" t="inlineStr">
        <is>
          <t>Linux internals and troubleshooting; Distributed systems and ML inference reliability; Python/Java systems performance optimization; SRE practices and SLO definition</t>
        </is>
      </c>
    </row>
    <row r="219">
      <c r="A219" t="inlineStr">
        <is>
          <t>TIKTOK-260912-218</t>
        </is>
      </c>
      <c r="B219" t="inlineStr">
        <is>
          <t>TikTok</t>
        </is>
      </c>
      <c r="C219" t="inlineStr">
        <is>
          <t>Software Engineer Intern (Ads Infrastructure) - 2026 Summer (BS/MS)</t>
        </is>
      </c>
      <c r="D219" t="inlineStr">
        <is>
          <t>https://www.themuse.com/jobs/tiktok/software-engineer-intern-ads-infrastructure-2026-summer-bsms</t>
        </is>
      </c>
      <c r="E219" t="inlineStr">
        <is>
          <t>AI Analyzer</t>
        </is>
      </c>
      <c r="F219" t="inlineStr">
        <is>
          <t>San Jose, CA</t>
        </is>
      </c>
      <c r="G219" t="inlineStr">
        <is>
          <t>On-site</t>
        </is>
      </c>
      <c r="H219" t="inlineStr">
        <is>
          <t>Not specified</t>
        </is>
      </c>
      <c r="I219" t="inlineStr">
        <is>
          <t>12-week</t>
        </is>
      </c>
      <c r="J219" t="inlineStr">
        <is>
          <t>Not Mentioned</t>
        </is>
      </c>
      <c r="K219" t="inlineStr">
        <is>
          <t>Go; C/C++; Python; Java; Data Structures; Algorithms; Computer Architectures</t>
        </is>
      </c>
      <c r="L219" t="inlineStr">
        <is>
          <t>Advertising industry experience; E-commerce industry experience; Gaming industry experience</t>
        </is>
      </c>
      <c r="M219" t="inlineStr">
        <is>
          <t>Responsibilities Global Monetization Product and Technology teams are building the next-generation monetization platforms to help millions of customers grow their businesses, utilizing our products like TikTok. Our team develops a wide variety of advertisements for numerous uses including feeds, live streaming, branding, measurement, targeting, search, vertical solutions, creative solutions, and b</t>
        </is>
      </c>
      <c r="N219" t="n">
        <v>45</v>
      </c>
      <c r="O219" t="n">
        <v>60</v>
      </c>
      <c r="P219" t="n">
        <v>40</v>
      </c>
      <c r="Q219" t="n">
        <v>70</v>
      </c>
      <c r="R219" t="n">
        <v>0</v>
      </c>
      <c r="S219" t="n">
        <v>0</v>
      </c>
      <c r="T219" t="n">
        <v>90</v>
      </c>
      <c r="U219" t="inlineStr">
        <is>
          <t>SKIP</t>
        </is>
      </c>
      <c r="V219" t="inlineStr">
        <is>
          <t>SKIP</t>
        </is>
      </c>
      <c r="W219" t="inlineStr">
        <is>
          <t>Go; C/C++</t>
        </is>
      </c>
      <c r="X219" t="inlineStr">
        <is>
          <t>Amaanuddin_Ahmed_Resume_Software_Engineering.pdf</t>
        </is>
      </c>
      <c r="Y219" t="inlineStr">
        <is>
          <t>2026-09-12</t>
        </is>
      </c>
      <c r="Z219" t="inlineStr">
        <is>
          <t>High-scale systems and ads infrastructure engineering at TikTok provides top-tier engineering exposure.</t>
        </is>
      </c>
      <c r="AA219" t="inlineStr">
        <is>
          <t>Not Eligible</t>
        </is>
      </c>
      <c r="AB219" t="inlineStr">
        <is>
          <t>Candidate is pursuing MCA at PES University in India, while the role requires BS/MS students and is located in San Jose, CA with potential international relocation or visa sponsorship limitations for US internships.</t>
        </is>
      </c>
      <c r="AC219" t="inlineStr">
        <is>
          <t>Unknown</t>
        </is>
      </c>
      <c r="AD219" t="inlineStr">
        <is>
          <t>Specific start and end dates within Summer 2026 have not been confirmed against candidate's academic calendar.</t>
        </is>
      </c>
      <c r="AE219" t="inlineStr">
        <is>
          <t>UNKNOWN</t>
        </is>
      </c>
      <c r="AF219" t="n">
        <v>0</v>
      </c>
      <c r="AG219" t="inlineStr">
        <is>
          <t>No</t>
        </is>
      </c>
      <c r="AH219" t="inlineStr">
        <is>
          <t>Not Mentioned</t>
        </is>
      </c>
      <c r="AI219" t="inlineStr">
        <is>
          <t>No explicit mention of PPO or conversion to full-time employment.</t>
        </is>
      </c>
      <c r="AJ219" t="inlineStr">
        <is>
          <t>Location is San Jose, CA (US internship requiring local enrollment/work authorization); Degree level (BS/MS in CS, whereas candidate is in MCA)</t>
        </is>
      </c>
      <c r="AK219" t="inlineStr">
        <is>
          <t>Strict application limit of a maximum of two positions globally across TikTok and its affiliates.</t>
        </is>
      </c>
      <c r="AL219" t="inlineStr">
        <is>
          <t>Advanced Data Structures and Algorithms; System Design for Large-Scale Ads Infrastructure; Concurrency and Performance Optimization in Java/Python; Debugging and Problem Solving</t>
        </is>
      </c>
    </row>
    <row r="220">
      <c r="A220" t="inlineStr">
        <is>
          <t>TIKTOK-260912-219</t>
        </is>
      </c>
      <c r="B220" t="inlineStr">
        <is>
          <t>TikTok</t>
        </is>
      </c>
      <c r="C220" t="inlineStr">
        <is>
          <t>Software Engineer Project Intern (Model Infrastructure) - 2026 Start (BS/MS)</t>
        </is>
      </c>
      <c r="D220" t="inlineStr">
        <is>
          <t>https://www.themuse.com/jobs/tiktok/software-engineer-project-intern-model-infrastructure-2026-start-bsms</t>
        </is>
      </c>
      <c r="E220" t="inlineStr">
        <is>
          <t>AI Analyzer</t>
        </is>
      </c>
      <c r="F220" t="inlineStr">
        <is>
          <t>San Jose, CA</t>
        </is>
      </c>
      <c r="G220" t="inlineStr">
        <is>
          <t>On-site</t>
        </is>
      </c>
      <c r="H220" t="inlineStr">
        <is>
          <t>Not specified</t>
        </is>
      </c>
      <c r="I220" t="inlineStr">
        <is>
          <t>Not specified</t>
        </is>
      </c>
      <c r="J220" t="inlineStr">
        <is>
          <t>Not Mentioned</t>
        </is>
      </c>
      <c r="K220" t="inlineStr">
        <is>
          <t>C++; Python; Computer Architecture; GPU software stack (CUDA, Triton, or NCCL); Deep learning frameworks (PyTorch, TensorFlow); Distributed systems</t>
        </is>
      </c>
      <c r="L220" t="inlineStr">
        <is>
          <t>Transformer-based architectures; 3D parallelism; torch.compile; High-performance kernels; RDMA networking; Parameter Server architectures</t>
        </is>
      </c>
      <c r="M220" t="inlineStr">
        <is>
          <t>Responsibilities About the Team The TikTok Model Infrastructure team is the core engine powering the world's most engaged "For You" feed. We focus on the engineering efficiency and architectural evolution of recommendation models at an unprecedented scale. As we lead the industry's shift toward LLM2Rec and Large Recommendation Models (LRM), our mission is to build ultra-high-performance infrastruc</t>
        </is>
      </c>
      <c r="N220" t="n">
        <v>27</v>
      </c>
      <c r="O220" t="n">
        <v>20</v>
      </c>
      <c r="P220" t="n">
        <v>30</v>
      </c>
      <c r="Q220" t="n">
        <v>30</v>
      </c>
      <c r="R220" t="n">
        <v>0</v>
      </c>
      <c r="S220" t="n">
        <v>0</v>
      </c>
      <c r="T220" t="n">
        <v>80</v>
      </c>
      <c r="U220" t="inlineStr">
        <is>
          <t>SKIP</t>
        </is>
      </c>
      <c r="V220" t="inlineStr">
        <is>
          <t>SKIP</t>
        </is>
      </c>
      <c r="W220" t="inlineStr">
        <is>
          <t>C++; CUDA/Triton/NCCL; GPU Architecture; Distributed systems infrastructure</t>
        </is>
      </c>
      <c r="X220" t="inlineStr">
        <is>
          <t>Amaanuddin_Ahmed_Resume.pdf</t>
        </is>
      </c>
      <c r="Y220" t="inlineStr">
        <is>
          <t>2026-09-12</t>
        </is>
      </c>
      <c r="AA220" t="inlineStr">
        <is>
          <t>Ineligible</t>
        </is>
      </c>
      <c r="AB220" t="inlineStr">
        <is>
          <t>Mandatory requirement for C++ programming expertise is not met by candidate.; Mandatory requirement for deep GPU software stack (CUDA, Triton, or NCCL) and systems architecture is missing.</t>
        </is>
      </c>
      <c r="AC220" t="inlineStr">
        <is>
          <t>Unknown</t>
        </is>
      </c>
      <c r="AD220" t="inlineStr">
        <is>
          <t>Availability not stated in candidate profile.</t>
        </is>
      </c>
      <c r="AE220" t="inlineStr">
        <is>
          <t>UNKNOWN</t>
        </is>
      </c>
      <c r="AF220" t="n">
        <v>0</v>
      </c>
      <c r="AG220" t="inlineStr">
        <is>
          <t>No</t>
        </is>
      </c>
      <c r="AH220" t="inlineStr">
        <is>
          <t>Not Mentioned</t>
        </is>
      </c>
      <c r="AI220" t="inlineStr">
        <is>
          <t>No explicit conversion or PPO guarantee mentioned in the job description.</t>
        </is>
      </c>
      <c r="AJ220" t="inlineStr">
        <is>
          <t>Lack of C++ programming requirement; Lack of GPU software stack (CUDA, Triton, NCCL) and systems architecture knowledge</t>
        </is>
      </c>
      <c r="AK220" t="inlineStr">
        <is>
          <t>High specialization mismatch in infrastructure and systems engineering.</t>
        </is>
      </c>
      <c r="AL220" t="inlineStr">
        <is>
          <t>C++ memory management; CUDA and GPU architecture; Distributed training parallelism</t>
        </is>
      </c>
    </row>
    <row r="221">
      <c r="A221" t="inlineStr">
        <is>
          <t>TIKTOK-260912-220</t>
        </is>
      </c>
      <c r="B221" t="inlineStr">
        <is>
          <t>TikTok</t>
        </is>
      </c>
      <c r="C221" t="inlineStr">
        <is>
          <t>Backend Software Engineer Intern (TikTok-Global Live-Foundation) - 2027 Summer</t>
        </is>
      </c>
      <c r="D221" t="inlineStr">
        <is>
          <t>https://www.themuse.com/jobs/tiktok/backend-software-engineer-intern-tiktokglobal-livefoundation-2027-summer</t>
        </is>
      </c>
      <c r="E221" t="inlineStr">
        <is>
          <t>AI Analyzer</t>
        </is>
      </c>
      <c r="F221" t="inlineStr">
        <is>
          <t>San Jose, CA</t>
        </is>
      </c>
      <c r="G221" t="inlineStr">
        <is>
          <t>On-site</t>
        </is>
      </c>
      <c r="I221" t="inlineStr">
        <is>
          <t>12 weeks</t>
        </is>
      </c>
      <c r="J221" t="inlineStr">
        <is>
          <t>No</t>
        </is>
      </c>
      <c r="K221" t="inlineStr">
        <is>
          <t>Data Structures and Algorithms; Go; Java; Python; C++; Software Engineering Principles</t>
        </is>
      </c>
      <c r="L221" t="inlineStr">
        <is>
          <t>Concurrency; Database; Message Queue; Content Moderation System</t>
        </is>
      </c>
      <c r="M221" t="inlineStr">
        <is>
          <t>Responsibilities The TikTok LIVE Foundation Governance Engineering team is a global team responsible for ensuring the quality of live streaming content. It takes on the responsibility of building the backend system, collaborating with data scientists, ecosystem governance managers, the operations team, and the Trust &amp; Safety Algorithm team. Together, we develop human-based and machine-based modera</t>
        </is>
      </c>
      <c r="N221" t="n">
        <v>42</v>
      </c>
      <c r="O221" t="n">
        <v>50</v>
      </c>
      <c r="P221" t="n">
        <v>40</v>
      </c>
      <c r="Q221" t="n">
        <v>70</v>
      </c>
      <c r="R221" t="n">
        <v>0</v>
      </c>
      <c r="S221" t="n">
        <v>0</v>
      </c>
      <c r="T221" t="n">
        <v>80</v>
      </c>
      <c r="U221" t="inlineStr">
        <is>
          <t>SKIP</t>
        </is>
      </c>
      <c r="V221" t="inlineStr">
        <is>
          <t>SKIP</t>
        </is>
      </c>
      <c r="W221" t="inlineStr">
        <is>
          <t>Go; C++; Concurrency; Message Queue</t>
        </is>
      </c>
      <c r="X221" t="inlineStr">
        <is>
          <t>Amaan_Ahmed_Software_Engineer_Resume.pdf</t>
        </is>
      </c>
      <c r="Y221" t="inlineStr">
        <is>
          <t>2026-09-12</t>
        </is>
      </c>
      <c r="AA221" t="inlineStr">
        <is>
          <t>Not Eligible</t>
        </is>
      </c>
      <c r="AB221" t="inlineStr">
        <is>
          <t>Candidate requires US work authorization sponsorship, and the employer explicitly stated no sponsorship or immigration-related benefits are provided.; Location is San Jose, CA, and the candidate is based in India pursuing MCA.</t>
        </is>
      </c>
      <c r="AC221" t="inlineStr">
        <is>
          <t>UNKNOWN</t>
        </is>
      </c>
      <c r="AD221" t="inlineStr">
        <is>
          <t>Candidate availability for Summer 2027 is not specified in the career brain.</t>
        </is>
      </c>
      <c r="AE221" t="inlineStr">
        <is>
          <t>UNKNOWN</t>
        </is>
      </c>
      <c r="AF221" t="n">
        <v>0</v>
      </c>
      <c r="AG221" t="inlineStr">
        <is>
          <t>No</t>
        </is>
      </c>
      <c r="AH221" t="inlineStr">
        <is>
          <t>No</t>
        </is>
      </c>
      <c r="AI221" t="inlineStr">
        <is>
          <t>No mention of conversion to full-time or PPO in the job description.</t>
        </is>
      </c>
      <c r="AJ221" t="inlineStr">
        <is>
          <t>No US work authorization / sponsorship not provided; Geographic location mismatch (San Jose, CA vs India)</t>
        </is>
      </c>
      <c r="AK221" t="inlineStr">
        <is>
          <t>No visa sponsorship available</t>
        </is>
      </c>
      <c r="AL221" t="inlineStr">
        <is>
          <t>Data Structures and Algorithms; System Design and Scalability; Concurrency and Database Management; Backend Architecture</t>
        </is>
      </c>
    </row>
    <row r="222">
      <c r="A222" t="inlineStr">
        <is>
          <t>TIKTOK-260912-221</t>
        </is>
      </c>
      <c r="B222" t="inlineStr">
        <is>
          <t>TikTok</t>
        </is>
      </c>
      <c r="C222" t="inlineStr">
        <is>
          <t>Software Engineer Intern (TikTok Global E-Commerce Recommendation &amp; Search Architecture)</t>
        </is>
      </c>
      <c r="D222" t="inlineStr">
        <is>
          <t>https://www.themuse.com/jobs/tiktok/software-engineer-intern-tiktok-global-ecommerce-recommendation-search-architecture-2027-start</t>
        </is>
      </c>
      <c r="E222" t="inlineStr">
        <is>
          <t>AI Analyzer</t>
        </is>
      </c>
      <c r="F222" t="inlineStr">
        <is>
          <t>Singapore</t>
        </is>
      </c>
      <c r="G222" t="inlineStr">
        <is>
          <t>On-site</t>
        </is>
      </c>
      <c r="I222" t="inlineStr">
        <is>
          <t>At least 3 months</t>
        </is>
      </c>
      <c r="J222" t="inlineStr">
        <is>
          <t>Not Mentioned</t>
        </is>
      </c>
      <c r="K222" t="inlineStr">
        <is>
          <t>C++ or Python; Data Structures and Algorithms; PyTorch or TensorFlow; Transformer architectures; Large Language Models (LLMs)</t>
        </is>
      </c>
      <c r="L222" t="inlineStr">
        <is>
          <t>LLM training or inference; Distributed training concepts; GPU programming (CUDA, Triton)</t>
        </is>
      </c>
      <c r="M222" t="inlineStr">
        <is>
          <t>Responsibilities E-commerce is a new and fast growing business that aims at connecting all customers to excellent sellers and quality products, through E-commerce live-streaming, E-commerce short videos, and commodity recommendation. Our E-commerce Recommendation and Search Infra team is responsible for building up and optimizing the infrastructure for such recommendation and search systems, so as</t>
        </is>
      </c>
      <c r="N222" t="n">
        <v>48</v>
      </c>
      <c r="O222" t="n">
        <v>40</v>
      </c>
      <c r="P222" t="n">
        <v>50</v>
      </c>
      <c r="Q222" t="n">
        <v>40</v>
      </c>
      <c r="R222" t="n">
        <v>0</v>
      </c>
      <c r="S222" t="n">
        <v>50</v>
      </c>
      <c r="T222" t="n">
        <v>90</v>
      </c>
      <c r="U222" t="inlineStr">
        <is>
          <t>SKIP</t>
        </is>
      </c>
      <c r="V222" t="inlineStr">
        <is>
          <t>SKIP</t>
        </is>
      </c>
      <c r="W222" t="inlineStr">
        <is>
          <t>C++; PyTorch or TensorFlow; Transformer architectures; Large Language Models production infrastructure; Distributed training (DP, TP, PP, FSDP, ZeRO); GPU programming (CUDA, Triton)</t>
        </is>
      </c>
      <c r="X222" t="inlineStr">
        <is>
          <t>Amaanuddin_Ahmed_Backend_AI_Resume.pdf</t>
        </is>
      </c>
      <c r="Y222" t="inlineStr">
        <is>
          <t>2026-09-12</t>
        </is>
      </c>
      <c r="Z222" t="inlineStr">
        <is>
          <t>Prestigious global tech company working on cutting-edge recommendation and search architecture.</t>
        </is>
      </c>
      <c r="AA222" t="inlineStr">
        <is>
          <t>Eligible</t>
        </is>
      </c>
      <c r="AB222" t="inlineStr">
        <is>
          <t>Currently pursuing a Master's degree in Computer Science or a related technical discipline (MCA at PES University matches).</t>
        </is>
      </c>
      <c r="AC222" t="inlineStr">
        <is>
          <t>UNKNOWN</t>
        </is>
      </c>
      <c r="AD222" t="inlineStr">
        <is>
          <t>Candidate availability and specific graduation year commitment need to be confirmed against the 2027 start requirement.</t>
        </is>
      </c>
      <c r="AE222" t="inlineStr">
        <is>
          <t>UNKNOWN</t>
        </is>
      </c>
      <c r="AF222" t="n">
        <v>0</v>
      </c>
      <c r="AG222" t="inlineStr">
        <is>
          <t>No</t>
        </is>
      </c>
      <c r="AH222" t="inlineStr">
        <is>
          <t>Not Mentioned</t>
        </is>
      </c>
      <c r="AI222" t="inlineStr">
        <is>
          <t>The job description mentions hands-on experience, industry exposure, and personal/professional growth, but does not explicitly guarantee or mention a Pre-Placement Offer (PPO).</t>
        </is>
      </c>
      <c r="AK222" t="inlineStr">
        <is>
          <t>Location is Singapore, requiring international relocation or visa sponsorship.; Role heavily emphasizes deep learning systems, GPU kernels, and compiler optimizations which are outside core MERN/Full Stack/DevOps background.</t>
        </is>
      </c>
      <c r="AL222" t="inlineStr">
        <is>
          <t>Python proficiency and advanced data structures/algorithms; Basic knowledge of Transformer architectures and LLMs; Distributed systems concepts and optimization techniques</t>
        </is>
      </c>
    </row>
    <row r="223">
      <c r="A223" t="inlineStr">
        <is>
          <t>ANSYS-/-SYNO-260912-222</t>
        </is>
      </c>
      <c r="B223" t="inlineStr">
        <is>
          <t>Ansys / Synopsys</t>
        </is>
      </c>
      <c r="C223" t="inlineStr">
        <is>
          <t>Frontend Software Developer Intern - Fall 2026</t>
        </is>
      </c>
      <c r="D223" t="inlineStr">
        <is>
          <t>https://www.themuse.com/jobs/ansys/frontend-software-developer-intern-fall-2026</t>
        </is>
      </c>
      <c r="E223" t="inlineStr">
        <is>
          <t>AI Analyzer</t>
        </is>
      </c>
      <c r="F223" t="inlineStr">
        <is>
          <t>Reedley, CA / Apex, NC / Remote</t>
        </is>
      </c>
      <c r="G223" t="inlineStr">
        <is>
          <t>Remote</t>
        </is>
      </c>
      <c r="H223" t="inlineStr">
        <is>
          <t>Base Salary Range $0-$0</t>
        </is>
      </c>
      <c r="I223" t="inlineStr">
        <is>
          <t>4 months</t>
        </is>
      </c>
      <c r="J223" t="inlineStr">
        <is>
          <t>Not Mentioned</t>
        </is>
      </c>
      <c r="K223" t="inlineStr">
        <is>
          <t>Python; JavaScript; Git</t>
        </is>
      </c>
      <c r="L223" t="inlineStr">
        <is>
          <t>3D visualization; VTK technology</t>
        </is>
      </c>
      <c r="M223" t="inlineStr">
        <is>
          <t>Date posted 04/09/2026 Category Interns/Temp Hire Type Intern Job ID 16893 Base Salary Range $0-$0 Remote Eligible Yes Date Posted 04/09/2026 Introduction: We Are: Drive technology innovations that shape the way we live and connect. Our technology drives the Era of Pervasive Intelligence, where smart tech and AI are seamlessly woven into daily life. From self-driving cars and health-monitoring sma</t>
        </is>
      </c>
      <c r="N223" t="n">
        <v>55</v>
      </c>
      <c r="O223" t="n">
        <v>25</v>
      </c>
      <c r="P223" t="n">
        <v>15</v>
      </c>
      <c r="Q223" t="n">
        <v>10</v>
      </c>
      <c r="R223" t="n">
        <v>0</v>
      </c>
      <c r="S223" t="n">
        <v>0</v>
      </c>
      <c r="T223" t="n">
        <v>5</v>
      </c>
      <c r="U223" t="inlineStr">
        <is>
          <t>SKIP</t>
        </is>
      </c>
      <c r="V223" t="inlineStr">
        <is>
          <t>SKIP</t>
        </is>
      </c>
      <c r="W223" t="inlineStr">
        <is>
          <t>3D visualization; VTK technology</t>
        </is>
      </c>
      <c r="X223" t="inlineStr">
        <is>
          <t>Default Full Stack / Software Engineering Resume</t>
        </is>
      </c>
      <c r="Y223" t="inlineStr">
        <is>
          <t>2026-09-12</t>
        </is>
      </c>
      <c r="Z223" t="inlineStr">
        <is>
          <t>Matches core tech stack requirements including JavaScript, Python, and Git.</t>
        </is>
      </c>
      <c r="AA223" t="inlineStr">
        <is>
          <t>Ineligible</t>
        </is>
      </c>
      <c r="AB223" t="inlineStr">
        <is>
          <t>Geographic location constraint (Requires U.S. presence/eligibility)</t>
        </is>
      </c>
      <c r="AC223" t="inlineStr">
        <is>
          <t>unknown</t>
        </is>
      </c>
      <c r="AD223" t="inlineStr">
        <is>
          <t>Not specified in candidate profile</t>
        </is>
      </c>
      <c r="AE223" t="inlineStr">
        <is>
          <t>UNKNOWN</t>
        </is>
      </c>
      <c r="AF223" t="n">
        <v>0</v>
      </c>
      <c r="AG223" t="inlineStr">
        <is>
          <t>No</t>
        </is>
      </c>
      <c r="AH223" t="inlineStr">
        <is>
          <t>Not Mentioned</t>
        </is>
      </c>
      <c r="AI223" t="inlineStr">
        <is>
          <t>No explicit PPO or conversion mention found in the JD text.</t>
        </is>
      </c>
      <c r="AJ223" t="inlineStr">
        <is>
          <t>International location / Work authorization for US</t>
        </is>
      </c>
      <c r="AK223" t="inlineStr">
        <is>
          <t>Conflicting company names in the JD (Ansys vs Synopsys)</t>
        </is>
      </c>
      <c r="AL223" t="inlineStr">
        <is>
          <t>JavaScript and Python fundamentals; Version control with Git; Data visualization concepts</t>
        </is>
      </c>
    </row>
    <row r="224">
      <c r="A224" t="inlineStr">
        <is>
          <t>HN-WHO-IS-HI-260912-223</t>
        </is>
      </c>
      <c r="B224" t="inlineStr">
        <is>
          <t>HN Who Is Hiring</t>
        </is>
      </c>
      <c r="C224" t="inlineStr">
        <is>
          <t>Agent Builder</t>
        </is>
      </c>
      <c r="D224" t="inlineStr">
        <is>
          <t>https://news.ycombinator.com/item?id=49650855</t>
        </is>
      </c>
      <c r="E224" t="inlineStr">
        <is>
          <t>AI Analyzer</t>
        </is>
      </c>
      <c r="F224" t="inlineStr">
        <is>
          <t>Remote</t>
        </is>
      </c>
      <c r="G224" t="inlineStr">
        <is>
          <t>Remote</t>
        </is>
      </c>
      <c r="H224" t="inlineStr">
        <is>
          <t>Not specified</t>
        </is>
      </c>
      <c r="I224" t="inlineStr">
        <is>
          <t>Unknown</t>
        </is>
      </c>
      <c r="J224" t="inlineStr">
        <is>
          <t>No</t>
        </is>
      </c>
      <c r="K224" t="inlineStr">
        <is>
          <t>Python; Production LLM API experience; Multi-agent orchestrations; Prompt engineering; Retrieval; Deterministic checks; Evals; Monitoring</t>
        </is>
      </c>
      <c r="L224" t="inlineStr">
        <is>
          <t>AI agent building experience</t>
        </is>
      </c>
      <c r="M224" t="inlineStr">
        <is>
          <t>Catalyst·Wayfare AI | Agent Builder | Remote (US ET Overlap) | Full-time / Part-time / Contract | https://catalystwayfare.ai/careers AI transformation firm shipping production AI systems for mid-market enterprises in regulated and technical domains — finance, energy, industrials, healthcare. We do not stop at PowerPoint AI strategy. We ship working systems alongside our clients' engineering teams.</t>
        </is>
      </c>
      <c r="N224" t="n">
        <v>35</v>
      </c>
      <c r="O224" t="n">
        <v>40</v>
      </c>
      <c r="P224" t="n">
        <v>20</v>
      </c>
      <c r="Q224" t="n">
        <v>50</v>
      </c>
      <c r="R224" t="n">
        <v>0</v>
      </c>
      <c r="S224" t="n">
        <v>0</v>
      </c>
      <c r="T224" t="n">
        <v>60</v>
      </c>
      <c r="U224" t="inlineStr">
        <is>
          <t>SKIP</t>
        </is>
      </c>
      <c r="V224" t="inlineStr">
        <is>
          <t>SKIP</t>
        </is>
      </c>
      <c r="W224" t="inlineStr">
        <is>
          <t>Real production LLM API experience; Shipped multiple agentic systems end-to-end; Multi-agent orchestrations</t>
        </is>
      </c>
      <c r="X224" t="inlineStr">
        <is>
          <t>Amaanuddin_Ahmed_Software_Engineering_Resume.pdf</t>
        </is>
      </c>
      <c r="Y224" t="inlineStr">
        <is>
          <t>2026-09-12</t>
        </is>
      </c>
      <c r="AA224" t="inlineStr">
        <is>
          <t>FAIL</t>
        </is>
      </c>
      <c r="AB224" t="inlineStr">
        <is>
          <t>Requires 3-5+ years of experience and real production LLM API experience with multiple shipped agentic systems, which exceeds candidate profile.</t>
        </is>
      </c>
      <c r="AC224" t="inlineStr">
        <is>
          <t>UNKNOWN</t>
        </is>
      </c>
      <c r="AD224" t="inlineStr">
        <is>
          <t>Availability not explicitly confirmed for US ET timezone overlap requirements.</t>
        </is>
      </c>
      <c r="AE224" t="inlineStr">
        <is>
          <t>UNKNOWN</t>
        </is>
      </c>
      <c r="AF224" t="n">
        <v>0</v>
      </c>
      <c r="AG224" t="inlineStr">
        <is>
          <t>No</t>
        </is>
      </c>
      <c r="AH224" t="inlineStr">
        <is>
          <t>No</t>
        </is>
      </c>
      <c r="AI224" t="inlineStr">
        <is>
          <t>No mention of PPO or conversion to full-time employment; role itself is offered as 1099 contract / part-time / full-time.</t>
        </is>
      </c>
      <c r="AJ224" t="inlineStr">
        <is>
          <t>Requires 3-5+ years strong Python and real production LLM experience shipping agentic systems</t>
        </is>
      </c>
      <c r="AL224" t="inlineStr">
        <is>
          <t>LLM API integration; Multi-agent systems architecture; Evaluation and monitoring of AI agents</t>
        </is>
      </c>
    </row>
    <row r="225">
      <c r="A225" t="inlineStr">
        <is>
          <t>HN-WHO-IS-HI-260912-224</t>
        </is>
      </c>
      <c r="B225" t="inlineStr">
        <is>
          <t>HN Who Is Hiring (Whistle Robotics)</t>
        </is>
      </c>
      <c r="C225" t="inlineStr">
        <is>
          <t>Founding Geometry Engineer</t>
        </is>
      </c>
      <c r="D225" t="inlineStr">
        <is>
          <t>https://news.ycombinator.com/item?id=49611044</t>
        </is>
      </c>
      <c r="E225" t="inlineStr">
        <is>
          <t>AI Analyzer</t>
        </is>
      </c>
      <c r="F225" t="inlineStr">
        <is>
          <t>London, UK</t>
        </is>
      </c>
      <c r="G225" t="inlineStr">
        <is>
          <t>Onsite</t>
        </is>
      </c>
      <c r="I225" t="inlineStr">
        <is>
          <t>UNKNOWN</t>
        </is>
      </c>
      <c r="J225" t="inlineStr">
        <is>
          <t>not mentioned</t>
        </is>
      </c>
      <c r="K225" t="inlineStr">
        <is>
          <t>Computational Geometry; 3D CAD analysis engine; Grasp planning; Generative design; Meshes; SDFs; NURBS; Point clouds</t>
        </is>
      </c>
      <c r="L225" t="inlineStr">
        <is>
          <t>Game engine internals; Algorithms for physical hardware control</t>
        </is>
      </c>
      <c r="M225" t="inlineStr">
        <is>
          <t>Whistle Robotics | Founding Geometry Engineer | Full-time | Onsite (London, UK) | https://whistlerobotics.com/ I'm Gio, CTO at Whistle Robotics. We're building task-specific robots that make automation more accessible to small and medium manufacturers. We're looking for a Founding Geometry Software Engineer to build our 3D CAD analysis engine, handling grasp planning, and generative design of part</t>
        </is>
      </c>
      <c r="N225" t="n">
        <v>5</v>
      </c>
      <c r="O225" t="n">
        <v>0</v>
      </c>
      <c r="P225" t="n">
        <v>0</v>
      </c>
      <c r="Q225" t="n">
        <v>0</v>
      </c>
      <c r="R225" t="n">
        <v>0</v>
      </c>
      <c r="S225" t="n">
        <v>0</v>
      </c>
      <c r="T225" t="n">
        <v>50</v>
      </c>
      <c r="U225" t="inlineStr">
        <is>
          <t>SKIP</t>
        </is>
      </c>
      <c r="V225" t="inlineStr">
        <is>
          <t>SKIP</t>
        </is>
      </c>
      <c r="W225" t="inlineStr">
        <is>
          <t>Computational Geometry; 3D CAD analysis; Grasp planning; Generative design; Meshes/SDFs/NURBS/Point clouds</t>
        </is>
      </c>
      <c r="X225" t="inlineStr">
        <is>
          <t>Amaanuddin_Ahmed_General_Software_Engineer_Resume.pdf</t>
        </is>
      </c>
      <c r="Y225" t="inlineStr">
        <is>
          <t>2026-09-12</t>
        </is>
      </c>
      <c r="AA225" t="inlineStr">
        <is>
          <t>ineligible</t>
        </is>
      </c>
      <c r="AB225" t="inlineStr">
        <is>
          <t>Job requires onsite presence in London, UK which conflicts with candidate location/constraints.; Job is full-time while candidate target is primarily internship or aligned with MCA student status.; Missing core domain requirements: computational geometry, 3D CAD analysis, meshes, SDFs, NURBS, and point clouds.</t>
        </is>
      </c>
      <c r="AC225" t="inlineStr">
        <is>
          <t>UNKNOWN</t>
        </is>
      </c>
      <c r="AD225" t="inlineStr">
        <is>
          <t>Candidate availability details are not provided in the career brain.</t>
        </is>
      </c>
      <c r="AE225" t="inlineStr">
        <is>
          <t>UNKNOWN</t>
        </is>
      </c>
      <c r="AF225" t="n">
        <v>0</v>
      </c>
      <c r="AG225" t="inlineStr">
        <is>
          <t>No</t>
        </is>
      </c>
      <c r="AH225" t="inlineStr">
        <is>
          <t>not mentioned</t>
        </is>
      </c>
      <c r="AI225" t="inlineStr">
        <is>
          <t>No mention of PPO or conversion to full-time.</t>
        </is>
      </c>
      <c r="AJ225" t="inlineStr">
        <is>
          <t>Onsite location in London, UK; Lack of computational geometry and CAD development experience</t>
        </is>
      </c>
      <c r="AK225" t="inlineStr">
        <is>
          <t>Role mismatch (Geometry/Robotics engineering vs Software/Web/Cloud development)</t>
        </is>
      </c>
      <c r="AL225" t="inlineStr">
        <is>
          <t>Computational Geometry; 3D Mesh and Point Cloud Processing; NURBS and SDFs</t>
        </is>
      </c>
    </row>
    <row r="226">
      <c r="A226" t="inlineStr">
        <is>
          <t>HN-WHO-IS-HI-260912-225</t>
        </is>
      </c>
      <c r="B226" t="inlineStr">
        <is>
          <t>HN Who Is Hiring (Supero)</t>
        </is>
      </c>
      <c r="C226" t="inlineStr">
        <is>
          <t>Software Engineer Intern</t>
        </is>
      </c>
      <c r="D226" t="inlineStr">
        <is>
          <t>https://www.supero.dev/careers/software-engineer-intern/</t>
        </is>
      </c>
      <c r="E226" t="inlineStr">
        <is>
          <t>AI Analyzer</t>
        </is>
      </c>
      <c r="F226" t="inlineStr">
        <is>
          <t>Bengaluru, India / Remote</t>
        </is>
      </c>
      <c r="G226" t="inlineStr">
        <is>
          <t>Remote</t>
        </is>
      </c>
      <c r="H226" t="inlineStr">
        <is>
          <t>Not specified</t>
        </is>
      </c>
      <c r="I226" t="inlineStr">
        <is>
          <t>Not specified</t>
        </is>
      </c>
      <c r="J226" t="inlineStr">
        <is>
          <t>not mentioned</t>
        </is>
      </c>
      <c r="K226" t="inlineStr">
        <is>
          <t>Cloud infrastructure; Kubernetes; AWS; GCP; CI/CD</t>
        </is>
      </c>
      <c r="L226" t="inlineStr">
        <is>
          <t>DevOps; Observability; Shell scripting</t>
        </is>
      </c>
      <c r="M226" t="inlineStr">
        <is>
          <t>Supero | Cloud / Platform Engineer | REMOTE (SF Bay Area, CA, US · Bengaluru, KA, India) | Full-time | https://www.supero.dev/careers/cloud-platform-engineer/ We generate full-stack apps and deploy them — a generated app becomes a live URL, on our infrastructure or in the customer's own AWS or GCP account. It's in production and it has more shell script in it than it should. You'd own it, and the</t>
        </is>
      </c>
      <c r="N226" t="n">
        <v>63</v>
      </c>
      <c r="O226" t="n">
        <v>60</v>
      </c>
      <c r="P226" t="n">
        <v>70</v>
      </c>
      <c r="Q226" t="n">
        <v>70</v>
      </c>
      <c r="R226" t="n">
        <v>0</v>
      </c>
      <c r="S226" t="n">
        <v>50</v>
      </c>
      <c r="T226" t="n">
        <v>80</v>
      </c>
      <c r="U226" t="inlineStr">
        <is>
          <t>STRETCH</t>
        </is>
      </c>
      <c r="V226" t="inlineStr">
        <is>
          <t>STRETCH</t>
        </is>
      </c>
      <c r="W226" t="inlineStr">
        <is>
          <t>Kubernetes at production depth; AWS/GCP at depth; Extensive shell scripting</t>
        </is>
      </c>
      <c r="X226" t="inlineStr">
        <is>
          <t>DevOps / Cloud</t>
        </is>
      </c>
      <c r="Y226" t="inlineStr">
        <is>
          <t>2026-09-12</t>
        </is>
      </c>
      <c r="Z226" t="inlineStr">
        <is>
          <t>Aligns with cloud and DevOps target roles; Remote work mode available with presence in Bengaluru</t>
        </is>
      </c>
      <c r="AA226" t="inlineStr">
        <is>
          <t>eligible</t>
        </is>
      </c>
      <c r="AB226" t="inlineStr">
        <is>
          <t>Candidate is an MCA student seeking internships; No explicit degree or graduation-year blockers found for the intern position</t>
        </is>
      </c>
      <c r="AC226" t="inlineStr">
        <is>
          <t>unknown</t>
        </is>
      </c>
      <c r="AD226" t="inlineStr">
        <is>
          <t>Candidate availability details are not provided in the career brain</t>
        </is>
      </c>
      <c r="AE226" t="inlineStr">
        <is>
          <t>unknown</t>
        </is>
      </c>
      <c r="AF226" t="n">
        <v>0</v>
      </c>
      <c r="AG226" t="inlineStr">
        <is>
          <t>No</t>
        </is>
      </c>
      <c r="AH226" t="inlineStr">
        <is>
          <t>not mentioned</t>
        </is>
      </c>
      <c r="AI226" t="inlineStr">
        <is>
          <t>No explicit mention of PPO or conversion in the job description snippet</t>
        </is>
      </c>
      <c r="AK226" t="inlineStr">
        <is>
          <t>Role description primarily emphasizes full-time 4+ years production infra experience, though a separate intern link is provided</t>
        </is>
      </c>
      <c r="AL226" t="inlineStr">
        <is>
          <t>Kubernetes architecture and practical deployment; AWS and GCP core networking and deployment models; CI/CD pipeline implementation; Cloud observability and monitoring</t>
        </is>
      </c>
    </row>
    <row r="227">
      <c r="A227" t="inlineStr">
        <is>
          <t>VCLUSTER-LAB-260912-226</t>
        </is>
      </c>
      <c r="B227" t="inlineStr">
        <is>
          <t>vCluster Labs</t>
        </is>
      </c>
      <c r="C227" t="inlineStr">
        <is>
          <t>Multiple Engineering Roles (Senior/Staff Backend, Senior Inference, Senior AppSec, vNode Tech Lead)</t>
        </is>
      </c>
      <c r="D227" t="inlineStr">
        <is>
          <t>https://news.ycombinator.com/item?id=49555567</t>
        </is>
      </c>
      <c r="E227" t="inlineStr">
        <is>
          <t>AI Analyzer</t>
        </is>
      </c>
      <c r="F227" t="inlineStr">
        <is>
          <t>US, Canada, Europe</t>
        </is>
      </c>
      <c r="G227" t="inlineStr">
        <is>
          <t>Remote</t>
        </is>
      </c>
      <c r="H227" t="inlineStr">
        <is>
          <t>$140k-$220k USD | $140k-220k CAD | €80K – €145K + Equity</t>
        </is>
      </c>
      <c r="I227" t="inlineStr">
        <is>
          <t>Not specified</t>
        </is>
      </c>
      <c r="J227" t="inlineStr">
        <is>
          <t>not applicable</t>
        </is>
      </c>
      <c r="K227" t="inlineStr">
        <is>
          <t>Kubernetes controllers/operators; kubebuilder; controller-runtime; client-go; vLLM; SGLang; TensorRT-LLM; Python; Go; Kubernetes internals; containerd; CRI-O; runc; Linux isolation primitives</t>
        </is>
      </c>
      <c r="L227" t="inlineStr">
        <is>
          <t>Equity; Inference optimization</t>
        </is>
      </c>
      <c r="M227" t="inlineStr">
        <is>
          <t>vCluster Labs | Multiple Engineering Roles | REMOTE (US, Canada, Europe) | Full-time | $140k-$220k USD | $140k-220k CAD | €80K – €145K + Equity vCluster Labs builds the software layer that turns hardware into a cloud. One platform to turn raw compute into every kind of cluster, for the teams building AI infrastructure and the customers they serve. We're a VC-backed startup in hyper-growth and full</t>
        </is>
      </c>
      <c r="N227" t="n">
        <v>20</v>
      </c>
      <c r="O227" t="n">
        <v>20</v>
      </c>
      <c r="P227" t="n">
        <v>0</v>
      </c>
      <c r="Q227" t="n">
        <v>20</v>
      </c>
      <c r="R227" t="n">
        <v>0</v>
      </c>
      <c r="S227" t="n">
        <v>0</v>
      </c>
      <c r="T227" t="n">
        <v>80</v>
      </c>
      <c r="U227" t="inlineStr">
        <is>
          <t>SKIP</t>
        </is>
      </c>
      <c r="V227" t="inlineStr">
        <is>
          <t>SKIP</t>
        </is>
      </c>
      <c r="W227" t="inlineStr">
        <is>
          <t>Kubernetes controllers/operators; kubebuilder; controller-runtime; client-go; vLLM; SGLang; TensorRT-LLM; Go; containerd; CRI-O; runc; Linux isolation primitives</t>
        </is>
      </c>
      <c r="X227" t="inlineStr">
        <is>
          <t>Default Resume</t>
        </is>
      </c>
      <c r="Y227" t="inlineStr">
        <is>
          <t>2026-09-12</t>
        </is>
      </c>
      <c r="AA227" t="inlineStr">
        <is>
          <t>ineligible</t>
        </is>
      </c>
      <c r="AB227" t="inlineStr">
        <is>
          <t>Job requires Senior/Staff level experience which exceeds student/fresher status.; Location is restricted to US, Canada, and Europe, whereas candidate is based in India.; Job type is Full-time, whereas candidate is looking for an internship.</t>
        </is>
      </c>
      <c r="AC227" t="inlineStr">
        <is>
          <t>unknown</t>
        </is>
      </c>
      <c r="AD227" t="inlineStr">
        <is>
          <t>Candidate availability is not specified in the career brain.</t>
        </is>
      </c>
      <c r="AE227" t="inlineStr">
        <is>
          <t>not specified</t>
        </is>
      </c>
      <c r="AF227" t="n">
        <v>0</v>
      </c>
      <c r="AG227" t="inlineStr">
        <is>
          <t>Yes</t>
        </is>
      </c>
      <c r="AH227" t="inlineStr">
        <is>
          <t>not applicable</t>
        </is>
      </c>
      <c r="AI227" t="inlineStr">
        <is>
          <t>These are permanent full-time senior positions, not internships with PPO tracks.</t>
        </is>
      </c>
      <c r="AJ227" t="inlineStr">
        <is>
          <t>Senior/Staff experience requirement; Geographic restriction (US, Canada, Europe); Job type mismatch (Full-time vs Internship target)</t>
        </is>
      </c>
      <c r="AL227" t="inlineStr">
        <is>
          <t>Kubernetes Controllers and Operators; Container Runtimes and Linux Namespaces; LLM Inference Optimization</t>
        </is>
      </c>
    </row>
    <row r="228">
      <c r="A228" t="inlineStr">
        <is>
          <t>SALESFORCE-260912-227</t>
        </is>
      </c>
      <c r="B228" t="inlineStr">
        <is>
          <t>Salesforce</t>
        </is>
      </c>
      <c r="C228" t="inlineStr">
        <is>
          <t>Software Development</t>
        </is>
      </c>
      <c r="D228" t="inlineStr">
        <is>
          <t>https://internshala.com/internship/detail/part-time-software-development-internship-in-bangalore-at-salesforce1789133363</t>
        </is>
      </c>
      <c r="E228" t="inlineStr">
        <is>
          <t>AI Analyzer</t>
        </is>
      </c>
      <c r="F228" t="inlineStr">
        <is>
          <t>Bangalore, India</t>
        </is>
      </c>
      <c r="G228" t="inlineStr">
        <is>
          <t>Unknown</t>
        </is>
      </c>
      <c r="I228" t="inlineStr">
        <is>
          <t>Unknown</t>
        </is>
      </c>
      <c r="J228" t="inlineStr">
        <is>
          <t>UNKNOWN</t>
        </is>
      </c>
      <c r="M228" t="inlineStr">
        <is>
          <t>Software Development</t>
        </is>
      </c>
      <c r="N228" t="n">
        <v>42</v>
      </c>
      <c r="O228" t="n">
        <v>50</v>
      </c>
      <c r="P228" t="n">
        <v>50</v>
      </c>
      <c r="Q228" t="n">
        <v>60</v>
      </c>
      <c r="R228" t="n">
        <v>0</v>
      </c>
      <c r="S228" t="n">
        <v>0</v>
      </c>
      <c r="T228" t="n">
        <v>40</v>
      </c>
      <c r="U228" t="inlineStr">
        <is>
          <t>SKIP</t>
        </is>
      </c>
      <c r="V228" t="inlineStr">
        <is>
          <t>SKIP</t>
        </is>
      </c>
      <c r="X228" t="inlineStr">
        <is>
          <t>Default Full Stack Resume</t>
        </is>
      </c>
      <c r="Y228" t="inlineStr">
        <is>
          <t>2026-09-12</t>
        </is>
      </c>
      <c r="Z228" t="inlineStr">
        <is>
          <t>Brand name Salesforce offers high opportunity quality if legitimate.</t>
        </is>
      </c>
      <c r="AA228" t="inlineStr">
        <is>
          <t>ELIGIBLE</t>
        </is>
      </c>
      <c r="AB228" t="inlineStr">
        <is>
          <t>No explicit degree, graduation year, or experience blockers are provided in the minimal JD.</t>
        </is>
      </c>
      <c r="AC228" t="inlineStr">
        <is>
          <t>UNKNOWN</t>
        </is>
      </c>
      <c r="AD228" t="inlineStr">
        <is>
          <t>Not enough details provided regarding start date or shift/working hours availability.</t>
        </is>
      </c>
      <c r="AE228" t="inlineStr">
        <is>
          <t>UNKNOWN</t>
        </is>
      </c>
      <c r="AF228" t="n">
        <v>0</v>
      </c>
      <c r="AG228" t="inlineStr">
        <is>
          <t>No</t>
        </is>
      </c>
      <c r="AH228" t="inlineStr">
        <is>
          <t>UNKNOWN</t>
        </is>
      </c>
      <c r="AI228" t="inlineStr">
        <is>
          <t>No mention of PPO or conversion in the job description.</t>
        </is>
      </c>
      <c r="AK228" t="inlineStr">
        <is>
          <t>Extremely sparse job description with missing details on tech stack, stipend, duration, and requirements.</t>
        </is>
      </c>
      <c r="AL228" t="inlineStr">
        <is>
          <t>Core Computer Science fundamentals; Problem solving and data structures; Object-oriented programming</t>
        </is>
      </c>
    </row>
    <row r="229">
      <c r="A229" t="inlineStr">
        <is>
          <t>IIT-BOMBAY-260912-228</t>
        </is>
      </c>
      <c r="B229" t="inlineStr">
        <is>
          <t>IIT Bombay</t>
        </is>
      </c>
      <c r="C229" t="inlineStr">
        <is>
          <t>Machine Learning</t>
        </is>
      </c>
      <c r="D229" t="inlineStr">
        <is>
          <t>https://internshala.com/internship/detail/machine-learning-internship-in-delhi-at-iit-bombay1789120765</t>
        </is>
      </c>
      <c r="E229" t="inlineStr">
        <is>
          <t>AI Analyzer</t>
        </is>
      </c>
      <c r="F229" t="inlineStr">
        <is>
          <t>India</t>
        </is>
      </c>
      <c r="G229" t="inlineStr">
        <is>
          <t>UNKNOWN</t>
        </is>
      </c>
      <c r="I229" t="inlineStr">
        <is>
          <t>UNKNOWN</t>
        </is>
      </c>
      <c r="J229" t="inlineStr">
        <is>
          <t>UNKNOWN</t>
        </is>
      </c>
      <c r="K229" t="inlineStr">
        <is>
          <t>Machine Learning</t>
        </is>
      </c>
      <c r="M229" t="inlineStr">
        <is>
          <t>Machine Learning</t>
        </is>
      </c>
      <c r="N229" t="n">
        <v>34</v>
      </c>
      <c r="O229" t="n">
        <v>40</v>
      </c>
      <c r="P229" t="n">
        <v>50</v>
      </c>
      <c r="Q229" t="n">
        <v>40</v>
      </c>
      <c r="R229" t="n">
        <v>0</v>
      </c>
      <c r="S229" t="n">
        <v>0</v>
      </c>
      <c r="T229" t="n">
        <v>50</v>
      </c>
      <c r="U229" t="inlineStr">
        <is>
          <t>SKIP</t>
        </is>
      </c>
      <c r="V229" t="inlineStr">
        <is>
          <t>SKIP</t>
        </is>
      </c>
      <c r="W229" t="inlineStr">
        <is>
          <t>Machine Learning</t>
        </is>
      </c>
      <c r="X229" t="inlineStr">
        <is>
          <t>Default Resume</t>
        </is>
      </c>
      <c r="Y229" t="inlineStr">
        <is>
          <t>2026-09-12</t>
        </is>
      </c>
      <c r="Z229" t="inlineStr">
        <is>
          <t>Associated with a prestigious institution (IIT Bombay)</t>
        </is>
      </c>
      <c r="AA229" t="inlineStr">
        <is>
          <t>ELIGIBLE</t>
        </is>
      </c>
      <c r="AB229" t="inlineStr">
        <is>
          <t>No explicit degree or hard blockers mentioned in the minimal JD</t>
        </is>
      </c>
      <c r="AC229" t="inlineStr">
        <is>
          <t>UNKNOWN</t>
        </is>
      </c>
      <c r="AD229" t="inlineStr">
        <is>
          <t>Not specified in the JD</t>
        </is>
      </c>
      <c r="AE229" t="inlineStr">
        <is>
          <t>UNKNOWN</t>
        </is>
      </c>
      <c r="AF229" t="n">
        <v>0</v>
      </c>
      <c r="AG229" t="inlineStr">
        <is>
          <t>No</t>
        </is>
      </c>
      <c r="AH229" t="inlineStr">
        <is>
          <t>UNKNOWN</t>
        </is>
      </c>
      <c r="AI229" t="inlineStr">
        <is>
          <t>Not mentioned in JD</t>
        </is>
      </c>
      <c r="AK229" t="inlineStr">
        <is>
          <t>Extremely sparse job description</t>
        </is>
      </c>
      <c r="AL229" t="inlineStr">
        <is>
          <t>Machine Learning basics; Python programming</t>
        </is>
      </c>
    </row>
    <row r="230">
      <c r="A230" t="inlineStr">
        <is>
          <t>PICOVOICE-260912-229</t>
        </is>
      </c>
      <c r="B230" t="inlineStr">
        <is>
          <t>Picovoice</t>
        </is>
      </c>
      <c r="C230" t="inlineStr">
        <is>
          <t>Software Engineer Intern</t>
        </is>
      </c>
      <c r="D230" t="inlineStr">
        <is>
          <t>https://wellfound.com/jobs/2482629-software-engineer-intern</t>
        </is>
      </c>
      <c r="E230" t="inlineStr">
        <is>
          <t>AI Analyzer</t>
        </is>
      </c>
      <c r="F230" t="inlineStr">
        <is>
          <t>Vancouver</t>
        </is>
      </c>
      <c r="G230" t="inlineStr">
        <is>
          <t>In office</t>
        </is>
      </c>
      <c r="H230" t="inlineStr">
        <is>
          <t>$30k – $60k CAD</t>
        </is>
      </c>
      <c r="I230" t="inlineStr">
        <is>
          <t>Not specified</t>
        </is>
      </c>
      <c r="J230" t="inlineStr">
        <is>
          <t>unknown</t>
        </is>
      </c>
      <c r="M230" t="inlineStr">
        <is>
          <t>$30k – $60k CAD • No equity • • • In office • Vancouver • • • 0 years of exp • • • 1 day ago • • 1 day ago</t>
        </is>
      </c>
      <c r="N230" t="n">
        <v>55</v>
      </c>
      <c r="O230" t="n">
        <v>50</v>
      </c>
      <c r="P230" t="n">
        <v>90</v>
      </c>
      <c r="Q230" t="n">
        <v>70</v>
      </c>
      <c r="R230" t="n">
        <v>0</v>
      </c>
      <c r="S230" t="n">
        <v>100</v>
      </c>
      <c r="T230" t="n">
        <v>70</v>
      </c>
      <c r="U230" t="inlineStr">
        <is>
          <t>SKIP</t>
        </is>
      </c>
      <c r="V230" t="inlineStr">
        <is>
          <t>SKIP</t>
        </is>
      </c>
      <c r="X230" t="inlineStr">
        <is>
          <t>Amaanuddin_Ahmed_Software_Engineering_Resume.pdf</t>
        </is>
      </c>
      <c r="Y230" t="inlineStr">
        <is>
          <t>2026-09-12</t>
        </is>
      </c>
      <c r="Z230" t="inlineStr">
        <is>
          <t>High compensation in CAD; Matches entry-level experience</t>
        </is>
      </c>
      <c r="AA230" t="inlineStr">
        <is>
          <t>eligible</t>
        </is>
      </c>
      <c r="AB230" t="inlineStr">
        <is>
          <t>0 years of experience matches intern level requirement</t>
        </is>
      </c>
      <c r="AC230" t="inlineStr">
        <is>
          <t>unknown</t>
        </is>
      </c>
      <c r="AD230" t="inlineStr">
        <is>
          <t>Not mentioned in the job description</t>
        </is>
      </c>
      <c r="AE230" t="inlineStr">
        <is>
          <t>paid</t>
        </is>
      </c>
      <c r="AF230" t="n">
        <v>1800000</v>
      </c>
      <c r="AG230" t="inlineStr">
        <is>
          <t>No</t>
        </is>
      </c>
      <c r="AH230" t="inlineStr">
        <is>
          <t>unknown</t>
        </is>
      </c>
      <c r="AI230" t="inlineStr">
        <is>
          <t>No mention of PPO or conversion in the job description</t>
        </is>
      </c>
      <c r="AJ230" t="inlineStr">
        <is>
          <t>Location is In office in Vancouver, Canada which presents a geographical relocation/remote blocker for an India-based candidate</t>
        </is>
      </c>
      <c r="AL230" t="inlineStr">
        <is>
          <t>General Software Engineering fundamentals; Data Structures and Algorithms; Problem solving</t>
        </is>
      </c>
    </row>
  </sheetData>
  <autoFilter ref="A1:Z1"/>
  <dataValidations count="6">
    <dataValidation sqref="AR2:AR10000" showDropDown="0" showInputMessage="0" showErrorMessage="0" allowBlank="1" errorTitle="Invalid Apply Status" error="Choose a status from the dropdown." promptTitle="Application Status" prompt="Select the current application status." type="list">
      <formula1>"NOT APPLIED,APPLIED,REJECTED,WITHDRAWN"</formula1>
    </dataValidation>
    <dataValidation sqref="AR2:AR10000" showDropDown="0" showInputMessage="0" showErrorMessage="0" allowBlank="1" errorTitle="Invalid Apply Status" error="Choose a status from the dropdown." promptTitle="Application Status" prompt="Select the current application status." type="list">
      <formula1>"NOT APPLIED,APPLIED,REJECTED,WITHDRAWN"</formula1>
    </dataValidation>
    <dataValidation sqref="AR2:AR10000" showDropDown="0" showInputMessage="0" showErrorMessage="0" allowBlank="1" errorTitle="Invalid Apply Status" error="Choose a status from the dropdown." promptTitle="Application Status" prompt="Select the current application status." type="list">
      <formula1>"NOT APPLIED,APPLIED,REJECTED,WITHDRAWN"</formula1>
    </dataValidation>
    <dataValidation sqref="AR2:AR10000" showDropDown="0" showInputMessage="0" showErrorMessage="0" allowBlank="1" errorTitle="Invalid Apply Status" error="Choose a status from the dropdown." promptTitle="Application Status" prompt="Select the current application status." type="list">
      <formula1>"NOT APPLIED,APPLIED,REJECTED,WITHDRAWN"</formula1>
    </dataValidation>
    <dataValidation sqref="AR2:AR10000" showDropDown="0" showInputMessage="0" showErrorMessage="0" allowBlank="1" errorTitle="Invalid Apply Status" error="Choose a status from the dropdown." promptTitle="Application Status" prompt="Select the current application status." type="list">
      <formula1>"NOT APPLIED,APPLIED,REJECTED,WITHDRAWN"</formula1>
    </dataValidation>
    <dataValidation sqref="AR2:AR10000" showDropDown="0" showInputMessage="0" showErrorMessage="0" allowBlank="1" errorTitle="Invalid Apply Status" error="Choose a status from the dropdown." promptTitle="Application Status" prompt="Select the current application status." type="list">
      <formula1>"NOT APPLIED,APPLIED,REJECTED,WITHDRAWN"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500"/>
  <sheetViews>
    <sheetView workbookViewId="0">
      <pane ySplit="1" topLeftCell="A2" activePane="bottomLeft" state="frozen"/>
      <selection pane="bottomLeft" activeCell="A1" sqref="A1"/>
    </sheetView>
  </sheetViews>
  <sheetFormatPr baseColWidth="8" defaultRowHeight="15"/>
  <cols>
    <col width="16" customWidth="1" style="15" min="1" max="1"/>
    <col width="12" customWidth="1" style="15" min="2" max="5"/>
    <col width="16" customWidth="1" style="15" min="6" max="6"/>
    <col width="14" customWidth="1" style="15" min="7" max="7"/>
    <col width="12" customWidth="1" style="15" min="8" max="8"/>
    <col width="13" customWidth="1" style="15" min="9" max="9"/>
    <col width="16" customWidth="1" style="15" min="10" max="10"/>
    <col width="40" customWidth="1" style="15" min="11" max="12"/>
    <col width="16" customWidth="1" style="15" min="13" max="13"/>
    <col width="40" customWidth="1" style="15" min="14" max="15"/>
    <col width="12" customWidth="1" style="15" min="16" max="16"/>
    <col width="30" customWidth="1" style="15" min="17" max="17"/>
  </cols>
  <sheetData>
    <row r="1">
      <c r="A1" s="1" t="inlineStr">
        <is>
          <t>Application ID</t>
        </is>
      </c>
      <c r="B1" s="1" t="inlineStr">
        <is>
          <t>Job ID</t>
        </is>
      </c>
      <c r="C1" s="1" t="inlineStr">
        <is>
          <t>Company</t>
        </is>
      </c>
      <c r="D1" s="1" t="inlineStr">
        <is>
          <t>Role</t>
        </is>
      </c>
      <c r="E1" s="1" t="inlineStr">
        <is>
          <t>Job URL</t>
        </is>
      </c>
      <c r="F1" s="1" t="inlineStr">
        <is>
          <t>Resume Version</t>
        </is>
      </c>
      <c r="G1" s="1" t="inlineStr">
        <is>
          <t>Applied Date</t>
        </is>
      </c>
      <c r="H1" s="1" t="inlineStr">
        <is>
          <t>Status</t>
        </is>
      </c>
      <c r="I1" s="1" t="inlineStr">
        <is>
          <t>Next Action</t>
        </is>
      </c>
      <c r="J1" s="1" t="inlineStr">
        <is>
          <t>Follow-up Date</t>
        </is>
      </c>
      <c r="K1" s="1" t="inlineStr">
        <is>
          <t>Application Notes</t>
        </is>
      </c>
      <c r="L1" s="1" t="inlineStr">
        <is>
          <t>OA Date</t>
        </is>
      </c>
      <c r="M1" s="1" t="inlineStr">
        <is>
          <t>Interview Date</t>
        </is>
      </c>
      <c r="N1" s="1" t="inlineStr">
        <is>
          <t>Outcome</t>
        </is>
      </c>
      <c r="O1" s="1" t="inlineStr">
        <is>
          <t>Stipend</t>
        </is>
      </c>
      <c r="P1" s="1" t="inlineStr">
        <is>
          <t>PPO</t>
        </is>
      </c>
      <c r="Q1" s="1" t="inlineStr">
        <is>
          <t>Days Since Applied</t>
        </is>
      </c>
    </row>
    <row r="2">
      <c r="A2" s="2" t="n"/>
      <c r="B2" s="2" t="n"/>
      <c r="C2" s="2" t="n"/>
      <c r="D2" s="2" t="n"/>
      <c r="E2" s="2" t="n"/>
      <c r="F2" s="2" t="n"/>
      <c r="G2" s="2" t="n"/>
      <c r="H2" s="2" t="n"/>
      <c r="I2" s="2" t="n"/>
      <c r="J2" s="2" t="n"/>
      <c r="K2" s="2" t="n"/>
      <c r="L2" s="2" t="n"/>
      <c r="M2" s="2" t="n"/>
      <c r="N2" s="2" t="n"/>
      <c r="O2" s="2" t="n"/>
      <c r="P2" s="2" t="n"/>
      <c r="Q2" s="2">
        <f>IF(G2="","",TODAY()-G2)</f>
        <v/>
      </c>
    </row>
    <row r="3">
      <c r="A3" s="2" t="n"/>
      <c r="B3" s="2" t="n"/>
      <c r="C3" s="2" t="n"/>
      <c r="D3" s="2" t="n"/>
      <c r="E3" s="2" t="n"/>
      <c r="F3" s="2" t="n"/>
      <c r="G3" s="2" t="n"/>
      <c r="H3" s="2" t="n"/>
      <c r="I3" s="2" t="n"/>
      <c r="J3" s="2" t="n"/>
      <c r="K3" s="2" t="n"/>
      <c r="L3" s="2" t="n"/>
      <c r="M3" s="2" t="n"/>
      <c r="N3" s="2" t="n"/>
      <c r="O3" s="2" t="n"/>
      <c r="P3" s="2" t="n"/>
      <c r="Q3" s="2">
        <f>IF(G3="","",TODAY()-G3)</f>
        <v/>
      </c>
    </row>
    <row r="4">
      <c r="A4" s="2" t="n"/>
      <c r="B4" s="2" t="n"/>
      <c r="C4" s="2" t="n"/>
      <c r="D4" s="2" t="n"/>
      <c r="E4" s="2" t="n"/>
      <c r="F4" s="2" t="n"/>
      <c r="G4" s="2" t="n"/>
      <c r="H4" s="2" t="n"/>
      <c r="I4" s="2" t="n"/>
      <c r="J4" s="2" t="n"/>
      <c r="K4" s="2" t="n"/>
      <c r="L4" s="2" t="n"/>
      <c r="M4" s="2" t="n"/>
      <c r="N4" s="2" t="n"/>
      <c r="O4" s="2" t="n"/>
      <c r="P4" s="2" t="n"/>
      <c r="Q4" s="2">
        <f>IF(G4="","",TODAY()-G4)</f>
        <v/>
      </c>
    </row>
    <row r="5">
      <c r="A5" s="2" t="n"/>
      <c r="B5" s="2" t="n"/>
      <c r="C5" s="2" t="n"/>
      <c r="D5" s="2" t="n"/>
      <c r="E5" s="2" t="n"/>
      <c r="F5" s="2" t="n"/>
      <c r="G5" s="2" t="n"/>
      <c r="H5" s="2" t="n"/>
      <c r="I5" s="2" t="n"/>
      <c r="J5" s="2" t="n"/>
      <c r="K5" s="2" t="n"/>
      <c r="L5" s="2" t="n"/>
      <c r="M5" s="2" t="n"/>
      <c r="N5" s="2" t="n"/>
      <c r="O5" s="2" t="n"/>
      <c r="P5" s="2" t="n"/>
      <c r="Q5" s="2">
        <f>IF(G5="","",TODAY()-G5)</f>
        <v/>
      </c>
    </row>
    <row r="6">
      <c r="A6" s="2" t="n"/>
      <c r="B6" s="2" t="n"/>
      <c r="C6" s="2" t="n"/>
      <c r="D6" s="2" t="n"/>
      <c r="E6" s="2" t="n"/>
      <c r="F6" s="2" t="n"/>
      <c r="G6" s="2" t="n"/>
      <c r="H6" s="2" t="n"/>
      <c r="I6" s="2" t="n"/>
      <c r="J6" s="2" t="n"/>
      <c r="K6" s="2" t="n"/>
      <c r="L6" s="2" t="n"/>
      <c r="M6" s="2" t="n"/>
      <c r="N6" s="2" t="n"/>
      <c r="O6" s="2" t="n"/>
      <c r="P6" s="2" t="n"/>
      <c r="Q6" s="2">
        <f>IF(G6="","",TODAY()-G6)</f>
        <v/>
      </c>
    </row>
    <row r="7">
      <c r="A7" s="2" t="n"/>
      <c r="B7" s="2" t="n"/>
      <c r="C7" s="2" t="n"/>
      <c r="D7" s="2" t="n"/>
      <c r="E7" s="2" t="n"/>
      <c r="F7" s="2" t="n"/>
      <c r="G7" s="2" t="n"/>
      <c r="H7" s="2" t="n"/>
      <c r="I7" s="2" t="n"/>
      <c r="J7" s="2" t="n"/>
      <c r="K7" s="2" t="n"/>
      <c r="L7" s="2" t="n"/>
      <c r="M7" s="2" t="n"/>
      <c r="N7" s="2" t="n"/>
      <c r="O7" s="2" t="n"/>
      <c r="P7" s="2" t="n"/>
      <c r="Q7" s="2">
        <f>IF(G7="","",TODAY()-G7)</f>
        <v/>
      </c>
    </row>
    <row r="8">
      <c r="A8" s="2" t="n"/>
      <c r="B8" s="2" t="n"/>
      <c r="C8" s="2" t="n"/>
      <c r="D8" s="2" t="n"/>
      <c r="E8" s="2" t="n"/>
      <c r="F8" s="2" t="n"/>
      <c r="G8" s="2" t="n"/>
      <c r="H8" s="2" t="n"/>
      <c r="I8" s="2" t="n"/>
      <c r="J8" s="2" t="n"/>
      <c r="K8" s="2" t="n"/>
      <c r="L8" s="2" t="n"/>
      <c r="M8" s="2" t="n"/>
      <c r="N8" s="2" t="n"/>
      <c r="O8" s="2" t="n"/>
      <c r="P8" s="2" t="n"/>
      <c r="Q8" s="2">
        <f>IF(G8="","",TODAY()-G8)</f>
        <v/>
      </c>
    </row>
    <row r="9">
      <c r="A9" s="2" t="n"/>
      <c r="B9" s="2" t="n"/>
      <c r="C9" s="2" t="n"/>
      <c r="D9" s="2" t="n"/>
      <c r="E9" s="2" t="n"/>
      <c r="F9" s="2" t="n"/>
      <c r="G9" s="2" t="n"/>
      <c r="H9" s="2" t="n"/>
      <c r="I9" s="2" t="n"/>
      <c r="J9" s="2" t="n"/>
      <c r="K9" s="2" t="n"/>
      <c r="L9" s="2" t="n"/>
      <c r="M9" s="2" t="n"/>
      <c r="N9" s="2" t="n"/>
      <c r="O9" s="2" t="n"/>
      <c r="P9" s="2" t="n"/>
      <c r="Q9" s="2">
        <f>IF(G9="","",TODAY()-G9)</f>
        <v/>
      </c>
    </row>
    <row r="10">
      <c r="A10" s="2" t="n"/>
      <c r="B10" s="2" t="n"/>
      <c r="C10" s="2" t="n"/>
      <c r="D10" s="2" t="n"/>
      <c r="E10" s="2" t="n"/>
      <c r="F10" s="2" t="n"/>
      <c r="G10" s="2" t="n"/>
      <c r="H10" s="2" t="n"/>
      <c r="I10" s="2" t="n"/>
      <c r="J10" s="2" t="n"/>
      <c r="K10" s="2" t="n"/>
      <c r="L10" s="2" t="n"/>
      <c r="M10" s="2" t="n"/>
      <c r="N10" s="2" t="n"/>
      <c r="O10" s="2" t="n"/>
      <c r="P10" s="2" t="n"/>
      <c r="Q10" s="2">
        <f>IF(G10="","",TODAY()-G10)</f>
        <v/>
      </c>
    </row>
    <row r="11">
      <c r="A11" s="2" t="n"/>
      <c r="B11" s="2" t="n"/>
      <c r="C11" s="2" t="n"/>
      <c r="D11" s="2" t="n"/>
      <c r="E11" s="2" t="n"/>
      <c r="F11" s="2" t="n"/>
      <c r="G11" s="2" t="n"/>
      <c r="H11" s="2" t="n"/>
      <c r="I11" s="2" t="n"/>
      <c r="J11" s="2" t="n"/>
      <c r="K11" s="2" t="n"/>
      <c r="L11" s="2" t="n"/>
      <c r="M11" s="2" t="n"/>
      <c r="N11" s="2" t="n"/>
      <c r="O11" s="2" t="n"/>
      <c r="P11" s="2" t="n"/>
      <c r="Q11" s="2">
        <f>IF(G11="","",TODAY()-G11)</f>
        <v/>
      </c>
    </row>
    <row r="12">
      <c r="A12" s="2" t="n"/>
      <c r="B12" s="2" t="n"/>
      <c r="C12" s="2" t="n"/>
      <c r="D12" s="2" t="n"/>
      <c r="E12" s="2" t="n"/>
      <c r="F12" s="2" t="n"/>
      <c r="G12" s="2" t="n"/>
      <c r="H12" s="2" t="n"/>
      <c r="I12" s="2" t="n"/>
      <c r="J12" s="2" t="n"/>
      <c r="K12" s="2" t="n"/>
      <c r="L12" s="2" t="n"/>
      <c r="M12" s="2" t="n"/>
      <c r="N12" s="2" t="n"/>
      <c r="O12" s="2" t="n"/>
      <c r="P12" s="2" t="n"/>
      <c r="Q12" s="2">
        <f>IF(G12="","",TODAY()-G12)</f>
        <v/>
      </c>
    </row>
    <row r="13">
      <c r="A13" s="2" t="n"/>
      <c r="B13" s="2" t="n"/>
      <c r="C13" s="2" t="n"/>
      <c r="D13" s="2" t="n"/>
      <c r="E13" s="2" t="n"/>
      <c r="F13" s="2" t="n"/>
      <c r="G13" s="2" t="n"/>
      <c r="H13" s="2" t="n"/>
      <c r="I13" s="2" t="n"/>
      <c r="J13" s="2" t="n"/>
      <c r="K13" s="2" t="n"/>
      <c r="L13" s="2" t="n"/>
      <c r="M13" s="2" t="n"/>
      <c r="N13" s="2" t="n"/>
      <c r="O13" s="2" t="n"/>
      <c r="P13" s="2" t="n"/>
      <c r="Q13" s="2">
        <f>IF(G13="","",TODAY()-G13)</f>
        <v/>
      </c>
    </row>
    <row r="14">
      <c r="A14" s="2" t="n"/>
      <c r="B14" s="2" t="n"/>
      <c r="C14" s="2" t="n"/>
      <c r="D14" s="2" t="n"/>
      <c r="E14" s="2" t="n"/>
      <c r="F14" s="2" t="n"/>
      <c r="G14" s="2" t="n"/>
      <c r="H14" s="2" t="n"/>
      <c r="I14" s="2" t="n"/>
      <c r="J14" s="2" t="n"/>
      <c r="K14" s="2" t="n"/>
      <c r="L14" s="2" t="n"/>
      <c r="M14" s="2" t="n"/>
      <c r="N14" s="2" t="n"/>
      <c r="O14" s="2" t="n"/>
      <c r="P14" s="2" t="n"/>
      <c r="Q14" s="2">
        <f>IF(G14="","",TODAY()-G14)</f>
        <v/>
      </c>
    </row>
    <row r="15">
      <c r="A15" s="2" t="n"/>
      <c r="B15" s="2" t="n"/>
      <c r="C15" s="2" t="n"/>
      <c r="D15" s="2" t="n"/>
      <c r="E15" s="2" t="n"/>
      <c r="F15" s="2" t="n"/>
      <c r="G15" s="2" t="n"/>
      <c r="H15" s="2" t="n"/>
      <c r="I15" s="2" t="n"/>
      <c r="J15" s="2" t="n"/>
      <c r="K15" s="2" t="n"/>
      <c r="L15" s="2" t="n"/>
      <c r="M15" s="2" t="n"/>
      <c r="N15" s="2" t="n"/>
      <c r="O15" s="2" t="n"/>
      <c r="P15" s="2" t="n"/>
      <c r="Q15" s="2">
        <f>IF(G15="","",TODAY()-G15)</f>
        <v/>
      </c>
    </row>
    <row r="16">
      <c r="A16" s="2" t="n"/>
      <c r="B16" s="2" t="n"/>
      <c r="C16" s="2" t="n"/>
      <c r="D16" s="2" t="n"/>
      <c r="E16" s="2" t="n"/>
      <c r="F16" s="2" t="n"/>
      <c r="G16" s="2" t="n"/>
      <c r="H16" s="2" t="n"/>
      <c r="I16" s="2" t="n"/>
      <c r="J16" s="2" t="n"/>
      <c r="K16" s="2" t="n"/>
      <c r="L16" s="2" t="n"/>
      <c r="M16" s="2" t="n"/>
      <c r="N16" s="2" t="n"/>
      <c r="O16" s="2" t="n"/>
      <c r="P16" s="2" t="n"/>
      <c r="Q16" s="2">
        <f>IF(G16="","",TODAY()-G16)</f>
        <v/>
      </c>
    </row>
    <row r="17">
      <c r="A17" s="2" t="n"/>
      <c r="B17" s="2" t="n"/>
      <c r="C17" s="2" t="n"/>
      <c r="D17" s="2" t="n"/>
      <c r="E17" s="2" t="n"/>
      <c r="F17" s="2" t="n"/>
      <c r="G17" s="2" t="n"/>
      <c r="H17" s="2" t="n"/>
      <c r="I17" s="2" t="n"/>
      <c r="J17" s="2" t="n"/>
      <c r="K17" s="2" t="n"/>
      <c r="L17" s="2" t="n"/>
      <c r="M17" s="2" t="n"/>
      <c r="N17" s="2" t="n"/>
      <c r="O17" s="2" t="n"/>
      <c r="P17" s="2" t="n"/>
      <c r="Q17" s="2">
        <f>IF(G17="","",TODAY()-G17)</f>
        <v/>
      </c>
    </row>
    <row r="18">
      <c r="A18" s="2" t="n"/>
      <c r="B18" s="2" t="n"/>
      <c r="C18" s="2" t="n"/>
      <c r="D18" s="2" t="n"/>
      <c r="E18" s="2" t="n"/>
      <c r="F18" s="2" t="n"/>
      <c r="G18" s="2" t="n"/>
      <c r="H18" s="2" t="n"/>
      <c r="I18" s="2" t="n"/>
      <c r="J18" s="2" t="n"/>
      <c r="K18" s="2" t="n"/>
      <c r="L18" s="2" t="n"/>
      <c r="M18" s="2" t="n"/>
      <c r="N18" s="2" t="n"/>
      <c r="O18" s="2" t="n"/>
      <c r="P18" s="2" t="n"/>
      <c r="Q18" s="2">
        <f>IF(G18="","",TODAY()-G18)</f>
        <v/>
      </c>
    </row>
    <row r="19">
      <c r="A19" s="2" t="n"/>
      <c r="B19" s="2" t="n"/>
      <c r="C19" s="2" t="n"/>
      <c r="D19" s="2" t="n"/>
      <c r="E19" s="2" t="n"/>
      <c r="F19" s="2" t="n"/>
      <c r="G19" s="2" t="n"/>
      <c r="H19" s="2" t="n"/>
      <c r="I19" s="2" t="n"/>
      <c r="J19" s="2" t="n"/>
      <c r="K19" s="2" t="n"/>
      <c r="L19" s="2" t="n"/>
      <c r="M19" s="2" t="n"/>
      <c r="N19" s="2" t="n"/>
      <c r="O19" s="2" t="n"/>
      <c r="P19" s="2" t="n"/>
      <c r="Q19" s="2">
        <f>IF(G19="","",TODAY()-G19)</f>
        <v/>
      </c>
    </row>
    <row r="20">
      <c r="A20" s="2" t="n"/>
      <c r="B20" s="2" t="n"/>
      <c r="C20" s="2" t="n"/>
      <c r="D20" s="2" t="n"/>
      <c r="E20" s="2" t="n"/>
      <c r="F20" s="2" t="n"/>
      <c r="G20" s="2" t="n"/>
      <c r="H20" s="2" t="n"/>
      <c r="I20" s="2" t="n"/>
      <c r="J20" s="2" t="n"/>
      <c r="K20" s="2" t="n"/>
      <c r="L20" s="2" t="n"/>
      <c r="M20" s="2" t="n"/>
      <c r="N20" s="2" t="n"/>
      <c r="O20" s="2" t="n"/>
      <c r="P20" s="2" t="n"/>
      <c r="Q20" s="2">
        <f>IF(G20="","",TODAY()-G20)</f>
        <v/>
      </c>
    </row>
    <row r="21">
      <c r="A21" s="2" t="n"/>
      <c r="B21" s="2" t="n"/>
      <c r="C21" s="2" t="n"/>
      <c r="D21" s="2" t="n"/>
      <c r="E21" s="2" t="n"/>
      <c r="F21" s="2" t="n"/>
      <c r="G21" s="2" t="n"/>
      <c r="H21" s="2" t="n"/>
      <c r="I21" s="2" t="n"/>
      <c r="J21" s="2" t="n"/>
      <c r="K21" s="2" t="n"/>
      <c r="L21" s="2" t="n"/>
      <c r="M21" s="2" t="n"/>
      <c r="N21" s="2" t="n"/>
      <c r="O21" s="2" t="n"/>
      <c r="P21" s="2" t="n"/>
      <c r="Q21" s="2">
        <f>IF(G21="","",TODAY()-G21)</f>
        <v/>
      </c>
    </row>
    <row r="22">
      <c r="A22" s="2" t="n"/>
      <c r="B22" s="2" t="n"/>
      <c r="C22" s="2" t="n"/>
      <c r="D22" s="2" t="n"/>
      <c r="E22" s="2" t="n"/>
      <c r="F22" s="2" t="n"/>
      <c r="G22" s="2" t="n"/>
      <c r="H22" s="2" t="n"/>
      <c r="I22" s="2" t="n"/>
      <c r="J22" s="2" t="n"/>
      <c r="K22" s="2" t="n"/>
      <c r="L22" s="2" t="n"/>
      <c r="M22" s="2" t="n"/>
      <c r="N22" s="2" t="n"/>
      <c r="O22" s="2" t="n"/>
      <c r="P22" s="2" t="n"/>
      <c r="Q22" s="2">
        <f>IF(G22="","",TODAY()-G22)</f>
        <v/>
      </c>
    </row>
    <row r="23">
      <c r="A23" s="2" t="n"/>
      <c r="B23" s="2" t="n"/>
      <c r="C23" s="2" t="n"/>
      <c r="D23" s="2" t="n"/>
      <c r="E23" s="2" t="n"/>
      <c r="F23" s="2" t="n"/>
      <c r="G23" s="2" t="n"/>
      <c r="H23" s="2" t="n"/>
      <c r="I23" s="2" t="n"/>
      <c r="J23" s="2" t="n"/>
      <c r="K23" s="2" t="n"/>
      <c r="L23" s="2" t="n"/>
      <c r="M23" s="2" t="n"/>
      <c r="N23" s="2" t="n"/>
      <c r="O23" s="2" t="n"/>
      <c r="P23" s="2" t="n"/>
      <c r="Q23" s="2">
        <f>IF(G23="","",TODAY()-G23)</f>
        <v/>
      </c>
    </row>
    <row r="24">
      <c r="A24" s="2" t="n"/>
      <c r="B24" s="2" t="n"/>
      <c r="C24" s="2" t="n"/>
      <c r="D24" s="2" t="n"/>
      <c r="E24" s="2" t="n"/>
      <c r="F24" s="2" t="n"/>
      <c r="G24" s="2" t="n"/>
      <c r="H24" s="2" t="n"/>
      <c r="I24" s="2" t="n"/>
      <c r="J24" s="2" t="n"/>
      <c r="K24" s="2" t="n"/>
      <c r="L24" s="2" t="n"/>
      <c r="M24" s="2" t="n"/>
      <c r="N24" s="2" t="n"/>
      <c r="O24" s="2" t="n"/>
      <c r="P24" s="2" t="n"/>
      <c r="Q24" s="2">
        <f>IF(G24="","",TODAY()-G24)</f>
        <v/>
      </c>
    </row>
    <row r="25">
      <c r="A25" s="2" t="n"/>
      <c r="B25" s="2" t="n"/>
      <c r="C25" s="2" t="n"/>
      <c r="D25" s="2" t="n"/>
      <c r="E25" s="2" t="n"/>
      <c r="F25" s="2" t="n"/>
      <c r="G25" s="2" t="n"/>
      <c r="H25" s="2" t="n"/>
      <c r="I25" s="2" t="n"/>
      <c r="J25" s="2" t="n"/>
      <c r="K25" s="2" t="n"/>
      <c r="L25" s="2" t="n"/>
      <c r="M25" s="2" t="n"/>
      <c r="N25" s="2" t="n"/>
      <c r="O25" s="2" t="n"/>
      <c r="P25" s="2" t="n"/>
      <c r="Q25" s="2">
        <f>IF(G25="","",TODAY()-G25)</f>
        <v/>
      </c>
    </row>
    <row r="26">
      <c r="A26" s="2" t="n"/>
      <c r="B26" s="2" t="n"/>
      <c r="C26" s="2" t="n"/>
      <c r="D26" s="2" t="n"/>
      <c r="E26" s="2" t="n"/>
      <c r="F26" s="2" t="n"/>
      <c r="G26" s="2" t="n"/>
      <c r="H26" s="2" t="n"/>
      <c r="I26" s="2" t="n"/>
      <c r="J26" s="2" t="n"/>
      <c r="K26" s="2" t="n"/>
      <c r="L26" s="2" t="n"/>
      <c r="M26" s="2" t="n"/>
      <c r="N26" s="2" t="n"/>
      <c r="O26" s="2" t="n"/>
      <c r="P26" s="2" t="n"/>
      <c r="Q26" s="2">
        <f>IF(G26="","",TODAY()-G26)</f>
        <v/>
      </c>
    </row>
    <row r="27">
      <c r="A27" s="2" t="n"/>
      <c r="B27" s="2" t="n"/>
      <c r="C27" s="2" t="n"/>
      <c r="D27" s="2" t="n"/>
      <c r="E27" s="2" t="n"/>
      <c r="F27" s="2" t="n"/>
      <c r="G27" s="2" t="n"/>
      <c r="H27" s="2" t="n"/>
      <c r="I27" s="2" t="n"/>
      <c r="J27" s="2" t="n"/>
      <c r="K27" s="2" t="n"/>
      <c r="L27" s="2" t="n"/>
      <c r="M27" s="2" t="n"/>
      <c r="N27" s="2" t="n"/>
      <c r="O27" s="2" t="n"/>
      <c r="P27" s="2" t="n"/>
      <c r="Q27" s="2">
        <f>IF(G27="","",TODAY()-G27)</f>
        <v/>
      </c>
    </row>
    <row r="28">
      <c r="A28" s="2" t="n"/>
      <c r="B28" s="2" t="n"/>
      <c r="C28" s="2" t="n"/>
      <c r="D28" s="2" t="n"/>
      <c r="E28" s="2" t="n"/>
      <c r="F28" s="2" t="n"/>
      <c r="G28" s="2" t="n"/>
      <c r="H28" s="2" t="n"/>
      <c r="I28" s="2" t="n"/>
      <c r="J28" s="2" t="n"/>
      <c r="K28" s="2" t="n"/>
      <c r="L28" s="2" t="n"/>
      <c r="M28" s="2" t="n"/>
      <c r="N28" s="2" t="n"/>
      <c r="O28" s="2" t="n"/>
      <c r="P28" s="2" t="n"/>
      <c r="Q28" s="2">
        <f>IF(G28="","",TODAY()-G28)</f>
        <v/>
      </c>
    </row>
    <row r="29">
      <c r="A29" s="2" t="n"/>
      <c r="B29" s="2" t="n"/>
      <c r="C29" s="2" t="n"/>
      <c r="D29" s="2" t="n"/>
      <c r="E29" s="2" t="n"/>
      <c r="F29" s="2" t="n"/>
      <c r="G29" s="2" t="n"/>
      <c r="H29" s="2" t="n"/>
      <c r="I29" s="2" t="n"/>
      <c r="J29" s="2" t="n"/>
      <c r="K29" s="2" t="n"/>
      <c r="L29" s="2" t="n"/>
      <c r="M29" s="2" t="n"/>
      <c r="N29" s="2" t="n"/>
      <c r="O29" s="2" t="n"/>
      <c r="P29" s="2" t="n"/>
      <c r="Q29" s="2">
        <f>IF(G29="","",TODAY()-G29)</f>
        <v/>
      </c>
    </row>
    <row r="30">
      <c r="A30" s="2" t="n"/>
      <c r="B30" s="2" t="n"/>
      <c r="C30" s="2" t="n"/>
      <c r="D30" s="2" t="n"/>
      <c r="E30" s="2" t="n"/>
      <c r="F30" s="2" t="n"/>
      <c r="G30" s="2" t="n"/>
      <c r="H30" s="2" t="n"/>
      <c r="I30" s="2" t="n"/>
      <c r="J30" s="2" t="n"/>
      <c r="K30" s="2" t="n"/>
      <c r="L30" s="2" t="n"/>
      <c r="M30" s="2" t="n"/>
      <c r="N30" s="2" t="n"/>
      <c r="O30" s="2" t="n"/>
      <c r="P30" s="2" t="n"/>
      <c r="Q30" s="2">
        <f>IF(G30="","",TODAY()-G30)</f>
        <v/>
      </c>
    </row>
    <row r="31">
      <c r="A31" s="2" t="n"/>
      <c r="B31" s="2" t="n"/>
      <c r="C31" s="2" t="n"/>
      <c r="D31" s="2" t="n"/>
      <c r="E31" s="2" t="n"/>
      <c r="F31" s="2" t="n"/>
      <c r="G31" s="2" t="n"/>
      <c r="H31" s="2" t="n"/>
      <c r="I31" s="2" t="n"/>
      <c r="J31" s="2" t="n"/>
      <c r="K31" s="2" t="n"/>
      <c r="L31" s="2" t="n"/>
      <c r="M31" s="2" t="n"/>
      <c r="N31" s="2" t="n"/>
      <c r="O31" s="2" t="n"/>
      <c r="P31" s="2" t="n"/>
      <c r="Q31" s="2">
        <f>IF(G31="","",TODAY()-G31)</f>
        <v/>
      </c>
    </row>
    <row r="32">
      <c r="A32" s="2" t="n"/>
      <c r="B32" s="2" t="n"/>
      <c r="C32" s="2" t="n"/>
      <c r="D32" s="2" t="n"/>
      <c r="E32" s="2" t="n"/>
      <c r="F32" s="2" t="n"/>
      <c r="G32" s="2" t="n"/>
      <c r="H32" s="2" t="n"/>
      <c r="I32" s="2" t="n"/>
      <c r="J32" s="2" t="n"/>
      <c r="K32" s="2" t="n"/>
      <c r="L32" s="2" t="n"/>
      <c r="M32" s="2" t="n"/>
      <c r="N32" s="2" t="n"/>
      <c r="O32" s="2" t="n"/>
      <c r="P32" s="2" t="n"/>
      <c r="Q32" s="2">
        <f>IF(G32="","",TODAY()-G32)</f>
        <v/>
      </c>
    </row>
    <row r="33">
      <c r="A33" s="2" t="n"/>
      <c r="B33" s="2" t="n"/>
      <c r="C33" s="2" t="n"/>
      <c r="D33" s="2" t="n"/>
      <c r="E33" s="2" t="n"/>
      <c r="F33" s="2" t="n"/>
      <c r="G33" s="2" t="n"/>
      <c r="H33" s="2" t="n"/>
      <c r="I33" s="2" t="n"/>
      <c r="J33" s="2" t="n"/>
      <c r="K33" s="2" t="n"/>
      <c r="L33" s="2" t="n"/>
      <c r="M33" s="2" t="n"/>
      <c r="N33" s="2" t="n"/>
      <c r="O33" s="2" t="n"/>
      <c r="P33" s="2" t="n"/>
      <c r="Q33" s="2">
        <f>IF(G33="","",TODAY()-G33)</f>
        <v/>
      </c>
    </row>
    <row r="34">
      <c r="A34" s="2" t="n"/>
      <c r="B34" s="2" t="n"/>
      <c r="C34" s="2" t="n"/>
      <c r="D34" s="2" t="n"/>
      <c r="E34" s="2" t="n"/>
      <c r="F34" s="2" t="n"/>
      <c r="G34" s="2" t="n"/>
      <c r="H34" s="2" t="n"/>
      <c r="I34" s="2" t="n"/>
      <c r="J34" s="2" t="n"/>
      <c r="K34" s="2" t="n"/>
      <c r="L34" s="2" t="n"/>
      <c r="M34" s="2" t="n"/>
      <c r="N34" s="2" t="n"/>
      <c r="O34" s="2" t="n"/>
      <c r="P34" s="2" t="n"/>
      <c r="Q34" s="2">
        <f>IF(G34="","",TODAY()-G34)</f>
        <v/>
      </c>
    </row>
    <row r="35">
      <c r="A35" s="2" t="n"/>
      <c r="B35" s="2" t="n"/>
      <c r="C35" s="2" t="n"/>
      <c r="D35" s="2" t="n"/>
      <c r="E35" s="2" t="n"/>
      <c r="F35" s="2" t="n"/>
      <c r="G35" s="2" t="n"/>
      <c r="H35" s="2" t="n"/>
      <c r="I35" s="2" t="n"/>
      <c r="J35" s="2" t="n"/>
      <c r="K35" s="2" t="n"/>
      <c r="L35" s="2" t="n"/>
      <c r="M35" s="2" t="n"/>
      <c r="N35" s="2" t="n"/>
      <c r="O35" s="2" t="n"/>
      <c r="P35" s="2" t="n"/>
      <c r="Q35" s="2">
        <f>IF(G35="","",TODAY()-G35)</f>
        <v/>
      </c>
    </row>
    <row r="36">
      <c r="A36" s="2" t="n"/>
      <c r="B36" s="2" t="n"/>
      <c r="C36" s="2" t="n"/>
      <c r="D36" s="2" t="n"/>
      <c r="E36" s="2" t="n"/>
      <c r="F36" s="2" t="n"/>
      <c r="G36" s="2" t="n"/>
      <c r="H36" s="2" t="n"/>
      <c r="I36" s="2" t="n"/>
      <c r="J36" s="2" t="n"/>
      <c r="K36" s="2" t="n"/>
      <c r="L36" s="2" t="n"/>
      <c r="M36" s="2" t="n"/>
      <c r="N36" s="2" t="n"/>
      <c r="O36" s="2" t="n"/>
      <c r="P36" s="2" t="n"/>
      <c r="Q36" s="2">
        <f>IF(G36="","",TODAY()-G36)</f>
        <v/>
      </c>
    </row>
    <row r="37">
      <c r="A37" s="2" t="n"/>
      <c r="B37" s="2" t="n"/>
      <c r="C37" s="2" t="n"/>
      <c r="D37" s="2" t="n"/>
      <c r="E37" s="2" t="n"/>
      <c r="F37" s="2" t="n"/>
      <c r="G37" s="2" t="n"/>
      <c r="H37" s="2" t="n"/>
      <c r="I37" s="2" t="n"/>
      <c r="J37" s="2" t="n"/>
      <c r="K37" s="2" t="n"/>
      <c r="L37" s="2" t="n"/>
      <c r="M37" s="2" t="n"/>
      <c r="N37" s="2" t="n"/>
      <c r="O37" s="2" t="n"/>
      <c r="P37" s="2" t="n"/>
      <c r="Q37" s="2">
        <f>IF(G37="","",TODAY()-G37)</f>
        <v/>
      </c>
    </row>
    <row r="38">
      <c r="A38" s="2" t="n"/>
      <c r="B38" s="2" t="n"/>
      <c r="C38" s="2" t="n"/>
      <c r="D38" s="2" t="n"/>
      <c r="E38" s="2" t="n"/>
      <c r="F38" s="2" t="n"/>
      <c r="G38" s="2" t="n"/>
      <c r="H38" s="2" t="n"/>
      <c r="I38" s="2" t="n"/>
      <c r="J38" s="2" t="n"/>
      <c r="K38" s="2" t="n"/>
      <c r="L38" s="2" t="n"/>
      <c r="M38" s="2" t="n"/>
      <c r="N38" s="2" t="n"/>
      <c r="O38" s="2" t="n"/>
      <c r="P38" s="2" t="n"/>
      <c r="Q38" s="2">
        <f>IF(G38="","",TODAY()-G38)</f>
        <v/>
      </c>
    </row>
    <row r="39">
      <c r="A39" s="2" t="n"/>
      <c r="B39" s="2" t="n"/>
      <c r="C39" s="2" t="n"/>
      <c r="D39" s="2" t="n"/>
      <c r="E39" s="2" t="n"/>
      <c r="F39" s="2" t="n"/>
      <c r="G39" s="2" t="n"/>
      <c r="H39" s="2" t="n"/>
      <c r="I39" s="2" t="n"/>
      <c r="J39" s="2" t="n"/>
      <c r="K39" s="2" t="n"/>
      <c r="L39" s="2" t="n"/>
      <c r="M39" s="2" t="n"/>
      <c r="N39" s="2" t="n"/>
      <c r="O39" s="2" t="n"/>
      <c r="P39" s="2" t="n"/>
      <c r="Q39" s="2">
        <f>IF(G39="","",TODAY()-G39)</f>
        <v/>
      </c>
    </row>
    <row r="40">
      <c r="A40" s="2" t="n"/>
      <c r="B40" s="2" t="n"/>
      <c r="C40" s="2" t="n"/>
      <c r="D40" s="2" t="n"/>
      <c r="E40" s="2" t="n"/>
      <c r="F40" s="2" t="n"/>
      <c r="G40" s="2" t="n"/>
      <c r="H40" s="2" t="n"/>
      <c r="I40" s="2" t="n"/>
      <c r="J40" s="2" t="n"/>
      <c r="K40" s="2" t="n"/>
      <c r="L40" s="2" t="n"/>
      <c r="M40" s="2" t="n"/>
      <c r="N40" s="2" t="n"/>
      <c r="O40" s="2" t="n"/>
      <c r="P40" s="2" t="n"/>
      <c r="Q40" s="2">
        <f>IF(G40="","",TODAY()-G40)</f>
        <v/>
      </c>
    </row>
    <row r="41">
      <c r="A41" s="2" t="n"/>
      <c r="B41" s="2" t="n"/>
      <c r="C41" s="2" t="n"/>
      <c r="D41" s="2" t="n"/>
      <c r="E41" s="2" t="n"/>
      <c r="F41" s="2" t="n"/>
      <c r="G41" s="2" t="n"/>
      <c r="H41" s="2" t="n"/>
      <c r="I41" s="2" t="n"/>
      <c r="J41" s="2" t="n"/>
      <c r="K41" s="2" t="n"/>
      <c r="L41" s="2" t="n"/>
      <c r="M41" s="2" t="n"/>
      <c r="N41" s="2" t="n"/>
      <c r="O41" s="2" t="n"/>
      <c r="P41" s="2" t="n"/>
      <c r="Q41" s="2">
        <f>IF(G41="","",TODAY()-G41)</f>
        <v/>
      </c>
    </row>
    <row r="42">
      <c r="A42" s="2" t="n"/>
      <c r="B42" s="2" t="n"/>
      <c r="C42" s="2" t="n"/>
      <c r="D42" s="2" t="n"/>
      <c r="E42" s="2" t="n"/>
      <c r="F42" s="2" t="n"/>
      <c r="G42" s="2" t="n"/>
      <c r="H42" s="2" t="n"/>
      <c r="I42" s="2" t="n"/>
      <c r="J42" s="2" t="n"/>
      <c r="K42" s="2" t="n"/>
      <c r="L42" s="2" t="n"/>
      <c r="M42" s="2" t="n"/>
      <c r="N42" s="2" t="n"/>
      <c r="O42" s="2" t="n"/>
      <c r="P42" s="2" t="n"/>
      <c r="Q42" s="2">
        <f>IF(G42="","",TODAY()-G42)</f>
        <v/>
      </c>
    </row>
    <row r="43">
      <c r="A43" s="2" t="n"/>
      <c r="B43" s="2" t="n"/>
      <c r="C43" s="2" t="n"/>
      <c r="D43" s="2" t="n"/>
      <c r="E43" s="2" t="n"/>
      <c r="F43" s="2" t="n"/>
      <c r="G43" s="2" t="n"/>
      <c r="H43" s="2" t="n"/>
      <c r="I43" s="2" t="n"/>
      <c r="J43" s="2" t="n"/>
      <c r="K43" s="2" t="n"/>
      <c r="L43" s="2" t="n"/>
      <c r="M43" s="2" t="n"/>
      <c r="N43" s="2" t="n"/>
      <c r="O43" s="2" t="n"/>
      <c r="P43" s="2" t="n"/>
      <c r="Q43" s="2">
        <f>IF(G43="","",TODAY()-G43)</f>
        <v/>
      </c>
    </row>
    <row r="44">
      <c r="A44" s="2" t="n"/>
      <c r="B44" s="2" t="n"/>
      <c r="C44" s="2" t="n"/>
      <c r="D44" s="2" t="n"/>
      <c r="E44" s="2" t="n"/>
      <c r="F44" s="2" t="n"/>
      <c r="G44" s="2" t="n"/>
      <c r="H44" s="2" t="n"/>
      <c r="I44" s="2" t="n"/>
      <c r="J44" s="2" t="n"/>
      <c r="K44" s="2" t="n"/>
      <c r="L44" s="2" t="n"/>
      <c r="M44" s="2" t="n"/>
      <c r="N44" s="2" t="n"/>
      <c r="O44" s="2" t="n"/>
      <c r="P44" s="2" t="n"/>
      <c r="Q44" s="2">
        <f>IF(G44="","",TODAY()-G44)</f>
        <v/>
      </c>
    </row>
    <row r="45">
      <c r="A45" s="2" t="n"/>
      <c r="B45" s="2" t="n"/>
      <c r="C45" s="2" t="n"/>
      <c r="D45" s="2" t="n"/>
      <c r="E45" s="2" t="n"/>
      <c r="F45" s="2" t="n"/>
      <c r="G45" s="2" t="n"/>
      <c r="H45" s="2" t="n"/>
      <c r="I45" s="2" t="n"/>
      <c r="J45" s="2" t="n"/>
      <c r="K45" s="2" t="n"/>
      <c r="L45" s="2" t="n"/>
      <c r="M45" s="2" t="n"/>
      <c r="N45" s="2" t="n"/>
      <c r="O45" s="2" t="n"/>
      <c r="P45" s="2" t="n"/>
      <c r="Q45" s="2">
        <f>IF(G45="","",TODAY()-G45)</f>
        <v/>
      </c>
    </row>
    <row r="46">
      <c r="A46" s="2" t="n"/>
      <c r="B46" s="2" t="n"/>
      <c r="C46" s="2" t="n"/>
      <c r="D46" s="2" t="n"/>
      <c r="E46" s="2" t="n"/>
      <c r="F46" s="2" t="n"/>
      <c r="G46" s="2" t="n"/>
      <c r="H46" s="2" t="n"/>
      <c r="I46" s="2" t="n"/>
      <c r="J46" s="2" t="n"/>
      <c r="K46" s="2" t="n"/>
      <c r="L46" s="2" t="n"/>
      <c r="M46" s="2" t="n"/>
      <c r="N46" s="2" t="n"/>
      <c r="O46" s="2" t="n"/>
      <c r="P46" s="2" t="n"/>
      <c r="Q46" s="2">
        <f>IF(G46="","",TODAY()-G46)</f>
        <v/>
      </c>
    </row>
    <row r="47">
      <c r="A47" s="2" t="n"/>
      <c r="B47" s="2" t="n"/>
      <c r="C47" s="2" t="n"/>
      <c r="D47" s="2" t="n"/>
      <c r="E47" s="2" t="n"/>
      <c r="F47" s="2" t="n"/>
      <c r="G47" s="2" t="n"/>
      <c r="H47" s="2" t="n"/>
      <c r="I47" s="2" t="n"/>
      <c r="J47" s="2" t="n"/>
      <c r="K47" s="2" t="n"/>
      <c r="L47" s="2" t="n"/>
      <c r="M47" s="2" t="n"/>
      <c r="N47" s="2" t="n"/>
      <c r="O47" s="2" t="n"/>
      <c r="P47" s="2" t="n"/>
      <c r="Q47" s="2">
        <f>IF(G47="","",TODAY()-G47)</f>
        <v/>
      </c>
    </row>
    <row r="48">
      <c r="A48" s="2" t="n"/>
      <c r="B48" s="2" t="n"/>
      <c r="C48" s="2" t="n"/>
      <c r="D48" s="2" t="n"/>
      <c r="E48" s="2" t="n"/>
      <c r="F48" s="2" t="n"/>
      <c r="G48" s="2" t="n"/>
      <c r="H48" s="2" t="n"/>
      <c r="I48" s="2" t="n"/>
      <c r="J48" s="2" t="n"/>
      <c r="K48" s="2" t="n"/>
      <c r="L48" s="2" t="n"/>
      <c r="M48" s="2" t="n"/>
      <c r="N48" s="2" t="n"/>
      <c r="O48" s="2" t="n"/>
      <c r="P48" s="2" t="n"/>
      <c r="Q48" s="2">
        <f>IF(G48="","",TODAY()-G48)</f>
        <v/>
      </c>
    </row>
    <row r="49">
      <c r="A49" s="2" t="n"/>
      <c r="B49" s="2" t="n"/>
      <c r="C49" s="2" t="n"/>
      <c r="D49" s="2" t="n"/>
      <c r="E49" s="2" t="n"/>
      <c r="F49" s="2" t="n"/>
      <c r="G49" s="2" t="n"/>
      <c r="H49" s="2" t="n"/>
      <c r="I49" s="2" t="n"/>
      <c r="J49" s="2" t="n"/>
      <c r="K49" s="2" t="n"/>
      <c r="L49" s="2" t="n"/>
      <c r="M49" s="2" t="n"/>
      <c r="N49" s="2" t="n"/>
      <c r="O49" s="2" t="n"/>
      <c r="P49" s="2" t="n"/>
      <c r="Q49" s="2">
        <f>IF(G49="","",TODAY()-G49)</f>
        <v/>
      </c>
    </row>
    <row r="50">
      <c r="A50" s="2" t="n"/>
      <c r="B50" s="2" t="n"/>
      <c r="C50" s="2" t="n"/>
      <c r="D50" s="2" t="n"/>
      <c r="E50" s="2" t="n"/>
      <c r="F50" s="2" t="n"/>
      <c r="G50" s="2" t="n"/>
      <c r="H50" s="2" t="n"/>
      <c r="I50" s="2" t="n"/>
      <c r="J50" s="2" t="n"/>
      <c r="K50" s="2" t="n"/>
      <c r="L50" s="2" t="n"/>
      <c r="M50" s="2" t="n"/>
      <c r="N50" s="2" t="n"/>
      <c r="O50" s="2" t="n"/>
      <c r="P50" s="2" t="n"/>
      <c r="Q50" s="2">
        <f>IF(G50="","",TODAY()-G50)</f>
        <v/>
      </c>
    </row>
    <row r="51">
      <c r="A51" s="2" t="n"/>
      <c r="B51" s="2" t="n"/>
      <c r="C51" s="2" t="n"/>
      <c r="D51" s="2" t="n"/>
      <c r="E51" s="2" t="n"/>
      <c r="F51" s="2" t="n"/>
      <c r="G51" s="2" t="n"/>
      <c r="H51" s="2" t="n"/>
      <c r="I51" s="2" t="n"/>
      <c r="J51" s="2" t="n"/>
      <c r="K51" s="2" t="n"/>
      <c r="L51" s="2" t="n"/>
      <c r="M51" s="2" t="n"/>
      <c r="N51" s="2" t="n"/>
      <c r="O51" s="2" t="n"/>
      <c r="P51" s="2" t="n"/>
      <c r="Q51" s="2">
        <f>IF(G51="","",TODAY()-G51)</f>
        <v/>
      </c>
    </row>
    <row r="52">
      <c r="A52" s="2" t="n"/>
      <c r="B52" s="2" t="n"/>
      <c r="C52" s="2" t="n"/>
      <c r="D52" s="2" t="n"/>
      <c r="E52" s="2" t="n"/>
      <c r="F52" s="2" t="n"/>
      <c r="G52" s="2" t="n"/>
      <c r="H52" s="2" t="n"/>
      <c r="I52" s="2" t="n"/>
      <c r="J52" s="2" t="n"/>
      <c r="K52" s="2" t="n"/>
      <c r="L52" s="2" t="n"/>
      <c r="M52" s="2" t="n"/>
      <c r="N52" s="2" t="n"/>
      <c r="O52" s="2" t="n"/>
      <c r="P52" s="2" t="n"/>
      <c r="Q52" s="2">
        <f>IF(G52="","",TODAY()-G52)</f>
        <v/>
      </c>
    </row>
    <row r="53">
      <c r="A53" s="2" t="n"/>
      <c r="B53" s="2" t="n"/>
      <c r="C53" s="2" t="n"/>
      <c r="D53" s="2" t="n"/>
      <c r="E53" s="2" t="n"/>
      <c r="F53" s="2" t="n"/>
      <c r="G53" s="2" t="n"/>
      <c r="H53" s="2" t="n"/>
      <c r="I53" s="2" t="n"/>
      <c r="J53" s="2" t="n"/>
      <c r="K53" s="2" t="n"/>
      <c r="L53" s="2" t="n"/>
      <c r="M53" s="2" t="n"/>
      <c r="N53" s="2" t="n"/>
      <c r="O53" s="2" t="n"/>
      <c r="P53" s="2" t="n"/>
      <c r="Q53" s="2">
        <f>IF(G53="","",TODAY()-G53)</f>
        <v/>
      </c>
    </row>
    <row r="54">
      <c r="A54" s="2" t="n"/>
      <c r="B54" s="2" t="n"/>
      <c r="C54" s="2" t="n"/>
      <c r="D54" s="2" t="n"/>
      <c r="E54" s="2" t="n"/>
      <c r="F54" s="2" t="n"/>
      <c r="G54" s="2" t="n"/>
      <c r="H54" s="2" t="n"/>
      <c r="I54" s="2" t="n"/>
      <c r="J54" s="2" t="n"/>
      <c r="K54" s="2" t="n"/>
      <c r="L54" s="2" t="n"/>
      <c r="M54" s="2" t="n"/>
      <c r="N54" s="2" t="n"/>
      <c r="O54" s="2" t="n"/>
      <c r="P54" s="2" t="n"/>
      <c r="Q54" s="2">
        <f>IF(G54="","",TODAY()-G54)</f>
        <v/>
      </c>
    </row>
    <row r="55">
      <c r="A55" s="2" t="n"/>
      <c r="B55" s="2" t="n"/>
      <c r="C55" s="2" t="n"/>
      <c r="D55" s="2" t="n"/>
      <c r="E55" s="2" t="n"/>
      <c r="F55" s="2" t="n"/>
      <c r="G55" s="2" t="n"/>
      <c r="H55" s="2" t="n"/>
      <c r="I55" s="2" t="n"/>
      <c r="J55" s="2" t="n"/>
      <c r="K55" s="2" t="n"/>
      <c r="L55" s="2" t="n"/>
      <c r="M55" s="2" t="n"/>
      <c r="N55" s="2" t="n"/>
      <c r="O55" s="2" t="n"/>
      <c r="P55" s="2" t="n"/>
      <c r="Q55" s="2">
        <f>IF(G55="","",TODAY()-G55)</f>
        <v/>
      </c>
    </row>
    <row r="56">
      <c r="A56" s="2" t="n"/>
      <c r="B56" s="2" t="n"/>
      <c r="C56" s="2" t="n"/>
      <c r="D56" s="2" t="n"/>
      <c r="E56" s="2" t="n"/>
      <c r="F56" s="2" t="n"/>
      <c r="G56" s="2" t="n"/>
      <c r="H56" s="2" t="n"/>
      <c r="I56" s="2" t="n"/>
      <c r="J56" s="2" t="n"/>
      <c r="K56" s="2" t="n"/>
      <c r="L56" s="2" t="n"/>
      <c r="M56" s="2" t="n"/>
      <c r="N56" s="2" t="n"/>
      <c r="O56" s="2" t="n"/>
      <c r="P56" s="2" t="n"/>
      <c r="Q56" s="2">
        <f>IF(G56="","",TODAY()-G56)</f>
        <v/>
      </c>
    </row>
    <row r="57">
      <c r="A57" s="2" t="n"/>
      <c r="B57" s="2" t="n"/>
      <c r="C57" s="2" t="n"/>
      <c r="D57" s="2" t="n"/>
      <c r="E57" s="2" t="n"/>
      <c r="F57" s="2" t="n"/>
      <c r="G57" s="2" t="n"/>
      <c r="H57" s="2" t="n"/>
      <c r="I57" s="2" t="n"/>
      <c r="J57" s="2" t="n"/>
      <c r="K57" s="2" t="n"/>
      <c r="L57" s="2" t="n"/>
      <c r="M57" s="2" t="n"/>
      <c r="N57" s="2" t="n"/>
      <c r="O57" s="2" t="n"/>
      <c r="P57" s="2" t="n"/>
      <c r="Q57" s="2">
        <f>IF(G57="","",TODAY()-G57)</f>
        <v/>
      </c>
    </row>
    <row r="58">
      <c r="A58" s="2" t="n"/>
      <c r="B58" s="2" t="n"/>
      <c r="C58" s="2" t="n"/>
      <c r="D58" s="2" t="n"/>
      <c r="E58" s="2" t="n"/>
      <c r="F58" s="2" t="n"/>
      <c r="G58" s="2" t="n"/>
      <c r="H58" s="2" t="n"/>
      <c r="I58" s="2" t="n"/>
      <c r="J58" s="2" t="n"/>
      <c r="K58" s="2" t="n"/>
      <c r="L58" s="2" t="n"/>
      <c r="M58" s="2" t="n"/>
      <c r="N58" s="2" t="n"/>
      <c r="O58" s="2" t="n"/>
      <c r="P58" s="2" t="n"/>
      <c r="Q58" s="2">
        <f>IF(G58="","",TODAY()-G58)</f>
        <v/>
      </c>
    </row>
    <row r="59">
      <c r="A59" s="2" t="n"/>
      <c r="B59" s="2" t="n"/>
      <c r="C59" s="2" t="n"/>
      <c r="D59" s="2" t="n"/>
      <c r="E59" s="2" t="n"/>
      <c r="F59" s="2" t="n"/>
      <c r="G59" s="2" t="n"/>
      <c r="H59" s="2" t="n"/>
      <c r="I59" s="2" t="n"/>
      <c r="J59" s="2" t="n"/>
      <c r="K59" s="2" t="n"/>
      <c r="L59" s="2" t="n"/>
      <c r="M59" s="2" t="n"/>
      <c r="N59" s="2" t="n"/>
      <c r="O59" s="2" t="n"/>
      <c r="P59" s="2" t="n"/>
      <c r="Q59" s="2">
        <f>IF(G59="","",TODAY()-G59)</f>
        <v/>
      </c>
    </row>
    <row r="60">
      <c r="A60" s="2" t="n"/>
      <c r="B60" s="2" t="n"/>
      <c r="C60" s="2" t="n"/>
      <c r="D60" s="2" t="n"/>
      <c r="E60" s="2" t="n"/>
      <c r="F60" s="2" t="n"/>
      <c r="G60" s="2" t="n"/>
      <c r="H60" s="2" t="n"/>
      <c r="I60" s="2" t="n"/>
      <c r="J60" s="2" t="n"/>
      <c r="K60" s="2" t="n"/>
      <c r="L60" s="2" t="n"/>
      <c r="M60" s="2" t="n"/>
      <c r="N60" s="2" t="n"/>
      <c r="O60" s="2" t="n"/>
      <c r="P60" s="2" t="n"/>
      <c r="Q60" s="2">
        <f>IF(G60="","",TODAY()-G60)</f>
        <v/>
      </c>
    </row>
    <row r="61">
      <c r="A61" s="2" t="n"/>
      <c r="B61" s="2" t="n"/>
      <c r="C61" s="2" t="n"/>
      <c r="D61" s="2" t="n"/>
      <c r="E61" s="2" t="n"/>
      <c r="F61" s="2" t="n"/>
      <c r="G61" s="2" t="n"/>
      <c r="H61" s="2" t="n"/>
      <c r="I61" s="2" t="n"/>
      <c r="J61" s="2" t="n"/>
      <c r="K61" s="2" t="n"/>
      <c r="L61" s="2" t="n"/>
      <c r="M61" s="2" t="n"/>
      <c r="N61" s="2" t="n"/>
      <c r="O61" s="2" t="n"/>
      <c r="P61" s="2" t="n"/>
      <c r="Q61" s="2">
        <f>IF(G61="","",TODAY()-G61)</f>
        <v/>
      </c>
    </row>
    <row r="62">
      <c r="A62" s="2" t="n"/>
      <c r="B62" s="2" t="n"/>
      <c r="C62" s="2" t="n"/>
      <c r="D62" s="2" t="n"/>
      <c r="E62" s="2" t="n"/>
      <c r="F62" s="2" t="n"/>
      <c r="G62" s="2" t="n"/>
      <c r="H62" s="2" t="n"/>
      <c r="I62" s="2" t="n"/>
      <c r="J62" s="2" t="n"/>
      <c r="K62" s="2" t="n"/>
      <c r="L62" s="2" t="n"/>
      <c r="M62" s="2" t="n"/>
      <c r="N62" s="2" t="n"/>
      <c r="O62" s="2" t="n"/>
      <c r="P62" s="2" t="n"/>
      <c r="Q62" s="2">
        <f>IF(G62="","",TODAY()-G62)</f>
        <v/>
      </c>
    </row>
    <row r="63">
      <c r="A63" s="2" t="n"/>
      <c r="B63" s="2" t="n"/>
      <c r="C63" s="2" t="n"/>
      <c r="D63" s="2" t="n"/>
      <c r="E63" s="2" t="n"/>
      <c r="F63" s="2" t="n"/>
      <c r="G63" s="2" t="n"/>
      <c r="H63" s="2" t="n"/>
      <c r="I63" s="2" t="n"/>
      <c r="J63" s="2" t="n"/>
      <c r="K63" s="2" t="n"/>
      <c r="L63" s="2" t="n"/>
      <c r="M63" s="2" t="n"/>
      <c r="N63" s="2" t="n"/>
      <c r="O63" s="2" t="n"/>
      <c r="P63" s="2" t="n"/>
      <c r="Q63" s="2">
        <f>IF(G63="","",TODAY()-G63)</f>
        <v/>
      </c>
    </row>
    <row r="64">
      <c r="A64" s="2" t="n"/>
      <c r="B64" s="2" t="n"/>
      <c r="C64" s="2" t="n"/>
      <c r="D64" s="2" t="n"/>
      <c r="E64" s="2" t="n"/>
      <c r="F64" s="2" t="n"/>
      <c r="G64" s="2" t="n"/>
      <c r="H64" s="2" t="n"/>
      <c r="I64" s="2" t="n"/>
      <c r="J64" s="2" t="n"/>
      <c r="K64" s="2" t="n"/>
      <c r="L64" s="2" t="n"/>
      <c r="M64" s="2" t="n"/>
      <c r="N64" s="2" t="n"/>
      <c r="O64" s="2" t="n"/>
      <c r="P64" s="2" t="n"/>
      <c r="Q64" s="2">
        <f>IF(G64="","",TODAY()-G64)</f>
        <v/>
      </c>
    </row>
    <row r="65">
      <c r="A65" s="2" t="n"/>
      <c r="B65" s="2" t="n"/>
      <c r="C65" s="2" t="n"/>
      <c r="D65" s="2" t="n"/>
      <c r="E65" s="2" t="n"/>
      <c r="F65" s="2" t="n"/>
      <c r="G65" s="2" t="n"/>
      <c r="H65" s="2" t="n"/>
      <c r="I65" s="2" t="n"/>
      <c r="J65" s="2" t="n"/>
      <c r="K65" s="2" t="n"/>
      <c r="L65" s="2" t="n"/>
      <c r="M65" s="2" t="n"/>
      <c r="N65" s="2" t="n"/>
      <c r="O65" s="2" t="n"/>
      <c r="P65" s="2" t="n"/>
      <c r="Q65" s="2">
        <f>IF(G65="","",TODAY()-G65)</f>
        <v/>
      </c>
    </row>
    <row r="66">
      <c r="A66" s="2" t="n"/>
      <c r="B66" s="2" t="n"/>
      <c r="C66" s="2" t="n"/>
      <c r="D66" s="2" t="n"/>
      <c r="E66" s="2" t="n"/>
      <c r="F66" s="2" t="n"/>
      <c r="G66" s="2" t="n"/>
      <c r="H66" s="2" t="n"/>
      <c r="I66" s="2" t="n"/>
      <c r="J66" s="2" t="n"/>
      <c r="K66" s="2" t="n"/>
      <c r="L66" s="2" t="n"/>
      <c r="M66" s="2" t="n"/>
      <c r="N66" s="2" t="n"/>
      <c r="O66" s="2" t="n"/>
      <c r="P66" s="2" t="n"/>
      <c r="Q66" s="2">
        <f>IF(G66="","",TODAY()-G66)</f>
        <v/>
      </c>
    </row>
    <row r="67">
      <c r="A67" s="2" t="n"/>
      <c r="B67" s="2" t="n"/>
      <c r="C67" s="2" t="n"/>
      <c r="D67" s="2" t="n"/>
      <c r="E67" s="2" t="n"/>
      <c r="F67" s="2" t="n"/>
      <c r="G67" s="2" t="n"/>
      <c r="H67" s="2" t="n"/>
      <c r="I67" s="2" t="n"/>
      <c r="J67" s="2" t="n"/>
      <c r="K67" s="2" t="n"/>
      <c r="L67" s="2" t="n"/>
      <c r="M67" s="2" t="n"/>
      <c r="N67" s="2" t="n"/>
      <c r="O67" s="2" t="n"/>
      <c r="P67" s="2" t="n"/>
      <c r="Q67" s="2">
        <f>IF(G67="","",TODAY()-G67)</f>
        <v/>
      </c>
    </row>
    <row r="68">
      <c r="A68" s="2" t="n"/>
      <c r="B68" s="2" t="n"/>
      <c r="C68" s="2" t="n"/>
      <c r="D68" s="2" t="n"/>
      <c r="E68" s="2" t="n"/>
      <c r="F68" s="2" t="n"/>
      <c r="G68" s="2" t="n"/>
      <c r="H68" s="2" t="n"/>
      <c r="I68" s="2" t="n"/>
      <c r="J68" s="2" t="n"/>
      <c r="K68" s="2" t="n"/>
      <c r="L68" s="2" t="n"/>
      <c r="M68" s="2" t="n"/>
      <c r="N68" s="2" t="n"/>
      <c r="O68" s="2" t="n"/>
      <c r="P68" s="2" t="n"/>
      <c r="Q68" s="2">
        <f>IF(G68="","",TODAY()-G68)</f>
        <v/>
      </c>
    </row>
    <row r="69">
      <c r="A69" s="2" t="n"/>
      <c r="B69" s="2" t="n"/>
      <c r="C69" s="2" t="n"/>
      <c r="D69" s="2" t="n"/>
      <c r="E69" s="2" t="n"/>
      <c r="F69" s="2" t="n"/>
      <c r="G69" s="2" t="n"/>
      <c r="H69" s="2" t="n"/>
      <c r="I69" s="2" t="n"/>
      <c r="J69" s="2" t="n"/>
      <c r="K69" s="2" t="n"/>
      <c r="L69" s="2" t="n"/>
      <c r="M69" s="2" t="n"/>
      <c r="N69" s="2" t="n"/>
      <c r="O69" s="2" t="n"/>
      <c r="P69" s="2" t="n"/>
      <c r="Q69" s="2">
        <f>IF(G69="","",TODAY()-G69)</f>
        <v/>
      </c>
    </row>
    <row r="70">
      <c r="A70" s="2" t="n"/>
      <c r="B70" s="2" t="n"/>
      <c r="C70" s="2" t="n"/>
      <c r="D70" s="2" t="n"/>
      <c r="E70" s="2" t="n"/>
      <c r="F70" s="2" t="n"/>
      <c r="G70" s="2" t="n"/>
      <c r="H70" s="2" t="n"/>
      <c r="I70" s="2" t="n"/>
      <c r="J70" s="2" t="n"/>
      <c r="K70" s="2" t="n"/>
      <c r="L70" s="2" t="n"/>
      <c r="M70" s="2" t="n"/>
      <c r="N70" s="2" t="n"/>
      <c r="O70" s="2" t="n"/>
      <c r="P70" s="2" t="n"/>
      <c r="Q70" s="2">
        <f>IF(G70="","",TODAY()-G70)</f>
        <v/>
      </c>
    </row>
    <row r="71">
      <c r="A71" s="2" t="n"/>
      <c r="B71" s="2" t="n"/>
      <c r="C71" s="2" t="n"/>
      <c r="D71" s="2" t="n"/>
      <c r="E71" s="2" t="n"/>
      <c r="F71" s="2" t="n"/>
      <c r="G71" s="2" t="n"/>
      <c r="H71" s="2" t="n"/>
      <c r="I71" s="2" t="n"/>
      <c r="J71" s="2" t="n"/>
      <c r="K71" s="2" t="n"/>
      <c r="L71" s="2" t="n"/>
      <c r="M71" s="2" t="n"/>
      <c r="N71" s="2" t="n"/>
      <c r="O71" s="2" t="n"/>
      <c r="P71" s="2" t="n"/>
      <c r="Q71" s="2">
        <f>IF(G71="","",TODAY()-G71)</f>
        <v/>
      </c>
    </row>
    <row r="72">
      <c r="A72" s="2" t="n"/>
      <c r="B72" s="2" t="n"/>
      <c r="C72" s="2" t="n"/>
      <c r="D72" s="2" t="n"/>
      <c r="E72" s="2" t="n"/>
      <c r="F72" s="2" t="n"/>
      <c r="G72" s="2" t="n"/>
      <c r="H72" s="2" t="n"/>
      <c r="I72" s="2" t="n"/>
      <c r="J72" s="2" t="n"/>
      <c r="K72" s="2" t="n"/>
      <c r="L72" s="2" t="n"/>
      <c r="M72" s="2" t="n"/>
      <c r="N72" s="2" t="n"/>
      <c r="O72" s="2" t="n"/>
      <c r="P72" s="2" t="n"/>
      <c r="Q72" s="2">
        <f>IF(G72="","",TODAY()-G72)</f>
        <v/>
      </c>
    </row>
    <row r="73">
      <c r="A73" s="2" t="n"/>
      <c r="B73" s="2" t="n"/>
      <c r="C73" s="2" t="n"/>
      <c r="D73" s="2" t="n"/>
      <c r="E73" s="2" t="n"/>
      <c r="F73" s="2" t="n"/>
      <c r="G73" s="2" t="n"/>
      <c r="H73" s="2" t="n"/>
      <c r="I73" s="2" t="n"/>
      <c r="J73" s="2" t="n"/>
      <c r="K73" s="2" t="n"/>
      <c r="L73" s="2" t="n"/>
      <c r="M73" s="2" t="n"/>
      <c r="N73" s="2" t="n"/>
      <c r="O73" s="2" t="n"/>
      <c r="P73" s="2" t="n"/>
      <c r="Q73" s="2">
        <f>IF(G73="","",TODAY()-G73)</f>
        <v/>
      </c>
    </row>
    <row r="74">
      <c r="A74" s="2" t="n"/>
      <c r="B74" s="2" t="n"/>
      <c r="C74" s="2" t="n"/>
      <c r="D74" s="2" t="n"/>
      <c r="E74" s="2" t="n"/>
      <c r="F74" s="2" t="n"/>
      <c r="G74" s="2" t="n"/>
      <c r="H74" s="2" t="n"/>
      <c r="I74" s="2" t="n"/>
      <c r="J74" s="2" t="n"/>
      <c r="K74" s="2" t="n"/>
      <c r="L74" s="2" t="n"/>
      <c r="M74" s="2" t="n"/>
      <c r="N74" s="2" t="n"/>
      <c r="O74" s="2" t="n"/>
      <c r="P74" s="2" t="n"/>
      <c r="Q74" s="2">
        <f>IF(G74="","",TODAY()-G74)</f>
        <v/>
      </c>
    </row>
    <row r="75">
      <c r="A75" s="2" t="n"/>
      <c r="B75" s="2" t="n"/>
      <c r="C75" s="2" t="n"/>
      <c r="D75" s="2" t="n"/>
      <c r="E75" s="2" t="n"/>
      <c r="F75" s="2" t="n"/>
      <c r="G75" s="2" t="n"/>
      <c r="H75" s="2" t="n"/>
      <c r="I75" s="2" t="n"/>
      <c r="J75" s="2" t="n"/>
      <c r="K75" s="2" t="n"/>
      <c r="L75" s="2" t="n"/>
      <c r="M75" s="2" t="n"/>
      <c r="N75" s="2" t="n"/>
      <c r="O75" s="2" t="n"/>
      <c r="P75" s="2" t="n"/>
      <c r="Q75" s="2">
        <f>IF(G75="","",TODAY()-G75)</f>
        <v/>
      </c>
    </row>
    <row r="76">
      <c r="A76" s="2" t="n"/>
      <c r="B76" s="2" t="n"/>
      <c r="C76" s="2" t="n"/>
      <c r="D76" s="2" t="n"/>
      <c r="E76" s="2" t="n"/>
      <c r="F76" s="2" t="n"/>
      <c r="G76" s="2" t="n"/>
      <c r="H76" s="2" t="n"/>
      <c r="I76" s="2" t="n"/>
      <c r="J76" s="2" t="n"/>
      <c r="K76" s="2" t="n"/>
      <c r="L76" s="2" t="n"/>
      <c r="M76" s="2" t="n"/>
      <c r="N76" s="2" t="n"/>
      <c r="O76" s="2" t="n"/>
      <c r="P76" s="2" t="n"/>
      <c r="Q76" s="2">
        <f>IF(G76="","",TODAY()-G76)</f>
        <v/>
      </c>
    </row>
    <row r="77">
      <c r="A77" s="2" t="n"/>
      <c r="B77" s="2" t="n"/>
      <c r="C77" s="2" t="n"/>
      <c r="D77" s="2" t="n"/>
      <c r="E77" s="2" t="n"/>
      <c r="F77" s="2" t="n"/>
      <c r="G77" s="2" t="n"/>
      <c r="H77" s="2" t="n"/>
      <c r="I77" s="2" t="n"/>
      <c r="J77" s="2" t="n"/>
      <c r="K77" s="2" t="n"/>
      <c r="L77" s="2" t="n"/>
      <c r="M77" s="2" t="n"/>
      <c r="N77" s="2" t="n"/>
      <c r="O77" s="2" t="n"/>
      <c r="P77" s="2" t="n"/>
      <c r="Q77" s="2">
        <f>IF(G77="","",TODAY()-G77)</f>
        <v/>
      </c>
    </row>
    <row r="78">
      <c r="A78" s="2" t="n"/>
      <c r="B78" s="2" t="n"/>
      <c r="C78" s="2" t="n"/>
      <c r="D78" s="2" t="n"/>
      <c r="E78" s="2" t="n"/>
      <c r="F78" s="2" t="n"/>
      <c r="G78" s="2" t="n"/>
      <c r="H78" s="2" t="n"/>
      <c r="I78" s="2" t="n"/>
      <c r="J78" s="2" t="n"/>
      <c r="K78" s="2" t="n"/>
      <c r="L78" s="2" t="n"/>
      <c r="M78" s="2" t="n"/>
      <c r="N78" s="2" t="n"/>
      <c r="O78" s="2" t="n"/>
      <c r="P78" s="2" t="n"/>
      <c r="Q78" s="2">
        <f>IF(G78="","",TODAY()-G78)</f>
        <v/>
      </c>
    </row>
    <row r="79">
      <c r="A79" s="2" t="n"/>
      <c r="B79" s="2" t="n"/>
      <c r="C79" s="2" t="n"/>
      <c r="D79" s="2" t="n"/>
      <c r="E79" s="2" t="n"/>
      <c r="F79" s="2" t="n"/>
      <c r="G79" s="2" t="n"/>
      <c r="H79" s="2" t="n"/>
      <c r="I79" s="2" t="n"/>
      <c r="J79" s="2" t="n"/>
      <c r="K79" s="2" t="n"/>
      <c r="L79" s="2" t="n"/>
      <c r="M79" s="2" t="n"/>
      <c r="N79" s="2" t="n"/>
      <c r="O79" s="2" t="n"/>
      <c r="P79" s="2" t="n"/>
      <c r="Q79" s="2">
        <f>IF(G79="","",TODAY()-G79)</f>
        <v/>
      </c>
    </row>
    <row r="80">
      <c r="A80" s="2" t="n"/>
      <c r="B80" s="2" t="n"/>
      <c r="C80" s="2" t="n"/>
      <c r="D80" s="2" t="n"/>
      <c r="E80" s="2" t="n"/>
      <c r="F80" s="2" t="n"/>
      <c r="G80" s="2" t="n"/>
      <c r="H80" s="2" t="n"/>
      <c r="I80" s="2" t="n"/>
      <c r="J80" s="2" t="n"/>
      <c r="K80" s="2" t="n"/>
      <c r="L80" s="2" t="n"/>
      <c r="M80" s="2" t="n"/>
      <c r="N80" s="2" t="n"/>
      <c r="O80" s="2" t="n"/>
      <c r="P80" s="2" t="n"/>
      <c r="Q80" s="2">
        <f>IF(G80="","",TODAY()-G80)</f>
        <v/>
      </c>
    </row>
    <row r="81">
      <c r="A81" s="2" t="n"/>
      <c r="B81" s="2" t="n"/>
      <c r="C81" s="2" t="n"/>
      <c r="D81" s="2" t="n"/>
      <c r="E81" s="2" t="n"/>
      <c r="F81" s="2" t="n"/>
      <c r="G81" s="2" t="n"/>
      <c r="H81" s="2" t="n"/>
      <c r="I81" s="2" t="n"/>
      <c r="J81" s="2" t="n"/>
      <c r="K81" s="2" t="n"/>
      <c r="L81" s="2" t="n"/>
      <c r="M81" s="2" t="n"/>
      <c r="N81" s="2" t="n"/>
      <c r="O81" s="2" t="n"/>
      <c r="P81" s="2" t="n"/>
      <c r="Q81" s="2">
        <f>IF(G81="","",TODAY()-G81)</f>
        <v/>
      </c>
    </row>
    <row r="82">
      <c r="A82" s="2" t="n"/>
      <c r="B82" s="2" t="n"/>
      <c r="C82" s="2" t="n"/>
      <c r="D82" s="2" t="n"/>
      <c r="E82" s="2" t="n"/>
      <c r="F82" s="2" t="n"/>
      <c r="G82" s="2" t="n"/>
      <c r="H82" s="2" t="n"/>
      <c r="I82" s="2" t="n"/>
      <c r="J82" s="2" t="n"/>
      <c r="K82" s="2" t="n"/>
      <c r="L82" s="2" t="n"/>
      <c r="M82" s="2" t="n"/>
      <c r="N82" s="2" t="n"/>
      <c r="O82" s="2" t="n"/>
      <c r="P82" s="2" t="n"/>
      <c r="Q82" s="2">
        <f>IF(G82="","",TODAY()-G82)</f>
        <v/>
      </c>
    </row>
    <row r="83">
      <c r="A83" s="2" t="n"/>
      <c r="B83" s="2" t="n"/>
      <c r="C83" s="2" t="n"/>
      <c r="D83" s="2" t="n"/>
      <c r="E83" s="2" t="n"/>
      <c r="F83" s="2" t="n"/>
      <c r="G83" s="2" t="n"/>
      <c r="H83" s="2" t="n"/>
      <c r="I83" s="2" t="n"/>
      <c r="J83" s="2" t="n"/>
      <c r="K83" s="2" t="n"/>
      <c r="L83" s="2" t="n"/>
      <c r="M83" s="2" t="n"/>
      <c r="N83" s="2" t="n"/>
      <c r="O83" s="2" t="n"/>
      <c r="P83" s="2" t="n"/>
      <c r="Q83" s="2">
        <f>IF(G83="","",TODAY()-G83)</f>
        <v/>
      </c>
    </row>
    <row r="84">
      <c r="A84" s="2" t="n"/>
      <c r="B84" s="2" t="n"/>
      <c r="C84" s="2" t="n"/>
      <c r="D84" s="2" t="n"/>
      <c r="E84" s="2" t="n"/>
      <c r="F84" s="2" t="n"/>
      <c r="G84" s="2" t="n"/>
      <c r="H84" s="2" t="n"/>
      <c r="I84" s="2" t="n"/>
      <c r="J84" s="2" t="n"/>
      <c r="K84" s="2" t="n"/>
      <c r="L84" s="2" t="n"/>
      <c r="M84" s="2" t="n"/>
      <c r="N84" s="2" t="n"/>
      <c r="O84" s="2" t="n"/>
      <c r="P84" s="2" t="n"/>
      <c r="Q84" s="2">
        <f>IF(G84="","",TODAY()-G84)</f>
        <v/>
      </c>
    </row>
    <row r="85">
      <c r="A85" s="2" t="n"/>
      <c r="B85" s="2" t="n"/>
      <c r="C85" s="2" t="n"/>
      <c r="D85" s="2" t="n"/>
      <c r="E85" s="2" t="n"/>
      <c r="F85" s="2" t="n"/>
      <c r="G85" s="2" t="n"/>
      <c r="H85" s="2" t="n"/>
      <c r="I85" s="2" t="n"/>
      <c r="J85" s="2" t="n"/>
      <c r="K85" s="2" t="n"/>
      <c r="L85" s="2" t="n"/>
      <c r="M85" s="2" t="n"/>
      <c r="N85" s="2" t="n"/>
      <c r="O85" s="2" t="n"/>
      <c r="P85" s="2" t="n"/>
      <c r="Q85" s="2">
        <f>IF(G85="","",TODAY()-G85)</f>
        <v/>
      </c>
    </row>
    <row r="86">
      <c r="A86" s="2" t="n"/>
      <c r="B86" s="2" t="n"/>
      <c r="C86" s="2" t="n"/>
      <c r="D86" s="2" t="n"/>
      <c r="E86" s="2" t="n"/>
      <c r="F86" s="2" t="n"/>
      <c r="G86" s="2" t="n"/>
      <c r="H86" s="2" t="n"/>
      <c r="I86" s="2" t="n"/>
      <c r="J86" s="2" t="n"/>
      <c r="K86" s="2" t="n"/>
      <c r="L86" s="2" t="n"/>
      <c r="M86" s="2" t="n"/>
      <c r="N86" s="2" t="n"/>
      <c r="O86" s="2" t="n"/>
      <c r="P86" s="2" t="n"/>
      <c r="Q86" s="2">
        <f>IF(G86="","",TODAY()-G86)</f>
        <v/>
      </c>
    </row>
    <row r="87">
      <c r="A87" s="2" t="n"/>
      <c r="B87" s="2" t="n"/>
      <c r="C87" s="2" t="n"/>
      <c r="D87" s="2" t="n"/>
      <c r="E87" s="2" t="n"/>
      <c r="F87" s="2" t="n"/>
      <c r="G87" s="2" t="n"/>
      <c r="H87" s="2" t="n"/>
      <c r="I87" s="2" t="n"/>
      <c r="J87" s="2" t="n"/>
      <c r="K87" s="2" t="n"/>
      <c r="L87" s="2" t="n"/>
      <c r="M87" s="2" t="n"/>
      <c r="N87" s="2" t="n"/>
      <c r="O87" s="2" t="n"/>
      <c r="P87" s="2" t="n"/>
      <c r="Q87" s="2">
        <f>IF(G87="","",TODAY()-G87)</f>
        <v/>
      </c>
    </row>
    <row r="88">
      <c r="A88" s="2" t="n"/>
      <c r="B88" s="2" t="n"/>
      <c r="C88" s="2" t="n"/>
      <c r="D88" s="2" t="n"/>
      <c r="E88" s="2" t="n"/>
      <c r="F88" s="2" t="n"/>
      <c r="G88" s="2" t="n"/>
      <c r="H88" s="2" t="n"/>
      <c r="I88" s="2" t="n"/>
      <c r="J88" s="2" t="n"/>
      <c r="K88" s="2" t="n"/>
      <c r="L88" s="2" t="n"/>
      <c r="M88" s="2" t="n"/>
      <c r="N88" s="2" t="n"/>
      <c r="O88" s="2" t="n"/>
      <c r="P88" s="2" t="n"/>
      <c r="Q88" s="2">
        <f>IF(G88="","",TODAY()-G88)</f>
        <v/>
      </c>
    </row>
    <row r="89">
      <c r="A89" s="2" t="n"/>
      <c r="B89" s="2" t="n"/>
      <c r="C89" s="2" t="n"/>
      <c r="D89" s="2" t="n"/>
      <c r="E89" s="2" t="n"/>
      <c r="F89" s="2" t="n"/>
      <c r="G89" s="2" t="n"/>
      <c r="H89" s="2" t="n"/>
      <c r="I89" s="2" t="n"/>
      <c r="J89" s="2" t="n"/>
      <c r="K89" s="2" t="n"/>
      <c r="L89" s="2" t="n"/>
      <c r="M89" s="2" t="n"/>
      <c r="N89" s="2" t="n"/>
      <c r="O89" s="2" t="n"/>
      <c r="P89" s="2" t="n"/>
      <c r="Q89" s="2">
        <f>IF(G89="","",TODAY()-G89)</f>
        <v/>
      </c>
    </row>
    <row r="90">
      <c r="A90" s="2" t="n"/>
      <c r="B90" s="2" t="n"/>
      <c r="C90" s="2" t="n"/>
      <c r="D90" s="2" t="n"/>
      <c r="E90" s="2" t="n"/>
      <c r="F90" s="2" t="n"/>
      <c r="G90" s="2" t="n"/>
      <c r="H90" s="2" t="n"/>
      <c r="I90" s="2" t="n"/>
      <c r="J90" s="2" t="n"/>
      <c r="K90" s="2" t="n"/>
      <c r="L90" s="2" t="n"/>
      <c r="M90" s="2" t="n"/>
      <c r="N90" s="2" t="n"/>
      <c r="O90" s="2" t="n"/>
      <c r="P90" s="2" t="n"/>
      <c r="Q90" s="2">
        <f>IF(G90="","",TODAY()-G90)</f>
        <v/>
      </c>
    </row>
    <row r="91">
      <c r="A91" s="2" t="n"/>
      <c r="B91" s="2" t="n"/>
      <c r="C91" s="2" t="n"/>
      <c r="D91" s="2" t="n"/>
      <c r="E91" s="2" t="n"/>
      <c r="F91" s="2" t="n"/>
      <c r="G91" s="2" t="n"/>
      <c r="H91" s="2" t="n"/>
      <c r="I91" s="2" t="n"/>
      <c r="J91" s="2" t="n"/>
      <c r="K91" s="2" t="n"/>
      <c r="L91" s="2" t="n"/>
      <c r="M91" s="2" t="n"/>
      <c r="N91" s="2" t="n"/>
      <c r="O91" s="2" t="n"/>
      <c r="P91" s="2" t="n"/>
      <c r="Q91" s="2">
        <f>IF(G91="","",TODAY()-G91)</f>
        <v/>
      </c>
    </row>
    <row r="92">
      <c r="A92" s="2" t="n"/>
      <c r="B92" s="2" t="n"/>
      <c r="C92" s="2" t="n"/>
      <c r="D92" s="2" t="n"/>
      <c r="E92" s="2" t="n"/>
      <c r="F92" s="2" t="n"/>
      <c r="G92" s="2" t="n"/>
      <c r="H92" s="2" t="n"/>
      <c r="I92" s="2" t="n"/>
      <c r="J92" s="2" t="n"/>
      <c r="K92" s="2" t="n"/>
      <c r="L92" s="2" t="n"/>
      <c r="M92" s="2" t="n"/>
      <c r="N92" s="2" t="n"/>
      <c r="O92" s="2" t="n"/>
      <c r="P92" s="2" t="n"/>
      <c r="Q92" s="2">
        <f>IF(G92="","",TODAY()-G92)</f>
        <v/>
      </c>
    </row>
    <row r="93">
      <c r="A93" s="2" t="n"/>
      <c r="B93" s="2" t="n"/>
      <c r="C93" s="2" t="n"/>
      <c r="D93" s="2" t="n"/>
      <c r="E93" s="2" t="n"/>
      <c r="F93" s="2" t="n"/>
      <c r="G93" s="2" t="n"/>
      <c r="H93" s="2" t="n"/>
      <c r="I93" s="2" t="n"/>
      <c r="J93" s="2" t="n"/>
      <c r="K93" s="2" t="n"/>
      <c r="L93" s="2" t="n"/>
      <c r="M93" s="2" t="n"/>
      <c r="N93" s="2" t="n"/>
      <c r="O93" s="2" t="n"/>
      <c r="P93" s="2" t="n"/>
      <c r="Q93" s="2">
        <f>IF(G93="","",TODAY()-G93)</f>
        <v/>
      </c>
    </row>
    <row r="94">
      <c r="A94" s="2" t="n"/>
      <c r="B94" s="2" t="n"/>
      <c r="C94" s="2" t="n"/>
      <c r="D94" s="2" t="n"/>
      <c r="E94" s="2" t="n"/>
      <c r="F94" s="2" t="n"/>
      <c r="G94" s="2" t="n"/>
      <c r="H94" s="2" t="n"/>
      <c r="I94" s="2" t="n"/>
      <c r="J94" s="2" t="n"/>
      <c r="K94" s="2" t="n"/>
      <c r="L94" s="2" t="n"/>
      <c r="M94" s="2" t="n"/>
      <c r="N94" s="2" t="n"/>
      <c r="O94" s="2" t="n"/>
      <c r="P94" s="2" t="n"/>
      <c r="Q94" s="2">
        <f>IF(G94="","",TODAY()-G94)</f>
        <v/>
      </c>
    </row>
    <row r="95">
      <c r="A95" s="2" t="n"/>
      <c r="B95" s="2" t="n"/>
      <c r="C95" s="2" t="n"/>
      <c r="D95" s="2" t="n"/>
      <c r="E95" s="2" t="n"/>
      <c r="F95" s="2" t="n"/>
      <c r="G95" s="2" t="n"/>
      <c r="H95" s="2" t="n"/>
      <c r="I95" s="2" t="n"/>
      <c r="J95" s="2" t="n"/>
      <c r="K95" s="2" t="n"/>
      <c r="L95" s="2" t="n"/>
      <c r="M95" s="2" t="n"/>
      <c r="N95" s="2" t="n"/>
      <c r="O95" s="2" t="n"/>
      <c r="P95" s="2" t="n"/>
      <c r="Q95" s="2">
        <f>IF(G95="","",TODAY()-G95)</f>
        <v/>
      </c>
    </row>
    <row r="96">
      <c r="A96" s="2" t="n"/>
      <c r="B96" s="2" t="n"/>
      <c r="C96" s="2" t="n"/>
      <c r="D96" s="2" t="n"/>
      <c r="E96" s="2" t="n"/>
      <c r="F96" s="2" t="n"/>
      <c r="G96" s="2" t="n"/>
      <c r="H96" s="2" t="n"/>
      <c r="I96" s="2" t="n"/>
      <c r="J96" s="2" t="n"/>
      <c r="K96" s="2" t="n"/>
      <c r="L96" s="2" t="n"/>
      <c r="M96" s="2" t="n"/>
      <c r="N96" s="2" t="n"/>
      <c r="O96" s="2" t="n"/>
      <c r="P96" s="2" t="n"/>
      <c r="Q96" s="2">
        <f>IF(G96="","",TODAY()-G96)</f>
        <v/>
      </c>
    </row>
    <row r="97">
      <c r="A97" s="2" t="n"/>
      <c r="B97" s="2" t="n"/>
      <c r="C97" s="2" t="n"/>
      <c r="D97" s="2" t="n"/>
      <c r="E97" s="2" t="n"/>
      <c r="F97" s="2" t="n"/>
      <c r="G97" s="2" t="n"/>
      <c r="H97" s="2" t="n"/>
      <c r="I97" s="2" t="n"/>
      <c r="J97" s="2" t="n"/>
      <c r="K97" s="2" t="n"/>
      <c r="L97" s="2" t="n"/>
      <c r="M97" s="2" t="n"/>
      <c r="N97" s="2" t="n"/>
      <c r="O97" s="2" t="n"/>
      <c r="P97" s="2" t="n"/>
      <c r="Q97" s="2">
        <f>IF(G97="","",TODAY()-G97)</f>
        <v/>
      </c>
    </row>
    <row r="98">
      <c r="A98" s="2" t="n"/>
      <c r="B98" s="2" t="n"/>
      <c r="C98" s="2" t="n"/>
      <c r="D98" s="2" t="n"/>
      <c r="E98" s="2" t="n"/>
      <c r="F98" s="2" t="n"/>
      <c r="G98" s="2" t="n"/>
      <c r="H98" s="2" t="n"/>
      <c r="I98" s="2" t="n"/>
      <c r="J98" s="2" t="n"/>
      <c r="K98" s="2" t="n"/>
      <c r="L98" s="2" t="n"/>
      <c r="M98" s="2" t="n"/>
      <c r="N98" s="2" t="n"/>
      <c r="O98" s="2" t="n"/>
      <c r="P98" s="2" t="n"/>
      <c r="Q98" s="2">
        <f>IF(G98="","",TODAY()-G98)</f>
        <v/>
      </c>
    </row>
    <row r="99">
      <c r="A99" s="2" t="n"/>
      <c r="B99" s="2" t="n"/>
      <c r="C99" s="2" t="n"/>
      <c r="D99" s="2" t="n"/>
      <c r="E99" s="2" t="n"/>
      <c r="F99" s="2" t="n"/>
      <c r="G99" s="2" t="n"/>
      <c r="H99" s="2" t="n"/>
      <c r="I99" s="2" t="n"/>
      <c r="J99" s="2" t="n"/>
      <c r="K99" s="2" t="n"/>
      <c r="L99" s="2" t="n"/>
      <c r="M99" s="2" t="n"/>
      <c r="N99" s="2" t="n"/>
      <c r="O99" s="2" t="n"/>
      <c r="P99" s="2" t="n"/>
      <c r="Q99" s="2">
        <f>IF(G99="","",TODAY()-G99)</f>
        <v/>
      </c>
    </row>
    <row r="100">
      <c r="A100" s="2" t="n"/>
      <c r="B100" s="2" t="n"/>
      <c r="C100" s="2" t="n"/>
      <c r="D100" s="2" t="n"/>
      <c r="E100" s="2" t="n"/>
      <c r="F100" s="2" t="n"/>
      <c r="G100" s="2" t="n"/>
      <c r="H100" s="2" t="n"/>
      <c r="I100" s="2" t="n"/>
      <c r="J100" s="2" t="n"/>
      <c r="K100" s="2" t="n"/>
      <c r="L100" s="2" t="n"/>
      <c r="M100" s="2" t="n"/>
      <c r="N100" s="2" t="n"/>
      <c r="O100" s="2" t="n"/>
      <c r="P100" s="2" t="n"/>
      <c r="Q100" s="2">
        <f>IF(G100="","",TODAY()-G100)</f>
        <v/>
      </c>
    </row>
    <row r="101">
      <c r="A101" s="2" t="n"/>
      <c r="B101" s="2" t="n"/>
      <c r="C101" s="2" t="n"/>
      <c r="D101" s="2" t="n"/>
      <c r="E101" s="2" t="n"/>
      <c r="F101" s="2" t="n"/>
      <c r="G101" s="2" t="n"/>
      <c r="H101" s="2" t="n"/>
      <c r="I101" s="2" t="n"/>
      <c r="J101" s="2" t="n"/>
      <c r="K101" s="2" t="n"/>
      <c r="L101" s="2" t="n"/>
      <c r="M101" s="2" t="n"/>
      <c r="N101" s="2" t="n"/>
      <c r="O101" s="2" t="n"/>
      <c r="P101" s="2" t="n"/>
      <c r="Q101" s="2">
        <f>IF(G101="","",TODAY()-G101)</f>
        <v/>
      </c>
    </row>
    <row r="102">
      <c r="A102" s="2" t="n"/>
      <c r="B102" s="2" t="n"/>
      <c r="C102" s="2" t="n"/>
      <c r="D102" s="2" t="n"/>
      <c r="E102" s="2" t="n"/>
      <c r="F102" s="2" t="n"/>
      <c r="G102" s="2" t="n"/>
      <c r="H102" s="2" t="n"/>
      <c r="I102" s="2" t="n"/>
      <c r="J102" s="2" t="n"/>
      <c r="K102" s="2" t="n"/>
      <c r="L102" s="2" t="n"/>
      <c r="M102" s="2" t="n"/>
      <c r="N102" s="2" t="n"/>
      <c r="O102" s="2" t="n"/>
      <c r="P102" s="2" t="n"/>
      <c r="Q102" s="2">
        <f>IF(G102="","",TODAY()-G102)</f>
        <v/>
      </c>
    </row>
    <row r="103">
      <c r="A103" s="2" t="n"/>
      <c r="B103" s="2" t="n"/>
      <c r="C103" s="2" t="n"/>
      <c r="D103" s="2" t="n"/>
      <c r="E103" s="2" t="n"/>
      <c r="F103" s="2" t="n"/>
      <c r="G103" s="2" t="n"/>
      <c r="H103" s="2" t="n"/>
      <c r="I103" s="2" t="n"/>
      <c r="J103" s="2" t="n"/>
      <c r="K103" s="2" t="n"/>
      <c r="L103" s="2" t="n"/>
      <c r="M103" s="2" t="n"/>
      <c r="N103" s="2" t="n"/>
      <c r="O103" s="2" t="n"/>
      <c r="P103" s="2" t="n"/>
      <c r="Q103" s="2">
        <f>IF(G103="","",TODAY()-G103)</f>
        <v/>
      </c>
    </row>
    <row r="104">
      <c r="A104" s="2" t="n"/>
      <c r="B104" s="2" t="n"/>
      <c r="C104" s="2" t="n"/>
      <c r="D104" s="2" t="n"/>
      <c r="E104" s="2" t="n"/>
      <c r="F104" s="2" t="n"/>
      <c r="G104" s="2" t="n"/>
      <c r="H104" s="2" t="n"/>
      <c r="I104" s="2" t="n"/>
      <c r="J104" s="2" t="n"/>
      <c r="K104" s="2" t="n"/>
      <c r="L104" s="2" t="n"/>
      <c r="M104" s="2" t="n"/>
      <c r="N104" s="2" t="n"/>
      <c r="O104" s="2" t="n"/>
      <c r="P104" s="2" t="n"/>
      <c r="Q104" s="2">
        <f>IF(G104="","",TODAY()-G104)</f>
        <v/>
      </c>
    </row>
    <row r="105">
      <c r="A105" s="2" t="n"/>
      <c r="B105" s="2" t="n"/>
      <c r="C105" s="2" t="n"/>
      <c r="D105" s="2" t="n"/>
      <c r="E105" s="2" t="n"/>
      <c r="F105" s="2" t="n"/>
      <c r="G105" s="2" t="n"/>
      <c r="H105" s="2" t="n"/>
      <c r="I105" s="2" t="n"/>
      <c r="J105" s="2" t="n"/>
      <c r="K105" s="2" t="n"/>
      <c r="L105" s="2" t="n"/>
      <c r="M105" s="2" t="n"/>
      <c r="N105" s="2" t="n"/>
      <c r="O105" s="2" t="n"/>
      <c r="P105" s="2" t="n"/>
      <c r="Q105" s="2">
        <f>IF(G105="","",TODAY()-G105)</f>
        <v/>
      </c>
    </row>
    <row r="106">
      <c r="A106" s="2" t="n"/>
      <c r="B106" s="2" t="n"/>
      <c r="C106" s="2" t="n"/>
      <c r="D106" s="2" t="n"/>
      <c r="E106" s="2" t="n"/>
      <c r="F106" s="2" t="n"/>
      <c r="G106" s="2" t="n"/>
      <c r="H106" s="2" t="n"/>
      <c r="I106" s="2" t="n"/>
      <c r="J106" s="2" t="n"/>
      <c r="K106" s="2" t="n"/>
      <c r="L106" s="2" t="n"/>
      <c r="M106" s="2" t="n"/>
      <c r="N106" s="2" t="n"/>
      <c r="O106" s="2" t="n"/>
      <c r="P106" s="2" t="n"/>
      <c r="Q106" s="2">
        <f>IF(G106="","",TODAY()-G106)</f>
        <v/>
      </c>
    </row>
    <row r="107">
      <c r="A107" s="2" t="n"/>
      <c r="B107" s="2" t="n"/>
      <c r="C107" s="2" t="n"/>
      <c r="D107" s="2" t="n"/>
      <c r="E107" s="2" t="n"/>
      <c r="F107" s="2" t="n"/>
      <c r="G107" s="2" t="n"/>
      <c r="H107" s="2" t="n"/>
      <c r="I107" s="2" t="n"/>
      <c r="J107" s="2" t="n"/>
      <c r="K107" s="2" t="n"/>
      <c r="L107" s="2" t="n"/>
      <c r="M107" s="2" t="n"/>
      <c r="N107" s="2" t="n"/>
      <c r="O107" s="2" t="n"/>
      <c r="P107" s="2" t="n"/>
      <c r="Q107" s="2">
        <f>IF(G107="","",TODAY()-G107)</f>
        <v/>
      </c>
    </row>
    <row r="108">
      <c r="A108" s="2" t="n"/>
      <c r="B108" s="2" t="n"/>
      <c r="C108" s="2" t="n"/>
      <c r="D108" s="2" t="n"/>
      <c r="E108" s="2" t="n"/>
      <c r="F108" s="2" t="n"/>
      <c r="G108" s="2" t="n"/>
      <c r="H108" s="2" t="n"/>
      <c r="I108" s="2" t="n"/>
      <c r="J108" s="2" t="n"/>
      <c r="K108" s="2" t="n"/>
      <c r="L108" s="2" t="n"/>
      <c r="M108" s="2" t="n"/>
      <c r="N108" s="2" t="n"/>
      <c r="O108" s="2" t="n"/>
      <c r="P108" s="2" t="n"/>
      <c r="Q108" s="2">
        <f>IF(G108="","",TODAY()-G108)</f>
        <v/>
      </c>
    </row>
    <row r="109">
      <c r="A109" s="2" t="n"/>
      <c r="B109" s="2" t="n"/>
      <c r="C109" s="2" t="n"/>
      <c r="D109" s="2" t="n"/>
      <c r="E109" s="2" t="n"/>
      <c r="F109" s="2" t="n"/>
      <c r="G109" s="2" t="n"/>
      <c r="H109" s="2" t="n"/>
      <c r="I109" s="2" t="n"/>
      <c r="J109" s="2" t="n"/>
      <c r="K109" s="2" t="n"/>
      <c r="L109" s="2" t="n"/>
      <c r="M109" s="2" t="n"/>
      <c r="N109" s="2" t="n"/>
      <c r="O109" s="2" t="n"/>
      <c r="P109" s="2" t="n"/>
      <c r="Q109" s="2">
        <f>IF(G109="","",TODAY()-G109)</f>
        <v/>
      </c>
    </row>
    <row r="110">
      <c r="A110" s="2" t="n"/>
      <c r="B110" s="2" t="n"/>
      <c r="C110" s="2" t="n"/>
      <c r="D110" s="2" t="n"/>
      <c r="E110" s="2" t="n"/>
      <c r="F110" s="2" t="n"/>
      <c r="G110" s="2" t="n"/>
      <c r="H110" s="2" t="n"/>
      <c r="I110" s="2" t="n"/>
      <c r="J110" s="2" t="n"/>
      <c r="K110" s="2" t="n"/>
      <c r="L110" s="2" t="n"/>
      <c r="M110" s="2" t="n"/>
      <c r="N110" s="2" t="n"/>
      <c r="O110" s="2" t="n"/>
      <c r="P110" s="2" t="n"/>
      <c r="Q110" s="2">
        <f>IF(G110="","",TODAY()-G110)</f>
        <v/>
      </c>
    </row>
    <row r="111">
      <c r="A111" s="2" t="n"/>
      <c r="B111" s="2" t="n"/>
      <c r="C111" s="2" t="n"/>
      <c r="D111" s="2" t="n"/>
      <c r="E111" s="2" t="n"/>
      <c r="F111" s="2" t="n"/>
      <c r="G111" s="2" t="n"/>
      <c r="H111" s="2" t="n"/>
      <c r="I111" s="2" t="n"/>
      <c r="J111" s="2" t="n"/>
      <c r="K111" s="2" t="n"/>
      <c r="L111" s="2" t="n"/>
      <c r="M111" s="2" t="n"/>
      <c r="N111" s="2" t="n"/>
      <c r="O111" s="2" t="n"/>
      <c r="P111" s="2" t="n"/>
      <c r="Q111" s="2">
        <f>IF(G111="","",TODAY()-G111)</f>
        <v/>
      </c>
    </row>
    <row r="112">
      <c r="A112" s="2" t="n"/>
      <c r="B112" s="2" t="n"/>
      <c r="C112" s="2" t="n"/>
      <c r="D112" s="2" t="n"/>
      <c r="E112" s="2" t="n"/>
      <c r="F112" s="2" t="n"/>
      <c r="G112" s="2" t="n"/>
      <c r="H112" s="2" t="n"/>
      <c r="I112" s="2" t="n"/>
      <c r="J112" s="2" t="n"/>
      <c r="K112" s="2" t="n"/>
      <c r="L112" s="2" t="n"/>
      <c r="M112" s="2" t="n"/>
      <c r="N112" s="2" t="n"/>
      <c r="O112" s="2" t="n"/>
      <c r="P112" s="2" t="n"/>
      <c r="Q112" s="2">
        <f>IF(G112="","",TODAY()-G112)</f>
        <v/>
      </c>
    </row>
    <row r="113">
      <c r="A113" s="2" t="n"/>
      <c r="B113" s="2" t="n"/>
      <c r="C113" s="2" t="n"/>
      <c r="D113" s="2" t="n"/>
      <c r="E113" s="2" t="n"/>
      <c r="F113" s="2" t="n"/>
      <c r="G113" s="2" t="n"/>
      <c r="H113" s="2" t="n"/>
      <c r="I113" s="2" t="n"/>
      <c r="J113" s="2" t="n"/>
      <c r="K113" s="2" t="n"/>
      <c r="L113" s="2" t="n"/>
      <c r="M113" s="2" t="n"/>
      <c r="N113" s="2" t="n"/>
      <c r="O113" s="2" t="n"/>
      <c r="P113" s="2" t="n"/>
      <c r="Q113" s="2">
        <f>IF(G113="","",TODAY()-G113)</f>
        <v/>
      </c>
    </row>
    <row r="114">
      <c r="A114" s="2" t="n"/>
      <c r="B114" s="2" t="n"/>
      <c r="C114" s="2" t="n"/>
      <c r="D114" s="2" t="n"/>
      <c r="E114" s="2" t="n"/>
      <c r="F114" s="2" t="n"/>
      <c r="G114" s="2" t="n"/>
      <c r="H114" s="2" t="n"/>
      <c r="I114" s="2" t="n"/>
      <c r="J114" s="2" t="n"/>
      <c r="K114" s="2" t="n"/>
      <c r="L114" s="2" t="n"/>
      <c r="M114" s="2" t="n"/>
      <c r="N114" s="2" t="n"/>
      <c r="O114" s="2" t="n"/>
      <c r="P114" s="2" t="n"/>
      <c r="Q114" s="2">
        <f>IF(G114="","",TODAY()-G114)</f>
        <v/>
      </c>
    </row>
    <row r="115">
      <c r="A115" s="2" t="n"/>
      <c r="B115" s="2" t="n"/>
      <c r="C115" s="2" t="n"/>
      <c r="D115" s="2" t="n"/>
      <c r="E115" s="2" t="n"/>
      <c r="F115" s="2" t="n"/>
      <c r="G115" s="2" t="n"/>
      <c r="H115" s="2" t="n"/>
      <c r="I115" s="2" t="n"/>
      <c r="J115" s="2" t="n"/>
      <c r="K115" s="2" t="n"/>
      <c r="L115" s="2" t="n"/>
      <c r="M115" s="2" t="n"/>
      <c r="N115" s="2" t="n"/>
      <c r="O115" s="2" t="n"/>
      <c r="P115" s="2" t="n"/>
      <c r="Q115" s="2">
        <f>IF(G115="","",TODAY()-G115)</f>
        <v/>
      </c>
    </row>
    <row r="116">
      <c r="A116" s="2" t="n"/>
      <c r="B116" s="2" t="n"/>
      <c r="C116" s="2" t="n"/>
      <c r="D116" s="2" t="n"/>
      <c r="E116" s="2" t="n"/>
      <c r="F116" s="2" t="n"/>
      <c r="G116" s="2" t="n"/>
      <c r="H116" s="2" t="n"/>
      <c r="I116" s="2" t="n"/>
      <c r="J116" s="2" t="n"/>
      <c r="K116" s="2" t="n"/>
      <c r="L116" s="2" t="n"/>
      <c r="M116" s="2" t="n"/>
      <c r="N116" s="2" t="n"/>
      <c r="O116" s="2" t="n"/>
      <c r="P116" s="2" t="n"/>
      <c r="Q116" s="2">
        <f>IF(G116="","",TODAY()-G116)</f>
        <v/>
      </c>
    </row>
    <row r="117">
      <c r="A117" s="2" t="n"/>
      <c r="B117" s="2" t="n"/>
      <c r="C117" s="2" t="n"/>
      <c r="D117" s="2" t="n"/>
      <c r="E117" s="2" t="n"/>
      <c r="F117" s="2" t="n"/>
      <c r="G117" s="2" t="n"/>
      <c r="H117" s="2" t="n"/>
      <c r="I117" s="2" t="n"/>
      <c r="J117" s="2" t="n"/>
      <c r="K117" s="2" t="n"/>
      <c r="L117" s="2" t="n"/>
      <c r="M117" s="2" t="n"/>
      <c r="N117" s="2" t="n"/>
      <c r="O117" s="2" t="n"/>
      <c r="P117" s="2" t="n"/>
      <c r="Q117" s="2">
        <f>IF(G117="","",TODAY()-G117)</f>
        <v/>
      </c>
    </row>
    <row r="118">
      <c r="A118" s="2" t="n"/>
      <c r="B118" s="2" t="n"/>
      <c r="C118" s="2" t="n"/>
      <c r="D118" s="2" t="n"/>
      <c r="E118" s="2" t="n"/>
      <c r="F118" s="2" t="n"/>
      <c r="G118" s="2" t="n"/>
      <c r="H118" s="2" t="n"/>
      <c r="I118" s="2" t="n"/>
      <c r="J118" s="2" t="n"/>
      <c r="K118" s="2" t="n"/>
      <c r="L118" s="2" t="n"/>
      <c r="M118" s="2" t="n"/>
      <c r="N118" s="2" t="n"/>
      <c r="O118" s="2" t="n"/>
      <c r="P118" s="2" t="n"/>
      <c r="Q118" s="2">
        <f>IF(G118="","",TODAY()-G118)</f>
        <v/>
      </c>
    </row>
    <row r="119">
      <c r="A119" s="2" t="n"/>
      <c r="B119" s="2" t="n"/>
      <c r="C119" s="2" t="n"/>
      <c r="D119" s="2" t="n"/>
      <c r="E119" s="2" t="n"/>
      <c r="F119" s="2" t="n"/>
      <c r="G119" s="2" t="n"/>
      <c r="H119" s="2" t="n"/>
      <c r="I119" s="2" t="n"/>
      <c r="J119" s="2" t="n"/>
      <c r="K119" s="2" t="n"/>
      <c r="L119" s="2" t="n"/>
      <c r="M119" s="2" t="n"/>
      <c r="N119" s="2" t="n"/>
      <c r="O119" s="2" t="n"/>
      <c r="P119" s="2" t="n"/>
      <c r="Q119" s="2">
        <f>IF(G119="","",TODAY()-G119)</f>
        <v/>
      </c>
    </row>
    <row r="120">
      <c r="A120" s="2" t="n"/>
      <c r="B120" s="2" t="n"/>
      <c r="C120" s="2" t="n"/>
      <c r="D120" s="2" t="n"/>
      <c r="E120" s="2" t="n"/>
      <c r="F120" s="2" t="n"/>
      <c r="G120" s="2" t="n"/>
      <c r="H120" s="2" t="n"/>
      <c r="I120" s="2" t="n"/>
      <c r="J120" s="2" t="n"/>
      <c r="K120" s="2" t="n"/>
      <c r="L120" s="2" t="n"/>
      <c r="M120" s="2" t="n"/>
      <c r="N120" s="2" t="n"/>
      <c r="O120" s="2" t="n"/>
      <c r="P120" s="2" t="n"/>
      <c r="Q120" s="2">
        <f>IF(G120="","",TODAY()-G120)</f>
        <v/>
      </c>
    </row>
    <row r="121">
      <c r="A121" s="2" t="n"/>
      <c r="B121" s="2" t="n"/>
      <c r="C121" s="2" t="n"/>
      <c r="D121" s="2" t="n"/>
      <c r="E121" s="2" t="n"/>
      <c r="F121" s="2" t="n"/>
      <c r="G121" s="2" t="n"/>
      <c r="H121" s="2" t="n"/>
      <c r="I121" s="2" t="n"/>
      <c r="J121" s="2" t="n"/>
      <c r="K121" s="2" t="n"/>
      <c r="L121" s="2" t="n"/>
      <c r="M121" s="2" t="n"/>
      <c r="N121" s="2" t="n"/>
      <c r="O121" s="2" t="n"/>
      <c r="P121" s="2" t="n"/>
      <c r="Q121" s="2">
        <f>IF(G121="","",TODAY()-G121)</f>
        <v/>
      </c>
    </row>
    <row r="122">
      <c r="A122" s="2" t="n"/>
      <c r="B122" s="2" t="n"/>
      <c r="C122" s="2" t="n"/>
      <c r="D122" s="2" t="n"/>
      <c r="E122" s="2" t="n"/>
      <c r="F122" s="2" t="n"/>
      <c r="G122" s="2" t="n"/>
      <c r="H122" s="2" t="n"/>
      <c r="I122" s="2" t="n"/>
      <c r="J122" s="2" t="n"/>
      <c r="K122" s="2" t="n"/>
      <c r="L122" s="2" t="n"/>
      <c r="M122" s="2" t="n"/>
      <c r="N122" s="2" t="n"/>
      <c r="O122" s="2" t="n"/>
      <c r="P122" s="2" t="n"/>
      <c r="Q122" s="2">
        <f>IF(G122="","",TODAY()-G122)</f>
        <v/>
      </c>
    </row>
    <row r="123">
      <c r="A123" s="2" t="n"/>
      <c r="B123" s="2" t="n"/>
      <c r="C123" s="2" t="n"/>
      <c r="D123" s="2" t="n"/>
      <c r="E123" s="2" t="n"/>
      <c r="F123" s="2" t="n"/>
      <c r="G123" s="2" t="n"/>
      <c r="H123" s="2" t="n"/>
      <c r="I123" s="2" t="n"/>
      <c r="J123" s="2" t="n"/>
      <c r="K123" s="2" t="n"/>
      <c r="L123" s="2" t="n"/>
      <c r="M123" s="2" t="n"/>
      <c r="N123" s="2" t="n"/>
      <c r="O123" s="2" t="n"/>
      <c r="P123" s="2" t="n"/>
      <c r="Q123" s="2">
        <f>IF(G123="","",TODAY()-G123)</f>
        <v/>
      </c>
    </row>
    <row r="124">
      <c r="A124" s="2" t="n"/>
      <c r="B124" s="2" t="n"/>
      <c r="C124" s="2" t="n"/>
      <c r="D124" s="2" t="n"/>
      <c r="E124" s="2" t="n"/>
      <c r="F124" s="2" t="n"/>
      <c r="G124" s="2" t="n"/>
      <c r="H124" s="2" t="n"/>
      <c r="I124" s="2" t="n"/>
      <c r="J124" s="2" t="n"/>
      <c r="K124" s="2" t="n"/>
      <c r="L124" s="2" t="n"/>
      <c r="M124" s="2" t="n"/>
      <c r="N124" s="2" t="n"/>
      <c r="O124" s="2" t="n"/>
      <c r="P124" s="2" t="n"/>
      <c r="Q124" s="2">
        <f>IF(G124="","",TODAY()-G124)</f>
        <v/>
      </c>
    </row>
    <row r="125">
      <c r="A125" s="2" t="n"/>
      <c r="B125" s="2" t="n"/>
      <c r="C125" s="2" t="n"/>
      <c r="D125" s="2" t="n"/>
      <c r="E125" s="2" t="n"/>
      <c r="F125" s="2" t="n"/>
      <c r="G125" s="2" t="n"/>
      <c r="H125" s="2" t="n"/>
      <c r="I125" s="2" t="n"/>
      <c r="J125" s="2" t="n"/>
      <c r="K125" s="2" t="n"/>
      <c r="L125" s="2" t="n"/>
      <c r="M125" s="2" t="n"/>
      <c r="N125" s="2" t="n"/>
      <c r="O125" s="2" t="n"/>
      <c r="P125" s="2" t="n"/>
      <c r="Q125" s="2">
        <f>IF(G125="","",TODAY()-G125)</f>
        <v/>
      </c>
    </row>
    <row r="126">
      <c r="A126" s="2" t="n"/>
      <c r="B126" s="2" t="n"/>
      <c r="C126" s="2" t="n"/>
      <c r="D126" s="2" t="n"/>
      <c r="E126" s="2" t="n"/>
      <c r="F126" s="2" t="n"/>
      <c r="G126" s="2" t="n"/>
      <c r="H126" s="2" t="n"/>
      <c r="I126" s="2" t="n"/>
      <c r="J126" s="2" t="n"/>
      <c r="K126" s="2" t="n"/>
      <c r="L126" s="2" t="n"/>
      <c r="M126" s="2" t="n"/>
      <c r="N126" s="2" t="n"/>
      <c r="O126" s="2" t="n"/>
      <c r="P126" s="2" t="n"/>
      <c r="Q126" s="2">
        <f>IF(G126="","",TODAY()-G126)</f>
        <v/>
      </c>
    </row>
    <row r="127">
      <c r="A127" s="2" t="n"/>
      <c r="B127" s="2" t="n"/>
      <c r="C127" s="2" t="n"/>
      <c r="D127" s="2" t="n"/>
      <c r="E127" s="2" t="n"/>
      <c r="F127" s="2" t="n"/>
      <c r="G127" s="2" t="n"/>
      <c r="H127" s="2" t="n"/>
      <c r="I127" s="2" t="n"/>
      <c r="J127" s="2" t="n"/>
      <c r="K127" s="2" t="n"/>
      <c r="L127" s="2" t="n"/>
      <c r="M127" s="2" t="n"/>
      <c r="N127" s="2" t="n"/>
      <c r="O127" s="2" t="n"/>
      <c r="P127" s="2" t="n"/>
      <c r="Q127" s="2">
        <f>IF(G127="","",TODAY()-G127)</f>
        <v/>
      </c>
    </row>
    <row r="128">
      <c r="A128" s="2" t="n"/>
      <c r="B128" s="2" t="n"/>
      <c r="C128" s="2" t="n"/>
      <c r="D128" s="2" t="n"/>
      <c r="E128" s="2" t="n"/>
      <c r="F128" s="2" t="n"/>
      <c r="G128" s="2" t="n"/>
      <c r="H128" s="2" t="n"/>
      <c r="I128" s="2" t="n"/>
      <c r="J128" s="2" t="n"/>
      <c r="K128" s="2" t="n"/>
      <c r="L128" s="2" t="n"/>
      <c r="M128" s="2" t="n"/>
      <c r="N128" s="2" t="n"/>
      <c r="O128" s="2" t="n"/>
      <c r="P128" s="2" t="n"/>
      <c r="Q128" s="2">
        <f>IF(G128="","",TODAY()-G128)</f>
        <v/>
      </c>
    </row>
    <row r="129">
      <c r="A129" s="2" t="n"/>
      <c r="B129" s="2" t="n"/>
      <c r="C129" s="2" t="n"/>
      <c r="D129" s="2" t="n"/>
      <c r="E129" s="2" t="n"/>
      <c r="F129" s="2" t="n"/>
      <c r="G129" s="2" t="n"/>
      <c r="H129" s="2" t="n"/>
      <c r="I129" s="2" t="n"/>
      <c r="J129" s="2" t="n"/>
      <c r="K129" s="2" t="n"/>
      <c r="L129" s="2" t="n"/>
      <c r="M129" s="2" t="n"/>
      <c r="N129" s="2" t="n"/>
      <c r="O129" s="2" t="n"/>
      <c r="P129" s="2" t="n"/>
      <c r="Q129" s="2">
        <f>IF(G129="","",TODAY()-G129)</f>
        <v/>
      </c>
    </row>
    <row r="130">
      <c r="A130" s="2" t="n"/>
      <c r="B130" s="2" t="n"/>
      <c r="C130" s="2" t="n"/>
      <c r="D130" s="2" t="n"/>
      <c r="E130" s="2" t="n"/>
      <c r="F130" s="2" t="n"/>
      <c r="G130" s="2" t="n"/>
      <c r="H130" s="2" t="n"/>
      <c r="I130" s="2" t="n"/>
      <c r="J130" s="2" t="n"/>
      <c r="K130" s="2" t="n"/>
      <c r="L130" s="2" t="n"/>
      <c r="M130" s="2" t="n"/>
      <c r="N130" s="2" t="n"/>
      <c r="O130" s="2" t="n"/>
      <c r="P130" s="2" t="n"/>
      <c r="Q130" s="2">
        <f>IF(G130="","",TODAY()-G130)</f>
        <v/>
      </c>
    </row>
    <row r="131">
      <c r="A131" s="2" t="n"/>
      <c r="B131" s="2" t="n"/>
      <c r="C131" s="2" t="n"/>
      <c r="D131" s="2" t="n"/>
      <c r="E131" s="2" t="n"/>
      <c r="F131" s="2" t="n"/>
      <c r="G131" s="2" t="n"/>
      <c r="H131" s="2" t="n"/>
      <c r="I131" s="2" t="n"/>
      <c r="J131" s="2" t="n"/>
      <c r="K131" s="2" t="n"/>
      <c r="L131" s="2" t="n"/>
      <c r="M131" s="2" t="n"/>
      <c r="N131" s="2" t="n"/>
      <c r="O131" s="2" t="n"/>
      <c r="P131" s="2" t="n"/>
      <c r="Q131" s="2">
        <f>IF(G131="","",TODAY()-G131)</f>
        <v/>
      </c>
    </row>
    <row r="132">
      <c r="A132" s="2" t="n"/>
      <c r="B132" s="2" t="n"/>
      <c r="C132" s="2" t="n"/>
      <c r="D132" s="2" t="n"/>
      <c r="E132" s="2" t="n"/>
      <c r="F132" s="2" t="n"/>
      <c r="G132" s="2" t="n"/>
      <c r="H132" s="2" t="n"/>
      <c r="I132" s="2" t="n"/>
      <c r="J132" s="2" t="n"/>
      <c r="K132" s="2" t="n"/>
      <c r="L132" s="2" t="n"/>
      <c r="M132" s="2" t="n"/>
      <c r="N132" s="2" t="n"/>
      <c r="O132" s="2" t="n"/>
      <c r="P132" s="2" t="n"/>
      <c r="Q132" s="2">
        <f>IF(G132="","",TODAY()-G132)</f>
        <v/>
      </c>
    </row>
    <row r="133">
      <c r="A133" s="2" t="n"/>
      <c r="B133" s="2" t="n"/>
      <c r="C133" s="2" t="n"/>
      <c r="D133" s="2" t="n"/>
      <c r="E133" s="2" t="n"/>
      <c r="F133" s="2" t="n"/>
      <c r="G133" s="2" t="n"/>
      <c r="H133" s="2" t="n"/>
      <c r="I133" s="2" t="n"/>
      <c r="J133" s="2" t="n"/>
      <c r="K133" s="2" t="n"/>
      <c r="L133" s="2" t="n"/>
      <c r="M133" s="2" t="n"/>
      <c r="N133" s="2" t="n"/>
      <c r="O133" s="2" t="n"/>
      <c r="P133" s="2" t="n"/>
      <c r="Q133" s="2">
        <f>IF(G133="","",TODAY()-G133)</f>
        <v/>
      </c>
    </row>
    <row r="134">
      <c r="A134" s="2" t="n"/>
      <c r="B134" s="2" t="n"/>
      <c r="C134" s="2" t="n"/>
      <c r="D134" s="2" t="n"/>
      <c r="E134" s="2" t="n"/>
      <c r="F134" s="2" t="n"/>
      <c r="G134" s="2" t="n"/>
      <c r="H134" s="2" t="n"/>
      <c r="I134" s="2" t="n"/>
      <c r="J134" s="2" t="n"/>
      <c r="K134" s="2" t="n"/>
      <c r="L134" s="2" t="n"/>
      <c r="M134" s="2" t="n"/>
      <c r="N134" s="2" t="n"/>
      <c r="O134" s="2" t="n"/>
      <c r="P134" s="2" t="n"/>
      <c r="Q134" s="2">
        <f>IF(G134="","",TODAY()-G134)</f>
        <v/>
      </c>
    </row>
    <row r="135">
      <c r="A135" s="2" t="n"/>
      <c r="B135" s="2" t="n"/>
      <c r="C135" s="2" t="n"/>
      <c r="D135" s="2" t="n"/>
      <c r="E135" s="2" t="n"/>
      <c r="F135" s="2" t="n"/>
      <c r="G135" s="2" t="n"/>
      <c r="H135" s="2" t="n"/>
      <c r="I135" s="2" t="n"/>
      <c r="J135" s="2" t="n"/>
      <c r="K135" s="2" t="n"/>
      <c r="L135" s="2" t="n"/>
      <c r="M135" s="2" t="n"/>
      <c r="N135" s="2" t="n"/>
      <c r="O135" s="2" t="n"/>
      <c r="P135" s="2" t="n"/>
      <c r="Q135" s="2">
        <f>IF(G135="","",TODAY()-G135)</f>
        <v/>
      </c>
    </row>
    <row r="136">
      <c r="A136" s="2" t="n"/>
      <c r="B136" s="2" t="n"/>
      <c r="C136" s="2" t="n"/>
      <c r="D136" s="2" t="n"/>
      <c r="E136" s="2" t="n"/>
      <c r="F136" s="2" t="n"/>
      <c r="G136" s="2" t="n"/>
      <c r="H136" s="2" t="n"/>
      <c r="I136" s="2" t="n"/>
      <c r="J136" s="2" t="n"/>
      <c r="K136" s="2" t="n"/>
      <c r="L136" s="2" t="n"/>
      <c r="M136" s="2" t="n"/>
      <c r="N136" s="2" t="n"/>
      <c r="O136" s="2" t="n"/>
      <c r="P136" s="2" t="n"/>
      <c r="Q136" s="2">
        <f>IF(G136="","",TODAY()-G136)</f>
        <v/>
      </c>
    </row>
    <row r="137">
      <c r="A137" s="2" t="n"/>
      <c r="B137" s="2" t="n"/>
      <c r="C137" s="2" t="n"/>
      <c r="D137" s="2" t="n"/>
      <c r="E137" s="2" t="n"/>
      <c r="F137" s="2" t="n"/>
      <c r="G137" s="2" t="n"/>
      <c r="H137" s="2" t="n"/>
      <c r="I137" s="2" t="n"/>
      <c r="J137" s="2" t="n"/>
      <c r="K137" s="2" t="n"/>
      <c r="L137" s="2" t="n"/>
      <c r="M137" s="2" t="n"/>
      <c r="N137" s="2" t="n"/>
      <c r="O137" s="2" t="n"/>
      <c r="P137" s="2" t="n"/>
      <c r="Q137" s="2">
        <f>IF(G137="","",TODAY()-G137)</f>
        <v/>
      </c>
    </row>
    <row r="138">
      <c r="A138" s="2" t="n"/>
      <c r="B138" s="2" t="n"/>
      <c r="C138" s="2" t="n"/>
      <c r="D138" s="2" t="n"/>
      <c r="E138" s="2" t="n"/>
      <c r="F138" s="2" t="n"/>
      <c r="G138" s="2" t="n"/>
      <c r="H138" s="2" t="n"/>
      <c r="I138" s="2" t="n"/>
      <c r="J138" s="2" t="n"/>
      <c r="K138" s="2" t="n"/>
      <c r="L138" s="2" t="n"/>
      <c r="M138" s="2" t="n"/>
      <c r="N138" s="2" t="n"/>
      <c r="O138" s="2" t="n"/>
      <c r="P138" s="2" t="n"/>
      <c r="Q138" s="2">
        <f>IF(G138="","",TODAY()-G138)</f>
        <v/>
      </c>
    </row>
    <row r="139">
      <c r="A139" s="2" t="n"/>
      <c r="B139" s="2" t="n"/>
      <c r="C139" s="2" t="n"/>
      <c r="D139" s="2" t="n"/>
      <c r="E139" s="2" t="n"/>
      <c r="F139" s="2" t="n"/>
      <c r="G139" s="2" t="n"/>
      <c r="H139" s="2" t="n"/>
      <c r="I139" s="2" t="n"/>
      <c r="J139" s="2" t="n"/>
      <c r="K139" s="2" t="n"/>
      <c r="L139" s="2" t="n"/>
      <c r="M139" s="2" t="n"/>
      <c r="N139" s="2" t="n"/>
      <c r="O139" s="2" t="n"/>
      <c r="P139" s="2" t="n"/>
      <c r="Q139" s="2">
        <f>IF(G139="","",TODAY()-G139)</f>
        <v/>
      </c>
    </row>
    <row r="140">
      <c r="A140" s="2" t="n"/>
      <c r="B140" s="2" t="n"/>
      <c r="C140" s="2" t="n"/>
      <c r="D140" s="2" t="n"/>
      <c r="E140" s="2" t="n"/>
      <c r="F140" s="2" t="n"/>
      <c r="G140" s="2" t="n"/>
      <c r="H140" s="2" t="n"/>
      <c r="I140" s="2" t="n"/>
      <c r="J140" s="2" t="n"/>
      <c r="K140" s="2" t="n"/>
      <c r="L140" s="2" t="n"/>
      <c r="M140" s="2" t="n"/>
      <c r="N140" s="2" t="n"/>
      <c r="O140" s="2" t="n"/>
      <c r="P140" s="2" t="n"/>
      <c r="Q140" s="2">
        <f>IF(G140="","",TODAY()-G140)</f>
        <v/>
      </c>
    </row>
    <row r="141">
      <c r="A141" s="2" t="n"/>
      <c r="B141" s="2" t="n"/>
      <c r="C141" s="2" t="n"/>
      <c r="D141" s="2" t="n"/>
      <c r="E141" s="2" t="n"/>
      <c r="F141" s="2" t="n"/>
      <c r="G141" s="2" t="n"/>
      <c r="H141" s="2" t="n"/>
      <c r="I141" s="2" t="n"/>
      <c r="J141" s="2" t="n"/>
      <c r="K141" s="2" t="n"/>
      <c r="L141" s="2" t="n"/>
      <c r="M141" s="2" t="n"/>
      <c r="N141" s="2" t="n"/>
      <c r="O141" s="2" t="n"/>
      <c r="P141" s="2" t="n"/>
      <c r="Q141" s="2">
        <f>IF(G141="","",TODAY()-G141)</f>
        <v/>
      </c>
    </row>
    <row r="142">
      <c r="A142" s="2" t="n"/>
      <c r="B142" s="2" t="n"/>
      <c r="C142" s="2" t="n"/>
      <c r="D142" s="2" t="n"/>
      <c r="E142" s="2" t="n"/>
      <c r="F142" s="2" t="n"/>
      <c r="G142" s="2" t="n"/>
      <c r="H142" s="2" t="n"/>
      <c r="I142" s="2" t="n"/>
      <c r="J142" s="2" t="n"/>
      <c r="K142" s="2" t="n"/>
      <c r="L142" s="2" t="n"/>
      <c r="M142" s="2" t="n"/>
      <c r="N142" s="2" t="n"/>
      <c r="O142" s="2" t="n"/>
      <c r="P142" s="2" t="n"/>
      <c r="Q142" s="2">
        <f>IF(G142="","",TODAY()-G142)</f>
        <v/>
      </c>
    </row>
    <row r="143">
      <c r="A143" s="2" t="n"/>
      <c r="B143" s="2" t="n"/>
      <c r="C143" s="2" t="n"/>
      <c r="D143" s="2" t="n"/>
      <c r="E143" s="2" t="n"/>
      <c r="F143" s="2" t="n"/>
      <c r="G143" s="2" t="n"/>
      <c r="H143" s="2" t="n"/>
      <c r="I143" s="2" t="n"/>
      <c r="J143" s="2" t="n"/>
      <c r="K143" s="2" t="n"/>
      <c r="L143" s="2" t="n"/>
      <c r="M143" s="2" t="n"/>
      <c r="N143" s="2" t="n"/>
      <c r="O143" s="2" t="n"/>
      <c r="P143" s="2" t="n"/>
      <c r="Q143" s="2">
        <f>IF(G143="","",TODAY()-G143)</f>
        <v/>
      </c>
    </row>
    <row r="144">
      <c r="A144" s="2" t="n"/>
      <c r="B144" s="2" t="n"/>
      <c r="C144" s="2" t="n"/>
      <c r="D144" s="2" t="n"/>
      <c r="E144" s="2" t="n"/>
      <c r="F144" s="2" t="n"/>
      <c r="G144" s="2" t="n"/>
      <c r="H144" s="2" t="n"/>
      <c r="I144" s="2" t="n"/>
      <c r="J144" s="2" t="n"/>
      <c r="K144" s="2" t="n"/>
      <c r="L144" s="2" t="n"/>
      <c r="M144" s="2" t="n"/>
      <c r="N144" s="2" t="n"/>
      <c r="O144" s="2" t="n"/>
      <c r="P144" s="2" t="n"/>
      <c r="Q144" s="2">
        <f>IF(G144="","",TODAY()-G144)</f>
        <v/>
      </c>
    </row>
    <row r="145">
      <c r="A145" s="2" t="n"/>
      <c r="B145" s="2" t="n"/>
      <c r="C145" s="2" t="n"/>
      <c r="D145" s="2" t="n"/>
      <c r="E145" s="2" t="n"/>
      <c r="F145" s="2" t="n"/>
      <c r="G145" s="2" t="n"/>
      <c r="H145" s="2" t="n"/>
      <c r="I145" s="2" t="n"/>
      <c r="J145" s="2" t="n"/>
      <c r="K145" s="2" t="n"/>
      <c r="L145" s="2" t="n"/>
      <c r="M145" s="2" t="n"/>
      <c r="N145" s="2" t="n"/>
      <c r="O145" s="2" t="n"/>
      <c r="P145" s="2" t="n"/>
      <c r="Q145" s="2">
        <f>IF(G145="","",TODAY()-G145)</f>
        <v/>
      </c>
    </row>
    <row r="146">
      <c r="A146" s="2" t="n"/>
      <c r="B146" s="2" t="n"/>
      <c r="C146" s="2" t="n"/>
      <c r="D146" s="2" t="n"/>
      <c r="E146" s="2" t="n"/>
      <c r="F146" s="2" t="n"/>
      <c r="G146" s="2" t="n"/>
      <c r="H146" s="2" t="n"/>
      <c r="I146" s="2" t="n"/>
      <c r="J146" s="2" t="n"/>
      <c r="K146" s="2" t="n"/>
      <c r="L146" s="2" t="n"/>
      <c r="M146" s="2" t="n"/>
      <c r="N146" s="2" t="n"/>
      <c r="O146" s="2" t="n"/>
      <c r="P146" s="2" t="n"/>
      <c r="Q146" s="2">
        <f>IF(G146="","",TODAY()-G146)</f>
        <v/>
      </c>
    </row>
    <row r="147">
      <c r="A147" s="2" t="n"/>
      <c r="B147" s="2" t="n"/>
      <c r="C147" s="2" t="n"/>
      <c r="D147" s="2" t="n"/>
      <c r="E147" s="2" t="n"/>
      <c r="F147" s="2" t="n"/>
      <c r="G147" s="2" t="n"/>
      <c r="H147" s="2" t="n"/>
      <c r="I147" s="2" t="n"/>
      <c r="J147" s="2" t="n"/>
      <c r="K147" s="2" t="n"/>
      <c r="L147" s="2" t="n"/>
      <c r="M147" s="2" t="n"/>
      <c r="N147" s="2" t="n"/>
      <c r="O147" s="2" t="n"/>
      <c r="P147" s="2" t="n"/>
      <c r="Q147" s="2">
        <f>IF(G147="","",TODAY()-G147)</f>
        <v/>
      </c>
    </row>
    <row r="148">
      <c r="A148" s="2" t="n"/>
      <c r="B148" s="2" t="n"/>
      <c r="C148" s="2" t="n"/>
      <c r="D148" s="2" t="n"/>
      <c r="E148" s="2" t="n"/>
      <c r="F148" s="2" t="n"/>
      <c r="G148" s="2" t="n"/>
      <c r="H148" s="2" t="n"/>
      <c r="I148" s="2" t="n"/>
      <c r="J148" s="2" t="n"/>
      <c r="K148" s="2" t="n"/>
      <c r="L148" s="2" t="n"/>
      <c r="M148" s="2" t="n"/>
      <c r="N148" s="2" t="n"/>
      <c r="O148" s="2" t="n"/>
      <c r="P148" s="2" t="n"/>
      <c r="Q148" s="2">
        <f>IF(G148="","",TODAY()-G148)</f>
        <v/>
      </c>
    </row>
    <row r="149">
      <c r="A149" s="2" t="n"/>
      <c r="B149" s="2" t="n"/>
      <c r="C149" s="2" t="n"/>
      <c r="D149" s="2" t="n"/>
      <c r="E149" s="2" t="n"/>
      <c r="F149" s="2" t="n"/>
      <c r="G149" s="2" t="n"/>
      <c r="H149" s="2" t="n"/>
      <c r="I149" s="2" t="n"/>
      <c r="J149" s="2" t="n"/>
      <c r="K149" s="2" t="n"/>
      <c r="L149" s="2" t="n"/>
      <c r="M149" s="2" t="n"/>
      <c r="N149" s="2" t="n"/>
      <c r="O149" s="2" t="n"/>
      <c r="P149" s="2" t="n"/>
      <c r="Q149" s="2">
        <f>IF(G149="","",TODAY()-G149)</f>
        <v/>
      </c>
    </row>
    <row r="150">
      <c r="A150" s="2" t="n"/>
      <c r="B150" s="2" t="n"/>
      <c r="C150" s="2" t="n"/>
      <c r="D150" s="2" t="n"/>
      <c r="E150" s="2" t="n"/>
      <c r="F150" s="2" t="n"/>
      <c r="G150" s="2" t="n"/>
      <c r="H150" s="2" t="n"/>
      <c r="I150" s="2" t="n"/>
      <c r="J150" s="2" t="n"/>
      <c r="K150" s="2" t="n"/>
      <c r="L150" s="2" t="n"/>
      <c r="M150" s="2" t="n"/>
      <c r="N150" s="2" t="n"/>
      <c r="O150" s="2" t="n"/>
      <c r="P150" s="2" t="n"/>
      <c r="Q150" s="2">
        <f>IF(G150="","",TODAY()-G150)</f>
        <v/>
      </c>
    </row>
    <row r="151">
      <c r="A151" s="2" t="n"/>
      <c r="B151" s="2" t="n"/>
      <c r="C151" s="2" t="n"/>
      <c r="D151" s="2" t="n"/>
      <c r="E151" s="2" t="n"/>
      <c r="F151" s="2" t="n"/>
      <c r="G151" s="2" t="n"/>
      <c r="H151" s="2" t="n"/>
      <c r="I151" s="2" t="n"/>
      <c r="J151" s="2" t="n"/>
      <c r="K151" s="2" t="n"/>
      <c r="L151" s="2" t="n"/>
      <c r="M151" s="2" t="n"/>
      <c r="N151" s="2" t="n"/>
      <c r="O151" s="2" t="n"/>
      <c r="P151" s="2" t="n"/>
      <c r="Q151" s="2">
        <f>IF(G151="","",TODAY()-G151)</f>
        <v/>
      </c>
    </row>
    <row r="152">
      <c r="A152" s="2" t="n"/>
      <c r="B152" s="2" t="n"/>
      <c r="C152" s="2" t="n"/>
      <c r="D152" s="2" t="n"/>
      <c r="E152" s="2" t="n"/>
      <c r="F152" s="2" t="n"/>
      <c r="G152" s="2" t="n"/>
      <c r="H152" s="2" t="n"/>
      <c r="I152" s="2" t="n"/>
      <c r="J152" s="2" t="n"/>
      <c r="K152" s="2" t="n"/>
      <c r="L152" s="2" t="n"/>
      <c r="M152" s="2" t="n"/>
      <c r="N152" s="2" t="n"/>
      <c r="O152" s="2" t="n"/>
      <c r="P152" s="2" t="n"/>
      <c r="Q152" s="2">
        <f>IF(G152="","",TODAY()-G152)</f>
        <v/>
      </c>
    </row>
    <row r="153">
      <c r="A153" s="2" t="n"/>
      <c r="B153" s="2" t="n"/>
      <c r="C153" s="2" t="n"/>
      <c r="D153" s="2" t="n"/>
      <c r="E153" s="2" t="n"/>
      <c r="F153" s="2" t="n"/>
      <c r="G153" s="2" t="n"/>
      <c r="H153" s="2" t="n"/>
      <c r="I153" s="2" t="n"/>
      <c r="J153" s="2" t="n"/>
      <c r="K153" s="2" t="n"/>
      <c r="L153" s="2" t="n"/>
      <c r="M153" s="2" t="n"/>
      <c r="N153" s="2" t="n"/>
      <c r="O153" s="2" t="n"/>
      <c r="P153" s="2" t="n"/>
      <c r="Q153" s="2">
        <f>IF(G153="","",TODAY()-G153)</f>
        <v/>
      </c>
    </row>
    <row r="154">
      <c r="A154" s="2" t="n"/>
      <c r="B154" s="2" t="n"/>
      <c r="C154" s="2" t="n"/>
      <c r="D154" s="2" t="n"/>
      <c r="E154" s="2" t="n"/>
      <c r="F154" s="2" t="n"/>
      <c r="G154" s="2" t="n"/>
      <c r="H154" s="2" t="n"/>
      <c r="I154" s="2" t="n"/>
      <c r="J154" s="2" t="n"/>
      <c r="K154" s="2" t="n"/>
      <c r="L154" s="2" t="n"/>
      <c r="M154" s="2" t="n"/>
      <c r="N154" s="2" t="n"/>
      <c r="O154" s="2" t="n"/>
      <c r="P154" s="2" t="n"/>
      <c r="Q154" s="2">
        <f>IF(G154="","",TODAY()-G154)</f>
        <v/>
      </c>
    </row>
    <row r="155">
      <c r="A155" s="2" t="n"/>
      <c r="B155" s="2" t="n"/>
      <c r="C155" s="2" t="n"/>
      <c r="D155" s="2" t="n"/>
      <c r="E155" s="2" t="n"/>
      <c r="F155" s="2" t="n"/>
      <c r="G155" s="2" t="n"/>
      <c r="H155" s="2" t="n"/>
      <c r="I155" s="2" t="n"/>
      <c r="J155" s="2" t="n"/>
      <c r="K155" s="2" t="n"/>
      <c r="L155" s="2" t="n"/>
      <c r="M155" s="2" t="n"/>
      <c r="N155" s="2" t="n"/>
      <c r="O155" s="2" t="n"/>
      <c r="P155" s="2" t="n"/>
      <c r="Q155" s="2">
        <f>IF(G155="","",TODAY()-G155)</f>
        <v/>
      </c>
    </row>
    <row r="156">
      <c r="A156" s="2" t="n"/>
      <c r="B156" s="2" t="n"/>
      <c r="C156" s="2" t="n"/>
      <c r="D156" s="2" t="n"/>
      <c r="E156" s="2" t="n"/>
      <c r="F156" s="2" t="n"/>
      <c r="G156" s="2" t="n"/>
      <c r="H156" s="2" t="n"/>
      <c r="I156" s="2" t="n"/>
      <c r="J156" s="2" t="n"/>
      <c r="K156" s="2" t="n"/>
      <c r="L156" s="2" t="n"/>
      <c r="M156" s="2" t="n"/>
      <c r="N156" s="2" t="n"/>
      <c r="O156" s="2" t="n"/>
      <c r="P156" s="2" t="n"/>
      <c r="Q156" s="2">
        <f>IF(G156="","",TODAY()-G156)</f>
        <v/>
      </c>
    </row>
    <row r="157">
      <c r="A157" s="2" t="n"/>
      <c r="B157" s="2" t="n"/>
      <c r="C157" s="2" t="n"/>
      <c r="D157" s="2" t="n"/>
      <c r="E157" s="2" t="n"/>
      <c r="F157" s="2" t="n"/>
      <c r="G157" s="2" t="n"/>
      <c r="H157" s="2" t="n"/>
      <c r="I157" s="2" t="n"/>
      <c r="J157" s="2" t="n"/>
      <c r="K157" s="2" t="n"/>
      <c r="L157" s="2" t="n"/>
      <c r="M157" s="2" t="n"/>
      <c r="N157" s="2" t="n"/>
      <c r="O157" s="2" t="n"/>
      <c r="P157" s="2" t="n"/>
      <c r="Q157" s="2">
        <f>IF(G157="","",TODAY()-G157)</f>
        <v/>
      </c>
    </row>
    <row r="158">
      <c r="A158" s="2" t="n"/>
      <c r="B158" s="2" t="n"/>
      <c r="C158" s="2" t="n"/>
      <c r="D158" s="2" t="n"/>
      <c r="E158" s="2" t="n"/>
      <c r="F158" s="2" t="n"/>
      <c r="G158" s="2" t="n"/>
      <c r="H158" s="2" t="n"/>
      <c r="I158" s="2" t="n"/>
      <c r="J158" s="2" t="n"/>
      <c r="K158" s="2" t="n"/>
      <c r="L158" s="2" t="n"/>
      <c r="M158" s="2" t="n"/>
      <c r="N158" s="2" t="n"/>
      <c r="O158" s="2" t="n"/>
      <c r="P158" s="2" t="n"/>
      <c r="Q158" s="2">
        <f>IF(G158="","",TODAY()-G158)</f>
        <v/>
      </c>
    </row>
    <row r="159">
      <c r="A159" s="2" t="n"/>
      <c r="B159" s="2" t="n"/>
      <c r="C159" s="2" t="n"/>
      <c r="D159" s="2" t="n"/>
      <c r="E159" s="2" t="n"/>
      <c r="F159" s="2" t="n"/>
      <c r="G159" s="2" t="n"/>
      <c r="H159" s="2" t="n"/>
      <c r="I159" s="2" t="n"/>
      <c r="J159" s="2" t="n"/>
      <c r="K159" s="2" t="n"/>
      <c r="L159" s="2" t="n"/>
      <c r="M159" s="2" t="n"/>
      <c r="N159" s="2" t="n"/>
      <c r="O159" s="2" t="n"/>
      <c r="P159" s="2" t="n"/>
      <c r="Q159" s="2">
        <f>IF(G159="","",TODAY()-G159)</f>
        <v/>
      </c>
    </row>
    <row r="160">
      <c r="A160" s="2" t="n"/>
      <c r="B160" s="2" t="n"/>
      <c r="C160" s="2" t="n"/>
      <c r="D160" s="2" t="n"/>
      <c r="E160" s="2" t="n"/>
      <c r="F160" s="2" t="n"/>
      <c r="G160" s="2" t="n"/>
      <c r="H160" s="2" t="n"/>
      <c r="I160" s="2" t="n"/>
      <c r="J160" s="2" t="n"/>
      <c r="K160" s="2" t="n"/>
      <c r="L160" s="2" t="n"/>
      <c r="M160" s="2" t="n"/>
      <c r="N160" s="2" t="n"/>
      <c r="O160" s="2" t="n"/>
      <c r="P160" s="2" t="n"/>
      <c r="Q160" s="2">
        <f>IF(G160="","",TODAY()-G160)</f>
        <v/>
      </c>
    </row>
    <row r="161">
      <c r="A161" s="2" t="n"/>
      <c r="B161" s="2" t="n"/>
      <c r="C161" s="2" t="n"/>
      <c r="D161" s="2" t="n"/>
      <c r="E161" s="2" t="n"/>
      <c r="F161" s="2" t="n"/>
      <c r="G161" s="2" t="n"/>
      <c r="H161" s="2" t="n"/>
      <c r="I161" s="2" t="n"/>
      <c r="J161" s="2" t="n"/>
      <c r="K161" s="2" t="n"/>
      <c r="L161" s="2" t="n"/>
      <c r="M161" s="2" t="n"/>
      <c r="N161" s="2" t="n"/>
      <c r="O161" s="2" t="n"/>
      <c r="P161" s="2" t="n"/>
      <c r="Q161" s="2">
        <f>IF(G161="","",TODAY()-G161)</f>
        <v/>
      </c>
    </row>
    <row r="162">
      <c r="A162" s="2" t="n"/>
      <c r="B162" s="2" t="n"/>
      <c r="C162" s="2" t="n"/>
      <c r="D162" s="2" t="n"/>
      <c r="E162" s="2" t="n"/>
      <c r="F162" s="2" t="n"/>
      <c r="G162" s="2" t="n"/>
      <c r="H162" s="2" t="n"/>
      <c r="I162" s="2" t="n"/>
      <c r="J162" s="2" t="n"/>
      <c r="K162" s="2" t="n"/>
      <c r="L162" s="2" t="n"/>
      <c r="M162" s="2" t="n"/>
      <c r="N162" s="2" t="n"/>
      <c r="O162" s="2" t="n"/>
      <c r="P162" s="2" t="n"/>
      <c r="Q162" s="2">
        <f>IF(G162="","",TODAY()-G162)</f>
        <v/>
      </c>
    </row>
    <row r="163">
      <c r="A163" s="2" t="n"/>
      <c r="B163" s="2" t="n"/>
      <c r="C163" s="2" t="n"/>
      <c r="D163" s="2" t="n"/>
      <c r="E163" s="2" t="n"/>
      <c r="F163" s="2" t="n"/>
      <c r="G163" s="2" t="n"/>
      <c r="H163" s="2" t="n"/>
      <c r="I163" s="2" t="n"/>
      <c r="J163" s="2" t="n"/>
      <c r="K163" s="2" t="n"/>
      <c r="L163" s="2" t="n"/>
      <c r="M163" s="2" t="n"/>
      <c r="N163" s="2" t="n"/>
      <c r="O163" s="2" t="n"/>
      <c r="P163" s="2" t="n"/>
      <c r="Q163" s="2">
        <f>IF(G163="","",TODAY()-G163)</f>
        <v/>
      </c>
    </row>
    <row r="164">
      <c r="A164" s="2" t="n"/>
      <c r="B164" s="2" t="n"/>
      <c r="C164" s="2" t="n"/>
      <c r="D164" s="2" t="n"/>
      <c r="E164" s="2" t="n"/>
      <c r="F164" s="2" t="n"/>
      <c r="G164" s="2" t="n"/>
      <c r="H164" s="2" t="n"/>
      <c r="I164" s="2" t="n"/>
      <c r="J164" s="2" t="n"/>
      <c r="K164" s="2" t="n"/>
      <c r="L164" s="2" t="n"/>
      <c r="M164" s="2" t="n"/>
      <c r="N164" s="2" t="n"/>
      <c r="O164" s="2" t="n"/>
      <c r="P164" s="2" t="n"/>
      <c r="Q164" s="2">
        <f>IF(G164="","",TODAY()-G164)</f>
        <v/>
      </c>
    </row>
    <row r="165">
      <c r="A165" s="2" t="n"/>
      <c r="B165" s="2" t="n"/>
      <c r="C165" s="2" t="n"/>
      <c r="D165" s="2" t="n"/>
      <c r="E165" s="2" t="n"/>
      <c r="F165" s="2" t="n"/>
      <c r="G165" s="2" t="n"/>
      <c r="H165" s="2" t="n"/>
      <c r="I165" s="2" t="n"/>
      <c r="J165" s="2" t="n"/>
      <c r="K165" s="2" t="n"/>
      <c r="L165" s="2" t="n"/>
      <c r="M165" s="2" t="n"/>
      <c r="N165" s="2" t="n"/>
      <c r="O165" s="2" t="n"/>
      <c r="P165" s="2" t="n"/>
      <c r="Q165" s="2">
        <f>IF(G165="","",TODAY()-G165)</f>
        <v/>
      </c>
    </row>
    <row r="166">
      <c r="A166" s="2" t="n"/>
      <c r="B166" s="2" t="n"/>
      <c r="C166" s="2" t="n"/>
      <c r="D166" s="2" t="n"/>
      <c r="E166" s="2" t="n"/>
      <c r="F166" s="2" t="n"/>
      <c r="G166" s="2" t="n"/>
      <c r="H166" s="2" t="n"/>
      <c r="I166" s="2" t="n"/>
      <c r="J166" s="2" t="n"/>
      <c r="K166" s="2" t="n"/>
      <c r="L166" s="2" t="n"/>
      <c r="M166" s="2" t="n"/>
      <c r="N166" s="2" t="n"/>
      <c r="O166" s="2" t="n"/>
      <c r="P166" s="2" t="n"/>
      <c r="Q166" s="2">
        <f>IF(G166="","",TODAY()-G166)</f>
        <v/>
      </c>
    </row>
    <row r="167">
      <c r="A167" s="2" t="n"/>
      <c r="B167" s="2" t="n"/>
      <c r="C167" s="2" t="n"/>
      <c r="D167" s="2" t="n"/>
      <c r="E167" s="2" t="n"/>
      <c r="F167" s="2" t="n"/>
      <c r="G167" s="2" t="n"/>
      <c r="H167" s="2" t="n"/>
      <c r="I167" s="2" t="n"/>
      <c r="J167" s="2" t="n"/>
      <c r="K167" s="2" t="n"/>
      <c r="L167" s="2" t="n"/>
      <c r="M167" s="2" t="n"/>
      <c r="N167" s="2" t="n"/>
      <c r="O167" s="2" t="n"/>
      <c r="P167" s="2" t="n"/>
      <c r="Q167" s="2">
        <f>IF(G167="","",TODAY()-G167)</f>
        <v/>
      </c>
    </row>
    <row r="168">
      <c r="A168" s="2" t="n"/>
      <c r="B168" s="2" t="n"/>
      <c r="C168" s="2" t="n"/>
      <c r="D168" s="2" t="n"/>
      <c r="E168" s="2" t="n"/>
      <c r="F168" s="2" t="n"/>
      <c r="G168" s="2" t="n"/>
      <c r="H168" s="2" t="n"/>
      <c r="I168" s="2" t="n"/>
      <c r="J168" s="2" t="n"/>
      <c r="K168" s="2" t="n"/>
      <c r="L168" s="2" t="n"/>
      <c r="M168" s="2" t="n"/>
      <c r="N168" s="2" t="n"/>
      <c r="O168" s="2" t="n"/>
      <c r="P168" s="2" t="n"/>
      <c r="Q168" s="2">
        <f>IF(G168="","",TODAY()-G168)</f>
        <v/>
      </c>
    </row>
    <row r="169">
      <c r="A169" s="2" t="n"/>
      <c r="B169" s="2" t="n"/>
      <c r="C169" s="2" t="n"/>
      <c r="D169" s="2" t="n"/>
      <c r="E169" s="2" t="n"/>
      <c r="F169" s="2" t="n"/>
      <c r="G169" s="2" t="n"/>
      <c r="H169" s="2" t="n"/>
      <c r="I169" s="2" t="n"/>
      <c r="J169" s="2" t="n"/>
      <c r="K169" s="2" t="n"/>
      <c r="L169" s="2" t="n"/>
      <c r="M169" s="2" t="n"/>
      <c r="N169" s="2" t="n"/>
      <c r="O169" s="2" t="n"/>
      <c r="P169" s="2" t="n"/>
      <c r="Q169" s="2">
        <f>IF(G169="","",TODAY()-G169)</f>
        <v/>
      </c>
    </row>
    <row r="170">
      <c r="A170" s="2" t="n"/>
      <c r="B170" s="2" t="n"/>
      <c r="C170" s="2" t="n"/>
      <c r="D170" s="2" t="n"/>
      <c r="E170" s="2" t="n"/>
      <c r="F170" s="2" t="n"/>
      <c r="G170" s="2" t="n"/>
      <c r="H170" s="2" t="n"/>
      <c r="I170" s="2" t="n"/>
      <c r="J170" s="2" t="n"/>
      <c r="K170" s="2" t="n"/>
      <c r="L170" s="2" t="n"/>
      <c r="M170" s="2" t="n"/>
      <c r="N170" s="2" t="n"/>
      <c r="O170" s="2" t="n"/>
      <c r="P170" s="2" t="n"/>
      <c r="Q170" s="2">
        <f>IF(G170="","",TODAY()-G170)</f>
        <v/>
      </c>
    </row>
    <row r="171">
      <c r="A171" s="2" t="n"/>
      <c r="B171" s="2" t="n"/>
      <c r="C171" s="2" t="n"/>
      <c r="D171" s="2" t="n"/>
      <c r="E171" s="2" t="n"/>
      <c r="F171" s="2" t="n"/>
      <c r="G171" s="2" t="n"/>
      <c r="H171" s="2" t="n"/>
      <c r="I171" s="2" t="n"/>
      <c r="J171" s="2" t="n"/>
      <c r="K171" s="2" t="n"/>
      <c r="L171" s="2" t="n"/>
      <c r="M171" s="2" t="n"/>
      <c r="N171" s="2" t="n"/>
      <c r="O171" s="2" t="n"/>
      <c r="P171" s="2" t="n"/>
      <c r="Q171" s="2">
        <f>IF(G171="","",TODAY()-G171)</f>
        <v/>
      </c>
    </row>
    <row r="172">
      <c r="A172" s="2" t="n"/>
      <c r="B172" s="2" t="n"/>
      <c r="C172" s="2" t="n"/>
      <c r="D172" s="2" t="n"/>
      <c r="E172" s="2" t="n"/>
      <c r="F172" s="2" t="n"/>
      <c r="G172" s="2" t="n"/>
      <c r="H172" s="2" t="n"/>
      <c r="I172" s="2" t="n"/>
      <c r="J172" s="2" t="n"/>
      <c r="K172" s="2" t="n"/>
      <c r="L172" s="2" t="n"/>
      <c r="M172" s="2" t="n"/>
      <c r="N172" s="2" t="n"/>
      <c r="O172" s="2" t="n"/>
      <c r="P172" s="2" t="n"/>
      <c r="Q172" s="2">
        <f>IF(G172="","",TODAY()-G172)</f>
        <v/>
      </c>
    </row>
    <row r="173">
      <c r="A173" s="2" t="n"/>
      <c r="B173" s="2" t="n"/>
      <c r="C173" s="2" t="n"/>
      <c r="D173" s="2" t="n"/>
      <c r="E173" s="2" t="n"/>
      <c r="F173" s="2" t="n"/>
      <c r="G173" s="2" t="n"/>
      <c r="H173" s="2" t="n"/>
      <c r="I173" s="2" t="n"/>
      <c r="J173" s="2" t="n"/>
      <c r="K173" s="2" t="n"/>
      <c r="L173" s="2" t="n"/>
      <c r="M173" s="2" t="n"/>
      <c r="N173" s="2" t="n"/>
      <c r="O173" s="2" t="n"/>
      <c r="P173" s="2" t="n"/>
      <c r="Q173" s="2">
        <f>IF(G173="","",TODAY()-G173)</f>
        <v/>
      </c>
    </row>
    <row r="174">
      <c r="A174" s="2" t="n"/>
      <c r="B174" s="2" t="n"/>
      <c r="C174" s="2" t="n"/>
      <c r="D174" s="2" t="n"/>
      <c r="E174" s="2" t="n"/>
      <c r="F174" s="2" t="n"/>
      <c r="G174" s="2" t="n"/>
      <c r="H174" s="2" t="n"/>
      <c r="I174" s="2" t="n"/>
      <c r="J174" s="2" t="n"/>
      <c r="K174" s="2" t="n"/>
      <c r="L174" s="2" t="n"/>
      <c r="M174" s="2" t="n"/>
      <c r="N174" s="2" t="n"/>
      <c r="O174" s="2" t="n"/>
      <c r="P174" s="2" t="n"/>
      <c r="Q174" s="2">
        <f>IF(G174="","",TODAY()-G174)</f>
        <v/>
      </c>
    </row>
    <row r="175">
      <c r="A175" s="2" t="n"/>
      <c r="B175" s="2" t="n"/>
      <c r="C175" s="2" t="n"/>
      <c r="D175" s="2" t="n"/>
      <c r="E175" s="2" t="n"/>
      <c r="F175" s="2" t="n"/>
      <c r="G175" s="2" t="n"/>
      <c r="H175" s="2" t="n"/>
      <c r="I175" s="2" t="n"/>
      <c r="J175" s="2" t="n"/>
      <c r="K175" s="2" t="n"/>
      <c r="L175" s="2" t="n"/>
      <c r="M175" s="2" t="n"/>
      <c r="N175" s="2" t="n"/>
      <c r="O175" s="2" t="n"/>
      <c r="P175" s="2" t="n"/>
      <c r="Q175" s="2">
        <f>IF(G175="","",TODAY()-G175)</f>
        <v/>
      </c>
    </row>
    <row r="176">
      <c r="A176" s="2" t="n"/>
      <c r="B176" s="2" t="n"/>
      <c r="C176" s="2" t="n"/>
      <c r="D176" s="2" t="n"/>
      <c r="E176" s="2" t="n"/>
      <c r="F176" s="2" t="n"/>
      <c r="G176" s="2" t="n"/>
      <c r="H176" s="2" t="n"/>
      <c r="I176" s="2" t="n"/>
      <c r="J176" s="2" t="n"/>
      <c r="K176" s="2" t="n"/>
      <c r="L176" s="2" t="n"/>
      <c r="M176" s="2" t="n"/>
      <c r="N176" s="2" t="n"/>
      <c r="O176" s="2" t="n"/>
      <c r="P176" s="2" t="n"/>
      <c r="Q176" s="2">
        <f>IF(G176="","",TODAY()-G176)</f>
        <v/>
      </c>
    </row>
    <row r="177">
      <c r="A177" s="2" t="n"/>
      <c r="B177" s="2" t="n"/>
      <c r="C177" s="2" t="n"/>
      <c r="D177" s="2" t="n"/>
      <c r="E177" s="2" t="n"/>
      <c r="F177" s="2" t="n"/>
      <c r="G177" s="2" t="n"/>
      <c r="H177" s="2" t="n"/>
      <c r="I177" s="2" t="n"/>
      <c r="J177" s="2" t="n"/>
      <c r="K177" s="2" t="n"/>
      <c r="L177" s="2" t="n"/>
      <c r="M177" s="2" t="n"/>
      <c r="N177" s="2" t="n"/>
      <c r="O177" s="2" t="n"/>
      <c r="P177" s="2" t="n"/>
      <c r="Q177" s="2">
        <f>IF(G177="","",TODAY()-G177)</f>
        <v/>
      </c>
    </row>
    <row r="178">
      <c r="A178" s="2" t="n"/>
      <c r="B178" s="2" t="n"/>
      <c r="C178" s="2" t="n"/>
      <c r="D178" s="2" t="n"/>
      <c r="E178" s="2" t="n"/>
      <c r="F178" s="2" t="n"/>
      <c r="G178" s="2" t="n"/>
      <c r="H178" s="2" t="n"/>
      <c r="I178" s="2" t="n"/>
      <c r="J178" s="2" t="n"/>
      <c r="K178" s="2" t="n"/>
      <c r="L178" s="2" t="n"/>
      <c r="M178" s="2" t="n"/>
      <c r="N178" s="2" t="n"/>
      <c r="O178" s="2" t="n"/>
      <c r="P178" s="2" t="n"/>
      <c r="Q178" s="2">
        <f>IF(G178="","",TODAY()-G178)</f>
        <v/>
      </c>
    </row>
    <row r="179">
      <c r="A179" s="2" t="n"/>
      <c r="B179" s="2" t="n"/>
      <c r="C179" s="2" t="n"/>
      <c r="D179" s="2" t="n"/>
      <c r="E179" s="2" t="n"/>
      <c r="F179" s="2" t="n"/>
      <c r="G179" s="2" t="n"/>
      <c r="H179" s="2" t="n"/>
      <c r="I179" s="2" t="n"/>
      <c r="J179" s="2" t="n"/>
      <c r="K179" s="2" t="n"/>
      <c r="L179" s="2" t="n"/>
      <c r="M179" s="2" t="n"/>
      <c r="N179" s="2" t="n"/>
      <c r="O179" s="2" t="n"/>
      <c r="P179" s="2" t="n"/>
      <c r="Q179" s="2">
        <f>IF(G179="","",TODAY()-G179)</f>
        <v/>
      </c>
    </row>
    <row r="180">
      <c r="A180" s="2" t="n"/>
      <c r="B180" s="2" t="n"/>
      <c r="C180" s="2" t="n"/>
      <c r="D180" s="2" t="n"/>
      <c r="E180" s="2" t="n"/>
      <c r="F180" s="2" t="n"/>
      <c r="G180" s="2" t="n"/>
      <c r="H180" s="2" t="n"/>
      <c r="I180" s="2" t="n"/>
      <c r="J180" s="2" t="n"/>
      <c r="K180" s="2" t="n"/>
      <c r="L180" s="2" t="n"/>
      <c r="M180" s="2" t="n"/>
      <c r="N180" s="2" t="n"/>
      <c r="O180" s="2" t="n"/>
      <c r="P180" s="2" t="n"/>
      <c r="Q180" s="2">
        <f>IF(G180="","",TODAY()-G180)</f>
        <v/>
      </c>
    </row>
    <row r="181">
      <c r="A181" s="2" t="n"/>
      <c r="B181" s="2" t="n"/>
      <c r="C181" s="2" t="n"/>
      <c r="D181" s="2" t="n"/>
      <c r="E181" s="2" t="n"/>
      <c r="F181" s="2" t="n"/>
      <c r="G181" s="2" t="n"/>
      <c r="H181" s="2" t="n"/>
      <c r="I181" s="2" t="n"/>
      <c r="J181" s="2" t="n"/>
      <c r="K181" s="2" t="n"/>
      <c r="L181" s="2" t="n"/>
      <c r="M181" s="2" t="n"/>
      <c r="N181" s="2" t="n"/>
      <c r="O181" s="2" t="n"/>
      <c r="P181" s="2" t="n"/>
      <c r="Q181" s="2">
        <f>IF(G181="","",TODAY()-G181)</f>
        <v/>
      </c>
    </row>
    <row r="182">
      <c r="A182" s="2" t="n"/>
      <c r="B182" s="2" t="n"/>
      <c r="C182" s="2" t="n"/>
      <c r="D182" s="2" t="n"/>
      <c r="E182" s="2" t="n"/>
      <c r="F182" s="2" t="n"/>
      <c r="G182" s="2" t="n"/>
      <c r="H182" s="2" t="n"/>
      <c r="I182" s="2" t="n"/>
      <c r="J182" s="2" t="n"/>
      <c r="K182" s="2" t="n"/>
      <c r="L182" s="2" t="n"/>
      <c r="M182" s="2" t="n"/>
      <c r="N182" s="2" t="n"/>
      <c r="O182" s="2" t="n"/>
      <c r="P182" s="2" t="n"/>
      <c r="Q182" s="2">
        <f>IF(G182="","",TODAY()-G182)</f>
        <v/>
      </c>
    </row>
    <row r="183">
      <c r="A183" s="2" t="n"/>
      <c r="B183" s="2" t="n"/>
      <c r="C183" s="2" t="n"/>
      <c r="D183" s="2" t="n"/>
      <c r="E183" s="2" t="n"/>
      <c r="F183" s="2" t="n"/>
      <c r="G183" s="2" t="n"/>
      <c r="H183" s="2" t="n"/>
      <c r="I183" s="2" t="n"/>
      <c r="J183" s="2" t="n"/>
      <c r="K183" s="2" t="n"/>
      <c r="L183" s="2" t="n"/>
      <c r="M183" s="2" t="n"/>
      <c r="N183" s="2" t="n"/>
      <c r="O183" s="2" t="n"/>
      <c r="P183" s="2" t="n"/>
      <c r="Q183" s="2">
        <f>IF(G183="","",TODAY()-G183)</f>
        <v/>
      </c>
    </row>
    <row r="184">
      <c r="A184" s="2" t="n"/>
      <c r="B184" s="2" t="n"/>
      <c r="C184" s="2" t="n"/>
      <c r="D184" s="2" t="n"/>
      <c r="E184" s="2" t="n"/>
      <c r="F184" s="2" t="n"/>
      <c r="G184" s="2" t="n"/>
      <c r="H184" s="2" t="n"/>
      <c r="I184" s="2" t="n"/>
      <c r="J184" s="2" t="n"/>
      <c r="K184" s="2" t="n"/>
      <c r="L184" s="2" t="n"/>
      <c r="M184" s="2" t="n"/>
      <c r="N184" s="2" t="n"/>
      <c r="O184" s="2" t="n"/>
      <c r="P184" s="2" t="n"/>
      <c r="Q184" s="2">
        <f>IF(G184="","",TODAY()-G184)</f>
        <v/>
      </c>
    </row>
    <row r="185">
      <c r="A185" s="2" t="n"/>
      <c r="B185" s="2" t="n"/>
      <c r="C185" s="2" t="n"/>
      <c r="D185" s="2" t="n"/>
      <c r="E185" s="2" t="n"/>
      <c r="F185" s="2" t="n"/>
      <c r="G185" s="2" t="n"/>
      <c r="H185" s="2" t="n"/>
      <c r="I185" s="2" t="n"/>
      <c r="J185" s="2" t="n"/>
      <c r="K185" s="2" t="n"/>
      <c r="L185" s="2" t="n"/>
      <c r="M185" s="2" t="n"/>
      <c r="N185" s="2" t="n"/>
      <c r="O185" s="2" t="n"/>
      <c r="P185" s="2" t="n"/>
      <c r="Q185" s="2">
        <f>IF(G185="","",TODAY()-G185)</f>
        <v/>
      </c>
    </row>
    <row r="186">
      <c r="A186" s="2" t="n"/>
      <c r="B186" s="2" t="n"/>
      <c r="C186" s="2" t="n"/>
      <c r="D186" s="2" t="n"/>
      <c r="E186" s="2" t="n"/>
      <c r="F186" s="2" t="n"/>
      <c r="G186" s="2" t="n"/>
      <c r="H186" s="2" t="n"/>
      <c r="I186" s="2" t="n"/>
      <c r="J186" s="2" t="n"/>
      <c r="K186" s="2" t="n"/>
      <c r="L186" s="2" t="n"/>
      <c r="M186" s="2" t="n"/>
      <c r="N186" s="2" t="n"/>
      <c r="O186" s="2" t="n"/>
      <c r="P186" s="2" t="n"/>
      <c r="Q186" s="2">
        <f>IF(G186="","",TODAY()-G186)</f>
        <v/>
      </c>
    </row>
    <row r="187">
      <c r="A187" s="2" t="n"/>
      <c r="B187" s="2" t="n"/>
      <c r="C187" s="2" t="n"/>
      <c r="D187" s="2" t="n"/>
      <c r="E187" s="2" t="n"/>
      <c r="F187" s="2" t="n"/>
      <c r="G187" s="2" t="n"/>
      <c r="H187" s="2" t="n"/>
      <c r="I187" s="2" t="n"/>
      <c r="J187" s="2" t="n"/>
      <c r="K187" s="2" t="n"/>
      <c r="L187" s="2" t="n"/>
      <c r="M187" s="2" t="n"/>
      <c r="N187" s="2" t="n"/>
      <c r="O187" s="2" t="n"/>
      <c r="P187" s="2" t="n"/>
      <c r="Q187" s="2">
        <f>IF(G187="","",TODAY()-G187)</f>
        <v/>
      </c>
    </row>
    <row r="188">
      <c r="A188" s="2" t="n"/>
      <c r="B188" s="2" t="n"/>
      <c r="C188" s="2" t="n"/>
      <c r="D188" s="2" t="n"/>
      <c r="E188" s="2" t="n"/>
      <c r="F188" s="2" t="n"/>
      <c r="G188" s="2" t="n"/>
      <c r="H188" s="2" t="n"/>
      <c r="I188" s="2" t="n"/>
      <c r="J188" s="2" t="n"/>
      <c r="K188" s="2" t="n"/>
      <c r="L188" s="2" t="n"/>
      <c r="M188" s="2" t="n"/>
      <c r="N188" s="2" t="n"/>
      <c r="O188" s="2" t="n"/>
      <c r="P188" s="2" t="n"/>
      <c r="Q188" s="2">
        <f>IF(G188="","",TODAY()-G188)</f>
        <v/>
      </c>
    </row>
    <row r="189">
      <c r="A189" s="2" t="n"/>
      <c r="B189" s="2" t="n"/>
      <c r="C189" s="2" t="n"/>
      <c r="D189" s="2" t="n"/>
      <c r="E189" s="2" t="n"/>
      <c r="F189" s="2" t="n"/>
      <c r="G189" s="2" t="n"/>
      <c r="H189" s="2" t="n"/>
      <c r="I189" s="2" t="n"/>
      <c r="J189" s="2" t="n"/>
      <c r="K189" s="2" t="n"/>
      <c r="L189" s="2" t="n"/>
      <c r="M189" s="2" t="n"/>
      <c r="N189" s="2" t="n"/>
      <c r="O189" s="2" t="n"/>
      <c r="P189" s="2" t="n"/>
      <c r="Q189" s="2">
        <f>IF(G189="","",TODAY()-G189)</f>
        <v/>
      </c>
    </row>
    <row r="190">
      <c r="A190" s="2" t="n"/>
      <c r="B190" s="2" t="n"/>
      <c r="C190" s="2" t="n"/>
      <c r="D190" s="2" t="n"/>
      <c r="E190" s="2" t="n"/>
      <c r="F190" s="2" t="n"/>
      <c r="G190" s="2" t="n"/>
      <c r="H190" s="2" t="n"/>
      <c r="I190" s="2" t="n"/>
      <c r="J190" s="2" t="n"/>
      <c r="K190" s="2" t="n"/>
      <c r="L190" s="2" t="n"/>
      <c r="M190" s="2" t="n"/>
      <c r="N190" s="2" t="n"/>
      <c r="O190" s="2" t="n"/>
      <c r="P190" s="2" t="n"/>
      <c r="Q190" s="2">
        <f>IF(G190="","",TODAY()-G190)</f>
        <v/>
      </c>
    </row>
    <row r="191">
      <c r="A191" s="2" t="n"/>
      <c r="B191" s="2" t="n"/>
      <c r="C191" s="2" t="n"/>
      <c r="D191" s="2" t="n"/>
      <c r="E191" s="2" t="n"/>
      <c r="F191" s="2" t="n"/>
      <c r="G191" s="2" t="n"/>
      <c r="H191" s="2" t="n"/>
      <c r="I191" s="2" t="n"/>
      <c r="J191" s="2" t="n"/>
      <c r="K191" s="2" t="n"/>
      <c r="L191" s="2" t="n"/>
      <c r="M191" s="2" t="n"/>
      <c r="N191" s="2" t="n"/>
      <c r="O191" s="2" t="n"/>
      <c r="P191" s="2" t="n"/>
      <c r="Q191" s="2">
        <f>IF(G191="","",TODAY()-G191)</f>
        <v/>
      </c>
    </row>
    <row r="192">
      <c r="A192" s="2" t="n"/>
      <c r="B192" s="2" t="n"/>
      <c r="C192" s="2" t="n"/>
      <c r="D192" s="2" t="n"/>
      <c r="E192" s="2" t="n"/>
      <c r="F192" s="2" t="n"/>
      <c r="G192" s="2" t="n"/>
      <c r="H192" s="2" t="n"/>
      <c r="I192" s="2" t="n"/>
      <c r="J192" s="2" t="n"/>
      <c r="K192" s="2" t="n"/>
      <c r="L192" s="2" t="n"/>
      <c r="M192" s="2" t="n"/>
      <c r="N192" s="2" t="n"/>
      <c r="O192" s="2" t="n"/>
      <c r="P192" s="2" t="n"/>
      <c r="Q192" s="2">
        <f>IF(G192="","",TODAY()-G192)</f>
        <v/>
      </c>
    </row>
    <row r="193">
      <c r="A193" s="2" t="n"/>
      <c r="B193" s="2" t="n"/>
      <c r="C193" s="2" t="n"/>
      <c r="D193" s="2" t="n"/>
      <c r="E193" s="2" t="n"/>
      <c r="F193" s="2" t="n"/>
      <c r="G193" s="2" t="n"/>
      <c r="H193" s="2" t="n"/>
      <c r="I193" s="2" t="n"/>
      <c r="J193" s="2" t="n"/>
      <c r="K193" s="2" t="n"/>
      <c r="L193" s="2" t="n"/>
      <c r="M193" s="2" t="n"/>
      <c r="N193" s="2" t="n"/>
      <c r="O193" s="2" t="n"/>
      <c r="P193" s="2" t="n"/>
      <c r="Q193" s="2">
        <f>IF(G193="","",TODAY()-G193)</f>
        <v/>
      </c>
    </row>
    <row r="194">
      <c r="A194" s="2" t="n"/>
      <c r="B194" s="2" t="n"/>
      <c r="C194" s="2" t="n"/>
      <c r="D194" s="2" t="n"/>
      <c r="E194" s="2" t="n"/>
      <c r="F194" s="2" t="n"/>
      <c r="G194" s="2" t="n"/>
      <c r="H194" s="2" t="n"/>
      <c r="I194" s="2" t="n"/>
      <c r="J194" s="2" t="n"/>
      <c r="K194" s="2" t="n"/>
      <c r="L194" s="2" t="n"/>
      <c r="M194" s="2" t="n"/>
      <c r="N194" s="2" t="n"/>
      <c r="O194" s="2" t="n"/>
      <c r="P194" s="2" t="n"/>
      <c r="Q194" s="2">
        <f>IF(G194="","",TODAY()-G194)</f>
        <v/>
      </c>
    </row>
    <row r="195">
      <c r="A195" s="2" t="n"/>
      <c r="B195" s="2" t="n"/>
      <c r="C195" s="2" t="n"/>
      <c r="D195" s="2" t="n"/>
      <c r="E195" s="2" t="n"/>
      <c r="F195" s="2" t="n"/>
      <c r="G195" s="2" t="n"/>
      <c r="H195" s="2" t="n"/>
      <c r="I195" s="2" t="n"/>
      <c r="J195" s="2" t="n"/>
      <c r="K195" s="2" t="n"/>
      <c r="L195" s="2" t="n"/>
      <c r="M195" s="2" t="n"/>
      <c r="N195" s="2" t="n"/>
      <c r="O195" s="2" t="n"/>
      <c r="P195" s="2" t="n"/>
      <c r="Q195" s="2">
        <f>IF(G195="","",TODAY()-G195)</f>
        <v/>
      </c>
    </row>
    <row r="196">
      <c r="A196" s="2" t="n"/>
      <c r="B196" s="2" t="n"/>
      <c r="C196" s="2" t="n"/>
      <c r="D196" s="2" t="n"/>
      <c r="E196" s="2" t="n"/>
      <c r="F196" s="2" t="n"/>
      <c r="G196" s="2" t="n"/>
      <c r="H196" s="2" t="n"/>
      <c r="I196" s="2" t="n"/>
      <c r="J196" s="2" t="n"/>
      <c r="K196" s="2" t="n"/>
      <c r="L196" s="2" t="n"/>
      <c r="M196" s="2" t="n"/>
      <c r="N196" s="2" t="n"/>
      <c r="O196" s="2" t="n"/>
      <c r="P196" s="2" t="n"/>
      <c r="Q196" s="2">
        <f>IF(G196="","",TODAY()-G196)</f>
        <v/>
      </c>
    </row>
    <row r="197">
      <c r="A197" s="2" t="n"/>
      <c r="B197" s="2" t="n"/>
      <c r="C197" s="2" t="n"/>
      <c r="D197" s="2" t="n"/>
      <c r="E197" s="2" t="n"/>
      <c r="F197" s="2" t="n"/>
      <c r="G197" s="2" t="n"/>
      <c r="H197" s="2" t="n"/>
      <c r="I197" s="2" t="n"/>
      <c r="J197" s="2" t="n"/>
      <c r="K197" s="2" t="n"/>
      <c r="L197" s="2" t="n"/>
      <c r="M197" s="2" t="n"/>
      <c r="N197" s="2" t="n"/>
      <c r="O197" s="2" t="n"/>
      <c r="P197" s="2" t="n"/>
      <c r="Q197" s="2">
        <f>IF(G197="","",TODAY()-G197)</f>
        <v/>
      </c>
    </row>
    <row r="198">
      <c r="A198" s="2" t="n"/>
      <c r="B198" s="2" t="n"/>
      <c r="C198" s="2" t="n"/>
      <c r="D198" s="2" t="n"/>
      <c r="E198" s="2" t="n"/>
      <c r="F198" s="2" t="n"/>
      <c r="G198" s="2" t="n"/>
      <c r="H198" s="2" t="n"/>
      <c r="I198" s="2" t="n"/>
      <c r="J198" s="2" t="n"/>
      <c r="K198" s="2" t="n"/>
      <c r="L198" s="2" t="n"/>
      <c r="M198" s="2" t="n"/>
      <c r="N198" s="2" t="n"/>
      <c r="O198" s="2" t="n"/>
      <c r="P198" s="2" t="n"/>
      <c r="Q198" s="2">
        <f>IF(G198="","",TODAY()-G198)</f>
        <v/>
      </c>
    </row>
    <row r="199">
      <c r="A199" s="2" t="n"/>
      <c r="B199" s="2" t="n"/>
      <c r="C199" s="2" t="n"/>
      <c r="D199" s="2" t="n"/>
      <c r="E199" s="2" t="n"/>
      <c r="F199" s="2" t="n"/>
      <c r="G199" s="2" t="n"/>
      <c r="H199" s="2" t="n"/>
      <c r="I199" s="2" t="n"/>
      <c r="J199" s="2" t="n"/>
      <c r="K199" s="2" t="n"/>
      <c r="L199" s="2" t="n"/>
      <c r="M199" s="2" t="n"/>
      <c r="N199" s="2" t="n"/>
      <c r="O199" s="2" t="n"/>
      <c r="P199" s="2" t="n"/>
      <c r="Q199" s="2">
        <f>IF(G199="","",TODAY()-G199)</f>
        <v/>
      </c>
    </row>
    <row r="200">
      <c r="A200" s="2" t="n"/>
      <c r="B200" s="2" t="n"/>
      <c r="C200" s="2" t="n"/>
      <c r="D200" s="2" t="n"/>
      <c r="E200" s="2" t="n"/>
      <c r="F200" s="2" t="n"/>
      <c r="G200" s="2" t="n"/>
      <c r="H200" s="2" t="n"/>
      <c r="I200" s="2" t="n"/>
      <c r="J200" s="2" t="n"/>
      <c r="K200" s="2" t="n"/>
      <c r="L200" s="2" t="n"/>
      <c r="M200" s="2" t="n"/>
      <c r="N200" s="2" t="n"/>
      <c r="O200" s="2" t="n"/>
      <c r="P200" s="2" t="n"/>
      <c r="Q200" s="2">
        <f>IF(G200="","",TODAY()-G200)</f>
        <v/>
      </c>
    </row>
    <row r="201">
      <c r="A201" s="2" t="n"/>
      <c r="B201" s="2" t="n"/>
      <c r="C201" s="2" t="n"/>
      <c r="D201" s="2" t="n"/>
      <c r="E201" s="2" t="n"/>
      <c r="F201" s="2" t="n"/>
      <c r="G201" s="2" t="n"/>
      <c r="H201" s="2" t="n"/>
      <c r="I201" s="2" t="n"/>
      <c r="J201" s="2" t="n"/>
      <c r="K201" s="2" t="n"/>
      <c r="L201" s="2" t="n"/>
      <c r="M201" s="2" t="n"/>
      <c r="N201" s="2" t="n"/>
      <c r="O201" s="2" t="n"/>
      <c r="P201" s="2" t="n"/>
      <c r="Q201" s="2">
        <f>IF(G201="","",TODAY()-G201)</f>
        <v/>
      </c>
    </row>
    <row r="202">
      <c r="A202" s="2" t="n"/>
      <c r="B202" s="2" t="n"/>
      <c r="C202" s="2" t="n"/>
      <c r="D202" s="2" t="n"/>
      <c r="E202" s="2" t="n"/>
      <c r="F202" s="2" t="n"/>
      <c r="G202" s="2" t="n"/>
      <c r="H202" s="2" t="n"/>
      <c r="I202" s="2" t="n"/>
      <c r="J202" s="2" t="n"/>
      <c r="K202" s="2" t="n"/>
      <c r="L202" s="2" t="n"/>
      <c r="M202" s="2" t="n"/>
      <c r="N202" s="2" t="n"/>
      <c r="O202" s="2" t="n"/>
      <c r="P202" s="2" t="n"/>
      <c r="Q202" s="2">
        <f>IF(G202="","",TODAY()-G202)</f>
        <v/>
      </c>
    </row>
    <row r="203">
      <c r="A203" s="2" t="n"/>
      <c r="B203" s="2" t="n"/>
      <c r="C203" s="2" t="n"/>
      <c r="D203" s="2" t="n"/>
      <c r="E203" s="2" t="n"/>
      <c r="F203" s="2" t="n"/>
      <c r="G203" s="2" t="n"/>
      <c r="H203" s="2" t="n"/>
      <c r="I203" s="2" t="n"/>
      <c r="J203" s="2" t="n"/>
      <c r="K203" s="2" t="n"/>
      <c r="L203" s="2" t="n"/>
      <c r="M203" s="2" t="n"/>
      <c r="N203" s="2" t="n"/>
      <c r="O203" s="2" t="n"/>
      <c r="P203" s="2" t="n"/>
      <c r="Q203" s="2">
        <f>IF(G203="","",TODAY()-G203)</f>
        <v/>
      </c>
    </row>
    <row r="204">
      <c r="A204" s="2" t="n"/>
      <c r="B204" s="2" t="n"/>
      <c r="C204" s="2" t="n"/>
      <c r="D204" s="2" t="n"/>
      <c r="E204" s="2" t="n"/>
      <c r="F204" s="2" t="n"/>
      <c r="G204" s="2" t="n"/>
      <c r="H204" s="2" t="n"/>
      <c r="I204" s="2" t="n"/>
      <c r="J204" s="2" t="n"/>
      <c r="K204" s="2" t="n"/>
      <c r="L204" s="2" t="n"/>
      <c r="M204" s="2" t="n"/>
      <c r="N204" s="2" t="n"/>
      <c r="O204" s="2" t="n"/>
      <c r="P204" s="2" t="n"/>
      <c r="Q204" s="2">
        <f>IF(G204="","",TODAY()-G204)</f>
        <v/>
      </c>
    </row>
    <row r="205">
      <c r="A205" s="2" t="n"/>
      <c r="B205" s="2" t="n"/>
      <c r="C205" s="2" t="n"/>
      <c r="D205" s="2" t="n"/>
      <c r="E205" s="2" t="n"/>
      <c r="F205" s="2" t="n"/>
      <c r="G205" s="2" t="n"/>
      <c r="H205" s="2" t="n"/>
      <c r="I205" s="2" t="n"/>
      <c r="J205" s="2" t="n"/>
      <c r="K205" s="2" t="n"/>
      <c r="L205" s="2" t="n"/>
      <c r="M205" s="2" t="n"/>
      <c r="N205" s="2" t="n"/>
      <c r="O205" s="2" t="n"/>
      <c r="P205" s="2" t="n"/>
      <c r="Q205" s="2">
        <f>IF(G205="","",TODAY()-G205)</f>
        <v/>
      </c>
    </row>
    <row r="206">
      <c r="A206" s="2" t="n"/>
      <c r="B206" s="2" t="n"/>
      <c r="C206" s="2" t="n"/>
      <c r="D206" s="2" t="n"/>
      <c r="E206" s="2" t="n"/>
      <c r="F206" s="2" t="n"/>
      <c r="G206" s="2" t="n"/>
      <c r="H206" s="2" t="n"/>
      <c r="I206" s="2" t="n"/>
      <c r="J206" s="2" t="n"/>
      <c r="K206" s="2" t="n"/>
      <c r="L206" s="2" t="n"/>
      <c r="M206" s="2" t="n"/>
      <c r="N206" s="2" t="n"/>
      <c r="O206" s="2" t="n"/>
      <c r="P206" s="2" t="n"/>
      <c r="Q206" s="2">
        <f>IF(G206="","",TODAY()-G206)</f>
        <v/>
      </c>
    </row>
    <row r="207">
      <c r="A207" s="2" t="n"/>
      <c r="B207" s="2" t="n"/>
      <c r="C207" s="2" t="n"/>
      <c r="D207" s="2" t="n"/>
      <c r="E207" s="2" t="n"/>
      <c r="F207" s="2" t="n"/>
      <c r="G207" s="2" t="n"/>
      <c r="H207" s="2" t="n"/>
      <c r="I207" s="2" t="n"/>
      <c r="J207" s="2" t="n"/>
      <c r="K207" s="2" t="n"/>
      <c r="L207" s="2" t="n"/>
      <c r="M207" s="2" t="n"/>
      <c r="N207" s="2" t="n"/>
      <c r="O207" s="2" t="n"/>
      <c r="P207" s="2" t="n"/>
      <c r="Q207" s="2">
        <f>IF(G207="","",TODAY()-G207)</f>
        <v/>
      </c>
    </row>
    <row r="208">
      <c r="A208" s="2" t="n"/>
      <c r="B208" s="2" t="n"/>
      <c r="C208" s="2" t="n"/>
      <c r="D208" s="2" t="n"/>
      <c r="E208" s="2" t="n"/>
      <c r="F208" s="2" t="n"/>
      <c r="G208" s="2" t="n"/>
      <c r="H208" s="2" t="n"/>
      <c r="I208" s="2" t="n"/>
      <c r="J208" s="2" t="n"/>
      <c r="K208" s="2" t="n"/>
      <c r="L208" s="2" t="n"/>
      <c r="M208" s="2" t="n"/>
      <c r="N208" s="2" t="n"/>
      <c r="O208" s="2" t="n"/>
      <c r="P208" s="2" t="n"/>
      <c r="Q208" s="2">
        <f>IF(G208="","",TODAY()-G208)</f>
        <v/>
      </c>
    </row>
    <row r="209">
      <c r="A209" s="2" t="n"/>
      <c r="B209" s="2" t="n"/>
      <c r="C209" s="2" t="n"/>
      <c r="D209" s="2" t="n"/>
      <c r="E209" s="2" t="n"/>
      <c r="F209" s="2" t="n"/>
      <c r="G209" s="2" t="n"/>
      <c r="H209" s="2" t="n"/>
      <c r="I209" s="2" t="n"/>
      <c r="J209" s="2" t="n"/>
      <c r="K209" s="2" t="n"/>
      <c r="L209" s="2" t="n"/>
      <c r="M209" s="2" t="n"/>
      <c r="N209" s="2" t="n"/>
      <c r="O209" s="2" t="n"/>
      <c r="P209" s="2" t="n"/>
      <c r="Q209" s="2">
        <f>IF(G209="","",TODAY()-G209)</f>
        <v/>
      </c>
    </row>
    <row r="210">
      <c r="A210" s="2" t="n"/>
      <c r="B210" s="2" t="n"/>
      <c r="C210" s="2" t="n"/>
      <c r="D210" s="2" t="n"/>
      <c r="E210" s="2" t="n"/>
      <c r="F210" s="2" t="n"/>
      <c r="G210" s="2" t="n"/>
      <c r="H210" s="2" t="n"/>
      <c r="I210" s="2" t="n"/>
      <c r="J210" s="2" t="n"/>
      <c r="K210" s="2" t="n"/>
      <c r="L210" s="2" t="n"/>
      <c r="M210" s="2" t="n"/>
      <c r="N210" s="2" t="n"/>
      <c r="O210" s="2" t="n"/>
      <c r="P210" s="2" t="n"/>
      <c r="Q210" s="2">
        <f>IF(G210="","",TODAY()-G210)</f>
        <v/>
      </c>
    </row>
    <row r="211">
      <c r="A211" s="2" t="n"/>
      <c r="B211" s="2" t="n"/>
      <c r="C211" s="2" t="n"/>
      <c r="D211" s="2" t="n"/>
      <c r="E211" s="2" t="n"/>
      <c r="F211" s="2" t="n"/>
      <c r="G211" s="2" t="n"/>
      <c r="H211" s="2" t="n"/>
      <c r="I211" s="2" t="n"/>
      <c r="J211" s="2" t="n"/>
      <c r="K211" s="2" t="n"/>
      <c r="L211" s="2" t="n"/>
      <c r="M211" s="2" t="n"/>
      <c r="N211" s="2" t="n"/>
      <c r="O211" s="2" t="n"/>
      <c r="P211" s="2" t="n"/>
      <c r="Q211" s="2">
        <f>IF(G211="","",TODAY()-G211)</f>
        <v/>
      </c>
    </row>
    <row r="212">
      <c r="A212" s="2" t="n"/>
      <c r="B212" s="2" t="n"/>
      <c r="C212" s="2" t="n"/>
      <c r="D212" s="2" t="n"/>
      <c r="E212" s="2" t="n"/>
      <c r="F212" s="2" t="n"/>
      <c r="G212" s="2" t="n"/>
      <c r="H212" s="2" t="n"/>
      <c r="I212" s="2" t="n"/>
      <c r="J212" s="2" t="n"/>
      <c r="K212" s="2" t="n"/>
      <c r="L212" s="2" t="n"/>
      <c r="M212" s="2" t="n"/>
      <c r="N212" s="2" t="n"/>
      <c r="O212" s="2" t="n"/>
      <c r="P212" s="2" t="n"/>
      <c r="Q212" s="2">
        <f>IF(G212="","",TODAY()-G212)</f>
        <v/>
      </c>
    </row>
    <row r="213">
      <c r="A213" s="2" t="n"/>
      <c r="B213" s="2" t="n"/>
      <c r="C213" s="2" t="n"/>
      <c r="D213" s="2" t="n"/>
      <c r="E213" s="2" t="n"/>
      <c r="F213" s="2" t="n"/>
      <c r="G213" s="2" t="n"/>
      <c r="H213" s="2" t="n"/>
      <c r="I213" s="2" t="n"/>
      <c r="J213" s="2" t="n"/>
      <c r="K213" s="2" t="n"/>
      <c r="L213" s="2" t="n"/>
      <c r="M213" s="2" t="n"/>
      <c r="N213" s="2" t="n"/>
      <c r="O213" s="2" t="n"/>
      <c r="P213" s="2" t="n"/>
      <c r="Q213" s="2">
        <f>IF(G213="","",TODAY()-G213)</f>
        <v/>
      </c>
    </row>
    <row r="214">
      <c r="A214" s="2" t="n"/>
      <c r="B214" s="2" t="n"/>
      <c r="C214" s="2" t="n"/>
      <c r="D214" s="2" t="n"/>
      <c r="E214" s="2" t="n"/>
      <c r="F214" s="2" t="n"/>
      <c r="G214" s="2" t="n"/>
      <c r="H214" s="2" t="n"/>
      <c r="I214" s="2" t="n"/>
      <c r="J214" s="2" t="n"/>
      <c r="K214" s="2" t="n"/>
      <c r="L214" s="2" t="n"/>
      <c r="M214" s="2" t="n"/>
      <c r="N214" s="2" t="n"/>
      <c r="O214" s="2" t="n"/>
      <c r="P214" s="2" t="n"/>
      <c r="Q214" s="2">
        <f>IF(G214="","",TODAY()-G214)</f>
        <v/>
      </c>
    </row>
    <row r="215">
      <c r="A215" s="2" t="n"/>
      <c r="B215" s="2" t="n"/>
      <c r="C215" s="2" t="n"/>
      <c r="D215" s="2" t="n"/>
      <c r="E215" s="2" t="n"/>
      <c r="F215" s="2" t="n"/>
      <c r="G215" s="2" t="n"/>
      <c r="H215" s="2" t="n"/>
      <c r="I215" s="2" t="n"/>
      <c r="J215" s="2" t="n"/>
      <c r="K215" s="2" t="n"/>
      <c r="L215" s="2" t="n"/>
      <c r="M215" s="2" t="n"/>
      <c r="N215" s="2" t="n"/>
      <c r="O215" s="2" t="n"/>
      <c r="P215" s="2" t="n"/>
      <c r="Q215" s="2">
        <f>IF(G215="","",TODAY()-G215)</f>
        <v/>
      </c>
    </row>
    <row r="216">
      <c r="A216" s="2" t="n"/>
      <c r="B216" s="2" t="n"/>
      <c r="C216" s="2" t="n"/>
      <c r="D216" s="2" t="n"/>
      <c r="E216" s="2" t="n"/>
      <c r="F216" s="2" t="n"/>
      <c r="G216" s="2" t="n"/>
      <c r="H216" s="2" t="n"/>
      <c r="I216" s="2" t="n"/>
      <c r="J216" s="2" t="n"/>
      <c r="K216" s="2" t="n"/>
      <c r="L216" s="2" t="n"/>
      <c r="M216" s="2" t="n"/>
      <c r="N216" s="2" t="n"/>
      <c r="O216" s="2" t="n"/>
      <c r="P216" s="2" t="n"/>
      <c r="Q216" s="2">
        <f>IF(G216="","",TODAY()-G216)</f>
        <v/>
      </c>
    </row>
    <row r="217">
      <c r="A217" s="2" t="n"/>
      <c r="B217" s="2" t="n"/>
      <c r="C217" s="2" t="n"/>
      <c r="D217" s="2" t="n"/>
      <c r="E217" s="2" t="n"/>
      <c r="F217" s="2" t="n"/>
      <c r="G217" s="2" t="n"/>
      <c r="H217" s="2" t="n"/>
      <c r="I217" s="2" t="n"/>
      <c r="J217" s="2" t="n"/>
      <c r="K217" s="2" t="n"/>
      <c r="L217" s="2" t="n"/>
      <c r="M217" s="2" t="n"/>
      <c r="N217" s="2" t="n"/>
      <c r="O217" s="2" t="n"/>
      <c r="P217" s="2" t="n"/>
      <c r="Q217" s="2">
        <f>IF(G217="","",TODAY()-G217)</f>
        <v/>
      </c>
    </row>
    <row r="218">
      <c r="A218" s="2" t="n"/>
      <c r="B218" s="2" t="n"/>
      <c r="C218" s="2" t="n"/>
      <c r="D218" s="2" t="n"/>
      <c r="E218" s="2" t="n"/>
      <c r="F218" s="2" t="n"/>
      <c r="G218" s="2" t="n"/>
      <c r="H218" s="2" t="n"/>
      <c r="I218" s="2" t="n"/>
      <c r="J218" s="2" t="n"/>
      <c r="K218" s="2" t="n"/>
      <c r="L218" s="2" t="n"/>
      <c r="M218" s="2" t="n"/>
      <c r="N218" s="2" t="n"/>
      <c r="O218" s="2" t="n"/>
      <c r="P218" s="2" t="n"/>
      <c r="Q218" s="2">
        <f>IF(G218="","",TODAY()-G218)</f>
        <v/>
      </c>
    </row>
    <row r="219">
      <c r="A219" s="2" t="n"/>
      <c r="B219" s="2" t="n"/>
      <c r="C219" s="2" t="n"/>
      <c r="D219" s="2" t="n"/>
      <c r="E219" s="2" t="n"/>
      <c r="F219" s="2" t="n"/>
      <c r="G219" s="2" t="n"/>
      <c r="H219" s="2" t="n"/>
      <c r="I219" s="2" t="n"/>
      <c r="J219" s="2" t="n"/>
      <c r="K219" s="2" t="n"/>
      <c r="L219" s="2" t="n"/>
      <c r="M219" s="2" t="n"/>
      <c r="N219" s="2" t="n"/>
      <c r="O219" s="2" t="n"/>
      <c r="P219" s="2" t="n"/>
      <c r="Q219" s="2">
        <f>IF(G219="","",TODAY()-G219)</f>
        <v/>
      </c>
    </row>
    <row r="220">
      <c r="A220" s="2" t="n"/>
      <c r="B220" s="2" t="n"/>
      <c r="C220" s="2" t="n"/>
      <c r="D220" s="2" t="n"/>
      <c r="E220" s="2" t="n"/>
      <c r="F220" s="2" t="n"/>
      <c r="G220" s="2" t="n"/>
      <c r="H220" s="2" t="n"/>
      <c r="I220" s="2" t="n"/>
      <c r="J220" s="2" t="n"/>
      <c r="K220" s="2" t="n"/>
      <c r="L220" s="2" t="n"/>
      <c r="M220" s="2" t="n"/>
      <c r="N220" s="2" t="n"/>
      <c r="O220" s="2" t="n"/>
      <c r="P220" s="2" t="n"/>
      <c r="Q220" s="2">
        <f>IF(G220="","",TODAY()-G220)</f>
        <v/>
      </c>
    </row>
    <row r="221">
      <c r="A221" s="2" t="n"/>
      <c r="B221" s="2" t="n"/>
      <c r="C221" s="2" t="n"/>
      <c r="D221" s="2" t="n"/>
      <c r="E221" s="2" t="n"/>
      <c r="F221" s="2" t="n"/>
      <c r="G221" s="2" t="n"/>
      <c r="H221" s="2" t="n"/>
      <c r="I221" s="2" t="n"/>
      <c r="J221" s="2" t="n"/>
      <c r="K221" s="2" t="n"/>
      <c r="L221" s="2" t="n"/>
      <c r="M221" s="2" t="n"/>
      <c r="N221" s="2" t="n"/>
      <c r="O221" s="2" t="n"/>
      <c r="P221" s="2" t="n"/>
      <c r="Q221" s="2">
        <f>IF(G221="","",TODAY()-G221)</f>
        <v/>
      </c>
    </row>
    <row r="222">
      <c r="A222" s="2" t="n"/>
      <c r="B222" s="2" t="n"/>
      <c r="C222" s="2" t="n"/>
      <c r="D222" s="2" t="n"/>
      <c r="E222" s="2" t="n"/>
      <c r="F222" s="2" t="n"/>
      <c r="G222" s="2" t="n"/>
      <c r="H222" s="2" t="n"/>
      <c r="I222" s="2" t="n"/>
      <c r="J222" s="2" t="n"/>
      <c r="K222" s="2" t="n"/>
      <c r="L222" s="2" t="n"/>
      <c r="M222" s="2" t="n"/>
      <c r="N222" s="2" t="n"/>
      <c r="O222" s="2" t="n"/>
      <c r="P222" s="2" t="n"/>
      <c r="Q222" s="2">
        <f>IF(G222="","",TODAY()-G222)</f>
        <v/>
      </c>
    </row>
    <row r="223">
      <c r="A223" s="2" t="n"/>
      <c r="B223" s="2" t="n"/>
      <c r="C223" s="2" t="n"/>
      <c r="D223" s="2" t="n"/>
      <c r="E223" s="2" t="n"/>
      <c r="F223" s="2" t="n"/>
      <c r="G223" s="2" t="n"/>
      <c r="H223" s="2" t="n"/>
      <c r="I223" s="2" t="n"/>
      <c r="J223" s="2" t="n"/>
      <c r="K223" s="2" t="n"/>
      <c r="L223" s="2" t="n"/>
      <c r="M223" s="2" t="n"/>
      <c r="N223" s="2" t="n"/>
      <c r="O223" s="2" t="n"/>
      <c r="P223" s="2" t="n"/>
      <c r="Q223" s="2">
        <f>IF(G223="","",TODAY()-G223)</f>
        <v/>
      </c>
    </row>
    <row r="224">
      <c r="A224" s="2" t="n"/>
      <c r="B224" s="2" t="n"/>
      <c r="C224" s="2" t="n"/>
      <c r="D224" s="2" t="n"/>
      <c r="E224" s="2" t="n"/>
      <c r="F224" s="2" t="n"/>
      <c r="G224" s="2" t="n"/>
      <c r="H224" s="2" t="n"/>
      <c r="I224" s="2" t="n"/>
      <c r="J224" s="2" t="n"/>
      <c r="K224" s="2" t="n"/>
      <c r="L224" s="2" t="n"/>
      <c r="M224" s="2" t="n"/>
      <c r="N224" s="2" t="n"/>
      <c r="O224" s="2" t="n"/>
      <c r="P224" s="2" t="n"/>
      <c r="Q224" s="2">
        <f>IF(G224="","",TODAY()-G224)</f>
        <v/>
      </c>
    </row>
    <row r="225">
      <c r="A225" s="2" t="n"/>
      <c r="B225" s="2" t="n"/>
      <c r="C225" s="2" t="n"/>
      <c r="D225" s="2" t="n"/>
      <c r="E225" s="2" t="n"/>
      <c r="F225" s="2" t="n"/>
      <c r="G225" s="2" t="n"/>
      <c r="H225" s="2" t="n"/>
      <c r="I225" s="2" t="n"/>
      <c r="J225" s="2" t="n"/>
      <c r="K225" s="2" t="n"/>
      <c r="L225" s="2" t="n"/>
      <c r="M225" s="2" t="n"/>
      <c r="N225" s="2" t="n"/>
      <c r="O225" s="2" t="n"/>
      <c r="P225" s="2" t="n"/>
      <c r="Q225" s="2">
        <f>IF(G225="","",TODAY()-G225)</f>
        <v/>
      </c>
    </row>
    <row r="226">
      <c r="A226" s="2" t="n"/>
      <c r="B226" s="2" t="n"/>
      <c r="C226" s="2" t="n"/>
      <c r="D226" s="2" t="n"/>
      <c r="E226" s="2" t="n"/>
      <c r="F226" s="2" t="n"/>
      <c r="G226" s="2" t="n"/>
      <c r="H226" s="2" t="n"/>
      <c r="I226" s="2" t="n"/>
      <c r="J226" s="2" t="n"/>
      <c r="K226" s="2" t="n"/>
      <c r="L226" s="2" t="n"/>
      <c r="M226" s="2" t="n"/>
      <c r="N226" s="2" t="n"/>
      <c r="O226" s="2" t="n"/>
      <c r="P226" s="2" t="n"/>
      <c r="Q226" s="2">
        <f>IF(G226="","",TODAY()-G226)</f>
        <v/>
      </c>
    </row>
    <row r="227">
      <c r="A227" s="2" t="n"/>
      <c r="B227" s="2" t="n"/>
      <c r="C227" s="2" t="n"/>
      <c r="D227" s="2" t="n"/>
      <c r="E227" s="2" t="n"/>
      <c r="F227" s="2" t="n"/>
      <c r="G227" s="2" t="n"/>
      <c r="H227" s="2" t="n"/>
      <c r="I227" s="2" t="n"/>
      <c r="J227" s="2" t="n"/>
      <c r="K227" s="2" t="n"/>
      <c r="L227" s="2" t="n"/>
      <c r="M227" s="2" t="n"/>
      <c r="N227" s="2" t="n"/>
      <c r="O227" s="2" t="n"/>
      <c r="P227" s="2" t="n"/>
      <c r="Q227" s="2">
        <f>IF(G227="","",TODAY()-G227)</f>
        <v/>
      </c>
    </row>
    <row r="228">
      <c r="A228" s="2" t="n"/>
      <c r="B228" s="2" t="n"/>
      <c r="C228" s="2" t="n"/>
      <c r="D228" s="2" t="n"/>
      <c r="E228" s="2" t="n"/>
      <c r="F228" s="2" t="n"/>
      <c r="G228" s="2" t="n"/>
      <c r="H228" s="2" t="n"/>
      <c r="I228" s="2" t="n"/>
      <c r="J228" s="2" t="n"/>
      <c r="K228" s="2" t="n"/>
      <c r="L228" s="2" t="n"/>
      <c r="M228" s="2" t="n"/>
      <c r="N228" s="2" t="n"/>
      <c r="O228" s="2" t="n"/>
      <c r="P228" s="2" t="n"/>
      <c r="Q228" s="2">
        <f>IF(G228="","",TODAY()-G228)</f>
        <v/>
      </c>
    </row>
    <row r="229">
      <c r="A229" s="2" t="n"/>
      <c r="B229" s="2" t="n"/>
      <c r="C229" s="2" t="n"/>
      <c r="D229" s="2" t="n"/>
      <c r="E229" s="2" t="n"/>
      <c r="F229" s="2" t="n"/>
      <c r="G229" s="2" t="n"/>
      <c r="H229" s="2" t="n"/>
      <c r="I229" s="2" t="n"/>
      <c r="J229" s="2" t="n"/>
      <c r="K229" s="2" t="n"/>
      <c r="L229" s="2" t="n"/>
      <c r="M229" s="2" t="n"/>
      <c r="N229" s="2" t="n"/>
      <c r="O229" s="2" t="n"/>
      <c r="P229" s="2" t="n"/>
      <c r="Q229" s="2">
        <f>IF(G229="","",TODAY()-G229)</f>
        <v/>
      </c>
    </row>
    <row r="230">
      <c r="A230" s="2" t="n"/>
      <c r="B230" s="2" t="n"/>
      <c r="C230" s="2" t="n"/>
      <c r="D230" s="2" t="n"/>
      <c r="E230" s="2" t="n"/>
      <c r="F230" s="2" t="n"/>
      <c r="G230" s="2" t="n"/>
      <c r="H230" s="2" t="n"/>
      <c r="I230" s="2" t="n"/>
      <c r="J230" s="2" t="n"/>
      <c r="K230" s="2" t="n"/>
      <c r="L230" s="2" t="n"/>
      <c r="M230" s="2" t="n"/>
      <c r="N230" s="2" t="n"/>
      <c r="O230" s="2" t="n"/>
      <c r="P230" s="2" t="n"/>
      <c r="Q230" s="2">
        <f>IF(G230="","",TODAY()-G230)</f>
        <v/>
      </c>
    </row>
    <row r="231">
      <c r="A231" s="2" t="n"/>
      <c r="B231" s="2" t="n"/>
      <c r="C231" s="2" t="n"/>
      <c r="D231" s="2" t="n"/>
      <c r="E231" s="2" t="n"/>
      <c r="F231" s="2" t="n"/>
      <c r="G231" s="2" t="n"/>
      <c r="H231" s="2" t="n"/>
      <c r="I231" s="2" t="n"/>
      <c r="J231" s="2" t="n"/>
      <c r="K231" s="2" t="n"/>
      <c r="L231" s="2" t="n"/>
      <c r="M231" s="2" t="n"/>
      <c r="N231" s="2" t="n"/>
      <c r="O231" s="2" t="n"/>
      <c r="P231" s="2" t="n"/>
      <c r="Q231" s="2">
        <f>IF(G231="","",TODAY()-G231)</f>
        <v/>
      </c>
    </row>
    <row r="232">
      <c r="A232" s="2" t="n"/>
      <c r="B232" s="2" t="n"/>
      <c r="C232" s="2" t="n"/>
      <c r="D232" s="2" t="n"/>
      <c r="E232" s="2" t="n"/>
      <c r="F232" s="2" t="n"/>
      <c r="G232" s="2" t="n"/>
      <c r="H232" s="2" t="n"/>
      <c r="I232" s="2" t="n"/>
      <c r="J232" s="2" t="n"/>
      <c r="K232" s="2" t="n"/>
      <c r="L232" s="2" t="n"/>
      <c r="M232" s="2" t="n"/>
      <c r="N232" s="2" t="n"/>
      <c r="O232" s="2" t="n"/>
      <c r="P232" s="2" t="n"/>
      <c r="Q232" s="2">
        <f>IF(G232="","",TODAY()-G232)</f>
        <v/>
      </c>
    </row>
    <row r="233">
      <c r="A233" s="2" t="n"/>
      <c r="B233" s="2" t="n"/>
      <c r="C233" s="2" t="n"/>
      <c r="D233" s="2" t="n"/>
      <c r="E233" s="2" t="n"/>
      <c r="F233" s="2" t="n"/>
      <c r="G233" s="2" t="n"/>
      <c r="H233" s="2" t="n"/>
      <c r="I233" s="2" t="n"/>
      <c r="J233" s="2" t="n"/>
      <c r="K233" s="2" t="n"/>
      <c r="L233" s="2" t="n"/>
      <c r="M233" s="2" t="n"/>
      <c r="N233" s="2" t="n"/>
      <c r="O233" s="2" t="n"/>
      <c r="P233" s="2" t="n"/>
      <c r="Q233" s="2">
        <f>IF(G233="","",TODAY()-G233)</f>
        <v/>
      </c>
    </row>
    <row r="234">
      <c r="A234" s="2" t="n"/>
      <c r="B234" s="2" t="n"/>
      <c r="C234" s="2" t="n"/>
      <c r="D234" s="2" t="n"/>
      <c r="E234" s="2" t="n"/>
      <c r="F234" s="2" t="n"/>
      <c r="G234" s="2" t="n"/>
      <c r="H234" s="2" t="n"/>
      <c r="I234" s="2" t="n"/>
      <c r="J234" s="2" t="n"/>
      <c r="K234" s="2" t="n"/>
      <c r="L234" s="2" t="n"/>
      <c r="M234" s="2" t="n"/>
      <c r="N234" s="2" t="n"/>
      <c r="O234" s="2" t="n"/>
      <c r="P234" s="2" t="n"/>
      <c r="Q234" s="2">
        <f>IF(G234="","",TODAY()-G234)</f>
        <v/>
      </c>
    </row>
    <row r="235">
      <c r="A235" s="2" t="n"/>
      <c r="B235" s="2" t="n"/>
      <c r="C235" s="2" t="n"/>
      <c r="D235" s="2" t="n"/>
      <c r="E235" s="2" t="n"/>
      <c r="F235" s="2" t="n"/>
      <c r="G235" s="2" t="n"/>
      <c r="H235" s="2" t="n"/>
      <c r="I235" s="2" t="n"/>
      <c r="J235" s="2" t="n"/>
      <c r="K235" s="2" t="n"/>
      <c r="L235" s="2" t="n"/>
      <c r="M235" s="2" t="n"/>
      <c r="N235" s="2" t="n"/>
      <c r="O235" s="2" t="n"/>
      <c r="P235" s="2" t="n"/>
      <c r="Q235" s="2">
        <f>IF(G235="","",TODAY()-G235)</f>
        <v/>
      </c>
    </row>
    <row r="236">
      <c r="A236" s="2" t="n"/>
      <c r="B236" s="2" t="n"/>
      <c r="C236" s="2" t="n"/>
      <c r="D236" s="2" t="n"/>
      <c r="E236" s="2" t="n"/>
      <c r="F236" s="2" t="n"/>
      <c r="G236" s="2" t="n"/>
      <c r="H236" s="2" t="n"/>
      <c r="I236" s="2" t="n"/>
      <c r="J236" s="2" t="n"/>
      <c r="K236" s="2" t="n"/>
      <c r="L236" s="2" t="n"/>
      <c r="M236" s="2" t="n"/>
      <c r="N236" s="2" t="n"/>
      <c r="O236" s="2" t="n"/>
      <c r="P236" s="2" t="n"/>
      <c r="Q236" s="2">
        <f>IF(G236="","",TODAY()-G236)</f>
        <v/>
      </c>
    </row>
    <row r="237">
      <c r="A237" s="2" t="n"/>
      <c r="B237" s="2" t="n"/>
      <c r="C237" s="2" t="n"/>
      <c r="D237" s="2" t="n"/>
      <c r="E237" s="2" t="n"/>
      <c r="F237" s="2" t="n"/>
      <c r="G237" s="2" t="n"/>
      <c r="H237" s="2" t="n"/>
      <c r="I237" s="2" t="n"/>
      <c r="J237" s="2" t="n"/>
      <c r="K237" s="2" t="n"/>
      <c r="L237" s="2" t="n"/>
      <c r="M237" s="2" t="n"/>
      <c r="N237" s="2" t="n"/>
      <c r="O237" s="2" t="n"/>
      <c r="P237" s="2" t="n"/>
      <c r="Q237" s="2">
        <f>IF(G237="","",TODAY()-G237)</f>
        <v/>
      </c>
    </row>
    <row r="238">
      <c r="A238" s="2" t="n"/>
      <c r="B238" s="2" t="n"/>
      <c r="C238" s="2" t="n"/>
      <c r="D238" s="2" t="n"/>
      <c r="E238" s="2" t="n"/>
      <c r="F238" s="2" t="n"/>
      <c r="G238" s="2" t="n"/>
      <c r="H238" s="2" t="n"/>
      <c r="I238" s="2" t="n"/>
      <c r="J238" s="2" t="n"/>
      <c r="K238" s="2" t="n"/>
      <c r="L238" s="2" t="n"/>
      <c r="M238" s="2" t="n"/>
      <c r="N238" s="2" t="n"/>
      <c r="O238" s="2" t="n"/>
      <c r="P238" s="2" t="n"/>
      <c r="Q238" s="2">
        <f>IF(G238="","",TODAY()-G238)</f>
        <v/>
      </c>
    </row>
    <row r="239">
      <c r="A239" s="2" t="n"/>
      <c r="B239" s="2" t="n"/>
      <c r="C239" s="2" t="n"/>
      <c r="D239" s="2" t="n"/>
      <c r="E239" s="2" t="n"/>
      <c r="F239" s="2" t="n"/>
      <c r="G239" s="2" t="n"/>
      <c r="H239" s="2" t="n"/>
      <c r="I239" s="2" t="n"/>
      <c r="J239" s="2" t="n"/>
      <c r="K239" s="2" t="n"/>
      <c r="L239" s="2" t="n"/>
      <c r="M239" s="2" t="n"/>
      <c r="N239" s="2" t="n"/>
      <c r="O239" s="2" t="n"/>
      <c r="P239" s="2" t="n"/>
      <c r="Q239" s="2">
        <f>IF(G239="","",TODAY()-G239)</f>
        <v/>
      </c>
    </row>
    <row r="240">
      <c r="A240" s="2" t="n"/>
      <c r="B240" s="2" t="n"/>
      <c r="C240" s="2" t="n"/>
      <c r="D240" s="2" t="n"/>
      <c r="E240" s="2" t="n"/>
      <c r="F240" s="2" t="n"/>
      <c r="G240" s="2" t="n"/>
      <c r="H240" s="2" t="n"/>
      <c r="I240" s="2" t="n"/>
      <c r="J240" s="2" t="n"/>
      <c r="K240" s="2" t="n"/>
      <c r="L240" s="2" t="n"/>
      <c r="M240" s="2" t="n"/>
      <c r="N240" s="2" t="n"/>
      <c r="O240" s="2" t="n"/>
      <c r="P240" s="2" t="n"/>
      <c r="Q240" s="2">
        <f>IF(G240="","",TODAY()-G240)</f>
        <v/>
      </c>
    </row>
    <row r="241">
      <c r="A241" s="2" t="n"/>
      <c r="B241" s="2" t="n"/>
      <c r="C241" s="2" t="n"/>
      <c r="D241" s="2" t="n"/>
      <c r="E241" s="2" t="n"/>
      <c r="F241" s="2" t="n"/>
      <c r="G241" s="2" t="n"/>
      <c r="H241" s="2" t="n"/>
      <c r="I241" s="2" t="n"/>
      <c r="J241" s="2" t="n"/>
      <c r="K241" s="2" t="n"/>
      <c r="L241" s="2" t="n"/>
      <c r="M241" s="2" t="n"/>
      <c r="N241" s="2" t="n"/>
      <c r="O241" s="2" t="n"/>
      <c r="P241" s="2" t="n"/>
      <c r="Q241" s="2">
        <f>IF(G241="","",TODAY()-G241)</f>
        <v/>
      </c>
    </row>
    <row r="242">
      <c r="A242" s="2" t="n"/>
      <c r="B242" s="2" t="n"/>
      <c r="C242" s="2" t="n"/>
      <c r="D242" s="2" t="n"/>
      <c r="E242" s="2" t="n"/>
      <c r="F242" s="2" t="n"/>
      <c r="G242" s="2" t="n"/>
      <c r="H242" s="2" t="n"/>
      <c r="I242" s="2" t="n"/>
      <c r="J242" s="2" t="n"/>
      <c r="K242" s="2" t="n"/>
      <c r="L242" s="2" t="n"/>
      <c r="M242" s="2" t="n"/>
      <c r="N242" s="2" t="n"/>
      <c r="O242" s="2" t="n"/>
      <c r="P242" s="2" t="n"/>
      <c r="Q242" s="2">
        <f>IF(G242="","",TODAY()-G242)</f>
        <v/>
      </c>
    </row>
    <row r="243">
      <c r="A243" s="2" t="n"/>
      <c r="B243" s="2" t="n"/>
      <c r="C243" s="2" t="n"/>
      <c r="D243" s="2" t="n"/>
      <c r="E243" s="2" t="n"/>
      <c r="F243" s="2" t="n"/>
      <c r="G243" s="2" t="n"/>
      <c r="H243" s="2" t="n"/>
      <c r="I243" s="2" t="n"/>
      <c r="J243" s="2" t="n"/>
      <c r="K243" s="2" t="n"/>
      <c r="L243" s="2" t="n"/>
      <c r="M243" s="2" t="n"/>
      <c r="N243" s="2" t="n"/>
      <c r="O243" s="2" t="n"/>
      <c r="P243" s="2" t="n"/>
      <c r="Q243" s="2">
        <f>IF(G243="","",TODAY()-G243)</f>
        <v/>
      </c>
    </row>
    <row r="244">
      <c r="A244" s="2" t="n"/>
      <c r="B244" s="2" t="n"/>
      <c r="C244" s="2" t="n"/>
      <c r="D244" s="2" t="n"/>
      <c r="E244" s="2" t="n"/>
      <c r="F244" s="2" t="n"/>
      <c r="G244" s="2" t="n"/>
      <c r="H244" s="2" t="n"/>
      <c r="I244" s="2" t="n"/>
      <c r="J244" s="2" t="n"/>
      <c r="K244" s="2" t="n"/>
      <c r="L244" s="2" t="n"/>
      <c r="M244" s="2" t="n"/>
      <c r="N244" s="2" t="n"/>
      <c r="O244" s="2" t="n"/>
      <c r="P244" s="2" t="n"/>
      <c r="Q244" s="2">
        <f>IF(G244="","",TODAY()-G244)</f>
        <v/>
      </c>
    </row>
    <row r="245">
      <c r="A245" s="2" t="n"/>
      <c r="B245" s="2" t="n"/>
      <c r="C245" s="2" t="n"/>
      <c r="D245" s="2" t="n"/>
      <c r="E245" s="2" t="n"/>
      <c r="F245" s="2" t="n"/>
      <c r="G245" s="2" t="n"/>
      <c r="H245" s="2" t="n"/>
      <c r="I245" s="2" t="n"/>
      <c r="J245" s="2" t="n"/>
      <c r="K245" s="2" t="n"/>
      <c r="L245" s="2" t="n"/>
      <c r="M245" s="2" t="n"/>
      <c r="N245" s="2" t="n"/>
      <c r="O245" s="2" t="n"/>
      <c r="P245" s="2" t="n"/>
      <c r="Q245" s="2">
        <f>IF(G245="","",TODAY()-G245)</f>
        <v/>
      </c>
    </row>
    <row r="246">
      <c r="A246" s="2" t="n"/>
      <c r="B246" s="2" t="n"/>
      <c r="C246" s="2" t="n"/>
      <c r="D246" s="2" t="n"/>
      <c r="E246" s="2" t="n"/>
      <c r="F246" s="2" t="n"/>
      <c r="G246" s="2" t="n"/>
      <c r="H246" s="2" t="n"/>
      <c r="I246" s="2" t="n"/>
      <c r="J246" s="2" t="n"/>
      <c r="K246" s="2" t="n"/>
      <c r="L246" s="2" t="n"/>
      <c r="M246" s="2" t="n"/>
      <c r="N246" s="2" t="n"/>
      <c r="O246" s="2" t="n"/>
      <c r="P246" s="2" t="n"/>
      <c r="Q246" s="2">
        <f>IF(G246="","",TODAY()-G246)</f>
        <v/>
      </c>
    </row>
    <row r="247">
      <c r="A247" s="2" t="n"/>
      <c r="B247" s="2" t="n"/>
      <c r="C247" s="2" t="n"/>
      <c r="D247" s="2" t="n"/>
      <c r="E247" s="2" t="n"/>
      <c r="F247" s="2" t="n"/>
      <c r="G247" s="2" t="n"/>
      <c r="H247" s="2" t="n"/>
      <c r="I247" s="2" t="n"/>
      <c r="J247" s="2" t="n"/>
      <c r="K247" s="2" t="n"/>
      <c r="L247" s="2" t="n"/>
      <c r="M247" s="2" t="n"/>
      <c r="N247" s="2" t="n"/>
      <c r="O247" s="2" t="n"/>
      <c r="P247" s="2" t="n"/>
      <c r="Q247" s="2">
        <f>IF(G247="","",TODAY()-G247)</f>
        <v/>
      </c>
    </row>
    <row r="248">
      <c r="A248" s="2" t="n"/>
      <c r="B248" s="2" t="n"/>
      <c r="C248" s="2" t="n"/>
      <c r="D248" s="2" t="n"/>
      <c r="E248" s="2" t="n"/>
      <c r="F248" s="2" t="n"/>
      <c r="G248" s="2" t="n"/>
      <c r="H248" s="2" t="n"/>
      <c r="I248" s="2" t="n"/>
      <c r="J248" s="2" t="n"/>
      <c r="K248" s="2" t="n"/>
      <c r="L248" s="2" t="n"/>
      <c r="M248" s="2" t="n"/>
      <c r="N248" s="2" t="n"/>
      <c r="O248" s="2" t="n"/>
      <c r="P248" s="2" t="n"/>
      <c r="Q248" s="2">
        <f>IF(G248="","",TODAY()-G248)</f>
        <v/>
      </c>
    </row>
    <row r="249">
      <c r="A249" s="2" t="n"/>
      <c r="B249" s="2" t="n"/>
      <c r="C249" s="2" t="n"/>
      <c r="D249" s="2" t="n"/>
      <c r="E249" s="2" t="n"/>
      <c r="F249" s="2" t="n"/>
      <c r="G249" s="2" t="n"/>
      <c r="H249" s="2" t="n"/>
      <c r="I249" s="2" t="n"/>
      <c r="J249" s="2" t="n"/>
      <c r="K249" s="2" t="n"/>
      <c r="L249" s="2" t="n"/>
      <c r="M249" s="2" t="n"/>
      <c r="N249" s="2" t="n"/>
      <c r="O249" s="2" t="n"/>
      <c r="P249" s="2" t="n"/>
      <c r="Q249" s="2">
        <f>IF(G249="","",TODAY()-G249)</f>
        <v/>
      </c>
    </row>
    <row r="250">
      <c r="A250" s="2" t="n"/>
      <c r="B250" s="2" t="n"/>
      <c r="C250" s="2" t="n"/>
      <c r="D250" s="2" t="n"/>
      <c r="E250" s="2" t="n"/>
      <c r="F250" s="2" t="n"/>
      <c r="G250" s="2" t="n"/>
      <c r="H250" s="2" t="n"/>
      <c r="I250" s="2" t="n"/>
      <c r="J250" s="2" t="n"/>
      <c r="K250" s="2" t="n"/>
      <c r="L250" s="2" t="n"/>
      <c r="M250" s="2" t="n"/>
      <c r="N250" s="2" t="n"/>
      <c r="O250" s="2" t="n"/>
      <c r="P250" s="2" t="n"/>
      <c r="Q250" s="2">
        <f>IF(G250="","",TODAY()-G250)</f>
        <v/>
      </c>
    </row>
    <row r="251">
      <c r="A251" s="2" t="n"/>
      <c r="B251" s="2" t="n"/>
      <c r="C251" s="2" t="n"/>
      <c r="D251" s="2" t="n"/>
      <c r="E251" s="2" t="n"/>
      <c r="F251" s="2" t="n"/>
      <c r="G251" s="2" t="n"/>
      <c r="H251" s="2" t="n"/>
      <c r="I251" s="2" t="n"/>
      <c r="J251" s="2" t="n"/>
      <c r="K251" s="2" t="n"/>
      <c r="L251" s="2" t="n"/>
      <c r="M251" s="2" t="n"/>
      <c r="N251" s="2" t="n"/>
      <c r="O251" s="2" t="n"/>
      <c r="P251" s="2" t="n"/>
      <c r="Q251" s="2">
        <f>IF(G251="","",TODAY()-G251)</f>
        <v/>
      </c>
    </row>
    <row r="252">
      <c r="A252" s="2" t="n"/>
      <c r="B252" s="2" t="n"/>
      <c r="C252" s="2" t="n"/>
      <c r="D252" s="2" t="n"/>
      <c r="E252" s="2" t="n"/>
      <c r="F252" s="2" t="n"/>
      <c r="G252" s="2" t="n"/>
      <c r="H252" s="2" t="n"/>
      <c r="I252" s="2" t="n"/>
      <c r="J252" s="2" t="n"/>
      <c r="K252" s="2" t="n"/>
      <c r="L252" s="2" t="n"/>
      <c r="M252" s="2" t="n"/>
      <c r="N252" s="2" t="n"/>
      <c r="O252" s="2" t="n"/>
      <c r="P252" s="2" t="n"/>
      <c r="Q252" s="2">
        <f>IF(G252="","",TODAY()-G252)</f>
        <v/>
      </c>
    </row>
    <row r="253">
      <c r="A253" s="2" t="n"/>
      <c r="B253" s="2" t="n"/>
      <c r="C253" s="2" t="n"/>
      <c r="D253" s="2" t="n"/>
      <c r="E253" s="2" t="n"/>
      <c r="F253" s="2" t="n"/>
      <c r="G253" s="2" t="n"/>
      <c r="H253" s="2" t="n"/>
      <c r="I253" s="2" t="n"/>
      <c r="J253" s="2" t="n"/>
      <c r="K253" s="2" t="n"/>
      <c r="L253" s="2" t="n"/>
      <c r="M253" s="2" t="n"/>
      <c r="N253" s="2" t="n"/>
      <c r="O253" s="2" t="n"/>
      <c r="P253" s="2" t="n"/>
      <c r="Q253" s="2">
        <f>IF(G253="","",TODAY()-G253)</f>
        <v/>
      </c>
    </row>
    <row r="254">
      <c r="A254" s="2" t="n"/>
      <c r="B254" s="2" t="n"/>
      <c r="C254" s="2" t="n"/>
      <c r="D254" s="2" t="n"/>
      <c r="E254" s="2" t="n"/>
      <c r="F254" s="2" t="n"/>
      <c r="G254" s="2" t="n"/>
      <c r="H254" s="2" t="n"/>
      <c r="I254" s="2" t="n"/>
      <c r="J254" s="2" t="n"/>
      <c r="K254" s="2" t="n"/>
      <c r="L254" s="2" t="n"/>
      <c r="M254" s="2" t="n"/>
      <c r="N254" s="2" t="n"/>
      <c r="O254" s="2" t="n"/>
      <c r="P254" s="2" t="n"/>
      <c r="Q254" s="2">
        <f>IF(G254="","",TODAY()-G254)</f>
        <v/>
      </c>
    </row>
    <row r="255">
      <c r="A255" s="2" t="n"/>
      <c r="B255" s="2" t="n"/>
      <c r="C255" s="2" t="n"/>
      <c r="D255" s="2" t="n"/>
      <c r="E255" s="2" t="n"/>
      <c r="F255" s="2" t="n"/>
      <c r="G255" s="2" t="n"/>
      <c r="H255" s="2" t="n"/>
      <c r="I255" s="2" t="n"/>
      <c r="J255" s="2" t="n"/>
      <c r="K255" s="2" t="n"/>
      <c r="L255" s="2" t="n"/>
      <c r="M255" s="2" t="n"/>
      <c r="N255" s="2" t="n"/>
      <c r="O255" s="2" t="n"/>
      <c r="P255" s="2" t="n"/>
      <c r="Q255" s="2">
        <f>IF(G255="","",TODAY()-G255)</f>
        <v/>
      </c>
    </row>
    <row r="256">
      <c r="A256" s="2" t="n"/>
      <c r="B256" s="2" t="n"/>
      <c r="C256" s="2" t="n"/>
      <c r="D256" s="2" t="n"/>
      <c r="E256" s="2" t="n"/>
      <c r="F256" s="2" t="n"/>
      <c r="G256" s="2" t="n"/>
      <c r="H256" s="2" t="n"/>
      <c r="I256" s="2" t="n"/>
      <c r="J256" s="2" t="n"/>
      <c r="K256" s="2" t="n"/>
      <c r="L256" s="2" t="n"/>
      <c r="M256" s="2" t="n"/>
      <c r="N256" s="2" t="n"/>
      <c r="O256" s="2" t="n"/>
      <c r="P256" s="2" t="n"/>
      <c r="Q256" s="2">
        <f>IF(G256="","",TODAY()-G256)</f>
        <v/>
      </c>
    </row>
    <row r="257">
      <c r="A257" s="2" t="n"/>
      <c r="B257" s="2" t="n"/>
      <c r="C257" s="2" t="n"/>
      <c r="D257" s="2" t="n"/>
      <c r="E257" s="2" t="n"/>
      <c r="F257" s="2" t="n"/>
      <c r="G257" s="2" t="n"/>
      <c r="H257" s="2" t="n"/>
      <c r="I257" s="2" t="n"/>
      <c r="J257" s="2" t="n"/>
      <c r="K257" s="2" t="n"/>
      <c r="L257" s="2" t="n"/>
      <c r="M257" s="2" t="n"/>
      <c r="N257" s="2" t="n"/>
      <c r="O257" s="2" t="n"/>
      <c r="P257" s="2" t="n"/>
      <c r="Q257" s="2">
        <f>IF(G257="","",TODAY()-G257)</f>
        <v/>
      </c>
    </row>
    <row r="258">
      <c r="A258" s="2" t="n"/>
      <c r="B258" s="2" t="n"/>
      <c r="C258" s="2" t="n"/>
      <c r="D258" s="2" t="n"/>
      <c r="E258" s="2" t="n"/>
      <c r="F258" s="2" t="n"/>
      <c r="G258" s="2" t="n"/>
      <c r="H258" s="2" t="n"/>
      <c r="I258" s="2" t="n"/>
      <c r="J258" s="2" t="n"/>
      <c r="K258" s="2" t="n"/>
      <c r="L258" s="2" t="n"/>
      <c r="M258" s="2" t="n"/>
      <c r="N258" s="2" t="n"/>
      <c r="O258" s="2" t="n"/>
      <c r="P258" s="2" t="n"/>
      <c r="Q258" s="2">
        <f>IF(G258="","",TODAY()-G258)</f>
        <v/>
      </c>
    </row>
    <row r="259">
      <c r="A259" s="2" t="n"/>
      <c r="B259" s="2" t="n"/>
      <c r="C259" s="2" t="n"/>
      <c r="D259" s="2" t="n"/>
      <c r="E259" s="2" t="n"/>
      <c r="F259" s="2" t="n"/>
      <c r="G259" s="2" t="n"/>
      <c r="H259" s="2" t="n"/>
      <c r="I259" s="2" t="n"/>
      <c r="J259" s="2" t="n"/>
      <c r="K259" s="2" t="n"/>
      <c r="L259" s="2" t="n"/>
      <c r="M259" s="2" t="n"/>
      <c r="N259" s="2" t="n"/>
      <c r="O259" s="2" t="n"/>
      <c r="P259" s="2" t="n"/>
      <c r="Q259" s="2">
        <f>IF(G259="","",TODAY()-G259)</f>
        <v/>
      </c>
    </row>
    <row r="260">
      <c r="A260" s="2" t="n"/>
      <c r="B260" s="2" t="n"/>
      <c r="C260" s="2" t="n"/>
      <c r="D260" s="2" t="n"/>
      <c r="E260" s="2" t="n"/>
      <c r="F260" s="2" t="n"/>
      <c r="G260" s="2" t="n"/>
      <c r="H260" s="2" t="n"/>
      <c r="I260" s="2" t="n"/>
      <c r="J260" s="2" t="n"/>
      <c r="K260" s="2" t="n"/>
      <c r="L260" s="2" t="n"/>
      <c r="M260" s="2" t="n"/>
      <c r="N260" s="2" t="n"/>
      <c r="O260" s="2" t="n"/>
      <c r="P260" s="2" t="n"/>
      <c r="Q260" s="2">
        <f>IF(G260="","",TODAY()-G260)</f>
        <v/>
      </c>
    </row>
    <row r="261">
      <c r="A261" s="2" t="n"/>
      <c r="B261" s="2" t="n"/>
      <c r="C261" s="2" t="n"/>
      <c r="D261" s="2" t="n"/>
      <c r="E261" s="2" t="n"/>
      <c r="F261" s="2" t="n"/>
      <c r="G261" s="2" t="n"/>
      <c r="H261" s="2" t="n"/>
      <c r="I261" s="2" t="n"/>
      <c r="J261" s="2" t="n"/>
      <c r="K261" s="2" t="n"/>
      <c r="L261" s="2" t="n"/>
      <c r="M261" s="2" t="n"/>
      <c r="N261" s="2" t="n"/>
      <c r="O261" s="2" t="n"/>
      <c r="P261" s="2" t="n"/>
      <c r="Q261" s="2">
        <f>IF(G261="","",TODAY()-G261)</f>
        <v/>
      </c>
    </row>
    <row r="262">
      <c r="A262" s="2" t="n"/>
      <c r="B262" s="2" t="n"/>
      <c r="C262" s="2" t="n"/>
      <c r="D262" s="2" t="n"/>
      <c r="E262" s="2" t="n"/>
      <c r="F262" s="2" t="n"/>
      <c r="G262" s="2" t="n"/>
      <c r="H262" s="2" t="n"/>
      <c r="I262" s="2" t="n"/>
      <c r="J262" s="2" t="n"/>
      <c r="K262" s="2" t="n"/>
      <c r="L262" s="2" t="n"/>
      <c r="M262" s="2" t="n"/>
      <c r="N262" s="2" t="n"/>
      <c r="O262" s="2" t="n"/>
      <c r="P262" s="2" t="n"/>
      <c r="Q262" s="2">
        <f>IF(G262="","",TODAY()-G262)</f>
        <v/>
      </c>
    </row>
    <row r="263">
      <c r="A263" s="2" t="n"/>
      <c r="B263" s="2" t="n"/>
      <c r="C263" s="2" t="n"/>
      <c r="D263" s="2" t="n"/>
      <c r="E263" s="2" t="n"/>
      <c r="F263" s="2" t="n"/>
      <c r="G263" s="2" t="n"/>
      <c r="H263" s="2" t="n"/>
      <c r="I263" s="2" t="n"/>
      <c r="J263" s="2" t="n"/>
      <c r="K263" s="2" t="n"/>
      <c r="L263" s="2" t="n"/>
      <c r="M263" s="2" t="n"/>
      <c r="N263" s="2" t="n"/>
      <c r="O263" s="2" t="n"/>
      <c r="P263" s="2" t="n"/>
      <c r="Q263" s="2">
        <f>IF(G263="","",TODAY()-G263)</f>
        <v/>
      </c>
    </row>
    <row r="264">
      <c r="A264" s="2" t="n"/>
      <c r="B264" s="2" t="n"/>
      <c r="C264" s="2" t="n"/>
      <c r="D264" s="2" t="n"/>
      <c r="E264" s="2" t="n"/>
      <c r="F264" s="2" t="n"/>
      <c r="G264" s="2" t="n"/>
      <c r="H264" s="2" t="n"/>
      <c r="I264" s="2" t="n"/>
      <c r="J264" s="2" t="n"/>
      <c r="K264" s="2" t="n"/>
      <c r="L264" s="2" t="n"/>
      <c r="M264" s="2" t="n"/>
      <c r="N264" s="2" t="n"/>
      <c r="O264" s="2" t="n"/>
      <c r="P264" s="2" t="n"/>
      <c r="Q264" s="2">
        <f>IF(G264="","",TODAY()-G264)</f>
        <v/>
      </c>
    </row>
    <row r="265">
      <c r="A265" s="2" t="n"/>
      <c r="B265" s="2" t="n"/>
      <c r="C265" s="2" t="n"/>
      <c r="D265" s="2" t="n"/>
      <c r="E265" s="2" t="n"/>
      <c r="F265" s="2" t="n"/>
      <c r="G265" s="2" t="n"/>
      <c r="H265" s="2" t="n"/>
      <c r="I265" s="2" t="n"/>
      <c r="J265" s="2" t="n"/>
      <c r="K265" s="2" t="n"/>
      <c r="L265" s="2" t="n"/>
      <c r="M265" s="2" t="n"/>
      <c r="N265" s="2" t="n"/>
      <c r="O265" s="2" t="n"/>
      <c r="P265" s="2" t="n"/>
      <c r="Q265" s="2">
        <f>IF(G265="","",TODAY()-G265)</f>
        <v/>
      </c>
    </row>
    <row r="266">
      <c r="A266" s="2" t="n"/>
      <c r="B266" s="2" t="n"/>
      <c r="C266" s="2" t="n"/>
      <c r="D266" s="2" t="n"/>
      <c r="E266" s="2" t="n"/>
      <c r="F266" s="2" t="n"/>
      <c r="G266" s="2" t="n"/>
      <c r="H266" s="2" t="n"/>
      <c r="I266" s="2" t="n"/>
      <c r="J266" s="2" t="n"/>
      <c r="K266" s="2" t="n"/>
      <c r="L266" s="2" t="n"/>
      <c r="M266" s="2" t="n"/>
      <c r="N266" s="2" t="n"/>
      <c r="O266" s="2" t="n"/>
      <c r="P266" s="2" t="n"/>
      <c r="Q266" s="2">
        <f>IF(G266="","",TODAY()-G266)</f>
        <v/>
      </c>
    </row>
    <row r="267">
      <c r="A267" s="2" t="n"/>
      <c r="B267" s="2" t="n"/>
      <c r="C267" s="2" t="n"/>
      <c r="D267" s="2" t="n"/>
      <c r="E267" s="2" t="n"/>
      <c r="F267" s="2" t="n"/>
      <c r="G267" s="2" t="n"/>
      <c r="H267" s="2" t="n"/>
      <c r="I267" s="2" t="n"/>
      <c r="J267" s="2" t="n"/>
      <c r="K267" s="2" t="n"/>
      <c r="L267" s="2" t="n"/>
      <c r="M267" s="2" t="n"/>
      <c r="N267" s="2" t="n"/>
      <c r="O267" s="2" t="n"/>
      <c r="P267" s="2" t="n"/>
      <c r="Q267" s="2">
        <f>IF(G267="","",TODAY()-G267)</f>
        <v/>
      </c>
    </row>
    <row r="268">
      <c r="A268" s="2" t="n"/>
      <c r="B268" s="2" t="n"/>
      <c r="C268" s="2" t="n"/>
      <c r="D268" s="2" t="n"/>
      <c r="E268" s="2" t="n"/>
      <c r="F268" s="2" t="n"/>
      <c r="G268" s="2" t="n"/>
      <c r="H268" s="2" t="n"/>
      <c r="I268" s="2" t="n"/>
      <c r="J268" s="2" t="n"/>
      <c r="K268" s="2" t="n"/>
      <c r="L268" s="2" t="n"/>
      <c r="M268" s="2" t="n"/>
      <c r="N268" s="2" t="n"/>
      <c r="O268" s="2" t="n"/>
      <c r="P268" s="2" t="n"/>
      <c r="Q268" s="2">
        <f>IF(G268="","",TODAY()-G268)</f>
        <v/>
      </c>
    </row>
    <row r="269">
      <c r="A269" s="2" t="n"/>
      <c r="B269" s="2" t="n"/>
      <c r="C269" s="2" t="n"/>
      <c r="D269" s="2" t="n"/>
      <c r="E269" s="2" t="n"/>
      <c r="F269" s="2" t="n"/>
      <c r="G269" s="2" t="n"/>
      <c r="H269" s="2" t="n"/>
      <c r="I269" s="2" t="n"/>
      <c r="J269" s="2" t="n"/>
      <c r="K269" s="2" t="n"/>
      <c r="L269" s="2" t="n"/>
      <c r="M269" s="2" t="n"/>
      <c r="N269" s="2" t="n"/>
      <c r="O269" s="2" t="n"/>
      <c r="P269" s="2" t="n"/>
      <c r="Q269" s="2">
        <f>IF(G269="","",TODAY()-G269)</f>
        <v/>
      </c>
    </row>
    <row r="270">
      <c r="A270" s="2" t="n"/>
      <c r="B270" s="2" t="n"/>
      <c r="C270" s="2" t="n"/>
      <c r="D270" s="2" t="n"/>
      <c r="E270" s="2" t="n"/>
      <c r="F270" s="2" t="n"/>
      <c r="G270" s="2" t="n"/>
      <c r="H270" s="2" t="n"/>
      <c r="I270" s="2" t="n"/>
      <c r="J270" s="2" t="n"/>
      <c r="K270" s="2" t="n"/>
      <c r="L270" s="2" t="n"/>
      <c r="M270" s="2" t="n"/>
      <c r="N270" s="2" t="n"/>
      <c r="O270" s="2" t="n"/>
      <c r="P270" s="2" t="n"/>
      <c r="Q270" s="2">
        <f>IF(G270="","",TODAY()-G270)</f>
        <v/>
      </c>
    </row>
    <row r="271">
      <c r="A271" s="2" t="n"/>
      <c r="B271" s="2" t="n"/>
      <c r="C271" s="2" t="n"/>
      <c r="D271" s="2" t="n"/>
      <c r="E271" s="2" t="n"/>
      <c r="F271" s="2" t="n"/>
      <c r="G271" s="2" t="n"/>
      <c r="H271" s="2" t="n"/>
      <c r="I271" s="2" t="n"/>
      <c r="J271" s="2" t="n"/>
      <c r="K271" s="2" t="n"/>
      <c r="L271" s="2" t="n"/>
      <c r="M271" s="2" t="n"/>
      <c r="N271" s="2" t="n"/>
      <c r="O271" s="2" t="n"/>
      <c r="P271" s="2" t="n"/>
      <c r="Q271" s="2">
        <f>IF(G271="","",TODAY()-G271)</f>
        <v/>
      </c>
    </row>
    <row r="272">
      <c r="A272" s="2" t="n"/>
      <c r="B272" s="2" t="n"/>
      <c r="C272" s="2" t="n"/>
      <c r="D272" s="2" t="n"/>
      <c r="E272" s="2" t="n"/>
      <c r="F272" s="2" t="n"/>
      <c r="G272" s="2" t="n"/>
      <c r="H272" s="2" t="n"/>
      <c r="I272" s="2" t="n"/>
      <c r="J272" s="2" t="n"/>
      <c r="K272" s="2" t="n"/>
      <c r="L272" s="2" t="n"/>
      <c r="M272" s="2" t="n"/>
      <c r="N272" s="2" t="n"/>
      <c r="O272" s="2" t="n"/>
      <c r="P272" s="2" t="n"/>
      <c r="Q272" s="2">
        <f>IF(G272="","",TODAY()-G272)</f>
        <v/>
      </c>
    </row>
    <row r="273">
      <c r="A273" s="2" t="n"/>
      <c r="B273" s="2" t="n"/>
      <c r="C273" s="2" t="n"/>
      <c r="D273" s="2" t="n"/>
      <c r="E273" s="2" t="n"/>
      <c r="F273" s="2" t="n"/>
      <c r="G273" s="2" t="n"/>
      <c r="H273" s="2" t="n"/>
      <c r="I273" s="2" t="n"/>
      <c r="J273" s="2" t="n"/>
      <c r="K273" s="2" t="n"/>
      <c r="L273" s="2" t="n"/>
      <c r="M273" s="2" t="n"/>
      <c r="N273" s="2" t="n"/>
      <c r="O273" s="2" t="n"/>
      <c r="P273" s="2" t="n"/>
      <c r="Q273" s="2">
        <f>IF(G273="","",TODAY()-G273)</f>
        <v/>
      </c>
    </row>
    <row r="274">
      <c r="A274" s="2" t="n"/>
      <c r="B274" s="2" t="n"/>
      <c r="C274" s="2" t="n"/>
      <c r="D274" s="2" t="n"/>
      <c r="E274" s="2" t="n"/>
      <c r="F274" s="2" t="n"/>
      <c r="G274" s="2" t="n"/>
      <c r="H274" s="2" t="n"/>
      <c r="I274" s="2" t="n"/>
      <c r="J274" s="2" t="n"/>
      <c r="K274" s="2" t="n"/>
      <c r="L274" s="2" t="n"/>
      <c r="M274" s="2" t="n"/>
      <c r="N274" s="2" t="n"/>
      <c r="O274" s="2" t="n"/>
      <c r="P274" s="2" t="n"/>
      <c r="Q274" s="2">
        <f>IF(G274="","",TODAY()-G274)</f>
        <v/>
      </c>
    </row>
    <row r="275">
      <c r="A275" s="2" t="n"/>
      <c r="B275" s="2" t="n"/>
      <c r="C275" s="2" t="n"/>
      <c r="D275" s="2" t="n"/>
      <c r="E275" s="2" t="n"/>
      <c r="F275" s="2" t="n"/>
      <c r="G275" s="2" t="n"/>
      <c r="H275" s="2" t="n"/>
      <c r="I275" s="2" t="n"/>
      <c r="J275" s="2" t="n"/>
      <c r="K275" s="2" t="n"/>
      <c r="L275" s="2" t="n"/>
      <c r="M275" s="2" t="n"/>
      <c r="N275" s="2" t="n"/>
      <c r="O275" s="2" t="n"/>
      <c r="P275" s="2" t="n"/>
      <c r="Q275" s="2">
        <f>IF(G275="","",TODAY()-G275)</f>
        <v/>
      </c>
    </row>
    <row r="276">
      <c r="A276" s="2" t="n"/>
      <c r="B276" s="2" t="n"/>
      <c r="C276" s="2" t="n"/>
      <c r="D276" s="2" t="n"/>
      <c r="E276" s="2" t="n"/>
      <c r="F276" s="2" t="n"/>
      <c r="G276" s="2" t="n"/>
      <c r="H276" s="2" t="n"/>
      <c r="I276" s="2" t="n"/>
      <c r="J276" s="2" t="n"/>
      <c r="K276" s="2" t="n"/>
      <c r="L276" s="2" t="n"/>
      <c r="M276" s="2" t="n"/>
      <c r="N276" s="2" t="n"/>
      <c r="O276" s="2" t="n"/>
      <c r="P276" s="2" t="n"/>
      <c r="Q276" s="2">
        <f>IF(G276="","",TODAY()-G276)</f>
        <v/>
      </c>
    </row>
    <row r="277">
      <c r="A277" s="2" t="n"/>
      <c r="B277" s="2" t="n"/>
      <c r="C277" s="2" t="n"/>
      <c r="D277" s="2" t="n"/>
      <c r="E277" s="2" t="n"/>
      <c r="F277" s="2" t="n"/>
      <c r="G277" s="2" t="n"/>
      <c r="H277" s="2" t="n"/>
      <c r="I277" s="2" t="n"/>
      <c r="J277" s="2" t="n"/>
      <c r="K277" s="2" t="n"/>
      <c r="L277" s="2" t="n"/>
      <c r="M277" s="2" t="n"/>
      <c r="N277" s="2" t="n"/>
      <c r="O277" s="2" t="n"/>
      <c r="P277" s="2" t="n"/>
      <c r="Q277" s="2">
        <f>IF(G277="","",TODAY()-G277)</f>
        <v/>
      </c>
    </row>
    <row r="278">
      <c r="A278" s="2" t="n"/>
      <c r="B278" s="2" t="n"/>
      <c r="C278" s="2" t="n"/>
      <c r="D278" s="2" t="n"/>
      <c r="E278" s="2" t="n"/>
      <c r="F278" s="2" t="n"/>
      <c r="G278" s="2" t="n"/>
      <c r="H278" s="2" t="n"/>
      <c r="I278" s="2" t="n"/>
      <c r="J278" s="2" t="n"/>
      <c r="K278" s="2" t="n"/>
      <c r="L278" s="2" t="n"/>
      <c r="M278" s="2" t="n"/>
      <c r="N278" s="2" t="n"/>
      <c r="O278" s="2" t="n"/>
      <c r="P278" s="2" t="n"/>
      <c r="Q278" s="2">
        <f>IF(G278="","",TODAY()-G278)</f>
        <v/>
      </c>
    </row>
    <row r="279">
      <c r="A279" s="2" t="n"/>
      <c r="B279" s="2" t="n"/>
      <c r="C279" s="2" t="n"/>
      <c r="D279" s="2" t="n"/>
      <c r="E279" s="2" t="n"/>
      <c r="F279" s="2" t="n"/>
      <c r="G279" s="2" t="n"/>
      <c r="H279" s="2" t="n"/>
      <c r="I279" s="2" t="n"/>
      <c r="J279" s="2" t="n"/>
      <c r="K279" s="2" t="n"/>
      <c r="L279" s="2" t="n"/>
      <c r="M279" s="2" t="n"/>
      <c r="N279" s="2" t="n"/>
      <c r="O279" s="2" t="n"/>
      <c r="P279" s="2" t="n"/>
      <c r="Q279" s="2">
        <f>IF(G279="","",TODAY()-G279)</f>
        <v/>
      </c>
    </row>
    <row r="280">
      <c r="A280" s="2" t="n"/>
      <c r="B280" s="2" t="n"/>
      <c r="C280" s="2" t="n"/>
      <c r="D280" s="2" t="n"/>
      <c r="E280" s="2" t="n"/>
      <c r="F280" s="2" t="n"/>
      <c r="G280" s="2" t="n"/>
      <c r="H280" s="2" t="n"/>
      <c r="I280" s="2" t="n"/>
      <c r="J280" s="2" t="n"/>
      <c r="K280" s="2" t="n"/>
      <c r="L280" s="2" t="n"/>
      <c r="M280" s="2" t="n"/>
      <c r="N280" s="2" t="n"/>
      <c r="O280" s="2" t="n"/>
      <c r="P280" s="2" t="n"/>
      <c r="Q280" s="2">
        <f>IF(G280="","",TODAY()-G280)</f>
        <v/>
      </c>
    </row>
    <row r="281">
      <c r="A281" s="2" t="n"/>
      <c r="B281" s="2" t="n"/>
      <c r="C281" s="2" t="n"/>
      <c r="D281" s="2" t="n"/>
      <c r="E281" s="2" t="n"/>
      <c r="F281" s="2" t="n"/>
      <c r="G281" s="2" t="n"/>
      <c r="H281" s="2" t="n"/>
      <c r="I281" s="2" t="n"/>
      <c r="J281" s="2" t="n"/>
      <c r="K281" s="2" t="n"/>
      <c r="L281" s="2" t="n"/>
      <c r="M281" s="2" t="n"/>
      <c r="N281" s="2" t="n"/>
      <c r="O281" s="2" t="n"/>
      <c r="P281" s="2" t="n"/>
      <c r="Q281" s="2">
        <f>IF(G281="","",TODAY()-G281)</f>
        <v/>
      </c>
    </row>
    <row r="282">
      <c r="A282" s="2" t="n"/>
      <c r="B282" s="2" t="n"/>
      <c r="C282" s="2" t="n"/>
      <c r="D282" s="2" t="n"/>
      <c r="E282" s="2" t="n"/>
      <c r="F282" s="2" t="n"/>
      <c r="G282" s="2" t="n"/>
      <c r="H282" s="2" t="n"/>
      <c r="I282" s="2" t="n"/>
      <c r="J282" s="2" t="n"/>
      <c r="K282" s="2" t="n"/>
      <c r="L282" s="2" t="n"/>
      <c r="M282" s="2" t="n"/>
      <c r="N282" s="2" t="n"/>
      <c r="O282" s="2" t="n"/>
      <c r="P282" s="2" t="n"/>
      <c r="Q282" s="2">
        <f>IF(G282="","",TODAY()-G282)</f>
        <v/>
      </c>
    </row>
    <row r="283">
      <c r="A283" s="2" t="n"/>
      <c r="B283" s="2" t="n"/>
      <c r="C283" s="2" t="n"/>
      <c r="D283" s="2" t="n"/>
      <c r="E283" s="2" t="n"/>
      <c r="F283" s="2" t="n"/>
      <c r="G283" s="2" t="n"/>
      <c r="H283" s="2" t="n"/>
      <c r="I283" s="2" t="n"/>
      <c r="J283" s="2" t="n"/>
      <c r="K283" s="2" t="n"/>
      <c r="L283" s="2" t="n"/>
      <c r="M283" s="2" t="n"/>
      <c r="N283" s="2" t="n"/>
      <c r="O283" s="2" t="n"/>
      <c r="P283" s="2" t="n"/>
      <c r="Q283" s="2">
        <f>IF(G283="","",TODAY()-G283)</f>
        <v/>
      </c>
    </row>
    <row r="284">
      <c r="A284" s="2" t="n"/>
      <c r="B284" s="2" t="n"/>
      <c r="C284" s="2" t="n"/>
      <c r="D284" s="2" t="n"/>
      <c r="E284" s="2" t="n"/>
      <c r="F284" s="2" t="n"/>
      <c r="G284" s="2" t="n"/>
      <c r="H284" s="2" t="n"/>
      <c r="I284" s="2" t="n"/>
      <c r="J284" s="2" t="n"/>
      <c r="K284" s="2" t="n"/>
      <c r="L284" s="2" t="n"/>
      <c r="M284" s="2" t="n"/>
      <c r="N284" s="2" t="n"/>
      <c r="O284" s="2" t="n"/>
      <c r="P284" s="2" t="n"/>
      <c r="Q284" s="2">
        <f>IF(G284="","",TODAY()-G284)</f>
        <v/>
      </c>
    </row>
    <row r="285">
      <c r="A285" s="2" t="n"/>
      <c r="B285" s="2" t="n"/>
      <c r="C285" s="2" t="n"/>
      <c r="D285" s="2" t="n"/>
      <c r="E285" s="2" t="n"/>
      <c r="F285" s="2" t="n"/>
      <c r="G285" s="2" t="n"/>
      <c r="H285" s="2" t="n"/>
      <c r="I285" s="2" t="n"/>
      <c r="J285" s="2" t="n"/>
      <c r="K285" s="2" t="n"/>
      <c r="L285" s="2" t="n"/>
      <c r="M285" s="2" t="n"/>
      <c r="N285" s="2" t="n"/>
      <c r="O285" s="2" t="n"/>
      <c r="P285" s="2" t="n"/>
      <c r="Q285" s="2">
        <f>IF(G285="","",TODAY()-G285)</f>
        <v/>
      </c>
    </row>
    <row r="286">
      <c r="A286" s="2" t="n"/>
      <c r="B286" s="2" t="n"/>
      <c r="C286" s="2" t="n"/>
      <c r="D286" s="2" t="n"/>
      <c r="E286" s="2" t="n"/>
      <c r="F286" s="2" t="n"/>
      <c r="G286" s="2" t="n"/>
      <c r="H286" s="2" t="n"/>
      <c r="I286" s="2" t="n"/>
      <c r="J286" s="2" t="n"/>
      <c r="K286" s="2" t="n"/>
      <c r="L286" s="2" t="n"/>
      <c r="M286" s="2" t="n"/>
      <c r="N286" s="2" t="n"/>
      <c r="O286" s="2" t="n"/>
      <c r="P286" s="2" t="n"/>
      <c r="Q286" s="2">
        <f>IF(G286="","",TODAY()-G286)</f>
        <v/>
      </c>
    </row>
    <row r="287">
      <c r="A287" s="2" t="n"/>
      <c r="B287" s="2" t="n"/>
      <c r="C287" s="2" t="n"/>
      <c r="D287" s="2" t="n"/>
      <c r="E287" s="2" t="n"/>
      <c r="F287" s="2" t="n"/>
      <c r="G287" s="2" t="n"/>
      <c r="H287" s="2" t="n"/>
      <c r="I287" s="2" t="n"/>
      <c r="J287" s="2" t="n"/>
      <c r="K287" s="2" t="n"/>
      <c r="L287" s="2" t="n"/>
      <c r="M287" s="2" t="n"/>
      <c r="N287" s="2" t="n"/>
      <c r="O287" s="2" t="n"/>
      <c r="P287" s="2" t="n"/>
      <c r="Q287" s="2">
        <f>IF(G287="","",TODAY()-G287)</f>
        <v/>
      </c>
    </row>
    <row r="288">
      <c r="A288" s="2" t="n"/>
      <c r="B288" s="2" t="n"/>
      <c r="C288" s="2" t="n"/>
      <c r="D288" s="2" t="n"/>
      <c r="E288" s="2" t="n"/>
      <c r="F288" s="2" t="n"/>
      <c r="G288" s="2" t="n"/>
      <c r="H288" s="2" t="n"/>
      <c r="I288" s="2" t="n"/>
      <c r="J288" s="2" t="n"/>
      <c r="K288" s="2" t="n"/>
      <c r="L288" s="2" t="n"/>
      <c r="M288" s="2" t="n"/>
      <c r="N288" s="2" t="n"/>
      <c r="O288" s="2" t="n"/>
      <c r="P288" s="2" t="n"/>
      <c r="Q288" s="2">
        <f>IF(G288="","",TODAY()-G288)</f>
        <v/>
      </c>
    </row>
    <row r="289">
      <c r="A289" s="2" t="n"/>
      <c r="B289" s="2" t="n"/>
      <c r="C289" s="2" t="n"/>
      <c r="D289" s="2" t="n"/>
      <c r="E289" s="2" t="n"/>
      <c r="F289" s="2" t="n"/>
      <c r="G289" s="2" t="n"/>
      <c r="H289" s="2" t="n"/>
      <c r="I289" s="2" t="n"/>
      <c r="J289" s="2" t="n"/>
      <c r="K289" s="2" t="n"/>
      <c r="L289" s="2" t="n"/>
      <c r="M289" s="2" t="n"/>
      <c r="N289" s="2" t="n"/>
      <c r="O289" s="2" t="n"/>
      <c r="P289" s="2" t="n"/>
      <c r="Q289" s="2">
        <f>IF(G289="","",TODAY()-G289)</f>
        <v/>
      </c>
    </row>
    <row r="290">
      <c r="A290" s="2" t="n"/>
      <c r="B290" s="2" t="n"/>
      <c r="C290" s="2" t="n"/>
      <c r="D290" s="2" t="n"/>
      <c r="E290" s="2" t="n"/>
      <c r="F290" s="2" t="n"/>
      <c r="G290" s="2" t="n"/>
      <c r="H290" s="2" t="n"/>
      <c r="I290" s="2" t="n"/>
      <c r="J290" s="2" t="n"/>
      <c r="K290" s="2" t="n"/>
      <c r="L290" s="2" t="n"/>
      <c r="M290" s="2" t="n"/>
      <c r="N290" s="2" t="n"/>
      <c r="O290" s="2" t="n"/>
      <c r="P290" s="2" t="n"/>
      <c r="Q290" s="2">
        <f>IF(G290="","",TODAY()-G290)</f>
        <v/>
      </c>
    </row>
    <row r="291">
      <c r="A291" s="2" t="n"/>
      <c r="B291" s="2" t="n"/>
      <c r="C291" s="2" t="n"/>
      <c r="D291" s="2" t="n"/>
      <c r="E291" s="2" t="n"/>
      <c r="F291" s="2" t="n"/>
      <c r="G291" s="2" t="n"/>
      <c r="H291" s="2" t="n"/>
      <c r="I291" s="2" t="n"/>
      <c r="J291" s="2" t="n"/>
      <c r="K291" s="2" t="n"/>
      <c r="L291" s="2" t="n"/>
      <c r="M291" s="2" t="n"/>
      <c r="N291" s="2" t="n"/>
      <c r="O291" s="2" t="n"/>
      <c r="P291" s="2" t="n"/>
      <c r="Q291" s="2">
        <f>IF(G291="","",TODAY()-G291)</f>
        <v/>
      </c>
    </row>
    <row r="292">
      <c r="A292" s="2" t="n"/>
      <c r="B292" s="2" t="n"/>
      <c r="C292" s="2" t="n"/>
      <c r="D292" s="2" t="n"/>
      <c r="E292" s="2" t="n"/>
      <c r="F292" s="2" t="n"/>
      <c r="G292" s="2" t="n"/>
      <c r="H292" s="2" t="n"/>
      <c r="I292" s="2" t="n"/>
      <c r="J292" s="2" t="n"/>
      <c r="K292" s="2" t="n"/>
      <c r="L292" s="2" t="n"/>
      <c r="M292" s="2" t="n"/>
      <c r="N292" s="2" t="n"/>
      <c r="O292" s="2" t="n"/>
      <c r="P292" s="2" t="n"/>
      <c r="Q292" s="2">
        <f>IF(G292="","",TODAY()-G292)</f>
        <v/>
      </c>
    </row>
    <row r="293">
      <c r="A293" s="2" t="n"/>
      <c r="B293" s="2" t="n"/>
      <c r="C293" s="2" t="n"/>
      <c r="D293" s="2" t="n"/>
      <c r="E293" s="2" t="n"/>
      <c r="F293" s="2" t="n"/>
      <c r="G293" s="2" t="n"/>
      <c r="H293" s="2" t="n"/>
      <c r="I293" s="2" t="n"/>
      <c r="J293" s="2" t="n"/>
      <c r="K293" s="2" t="n"/>
      <c r="L293" s="2" t="n"/>
      <c r="M293" s="2" t="n"/>
      <c r="N293" s="2" t="n"/>
      <c r="O293" s="2" t="n"/>
      <c r="P293" s="2" t="n"/>
      <c r="Q293" s="2">
        <f>IF(G293="","",TODAY()-G293)</f>
        <v/>
      </c>
    </row>
    <row r="294">
      <c r="A294" s="2" t="n"/>
      <c r="B294" s="2" t="n"/>
      <c r="C294" s="2" t="n"/>
      <c r="D294" s="2" t="n"/>
      <c r="E294" s="2" t="n"/>
      <c r="F294" s="2" t="n"/>
      <c r="G294" s="2" t="n"/>
      <c r="H294" s="2" t="n"/>
      <c r="I294" s="2" t="n"/>
      <c r="J294" s="2" t="n"/>
      <c r="K294" s="2" t="n"/>
      <c r="L294" s="2" t="n"/>
      <c r="M294" s="2" t="n"/>
      <c r="N294" s="2" t="n"/>
      <c r="O294" s="2" t="n"/>
      <c r="P294" s="2" t="n"/>
      <c r="Q294" s="2">
        <f>IF(G294="","",TODAY()-G294)</f>
        <v/>
      </c>
    </row>
    <row r="295">
      <c r="A295" s="2" t="n"/>
      <c r="B295" s="2" t="n"/>
      <c r="C295" s="2" t="n"/>
      <c r="D295" s="2" t="n"/>
      <c r="E295" s="2" t="n"/>
      <c r="F295" s="2" t="n"/>
      <c r="G295" s="2" t="n"/>
      <c r="H295" s="2" t="n"/>
      <c r="I295" s="2" t="n"/>
      <c r="J295" s="2" t="n"/>
      <c r="K295" s="2" t="n"/>
      <c r="L295" s="2" t="n"/>
      <c r="M295" s="2" t="n"/>
      <c r="N295" s="2" t="n"/>
      <c r="O295" s="2" t="n"/>
      <c r="P295" s="2" t="n"/>
      <c r="Q295" s="2">
        <f>IF(G295="","",TODAY()-G295)</f>
        <v/>
      </c>
    </row>
    <row r="296">
      <c r="A296" s="2" t="n"/>
      <c r="B296" s="2" t="n"/>
      <c r="C296" s="2" t="n"/>
      <c r="D296" s="2" t="n"/>
      <c r="E296" s="2" t="n"/>
      <c r="F296" s="2" t="n"/>
      <c r="G296" s="2" t="n"/>
      <c r="H296" s="2" t="n"/>
      <c r="I296" s="2" t="n"/>
      <c r="J296" s="2" t="n"/>
      <c r="K296" s="2" t="n"/>
      <c r="L296" s="2" t="n"/>
      <c r="M296" s="2" t="n"/>
      <c r="N296" s="2" t="n"/>
      <c r="O296" s="2" t="n"/>
      <c r="P296" s="2" t="n"/>
      <c r="Q296" s="2">
        <f>IF(G296="","",TODAY()-G296)</f>
        <v/>
      </c>
    </row>
    <row r="297">
      <c r="A297" s="2" t="n"/>
      <c r="B297" s="2" t="n"/>
      <c r="C297" s="2" t="n"/>
      <c r="D297" s="2" t="n"/>
      <c r="E297" s="2" t="n"/>
      <c r="F297" s="2" t="n"/>
      <c r="G297" s="2" t="n"/>
      <c r="H297" s="2" t="n"/>
      <c r="I297" s="2" t="n"/>
      <c r="J297" s="2" t="n"/>
      <c r="K297" s="2" t="n"/>
      <c r="L297" s="2" t="n"/>
      <c r="M297" s="2" t="n"/>
      <c r="N297" s="2" t="n"/>
      <c r="O297" s="2" t="n"/>
      <c r="P297" s="2" t="n"/>
      <c r="Q297" s="2">
        <f>IF(G297="","",TODAY()-G297)</f>
        <v/>
      </c>
    </row>
    <row r="298">
      <c r="A298" s="2" t="n"/>
      <c r="B298" s="2" t="n"/>
      <c r="C298" s="2" t="n"/>
      <c r="D298" s="2" t="n"/>
      <c r="E298" s="2" t="n"/>
      <c r="F298" s="2" t="n"/>
      <c r="G298" s="2" t="n"/>
      <c r="H298" s="2" t="n"/>
      <c r="I298" s="2" t="n"/>
      <c r="J298" s="2" t="n"/>
      <c r="K298" s="2" t="n"/>
      <c r="L298" s="2" t="n"/>
      <c r="M298" s="2" t="n"/>
      <c r="N298" s="2" t="n"/>
      <c r="O298" s="2" t="n"/>
      <c r="P298" s="2" t="n"/>
      <c r="Q298" s="2">
        <f>IF(G298="","",TODAY()-G298)</f>
        <v/>
      </c>
    </row>
    <row r="299">
      <c r="A299" s="2" t="n"/>
      <c r="B299" s="2" t="n"/>
      <c r="C299" s="2" t="n"/>
      <c r="D299" s="2" t="n"/>
      <c r="E299" s="2" t="n"/>
      <c r="F299" s="2" t="n"/>
      <c r="G299" s="2" t="n"/>
      <c r="H299" s="2" t="n"/>
      <c r="I299" s="2" t="n"/>
      <c r="J299" s="2" t="n"/>
      <c r="K299" s="2" t="n"/>
      <c r="L299" s="2" t="n"/>
      <c r="M299" s="2" t="n"/>
      <c r="N299" s="2" t="n"/>
      <c r="O299" s="2" t="n"/>
      <c r="P299" s="2" t="n"/>
      <c r="Q299" s="2">
        <f>IF(G299="","",TODAY()-G299)</f>
        <v/>
      </c>
    </row>
    <row r="300">
      <c r="A300" s="2" t="n"/>
      <c r="B300" s="2" t="n"/>
      <c r="C300" s="2" t="n"/>
      <c r="D300" s="2" t="n"/>
      <c r="E300" s="2" t="n"/>
      <c r="F300" s="2" t="n"/>
      <c r="G300" s="2" t="n"/>
      <c r="H300" s="2" t="n"/>
      <c r="I300" s="2" t="n"/>
      <c r="J300" s="2" t="n"/>
      <c r="K300" s="2" t="n"/>
      <c r="L300" s="2" t="n"/>
      <c r="M300" s="2" t="n"/>
      <c r="N300" s="2" t="n"/>
      <c r="O300" s="2" t="n"/>
      <c r="P300" s="2" t="n"/>
      <c r="Q300" s="2">
        <f>IF(G300="","",TODAY()-G300)</f>
        <v/>
      </c>
    </row>
    <row r="301">
      <c r="A301" s="2" t="n"/>
      <c r="B301" s="2" t="n"/>
      <c r="C301" s="2" t="n"/>
      <c r="D301" s="2" t="n"/>
      <c r="E301" s="2" t="n"/>
      <c r="F301" s="2" t="n"/>
      <c r="G301" s="2" t="n"/>
      <c r="H301" s="2" t="n"/>
      <c r="I301" s="2" t="n"/>
      <c r="J301" s="2" t="n"/>
      <c r="K301" s="2" t="n"/>
      <c r="L301" s="2" t="n"/>
      <c r="M301" s="2" t="n"/>
      <c r="N301" s="2" t="n"/>
      <c r="O301" s="2" t="n"/>
      <c r="P301" s="2" t="n"/>
      <c r="Q301" s="2">
        <f>IF(G301="","",TODAY()-G301)</f>
        <v/>
      </c>
    </row>
    <row r="302">
      <c r="A302" s="2" t="n"/>
      <c r="B302" s="2" t="n"/>
      <c r="C302" s="2" t="n"/>
      <c r="D302" s="2" t="n"/>
      <c r="E302" s="2" t="n"/>
      <c r="F302" s="2" t="n"/>
      <c r="G302" s="2" t="n"/>
      <c r="H302" s="2" t="n"/>
      <c r="I302" s="2" t="n"/>
      <c r="J302" s="2" t="n"/>
      <c r="K302" s="2" t="n"/>
      <c r="L302" s="2" t="n"/>
      <c r="M302" s="2" t="n"/>
      <c r="N302" s="2" t="n"/>
      <c r="O302" s="2" t="n"/>
      <c r="P302" s="2" t="n"/>
      <c r="Q302" s="2">
        <f>IF(G302="","",TODAY()-G302)</f>
        <v/>
      </c>
    </row>
    <row r="303">
      <c r="A303" s="2" t="n"/>
      <c r="B303" s="2" t="n"/>
      <c r="C303" s="2" t="n"/>
      <c r="D303" s="2" t="n"/>
      <c r="E303" s="2" t="n"/>
      <c r="F303" s="2" t="n"/>
      <c r="G303" s="2" t="n"/>
      <c r="H303" s="2" t="n"/>
      <c r="I303" s="2" t="n"/>
      <c r="J303" s="2" t="n"/>
      <c r="K303" s="2" t="n"/>
      <c r="L303" s="2" t="n"/>
      <c r="M303" s="2" t="n"/>
      <c r="N303" s="2" t="n"/>
      <c r="O303" s="2" t="n"/>
      <c r="P303" s="2" t="n"/>
      <c r="Q303" s="2">
        <f>IF(G303="","",TODAY()-G303)</f>
        <v/>
      </c>
    </row>
    <row r="304">
      <c r="A304" s="2" t="n"/>
      <c r="B304" s="2" t="n"/>
      <c r="C304" s="2" t="n"/>
      <c r="D304" s="2" t="n"/>
      <c r="E304" s="2" t="n"/>
      <c r="F304" s="2" t="n"/>
      <c r="G304" s="2" t="n"/>
      <c r="H304" s="2" t="n"/>
      <c r="I304" s="2" t="n"/>
      <c r="J304" s="2" t="n"/>
      <c r="K304" s="2" t="n"/>
      <c r="L304" s="2" t="n"/>
      <c r="M304" s="2" t="n"/>
      <c r="N304" s="2" t="n"/>
      <c r="O304" s="2" t="n"/>
      <c r="P304" s="2" t="n"/>
      <c r="Q304" s="2">
        <f>IF(G304="","",TODAY()-G304)</f>
        <v/>
      </c>
    </row>
    <row r="305">
      <c r="A305" s="2" t="n"/>
      <c r="B305" s="2" t="n"/>
      <c r="C305" s="2" t="n"/>
      <c r="D305" s="2" t="n"/>
      <c r="E305" s="2" t="n"/>
      <c r="F305" s="2" t="n"/>
      <c r="G305" s="2" t="n"/>
      <c r="H305" s="2" t="n"/>
      <c r="I305" s="2" t="n"/>
      <c r="J305" s="2" t="n"/>
      <c r="K305" s="2" t="n"/>
      <c r="L305" s="2" t="n"/>
      <c r="M305" s="2" t="n"/>
      <c r="N305" s="2" t="n"/>
      <c r="O305" s="2" t="n"/>
      <c r="P305" s="2" t="n"/>
      <c r="Q305" s="2">
        <f>IF(G305="","",TODAY()-G305)</f>
        <v/>
      </c>
    </row>
    <row r="306">
      <c r="A306" s="2" t="n"/>
      <c r="B306" s="2" t="n"/>
      <c r="C306" s="2" t="n"/>
      <c r="D306" s="2" t="n"/>
      <c r="E306" s="2" t="n"/>
      <c r="F306" s="2" t="n"/>
      <c r="G306" s="2" t="n"/>
      <c r="H306" s="2" t="n"/>
      <c r="I306" s="2" t="n"/>
      <c r="J306" s="2" t="n"/>
      <c r="K306" s="2" t="n"/>
      <c r="L306" s="2" t="n"/>
      <c r="M306" s="2" t="n"/>
      <c r="N306" s="2" t="n"/>
      <c r="O306" s="2" t="n"/>
      <c r="P306" s="2" t="n"/>
      <c r="Q306" s="2">
        <f>IF(G306="","",TODAY()-G306)</f>
        <v/>
      </c>
    </row>
    <row r="307">
      <c r="A307" s="2" t="n"/>
      <c r="B307" s="2" t="n"/>
      <c r="C307" s="2" t="n"/>
      <c r="D307" s="2" t="n"/>
      <c r="E307" s="2" t="n"/>
      <c r="F307" s="2" t="n"/>
      <c r="G307" s="2" t="n"/>
      <c r="H307" s="2" t="n"/>
      <c r="I307" s="2" t="n"/>
      <c r="J307" s="2" t="n"/>
      <c r="K307" s="2" t="n"/>
      <c r="L307" s="2" t="n"/>
      <c r="M307" s="2" t="n"/>
      <c r="N307" s="2" t="n"/>
      <c r="O307" s="2" t="n"/>
      <c r="P307" s="2" t="n"/>
      <c r="Q307" s="2">
        <f>IF(G307="","",TODAY()-G307)</f>
        <v/>
      </c>
    </row>
    <row r="308">
      <c r="A308" s="2" t="n"/>
      <c r="B308" s="2" t="n"/>
      <c r="C308" s="2" t="n"/>
      <c r="D308" s="2" t="n"/>
      <c r="E308" s="2" t="n"/>
      <c r="F308" s="2" t="n"/>
      <c r="G308" s="2" t="n"/>
      <c r="H308" s="2" t="n"/>
      <c r="I308" s="2" t="n"/>
      <c r="J308" s="2" t="n"/>
      <c r="K308" s="2" t="n"/>
      <c r="L308" s="2" t="n"/>
      <c r="M308" s="2" t="n"/>
      <c r="N308" s="2" t="n"/>
      <c r="O308" s="2" t="n"/>
      <c r="P308" s="2" t="n"/>
      <c r="Q308" s="2">
        <f>IF(G308="","",TODAY()-G308)</f>
        <v/>
      </c>
    </row>
    <row r="309">
      <c r="A309" s="2" t="n"/>
      <c r="B309" s="2" t="n"/>
      <c r="C309" s="2" t="n"/>
      <c r="D309" s="2" t="n"/>
      <c r="E309" s="2" t="n"/>
      <c r="F309" s="2" t="n"/>
      <c r="G309" s="2" t="n"/>
      <c r="H309" s="2" t="n"/>
      <c r="I309" s="2" t="n"/>
      <c r="J309" s="2" t="n"/>
      <c r="K309" s="2" t="n"/>
      <c r="L309" s="2" t="n"/>
      <c r="M309" s="2" t="n"/>
      <c r="N309" s="2" t="n"/>
      <c r="O309" s="2" t="n"/>
      <c r="P309" s="2" t="n"/>
      <c r="Q309" s="2">
        <f>IF(G309="","",TODAY()-G309)</f>
        <v/>
      </c>
    </row>
    <row r="310">
      <c r="A310" s="2" t="n"/>
      <c r="B310" s="2" t="n"/>
      <c r="C310" s="2" t="n"/>
      <c r="D310" s="2" t="n"/>
      <c r="E310" s="2" t="n"/>
      <c r="F310" s="2" t="n"/>
      <c r="G310" s="2" t="n"/>
      <c r="H310" s="2" t="n"/>
      <c r="I310" s="2" t="n"/>
      <c r="J310" s="2" t="n"/>
      <c r="K310" s="2" t="n"/>
      <c r="L310" s="2" t="n"/>
      <c r="M310" s="2" t="n"/>
      <c r="N310" s="2" t="n"/>
      <c r="O310" s="2" t="n"/>
      <c r="P310" s="2" t="n"/>
      <c r="Q310" s="2">
        <f>IF(G310="","",TODAY()-G310)</f>
        <v/>
      </c>
    </row>
    <row r="311">
      <c r="A311" s="2" t="n"/>
      <c r="B311" s="2" t="n"/>
      <c r="C311" s="2" t="n"/>
      <c r="D311" s="2" t="n"/>
      <c r="E311" s="2" t="n"/>
      <c r="F311" s="2" t="n"/>
      <c r="G311" s="2" t="n"/>
      <c r="H311" s="2" t="n"/>
      <c r="I311" s="2" t="n"/>
      <c r="J311" s="2" t="n"/>
      <c r="K311" s="2" t="n"/>
      <c r="L311" s="2" t="n"/>
      <c r="M311" s="2" t="n"/>
      <c r="N311" s="2" t="n"/>
      <c r="O311" s="2" t="n"/>
      <c r="P311" s="2" t="n"/>
      <c r="Q311" s="2">
        <f>IF(G311="","",TODAY()-G311)</f>
        <v/>
      </c>
    </row>
    <row r="312">
      <c r="A312" s="2" t="n"/>
      <c r="B312" s="2" t="n"/>
      <c r="C312" s="2" t="n"/>
      <c r="D312" s="2" t="n"/>
      <c r="E312" s="2" t="n"/>
      <c r="F312" s="2" t="n"/>
      <c r="G312" s="2" t="n"/>
      <c r="H312" s="2" t="n"/>
      <c r="I312" s="2" t="n"/>
      <c r="J312" s="2" t="n"/>
      <c r="K312" s="2" t="n"/>
      <c r="L312" s="2" t="n"/>
      <c r="M312" s="2" t="n"/>
      <c r="N312" s="2" t="n"/>
      <c r="O312" s="2" t="n"/>
      <c r="P312" s="2" t="n"/>
      <c r="Q312" s="2">
        <f>IF(G312="","",TODAY()-G312)</f>
        <v/>
      </c>
    </row>
    <row r="313">
      <c r="A313" s="2" t="n"/>
      <c r="B313" s="2" t="n"/>
      <c r="C313" s="2" t="n"/>
      <c r="D313" s="2" t="n"/>
      <c r="E313" s="2" t="n"/>
      <c r="F313" s="2" t="n"/>
      <c r="G313" s="2" t="n"/>
      <c r="H313" s="2" t="n"/>
      <c r="I313" s="2" t="n"/>
      <c r="J313" s="2" t="n"/>
      <c r="K313" s="2" t="n"/>
      <c r="L313" s="2" t="n"/>
      <c r="M313" s="2" t="n"/>
      <c r="N313" s="2" t="n"/>
      <c r="O313" s="2" t="n"/>
      <c r="P313" s="2" t="n"/>
      <c r="Q313" s="2">
        <f>IF(G313="","",TODAY()-G313)</f>
        <v/>
      </c>
    </row>
    <row r="314">
      <c r="A314" s="2" t="n"/>
      <c r="B314" s="2" t="n"/>
      <c r="C314" s="2" t="n"/>
      <c r="D314" s="2" t="n"/>
      <c r="E314" s="2" t="n"/>
      <c r="F314" s="2" t="n"/>
      <c r="G314" s="2" t="n"/>
      <c r="H314" s="2" t="n"/>
      <c r="I314" s="2" t="n"/>
      <c r="J314" s="2" t="n"/>
      <c r="K314" s="2" t="n"/>
      <c r="L314" s="2" t="n"/>
      <c r="M314" s="2" t="n"/>
      <c r="N314" s="2" t="n"/>
      <c r="O314" s="2" t="n"/>
      <c r="P314" s="2" t="n"/>
      <c r="Q314" s="2">
        <f>IF(G314="","",TODAY()-G314)</f>
        <v/>
      </c>
    </row>
    <row r="315">
      <c r="A315" s="2" t="n"/>
      <c r="B315" s="2" t="n"/>
      <c r="C315" s="2" t="n"/>
      <c r="D315" s="2" t="n"/>
      <c r="E315" s="2" t="n"/>
      <c r="F315" s="2" t="n"/>
      <c r="G315" s="2" t="n"/>
      <c r="H315" s="2" t="n"/>
      <c r="I315" s="2" t="n"/>
      <c r="J315" s="2" t="n"/>
      <c r="K315" s="2" t="n"/>
      <c r="L315" s="2" t="n"/>
      <c r="M315" s="2" t="n"/>
      <c r="N315" s="2" t="n"/>
      <c r="O315" s="2" t="n"/>
      <c r="P315" s="2" t="n"/>
      <c r="Q315" s="2">
        <f>IF(G315="","",TODAY()-G315)</f>
        <v/>
      </c>
    </row>
    <row r="316">
      <c r="A316" s="2" t="n"/>
      <c r="B316" s="2" t="n"/>
      <c r="C316" s="2" t="n"/>
      <c r="D316" s="2" t="n"/>
      <c r="E316" s="2" t="n"/>
      <c r="F316" s="2" t="n"/>
      <c r="G316" s="2" t="n"/>
      <c r="H316" s="2" t="n"/>
      <c r="I316" s="2" t="n"/>
      <c r="J316" s="2" t="n"/>
      <c r="K316" s="2" t="n"/>
      <c r="L316" s="2" t="n"/>
      <c r="M316" s="2" t="n"/>
      <c r="N316" s="2" t="n"/>
      <c r="O316" s="2" t="n"/>
      <c r="P316" s="2" t="n"/>
      <c r="Q316" s="2">
        <f>IF(G316="","",TODAY()-G316)</f>
        <v/>
      </c>
    </row>
    <row r="317">
      <c r="A317" s="2" t="n"/>
      <c r="B317" s="2" t="n"/>
      <c r="C317" s="2" t="n"/>
      <c r="D317" s="2" t="n"/>
      <c r="E317" s="2" t="n"/>
      <c r="F317" s="2" t="n"/>
      <c r="G317" s="2" t="n"/>
      <c r="H317" s="2" t="n"/>
      <c r="I317" s="2" t="n"/>
      <c r="J317" s="2" t="n"/>
      <c r="K317" s="2" t="n"/>
      <c r="L317" s="2" t="n"/>
      <c r="M317" s="2" t="n"/>
      <c r="N317" s="2" t="n"/>
      <c r="O317" s="2" t="n"/>
      <c r="P317" s="2" t="n"/>
      <c r="Q317" s="2">
        <f>IF(G317="","",TODAY()-G317)</f>
        <v/>
      </c>
    </row>
    <row r="318">
      <c r="A318" s="2" t="n"/>
      <c r="B318" s="2" t="n"/>
      <c r="C318" s="2" t="n"/>
      <c r="D318" s="2" t="n"/>
      <c r="E318" s="2" t="n"/>
      <c r="F318" s="2" t="n"/>
      <c r="G318" s="2" t="n"/>
      <c r="H318" s="2" t="n"/>
      <c r="I318" s="2" t="n"/>
      <c r="J318" s="2" t="n"/>
      <c r="K318" s="2" t="n"/>
      <c r="L318" s="2" t="n"/>
      <c r="M318" s="2" t="n"/>
      <c r="N318" s="2" t="n"/>
      <c r="O318" s="2" t="n"/>
      <c r="P318" s="2" t="n"/>
      <c r="Q318" s="2">
        <f>IF(G318="","",TODAY()-G318)</f>
        <v/>
      </c>
    </row>
    <row r="319">
      <c r="A319" s="2" t="n"/>
      <c r="B319" s="2" t="n"/>
      <c r="C319" s="2" t="n"/>
      <c r="D319" s="2" t="n"/>
      <c r="E319" s="2" t="n"/>
      <c r="F319" s="2" t="n"/>
      <c r="G319" s="2" t="n"/>
      <c r="H319" s="2" t="n"/>
      <c r="I319" s="2" t="n"/>
      <c r="J319" s="2" t="n"/>
      <c r="K319" s="2" t="n"/>
      <c r="L319" s="2" t="n"/>
      <c r="M319" s="2" t="n"/>
      <c r="N319" s="2" t="n"/>
      <c r="O319" s="2" t="n"/>
      <c r="P319" s="2" t="n"/>
      <c r="Q319" s="2">
        <f>IF(G319="","",TODAY()-G319)</f>
        <v/>
      </c>
    </row>
    <row r="320">
      <c r="A320" s="2" t="n"/>
      <c r="B320" s="2" t="n"/>
      <c r="C320" s="2" t="n"/>
      <c r="D320" s="2" t="n"/>
      <c r="E320" s="2" t="n"/>
      <c r="F320" s="2" t="n"/>
      <c r="G320" s="2" t="n"/>
      <c r="H320" s="2" t="n"/>
      <c r="I320" s="2" t="n"/>
      <c r="J320" s="2" t="n"/>
      <c r="K320" s="2" t="n"/>
      <c r="L320" s="2" t="n"/>
      <c r="M320" s="2" t="n"/>
      <c r="N320" s="2" t="n"/>
      <c r="O320" s="2" t="n"/>
      <c r="P320" s="2" t="n"/>
      <c r="Q320" s="2">
        <f>IF(G320="","",TODAY()-G320)</f>
        <v/>
      </c>
    </row>
    <row r="321">
      <c r="A321" s="2" t="n"/>
      <c r="B321" s="2" t="n"/>
      <c r="C321" s="2" t="n"/>
      <c r="D321" s="2" t="n"/>
      <c r="E321" s="2" t="n"/>
      <c r="F321" s="2" t="n"/>
      <c r="G321" s="2" t="n"/>
      <c r="H321" s="2" t="n"/>
      <c r="I321" s="2" t="n"/>
      <c r="J321" s="2" t="n"/>
      <c r="K321" s="2" t="n"/>
      <c r="L321" s="2" t="n"/>
      <c r="M321" s="2" t="n"/>
      <c r="N321" s="2" t="n"/>
      <c r="O321" s="2" t="n"/>
      <c r="P321" s="2" t="n"/>
      <c r="Q321" s="2">
        <f>IF(G321="","",TODAY()-G321)</f>
        <v/>
      </c>
    </row>
    <row r="322">
      <c r="A322" s="2" t="n"/>
      <c r="B322" s="2" t="n"/>
      <c r="C322" s="2" t="n"/>
      <c r="D322" s="2" t="n"/>
      <c r="E322" s="2" t="n"/>
      <c r="F322" s="2" t="n"/>
      <c r="G322" s="2" t="n"/>
      <c r="H322" s="2" t="n"/>
      <c r="I322" s="2" t="n"/>
      <c r="J322" s="2" t="n"/>
      <c r="K322" s="2" t="n"/>
      <c r="L322" s="2" t="n"/>
      <c r="M322" s="2" t="n"/>
      <c r="N322" s="2" t="n"/>
      <c r="O322" s="2" t="n"/>
      <c r="P322" s="2" t="n"/>
      <c r="Q322" s="2">
        <f>IF(G322="","",TODAY()-G322)</f>
        <v/>
      </c>
    </row>
    <row r="323">
      <c r="A323" s="2" t="n"/>
      <c r="B323" s="2" t="n"/>
      <c r="C323" s="2" t="n"/>
      <c r="D323" s="2" t="n"/>
      <c r="E323" s="2" t="n"/>
      <c r="F323" s="2" t="n"/>
      <c r="G323" s="2" t="n"/>
      <c r="H323" s="2" t="n"/>
      <c r="I323" s="2" t="n"/>
      <c r="J323" s="2" t="n"/>
      <c r="K323" s="2" t="n"/>
      <c r="L323" s="2" t="n"/>
      <c r="M323" s="2" t="n"/>
      <c r="N323" s="2" t="n"/>
      <c r="O323" s="2" t="n"/>
      <c r="P323" s="2" t="n"/>
      <c r="Q323" s="2">
        <f>IF(G323="","",TODAY()-G323)</f>
        <v/>
      </c>
    </row>
    <row r="324">
      <c r="A324" s="2" t="n"/>
      <c r="B324" s="2" t="n"/>
      <c r="C324" s="2" t="n"/>
      <c r="D324" s="2" t="n"/>
      <c r="E324" s="2" t="n"/>
      <c r="F324" s="2" t="n"/>
      <c r="G324" s="2" t="n"/>
      <c r="H324" s="2" t="n"/>
      <c r="I324" s="2" t="n"/>
      <c r="J324" s="2" t="n"/>
      <c r="K324" s="2" t="n"/>
      <c r="L324" s="2" t="n"/>
      <c r="M324" s="2" t="n"/>
      <c r="N324" s="2" t="n"/>
      <c r="O324" s="2" t="n"/>
      <c r="P324" s="2" t="n"/>
      <c r="Q324" s="2">
        <f>IF(G324="","",TODAY()-G324)</f>
        <v/>
      </c>
    </row>
    <row r="325">
      <c r="A325" s="2" t="n"/>
      <c r="B325" s="2" t="n"/>
      <c r="C325" s="2" t="n"/>
      <c r="D325" s="2" t="n"/>
      <c r="E325" s="2" t="n"/>
      <c r="F325" s="2" t="n"/>
      <c r="G325" s="2" t="n"/>
      <c r="H325" s="2" t="n"/>
      <c r="I325" s="2" t="n"/>
      <c r="J325" s="2" t="n"/>
      <c r="K325" s="2" t="n"/>
      <c r="L325" s="2" t="n"/>
      <c r="M325" s="2" t="n"/>
      <c r="N325" s="2" t="n"/>
      <c r="O325" s="2" t="n"/>
      <c r="P325" s="2" t="n"/>
      <c r="Q325" s="2">
        <f>IF(G325="","",TODAY()-G325)</f>
        <v/>
      </c>
    </row>
    <row r="326">
      <c r="A326" s="2" t="n"/>
      <c r="B326" s="2" t="n"/>
      <c r="C326" s="2" t="n"/>
      <c r="D326" s="2" t="n"/>
      <c r="E326" s="2" t="n"/>
      <c r="F326" s="2" t="n"/>
      <c r="G326" s="2" t="n"/>
      <c r="H326" s="2" t="n"/>
      <c r="I326" s="2" t="n"/>
      <c r="J326" s="2" t="n"/>
      <c r="K326" s="2" t="n"/>
      <c r="L326" s="2" t="n"/>
      <c r="M326" s="2" t="n"/>
      <c r="N326" s="2" t="n"/>
      <c r="O326" s="2" t="n"/>
      <c r="P326" s="2" t="n"/>
      <c r="Q326" s="2">
        <f>IF(G326="","",TODAY()-G326)</f>
        <v/>
      </c>
    </row>
    <row r="327">
      <c r="A327" s="2" t="n"/>
      <c r="B327" s="2" t="n"/>
      <c r="C327" s="2" t="n"/>
      <c r="D327" s="2" t="n"/>
      <c r="E327" s="2" t="n"/>
      <c r="F327" s="2" t="n"/>
      <c r="G327" s="2" t="n"/>
      <c r="H327" s="2" t="n"/>
      <c r="I327" s="2" t="n"/>
      <c r="J327" s="2" t="n"/>
      <c r="K327" s="2" t="n"/>
      <c r="L327" s="2" t="n"/>
      <c r="M327" s="2" t="n"/>
      <c r="N327" s="2" t="n"/>
      <c r="O327" s="2" t="n"/>
      <c r="P327" s="2" t="n"/>
      <c r="Q327" s="2">
        <f>IF(G327="","",TODAY()-G327)</f>
        <v/>
      </c>
    </row>
    <row r="328">
      <c r="A328" s="2" t="n"/>
      <c r="B328" s="2" t="n"/>
      <c r="C328" s="2" t="n"/>
      <c r="D328" s="2" t="n"/>
      <c r="E328" s="2" t="n"/>
      <c r="F328" s="2" t="n"/>
      <c r="G328" s="2" t="n"/>
      <c r="H328" s="2" t="n"/>
      <c r="I328" s="2" t="n"/>
      <c r="J328" s="2" t="n"/>
      <c r="K328" s="2" t="n"/>
      <c r="L328" s="2" t="n"/>
      <c r="M328" s="2" t="n"/>
      <c r="N328" s="2" t="n"/>
      <c r="O328" s="2" t="n"/>
      <c r="P328" s="2" t="n"/>
      <c r="Q328" s="2">
        <f>IF(G328="","",TODAY()-G328)</f>
        <v/>
      </c>
    </row>
    <row r="329">
      <c r="A329" s="2" t="n"/>
      <c r="B329" s="2" t="n"/>
      <c r="C329" s="2" t="n"/>
      <c r="D329" s="2" t="n"/>
      <c r="E329" s="2" t="n"/>
      <c r="F329" s="2" t="n"/>
      <c r="G329" s="2" t="n"/>
      <c r="H329" s="2" t="n"/>
      <c r="I329" s="2" t="n"/>
      <c r="J329" s="2" t="n"/>
      <c r="K329" s="2" t="n"/>
      <c r="L329" s="2" t="n"/>
      <c r="M329" s="2" t="n"/>
      <c r="N329" s="2" t="n"/>
      <c r="O329" s="2" t="n"/>
      <c r="P329" s="2" t="n"/>
      <c r="Q329" s="2">
        <f>IF(G329="","",TODAY()-G329)</f>
        <v/>
      </c>
    </row>
    <row r="330">
      <c r="A330" s="2" t="n"/>
      <c r="B330" s="2" t="n"/>
      <c r="C330" s="2" t="n"/>
      <c r="D330" s="2" t="n"/>
      <c r="E330" s="2" t="n"/>
      <c r="F330" s="2" t="n"/>
      <c r="G330" s="2" t="n"/>
      <c r="H330" s="2" t="n"/>
      <c r="I330" s="2" t="n"/>
      <c r="J330" s="2" t="n"/>
      <c r="K330" s="2" t="n"/>
      <c r="L330" s="2" t="n"/>
      <c r="M330" s="2" t="n"/>
      <c r="N330" s="2" t="n"/>
      <c r="O330" s="2" t="n"/>
      <c r="P330" s="2" t="n"/>
      <c r="Q330" s="2">
        <f>IF(G330="","",TODAY()-G330)</f>
        <v/>
      </c>
    </row>
    <row r="331">
      <c r="A331" s="2" t="n"/>
      <c r="B331" s="2" t="n"/>
      <c r="C331" s="2" t="n"/>
      <c r="D331" s="2" t="n"/>
      <c r="E331" s="2" t="n"/>
      <c r="F331" s="2" t="n"/>
      <c r="G331" s="2" t="n"/>
      <c r="H331" s="2" t="n"/>
      <c r="I331" s="2" t="n"/>
      <c r="J331" s="2" t="n"/>
      <c r="K331" s="2" t="n"/>
      <c r="L331" s="2" t="n"/>
      <c r="M331" s="2" t="n"/>
      <c r="N331" s="2" t="n"/>
      <c r="O331" s="2" t="n"/>
      <c r="P331" s="2" t="n"/>
      <c r="Q331" s="2">
        <f>IF(G331="","",TODAY()-G331)</f>
        <v/>
      </c>
    </row>
    <row r="332">
      <c r="A332" s="2" t="n"/>
      <c r="B332" s="2" t="n"/>
      <c r="C332" s="2" t="n"/>
      <c r="D332" s="2" t="n"/>
      <c r="E332" s="2" t="n"/>
      <c r="F332" s="2" t="n"/>
      <c r="G332" s="2" t="n"/>
      <c r="H332" s="2" t="n"/>
      <c r="I332" s="2" t="n"/>
      <c r="J332" s="2" t="n"/>
      <c r="K332" s="2" t="n"/>
      <c r="L332" s="2" t="n"/>
      <c r="M332" s="2" t="n"/>
      <c r="N332" s="2" t="n"/>
      <c r="O332" s="2" t="n"/>
      <c r="P332" s="2" t="n"/>
      <c r="Q332" s="2">
        <f>IF(G332="","",TODAY()-G332)</f>
        <v/>
      </c>
    </row>
    <row r="333">
      <c r="A333" s="2" t="n"/>
      <c r="B333" s="2" t="n"/>
      <c r="C333" s="2" t="n"/>
      <c r="D333" s="2" t="n"/>
      <c r="E333" s="2" t="n"/>
      <c r="F333" s="2" t="n"/>
      <c r="G333" s="2" t="n"/>
      <c r="H333" s="2" t="n"/>
      <c r="I333" s="2" t="n"/>
      <c r="J333" s="2" t="n"/>
      <c r="K333" s="2" t="n"/>
      <c r="L333" s="2" t="n"/>
      <c r="M333" s="2" t="n"/>
      <c r="N333" s="2" t="n"/>
      <c r="O333" s="2" t="n"/>
      <c r="P333" s="2" t="n"/>
      <c r="Q333" s="2">
        <f>IF(G333="","",TODAY()-G333)</f>
        <v/>
      </c>
    </row>
    <row r="334">
      <c r="A334" s="2" t="n"/>
      <c r="B334" s="2" t="n"/>
      <c r="C334" s="2" t="n"/>
      <c r="D334" s="2" t="n"/>
      <c r="E334" s="2" t="n"/>
      <c r="F334" s="2" t="n"/>
      <c r="G334" s="2" t="n"/>
      <c r="H334" s="2" t="n"/>
      <c r="I334" s="2" t="n"/>
      <c r="J334" s="2" t="n"/>
      <c r="K334" s="2" t="n"/>
      <c r="L334" s="2" t="n"/>
      <c r="M334" s="2" t="n"/>
      <c r="N334" s="2" t="n"/>
      <c r="O334" s="2" t="n"/>
      <c r="P334" s="2" t="n"/>
      <c r="Q334" s="2">
        <f>IF(G334="","",TODAY()-G334)</f>
        <v/>
      </c>
    </row>
    <row r="335">
      <c r="A335" s="2" t="n"/>
      <c r="B335" s="2" t="n"/>
      <c r="C335" s="2" t="n"/>
      <c r="D335" s="2" t="n"/>
      <c r="E335" s="2" t="n"/>
      <c r="F335" s="2" t="n"/>
      <c r="G335" s="2" t="n"/>
      <c r="H335" s="2" t="n"/>
      <c r="I335" s="2" t="n"/>
      <c r="J335" s="2" t="n"/>
      <c r="K335" s="2" t="n"/>
      <c r="L335" s="2" t="n"/>
      <c r="M335" s="2" t="n"/>
      <c r="N335" s="2" t="n"/>
      <c r="O335" s="2" t="n"/>
      <c r="P335" s="2" t="n"/>
      <c r="Q335" s="2">
        <f>IF(G335="","",TODAY()-G335)</f>
        <v/>
      </c>
    </row>
    <row r="336">
      <c r="A336" s="2" t="n"/>
      <c r="B336" s="2" t="n"/>
      <c r="C336" s="2" t="n"/>
      <c r="D336" s="2" t="n"/>
      <c r="E336" s="2" t="n"/>
      <c r="F336" s="2" t="n"/>
      <c r="G336" s="2" t="n"/>
      <c r="H336" s="2" t="n"/>
      <c r="I336" s="2" t="n"/>
      <c r="J336" s="2" t="n"/>
      <c r="K336" s="2" t="n"/>
      <c r="L336" s="2" t="n"/>
      <c r="M336" s="2" t="n"/>
      <c r="N336" s="2" t="n"/>
      <c r="O336" s="2" t="n"/>
      <c r="P336" s="2" t="n"/>
      <c r="Q336" s="2">
        <f>IF(G336="","",TODAY()-G336)</f>
        <v/>
      </c>
    </row>
    <row r="337">
      <c r="A337" s="2" t="n"/>
      <c r="B337" s="2" t="n"/>
      <c r="C337" s="2" t="n"/>
      <c r="D337" s="2" t="n"/>
      <c r="E337" s="2" t="n"/>
      <c r="F337" s="2" t="n"/>
      <c r="G337" s="2" t="n"/>
      <c r="H337" s="2" t="n"/>
      <c r="I337" s="2" t="n"/>
      <c r="J337" s="2" t="n"/>
      <c r="K337" s="2" t="n"/>
      <c r="L337" s="2" t="n"/>
      <c r="M337" s="2" t="n"/>
      <c r="N337" s="2" t="n"/>
      <c r="O337" s="2" t="n"/>
      <c r="P337" s="2" t="n"/>
      <c r="Q337" s="2">
        <f>IF(G337="","",TODAY()-G337)</f>
        <v/>
      </c>
    </row>
    <row r="338">
      <c r="A338" s="2" t="n"/>
      <c r="B338" s="2" t="n"/>
      <c r="C338" s="2" t="n"/>
      <c r="D338" s="2" t="n"/>
      <c r="E338" s="2" t="n"/>
      <c r="F338" s="2" t="n"/>
      <c r="G338" s="2" t="n"/>
      <c r="H338" s="2" t="n"/>
      <c r="I338" s="2" t="n"/>
      <c r="J338" s="2" t="n"/>
      <c r="K338" s="2" t="n"/>
      <c r="L338" s="2" t="n"/>
      <c r="M338" s="2" t="n"/>
      <c r="N338" s="2" t="n"/>
      <c r="O338" s="2" t="n"/>
      <c r="P338" s="2" t="n"/>
      <c r="Q338" s="2">
        <f>IF(G338="","",TODAY()-G338)</f>
        <v/>
      </c>
    </row>
    <row r="339">
      <c r="A339" s="2" t="n"/>
      <c r="B339" s="2" t="n"/>
      <c r="C339" s="2" t="n"/>
      <c r="D339" s="2" t="n"/>
      <c r="E339" s="2" t="n"/>
      <c r="F339" s="2" t="n"/>
      <c r="G339" s="2" t="n"/>
      <c r="H339" s="2" t="n"/>
      <c r="I339" s="2" t="n"/>
      <c r="J339" s="2" t="n"/>
      <c r="K339" s="2" t="n"/>
      <c r="L339" s="2" t="n"/>
      <c r="M339" s="2" t="n"/>
      <c r="N339" s="2" t="n"/>
      <c r="O339" s="2" t="n"/>
      <c r="P339" s="2" t="n"/>
      <c r="Q339" s="2">
        <f>IF(G339="","",TODAY()-G339)</f>
        <v/>
      </c>
    </row>
    <row r="340">
      <c r="A340" s="2" t="n"/>
      <c r="B340" s="2" t="n"/>
      <c r="C340" s="2" t="n"/>
      <c r="D340" s="2" t="n"/>
      <c r="E340" s="2" t="n"/>
      <c r="F340" s="2" t="n"/>
      <c r="G340" s="2" t="n"/>
      <c r="H340" s="2" t="n"/>
      <c r="I340" s="2" t="n"/>
      <c r="J340" s="2" t="n"/>
      <c r="K340" s="2" t="n"/>
      <c r="L340" s="2" t="n"/>
      <c r="M340" s="2" t="n"/>
      <c r="N340" s="2" t="n"/>
      <c r="O340" s="2" t="n"/>
      <c r="P340" s="2" t="n"/>
      <c r="Q340" s="2">
        <f>IF(G340="","",TODAY()-G340)</f>
        <v/>
      </c>
    </row>
    <row r="341">
      <c r="A341" s="2" t="n"/>
      <c r="B341" s="2" t="n"/>
      <c r="C341" s="2" t="n"/>
      <c r="D341" s="2" t="n"/>
      <c r="E341" s="2" t="n"/>
      <c r="F341" s="2" t="n"/>
      <c r="G341" s="2" t="n"/>
      <c r="H341" s="2" t="n"/>
      <c r="I341" s="2" t="n"/>
      <c r="J341" s="2" t="n"/>
      <c r="K341" s="2" t="n"/>
      <c r="L341" s="2" t="n"/>
      <c r="M341" s="2" t="n"/>
      <c r="N341" s="2" t="n"/>
      <c r="O341" s="2" t="n"/>
      <c r="P341" s="2" t="n"/>
      <c r="Q341" s="2">
        <f>IF(G341="","",TODAY()-G341)</f>
        <v/>
      </c>
    </row>
    <row r="342">
      <c r="A342" s="2" t="n"/>
      <c r="B342" s="2" t="n"/>
      <c r="C342" s="2" t="n"/>
      <c r="D342" s="2" t="n"/>
      <c r="E342" s="2" t="n"/>
      <c r="F342" s="2" t="n"/>
      <c r="G342" s="2" t="n"/>
      <c r="H342" s="2" t="n"/>
      <c r="I342" s="2" t="n"/>
      <c r="J342" s="2" t="n"/>
      <c r="K342" s="2" t="n"/>
      <c r="L342" s="2" t="n"/>
      <c r="M342" s="2" t="n"/>
      <c r="N342" s="2" t="n"/>
      <c r="O342" s="2" t="n"/>
      <c r="P342" s="2" t="n"/>
      <c r="Q342" s="2">
        <f>IF(G342="","",TODAY()-G342)</f>
        <v/>
      </c>
    </row>
    <row r="343">
      <c r="A343" s="2" t="n"/>
      <c r="B343" s="2" t="n"/>
      <c r="C343" s="2" t="n"/>
      <c r="D343" s="2" t="n"/>
      <c r="E343" s="2" t="n"/>
      <c r="F343" s="2" t="n"/>
      <c r="G343" s="2" t="n"/>
      <c r="H343" s="2" t="n"/>
      <c r="I343" s="2" t="n"/>
      <c r="J343" s="2" t="n"/>
      <c r="K343" s="2" t="n"/>
      <c r="L343" s="2" t="n"/>
      <c r="M343" s="2" t="n"/>
      <c r="N343" s="2" t="n"/>
      <c r="O343" s="2" t="n"/>
      <c r="P343" s="2" t="n"/>
      <c r="Q343" s="2">
        <f>IF(G343="","",TODAY()-G343)</f>
        <v/>
      </c>
    </row>
    <row r="344">
      <c r="A344" s="2" t="n"/>
      <c r="B344" s="2" t="n"/>
      <c r="C344" s="2" t="n"/>
      <c r="D344" s="2" t="n"/>
      <c r="E344" s="2" t="n"/>
      <c r="F344" s="2" t="n"/>
      <c r="G344" s="2" t="n"/>
      <c r="H344" s="2" t="n"/>
      <c r="I344" s="2" t="n"/>
      <c r="J344" s="2" t="n"/>
      <c r="K344" s="2" t="n"/>
      <c r="L344" s="2" t="n"/>
      <c r="M344" s="2" t="n"/>
      <c r="N344" s="2" t="n"/>
      <c r="O344" s="2" t="n"/>
      <c r="P344" s="2" t="n"/>
      <c r="Q344" s="2">
        <f>IF(G344="","",TODAY()-G344)</f>
        <v/>
      </c>
    </row>
    <row r="345">
      <c r="A345" s="2" t="n"/>
      <c r="B345" s="2" t="n"/>
      <c r="C345" s="2" t="n"/>
      <c r="D345" s="2" t="n"/>
      <c r="E345" s="2" t="n"/>
      <c r="F345" s="2" t="n"/>
      <c r="G345" s="2" t="n"/>
      <c r="H345" s="2" t="n"/>
      <c r="I345" s="2" t="n"/>
      <c r="J345" s="2" t="n"/>
      <c r="K345" s="2" t="n"/>
      <c r="L345" s="2" t="n"/>
      <c r="M345" s="2" t="n"/>
      <c r="N345" s="2" t="n"/>
      <c r="O345" s="2" t="n"/>
      <c r="P345" s="2" t="n"/>
      <c r="Q345" s="2">
        <f>IF(G345="","",TODAY()-G345)</f>
        <v/>
      </c>
    </row>
    <row r="346">
      <c r="A346" s="2" t="n"/>
      <c r="B346" s="2" t="n"/>
      <c r="C346" s="2" t="n"/>
      <c r="D346" s="2" t="n"/>
      <c r="E346" s="2" t="n"/>
      <c r="F346" s="2" t="n"/>
      <c r="G346" s="2" t="n"/>
      <c r="H346" s="2" t="n"/>
      <c r="I346" s="2" t="n"/>
      <c r="J346" s="2" t="n"/>
      <c r="K346" s="2" t="n"/>
      <c r="L346" s="2" t="n"/>
      <c r="M346" s="2" t="n"/>
      <c r="N346" s="2" t="n"/>
      <c r="O346" s="2" t="n"/>
      <c r="P346" s="2" t="n"/>
      <c r="Q346" s="2">
        <f>IF(G346="","",TODAY()-G346)</f>
        <v/>
      </c>
    </row>
    <row r="347">
      <c r="A347" s="2" t="n"/>
      <c r="B347" s="2" t="n"/>
      <c r="C347" s="2" t="n"/>
      <c r="D347" s="2" t="n"/>
      <c r="E347" s="2" t="n"/>
      <c r="F347" s="2" t="n"/>
      <c r="G347" s="2" t="n"/>
      <c r="H347" s="2" t="n"/>
      <c r="I347" s="2" t="n"/>
      <c r="J347" s="2" t="n"/>
      <c r="K347" s="2" t="n"/>
      <c r="L347" s="2" t="n"/>
      <c r="M347" s="2" t="n"/>
      <c r="N347" s="2" t="n"/>
      <c r="O347" s="2" t="n"/>
      <c r="P347" s="2" t="n"/>
      <c r="Q347" s="2">
        <f>IF(G347="","",TODAY()-G347)</f>
        <v/>
      </c>
    </row>
    <row r="348">
      <c r="A348" s="2" t="n"/>
      <c r="B348" s="2" t="n"/>
      <c r="C348" s="2" t="n"/>
      <c r="D348" s="2" t="n"/>
      <c r="E348" s="2" t="n"/>
      <c r="F348" s="2" t="n"/>
      <c r="G348" s="2" t="n"/>
      <c r="H348" s="2" t="n"/>
      <c r="I348" s="2" t="n"/>
      <c r="J348" s="2" t="n"/>
      <c r="K348" s="2" t="n"/>
      <c r="L348" s="2" t="n"/>
      <c r="M348" s="2" t="n"/>
      <c r="N348" s="2" t="n"/>
      <c r="O348" s="2" t="n"/>
      <c r="P348" s="2" t="n"/>
      <c r="Q348" s="2">
        <f>IF(G348="","",TODAY()-G348)</f>
        <v/>
      </c>
    </row>
    <row r="349">
      <c r="A349" s="2" t="n"/>
      <c r="B349" s="2" t="n"/>
      <c r="C349" s="2" t="n"/>
      <c r="D349" s="2" t="n"/>
      <c r="E349" s="2" t="n"/>
      <c r="F349" s="2" t="n"/>
      <c r="G349" s="2" t="n"/>
      <c r="H349" s="2" t="n"/>
      <c r="I349" s="2" t="n"/>
      <c r="J349" s="2" t="n"/>
      <c r="K349" s="2" t="n"/>
      <c r="L349" s="2" t="n"/>
      <c r="M349" s="2" t="n"/>
      <c r="N349" s="2" t="n"/>
      <c r="O349" s="2" t="n"/>
      <c r="P349" s="2" t="n"/>
      <c r="Q349" s="2">
        <f>IF(G349="","",TODAY()-G349)</f>
        <v/>
      </c>
    </row>
    <row r="350">
      <c r="A350" s="2" t="n"/>
      <c r="B350" s="2" t="n"/>
      <c r="C350" s="2" t="n"/>
      <c r="D350" s="2" t="n"/>
      <c r="E350" s="2" t="n"/>
      <c r="F350" s="2" t="n"/>
      <c r="G350" s="2" t="n"/>
      <c r="H350" s="2" t="n"/>
      <c r="I350" s="2" t="n"/>
      <c r="J350" s="2" t="n"/>
      <c r="K350" s="2" t="n"/>
      <c r="L350" s="2" t="n"/>
      <c r="M350" s="2" t="n"/>
      <c r="N350" s="2" t="n"/>
      <c r="O350" s="2" t="n"/>
      <c r="P350" s="2" t="n"/>
      <c r="Q350" s="2">
        <f>IF(G350="","",TODAY()-G350)</f>
        <v/>
      </c>
    </row>
    <row r="351">
      <c r="A351" s="2" t="n"/>
      <c r="B351" s="2" t="n"/>
      <c r="C351" s="2" t="n"/>
      <c r="D351" s="2" t="n"/>
      <c r="E351" s="2" t="n"/>
      <c r="F351" s="2" t="n"/>
      <c r="G351" s="2" t="n"/>
      <c r="H351" s="2" t="n"/>
      <c r="I351" s="2" t="n"/>
      <c r="J351" s="2" t="n"/>
      <c r="K351" s="2" t="n"/>
      <c r="L351" s="2" t="n"/>
      <c r="M351" s="2" t="n"/>
      <c r="N351" s="2" t="n"/>
      <c r="O351" s="2" t="n"/>
      <c r="P351" s="2" t="n"/>
      <c r="Q351" s="2">
        <f>IF(G351="","",TODAY()-G351)</f>
        <v/>
      </c>
    </row>
    <row r="352">
      <c r="A352" s="2" t="n"/>
      <c r="B352" s="2" t="n"/>
      <c r="C352" s="2" t="n"/>
      <c r="D352" s="2" t="n"/>
      <c r="E352" s="2" t="n"/>
      <c r="F352" s="2" t="n"/>
      <c r="G352" s="2" t="n"/>
      <c r="H352" s="2" t="n"/>
      <c r="I352" s="2" t="n"/>
      <c r="J352" s="2" t="n"/>
      <c r="K352" s="2" t="n"/>
      <c r="L352" s="2" t="n"/>
      <c r="M352" s="2" t="n"/>
      <c r="N352" s="2" t="n"/>
      <c r="O352" s="2" t="n"/>
      <c r="P352" s="2" t="n"/>
      <c r="Q352" s="2">
        <f>IF(G352="","",TODAY()-G352)</f>
        <v/>
      </c>
    </row>
    <row r="353">
      <c r="A353" s="2" t="n"/>
      <c r="B353" s="2" t="n"/>
      <c r="C353" s="2" t="n"/>
      <c r="D353" s="2" t="n"/>
      <c r="E353" s="2" t="n"/>
      <c r="F353" s="2" t="n"/>
      <c r="G353" s="2" t="n"/>
      <c r="H353" s="2" t="n"/>
      <c r="I353" s="2" t="n"/>
      <c r="J353" s="2" t="n"/>
      <c r="K353" s="2" t="n"/>
      <c r="L353" s="2" t="n"/>
      <c r="M353" s="2" t="n"/>
      <c r="N353" s="2" t="n"/>
      <c r="O353" s="2" t="n"/>
      <c r="P353" s="2" t="n"/>
      <c r="Q353" s="2">
        <f>IF(G353="","",TODAY()-G353)</f>
        <v/>
      </c>
    </row>
    <row r="354">
      <c r="A354" s="2" t="n"/>
      <c r="B354" s="2" t="n"/>
      <c r="C354" s="2" t="n"/>
      <c r="D354" s="2" t="n"/>
      <c r="E354" s="2" t="n"/>
      <c r="F354" s="2" t="n"/>
      <c r="G354" s="2" t="n"/>
      <c r="H354" s="2" t="n"/>
      <c r="I354" s="2" t="n"/>
      <c r="J354" s="2" t="n"/>
      <c r="K354" s="2" t="n"/>
      <c r="L354" s="2" t="n"/>
      <c r="M354" s="2" t="n"/>
      <c r="N354" s="2" t="n"/>
      <c r="O354" s="2" t="n"/>
      <c r="P354" s="2" t="n"/>
      <c r="Q354" s="2">
        <f>IF(G354="","",TODAY()-G354)</f>
        <v/>
      </c>
    </row>
    <row r="355">
      <c r="A355" s="2" t="n"/>
      <c r="B355" s="2" t="n"/>
      <c r="C355" s="2" t="n"/>
      <c r="D355" s="2" t="n"/>
      <c r="E355" s="2" t="n"/>
      <c r="F355" s="2" t="n"/>
      <c r="G355" s="2" t="n"/>
      <c r="H355" s="2" t="n"/>
      <c r="I355" s="2" t="n"/>
      <c r="J355" s="2" t="n"/>
      <c r="K355" s="2" t="n"/>
      <c r="L355" s="2" t="n"/>
      <c r="M355" s="2" t="n"/>
      <c r="N355" s="2" t="n"/>
      <c r="O355" s="2" t="n"/>
      <c r="P355" s="2" t="n"/>
      <c r="Q355" s="2">
        <f>IF(G355="","",TODAY()-G355)</f>
        <v/>
      </c>
    </row>
    <row r="356">
      <c r="A356" s="2" t="n"/>
      <c r="B356" s="2" t="n"/>
      <c r="C356" s="2" t="n"/>
      <c r="D356" s="2" t="n"/>
      <c r="E356" s="2" t="n"/>
      <c r="F356" s="2" t="n"/>
      <c r="G356" s="2" t="n"/>
      <c r="H356" s="2" t="n"/>
      <c r="I356" s="2" t="n"/>
      <c r="J356" s="2" t="n"/>
      <c r="K356" s="2" t="n"/>
      <c r="L356" s="2" t="n"/>
      <c r="M356" s="2" t="n"/>
      <c r="N356" s="2" t="n"/>
      <c r="O356" s="2" t="n"/>
      <c r="P356" s="2" t="n"/>
      <c r="Q356" s="2">
        <f>IF(G356="","",TODAY()-G356)</f>
        <v/>
      </c>
    </row>
    <row r="357">
      <c r="A357" s="2" t="n"/>
      <c r="B357" s="2" t="n"/>
      <c r="C357" s="2" t="n"/>
      <c r="D357" s="2" t="n"/>
      <c r="E357" s="2" t="n"/>
      <c r="F357" s="2" t="n"/>
      <c r="G357" s="2" t="n"/>
      <c r="H357" s="2" t="n"/>
      <c r="I357" s="2" t="n"/>
      <c r="J357" s="2" t="n"/>
      <c r="K357" s="2" t="n"/>
      <c r="L357" s="2" t="n"/>
      <c r="M357" s="2" t="n"/>
      <c r="N357" s="2" t="n"/>
      <c r="O357" s="2" t="n"/>
      <c r="P357" s="2" t="n"/>
      <c r="Q357" s="2">
        <f>IF(G357="","",TODAY()-G357)</f>
        <v/>
      </c>
    </row>
    <row r="358">
      <c r="A358" s="2" t="n"/>
      <c r="B358" s="2" t="n"/>
      <c r="C358" s="2" t="n"/>
      <c r="D358" s="2" t="n"/>
      <c r="E358" s="2" t="n"/>
      <c r="F358" s="2" t="n"/>
      <c r="G358" s="2" t="n"/>
      <c r="H358" s="2" t="n"/>
      <c r="I358" s="2" t="n"/>
      <c r="J358" s="2" t="n"/>
      <c r="K358" s="2" t="n"/>
      <c r="L358" s="2" t="n"/>
      <c r="M358" s="2" t="n"/>
      <c r="N358" s="2" t="n"/>
      <c r="O358" s="2" t="n"/>
      <c r="P358" s="2" t="n"/>
      <c r="Q358" s="2">
        <f>IF(G358="","",TODAY()-G358)</f>
        <v/>
      </c>
    </row>
    <row r="359">
      <c r="A359" s="2" t="n"/>
      <c r="B359" s="2" t="n"/>
      <c r="C359" s="2" t="n"/>
      <c r="D359" s="2" t="n"/>
      <c r="E359" s="2" t="n"/>
      <c r="F359" s="2" t="n"/>
      <c r="G359" s="2" t="n"/>
      <c r="H359" s="2" t="n"/>
      <c r="I359" s="2" t="n"/>
      <c r="J359" s="2" t="n"/>
      <c r="K359" s="2" t="n"/>
      <c r="L359" s="2" t="n"/>
      <c r="M359" s="2" t="n"/>
      <c r="N359" s="2" t="n"/>
      <c r="O359" s="2" t="n"/>
      <c r="P359" s="2" t="n"/>
      <c r="Q359" s="2">
        <f>IF(G359="","",TODAY()-G359)</f>
        <v/>
      </c>
    </row>
    <row r="360">
      <c r="A360" s="2" t="n"/>
      <c r="B360" s="2" t="n"/>
      <c r="C360" s="2" t="n"/>
      <c r="D360" s="2" t="n"/>
      <c r="E360" s="2" t="n"/>
      <c r="F360" s="2" t="n"/>
      <c r="G360" s="2" t="n"/>
      <c r="H360" s="2" t="n"/>
      <c r="I360" s="2" t="n"/>
      <c r="J360" s="2" t="n"/>
      <c r="K360" s="2" t="n"/>
      <c r="L360" s="2" t="n"/>
      <c r="M360" s="2" t="n"/>
      <c r="N360" s="2" t="n"/>
      <c r="O360" s="2" t="n"/>
      <c r="P360" s="2" t="n"/>
      <c r="Q360" s="2">
        <f>IF(G360="","",TODAY()-G360)</f>
        <v/>
      </c>
    </row>
    <row r="361">
      <c r="A361" s="2" t="n"/>
      <c r="B361" s="2" t="n"/>
      <c r="C361" s="2" t="n"/>
      <c r="D361" s="2" t="n"/>
      <c r="E361" s="2" t="n"/>
      <c r="F361" s="2" t="n"/>
      <c r="G361" s="2" t="n"/>
      <c r="H361" s="2" t="n"/>
      <c r="I361" s="2" t="n"/>
      <c r="J361" s="2" t="n"/>
      <c r="K361" s="2" t="n"/>
      <c r="L361" s="2" t="n"/>
      <c r="M361" s="2" t="n"/>
      <c r="N361" s="2" t="n"/>
      <c r="O361" s="2" t="n"/>
      <c r="P361" s="2" t="n"/>
      <c r="Q361" s="2">
        <f>IF(G361="","",TODAY()-G361)</f>
        <v/>
      </c>
    </row>
    <row r="362">
      <c r="A362" s="2" t="n"/>
      <c r="B362" s="2" t="n"/>
      <c r="C362" s="2" t="n"/>
      <c r="D362" s="2" t="n"/>
      <c r="E362" s="2" t="n"/>
      <c r="F362" s="2" t="n"/>
      <c r="G362" s="2" t="n"/>
      <c r="H362" s="2" t="n"/>
      <c r="I362" s="2" t="n"/>
      <c r="J362" s="2" t="n"/>
      <c r="K362" s="2" t="n"/>
      <c r="L362" s="2" t="n"/>
      <c r="M362" s="2" t="n"/>
      <c r="N362" s="2" t="n"/>
      <c r="O362" s="2" t="n"/>
      <c r="P362" s="2" t="n"/>
      <c r="Q362" s="2">
        <f>IF(G362="","",TODAY()-G362)</f>
        <v/>
      </c>
    </row>
    <row r="363">
      <c r="A363" s="2" t="n"/>
      <c r="B363" s="2" t="n"/>
      <c r="C363" s="2" t="n"/>
      <c r="D363" s="2" t="n"/>
      <c r="E363" s="2" t="n"/>
      <c r="F363" s="2" t="n"/>
      <c r="G363" s="2" t="n"/>
      <c r="H363" s="2" t="n"/>
      <c r="I363" s="2" t="n"/>
      <c r="J363" s="2" t="n"/>
      <c r="K363" s="2" t="n"/>
      <c r="L363" s="2" t="n"/>
      <c r="M363" s="2" t="n"/>
      <c r="N363" s="2" t="n"/>
      <c r="O363" s="2" t="n"/>
      <c r="P363" s="2" t="n"/>
      <c r="Q363" s="2">
        <f>IF(G363="","",TODAY()-G363)</f>
        <v/>
      </c>
    </row>
    <row r="364">
      <c r="A364" s="2" t="n"/>
      <c r="B364" s="2" t="n"/>
      <c r="C364" s="2" t="n"/>
      <c r="D364" s="2" t="n"/>
      <c r="E364" s="2" t="n"/>
      <c r="F364" s="2" t="n"/>
      <c r="G364" s="2" t="n"/>
      <c r="H364" s="2" t="n"/>
      <c r="I364" s="2" t="n"/>
      <c r="J364" s="2" t="n"/>
      <c r="K364" s="2" t="n"/>
      <c r="L364" s="2" t="n"/>
      <c r="M364" s="2" t="n"/>
      <c r="N364" s="2" t="n"/>
      <c r="O364" s="2" t="n"/>
      <c r="P364" s="2" t="n"/>
      <c r="Q364" s="2">
        <f>IF(G364="","",TODAY()-G364)</f>
        <v/>
      </c>
    </row>
    <row r="365">
      <c r="A365" s="2" t="n"/>
      <c r="B365" s="2" t="n"/>
      <c r="C365" s="2" t="n"/>
      <c r="D365" s="2" t="n"/>
      <c r="E365" s="2" t="n"/>
      <c r="F365" s="2" t="n"/>
      <c r="G365" s="2" t="n"/>
      <c r="H365" s="2" t="n"/>
      <c r="I365" s="2" t="n"/>
      <c r="J365" s="2" t="n"/>
      <c r="K365" s="2" t="n"/>
      <c r="L365" s="2" t="n"/>
      <c r="M365" s="2" t="n"/>
      <c r="N365" s="2" t="n"/>
      <c r="O365" s="2" t="n"/>
      <c r="P365" s="2" t="n"/>
      <c r="Q365" s="2">
        <f>IF(G365="","",TODAY()-G365)</f>
        <v/>
      </c>
    </row>
    <row r="366">
      <c r="A366" s="2" t="n"/>
      <c r="B366" s="2" t="n"/>
      <c r="C366" s="2" t="n"/>
      <c r="D366" s="2" t="n"/>
      <c r="E366" s="2" t="n"/>
      <c r="F366" s="2" t="n"/>
      <c r="G366" s="2" t="n"/>
      <c r="H366" s="2" t="n"/>
      <c r="I366" s="2" t="n"/>
      <c r="J366" s="2" t="n"/>
      <c r="K366" s="2" t="n"/>
      <c r="L366" s="2" t="n"/>
      <c r="M366" s="2" t="n"/>
      <c r="N366" s="2" t="n"/>
      <c r="O366" s="2" t="n"/>
      <c r="P366" s="2" t="n"/>
      <c r="Q366" s="2">
        <f>IF(G366="","",TODAY()-G366)</f>
        <v/>
      </c>
    </row>
    <row r="367">
      <c r="A367" s="2" t="n"/>
      <c r="B367" s="2" t="n"/>
      <c r="C367" s="2" t="n"/>
      <c r="D367" s="2" t="n"/>
      <c r="E367" s="2" t="n"/>
      <c r="F367" s="2" t="n"/>
      <c r="G367" s="2" t="n"/>
      <c r="H367" s="2" t="n"/>
      <c r="I367" s="2" t="n"/>
      <c r="J367" s="2" t="n"/>
      <c r="K367" s="2" t="n"/>
      <c r="L367" s="2" t="n"/>
      <c r="M367" s="2" t="n"/>
      <c r="N367" s="2" t="n"/>
      <c r="O367" s="2" t="n"/>
      <c r="P367" s="2" t="n"/>
      <c r="Q367" s="2">
        <f>IF(G367="","",TODAY()-G367)</f>
        <v/>
      </c>
    </row>
    <row r="368">
      <c r="A368" s="2" t="n"/>
      <c r="B368" s="2" t="n"/>
      <c r="C368" s="2" t="n"/>
      <c r="D368" s="2" t="n"/>
      <c r="E368" s="2" t="n"/>
      <c r="F368" s="2" t="n"/>
      <c r="G368" s="2" t="n"/>
      <c r="H368" s="2" t="n"/>
      <c r="I368" s="2" t="n"/>
      <c r="J368" s="2" t="n"/>
      <c r="K368" s="2" t="n"/>
      <c r="L368" s="2" t="n"/>
      <c r="M368" s="2" t="n"/>
      <c r="N368" s="2" t="n"/>
      <c r="O368" s="2" t="n"/>
      <c r="P368" s="2" t="n"/>
      <c r="Q368" s="2">
        <f>IF(G368="","",TODAY()-G368)</f>
        <v/>
      </c>
    </row>
    <row r="369">
      <c r="A369" s="2" t="n"/>
      <c r="B369" s="2" t="n"/>
      <c r="C369" s="2" t="n"/>
      <c r="D369" s="2" t="n"/>
      <c r="E369" s="2" t="n"/>
      <c r="F369" s="2" t="n"/>
      <c r="G369" s="2" t="n"/>
      <c r="H369" s="2" t="n"/>
      <c r="I369" s="2" t="n"/>
      <c r="J369" s="2" t="n"/>
      <c r="K369" s="2" t="n"/>
      <c r="L369" s="2" t="n"/>
      <c r="M369" s="2" t="n"/>
      <c r="N369" s="2" t="n"/>
      <c r="O369" s="2" t="n"/>
      <c r="P369" s="2" t="n"/>
      <c r="Q369" s="2">
        <f>IF(G369="","",TODAY()-G369)</f>
        <v/>
      </c>
    </row>
    <row r="370">
      <c r="A370" s="2" t="n"/>
      <c r="B370" s="2" t="n"/>
      <c r="C370" s="2" t="n"/>
      <c r="D370" s="2" t="n"/>
      <c r="E370" s="2" t="n"/>
      <c r="F370" s="2" t="n"/>
      <c r="G370" s="2" t="n"/>
      <c r="H370" s="2" t="n"/>
      <c r="I370" s="2" t="n"/>
      <c r="J370" s="2" t="n"/>
      <c r="K370" s="2" t="n"/>
      <c r="L370" s="2" t="n"/>
      <c r="M370" s="2" t="n"/>
      <c r="N370" s="2" t="n"/>
      <c r="O370" s="2" t="n"/>
      <c r="P370" s="2" t="n"/>
      <c r="Q370" s="2">
        <f>IF(G370="","",TODAY()-G370)</f>
        <v/>
      </c>
    </row>
    <row r="371">
      <c r="A371" s="2" t="n"/>
      <c r="B371" s="2" t="n"/>
      <c r="C371" s="2" t="n"/>
      <c r="D371" s="2" t="n"/>
      <c r="E371" s="2" t="n"/>
      <c r="F371" s="2" t="n"/>
      <c r="G371" s="2" t="n"/>
      <c r="H371" s="2" t="n"/>
      <c r="I371" s="2" t="n"/>
      <c r="J371" s="2" t="n"/>
      <c r="K371" s="2" t="n"/>
      <c r="L371" s="2" t="n"/>
      <c r="M371" s="2" t="n"/>
      <c r="N371" s="2" t="n"/>
      <c r="O371" s="2" t="n"/>
      <c r="P371" s="2" t="n"/>
      <c r="Q371" s="2">
        <f>IF(G371="","",TODAY()-G371)</f>
        <v/>
      </c>
    </row>
    <row r="372">
      <c r="A372" s="2" t="n"/>
      <c r="B372" s="2" t="n"/>
      <c r="C372" s="2" t="n"/>
      <c r="D372" s="2" t="n"/>
      <c r="E372" s="2" t="n"/>
      <c r="F372" s="2" t="n"/>
      <c r="G372" s="2" t="n"/>
      <c r="H372" s="2" t="n"/>
      <c r="I372" s="2" t="n"/>
      <c r="J372" s="2" t="n"/>
      <c r="K372" s="2" t="n"/>
      <c r="L372" s="2" t="n"/>
      <c r="M372" s="2" t="n"/>
      <c r="N372" s="2" t="n"/>
      <c r="O372" s="2" t="n"/>
      <c r="P372" s="2" t="n"/>
      <c r="Q372" s="2">
        <f>IF(G372="","",TODAY()-G372)</f>
        <v/>
      </c>
    </row>
    <row r="373">
      <c r="A373" s="2" t="n"/>
      <c r="B373" s="2" t="n"/>
      <c r="C373" s="2" t="n"/>
      <c r="D373" s="2" t="n"/>
      <c r="E373" s="2" t="n"/>
      <c r="F373" s="2" t="n"/>
      <c r="G373" s="2" t="n"/>
      <c r="H373" s="2" t="n"/>
      <c r="I373" s="2" t="n"/>
      <c r="J373" s="2" t="n"/>
      <c r="K373" s="2" t="n"/>
      <c r="L373" s="2" t="n"/>
      <c r="M373" s="2" t="n"/>
      <c r="N373" s="2" t="n"/>
      <c r="O373" s="2" t="n"/>
      <c r="P373" s="2" t="n"/>
      <c r="Q373" s="2">
        <f>IF(G373="","",TODAY()-G373)</f>
        <v/>
      </c>
    </row>
    <row r="374">
      <c r="A374" s="2" t="n"/>
      <c r="B374" s="2" t="n"/>
      <c r="C374" s="2" t="n"/>
      <c r="D374" s="2" t="n"/>
      <c r="E374" s="2" t="n"/>
      <c r="F374" s="2" t="n"/>
      <c r="G374" s="2" t="n"/>
      <c r="H374" s="2" t="n"/>
      <c r="I374" s="2" t="n"/>
      <c r="J374" s="2" t="n"/>
      <c r="K374" s="2" t="n"/>
      <c r="L374" s="2" t="n"/>
      <c r="M374" s="2" t="n"/>
      <c r="N374" s="2" t="n"/>
      <c r="O374" s="2" t="n"/>
      <c r="P374" s="2" t="n"/>
      <c r="Q374" s="2">
        <f>IF(G374="","",TODAY()-G374)</f>
        <v/>
      </c>
    </row>
    <row r="375">
      <c r="A375" s="2" t="n"/>
      <c r="B375" s="2" t="n"/>
      <c r="C375" s="2" t="n"/>
      <c r="D375" s="2" t="n"/>
      <c r="E375" s="2" t="n"/>
      <c r="F375" s="2" t="n"/>
      <c r="G375" s="2" t="n"/>
      <c r="H375" s="2" t="n"/>
      <c r="I375" s="2" t="n"/>
      <c r="J375" s="2" t="n"/>
      <c r="K375" s="2" t="n"/>
      <c r="L375" s="2" t="n"/>
      <c r="M375" s="2" t="n"/>
      <c r="N375" s="2" t="n"/>
      <c r="O375" s="2" t="n"/>
      <c r="P375" s="2" t="n"/>
      <c r="Q375" s="2">
        <f>IF(G375="","",TODAY()-G375)</f>
        <v/>
      </c>
    </row>
    <row r="376">
      <c r="A376" s="2" t="n"/>
      <c r="B376" s="2" t="n"/>
      <c r="C376" s="2" t="n"/>
      <c r="D376" s="2" t="n"/>
      <c r="E376" s="2" t="n"/>
      <c r="F376" s="2" t="n"/>
      <c r="G376" s="2" t="n"/>
      <c r="H376" s="2" t="n"/>
      <c r="I376" s="2" t="n"/>
      <c r="J376" s="2" t="n"/>
      <c r="K376" s="2" t="n"/>
      <c r="L376" s="2" t="n"/>
      <c r="M376" s="2" t="n"/>
      <c r="N376" s="2" t="n"/>
      <c r="O376" s="2" t="n"/>
      <c r="P376" s="2" t="n"/>
      <c r="Q376" s="2">
        <f>IF(G376="","",TODAY()-G376)</f>
        <v/>
      </c>
    </row>
    <row r="377">
      <c r="A377" s="2" t="n"/>
      <c r="B377" s="2" t="n"/>
      <c r="C377" s="2" t="n"/>
      <c r="D377" s="2" t="n"/>
      <c r="E377" s="2" t="n"/>
      <c r="F377" s="2" t="n"/>
      <c r="G377" s="2" t="n"/>
      <c r="H377" s="2" t="n"/>
      <c r="I377" s="2" t="n"/>
      <c r="J377" s="2" t="n"/>
      <c r="K377" s="2" t="n"/>
      <c r="L377" s="2" t="n"/>
      <c r="M377" s="2" t="n"/>
      <c r="N377" s="2" t="n"/>
      <c r="O377" s="2" t="n"/>
      <c r="P377" s="2" t="n"/>
      <c r="Q377" s="2">
        <f>IF(G377="","",TODAY()-G377)</f>
        <v/>
      </c>
    </row>
    <row r="378">
      <c r="A378" s="2" t="n"/>
      <c r="B378" s="2" t="n"/>
      <c r="C378" s="2" t="n"/>
      <c r="D378" s="2" t="n"/>
      <c r="E378" s="2" t="n"/>
      <c r="F378" s="2" t="n"/>
      <c r="G378" s="2" t="n"/>
      <c r="H378" s="2" t="n"/>
      <c r="I378" s="2" t="n"/>
      <c r="J378" s="2" t="n"/>
      <c r="K378" s="2" t="n"/>
      <c r="L378" s="2" t="n"/>
      <c r="M378" s="2" t="n"/>
      <c r="N378" s="2" t="n"/>
      <c r="O378" s="2" t="n"/>
      <c r="P378" s="2" t="n"/>
      <c r="Q378" s="2">
        <f>IF(G378="","",TODAY()-G378)</f>
        <v/>
      </c>
    </row>
    <row r="379">
      <c r="A379" s="2" t="n"/>
      <c r="B379" s="2" t="n"/>
      <c r="C379" s="2" t="n"/>
      <c r="D379" s="2" t="n"/>
      <c r="E379" s="2" t="n"/>
      <c r="F379" s="2" t="n"/>
      <c r="G379" s="2" t="n"/>
      <c r="H379" s="2" t="n"/>
      <c r="I379" s="2" t="n"/>
      <c r="J379" s="2" t="n"/>
      <c r="K379" s="2" t="n"/>
      <c r="L379" s="2" t="n"/>
      <c r="M379" s="2" t="n"/>
      <c r="N379" s="2" t="n"/>
      <c r="O379" s="2" t="n"/>
      <c r="P379" s="2" t="n"/>
      <c r="Q379" s="2">
        <f>IF(G379="","",TODAY()-G379)</f>
        <v/>
      </c>
    </row>
    <row r="380">
      <c r="A380" s="2" t="n"/>
      <c r="B380" s="2" t="n"/>
      <c r="C380" s="2" t="n"/>
      <c r="D380" s="2" t="n"/>
      <c r="E380" s="2" t="n"/>
      <c r="F380" s="2" t="n"/>
      <c r="G380" s="2" t="n"/>
      <c r="H380" s="2" t="n"/>
      <c r="I380" s="2" t="n"/>
      <c r="J380" s="2" t="n"/>
      <c r="K380" s="2" t="n"/>
      <c r="L380" s="2" t="n"/>
      <c r="M380" s="2" t="n"/>
      <c r="N380" s="2" t="n"/>
      <c r="O380" s="2" t="n"/>
      <c r="P380" s="2" t="n"/>
      <c r="Q380" s="2">
        <f>IF(G380="","",TODAY()-G380)</f>
        <v/>
      </c>
    </row>
    <row r="381">
      <c r="A381" s="2" t="n"/>
      <c r="B381" s="2" t="n"/>
      <c r="C381" s="2" t="n"/>
      <c r="D381" s="2" t="n"/>
      <c r="E381" s="2" t="n"/>
      <c r="F381" s="2" t="n"/>
      <c r="G381" s="2" t="n"/>
      <c r="H381" s="2" t="n"/>
      <c r="I381" s="2" t="n"/>
      <c r="J381" s="2" t="n"/>
      <c r="K381" s="2" t="n"/>
      <c r="L381" s="2" t="n"/>
      <c r="M381" s="2" t="n"/>
      <c r="N381" s="2" t="n"/>
      <c r="O381" s="2" t="n"/>
      <c r="P381" s="2" t="n"/>
      <c r="Q381" s="2">
        <f>IF(G381="","",TODAY()-G381)</f>
        <v/>
      </c>
    </row>
    <row r="382">
      <c r="A382" s="2" t="n"/>
      <c r="B382" s="2" t="n"/>
      <c r="C382" s="2" t="n"/>
      <c r="D382" s="2" t="n"/>
      <c r="E382" s="2" t="n"/>
      <c r="F382" s="2" t="n"/>
      <c r="G382" s="2" t="n"/>
      <c r="H382" s="2" t="n"/>
      <c r="I382" s="2" t="n"/>
      <c r="J382" s="2" t="n"/>
      <c r="K382" s="2" t="n"/>
      <c r="L382" s="2" t="n"/>
      <c r="M382" s="2" t="n"/>
      <c r="N382" s="2" t="n"/>
      <c r="O382" s="2" t="n"/>
      <c r="P382" s="2" t="n"/>
      <c r="Q382" s="2">
        <f>IF(G382="","",TODAY()-G382)</f>
        <v/>
      </c>
    </row>
    <row r="383">
      <c r="A383" s="2" t="n"/>
      <c r="B383" s="2" t="n"/>
      <c r="C383" s="2" t="n"/>
      <c r="D383" s="2" t="n"/>
      <c r="E383" s="2" t="n"/>
      <c r="F383" s="2" t="n"/>
      <c r="G383" s="2" t="n"/>
      <c r="H383" s="2" t="n"/>
      <c r="I383" s="2" t="n"/>
      <c r="J383" s="2" t="n"/>
      <c r="K383" s="2" t="n"/>
      <c r="L383" s="2" t="n"/>
      <c r="M383" s="2" t="n"/>
      <c r="N383" s="2" t="n"/>
      <c r="O383" s="2" t="n"/>
      <c r="P383" s="2" t="n"/>
      <c r="Q383" s="2">
        <f>IF(G383="","",TODAY()-G383)</f>
        <v/>
      </c>
    </row>
    <row r="384">
      <c r="A384" s="2" t="n"/>
      <c r="B384" s="2" t="n"/>
      <c r="C384" s="2" t="n"/>
      <c r="D384" s="2" t="n"/>
      <c r="E384" s="2" t="n"/>
      <c r="F384" s="2" t="n"/>
      <c r="G384" s="2" t="n"/>
      <c r="H384" s="2" t="n"/>
      <c r="I384" s="2" t="n"/>
      <c r="J384" s="2" t="n"/>
      <c r="K384" s="2" t="n"/>
      <c r="L384" s="2" t="n"/>
      <c r="M384" s="2" t="n"/>
      <c r="N384" s="2" t="n"/>
      <c r="O384" s="2" t="n"/>
      <c r="P384" s="2" t="n"/>
      <c r="Q384" s="2">
        <f>IF(G384="","",TODAY()-G384)</f>
        <v/>
      </c>
    </row>
    <row r="385">
      <c r="A385" s="2" t="n"/>
      <c r="B385" s="2" t="n"/>
      <c r="C385" s="2" t="n"/>
      <c r="D385" s="2" t="n"/>
      <c r="E385" s="2" t="n"/>
      <c r="F385" s="2" t="n"/>
      <c r="G385" s="2" t="n"/>
      <c r="H385" s="2" t="n"/>
      <c r="I385" s="2" t="n"/>
      <c r="J385" s="2" t="n"/>
      <c r="K385" s="2" t="n"/>
      <c r="L385" s="2" t="n"/>
      <c r="M385" s="2" t="n"/>
      <c r="N385" s="2" t="n"/>
      <c r="O385" s="2" t="n"/>
      <c r="P385" s="2" t="n"/>
      <c r="Q385" s="2">
        <f>IF(G385="","",TODAY()-G385)</f>
        <v/>
      </c>
    </row>
    <row r="386">
      <c r="A386" s="2" t="n"/>
      <c r="B386" s="2" t="n"/>
      <c r="C386" s="2" t="n"/>
      <c r="D386" s="2" t="n"/>
      <c r="E386" s="2" t="n"/>
      <c r="F386" s="2" t="n"/>
      <c r="G386" s="2" t="n"/>
      <c r="H386" s="2" t="n"/>
      <c r="I386" s="2" t="n"/>
      <c r="J386" s="2" t="n"/>
      <c r="K386" s="2" t="n"/>
      <c r="L386" s="2" t="n"/>
      <c r="M386" s="2" t="n"/>
      <c r="N386" s="2" t="n"/>
      <c r="O386" s="2" t="n"/>
      <c r="P386" s="2" t="n"/>
      <c r="Q386" s="2">
        <f>IF(G386="","",TODAY()-G386)</f>
        <v/>
      </c>
    </row>
    <row r="387">
      <c r="A387" s="2" t="n"/>
      <c r="B387" s="2" t="n"/>
      <c r="C387" s="2" t="n"/>
      <c r="D387" s="2" t="n"/>
      <c r="E387" s="2" t="n"/>
      <c r="F387" s="2" t="n"/>
      <c r="G387" s="2" t="n"/>
      <c r="H387" s="2" t="n"/>
      <c r="I387" s="2" t="n"/>
      <c r="J387" s="2" t="n"/>
      <c r="K387" s="2" t="n"/>
      <c r="L387" s="2" t="n"/>
      <c r="M387" s="2" t="n"/>
      <c r="N387" s="2" t="n"/>
      <c r="O387" s="2" t="n"/>
      <c r="P387" s="2" t="n"/>
      <c r="Q387" s="2">
        <f>IF(G387="","",TODAY()-G387)</f>
        <v/>
      </c>
    </row>
    <row r="388">
      <c r="A388" s="2" t="n"/>
      <c r="B388" s="2" t="n"/>
      <c r="C388" s="2" t="n"/>
      <c r="D388" s="2" t="n"/>
      <c r="E388" s="2" t="n"/>
      <c r="F388" s="2" t="n"/>
      <c r="G388" s="2" t="n"/>
      <c r="H388" s="2" t="n"/>
      <c r="I388" s="2" t="n"/>
      <c r="J388" s="2" t="n"/>
      <c r="K388" s="2" t="n"/>
      <c r="L388" s="2" t="n"/>
      <c r="M388" s="2" t="n"/>
      <c r="N388" s="2" t="n"/>
      <c r="O388" s="2" t="n"/>
      <c r="P388" s="2" t="n"/>
      <c r="Q388" s="2">
        <f>IF(G388="","",TODAY()-G388)</f>
        <v/>
      </c>
    </row>
    <row r="389">
      <c r="A389" s="2" t="n"/>
      <c r="B389" s="2" t="n"/>
      <c r="C389" s="2" t="n"/>
      <c r="D389" s="2" t="n"/>
      <c r="E389" s="2" t="n"/>
      <c r="F389" s="2" t="n"/>
      <c r="G389" s="2" t="n"/>
      <c r="H389" s="2" t="n"/>
      <c r="I389" s="2" t="n"/>
      <c r="J389" s="2" t="n"/>
      <c r="K389" s="2" t="n"/>
      <c r="L389" s="2" t="n"/>
      <c r="M389" s="2" t="n"/>
      <c r="N389" s="2" t="n"/>
      <c r="O389" s="2" t="n"/>
      <c r="P389" s="2" t="n"/>
      <c r="Q389" s="2">
        <f>IF(G389="","",TODAY()-G389)</f>
        <v/>
      </c>
    </row>
    <row r="390">
      <c r="A390" s="2" t="n"/>
      <c r="B390" s="2" t="n"/>
      <c r="C390" s="2" t="n"/>
      <c r="D390" s="2" t="n"/>
      <c r="E390" s="2" t="n"/>
      <c r="F390" s="2" t="n"/>
      <c r="G390" s="2" t="n"/>
      <c r="H390" s="2" t="n"/>
      <c r="I390" s="2" t="n"/>
      <c r="J390" s="2" t="n"/>
      <c r="K390" s="2" t="n"/>
      <c r="L390" s="2" t="n"/>
      <c r="M390" s="2" t="n"/>
      <c r="N390" s="2" t="n"/>
      <c r="O390" s="2" t="n"/>
      <c r="P390" s="2" t="n"/>
      <c r="Q390" s="2">
        <f>IF(G390="","",TODAY()-G390)</f>
        <v/>
      </c>
    </row>
    <row r="391">
      <c r="A391" s="2" t="n"/>
      <c r="B391" s="2" t="n"/>
      <c r="C391" s="2" t="n"/>
      <c r="D391" s="2" t="n"/>
      <c r="E391" s="2" t="n"/>
      <c r="F391" s="2" t="n"/>
      <c r="G391" s="2" t="n"/>
      <c r="H391" s="2" t="n"/>
      <c r="I391" s="2" t="n"/>
      <c r="J391" s="2" t="n"/>
      <c r="K391" s="2" t="n"/>
      <c r="L391" s="2" t="n"/>
      <c r="M391" s="2" t="n"/>
      <c r="N391" s="2" t="n"/>
      <c r="O391" s="2" t="n"/>
      <c r="P391" s="2" t="n"/>
      <c r="Q391" s="2">
        <f>IF(G391="","",TODAY()-G391)</f>
        <v/>
      </c>
    </row>
    <row r="392">
      <c r="A392" s="2" t="n"/>
      <c r="B392" s="2" t="n"/>
      <c r="C392" s="2" t="n"/>
      <c r="D392" s="2" t="n"/>
      <c r="E392" s="2" t="n"/>
      <c r="F392" s="2" t="n"/>
      <c r="G392" s="2" t="n"/>
      <c r="H392" s="2" t="n"/>
      <c r="I392" s="2" t="n"/>
      <c r="J392" s="2" t="n"/>
      <c r="K392" s="2" t="n"/>
      <c r="L392" s="2" t="n"/>
      <c r="M392" s="2" t="n"/>
      <c r="N392" s="2" t="n"/>
      <c r="O392" s="2" t="n"/>
      <c r="P392" s="2" t="n"/>
      <c r="Q392" s="2">
        <f>IF(G392="","",TODAY()-G392)</f>
        <v/>
      </c>
    </row>
    <row r="393">
      <c r="A393" s="2" t="n"/>
      <c r="B393" s="2" t="n"/>
      <c r="C393" s="2" t="n"/>
      <c r="D393" s="2" t="n"/>
      <c r="E393" s="2" t="n"/>
      <c r="F393" s="2" t="n"/>
      <c r="G393" s="2" t="n"/>
      <c r="H393" s="2" t="n"/>
      <c r="I393" s="2" t="n"/>
      <c r="J393" s="2" t="n"/>
      <c r="K393" s="2" t="n"/>
      <c r="L393" s="2" t="n"/>
      <c r="M393" s="2" t="n"/>
      <c r="N393" s="2" t="n"/>
      <c r="O393" s="2" t="n"/>
      <c r="P393" s="2" t="n"/>
      <c r="Q393" s="2">
        <f>IF(G393="","",TODAY()-G393)</f>
        <v/>
      </c>
    </row>
    <row r="394">
      <c r="A394" s="2" t="n"/>
      <c r="B394" s="2" t="n"/>
      <c r="C394" s="2" t="n"/>
      <c r="D394" s="2" t="n"/>
      <c r="E394" s="2" t="n"/>
      <c r="F394" s="2" t="n"/>
      <c r="G394" s="2" t="n"/>
      <c r="H394" s="2" t="n"/>
      <c r="I394" s="2" t="n"/>
      <c r="J394" s="2" t="n"/>
      <c r="K394" s="2" t="n"/>
      <c r="L394" s="2" t="n"/>
      <c r="M394" s="2" t="n"/>
      <c r="N394" s="2" t="n"/>
      <c r="O394" s="2" t="n"/>
      <c r="P394" s="2" t="n"/>
      <c r="Q394" s="2">
        <f>IF(G394="","",TODAY()-G394)</f>
        <v/>
      </c>
    </row>
    <row r="395">
      <c r="A395" s="2" t="n"/>
      <c r="B395" s="2" t="n"/>
      <c r="C395" s="2" t="n"/>
      <c r="D395" s="2" t="n"/>
      <c r="E395" s="2" t="n"/>
      <c r="F395" s="2" t="n"/>
      <c r="G395" s="2" t="n"/>
      <c r="H395" s="2" t="n"/>
      <c r="I395" s="2" t="n"/>
      <c r="J395" s="2" t="n"/>
      <c r="K395" s="2" t="n"/>
      <c r="L395" s="2" t="n"/>
      <c r="M395" s="2" t="n"/>
      <c r="N395" s="2" t="n"/>
      <c r="O395" s="2" t="n"/>
      <c r="P395" s="2" t="n"/>
      <c r="Q395" s="2">
        <f>IF(G395="","",TODAY()-G395)</f>
        <v/>
      </c>
    </row>
    <row r="396">
      <c r="A396" s="2" t="n"/>
      <c r="B396" s="2" t="n"/>
      <c r="C396" s="2" t="n"/>
      <c r="D396" s="2" t="n"/>
      <c r="E396" s="2" t="n"/>
      <c r="F396" s="2" t="n"/>
      <c r="G396" s="2" t="n"/>
      <c r="H396" s="2" t="n"/>
      <c r="I396" s="2" t="n"/>
      <c r="J396" s="2" t="n"/>
      <c r="K396" s="2" t="n"/>
      <c r="L396" s="2" t="n"/>
      <c r="M396" s="2" t="n"/>
      <c r="N396" s="2" t="n"/>
      <c r="O396" s="2" t="n"/>
      <c r="P396" s="2" t="n"/>
      <c r="Q396" s="2">
        <f>IF(G396="","",TODAY()-G396)</f>
        <v/>
      </c>
    </row>
    <row r="397">
      <c r="A397" s="2" t="n"/>
      <c r="B397" s="2" t="n"/>
      <c r="C397" s="2" t="n"/>
      <c r="D397" s="2" t="n"/>
      <c r="E397" s="2" t="n"/>
      <c r="F397" s="2" t="n"/>
      <c r="G397" s="2" t="n"/>
      <c r="H397" s="2" t="n"/>
      <c r="I397" s="2" t="n"/>
      <c r="J397" s="2" t="n"/>
      <c r="K397" s="2" t="n"/>
      <c r="L397" s="2" t="n"/>
      <c r="M397" s="2" t="n"/>
      <c r="N397" s="2" t="n"/>
      <c r="O397" s="2" t="n"/>
      <c r="P397" s="2" t="n"/>
      <c r="Q397" s="2">
        <f>IF(G397="","",TODAY()-G397)</f>
        <v/>
      </c>
    </row>
    <row r="398">
      <c r="A398" s="2" t="n"/>
      <c r="B398" s="2" t="n"/>
      <c r="C398" s="2" t="n"/>
      <c r="D398" s="2" t="n"/>
      <c r="E398" s="2" t="n"/>
      <c r="F398" s="2" t="n"/>
      <c r="G398" s="2" t="n"/>
      <c r="H398" s="2" t="n"/>
      <c r="I398" s="2" t="n"/>
      <c r="J398" s="2" t="n"/>
      <c r="K398" s="2" t="n"/>
      <c r="L398" s="2" t="n"/>
      <c r="M398" s="2" t="n"/>
      <c r="N398" s="2" t="n"/>
      <c r="O398" s="2" t="n"/>
      <c r="P398" s="2" t="n"/>
      <c r="Q398" s="2">
        <f>IF(G398="","",TODAY()-G398)</f>
        <v/>
      </c>
    </row>
    <row r="399">
      <c r="A399" s="2" t="n"/>
      <c r="B399" s="2" t="n"/>
      <c r="C399" s="2" t="n"/>
      <c r="D399" s="2" t="n"/>
      <c r="E399" s="2" t="n"/>
      <c r="F399" s="2" t="n"/>
      <c r="G399" s="2" t="n"/>
      <c r="H399" s="2" t="n"/>
      <c r="I399" s="2" t="n"/>
      <c r="J399" s="2" t="n"/>
      <c r="K399" s="2" t="n"/>
      <c r="L399" s="2" t="n"/>
      <c r="M399" s="2" t="n"/>
      <c r="N399" s="2" t="n"/>
      <c r="O399" s="2" t="n"/>
      <c r="P399" s="2" t="n"/>
      <c r="Q399" s="2">
        <f>IF(G399="","",TODAY()-G399)</f>
        <v/>
      </c>
    </row>
    <row r="400">
      <c r="A400" s="2" t="n"/>
      <c r="B400" s="2" t="n"/>
      <c r="C400" s="2" t="n"/>
      <c r="D400" s="2" t="n"/>
      <c r="E400" s="2" t="n"/>
      <c r="F400" s="2" t="n"/>
      <c r="G400" s="2" t="n"/>
      <c r="H400" s="2" t="n"/>
      <c r="I400" s="2" t="n"/>
      <c r="J400" s="2" t="n"/>
      <c r="K400" s="2" t="n"/>
      <c r="L400" s="2" t="n"/>
      <c r="M400" s="2" t="n"/>
      <c r="N400" s="2" t="n"/>
      <c r="O400" s="2" t="n"/>
      <c r="P400" s="2" t="n"/>
      <c r="Q400" s="2">
        <f>IF(G400="","",TODAY()-G400)</f>
        <v/>
      </c>
    </row>
    <row r="401">
      <c r="A401" s="2" t="n"/>
      <c r="B401" s="2" t="n"/>
      <c r="C401" s="2" t="n"/>
      <c r="D401" s="2" t="n"/>
      <c r="E401" s="2" t="n"/>
      <c r="F401" s="2" t="n"/>
      <c r="G401" s="2" t="n"/>
      <c r="H401" s="2" t="n"/>
      <c r="I401" s="2" t="n"/>
      <c r="J401" s="2" t="n"/>
      <c r="K401" s="2" t="n"/>
      <c r="L401" s="2" t="n"/>
      <c r="M401" s="2" t="n"/>
      <c r="N401" s="2" t="n"/>
      <c r="O401" s="2" t="n"/>
      <c r="P401" s="2" t="n"/>
      <c r="Q401" s="2">
        <f>IF(G401="","",TODAY()-G401)</f>
        <v/>
      </c>
    </row>
    <row r="402">
      <c r="A402" s="2" t="n"/>
      <c r="B402" s="2" t="n"/>
      <c r="C402" s="2" t="n"/>
      <c r="D402" s="2" t="n"/>
      <c r="E402" s="2" t="n"/>
      <c r="F402" s="2" t="n"/>
      <c r="G402" s="2" t="n"/>
      <c r="H402" s="2" t="n"/>
      <c r="I402" s="2" t="n"/>
      <c r="J402" s="2" t="n"/>
      <c r="K402" s="2" t="n"/>
      <c r="L402" s="2" t="n"/>
      <c r="M402" s="2" t="n"/>
      <c r="N402" s="2" t="n"/>
      <c r="O402" s="2" t="n"/>
      <c r="P402" s="2" t="n"/>
      <c r="Q402" s="2">
        <f>IF(G402="","",TODAY()-G402)</f>
        <v/>
      </c>
    </row>
    <row r="403">
      <c r="A403" s="2" t="n"/>
      <c r="B403" s="2" t="n"/>
      <c r="C403" s="2" t="n"/>
      <c r="D403" s="2" t="n"/>
      <c r="E403" s="2" t="n"/>
      <c r="F403" s="2" t="n"/>
      <c r="G403" s="2" t="n"/>
      <c r="H403" s="2" t="n"/>
      <c r="I403" s="2" t="n"/>
      <c r="J403" s="2" t="n"/>
      <c r="K403" s="2" t="n"/>
      <c r="L403" s="2" t="n"/>
      <c r="M403" s="2" t="n"/>
      <c r="N403" s="2" t="n"/>
      <c r="O403" s="2" t="n"/>
      <c r="P403" s="2" t="n"/>
      <c r="Q403" s="2">
        <f>IF(G403="","",TODAY()-G403)</f>
        <v/>
      </c>
    </row>
    <row r="404">
      <c r="A404" s="2" t="n"/>
      <c r="B404" s="2" t="n"/>
      <c r="C404" s="2" t="n"/>
      <c r="D404" s="2" t="n"/>
      <c r="E404" s="2" t="n"/>
      <c r="F404" s="2" t="n"/>
      <c r="G404" s="2" t="n"/>
      <c r="H404" s="2" t="n"/>
      <c r="I404" s="2" t="n"/>
      <c r="J404" s="2" t="n"/>
      <c r="K404" s="2" t="n"/>
      <c r="L404" s="2" t="n"/>
      <c r="M404" s="2" t="n"/>
      <c r="N404" s="2" t="n"/>
      <c r="O404" s="2" t="n"/>
      <c r="P404" s="2" t="n"/>
      <c r="Q404" s="2">
        <f>IF(G404="","",TODAY()-G404)</f>
        <v/>
      </c>
    </row>
    <row r="405">
      <c r="A405" s="2" t="n"/>
      <c r="B405" s="2" t="n"/>
      <c r="C405" s="2" t="n"/>
      <c r="D405" s="2" t="n"/>
      <c r="E405" s="2" t="n"/>
      <c r="F405" s="2" t="n"/>
      <c r="G405" s="2" t="n"/>
      <c r="H405" s="2" t="n"/>
      <c r="I405" s="2" t="n"/>
      <c r="J405" s="2" t="n"/>
      <c r="K405" s="2" t="n"/>
      <c r="L405" s="2" t="n"/>
      <c r="M405" s="2" t="n"/>
      <c r="N405" s="2" t="n"/>
      <c r="O405" s="2" t="n"/>
      <c r="P405" s="2" t="n"/>
      <c r="Q405" s="2">
        <f>IF(G405="","",TODAY()-G405)</f>
        <v/>
      </c>
    </row>
    <row r="406">
      <c r="A406" s="2" t="n"/>
      <c r="B406" s="2" t="n"/>
      <c r="C406" s="2" t="n"/>
      <c r="D406" s="2" t="n"/>
      <c r="E406" s="2" t="n"/>
      <c r="F406" s="2" t="n"/>
      <c r="G406" s="2" t="n"/>
      <c r="H406" s="2" t="n"/>
      <c r="I406" s="2" t="n"/>
      <c r="J406" s="2" t="n"/>
      <c r="K406" s="2" t="n"/>
      <c r="L406" s="2" t="n"/>
      <c r="M406" s="2" t="n"/>
      <c r="N406" s="2" t="n"/>
      <c r="O406" s="2" t="n"/>
      <c r="P406" s="2" t="n"/>
      <c r="Q406" s="2">
        <f>IF(G406="","",TODAY()-G406)</f>
        <v/>
      </c>
    </row>
    <row r="407">
      <c r="A407" s="2" t="n"/>
      <c r="B407" s="2" t="n"/>
      <c r="C407" s="2" t="n"/>
      <c r="D407" s="2" t="n"/>
      <c r="E407" s="2" t="n"/>
      <c r="F407" s="2" t="n"/>
      <c r="G407" s="2" t="n"/>
      <c r="H407" s="2" t="n"/>
      <c r="I407" s="2" t="n"/>
      <c r="J407" s="2" t="n"/>
      <c r="K407" s="2" t="n"/>
      <c r="L407" s="2" t="n"/>
      <c r="M407" s="2" t="n"/>
      <c r="N407" s="2" t="n"/>
      <c r="O407" s="2" t="n"/>
      <c r="P407" s="2" t="n"/>
      <c r="Q407" s="2">
        <f>IF(G407="","",TODAY()-G407)</f>
        <v/>
      </c>
    </row>
    <row r="408">
      <c r="A408" s="2" t="n"/>
      <c r="B408" s="2" t="n"/>
      <c r="C408" s="2" t="n"/>
      <c r="D408" s="2" t="n"/>
      <c r="E408" s="2" t="n"/>
      <c r="F408" s="2" t="n"/>
      <c r="G408" s="2" t="n"/>
      <c r="H408" s="2" t="n"/>
      <c r="I408" s="2" t="n"/>
      <c r="J408" s="2" t="n"/>
      <c r="K408" s="2" t="n"/>
      <c r="L408" s="2" t="n"/>
      <c r="M408" s="2" t="n"/>
      <c r="N408" s="2" t="n"/>
      <c r="O408" s="2" t="n"/>
      <c r="P408" s="2" t="n"/>
      <c r="Q408" s="2">
        <f>IF(G408="","",TODAY()-G408)</f>
        <v/>
      </c>
    </row>
    <row r="409">
      <c r="A409" s="2" t="n"/>
      <c r="B409" s="2" t="n"/>
      <c r="C409" s="2" t="n"/>
      <c r="D409" s="2" t="n"/>
      <c r="E409" s="2" t="n"/>
      <c r="F409" s="2" t="n"/>
      <c r="G409" s="2" t="n"/>
      <c r="H409" s="2" t="n"/>
      <c r="I409" s="2" t="n"/>
      <c r="J409" s="2" t="n"/>
      <c r="K409" s="2" t="n"/>
      <c r="L409" s="2" t="n"/>
      <c r="M409" s="2" t="n"/>
      <c r="N409" s="2" t="n"/>
      <c r="O409" s="2" t="n"/>
      <c r="P409" s="2" t="n"/>
      <c r="Q409" s="2">
        <f>IF(G409="","",TODAY()-G409)</f>
        <v/>
      </c>
    </row>
    <row r="410">
      <c r="A410" s="2" t="n"/>
      <c r="B410" s="2" t="n"/>
      <c r="C410" s="2" t="n"/>
      <c r="D410" s="2" t="n"/>
      <c r="E410" s="2" t="n"/>
      <c r="F410" s="2" t="n"/>
      <c r="G410" s="2" t="n"/>
      <c r="H410" s="2" t="n"/>
      <c r="I410" s="2" t="n"/>
      <c r="J410" s="2" t="n"/>
      <c r="K410" s="2" t="n"/>
      <c r="L410" s="2" t="n"/>
      <c r="M410" s="2" t="n"/>
      <c r="N410" s="2" t="n"/>
      <c r="O410" s="2" t="n"/>
      <c r="P410" s="2" t="n"/>
      <c r="Q410" s="2">
        <f>IF(G410="","",TODAY()-G410)</f>
        <v/>
      </c>
    </row>
    <row r="411">
      <c r="A411" s="2" t="n"/>
      <c r="B411" s="2" t="n"/>
      <c r="C411" s="2" t="n"/>
      <c r="D411" s="2" t="n"/>
      <c r="E411" s="2" t="n"/>
      <c r="F411" s="2" t="n"/>
      <c r="G411" s="2" t="n"/>
      <c r="H411" s="2" t="n"/>
      <c r="I411" s="2" t="n"/>
      <c r="J411" s="2" t="n"/>
      <c r="K411" s="2" t="n"/>
      <c r="L411" s="2" t="n"/>
      <c r="M411" s="2" t="n"/>
      <c r="N411" s="2" t="n"/>
      <c r="O411" s="2" t="n"/>
      <c r="P411" s="2" t="n"/>
      <c r="Q411" s="2">
        <f>IF(G411="","",TODAY()-G411)</f>
        <v/>
      </c>
    </row>
    <row r="412">
      <c r="A412" s="2" t="n"/>
      <c r="B412" s="2" t="n"/>
      <c r="C412" s="2" t="n"/>
      <c r="D412" s="2" t="n"/>
      <c r="E412" s="2" t="n"/>
      <c r="F412" s="2" t="n"/>
      <c r="G412" s="2" t="n"/>
      <c r="H412" s="2" t="n"/>
      <c r="I412" s="2" t="n"/>
      <c r="J412" s="2" t="n"/>
      <c r="K412" s="2" t="n"/>
      <c r="L412" s="2" t="n"/>
      <c r="M412" s="2" t="n"/>
      <c r="N412" s="2" t="n"/>
      <c r="O412" s="2" t="n"/>
      <c r="P412" s="2" t="n"/>
      <c r="Q412" s="2">
        <f>IF(G412="","",TODAY()-G412)</f>
        <v/>
      </c>
    </row>
    <row r="413">
      <c r="A413" s="2" t="n"/>
      <c r="B413" s="2" t="n"/>
      <c r="C413" s="2" t="n"/>
      <c r="D413" s="2" t="n"/>
      <c r="E413" s="2" t="n"/>
      <c r="F413" s="2" t="n"/>
      <c r="G413" s="2" t="n"/>
      <c r="H413" s="2" t="n"/>
      <c r="I413" s="2" t="n"/>
      <c r="J413" s="2" t="n"/>
      <c r="K413" s="2" t="n"/>
      <c r="L413" s="2" t="n"/>
      <c r="M413" s="2" t="n"/>
      <c r="N413" s="2" t="n"/>
      <c r="O413" s="2" t="n"/>
      <c r="P413" s="2" t="n"/>
      <c r="Q413" s="2">
        <f>IF(G413="","",TODAY()-G413)</f>
        <v/>
      </c>
    </row>
    <row r="414">
      <c r="A414" s="2" t="n"/>
      <c r="B414" s="2" t="n"/>
      <c r="C414" s="2" t="n"/>
      <c r="D414" s="2" t="n"/>
      <c r="E414" s="2" t="n"/>
      <c r="F414" s="2" t="n"/>
      <c r="G414" s="2" t="n"/>
      <c r="H414" s="2" t="n"/>
      <c r="I414" s="2" t="n"/>
      <c r="J414" s="2" t="n"/>
      <c r="K414" s="2" t="n"/>
      <c r="L414" s="2" t="n"/>
      <c r="M414" s="2" t="n"/>
      <c r="N414" s="2" t="n"/>
      <c r="O414" s="2" t="n"/>
      <c r="P414" s="2" t="n"/>
      <c r="Q414" s="2">
        <f>IF(G414="","",TODAY()-G414)</f>
        <v/>
      </c>
    </row>
    <row r="415">
      <c r="A415" s="2" t="n"/>
      <c r="B415" s="2" t="n"/>
      <c r="C415" s="2" t="n"/>
      <c r="D415" s="2" t="n"/>
      <c r="E415" s="2" t="n"/>
      <c r="F415" s="2" t="n"/>
      <c r="G415" s="2" t="n"/>
      <c r="H415" s="2" t="n"/>
      <c r="I415" s="2" t="n"/>
      <c r="J415" s="2" t="n"/>
      <c r="K415" s="2" t="n"/>
      <c r="L415" s="2" t="n"/>
      <c r="M415" s="2" t="n"/>
      <c r="N415" s="2" t="n"/>
      <c r="O415" s="2" t="n"/>
      <c r="P415" s="2" t="n"/>
      <c r="Q415" s="2">
        <f>IF(G415="","",TODAY()-G415)</f>
        <v/>
      </c>
    </row>
    <row r="416">
      <c r="A416" s="2" t="n"/>
      <c r="B416" s="2" t="n"/>
      <c r="C416" s="2" t="n"/>
      <c r="D416" s="2" t="n"/>
      <c r="E416" s="2" t="n"/>
      <c r="F416" s="2" t="n"/>
      <c r="G416" s="2" t="n"/>
      <c r="H416" s="2" t="n"/>
      <c r="I416" s="2" t="n"/>
      <c r="J416" s="2" t="n"/>
      <c r="K416" s="2" t="n"/>
      <c r="L416" s="2" t="n"/>
      <c r="M416" s="2" t="n"/>
      <c r="N416" s="2" t="n"/>
      <c r="O416" s="2" t="n"/>
      <c r="P416" s="2" t="n"/>
      <c r="Q416" s="2">
        <f>IF(G416="","",TODAY()-G416)</f>
        <v/>
      </c>
    </row>
    <row r="417">
      <c r="A417" s="2" t="n"/>
      <c r="B417" s="2" t="n"/>
      <c r="C417" s="2" t="n"/>
      <c r="D417" s="2" t="n"/>
      <c r="E417" s="2" t="n"/>
      <c r="F417" s="2" t="n"/>
      <c r="G417" s="2" t="n"/>
      <c r="H417" s="2" t="n"/>
      <c r="I417" s="2" t="n"/>
      <c r="J417" s="2" t="n"/>
      <c r="K417" s="2" t="n"/>
      <c r="L417" s="2" t="n"/>
      <c r="M417" s="2" t="n"/>
      <c r="N417" s="2" t="n"/>
      <c r="O417" s="2" t="n"/>
      <c r="P417" s="2" t="n"/>
      <c r="Q417" s="2">
        <f>IF(G417="","",TODAY()-G417)</f>
        <v/>
      </c>
    </row>
    <row r="418">
      <c r="A418" s="2" t="n"/>
      <c r="B418" s="2" t="n"/>
      <c r="C418" s="2" t="n"/>
      <c r="D418" s="2" t="n"/>
      <c r="E418" s="2" t="n"/>
      <c r="F418" s="2" t="n"/>
      <c r="G418" s="2" t="n"/>
      <c r="H418" s="2" t="n"/>
      <c r="I418" s="2" t="n"/>
      <c r="J418" s="2" t="n"/>
      <c r="K418" s="2" t="n"/>
      <c r="L418" s="2" t="n"/>
      <c r="M418" s="2" t="n"/>
      <c r="N418" s="2" t="n"/>
      <c r="O418" s="2" t="n"/>
      <c r="P418" s="2" t="n"/>
      <c r="Q418" s="2">
        <f>IF(G418="","",TODAY()-G418)</f>
        <v/>
      </c>
    </row>
    <row r="419">
      <c r="A419" s="2" t="n"/>
      <c r="B419" s="2" t="n"/>
      <c r="C419" s="2" t="n"/>
      <c r="D419" s="2" t="n"/>
      <c r="E419" s="2" t="n"/>
      <c r="F419" s="2" t="n"/>
      <c r="G419" s="2" t="n"/>
      <c r="H419" s="2" t="n"/>
      <c r="I419" s="2" t="n"/>
      <c r="J419" s="2" t="n"/>
      <c r="K419" s="2" t="n"/>
      <c r="L419" s="2" t="n"/>
      <c r="M419" s="2" t="n"/>
      <c r="N419" s="2" t="n"/>
      <c r="O419" s="2" t="n"/>
      <c r="P419" s="2" t="n"/>
      <c r="Q419" s="2">
        <f>IF(G419="","",TODAY()-G419)</f>
        <v/>
      </c>
    </row>
    <row r="420">
      <c r="A420" s="2" t="n"/>
      <c r="B420" s="2" t="n"/>
      <c r="C420" s="2" t="n"/>
      <c r="D420" s="2" t="n"/>
      <c r="E420" s="2" t="n"/>
      <c r="F420" s="2" t="n"/>
      <c r="G420" s="2" t="n"/>
      <c r="H420" s="2" t="n"/>
      <c r="I420" s="2" t="n"/>
      <c r="J420" s="2" t="n"/>
      <c r="K420" s="2" t="n"/>
      <c r="L420" s="2" t="n"/>
      <c r="M420" s="2" t="n"/>
      <c r="N420" s="2" t="n"/>
      <c r="O420" s="2" t="n"/>
      <c r="P420" s="2" t="n"/>
      <c r="Q420" s="2">
        <f>IF(G420="","",TODAY()-G420)</f>
        <v/>
      </c>
    </row>
    <row r="421">
      <c r="A421" s="2" t="n"/>
      <c r="B421" s="2" t="n"/>
      <c r="C421" s="2" t="n"/>
      <c r="D421" s="2" t="n"/>
      <c r="E421" s="2" t="n"/>
      <c r="F421" s="2" t="n"/>
      <c r="G421" s="2" t="n"/>
      <c r="H421" s="2" t="n"/>
      <c r="I421" s="2" t="n"/>
      <c r="J421" s="2" t="n"/>
      <c r="K421" s="2" t="n"/>
      <c r="L421" s="2" t="n"/>
      <c r="M421" s="2" t="n"/>
      <c r="N421" s="2" t="n"/>
      <c r="O421" s="2" t="n"/>
      <c r="P421" s="2" t="n"/>
      <c r="Q421" s="2">
        <f>IF(G421="","",TODAY()-G421)</f>
        <v/>
      </c>
    </row>
    <row r="422">
      <c r="A422" s="2" t="n"/>
      <c r="B422" s="2" t="n"/>
      <c r="C422" s="2" t="n"/>
      <c r="D422" s="2" t="n"/>
      <c r="E422" s="2" t="n"/>
      <c r="F422" s="2" t="n"/>
      <c r="G422" s="2" t="n"/>
      <c r="H422" s="2" t="n"/>
      <c r="I422" s="2" t="n"/>
      <c r="J422" s="2" t="n"/>
      <c r="K422" s="2" t="n"/>
      <c r="L422" s="2" t="n"/>
      <c r="M422" s="2" t="n"/>
      <c r="N422" s="2" t="n"/>
      <c r="O422" s="2" t="n"/>
      <c r="P422" s="2" t="n"/>
      <c r="Q422" s="2">
        <f>IF(G422="","",TODAY()-G422)</f>
        <v/>
      </c>
    </row>
    <row r="423">
      <c r="A423" s="2" t="n"/>
      <c r="B423" s="2" t="n"/>
      <c r="C423" s="2" t="n"/>
      <c r="D423" s="2" t="n"/>
      <c r="E423" s="2" t="n"/>
      <c r="F423" s="2" t="n"/>
      <c r="G423" s="2" t="n"/>
      <c r="H423" s="2" t="n"/>
      <c r="I423" s="2" t="n"/>
      <c r="J423" s="2" t="n"/>
      <c r="K423" s="2" t="n"/>
      <c r="L423" s="2" t="n"/>
      <c r="M423" s="2" t="n"/>
      <c r="N423" s="2" t="n"/>
      <c r="O423" s="2" t="n"/>
      <c r="P423" s="2" t="n"/>
      <c r="Q423" s="2">
        <f>IF(G423="","",TODAY()-G423)</f>
        <v/>
      </c>
    </row>
    <row r="424">
      <c r="A424" s="2" t="n"/>
      <c r="B424" s="2" t="n"/>
      <c r="C424" s="2" t="n"/>
      <c r="D424" s="2" t="n"/>
      <c r="E424" s="2" t="n"/>
      <c r="F424" s="2" t="n"/>
      <c r="G424" s="2" t="n"/>
      <c r="H424" s="2" t="n"/>
      <c r="I424" s="2" t="n"/>
      <c r="J424" s="2" t="n"/>
      <c r="K424" s="2" t="n"/>
      <c r="L424" s="2" t="n"/>
      <c r="M424" s="2" t="n"/>
      <c r="N424" s="2" t="n"/>
      <c r="O424" s="2" t="n"/>
      <c r="P424" s="2" t="n"/>
      <c r="Q424" s="2">
        <f>IF(G424="","",TODAY()-G424)</f>
        <v/>
      </c>
    </row>
    <row r="425">
      <c r="A425" s="2" t="n"/>
      <c r="B425" s="2" t="n"/>
      <c r="C425" s="2" t="n"/>
      <c r="D425" s="2" t="n"/>
      <c r="E425" s="2" t="n"/>
      <c r="F425" s="2" t="n"/>
      <c r="G425" s="2" t="n"/>
      <c r="H425" s="2" t="n"/>
      <c r="I425" s="2" t="n"/>
      <c r="J425" s="2" t="n"/>
      <c r="K425" s="2" t="n"/>
      <c r="L425" s="2" t="n"/>
      <c r="M425" s="2" t="n"/>
      <c r="N425" s="2" t="n"/>
      <c r="O425" s="2" t="n"/>
      <c r="P425" s="2" t="n"/>
      <c r="Q425" s="2">
        <f>IF(G425="","",TODAY()-G425)</f>
        <v/>
      </c>
    </row>
    <row r="426">
      <c r="A426" s="2" t="n"/>
      <c r="B426" s="2" t="n"/>
      <c r="C426" s="2" t="n"/>
      <c r="D426" s="2" t="n"/>
      <c r="E426" s="2" t="n"/>
      <c r="F426" s="2" t="n"/>
      <c r="G426" s="2" t="n"/>
      <c r="H426" s="2" t="n"/>
      <c r="I426" s="2" t="n"/>
      <c r="J426" s="2" t="n"/>
      <c r="K426" s="2" t="n"/>
      <c r="L426" s="2" t="n"/>
      <c r="M426" s="2" t="n"/>
      <c r="N426" s="2" t="n"/>
      <c r="O426" s="2" t="n"/>
      <c r="P426" s="2" t="n"/>
      <c r="Q426" s="2">
        <f>IF(G426="","",TODAY()-G426)</f>
        <v/>
      </c>
    </row>
    <row r="427">
      <c r="A427" s="2" t="n"/>
      <c r="B427" s="2" t="n"/>
      <c r="C427" s="2" t="n"/>
      <c r="D427" s="2" t="n"/>
      <c r="E427" s="2" t="n"/>
      <c r="F427" s="2" t="n"/>
      <c r="G427" s="2" t="n"/>
      <c r="H427" s="2" t="n"/>
      <c r="I427" s="2" t="n"/>
      <c r="J427" s="2" t="n"/>
      <c r="K427" s="2" t="n"/>
      <c r="L427" s="2" t="n"/>
      <c r="M427" s="2" t="n"/>
      <c r="N427" s="2" t="n"/>
      <c r="O427" s="2" t="n"/>
      <c r="P427" s="2" t="n"/>
      <c r="Q427" s="2">
        <f>IF(G427="","",TODAY()-G427)</f>
        <v/>
      </c>
    </row>
    <row r="428">
      <c r="A428" s="2" t="n"/>
      <c r="B428" s="2" t="n"/>
      <c r="C428" s="2" t="n"/>
      <c r="D428" s="2" t="n"/>
      <c r="E428" s="2" t="n"/>
      <c r="F428" s="2" t="n"/>
      <c r="G428" s="2" t="n"/>
      <c r="H428" s="2" t="n"/>
      <c r="I428" s="2" t="n"/>
      <c r="J428" s="2" t="n"/>
      <c r="K428" s="2" t="n"/>
      <c r="L428" s="2" t="n"/>
      <c r="M428" s="2" t="n"/>
      <c r="N428" s="2" t="n"/>
      <c r="O428" s="2" t="n"/>
      <c r="P428" s="2" t="n"/>
      <c r="Q428" s="2">
        <f>IF(G428="","",TODAY()-G428)</f>
        <v/>
      </c>
    </row>
    <row r="429">
      <c r="A429" s="2" t="n"/>
      <c r="B429" s="2" t="n"/>
      <c r="C429" s="2" t="n"/>
      <c r="D429" s="2" t="n"/>
      <c r="E429" s="2" t="n"/>
      <c r="F429" s="2" t="n"/>
      <c r="G429" s="2" t="n"/>
      <c r="H429" s="2" t="n"/>
      <c r="I429" s="2" t="n"/>
      <c r="J429" s="2" t="n"/>
      <c r="K429" s="2" t="n"/>
      <c r="L429" s="2" t="n"/>
      <c r="M429" s="2" t="n"/>
      <c r="N429" s="2" t="n"/>
      <c r="O429" s="2" t="n"/>
      <c r="P429" s="2" t="n"/>
      <c r="Q429" s="2">
        <f>IF(G429="","",TODAY()-G429)</f>
        <v/>
      </c>
    </row>
    <row r="430">
      <c r="A430" s="2" t="n"/>
      <c r="B430" s="2" t="n"/>
      <c r="C430" s="2" t="n"/>
      <c r="D430" s="2" t="n"/>
      <c r="E430" s="2" t="n"/>
      <c r="F430" s="2" t="n"/>
      <c r="G430" s="2" t="n"/>
      <c r="H430" s="2" t="n"/>
      <c r="I430" s="2" t="n"/>
      <c r="J430" s="2" t="n"/>
      <c r="K430" s="2" t="n"/>
      <c r="L430" s="2" t="n"/>
      <c r="M430" s="2" t="n"/>
      <c r="N430" s="2" t="n"/>
      <c r="O430" s="2" t="n"/>
      <c r="P430" s="2" t="n"/>
      <c r="Q430" s="2">
        <f>IF(G430="","",TODAY()-G430)</f>
        <v/>
      </c>
    </row>
    <row r="431">
      <c r="A431" s="2" t="n"/>
      <c r="B431" s="2" t="n"/>
      <c r="C431" s="2" t="n"/>
      <c r="D431" s="2" t="n"/>
      <c r="E431" s="2" t="n"/>
      <c r="F431" s="2" t="n"/>
      <c r="G431" s="2" t="n"/>
      <c r="H431" s="2" t="n"/>
      <c r="I431" s="2" t="n"/>
      <c r="J431" s="2" t="n"/>
      <c r="K431" s="2" t="n"/>
      <c r="L431" s="2" t="n"/>
      <c r="M431" s="2" t="n"/>
      <c r="N431" s="2" t="n"/>
      <c r="O431" s="2" t="n"/>
      <c r="P431" s="2" t="n"/>
      <c r="Q431" s="2">
        <f>IF(G431="","",TODAY()-G431)</f>
        <v/>
      </c>
    </row>
    <row r="432">
      <c r="A432" s="2" t="n"/>
      <c r="B432" s="2" t="n"/>
      <c r="C432" s="2" t="n"/>
      <c r="D432" s="2" t="n"/>
      <c r="E432" s="2" t="n"/>
      <c r="F432" s="2" t="n"/>
      <c r="G432" s="2" t="n"/>
      <c r="H432" s="2" t="n"/>
      <c r="I432" s="2" t="n"/>
      <c r="J432" s="2" t="n"/>
      <c r="K432" s="2" t="n"/>
      <c r="L432" s="2" t="n"/>
      <c r="M432" s="2" t="n"/>
      <c r="N432" s="2" t="n"/>
      <c r="O432" s="2" t="n"/>
      <c r="P432" s="2" t="n"/>
      <c r="Q432" s="2">
        <f>IF(G432="","",TODAY()-G432)</f>
        <v/>
      </c>
    </row>
    <row r="433">
      <c r="A433" s="2" t="n"/>
      <c r="B433" s="2" t="n"/>
      <c r="C433" s="2" t="n"/>
      <c r="D433" s="2" t="n"/>
      <c r="E433" s="2" t="n"/>
      <c r="F433" s="2" t="n"/>
      <c r="G433" s="2" t="n"/>
      <c r="H433" s="2" t="n"/>
      <c r="I433" s="2" t="n"/>
      <c r="J433" s="2" t="n"/>
      <c r="K433" s="2" t="n"/>
      <c r="L433" s="2" t="n"/>
      <c r="M433" s="2" t="n"/>
      <c r="N433" s="2" t="n"/>
      <c r="O433" s="2" t="n"/>
      <c r="P433" s="2" t="n"/>
      <c r="Q433" s="2">
        <f>IF(G433="","",TODAY()-G433)</f>
        <v/>
      </c>
    </row>
    <row r="434">
      <c r="A434" s="2" t="n"/>
      <c r="B434" s="2" t="n"/>
      <c r="C434" s="2" t="n"/>
      <c r="D434" s="2" t="n"/>
      <c r="E434" s="2" t="n"/>
      <c r="F434" s="2" t="n"/>
      <c r="G434" s="2" t="n"/>
      <c r="H434" s="2" t="n"/>
      <c r="I434" s="2" t="n"/>
      <c r="J434" s="2" t="n"/>
      <c r="K434" s="2" t="n"/>
      <c r="L434" s="2" t="n"/>
      <c r="M434" s="2" t="n"/>
      <c r="N434" s="2" t="n"/>
      <c r="O434" s="2" t="n"/>
      <c r="P434" s="2" t="n"/>
      <c r="Q434" s="2">
        <f>IF(G434="","",TODAY()-G434)</f>
        <v/>
      </c>
    </row>
    <row r="435">
      <c r="A435" s="2" t="n"/>
      <c r="B435" s="2" t="n"/>
      <c r="C435" s="2" t="n"/>
      <c r="D435" s="2" t="n"/>
      <c r="E435" s="2" t="n"/>
      <c r="F435" s="2" t="n"/>
      <c r="G435" s="2" t="n"/>
      <c r="H435" s="2" t="n"/>
      <c r="I435" s="2" t="n"/>
      <c r="J435" s="2" t="n"/>
      <c r="K435" s="2" t="n"/>
      <c r="L435" s="2" t="n"/>
      <c r="M435" s="2" t="n"/>
      <c r="N435" s="2" t="n"/>
      <c r="O435" s="2" t="n"/>
      <c r="P435" s="2" t="n"/>
      <c r="Q435" s="2">
        <f>IF(G435="","",TODAY()-G435)</f>
        <v/>
      </c>
    </row>
    <row r="436">
      <c r="A436" s="2" t="n"/>
      <c r="B436" s="2" t="n"/>
      <c r="C436" s="2" t="n"/>
      <c r="D436" s="2" t="n"/>
      <c r="E436" s="2" t="n"/>
      <c r="F436" s="2" t="n"/>
      <c r="G436" s="2" t="n"/>
      <c r="H436" s="2" t="n"/>
      <c r="I436" s="2" t="n"/>
      <c r="J436" s="2" t="n"/>
      <c r="K436" s="2" t="n"/>
      <c r="L436" s="2" t="n"/>
      <c r="M436" s="2" t="n"/>
      <c r="N436" s="2" t="n"/>
      <c r="O436" s="2" t="n"/>
      <c r="P436" s="2" t="n"/>
      <c r="Q436" s="2">
        <f>IF(G436="","",TODAY()-G436)</f>
        <v/>
      </c>
    </row>
    <row r="437">
      <c r="A437" s="2" t="n"/>
      <c r="B437" s="2" t="n"/>
      <c r="C437" s="2" t="n"/>
      <c r="D437" s="2" t="n"/>
      <c r="E437" s="2" t="n"/>
      <c r="F437" s="2" t="n"/>
      <c r="G437" s="2" t="n"/>
      <c r="H437" s="2" t="n"/>
      <c r="I437" s="2" t="n"/>
      <c r="J437" s="2" t="n"/>
      <c r="K437" s="2" t="n"/>
      <c r="L437" s="2" t="n"/>
      <c r="M437" s="2" t="n"/>
      <c r="N437" s="2" t="n"/>
      <c r="O437" s="2" t="n"/>
      <c r="P437" s="2" t="n"/>
      <c r="Q437" s="2">
        <f>IF(G437="","",TODAY()-G437)</f>
        <v/>
      </c>
    </row>
    <row r="438">
      <c r="A438" s="2" t="n"/>
      <c r="B438" s="2" t="n"/>
      <c r="C438" s="2" t="n"/>
      <c r="D438" s="2" t="n"/>
      <c r="E438" s="2" t="n"/>
      <c r="F438" s="2" t="n"/>
      <c r="G438" s="2" t="n"/>
      <c r="H438" s="2" t="n"/>
      <c r="I438" s="2" t="n"/>
      <c r="J438" s="2" t="n"/>
      <c r="K438" s="2" t="n"/>
      <c r="L438" s="2" t="n"/>
      <c r="M438" s="2" t="n"/>
      <c r="N438" s="2" t="n"/>
      <c r="O438" s="2" t="n"/>
      <c r="P438" s="2" t="n"/>
      <c r="Q438" s="2">
        <f>IF(G438="","",TODAY()-G438)</f>
        <v/>
      </c>
    </row>
    <row r="439">
      <c r="A439" s="2" t="n"/>
      <c r="B439" s="2" t="n"/>
      <c r="C439" s="2" t="n"/>
      <c r="D439" s="2" t="n"/>
      <c r="E439" s="2" t="n"/>
      <c r="F439" s="2" t="n"/>
      <c r="G439" s="2" t="n"/>
      <c r="H439" s="2" t="n"/>
      <c r="I439" s="2" t="n"/>
      <c r="J439" s="2" t="n"/>
      <c r="K439" s="2" t="n"/>
      <c r="L439" s="2" t="n"/>
      <c r="M439" s="2" t="n"/>
      <c r="N439" s="2" t="n"/>
      <c r="O439" s="2" t="n"/>
      <c r="P439" s="2" t="n"/>
      <c r="Q439" s="2">
        <f>IF(G439="","",TODAY()-G439)</f>
        <v/>
      </c>
    </row>
    <row r="440">
      <c r="A440" s="2" t="n"/>
      <c r="B440" s="2" t="n"/>
      <c r="C440" s="2" t="n"/>
      <c r="D440" s="2" t="n"/>
      <c r="E440" s="2" t="n"/>
      <c r="F440" s="2" t="n"/>
      <c r="G440" s="2" t="n"/>
      <c r="H440" s="2" t="n"/>
      <c r="I440" s="2" t="n"/>
      <c r="J440" s="2" t="n"/>
      <c r="K440" s="2" t="n"/>
      <c r="L440" s="2" t="n"/>
      <c r="M440" s="2" t="n"/>
      <c r="N440" s="2" t="n"/>
      <c r="O440" s="2" t="n"/>
      <c r="P440" s="2" t="n"/>
      <c r="Q440" s="2">
        <f>IF(G440="","",TODAY()-G440)</f>
        <v/>
      </c>
    </row>
    <row r="441">
      <c r="A441" s="2" t="n"/>
      <c r="B441" s="2" t="n"/>
      <c r="C441" s="2" t="n"/>
      <c r="D441" s="2" t="n"/>
      <c r="E441" s="2" t="n"/>
      <c r="F441" s="2" t="n"/>
      <c r="G441" s="2" t="n"/>
      <c r="H441" s="2" t="n"/>
      <c r="I441" s="2" t="n"/>
      <c r="J441" s="2" t="n"/>
      <c r="K441" s="2" t="n"/>
      <c r="L441" s="2" t="n"/>
      <c r="M441" s="2" t="n"/>
      <c r="N441" s="2" t="n"/>
      <c r="O441" s="2" t="n"/>
      <c r="P441" s="2" t="n"/>
      <c r="Q441" s="2">
        <f>IF(G441="","",TODAY()-G441)</f>
        <v/>
      </c>
    </row>
    <row r="442">
      <c r="A442" s="2" t="n"/>
      <c r="B442" s="2" t="n"/>
      <c r="C442" s="2" t="n"/>
      <c r="D442" s="2" t="n"/>
      <c r="E442" s="2" t="n"/>
      <c r="F442" s="2" t="n"/>
      <c r="G442" s="2" t="n"/>
      <c r="H442" s="2" t="n"/>
      <c r="I442" s="2" t="n"/>
      <c r="J442" s="2" t="n"/>
      <c r="K442" s="2" t="n"/>
      <c r="L442" s="2" t="n"/>
      <c r="M442" s="2" t="n"/>
      <c r="N442" s="2" t="n"/>
      <c r="O442" s="2" t="n"/>
      <c r="P442" s="2" t="n"/>
      <c r="Q442" s="2">
        <f>IF(G442="","",TODAY()-G442)</f>
        <v/>
      </c>
    </row>
    <row r="443">
      <c r="A443" s="2" t="n"/>
      <c r="B443" s="2" t="n"/>
      <c r="C443" s="2" t="n"/>
      <c r="D443" s="2" t="n"/>
      <c r="E443" s="2" t="n"/>
      <c r="F443" s="2" t="n"/>
      <c r="G443" s="2" t="n"/>
      <c r="H443" s="2" t="n"/>
      <c r="I443" s="2" t="n"/>
      <c r="J443" s="2" t="n"/>
      <c r="K443" s="2" t="n"/>
      <c r="L443" s="2" t="n"/>
      <c r="M443" s="2" t="n"/>
      <c r="N443" s="2" t="n"/>
      <c r="O443" s="2" t="n"/>
      <c r="P443" s="2" t="n"/>
      <c r="Q443" s="2">
        <f>IF(G443="","",TODAY()-G443)</f>
        <v/>
      </c>
    </row>
    <row r="444">
      <c r="A444" s="2" t="n"/>
      <c r="B444" s="2" t="n"/>
      <c r="C444" s="2" t="n"/>
      <c r="D444" s="2" t="n"/>
      <c r="E444" s="2" t="n"/>
      <c r="F444" s="2" t="n"/>
      <c r="G444" s="2" t="n"/>
      <c r="H444" s="2" t="n"/>
      <c r="I444" s="2" t="n"/>
      <c r="J444" s="2" t="n"/>
      <c r="K444" s="2" t="n"/>
      <c r="L444" s="2" t="n"/>
      <c r="M444" s="2" t="n"/>
      <c r="N444" s="2" t="n"/>
      <c r="O444" s="2" t="n"/>
      <c r="P444" s="2" t="n"/>
      <c r="Q444" s="2">
        <f>IF(G444="","",TODAY()-G444)</f>
        <v/>
      </c>
    </row>
    <row r="445">
      <c r="A445" s="2" t="n"/>
      <c r="B445" s="2" t="n"/>
      <c r="C445" s="2" t="n"/>
      <c r="D445" s="2" t="n"/>
      <c r="E445" s="2" t="n"/>
      <c r="F445" s="2" t="n"/>
      <c r="G445" s="2" t="n"/>
      <c r="H445" s="2" t="n"/>
      <c r="I445" s="2" t="n"/>
      <c r="J445" s="2" t="n"/>
      <c r="K445" s="2" t="n"/>
      <c r="L445" s="2" t="n"/>
      <c r="M445" s="2" t="n"/>
      <c r="N445" s="2" t="n"/>
      <c r="O445" s="2" t="n"/>
      <c r="P445" s="2" t="n"/>
      <c r="Q445" s="2">
        <f>IF(G445="","",TODAY()-G445)</f>
        <v/>
      </c>
    </row>
    <row r="446">
      <c r="A446" s="2" t="n"/>
      <c r="B446" s="2" t="n"/>
      <c r="C446" s="2" t="n"/>
      <c r="D446" s="2" t="n"/>
      <c r="E446" s="2" t="n"/>
      <c r="F446" s="2" t="n"/>
      <c r="G446" s="2" t="n"/>
      <c r="H446" s="2" t="n"/>
      <c r="I446" s="2" t="n"/>
      <c r="J446" s="2" t="n"/>
      <c r="K446" s="2" t="n"/>
      <c r="L446" s="2" t="n"/>
      <c r="M446" s="2" t="n"/>
      <c r="N446" s="2" t="n"/>
      <c r="O446" s="2" t="n"/>
      <c r="P446" s="2" t="n"/>
      <c r="Q446" s="2">
        <f>IF(G446="","",TODAY()-G446)</f>
        <v/>
      </c>
    </row>
    <row r="447">
      <c r="A447" s="2" t="n"/>
      <c r="B447" s="2" t="n"/>
      <c r="C447" s="2" t="n"/>
      <c r="D447" s="2" t="n"/>
      <c r="E447" s="2" t="n"/>
      <c r="F447" s="2" t="n"/>
      <c r="G447" s="2" t="n"/>
      <c r="H447" s="2" t="n"/>
      <c r="I447" s="2" t="n"/>
      <c r="J447" s="2" t="n"/>
      <c r="K447" s="2" t="n"/>
      <c r="L447" s="2" t="n"/>
      <c r="M447" s="2" t="n"/>
      <c r="N447" s="2" t="n"/>
      <c r="O447" s="2" t="n"/>
      <c r="P447" s="2" t="n"/>
      <c r="Q447" s="2">
        <f>IF(G447="","",TODAY()-G447)</f>
        <v/>
      </c>
    </row>
    <row r="448">
      <c r="A448" s="2" t="n"/>
      <c r="B448" s="2" t="n"/>
      <c r="C448" s="2" t="n"/>
      <c r="D448" s="2" t="n"/>
      <c r="E448" s="2" t="n"/>
      <c r="F448" s="2" t="n"/>
      <c r="G448" s="2" t="n"/>
      <c r="H448" s="2" t="n"/>
      <c r="I448" s="2" t="n"/>
      <c r="J448" s="2" t="n"/>
      <c r="K448" s="2" t="n"/>
      <c r="L448" s="2" t="n"/>
      <c r="M448" s="2" t="n"/>
      <c r="N448" s="2" t="n"/>
      <c r="O448" s="2" t="n"/>
      <c r="P448" s="2" t="n"/>
      <c r="Q448" s="2">
        <f>IF(G448="","",TODAY()-G448)</f>
        <v/>
      </c>
    </row>
    <row r="449">
      <c r="A449" s="2" t="n"/>
      <c r="B449" s="2" t="n"/>
      <c r="C449" s="2" t="n"/>
      <c r="D449" s="2" t="n"/>
      <c r="E449" s="2" t="n"/>
      <c r="F449" s="2" t="n"/>
      <c r="G449" s="2" t="n"/>
      <c r="H449" s="2" t="n"/>
      <c r="I449" s="2" t="n"/>
      <c r="J449" s="2" t="n"/>
      <c r="K449" s="2" t="n"/>
      <c r="L449" s="2" t="n"/>
      <c r="M449" s="2" t="n"/>
      <c r="N449" s="2" t="n"/>
      <c r="O449" s="2" t="n"/>
      <c r="P449" s="2" t="n"/>
      <c r="Q449" s="2">
        <f>IF(G449="","",TODAY()-G449)</f>
        <v/>
      </c>
    </row>
    <row r="450">
      <c r="A450" s="2" t="n"/>
      <c r="B450" s="2" t="n"/>
      <c r="C450" s="2" t="n"/>
      <c r="D450" s="2" t="n"/>
      <c r="E450" s="2" t="n"/>
      <c r="F450" s="2" t="n"/>
      <c r="G450" s="2" t="n"/>
      <c r="H450" s="2" t="n"/>
      <c r="I450" s="2" t="n"/>
      <c r="J450" s="2" t="n"/>
      <c r="K450" s="2" t="n"/>
      <c r="L450" s="2" t="n"/>
      <c r="M450" s="2" t="n"/>
      <c r="N450" s="2" t="n"/>
      <c r="O450" s="2" t="n"/>
      <c r="P450" s="2" t="n"/>
      <c r="Q450" s="2">
        <f>IF(G450="","",TODAY()-G450)</f>
        <v/>
      </c>
    </row>
    <row r="451">
      <c r="A451" s="2" t="n"/>
      <c r="B451" s="2" t="n"/>
      <c r="C451" s="2" t="n"/>
      <c r="D451" s="2" t="n"/>
      <c r="E451" s="2" t="n"/>
      <c r="F451" s="2" t="n"/>
      <c r="G451" s="2" t="n"/>
      <c r="H451" s="2" t="n"/>
      <c r="I451" s="2" t="n"/>
      <c r="J451" s="2" t="n"/>
      <c r="K451" s="2" t="n"/>
      <c r="L451" s="2" t="n"/>
      <c r="M451" s="2" t="n"/>
      <c r="N451" s="2" t="n"/>
      <c r="O451" s="2" t="n"/>
      <c r="P451" s="2" t="n"/>
      <c r="Q451" s="2">
        <f>IF(G451="","",TODAY()-G451)</f>
        <v/>
      </c>
    </row>
    <row r="452">
      <c r="A452" s="2" t="n"/>
      <c r="B452" s="2" t="n"/>
      <c r="C452" s="2" t="n"/>
      <c r="D452" s="2" t="n"/>
      <c r="E452" s="2" t="n"/>
      <c r="F452" s="2" t="n"/>
      <c r="G452" s="2" t="n"/>
      <c r="H452" s="2" t="n"/>
      <c r="I452" s="2" t="n"/>
      <c r="J452" s="2" t="n"/>
      <c r="K452" s="2" t="n"/>
      <c r="L452" s="2" t="n"/>
      <c r="M452" s="2" t="n"/>
      <c r="N452" s="2" t="n"/>
      <c r="O452" s="2" t="n"/>
      <c r="P452" s="2" t="n"/>
      <c r="Q452" s="2">
        <f>IF(G452="","",TODAY()-G452)</f>
        <v/>
      </c>
    </row>
    <row r="453">
      <c r="A453" s="2" t="n"/>
      <c r="B453" s="2" t="n"/>
      <c r="C453" s="2" t="n"/>
      <c r="D453" s="2" t="n"/>
      <c r="E453" s="2" t="n"/>
      <c r="F453" s="2" t="n"/>
      <c r="G453" s="2" t="n"/>
      <c r="H453" s="2" t="n"/>
      <c r="I453" s="2" t="n"/>
      <c r="J453" s="2" t="n"/>
      <c r="K453" s="2" t="n"/>
      <c r="L453" s="2" t="n"/>
      <c r="M453" s="2" t="n"/>
      <c r="N453" s="2" t="n"/>
      <c r="O453" s="2" t="n"/>
      <c r="P453" s="2" t="n"/>
      <c r="Q453" s="2">
        <f>IF(G453="","",TODAY()-G453)</f>
        <v/>
      </c>
    </row>
    <row r="454">
      <c r="A454" s="2" t="n"/>
      <c r="B454" s="2" t="n"/>
      <c r="C454" s="2" t="n"/>
      <c r="D454" s="2" t="n"/>
      <c r="E454" s="2" t="n"/>
      <c r="F454" s="2" t="n"/>
      <c r="G454" s="2" t="n"/>
      <c r="H454" s="2" t="n"/>
      <c r="I454" s="2" t="n"/>
      <c r="J454" s="2" t="n"/>
      <c r="K454" s="2" t="n"/>
      <c r="L454" s="2" t="n"/>
      <c r="M454" s="2" t="n"/>
      <c r="N454" s="2" t="n"/>
      <c r="O454" s="2" t="n"/>
      <c r="P454" s="2" t="n"/>
      <c r="Q454" s="2">
        <f>IF(G454="","",TODAY()-G454)</f>
        <v/>
      </c>
    </row>
    <row r="455">
      <c r="A455" s="2" t="n"/>
      <c r="B455" s="2" t="n"/>
      <c r="C455" s="2" t="n"/>
      <c r="D455" s="2" t="n"/>
      <c r="E455" s="2" t="n"/>
      <c r="F455" s="2" t="n"/>
      <c r="G455" s="2" t="n"/>
      <c r="H455" s="2" t="n"/>
      <c r="I455" s="2" t="n"/>
      <c r="J455" s="2" t="n"/>
      <c r="K455" s="2" t="n"/>
      <c r="L455" s="2" t="n"/>
      <c r="M455" s="2" t="n"/>
      <c r="N455" s="2" t="n"/>
      <c r="O455" s="2" t="n"/>
      <c r="P455" s="2" t="n"/>
      <c r="Q455" s="2">
        <f>IF(G455="","",TODAY()-G455)</f>
        <v/>
      </c>
    </row>
    <row r="456">
      <c r="A456" s="2" t="n"/>
      <c r="B456" s="2" t="n"/>
      <c r="C456" s="2" t="n"/>
      <c r="D456" s="2" t="n"/>
      <c r="E456" s="2" t="n"/>
      <c r="F456" s="2" t="n"/>
      <c r="G456" s="2" t="n"/>
      <c r="H456" s="2" t="n"/>
      <c r="I456" s="2" t="n"/>
      <c r="J456" s="2" t="n"/>
      <c r="K456" s="2" t="n"/>
      <c r="L456" s="2" t="n"/>
      <c r="M456" s="2" t="n"/>
      <c r="N456" s="2" t="n"/>
      <c r="O456" s="2" t="n"/>
      <c r="P456" s="2" t="n"/>
      <c r="Q456" s="2">
        <f>IF(G456="","",TODAY()-G456)</f>
        <v/>
      </c>
    </row>
    <row r="457">
      <c r="A457" s="2" t="n"/>
      <c r="B457" s="2" t="n"/>
      <c r="C457" s="2" t="n"/>
      <c r="D457" s="2" t="n"/>
      <c r="E457" s="2" t="n"/>
      <c r="F457" s="2" t="n"/>
      <c r="G457" s="2" t="n"/>
      <c r="H457" s="2" t="n"/>
      <c r="I457" s="2" t="n"/>
      <c r="J457" s="2" t="n"/>
      <c r="K457" s="2" t="n"/>
      <c r="L457" s="2" t="n"/>
      <c r="M457" s="2" t="n"/>
      <c r="N457" s="2" t="n"/>
      <c r="O457" s="2" t="n"/>
      <c r="P457" s="2" t="n"/>
      <c r="Q457" s="2">
        <f>IF(G457="","",TODAY()-G457)</f>
        <v/>
      </c>
    </row>
    <row r="458">
      <c r="A458" s="2" t="n"/>
      <c r="B458" s="2" t="n"/>
      <c r="C458" s="2" t="n"/>
      <c r="D458" s="2" t="n"/>
      <c r="E458" s="2" t="n"/>
      <c r="F458" s="2" t="n"/>
      <c r="G458" s="2" t="n"/>
      <c r="H458" s="2" t="n"/>
      <c r="I458" s="2" t="n"/>
      <c r="J458" s="2" t="n"/>
      <c r="K458" s="2" t="n"/>
      <c r="L458" s="2" t="n"/>
      <c r="M458" s="2" t="n"/>
      <c r="N458" s="2" t="n"/>
      <c r="O458" s="2" t="n"/>
      <c r="P458" s="2" t="n"/>
      <c r="Q458" s="2">
        <f>IF(G458="","",TODAY()-G458)</f>
        <v/>
      </c>
    </row>
    <row r="459">
      <c r="A459" s="2" t="n"/>
      <c r="B459" s="2" t="n"/>
      <c r="C459" s="2" t="n"/>
      <c r="D459" s="2" t="n"/>
      <c r="E459" s="2" t="n"/>
      <c r="F459" s="2" t="n"/>
      <c r="G459" s="2" t="n"/>
      <c r="H459" s="2" t="n"/>
      <c r="I459" s="2" t="n"/>
      <c r="J459" s="2" t="n"/>
      <c r="K459" s="2" t="n"/>
      <c r="L459" s="2" t="n"/>
      <c r="M459" s="2" t="n"/>
      <c r="N459" s="2" t="n"/>
      <c r="O459" s="2" t="n"/>
      <c r="P459" s="2" t="n"/>
      <c r="Q459" s="2">
        <f>IF(G459="","",TODAY()-G459)</f>
        <v/>
      </c>
    </row>
    <row r="460">
      <c r="A460" s="2" t="n"/>
      <c r="B460" s="2" t="n"/>
      <c r="C460" s="2" t="n"/>
      <c r="D460" s="2" t="n"/>
      <c r="E460" s="2" t="n"/>
      <c r="F460" s="2" t="n"/>
      <c r="G460" s="2" t="n"/>
      <c r="H460" s="2" t="n"/>
      <c r="I460" s="2" t="n"/>
      <c r="J460" s="2" t="n"/>
      <c r="K460" s="2" t="n"/>
      <c r="L460" s="2" t="n"/>
      <c r="M460" s="2" t="n"/>
      <c r="N460" s="2" t="n"/>
      <c r="O460" s="2" t="n"/>
      <c r="P460" s="2" t="n"/>
      <c r="Q460" s="2">
        <f>IF(G460="","",TODAY()-G460)</f>
        <v/>
      </c>
    </row>
    <row r="461">
      <c r="A461" s="2" t="n"/>
      <c r="B461" s="2" t="n"/>
      <c r="C461" s="2" t="n"/>
      <c r="D461" s="2" t="n"/>
      <c r="E461" s="2" t="n"/>
      <c r="F461" s="2" t="n"/>
      <c r="G461" s="2" t="n"/>
      <c r="H461" s="2" t="n"/>
      <c r="I461" s="2" t="n"/>
      <c r="J461" s="2" t="n"/>
      <c r="K461" s="2" t="n"/>
      <c r="L461" s="2" t="n"/>
      <c r="M461" s="2" t="n"/>
      <c r="N461" s="2" t="n"/>
      <c r="O461" s="2" t="n"/>
      <c r="P461" s="2" t="n"/>
      <c r="Q461" s="2">
        <f>IF(G461="","",TODAY()-G461)</f>
        <v/>
      </c>
    </row>
    <row r="462">
      <c r="A462" s="2" t="n"/>
      <c r="B462" s="2" t="n"/>
      <c r="C462" s="2" t="n"/>
      <c r="D462" s="2" t="n"/>
      <c r="E462" s="2" t="n"/>
      <c r="F462" s="2" t="n"/>
      <c r="G462" s="2" t="n"/>
      <c r="H462" s="2" t="n"/>
      <c r="I462" s="2" t="n"/>
      <c r="J462" s="2" t="n"/>
      <c r="K462" s="2" t="n"/>
      <c r="L462" s="2" t="n"/>
      <c r="M462" s="2" t="n"/>
      <c r="N462" s="2" t="n"/>
      <c r="O462" s="2" t="n"/>
      <c r="P462" s="2" t="n"/>
      <c r="Q462" s="2">
        <f>IF(G462="","",TODAY()-G462)</f>
        <v/>
      </c>
    </row>
    <row r="463">
      <c r="A463" s="2" t="n"/>
      <c r="B463" s="2" t="n"/>
      <c r="C463" s="2" t="n"/>
      <c r="D463" s="2" t="n"/>
      <c r="E463" s="2" t="n"/>
      <c r="F463" s="2" t="n"/>
      <c r="G463" s="2" t="n"/>
      <c r="H463" s="2" t="n"/>
      <c r="I463" s="2" t="n"/>
      <c r="J463" s="2" t="n"/>
      <c r="K463" s="2" t="n"/>
      <c r="L463" s="2" t="n"/>
      <c r="M463" s="2" t="n"/>
      <c r="N463" s="2" t="n"/>
      <c r="O463" s="2" t="n"/>
      <c r="P463" s="2" t="n"/>
      <c r="Q463" s="2">
        <f>IF(G463="","",TODAY()-G463)</f>
        <v/>
      </c>
    </row>
    <row r="464">
      <c r="A464" s="2" t="n"/>
      <c r="B464" s="2" t="n"/>
      <c r="C464" s="2" t="n"/>
      <c r="D464" s="2" t="n"/>
      <c r="E464" s="2" t="n"/>
      <c r="F464" s="2" t="n"/>
      <c r="G464" s="2" t="n"/>
      <c r="H464" s="2" t="n"/>
      <c r="I464" s="2" t="n"/>
      <c r="J464" s="2" t="n"/>
      <c r="K464" s="2" t="n"/>
      <c r="L464" s="2" t="n"/>
      <c r="M464" s="2" t="n"/>
      <c r="N464" s="2" t="n"/>
      <c r="O464" s="2" t="n"/>
      <c r="P464" s="2" t="n"/>
      <c r="Q464" s="2">
        <f>IF(G464="","",TODAY()-G464)</f>
        <v/>
      </c>
    </row>
    <row r="465">
      <c r="A465" s="2" t="n"/>
      <c r="B465" s="2" t="n"/>
      <c r="C465" s="2" t="n"/>
      <c r="D465" s="2" t="n"/>
      <c r="E465" s="2" t="n"/>
      <c r="F465" s="2" t="n"/>
      <c r="G465" s="2" t="n"/>
      <c r="H465" s="2" t="n"/>
      <c r="I465" s="2" t="n"/>
      <c r="J465" s="2" t="n"/>
      <c r="K465" s="2" t="n"/>
      <c r="L465" s="2" t="n"/>
      <c r="M465" s="2" t="n"/>
      <c r="N465" s="2" t="n"/>
      <c r="O465" s="2" t="n"/>
      <c r="P465" s="2" t="n"/>
      <c r="Q465" s="2">
        <f>IF(G465="","",TODAY()-G465)</f>
        <v/>
      </c>
    </row>
    <row r="466">
      <c r="A466" s="2" t="n"/>
      <c r="B466" s="2" t="n"/>
      <c r="C466" s="2" t="n"/>
      <c r="D466" s="2" t="n"/>
      <c r="E466" s="2" t="n"/>
      <c r="F466" s="2" t="n"/>
      <c r="G466" s="2" t="n"/>
      <c r="H466" s="2" t="n"/>
      <c r="I466" s="2" t="n"/>
      <c r="J466" s="2" t="n"/>
      <c r="K466" s="2" t="n"/>
      <c r="L466" s="2" t="n"/>
      <c r="M466" s="2" t="n"/>
      <c r="N466" s="2" t="n"/>
      <c r="O466" s="2" t="n"/>
      <c r="P466" s="2" t="n"/>
      <c r="Q466" s="2">
        <f>IF(G466="","",TODAY()-G466)</f>
        <v/>
      </c>
    </row>
    <row r="467">
      <c r="A467" s="2" t="n"/>
      <c r="B467" s="2" t="n"/>
      <c r="C467" s="2" t="n"/>
      <c r="D467" s="2" t="n"/>
      <c r="E467" s="2" t="n"/>
      <c r="F467" s="2" t="n"/>
      <c r="G467" s="2" t="n"/>
      <c r="H467" s="2" t="n"/>
      <c r="I467" s="2" t="n"/>
      <c r="J467" s="2" t="n"/>
      <c r="K467" s="2" t="n"/>
      <c r="L467" s="2" t="n"/>
      <c r="M467" s="2" t="n"/>
      <c r="N467" s="2" t="n"/>
      <c r="O467" s="2" t="n"/>
      <c r="P467" s="2" t="n"/>
      <c r="Q467" s="2">
        <f>IF(G467="","",TODAY()-G467)</f>
        <v/>
      </c>
    </row>
    <row r="468">
      <c r="A468" s="2" t="n"/>
      <c r="B468" s="2" t="n"/>
      <c r="C468" s="2" t="n"/>
      <c r="D468" s="2" t="n"/>
      <c r="E468" s="2" t="n"/>
      <c r="F468" s="2" t="n"/>
      <c r="G468" s="2" t="n"/>
      <c r="H468" s="2" t="n"/>
      <c r="I468" s="2" t="n"/>
      <c r="J468" s="2" t="n"/>
      <c r="K468" s="2" t="n"/>
      <c r="L468" s="2" t="n"/>
      <c r="M468" s="2" t="n"/>
      <c r="N468" s="2" t="n"/>
      <c r="O468" s="2" t="n"/>
      <c r="P468" s="2" t="n"/>
      <c r="Q468" s="2">
        <f>IF(G468="","",TODAY()-G468)</f>
        <v/>
      </c>
    </row>
    <row r="469">
      <c r="A469" s="2" t="n"/>
      <c r="B469" s="2" t="n"/>
      <c r="C469" s="2" t="n"/>
      <c r="D469" s="2" t="n"/>
      <c r="E469" s="2" t="n"/>
      <c r="F469" s="2" t="n"/>
      <c r="G469" s="2" t="n"/>
      <c r="H469" s="2" t="n"/>
      <c r="I469" s="2" t="n"/>
      <c r="J469" s="2" t="n"/>
      <c r="K469" s="2" t="n"/>
      <c r="L469" s="2" t="n"/>
      <c r="M469" s="2" t="n"/>
      <c r="N469" s="2" t="n"/>
      <c r="O469" s="2" t="n"/>
      <c r="P469" s="2" t="n"/>
      <c r="Q469" s="2">
        <f>IF(G469="","",TODAY()-G469)</f>
        <v/>
      </c>
    </row>
    <row r="470">
      <c r="A470" s="2" t="n"/>
      <c r="B470" s="2" t="n"/>
      <c r="C470" s="2" t="n"/>
      <c r="D470" s="2" t="n"/>
      <c r="E470" s="2" t="n"/>
      <c r="F470" s="2" t="n"/>
      <c r="G470" s="2" t="n"/>
      <c r="H470" s="2" t="n"/>
      <c r="I470" s="2" t="n"/>
      <c r="J470" s="2" t="n"/>
      <c r="K470" s="2" t="n"/>
      <c r="L470" s="2" t="n"/>
      <c r="M470" s="2" t="n"/>
      <c r="N470" s="2" t="n"/>
      <c r="O470" s="2" t="n"/>
      <c r="P470" s="2" t="n"/>
      <c r="Q470" s="2">
        <f>IF(G470="","",TODAY()-G470)</f>
        <v/>
      </c>
    </row>
    <row r="471">
      <c r="A471" s="2" t="n"/>
      <c r="B471" s="2" t="n"/>
      <c r="C471" s="2" t="n"/>
      <c r="D471" s="2" t="n"/>
      <c r="E471" s="2" t="n"/>
      <c r="F471" s="2" t="n"/>
      <c r="G471" s="2" t="n"/>
      <c r="H471" s="2" t="n"/>
      <c r="I471" s="2" t="n"/>
      <c r="J471" s="2" t="n"/>
      <c r="K471" s="2" t="n"/>
      <c r="L471" s="2" t="n"/>
      <c r="M471" s="2" t="n"/>
      <c r="N471" s="2" t="n"/>
      <c r="O471" s="2" t="n"/>
      <c r="P471" s="2" t="n"/>
      <c r="Q471" s="2">
        <f>IF(G471="","",TODAY()-G471)</f>
        <v/>
      </c>
    </row>
    <row r="472">
      <c r="A472" s="2" t="n"/>
      <c r="B472" s="2" t="n"/>
      <c r="C472" s="2" t="n"/>
      <c r="D472" s="2" t="n"/>
      <c r="E472" s="2" t="n"/>
      <c r="F472" s="2" t="n"/>
      <c r="G472" s="2" t="n"/>
      <c r="H472" s="2" t="n"/>
      <c r="I472" s="2" t="n"/>
      <c r="J472" s="2" t="n"/>
      <c r="K472" s="2" t="n"/>
      <c r="L472" s="2" t="n"/>
      <c r="M472" s="2" t="n"/>
      <c r="N472" s="2" t="n"/>
      <c r="O472" s="2" t="n"/>
      <c r="P472" s="2" t="n"/>
      <c r="Q472" s="2">
        <f>IF(G472="","",TODAY()-G472)</f>
        <v/>
      </c>
    </row>
    <row r="473">
      <c r="A473" s="2" t="n"/>
      <c r="B473" s="2" t="n"/>
      <c r="C473" s="2" t="n"/>
      <c r="D473" s="2" t="n"/>
      <c r="E473" s="2" t="n"/>
      <c r="F473" s="2" t="n"/>
      <c r="G473" s="2" t="n"/>
      <c r="H473" s="2" t="n"/>
      <c r="I473" s="2" t="n"/>
      <c r="J473" s="2" t="n"/>
      <c r="K473" s="2" t="n"/>
      <c r="L473" s="2" t="n"/>
      <c r="M473" s="2" t="n"/>
      <c r="N473" s="2" t="n"/>
      <c r="O473" s="2" t="n"/>
      <c r="P473" s="2" t="n"/>
      <c r="Q473" s="2">
        <f>IF(G473="","",TODAY()-G473)</f>
        <v/>
      </c>
    </row>
    <row r="474">
      <c r="A474" s="2" t="n"/>
      <c r="B474" s="2" t="n"/>
      <c r="C474" s="2" t="n"/>
      <c r="D474" s="2" t="n"/>
      <c r="E474" s="2" t="n"/>
      <c r="F474" s="2" t="n"/>
      <c r="G474" s="2" t="n"/>
      <c r="H474" s="2" t="n"/>
      <c r="I474" s="2" t="n"/>
      <c r="J474" s="2" t="n"/>
      <c r="K474" s="2" t="n"/>
      <c r="L474" s="2" t="n"/>
      <c r="M474" s="2" t="n"/>
      <c r="N474" s="2" t="n"/>
      <c r="O474" s="2" t="n"/>
      <c r="P474" s="2" t="n"/>
      <c r="Q474" s="2">
        <f>IF(G474="","",TODAY()-G474)</f>
        <v/>
      </c>
    </row>
    <row r="475">
      <c r="A475" s="2" t="n"/>
      <c r="B475" s="2" t="n"/>
      <c r="C475" s="2" t="n"/>
      <c r="D475" s="2" t="n"/>
      <c r="E475" s="2" t="n"/>
      <c r="F475" s="2" t="n"/>
      <c r="G475" s="2" t="n"/>
      <c r="H475" s="2" t="n"/>
      <c r="I475" s="2" t="n"/>
      <c r="J475" s="2" t="n"/>
      <c r="K475" s="2" t="n"/>
      <c r="L475" s="2" t="n"/>
      <c r="M475" s="2" t="n"/>
      <c r="N475" s="2" t="n"/>
      <c r="O475" s="2" t="n"/>
      <c r="P475" s="2" t="n"/>
      <c r="Q475" s="2">
        <f>IF(G475="","",TODAY()-G475)</f>
        <v/>
      </c>
    </row>
    <row r="476">
      <c r="A476" s="2" t="n"/>
      <c r="B476" s="2" t="n"/>
      <c r="C476" s="2" t="n"/>
      <c r="D476" s="2" t="n"/>
      <c r="E476" s="2" t="n"/>
      <c r="F476" s="2" t="n"/>
      <c r="G476" s="2" t="n"/>
      <c r="H476" s="2" t="n"/>
      <c r="I476" s="2" t="n"/>
      <c r="J476" s="2" t="n"/>
      <c r="K476" s="2" t="n"/>
      <c r="L476" s="2" t="n"/>
      <c r="M476" s="2" t="n"/>
      <c r="N476" s="2" t="n"/>
      <c r="O476" s="2" t="n"/>
      <c r="P476" s="2" t="n"/>
      <c r="Q476" s="2">
        <f>IF(G476="","",TODAY()-G476)</f>
        <v/>
      </c>
    </row>
    <row r="477">
      <c r="A477" s="2" t="n"/>
      <c r="B477" s="2" t="n"/>
      <c r="C477" s="2" t="n"/>
      <c r="D477" s="2" t="n"/>
      <c r="E477" s="2" t="n"/>
      <c r="F477" s="2" t="n"/>
      <c r="G477" s="2" t="n"/>
      <c r="H477" s="2" t="n"/>
      <c r="I477" s="2" t="n"/>
      <c r="J477" s="2" t="n"/>
      <c r="K477" s="2" t="n"/>
      <c r="L477" s="2" t="n"/>
      <c r="M477" s="2" t="n"/>
      <c r="N477" s="2" t="n"/>
      <c r="O477" s="2" t="n"/>
      <c r="P477" s="2" t="n"/>
      <c r="Q477" s="2">
        <f>IF(G477="","",TODAY()-G477)</f>
        <v/>
      </c>
    </row>
    <row r="478">
      <c r="A478" s="2" t="n"/>
      <c r="B478" s="2" t="n"/>
      <c r="C478" s="2" t="n"/>
      <c r="D478" s="2" t="n"/>
      <c r="E478" s="2" t="n"/>
      <c r="F478" s="2" t="n"/>
      <c r="G478" s="2" t="n"/>
      <c r="H478" s="2" t="n"/>
      <c r="I478" s="2" t="n"/>
      <c r="J478" s="2" t="n"/>
      <c r="K478" s="2" t="n"/>
      <c r="L478" s="2" t="n"/>
      <c r="M478" s="2" t="n"/>
      <c r="N478" s="2" t="n"/>
      <c r="O478" s="2" t="n"/>
      <c r="P478" s="2" t="n"/>
      <c r="Q478" s="2">
        <f>IF(G478="","",TODAY()-G478)</f>
        <v/>
      </c>
    </row>
    <row r="479">
      <c r="A479" s="2" t="n"/>
      <c r="B479" s="2" t="n"/>
      <c r="C479" s="2" t="n"/>
      <c r="D479" s="2" t="n"/>
      <c r="E479" s="2" t="n"/>
      <c r="F479" s="2" t="n"/>
      <c r="G479" s="2" t="n"/>
      <c r="H479" s="2" t="n"/>
      <c r="I479" s="2" t="n"/>
      <c r="J479" s="2" t="n"/>
      <c r="K479" s="2" t="n"/>
      <c r="L479" s="2" t="n"/>
      <c r="M479" s="2" t="n"/>
      <c r="N479" s="2" t="n"/>
      <c r="O479" s="2" t="n"/>
      <c r="P479" s="2" t="n"/>
      <c r="Q479" s="2">
        <f>IF(G479="","",TODAY()-G479)</f>
        <v/>
      </c>
    </row>
    <row r="480">
      <c r="A480" s="2" t="n"/>
      <c r="B480" s="2" t="n"/>
      <c r="C480" s="2" t="n"/>
      <c r="D480" s="2" t="n"/>
      <c r="E480" s="2" t="n"/>
      <c r="F480" s="2" t="n"/>
      <c r="G480" s="2" t="n"/>
      <c r="H480" s="2" t="n"/>
      <c r="I480" s="2" t="n"/>
      <c r="J480" s="2" t="n"/>
      <c r="K480" s="2" t="n"/>
      <c r="L480" s="2" t="n"/>
      <c r="M480" s="2" t="n"/>
      <c r="N480" s="2" t="n"/>
      <c r="O480" s="2" t="n"/>
      <c r="P480" s="2" t="n"/>
      <c r="Q480" s="2">
        <f>IF(G480="","",TODAY()-G480)</f>
        <v/>
      </c>
    </row>
    <row r="481">
      <c r="A481" s="2" t="n"/>
      <c r="B481" s="2" t="n"/>
      <c r="C481" s="2" t="n"/>
      <c r="D481" s="2" t="n"/>
      <c r="E481" s="2" t="n"/>
      <c r="F481" s="2" t="n"/>
      <c r="G481" s="2" t="n"/>
      <c r="H481" s="2" t="n"/>
      <c r="I481" s="2" t="n"/>
      <c r="J481" s="2" t="n"/>
      <c r="K481" s="2" t="n"/>
      <c r="L481" s="2" t="n"/>
      <c r="M481" s="2" t="n"/>
      <c r="N481" s="2" t="n"/>
      <c r="O481" s="2" t="n"/>
      <c r="P481" s="2" t="n"/>
      <c r="Q481" s="2">
        <f>IF(G481="","",TODAY()-G481)</f>
        <v/>
      </c>
    </row>
    <row r="482">
      <c r="A482" s="2" t="n"/>
      <c r="B482" s="2" t="n"/>
      <c r="C482" s="2" t="n"/>
      <c r="D482" s="2" t="n"/>
      <c r="E482" s="2" t="n"/>
      <c r="F482" s="2" t="n"/>
      <c r="G482" s="2" t="n"/>
      <c r="H482" s="2" t="n"/>
      <c r="I482" s="2" t="n"/>
      <c r="J482" s="2" t="n"/>
      <c r="K482" s="2" t="n"/>
      <c r="L482" s="2" t="n"/>
      <c r="M482" s="2" t="n"/>
      <c r="N482" s="2" t="n"/>
      <c r="O482" s="2" t="n"/>
      <c r="P482" s="2" t="n"/>
      <c r="Q482" s="2">
        <f>IF(G482="","",TODAY()-G482)</f>
        <v/>
      </c>
    </row>
    <row r="483">
      <c r="A483" s="2" t="n"/>
      <c r="B483" s="2" t="n"/>
      <c r="C483" s="2" t="n"/>
      <c r="D483" s="2" t="n"/>
      <c r="E483" s="2" t="n"/>
      <c r="F483" s="2" t="n"/>
      <c r="G483" s="2" t="n"/>
      <c r="H483" s="2" t="n"/>
      <c r="I483" s="2" t="n"/>
      <c r="J483" s="2" t="n"/>
      <c r="K483" s="2" t="n"/>
      <c r="L483" s="2" t="n"/>
      <c r="M483" s="2" t="n"/>
      <c r="N483" s="2" t="n"/>
      <c r="O483" s="2" t="n"/>
      <c r="P483" s="2" t="n"/>
      <c r="Q483" s="2">
        <f>IF(G483="","",TODAY()-G483)</f>
        <v/>
      </c>
    </row>
    <row r="484">
      <c r="A484" s="2" t="n"/>
      <c r="B484" s="2" t="n"/>
      <c r="C484" s="2" t="n"/>
      <c r="D484" s="2" t="n"/>
      <c r="E484" s="2" t="n"/>
      <c r="F484" s="2" t="n"/>
      <c r="G484" s="2" t="n"/>
      <c r="H484" s="2" t="n"/>
      <c r="I484" s="2" t="n"/>
      <c r="J484" s="2" t="n"/>
      <c r="K484" s="2" t="n"/>
      <c r="L484" s="2" t="n"/>
      <c r="M484" s="2" t="n"/>
      <c r="N484" s="2" t="n"/>
      <c r="O484" s="2" t="n"/>
      <c r="P484" s="2" t="n"/>
      <c r="Q484" s="2">
        <f>IF(G484="","",TODAY()-G484)</f>
        <v/>
      </c>
    </row>
    <row r="485">
      <c r="A485" s="2" t="n"/>
      <c r="B485" s="2" t="n"/>
      <c r="C485" s="2" t="n"/>
      <c r="D485" s="2" t="n"/>
      <c r="E485" s="2" t="n"/>
      <c r="F485" s="2" t="n"/>
      <c r="G485" s="2" t="n"/>
      <c r="H485" s="2" t="n"/>
      <c r="I485" s="2" t="n"/>
      <c r="J485" s="2" t="n"/>
      <c r="K485" s="2" t="n"/>
      <c r="L485" s="2" t="n"/>
      <c r="M485" s="2" t="n"/>
      <c r="N485" s="2" t="n"/>
      <c r="O485" s="2" t="n"/>
      <c r="P485" s="2" t="n"/>
      <c r="Q485" s="2">
        <f>IF(G485="","",TODAY()-G485)</f>
        <v/>
      </c>
    </row>
    <row r="486">
      <c r="A486" s="2" t="n"/>
      <c r="B486" s="2" t="n"/>
      <c r="C486" s="2" t="n"/>
      <c r="D486" s="2" t="n"/>
      <c r="E486" s="2" t="n"/>
      <c r="F486" s="2" t="n"/>
      <c r="G486" s="2" t="n"/>
      <c r="H486" s="2" t="n"/>
      <c r="I486" s="2" t="n"/>
      <c r="J486" s="2" t="n"/>
      <c r="K486" s="2" t="n"/>
      <c r="L486" s="2" t="n"/>
      <c r="M486" s="2" t="n"/>
      <c r="N486" s="2" t="n"/>
      <c r="O486" s="2" t="n"/>
      <c r="P486" s="2" t="n"/>
      <c r="Q486" s="2">
        <f>IF(G486="","",TODAY()-G486)</f>
        <v/>
      </c>
    </row>
    <row r="487">
      <c r="A487" s="2" t="n"/>
      <c r="B487" s="2" t="n"/>
      <c r="C487" s="2" t="n"/>
      <c r="D487" s="2" t="n"/>
      <c r="E487" s="2" t="n"/>
      <c r="F487" s="2" t="n"/>
      <c r="G487" s="2" t="n"/>
      <c r="H487" s="2" t="n"/>
      <c r="I487" s="2" t="n"/>
      <c r="J487" s="2" t="n"/>
      <c r="K487" s="2" t="n"/>
      <c r="L487" s="2" t="n"/>
      <c r="M487" s="2" t="n"/>
      <c r="N487" s="2" t="n"/>
      <c r="O487" s="2" t="n"/>
      <c r="P487" s="2" t="n"/>
      <c r="Q487" s="2">
        <f>IF(G487="","",TODAY()-G487)</f>
        <v/>
      </c>
    </row>
    <row r="488">
      <c r="A488" s="2" t="n"/>
      <c r="B488" s="2" t="n"/>
      <c r="C488" s="2" t="n"/>
      <c r="D488" s="2" t="n"/>
      <c r="E488" s="2" t="n"/>
      <c r="F488" s="2" t="n"/>
      <c r="G488" s="2" t="n"/>
      <c r="H488" s="2" t="n"/>
      <c r="I488" s="2" t="n"/>
      <c r="J488" s="2" t="n"/>
      <c r="K488" s="2" t="n"/>
      <c r="L488" s="2" t="n"/>
      <c r="M488" s="2" t="n"/>
      <c r="N488" s="2" t="n"/>
      <c r="O488" s="2" t="n"/>
      <c r="P488" s="2" t="n"/>
      <c r="Q488" s="2">
        <f>IF(G488="","",TODAY()-G488)</f>
        <v/>
      </c>
    </row>
    <row r="489">
      <c r="A489" s="2" t="n"/>
      <c r="B489" s="2" t="n"/>
      <c r="C489" s="2" t="n"/>
      <c r="D489" s="2" t="n"/>
      <c r="E489" s="2" t="n"/>
      <c r="F489" s="2" t="n"/>
      <c r="G489" s="2" t="n"/>
      <c r="H489" s="2" t="n"/>
      <c r="I489" s="2" t="n"/>
      <c r="J489" s="2" t="n"/>
      <c r="K489" s="2" t="n"/>
      <c r="L489" s="2" t="n"/>
      <c r="M489" s="2" t="n"/>
      <c r="N489" s="2" t="n"/>
      <c r="O489" s="2" t="n"/>
      <c r="P489" s="2" t="n"/>
      <c r="Q489" s="2">
        <f>IF(G489="","",TODAY()-G489)</f>
        <v/>
      </c>
    </row>
    <row r="490">
      <c r="A490" s="2" t="n"/>
      <c r="B490" s="2" t="n"/>
      <c r="C490" s="2" t="n"/>
      <c r="D490" s="2" t="n"/>
      <c r="E490" s="2" t="n"/>
      <c r="F490" s="2" t="n"/>
      <c r="G490" s="2" t="n"/>
      <c r="H490" s="2" t="n"/>
      <c r="I490" s="2" t="n"/>
      <c r="J490" s="2" t="n"/>
      <c r="K490" s="2" t="n"/>
      <c r="L490" s="2" t="n"/>
      <c r="M490" s="2" t="n"/>
      <c r="N490" s="2" t="n"/>
      <c r="O490" s="2" t="n"/>
      <c r="P490" s="2" t="n"/>
      <c r="Q490" s="2">
        <f>IF(G490="","",TODAY()-G490)</f>
        <v/>
      </c>
    </row>
    <row r="491">
      <c r="A491" s="2" t="n"/>
      <c r="B491" s="2" t="n"/>
      <c r="C491" s="2" t="n"/>
      <c r="D491" s="2" t="n"/>
      <c r="E491" s="2" t="n"/>
      <c r="F491" s="2" t="n"/>
      <c r="G491" s="2" t="n"/>
      <c r="H491" s="2" t="n"/>
      <c r="I491" s="2" t="n"/>
      <c r="J491" s="2" t="n"/>
      <c r="K491" s="2" t="n"/>
      <c r="L491" s="2" t="n"/>
      <c r="M491" s="2" t="n"/>
      <c r="N491" s="2" t="n"/>
      <c r="O491" s="2" t="n"/>
      <c r="P491" s="2" t="n"/>
      <c r="Q491" s="2">
        <f>IF(G491="","",TODAY()-G491)</f>
        <v/>
      </c>
    </row>
    <row r="492">
      <c r="A492" s="2" t="n"/>
      <c r="B492" s="2" t="n"/>
      <c r="C492" s="2" t="n"/>
      <c r="D492" s="2" t="n"/>
      <c r="E492" s="2" t="n"/>
      <c r="F492" s="2" t="n"/>
      <c r="G492" s="2" t="n"/>
      <c r="H492" s="2" t="n"/>
      <c r="I492" s="2" t="n"/>
      <c r="J492" s="2" t="n"/>
      <c r="K492" s="2" t="n"/>
      <c r="L492" s="2" t="n"/>
      <c r="M492" s="2" t="n"/>
      <c r="N492" s="2" t="n"/>
      <c r="O492" s="2" t="n"/>
      <c r="P492" s="2" t="n"/>
      <c r="Q492" s="2">
        <f>IF(G492="","",TODAY()-G492)</f>
        <v/>
      </c>
    </row>
    <row r="493">
      <c r="A493" s="2" t="n"/>
      <c r="B493" s="2" t="n"/>
      <c r="C493" s="2" t="n"/>
      <c r="D493" s="2" t="n"/>
      <c r="E493" s="2" t="n"/>
      <c r="F493" s="2" t="n"/>
      <c r="G493" s="2" t="n"/>
      <c r="H493" s="2" t="n"/>
      <c r="I493" s="2" t="n"/>
      <c r="J493" s="2" t="n"/>
      <c r="K493" s="2" t="n"/>
      <c r="L493" s="2" t="n"/>
      <c r="M493" s="2" t="n"/>
      <c r="N493" s="2" t="n"/>
      <c r="O493" s="2" t="n"/>
      <c r="P493" s="2" t="n"/>
      <c r="Q493" s="2">
        <f>IF(G493="","",TODAY()-G493)</f>
        <v/>
      </c>
    </row>
    <row r="494">
      <c r="A494" s="2" t="n"/>
      <c r="B494" s="2" t="n"/>
      <c r="C494" s="2" t="n"/>
      <c r="D494" s="2" t="n"/>
      <c r="E494" s="2" t="n"/>
      <c r="F494" s="2" t="n"/>
      <c r="G494" s="2" t="n"/>
      <c r="H494" s="2" t="n"/>
      <c r="I494" s="2" t="n"/>
      <c r="J494" s="2" t="n"/>
      <c r="K494" s="2" t="n"/>
      <c r="L494" s="2" t="n"/>
      <c r="M494" s="2" t="n"/>
      <c r="N494" s="2" t="n"/>
      <c r="O494" s="2" t="n"/>
      <c r="P494" s="2" t="n"/>
      <c r="Q494" s="2">
        <f>IF(G494="","",TODAY()-G494)</f>
        <v/>
      </c>
    </row>
    <row r="495">
      <c r="A495" s="2" t="n"/>
      <c r="B495" s="2" t="n"/>
      <c r="C495" s="2" t="n"/>
      <c r="D495" s="2" t="n"/>
      <c r="E495" s="2" t="n"/>
      <c r="F495" s="2" t="n"/>
      <c r="G495" s="2" t="n"/>
      <c r="H495" s="2" t="n"/>
      <c r="I495" s="2" t="n"/>
      <c r="J495" s="2" t="n"/>
      <c r="K495" s="2" t="n"/>
      <c r="L495" s="2" t="n"/>
      <c r="M495" s="2" t="n"/>
      <c r="N495" s="2" t="n"/>
      <c r="O495" s="2" t="n"/>
      <c r="P495" s="2" t="n"/>
      <c r="Q495" s="2">
        <f>IF(G495="","",TODAY()-G495)</f>
        <v/>
      </c>
    </row>
    <row r="496">
      <c r="A496" s="2" t="n"/>
      <c r="B496" s="2" t="n"/>
      <c r="C496" s="2" t="n"/>
      <c r="D496" s="2" t="n"/>
      <c r="E496" s="2" t="n"/>
      <c r="F496" s="2" t="n"/>
      <c r="G496" s="2" t="n"/>
      <c r="H496" s="2" t="n"/>
      <c r="I496" s="2" t="n"/>
      <c r="J496" s="2" t="n"/>
      <c r="K496" s="2" t="n"/>
      <c r="L496" s="2" t="n"/>
      <c r="M496" s="2" t="n"/>
      <c r="N496" s="2" t="n"/>
      <c r="O496" s="2" t="n"/>
      <c r="P496" s="2" t="n"/>
      <c r="Q496" s="2">
        <f>IF(G496="","",TODAY()-G496)</f>
        <v/>
      </c>
    </row>
    <row r="497">
      <c r="A497" s="2" t="n"/>
      <c r="B497" s="2" t="n"/>
      <c r="C497" s="2" t="n"/>
      <c r="D497" s="2" t="n"/>
      <c r="E497" s="2" t="n"/>
      <c r="F497" s="2" t="n"/>
      <c r="G497" s="2" t="n"/>
      <c r="H497" s="2" t="n"/>
      <c r="I497" s="2" t="n"/>
      <c r="J497" s="2" t="n"/>
      <c r="K497" s="2" t="n"/>
      <c r="L497" s="2" t="n"/>
      <c r="M497" s="2" t="n"/>
      <c r="N497" s="2" t="n"/>
      <c r="O497" s="2" t="n"/>
      <c r="P497" s="2" t="n"/>
      <c r="Q497" s="2">
        <f>IF(G497="","",TODAY()-G497)</f>
        <v/>
      </c>
    </row>
    <row r="498">
      <c r="A498" s="2" t="n"/>
      <c r="B498" s="2" t="n"/>
      <c r="C498" s="2" t="n"/>
      <c r="D498" s="2" t="n"/>
      <c r="E498" s="2" t="n"/>
      <c r="F498" s="2" t="n"/>
      <c r="G498" s="2" t="n"/>
      <c r="H498" s="2" t="n"/>
      <c r="I498" s="2" t="n"/>
      <c r="J498" s="2" t="n"/>
      <c r="K498" s="2" t="n"/>
      <c r="L498" s="2" t="n"/>
      <c r="M498" s="2" t="n"/>
      <c r="N498" s="2" t="n"/>
      <c r="O498" s="2" t="n"/>
      <c r="P498" s="2" t="n"/>
      <c r="Q498" s="2">
        <f>IF(G498="","",TODAY()-G498)</f>
        <v/>
      </c>
    </row>
    <row r="499">
      <c r="A499" s="2" t="n"/>
      <c r="B499" s="2" t="n"/>
      <c r="C499" s="2" t="n"/>
      <c r="D499" s="2" t="n"/>
      <c r="E499" s="2" t="n"/>
      <c r="F499" s="2" t="n"/>
      <c r="G499" s="2" t="n"/>
      <c r="H499" s="2" t="n"/>
      <c r="I499" s="2" t="n"/>
      <c r="J499" s="2" t="n"/>
      <c r="K499" s="2" t="n"/>
      <c r="L499" s="2" t="n"/>
      <c r="M499" s="2" t="n"/>
      <c r="N499" s="2" t="n"/>
      <c r="O499" s="2" t="n"/>
      <c r="P499" s="2" t="n"/>
      <c r="Q499" s="2">
        <f>IF(G499="","",TODAY()-G499)</f>
        <v/>
      </c>
    </row>
    <row r="500">
      <c r="A500" s="2" t="n"/>
      <c r="B500" s="2" t="n"/>
      <c r="C500" s="2" t="n"/>
      <c r="D500" s="2" t="n"/>
      <c r="E500" s="2" t="n"/>
      <c r="F500" s="2" t="n"/>
      <c r="G500" s="2" t="n"/>
      <c r="H500" s="2" t="n"/>
      <c r="I500" s="2" t="n"/>
      <c r="J500" s="2" t="n"/>
      <c r="K500" s="2" t="n"/>
      <c r="L500" s="2" t="n"/>
      <c r="M500" s="2" t="n"/>
      <c r="N500" s="2" t="n"/>
      <c r="O500" s="2" t="n"/>
      <c r="P500" s="2" t="n"/>
      <c r="Q500" s="2">
        <f>IF(G500="","",TODAY()-G500)</f>
        <v/>
      </c>
    </row>
  </sheetData>
  <autoFilter ref="A1:Q500"/>
  <conditionalFormatting sqref="H2:H500">
    <cfRule type="cellIs" priority="1" operator="equal" dxfId="0">
      <formula>"PPO"</formula>
    </cfRule>
  </conditionalFormatting>
  <dataValidations count="3">
    <dataValidation sqref="H2:H500" showDropDown="0" showInputMessage="0" showErrorMessage="0" allowBlank="1" type="list">
      <formula1>"Shortlisted,Applied,Waiting,OA,Technical Interview,HR/Manager,Offer,Rejected,Ghosted,Withdrawn,PPO"</formula1>
    </dataValidation>
    <dataValidation sqref="F2:F500" showDropDown="0" showInputMessage="0" showErrorMessage="0" allowBlank="1" type="list">
      <formula1>"SDE,Backend,Full Stack,Cloud/DevOps"</formula1>
    </dataValidation>
    <dataValidation sqref="P2:P500" showDropDown="0" showInputMessage="0" showErrorMessage="0" allowBlank="1" type="list">
      <formula1>"Yes,No,Unknown"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500"/>
  <sheetViews>
    <sheetView workbookViewId="0">
      <pane ySplit="1" topLeftCell="A2" activePane="bottomLeft" state="frozen"/>
      <selection pane="bottomLeft" activeCell="A1" sqref="A1"/>
    </sheetView>
  </sheetViews>
  <sheetFormatPr baseColWidth="8" defaultRowHeight="15"/>
  <cols>
    <col width="14" customWidth="1" style="15" min="1" max="1"/>
    <col width="16" customWidth="1" style="15" min="2" max="2"/>
    <col width="12" customWidth="1" style="15" min="3" max="6"/>
    <col width="17" customWidth="1" style="15" min="7" max="7"/>
    <col width="12" customWidth="1" style="15" min="8" max="8"/>
    <col width="15" customWidth="1" style="15" min="9" max="9"/>
    <col width="21" customWidth="1" style="15" min="10" max="10"/>
    <col width="38" customWidth="1" style="15" min="11" max="11"/>
    <col width="42" customWidth="1" style="15" min="12" max="15"/>
  </cols>
  <sheetData>
    <row r="1">
      <c r="A1" s="1" t="inlineStr">
        <is>
          <t>Interview ID</t>
        </is>
      </c>
      <c r="B1" s="1" t="inlineStr">
        <is>
          <t>Application ID</t>
        </is>
      </c>
      <c r="C1" s="1" t="inlineStr">
        <is>
          <t>Company</t>
        </is>
      </c>
      <c r="D1" s="1" t="inlineStr">
        <is>
          <t>Role</t>
        </is>
      </c>
      <c r="E1" s="1" t="inlineStr">
        <is>
          <t>Stage</t>
        </is>
      </c>
      <c r="F1" s="1" t="inlineStr">
        <is>
          <t>Date</t>
        </is>
      </c>
      <c r="G1" s="1" t="inlineStr">
        <is>
          <t>Technical Score</t>
        </is>
      </c>
      <c r="H1" s="1" t="inlineStr">
        <is>
          <t>DSA Score</t>
        </is>
      </c>
      <c r="I1" s="1" t="inlineStr">
        <is>
          <t>Project Score</t>
        </is>
      </c>
      <c r="J1" s="1" t="inlineStr">
        <is>
          <t>Communication Score</t>
        </is>
      </c>
      <c r="K1" s="1" t="inlineStr">
        <is>
          <t>Overall Score</t>
        </is>
      </c>
      <c r="L1" s="1" t="inlineStr">
        <is>
          <t>Top Weaknesses</t>
        </is>
      </c>
      <c r="M1" s="1" t="inlineStr">
        <is>
          <t>Questions / Topics</t>
        </is>
      </c>
      <c r="N1" s="1" t="inlineStr">
        <is>
          <t>Next Preparation</t>
        </is>
      </c>
      <c r="O1" s="1" t="inlineStr">
        <is>
          <t>Notes</t>
        </is>
      </c>
    </row>
    <row r="2">
      <c r="A2" s="2" t="n"/>
      <c r="B2" s="2" t="n"/>
      <c r="C2" s="2" t="n"/>
      <c r="D2" s="2" t="n"/>
      <c r="E2" s="2" t="n"/>
      <c r="F2" s="2" t="n"/>
      <c r="G2" s="2" t="n"/>
      <c r="H2" s="2" t="n"/>
      <c r="I2" s="2" t="n"/>
      <c r="J2" s="2" t="n"/>
      <c r="K2" s="2">
        <f>IF(COUNTA(G2:J2)&lt;4,"",ROUND(AVERAGE(G2:J2),1))</f>
        <v/>
      </c>
      <c r="L2" s="2" t="n"/>
      <c r="M2" s="2" t="n"/>
      <c r="N2" s="2" t="n"/>
      <c r="O2" s="2" t="n"/>
    </row>
    <row r="3">
      <c r="A3" s="2" t="n"/>
      <c r="B3" s="2" t="n"/>
      <c r="C3" s="2" t="n"/>
      <c r="D3" s="2" t="n"/>
      <c r="E3" s="2" t="n"/>
      <c r="F3" s="2" t="n"/>
      <c r="G3" s="2" t="n"/>
      <c r="H3" s="2" t="n"/>
      <c r="I3" s="2" t="n"/>
      <c r="J3" s="2" t="n"/>
      <c r="K3" s="2">
        <f>IF(COUNTA(G3:J3)&lt;4,"",ROUND(AVERAGE(G3:J3),1))</f>
        <v/>
      </c>
      <c r="L3" s="2" t="n"/>
      <c r="M3" s="2" t="n"/>
      <c r="N3" s="2" t="n"/>
      <c r="O3" s="2" t="n"/>
    </row>
    <row r="4">
      <c r="A4" s="2" t="n"/>
      <c r="B4" s="2" t="n"/>
      <c r="C4" s="2" t="n"/>
      <c r="D4" s="2" t="n"/>
      <c r="E4" s="2" t="n"/>
      <c r="F4" s="2" t="n"/>
      <c r="G4" s="2" t="n"/>
      <c r="H4" s="2" t="n"/>
      <c r="I4" s="2" t="n"/>
      <c r="J4" s="2" t="n"/>
      <c r="K4" s="2">
        <f>IF(COUNTA(G4:J4)&lt;4,"",ROUND(AVERAGE(G4:J4),1))</f>
        <v/>
      </c>
      <c r="L4" s="2" t="n"/>
      <c r="M4" s="2" t="n"/>
      <c r="N4" s="2" t="n"/>
      <c r="O4" s="2" t="n"/>
    </row>
    <row r="5">
      <c r="A5" s="2" t="n"/>
      <c r="B5" s="2" t="n"/>
      <c r="C5" s="2" t="n"/>
      <c r="D5" s="2" t="n"/>
      <c r="E5" s="2" t="n"/>
      <c r="F5" s="2" t="n"/>
      <c r="G5" s="2" t="n"/>
      <c r="H5" s="2" t="n"/>
      <c r="I5" s="2" t="n"/>
      <c r="J5" s="2" t="n"/>
      <c r="K5" s="2">
        <f>IF(COUNTA(G5:J5)&lt;4,"",ROUND(AVERAGE(G5:J5),1))</f>
        <v/>
      </c>
      <c r="L5" s="2" t="n"/>
      <c r="M5" s="2" t="n"/>
      <c r="N5" s="2" t="n"/>
      <c r="O5" s="2" t="n"/>
    </row>
    <row r="6">
      <c r="A6" s="2" t="n"/>
      <c r="B6" s="2" t="n"/>
      <c r="C6" s="2" t="n"/>
      <c r="D6" s="2" t="n"/>
      <c r="E6" s="2" t="n"/>
      <c r="F6" s="2" t="n"/>
      <c r="G6" s="2" t="n"/>
      <c r="H6" s="2" t="n"/>
      <c r="I6" s="2" t="n"/>
      <c r="J6" s="2" t="n"/>
      <c r="K6" s="2">
        <f>IF(COUNTA(G6:J6)&lt;4,"",ROUND(AVERAGE(G6:J6),1))</f>
        <v/>
      </c>
      <c r="L6" s="2" t="n"/>
      <c r="M6" s="2" t="n"/>
      <c r="N6" s="2" t="n"/>
      <c r="O6" s="2" t="n"/>
    </row>
    <row r="7">
      <c r="A7" s="2" t="n"/>
      <c r="B7" s="2" t="n"/>
      <c r="C7" s="2" t="n"/>
      <c r="D7" s="2" t="n"/>
      <c r="E7" s="2" t="n"/>
      <c r="F7" s="2" t="n"/>
      <c r="G7" s="2" t="n"/>
      <c r="H7" s="2" t="n"/>
      <c r="I7" s="2" t="n"/>
      <c r="J7" s="2" t="n"/>
      <c r="K7" s="2">
        <f>IF(COUNTA(G7:J7)&lt;4,"",ROUND(AVERAGE(G7:J7),1))</f>
        <v/>
      </c>
      <c r="L7" s="2" t="n"/>
      <c r="M7" s="2" t="n"/>
      <c r="N7" s="2" t="n"/>
      <c r="O7" s="2" t="n"/>
    </row>
    <row r="8">
      <c r="A8" s="2" t="n"/>
      <c r="B8" s="2" t="n"/>
      <c r="C8" s="2" t="n"/>
      <c r="D8" s="2" t="n"/>
      <c r="E8" s="2" t="n"/>
      <c r="F8" s="2" t="n"/>
      <c r="G8" s="2" t="n"/>
      <c r="H8" s="2" t="n"/>
      <c r="I8" s="2" t="n"/>
      <c r="J8" s="2" t="n"/>
      <c r="K8" s="2">
        <f>IF(COUNTA(G8:J8)&lt;4,"",ROUND(AVERAGE(G8:J8),1))</f>
        <v/>
      </c>
      <c r="L8" s="2" t="n"/>
      <c r="M8" s="2" t="n"/>
      <c r="N8" s="2" t="n"/>
      <c r="O8" s="2" t="n"/>
    </row>
    <row r="9">
      <c r="A9" s="2" t="n"/>
      <c r="B9" s="2" t="n"/>
      <c r="C9" s="2" t="n"/>
      <c r="D9" s="2" t="n"/>
      <c r="E9" s="2" t="n"/>
      <c r="F9" s="2" t="n"/>
      <c r="G9" s="2" t="n"/>
      <c r="H9" s="2" t="n"/>
      <c r="I9" s="2" t="n"/>
      <c r="J9" s="2" t="n"/>
      <c r="K9" s="2">
        <f>IF(COUNTA(G9:J9)&lt;4,"",ROUND(AVERAGE(G9:J9),1))</f>
        <v/>
      </c>
      <c r="L9" s="2" t="n"/>
      <c r="M9" s="2" t="n"/>
      <c r="N9" s="2" t="n"/>
      <c r="O9" s="2" t="n"/>
    </row>
    <row r="10">
      <c r="A10" s="2" t="n"/>
      <c r="B10" s="2" t="n"/>
      <c r="C10" s="2" t="n"/>
      <c r="D10" s="2" t="n"/>
      <c r="E10" s="2" t="n"/>
      <c r="F10" s="2" t="n"/>
      <c r="G10" s="2" t="n"/>
      <c r="H10" s="2" t="n"/>
      <c r="I10" s="2" t="n"/>
      <c r="J10" s="2" t="n"/>
      <c r="K10" s="2">
        <f>IF(COUNTA(G10:J10)&lt;4,"",ROUND(AVERAGE(G10:J10),1))</f>
        <v/>
      </c>
      <c r="L10" s="2" t="n"/>
      <c r="M10" s="2" t="n"/>
      <c r="N10" s="2" t="n"/>
      <c r="O10" s="2" t="n"/>
    </row>
    <row r="11">
      <c r="A11" s="2" t="n"/>
      <c r="B11" s="2" t="n"/>
      <c r="C11" s="2" t="n"/>
      <c r="D11" s="2" t="n"/>
      <c r="E11" s="2" t="n"/>
      <c r="F11" s="2" t="n"/>
      <c r="G11" s="2" t="n"/>
      <c r="H11" s="2" t="n"/>
      <c r="I11" s="2" t="n"/>
      <c r="J11" s="2" t="n"/>
      <c r="K11" s="2">
        <f>IF(COUNTA(G11:J11)&lt;4,"",ROUND(AVERAGE(G11:J11),1))</f>
        <v/>
      </c>
      <c r="L11" s="2" t="n"/>
      <c r="M11" s="2" t="n"/>
      <c r="N11" s="2" t="n"/>
      <c r="O11" s="2" t="n"/>
    </row>
    <row r="12">
      <c r="A12" s="2" t="n"/>
      <c r="B12" s="2" t="n"/>
      <c r="C12" s="2" t="n"/>
      <c r="D12" s="2" t="n"/>
      <c r="E12" s="2" t="n"/>
      <c r="F12" s="2" t="n"/>
      <c r="G12" s="2" t="n"/>
      <c r="H12" s="2" t="n"/>
      <c r="I12" s="2" t="n"/>
      <c r="J12" s="2" t="n"/>
      <c r="K12" s="2">
        <f>IF(COUNTA(G12:J12)&lt;4,"",ROUND(AVERAGE(G12:J12),1))</f>
        <v/>
      </c>
      <c r="L12" s="2" t="n"/>
      <c r="M12" s="2" t="n"/>
      <c r="N12" s="2" t="n"/>
      <c r="O12" s="2" t="n"/>
    </row>
    <row r="13">
      <c r="A13" s="2" t="n"/>
      <c r="B13" s="2" t="n"/>
      <c r="C13" s="2" t="n"/>
      <c r="D13" s="2" t="n"/>
      <c r="E13" s="2" t="n"/>
      <c r="F13" s="2" t="n"/>
      <c r="G13" s="2" t="n"/>
      <c r="H13" s="2" t="n"/>
      <c r="I13" s="2" t="n"/>
      <c r="J13" s="2" t="n"/>
      <c r="K13" s="2">
        <f>IF(COUNTA(G13:J13)&lt;4,"",ROUND(AVERAGE(G13:J13),1))</f>
        <v/>
      </c>
      <c r="L13" s="2" t="n"/>
      <c r="M13" s="2" t="n"/>
      <c r="N13" s="2" t="n"/>
      <c r="O13" s="2" t="n"/>
    </row>
    <row r="14">
      <c r="A14" s="2" t="n"/>
      <c r="B14" s="2" t="n"/>
      <c r="C14" s="2" t="n"/>
      <c r="D14" s="2" t="n"/>
      <c r="E14" s="2" t="n"/>
      <c r="F14" s="2" t="n"/>
      <c r="G14" s="2" t="n"/>
      <c r="H14" s="2" t="n"/>
      <c r="I14" s="2" t="n"/>
      <c r="J14" s="2" t="n"/>
      <c r="K14" s="2">
        <f>IF(COUNTA(G14:J14)&lt;4,"",ROUND(AVERAGE(G14:J14),1))</f>
        <v/>
      </c>
      <c r="L14" s="2" t="n"/>
      <c r="M14" s="2" t="n"/>
      <c r="N14" s="2" t="n"/>
      <c r="O14" s="2" t="n"/>
    </row>
    <row r="15">
      <c r="A15" s="2" t="n"/>
      <c r="B15" s="2" t="n"/>
      <c r="C15" s="2" t="n"/>
      <c r="D15" s="2" t="n"/>
      <c r="E15" s="2" t="n"/>
      <c r="F15" s="2" t="n"/>
      <c r="G15" s="2" t="n"/>
      <c r="H15" s="2" t="n"/>
      <c r="I15" s="2" t="n"/>
      <c r="J15" s="2" t="n"/>
      <c r="K15" s="2">
        <f>IF(COUNTA(G15:J15)&lt;4,"",ROUND(AVERAGE(G15:J15),1))</f>
        <v/>
      </c>
      <c r="L15" s="2" t="n"/>
      <c r="M15" s="2" t="n"/>
      <c r="N15" s="2" t="n"/>
      <c r="O15" s="2" t="n"/>
    </row>
    <row r="16">
      <c r="A16" s="2" t="n"/>
      <c r="B16" s="2" t="n"/>
      <c r="C16" s="2" t="n"/>
      <c r="D16" s="2" t="n"/>
      <c r="E16" s="2" t="n"/>
      <c r="F16" s="2" t="n"/>
      <c r="G16" s="2" t="n"/>
      <c r="H16" s="2" t="n"/>
      <c r="I16" s="2" t="n"/>
      <c r="J16" s="2" t="n"/>
      <c r="K16" s="2">
        <f>IF(COUNTA(G16:J16)&lt;4,"",ROUND(AVERAGE(G16:J16),1))</f>
        <v/>
      </c>
      <c r="L16" s="2" t="n"/>
      <c r="M16" s="2" t="n"/>
      <c r="N16" s="2" t="n"/>
      <c r="O16" s="2" t="n"/>
    </row>
    <row r="17">
      <c r="A17" s="2" t="n"/>
      <c r="B17" s="2" t="n"/>
      <c r="C17" s="2" t="n"/>
      <c r="D17" s="2" t="n"/>
      <c r="E17" s="2" t="n"/>
      <c r="F17" s="2" t="n"/>
      <c r="G17" s="2" t="n"/>
      <c r="H17" s="2" t="n"/>
      <c r="I17" s="2" t="n"/>
      <c r="J17" s="2" t="n"/>
      <c r="K17" s="2">
        <f>IF(COUNTA(G17:J17)&lt;4,"",ROUND(AVERAGE(G17:J17),1))</f>
        <v/>
      </c>
      <c r="L17" s="2" t="n"/>
      <c r="M17" s="2" t="n"/>
      <c r="N17" s="2" t="n"/>
      <c r="O17" s="2" t="n"/>
    </row>
    <row r="18">
      <c r="A18" s="2" t="n"/>
      <c r="B18" s="2" t="n"/>
      <c r="C18" s="2" t="n"/>
      <c r="D18" s="2" t="n"/>
      <c r="E18" s="2" t="n"/>
      <c r="F18" s="2" t="n"/>
      <c r="G18" s="2" t="n"/>
      <c r="H18" s="2" t="n"/>
      <c r="I18" s="2" t="n"/>
      <c r="J18" s="2" t="n"/>
      <c r="K18" s="2">
        <f>IF(COUNTA(G18:J18)&lt;4,"",ROUND(AVERAGE(G18:J18),1))</f>
        <v/>
      </c>
      <c r="L18" s="2" t="n"/>
      <c r="M18" s="2" t="n"/>
      <c r="N18" s="2" t="n"/>
      <c r="O18" s="2" t="n"/>
    </row>
    <row r="19">
      <c r="A19" s="2" t="n"/>
      <c r="B19" s="2" t="n"/>
      <c r="C19" s="2" t="n"/>
      <c r="D19" s="2" t="n"/>
      <c r="E19" s="2" t="n"/>
      <c r="F19" s="2" t="n"/>
      <c r="G19" s="2" t="n"/>
      <c r="H19" s="2" t="n"/>
      <c r="I19" s="2" t="n"/>
      <c r="J19" s="2" t="n"/>
      <c r="K19" s="2">
        <f>IF(COUNTA(G19:J19)&lt;4,"",ROUND(AVERAGE(G19:J19),1))</f>
        <v/>
      </c>
      <c r="L19" s="2" t="n"/>
      <c r="M19" s="2" t="n"/>
      <c r="N19" s="2" t="n"/>
      <c r="O19" s="2" t="n"/>
    </row>
    <row r="20">
      <c r="A20" s="2" t="n"/>
      <c r="B20" s="2" t="n"/>
      <c r="C20" s="2" t="n"/>
      <c r="D20" s="2" t="n"/>
      <c r="E20" s="2" t="n"/>
      <c r="F20" s="2" t="n"/>
      <c r="G20" s="2" t="n"/>
      <c r="H20" s="2" t="n"/>
      <c r="I20" s="2" t="n"/>
      <c r="J20" s="2" t="n"/>
      <c r="K20" s="2">
        <f>IF(COUNTA(G20:J20)&lt;4,"",ROUND(AVERAGE(G20:J20),1))</f>
        <v/>
      </c>
      <c r="L20" s="2" t="n"/>
      <c r="M20" s="2" t="n"/>
      <c r="N20" s="2" t="n"/>
      <c r="O20" s="2" t="n"/>
    </row>
    <row r="21">
      <c r="A21" s="2" t="n"/>
      <c r="B21" s="2" t="n"/>
      <c r="C21" s="2" t="n"/>
      <c r="D21" s="2" t="n"/>
      <c r="E21" s="2" t="n"/>
      <c r="F21" s="2" t="n"/>
      <c r="G21" s="2" t="n"/>
      <c r="H21" s="2" t="n"/>
      <c r="I21" s="2" t="n"/>
      <c r="J21" s="2" t="n"/>
      <c r="K21" s="2">
        <f>IF(COUNTA(G21:J21)&lt;4,"",ROUND(AVERAGE(G21:J21),1))</f>
        <v/>
      </c>
      <c r="L21" s="2" t="n"/>
      <c r="M21" s="2" t="n"/>
      <c r="N21" s="2" t="n"/>
      <c r="O21" s="2" t="n"/>
    </row>
    <row r="22">
      <c r="A22" s="2" t="n"/>
      <c r="B22" s="2" t="n"/>
      <c r="C22" s="2" t="n"/>
      <c r="D22" s="2" t="n"/>
      <c r="E22" s="2" t="n"/>
      <c r="F22" s="2" t="n"/>
      <c r="G22" s="2" t="n"/>
      <c r="H22" s="2" t="n"/>
      <c r="I22" s="2" t="n"/>
      <c r="J22" s="2" t="n"/>
      <c r="K22" s="2">
        <f>IF(COUNTA(G22:J22)&lt;4,"",ROUND(AVERAGE(G22:J22),1))</f>
        <v/>
      </c>
      <c r="L22" s="2" t="n"/>
      <c r="M22" s="2" t="n"/>
      <c r="N22" s="2" t="n"/>
      <c r="O22" s="2" t="n"/>
    </row>
    <row r="23">
      <c r="A23" s="2" t="n"/>
      <c r="B23" s="2" t="n"/>
      <c r="C23" s="2" t="n"/>
      <c r="D23" s="2" t="n"/>
      <c r="E23" s="2" t="n"/>
      <c r="F23" s="2" t="n"/>
      <c r="G23" s="2" t="n"/>
      <c r="H23" s="2" t="n"/>
      <c r="I23" s="2" t="n"/>
      <c r="J23" s="2" t="n"/>
      <c r="K23" s="2">
        <f>IF(COUNTA(G23:J23)&lt;4,"",ROUND(AVERAGE(G23:J23),1))</f>
        <v/>
      </c>
      <c r="L23" s="2" t="n"/>
      <c r="M23" s="2" t="n"/>
      <c r="N23" s="2" t="n"/>
      <c r="O23" s="2" t="n"/>
    </row>
    <row r="24">
      <c r="A24" s="2" t="n"/>
      <c r="B24" s="2" t="n"/>
      <c r="C24" s="2" t="n"/>
      <c r="D24" s="2" t="n"/>
      <c r="E24" s="2" t="n"/>
      <c r="F24" s="2" t="n"/>
      <c r="G24" s="2" t="n"/>
      <c r="H24" s="2" t="n"/>
      <c r="I24" s="2" t="n"/>
      <c r="J24" s="2" t="n"/>
      <c r="K24" s="2">
        <f>IF(COUNTA(G24:J24)&lt;4,"",ROUND(AVERAGE(G24:J24),1))</f>
        <v/>
      </c>
      <c r="L24" s="2" t="n"/>
      <c r="M24" s="2" t="n"/>
      <c r="N24" s="2" t="n"/>
      <c r="O24" s="2" t="n"/>
    </row>
    <row r="25">
      <c r="A25" s="2" t="n"/>
      <c r="B25" s="2" t="n"/>
      <c r="C25" s="2" t="n"/>
      <c r="D25" s="2" t="n"/>
      <c r="E25" s="2" t="n"/>
      <c r="F25" s="2" t="n"/>
      <c r="G25" s="2" t="n"/>
      <c r="H25" s="2" t="n"/>
      <c r="I25" s="2" t="n"/>
      <c r="J25" s="2" t="n"/>
      <c r="K25" s="2">
        <f>IF(COUNTA(G25:J25)&lt;4,"",ROUND(AVERAGE(G25:J25),1))</f>
        <v/>
      </c>
      <c r="L25" s="2" t="n"/>
      <c r="M25" s="2" t="n"/>
      <c r="N25" s="2" t="n"/>
      <c r="O25" s="2" t="n"/>
    </row>
    <row r="26">
      <c r="A26" s="2" t="n"/>
      <c r="B26" s="2" t="n"/>
      <c r="C26" s="2" t="n"/>
      <c r="D26" s="2" t="n"/>
      <c r="E26" s="2" t="n"/>
      <c r="F26" s="2" t="n"/>
      <c r="G26" s="2" t="n"/>
      <c r="H26" s="2" t="n"/>
      <c r="I26" s="2" t="n"/>
      <c r="J26" s="2" t="n"/>
      <c r="K26" s="2">
        <f>IF(COUNTA(G26:J26)&lt;4,"",ROUND(AVERAGE(G26:J26),1))</f>
        <v/>
      </c>
      <c r="L26" s="2" t="n"/>
      <c r="M26" s="2" t="n"/>
      <c r="N26" s="2" t="n"/>
      <c r="O26" s="2" t="n"/>
    </row>
    <row r="27">
      <c r="A27" s="2" t="n"/>
      <c r="B27" s="2" t="n"/>
      <c r="C27" s="2" t="n"/>
      <c r="D27" s="2" t="n"/>
      <c r="E27" s="2" t="n"/>
      <c r="F27" s="2" t="n"/>
      <c r="G27" s="2" t="n"/>
      <c r="H27" s="2" t="n"/>
      <c r="I27" s="2" t="n"/>
      <c r="J27" s="2" t="n"/>
      <c r="K27" s="2">
        <f>IF(COUNTA(G27:J27)&lt;4,"",ROUND(AVERAGE(G27:J27),1))</f>
        <v/>
      </c>
      <c r="L27" s="2" t="n"/>
      <c r="M27" s="2" t="n"/>
      <c r="N27" s="2" t="n"/>
      <c r="O27" s="2" t="n"/>
    </row>
    <row r="28">
      <c r="A28" s="2" t="n"/>
      <c r="B28" s="2" t="n"/>
      <c r="C28" s="2" t="n"/>
      <c r="D28" s="2" t="n"/>
      <c r="E28" s="2" t="n"/>
      <c r="F28" s="2" t="n"/>
      <c r="G28" s="2" t="n"/>
      <c r="H28" s="2" t="n"/>
      <c r="I28" s="2" t="n"/>
      <c r="J28" s="2" t="n"/>
      <c r="K28" s="2">
        <f>IF(COUNTA(G28:J28)&lt;4,"",ROUND(AVERAGE(G28:J28),1))</f>
        <v/>
      </c>
      <c r="L28" s="2" t="n"/>
      <c r="M28" s="2" t="n"/>
      <c r="N28" s="2" t="n"/>
      <c r="O28" s="2" t="n"/>
    </row>
    <row r="29">
      <c r="A29" s="2" t="n"/>
      <c r="B29" s="2" t="n"/>
      <c r="C29" s="2" t="n"/>
      <c r="D29" s="2" t="n"/>
      <c r="E29" s="2" t="n"/>
      <c r="F29" s="2" t="n"/>
      <c r="G29" s="2" t="n"/>
      <c r="H29" s="2" t="n"/>
      <c r="I29" s="2" t="n"/>
      <c r="J29" s="2" t="n"/>
      <c r="K29" s="2">
        <f>IF(COUNTA(G29:J29)&lt;4,"",ROUND(AVERAGE(G29:J29),1))</f>
        <v/>
      </c>
      <c r="L29" s="2" t="n"/>
      <c r="M29" s="2" t="n"/>
      <c r="N29" s="2" t="n"/>
      <c r="O29" s="2" t="n"/>
    </row>
    <row r="30">
      <c r="A30" s="2" t="n"/>
      <c r="B30" s="2" t="n"/>
      <c r="C30" s="2" t="n"/>
      <c r="D30" s="2" t="n"/>
      <c r="E30" s="2" t="n"/>
      <c r="F30" s="2" t="n"/>
      <c r="G30" s="2" t="n"/>
      <c r="H30" s="2" t="n"/>
      <c r="I30" s="2" t="n"/>
      <c r="J30" s="2" t="n"/>
      <c r="K30" s="2">
        <f>IF(COUNTA(G30:J30)&lt;4,"",ROUND(AVERAGE(G30:J30),1))</f>
        <v/>
      </c>
      <c r="L30" s="2" t="n"/>
      <c r="M30" s="2" t="n"/>
      <c r="N30" s="2" t="n"/>
      <c r="O30" s="2" t="n"/>
    </row>
    <row r="31">
      <c r="A31" s="2" t="n"/>
      <c r="B31" s="2" t="n"/>
      <c r="C31" s="2" t="n"/>
      <c r="D31" s="2" t="n"/>
      <c r="E31" s="2" t="n"/>
      <c r="F31" s="2" t="n"/>
      <c r="G31" s="2" t="n"/>
      <c r="H31" s="2" t="n"/>
      <c r="I31" s="2" t="n"/>
      <c r="J31" s="2" t="n"/>
      <c r="K31" s="2">
        <f>IF(COUNTA(G31:J31)&lt;4,"",ROUND(AVERAGE(G31:J31),1))</f>
        <v/>
      </c>
      <c r="L31" s="2" t="n"/>
      <c r="M31" s="2" t="n"/>
      <c r="N31" s="2" t="n"/>
      <c r="O31" s="2" t="n"/>
    </row>
    <row r="32">
      <c r="A32" s="2" t="n"/>
      <c r="B32" s="2" t="n"/>
      <c r="C32" s="2" t="n"/>
      <c r="D32" s="2" t="n"/>
      <c r="E32" s="2" t="n"/>
      <c r="F32" s="2" t="n"/>
      <c r="G32" s="2" t="n"/>
      <c r="H32" s="2" t="n"/>
      <c r="I32" s="2" t="n"/>
      <c r="J32" s="2" t="n"/>
      <c r="K32" s="2">
        <f>IF(COUNTA(G32:J32)&lt;4,"",ROUND(AVERAGE(G32:J32),1))</f>
        <v/>
      </c>
      <c r="L32" s="2" t="n"/>
      <c r="M32" s="2" t="n"/>
      <c r="N32" s="2" t="n"/>
      <c r="O32" s="2" t="n"/>
    </row>
    <row r="33">
      <c r="A33" s="2" t="n"/>
      <c r="B33" s="2" t="n"/>
      <c r="C33" s="2" t="n"/>
      <c r="D33" s="2" t="n"/>
      <c r="E33" s="2" t="n"/>
      <c r="F33" s="2" t="n"/>
      <c r="G33" s="2" t="n"/>
      <c r="H33" s="2" t="n"/>
      <c r="I33" s="2" t="n"/>
      <c r="J33" s="2" t="n"/>
      <c r="K33" s="2">
        <f>IF(COUNTA(G33:J33)&lt;4,"",ROUND(AVERAGE(G33:J33),1))</f>
        <v/>
      </c>
      <c r="L33" s="2" t="n"/>
      <c r="M33" s="2" t="n"/>
      <c r="N33" s="2" t="n"/>
      <c r="O33" s="2" t="n"/>
    </row>
    <row r="34">
      <c r="A34" s="2" t="n"/>
      <c r="B34" s="2" t="n"/>
      <c r="C34" s="2" t="n"/>
      <c r="D34" s="2" t="n"/>
      <c r="E34" s="2" t="n"/>
      <c r="F34" s="2" t="n"/>
      <c r="G34" s="2" t="n"/>
      <c r="H34" s="2" t="n"/>
      <c r="I34" s="2" t="n"/>
      <c r="J34" s="2" t="n"/>
      <c r="K34" s="2">
        <f>IF(COUNTA(G34:J34)&lt;4,"",ROUND(AVERAGE(G34:J34),1))</f>
        <v/>
      </c>
      <c r="L34" s="2" t="n"/>
      <c r="M34" s="2" t="n"/>
      <c r="N34" s="2" t="n"/>
      <c r="O34" s="2" t="n"/>
    </row>
    <row r="35">
      <c r="A35" s="2" t="n"/>
      <c r="B35" s="2" t="n"/>
      <c r="C35" s="2" t="n"/>
      <c r="D35" s="2" t="n"/>
      <c r="E35" s="2" t="n"/>
      <c r="F35" s="2" t="n"/>
      <c r="G35" s="2" t="n"/>
      <c r="H35" s="2" t="n"/>
      <c r="I35" s="2" t="n"/>
      <c r="J35" s="2" t="n"/>
      <c r="K35" s="2">
        <f>IF(COUNTA(G35:J35)&lt;4,"",ROUND(AVERAGE(G35:J35),1))</f>
        <v/>
      </c>
      <c r="L35" s="2" t="n"/>
      <c r="M35" s="2" t="n"/>
      <c r="N35" s="2" t="n"/>
      <c r="O35" s="2" t="n"/>
    </row>
    <row r="36">
      <c r="A36" s="2" t="n"/>
      <c r="B36" s="2" t="n"/>
      <c r="C36" s="2" t="n"/>
      <c r="D36" s="2" t="n"/>
      <c r="E36" s="2" t="n"/>
      <c r="F36" s="2" t="n"/>
      <c r="G36" s="2" t="n"/>
      <c r="H36" s="2" t="n"/>
      <c r="I36" s="2" t="n"/>
      <c r="J36" s="2" t="n"/>
      <c r="K36" s="2">
        <f>IF(COUNTA(G36:J36)&lt;4,"",ROUND(AVERAGE(G36:J36),1))</f>
        <v/>
      </c>
      <c r="L36" s="2" t="n"/>
      <c r="M36" s="2" t="n"/>
      <c r="N36" s="2" t="n"/>
      <c r="O36" s="2" t="n"/>
    </row>
    <row r="37">
      <c r="A37" s="2" t="n"/>
      <c r="B37" s="2" t="n"/>
      <c r="C37" s="2" t="n"/>
      <c r="D37" s="2" t="n"/>
      <c r="E37" s="2" t="n"/>
      <c r="F37" s="2" t="n"/>
      <c r="G37" s="2" t="n"/>
      <c r="H37" s="2" t="n"/>
      <c r="I37" s="2" t="n"/>
      <c r="J37" s="2" t="n"/>
      <c r="K37" s="2">
        <f>IF(COUNTA(G37:J37)&lt;4,"",ROUND(AVERAGE(G37:J37),1))</f>
        <v/>
      </c>
      <c r="L37" s="2" t="n"/>
      <c r="M37" s="2" t="n"/>
      <c r="N37" s="2" t="n"/>
      <c r="O37" s="2" t="n"/>
    </row>
    <row r="38">
      <c r="A38" s="2" t="n"/>
      <c r="B38" s="2" t="n"/>
      <c r="C38" s="2" t="n"/>
      <c r="D38" s="2" t="n"/>
      <c r="E38" s="2" t="n"/>
      <c r="F38" s="2" t="n"/>
      <c r="G38" s="2" t="n"/>
      <c r="H38" s="2" t="n"/>
      <c r="I38" s="2" t="n"/>
      <c r="J38" s="2" t="n"/>
      <c r="K38" s="2">
        <f>IF(COUNTA(G38:J38)&lt;4,"",ROUND(AVERAGE(G38:J38),1))</f>
        <v/>
      </c>
      <c r="L38" s="2" t="n"/>
      <c r="M38" s="2" t="n"/>
      <c r="N38" s="2" t="n"/>
      <c r="O38" s="2" t="n"/>
    </row>
    <row r="39">
      <c r="A39" s="2" t="n"/>
      <c r="B39" s="2" t="n"/>
      <c r="C39" s="2" t="n"/>
      <c r="D39" s="2" t="n"/>
      <c r="E39" s="2" t="n"/>
      <c r="F39" s="2" t="n"/>
      <c r="G39" s="2" t="n"/>
      <c r="H39" s="2" t="n"/>
      <c r="I39" s="2" t="n"/>
      <c r="J39" s="2" t="n"/>
      <c r="K39" s="2">
        <f>IF(COUNTA(G39:J39)&lt;4,"",ROUND(AVERAGE(G39:J39),1))</f>
        <v/>
      </c>
      <c r="L39" s="2" t="n"/>
      <c r="M39" s="2" t="n"/>
      <c r="N39" s="2" t="n"/>
      <c r="O39" s="2" t="n"/>
    </row>
    <row r="40">
      <c r="A40" s="2" t="n"/>
      <c r="B40" s="2" t="n"/>
      <c r="C40" s="2" t="n"/>
      <c r="D40" s="2" t="n"/>
      <c r="E40" s="2" t="n"/>
      <c r="F40" s="2" t="n"/>
      <c r="G40" s="2" t="n"/>
      <c r="H40" s="2" t="n"/>
      <c r="I40" s="2" t="n"/>
      <c r="J40" s="2" t="n"/>
      <c r="K40" s="2">
        <f>IF(COUNTA(G40:J40)&lt;4,"",ROUND(AVERAGE(G40:J40),1))</f>
        <v/>
      </c>
      <c r="L40" s="2" t="n"/>
      <c r="M40" s="2" t="n"/>
      <c r="N40" s="2" t="n"/>
      <c r="O40" s="2" t="n"/>
    </row>
    <row r="41">
      <c r="A41" s="2" t="n"/>
      <c r="B41" s="2" t="n"/>
      <c r="C41" s="2" t="n"/>
      <c r="D41" s="2" t="n"/>
      <c r="E41" s="2" t="n"/>
      <c r="F41" s="2" t="n"/>
      <c r="G41" s="2" t="n"/>
      <c r="H41" s="2" t="n"/>
      <c r="I41" s="2" t="n"/>
      <c r="J41" s="2" t="n"/>
      <c r="K41" s="2">
        <f>IF(COUNTA(G41:J41)&lt;4,"",ROUND(AVERAGE(G41:J41),1))</f>
        <v/>
      </c>
      <c r="L41" s="2" t="n"/>
      <c r="M41" s="2" t="n"/>
      <c r="N41" s="2" t="n"/>
      <c r="O41" s="2" t="n"/>
    </row>
    <row r="42">
      <c r="A42" s="2" t="n"/>
      <c r="B42" s="2" t="n"/>
      <c r="C42" s="2" t="n"/>
      <c r="D42" s="2" t="n"/>
      <c r="E42" s="2" t="n"/>
      <c r="F42" s="2" t="n"/>
      <c r="G42" s="2" t="n"/>
      <c r="H42" s="2" t="n"/>
      <c r="I42" s="2" t="n"/>
      <c r="J42" s="2" t="n"/>
      <c r="K42" s="2">
        <f>IF(COUNTA(G42:J42)&lt;4,"",ROUND(AVERAGE(G42:J42),1))</f>
        <v/>
      </c>
      <c r="L42" s="2" t="n"/>
      <c r="M42" s="2" t="n"/>
      <c r="N42" s="2" t="n"/>
      <c r="O42" s="2" t="n"/>
    </row>
    <row r="43">
      <c r="A43" s="2" t="n"/>
      <c r="B43" s="2" t="n"/>
      <c r="C43" s="2" t="n"/>
      <c r="D43" s="2" t="n"/>
      <c r="E43" s="2" t="n"/>
      <c r="F43" s="2" t="n"/>
      <c r="G43" s="2" t="n"/>
      <c r="H43" s="2" t="n"/>
      <c r="I43" s="2" t="n"/>
      <c r="J43" s="2" t="n"/>
      <c r="K43" s="2">
        <f>IF(COUNTA(G43:J43)&lt;4,"",ROUND(AVERAGE(G43:J43),1))</f>
        <v/>
      </c>
      <c r="L43" s="2" t="n"/>
      <c r="M43" s="2" t="n"/>
      <c r="N43" s="2" t="n"/>
      <c r="O43" s="2" t="n"/>
    </row>
    <row r="44">
      <c r="A44" s="2" t="n"/>
      <c r="B44" s="2" t="n"/>
      <c r="C44" s="2" t="n"/>
      <c r="D44" s="2" t="n"/>
      <c r="E44" s="2" t="n"/>
      <c r="F44" s="2" t="n"/>
      <c r="G44" s="2" t="n"/>
      <c r="H44" s="2" t="n"/>
      <c r="I44" s="2" t="n"/>
      <c r="J44" s="2" t="n"/>
      <c r="K44" s="2">
        <f>IF(COUNTA(G44:J44)&lt;4,"",ROUND(AVERAGE(G44:J44),1))</f>
        <v/>
      </c>
      <c r="L44" s="2" t="n"/>
      <c r="M44" s="2" t="n"/>
      <c r="N44" s="2" t="n"/>
      <c r="O44" s="2" t="n"/>
    </row>
    <row r="45">
      <c r="A45" s="2" t="n"/>
      <c r="B45" s="2" t="n"/>
      <c r="C45" s="2" t="n"/>
      <c r="D45" s="2" t="n"/>
      <c r="E45" s="2" t="n"/>
      <c r="F45" s="2" t="n"/>
      <c r="G45" s="2" t="n"/>
      <c r="H45" s="2" t="n"/>
      <c r="I45" s="2" t="n"/>
      <c r="J45" s="2" t="n"/>
      <c r="K45" s="2">
        <f>IF(COUNTA(G45:J45)&lt;4,"",ROUND(AVERAGE(G45:J45),1))</f>
        <v/>
      </c>
      <c r="L45" s="2" t="n"/>
      <c r="M45" s="2" t="n"/>
      <c r="N45" s="2" t="n"/>
      <c r="O45" s="2" t="n"/>
    </row>
    <row r="46">
      <c r="A46" s="2" t="n"/>
      <c r="B46" s="2" t="n"/>
      <c r="C46" s="2" t="n"/>
      <c r="D46" s="2" t="n"/>
      <c r="E46" s="2" t="n"/>
      <c r="F46" s="2" t="n"/>
      <c r="G46" s="2" t="n"/>
      <c r="H46" s="2" t="n"/>
      <c r="I46" s="2" t="n"/>
      <c r="J46" s="2" t="n"/>
      <c r="K46" s="2">
        <f>IF(COUNTA(G46:J46)&lt;4,"",ROUND(AVERAGE(G46:J46),1))</f>
        <v/>
      </c>
      <c r="L46" s="2" t="n"/>
      <c r="M46" s="2" t="n"/>
      <c r="N46" s="2" t="n"/>
      <c r="O46" s="2" t="n"/>
    </row>
    <row r="47">
      <c r="A47" s="2" t="n"/>
      <c r="B47" s="2" t="n"/>
      <c r="C47" s="2" t="n"/>
      <c r="D47" s="2" t="n"/>
      <c r="E47" s="2" t="n"/>
      <c r="F47" s="2" t="n"/>
      <c r="G47" s="2" t="n"/>
      <c r="H47" s="2" t="n"/>
      <c r="I47" s="2" t="n"/>
      <c r="J47" s="2" t="n"/>
      <c r="K47" s="2">
        <f>IF(COUNTA(G47:J47)&lt;4,"",ROUND(AVERAGE(G47:J47),1))</f>
        <v/>
      </c>
      <c r="L47" s="2" t="n"/>
      <c r="M47" s="2" t="n"/>
      <c r="N47" s="2" t="n"/>
      <c r="O47" s="2" t="n"/>
    </row>
    <row r="48">
      <c r="A48" s="2" t="n"/>
      <c r="B48" s="2" t="n"/>
      <c r="C48" s="2" t="n"/>
      <c r="D48" s="2" t="n"/>
      <c r="E48" s="2" t="n"/>
      <c r="F48" s="2" t="n"/>
      <c r="G48" s="2" t="n"/>
      <c r="H48" s="2" t="n"/>
      <c r="I48" s="2" t="n"/>
      <c r="J48" s="2" t="n"/>
      <c r="K48" s="2">
        <f>IF(COUNTA(G48:J48)&lt;4,"",ROUND(AVERAGE(G48:J48),1))</f>
        <v/>
      </c>
      <c r="L48" s="2" t="n"/>
      <c r="M48" s="2" t="n"/>
      <c r="N48" s="2" t="n"/>
      <c r="O48" s="2" t="n"/>
    </row>
    <row r="49">
      <c r="A49" s="2" t="n"/>
      <c r="B49" s="2" t="n"/>
      <c r="C49" s="2" t="n"/>
      <c r="D49" s="2" t="n"/>
      <c r="E49" s="2" t="n"/>
      <c r="F49" s="2" t="n"/>
      <c r="G49" s="2" t="n"/>
      <c r="H49" s="2" t="n"/>
      <c r="I49" s="2" t="n"/>
      <c r="J49" s="2" t="n"/>
      <c r="K49" s="2">
        <f>IF(COUNTA(G49:J49)&lt;4,"",ROUND(AVERAGE(G49:J49),1))</f>
        <v/>
      </c>
      <c r="L49" s="2" t="n"/>
      <c r="M49" s="2" t="n"/>
      <c r="N49" s="2" t="n"/>
      <c r="O49" s="2" t="n"/>
    </row>
    <row r="50">
      <c r="A50" s="2" t="n"/>
      <c r="B50" s="2" t="n"/>
      <c r="C50" s="2" t="n"/>
      <c r="D50" s="2" t="n"/>
      <c r="E50" s="2" t="n"/>
      <c r="F50" s="2" t="n"/>
      <c r="G50" s="2" t="n"/>
      <c r="H50" s="2" t="n"/>
      <c r="I50" s="2" t="n"/>
      <c r="J50" s="2" t="n"/>
      <c r="K50" s="2">
        <f>IF(COUNTA(G50:J50)&lt;4,"",ROUND(AVERAGE(G50:J50),1))</f>
        <v/>
      </c>
      <c r="L50" s="2" t="n"/>
      <c r="M50" s="2" t="n"/>
      <c r="N50" s="2" t="n"/>
      <c r="O50" s="2" t="n"/>
    </row>
    <row r="51">
      <c r="A51" s="2" t="n"/>
      <c r="B51" s="2" t="n"/>
      <c r="C51" s="2" t="n"/>
      <c r="D51" s="2" t="n"/>
      <c r="E51" s="2" t="n"/>
      <c r="F51" s="2" t="n"/>
      <c r="G51" s="2" t="n"/>
      <c r="H51" s="2" t="n"/>
      <c r="I51" s="2" t="n"/>
      <c r="J51" s="2" t="n"/>
      <c r="K51" s="2">
        <f>IF(COUNTA(G51:J51)&lt;4,"",ROUND(AVERAGE(G51:J51),1))</f>
        <v/>
      </c>
      <c r="L51" s="2" t="n"/>
      <c r="M51" s="2" t="n"/>
      <c r="N51" s="2" t="n"/>
      <c r="O51" s="2" t="n"/>
    </row>
    <row r="52">
      <c r="A52" s="2" t="n"/>
      <c r="B52" s="2" t="n"/>
      <c r="C52" s="2" t="n"/>
      <c r="D52" s="2" t="n"/>
      <c r="E52" s="2" t="n"/>
      <c r="F52" s="2" t="n"/>
      <c r="G52" s="2" t="n"/>
      <c r="H52" s="2" t="n"/>
      <c r="I52" s="2" t="n"/>
      <c r="J52" s="2" t="n"/>
      <c r="K52" s="2">
        <f>IF(COUNTA(G52:J52)&lt;4,"",ROUND(AVERAGE(G52:J52),1))</f>
        <v/>
      </c>
      <c r="L52" s="2" t="n"/>
      <c r="M52" s="2" t="n"/>
      <c r="N52" s="2" t="n"/>
      <c r="O52" s="2" t="n"/>
    </row>
    <row r="53">
      <c r="A53" s="2" t="n"/>
      <c r="B53" s="2" t="n"/>
      <c r="C53" s="2" t="n"/>
      <c r="D53" s="2" t="n"/>
      <c r="E53" s="2" t="n"/>
      <c r="F53" s="2" t="n"/>
      <c r="G53" s="2" t="n"/>
      <c r="H53" s="2" t="n"/>
      <c r="I53" s="2" t="n"/>
      <c r="J53" s="2" t="n"/>
      <c r="K53" s="2">
        <f>IF(COUNTA(G53:J53)&lt;4,"",ROUND(AVERAGE(G53:J53),1))</f>
        <v/>
      </c>
      <c r="L53" s="2" t="n"/>
      <c r="M53" s="2" t="n"/>
      <c r="N53" s="2" t="n"/>
      <c r="O53" s="2" t="n"/>
    </row>
    <row r="54">
      <c r="A54" s="2" t="n"/>
      <c r="B54" s="2" t="n"/>
      <c r="C54" s="2" t="n"/>
      <c r="D54" s="2" t="n"/>
      <c r="E54" s="2" t="n"/>
      <c r="F54" s="2" t="n"/>
      <c r="G54" s="2" t="n"/>
      <c r="H54" s="2" t="n"/>
      <c r="I54" s="2" t="n"/>
      <c r="J54" s="2" t="n"/>
      <c r="K54" s="2">
        <f>IF(COUNTA(G54:J54)&lt;4,"",ROUND(AVERAGE(G54:J54),1))</f>
        <v/>
      </c>
      <c r="L54" s="2" t="n"/>
      <c r="M54" s="2" t="n"/>
      <c r="N54" s="2" t="n"/>
      <c r="O54" s="2" t="n"/>
    </row>
    <row r="55">
      <c r="A55" s="2" t="n"/>
      <c r="B55" s="2" t="n"/>
      <c r="C55" s="2" t="n"/>
      <c r="D55" s="2" t="n"/>
      <c r="E55" s="2" t="n"/>
      <c r="F55" s="2" t="n"/>
      <c r="G55" s="2" t="n"/>
      <c r="H55" s="2" t="n"/>
      <c r="I55" s="2" t="n"/>
      <c r="J55" s="2" t="n"/>
      <c r="K55" s="2">
        <f>IF(COUNTA(G55:J55)&lt;4,"",ROUND(AVERAGE(G55:J55),1))</f>
        <v/>
      </c>
      <c r="L55" s="2" t="n"/>
      <c r="M55" s="2" t="n"/>
      <c r="N55" s="2" t="n"/>
      <c r="O55" s="2" t="n"/>
    </row>
    <row r="56">
      <c r="A56" s="2" t="n"/>
      <c r="B56" s="2" t="n"/>
      <c r="C56" s="2" t="n"/>
      <c r="D56" s="2" t="n"/>
      <c r="E56" s="2" t="n"/>
      <c r="F56" s="2" t="n"/>
      <c r="G56" s="2" t="n"/>
      <c r="H56" s="2" t="n"/>
      <c r="I56" s="2" t="n"/>
      <c r="J56" s="2" t="n"/>
      <c r="K56" s="2">
        <f>IF(COUNTA(G56:J56)&lt;4,"",ROUND(AVERAGE(G56:J56),1))</f>
        <v/>
      </c>
      <c r="L56" s="2" t="n"/>
      <c r="M56" s="2" t="n"/>
      <c r="N56" s="2" t="n"/>
      <c r="O56" s="2" t="n"/>
    </row>
    <row r="57">
      <c r="A57" s="2" t="n"/>
      <c r="B57" s="2" t="n"/>
      <c r="C57" s="2" t="n"/>
      <c r="D57" s="2" t="n"/>
      <c r="E57" s="2" t="n"/>
      <c r="F57" s="2" t="n"/>
      <c r="G57" s="2" t="n"/>
      <c r="H57" s="2" t="n"/>
      <c r="I57" s="2" t="n"/>
      <c r="J57" s="2" t="n"/>
      <c r="K57" s="2">
        <f>IF(COUNTA(G57:J57)&lt;4,"",ROUND(AVERAGE(G57:J57),1))</f>
        <v/>
      </c>
      <c r="L57" s="2" t="n"/>
      <c r="M57" s="2" t="n"/>
      <c r="N57" s="2" t="n"/>
      <c r="O57" s="2" t="n"/>
    </row>
    <row r="58">
      <c r="A58" s="2" t="n"/>
      <c r="B58" s="2" t="n"/>
      <c r="C58" s="2" t="n"/>
      <c r="D58" s="2" t="n"/>
      <c r="E58" s="2" t="n"/>
      <c r="F58" s="2" t="n"/>
      <c r="G58" s="2" t="n"/>
      <c r="H58" s="2" t="n"/>
      <c r="I58" s="2" t="n"/>
      <c r="J58" s="2" t="n"/>
      <c r="K58" s="2">
        <f>IF(COUNTA(G58:J58)&lt;4,"",ROUND(AVERAGE(G58:J58),1))</f>
        <v/>
      </c>
      <c r="L58" s="2" t="n"/>
      <c r="M58" s="2" t="n"/>
      <c r="N58" s="2" t="n"/>
      <c r="O58" s="2" t="n"/>
    </row>
    <row r="59">
      <c r="A59" s="2" t="n"/>
      <c r="B59" s="2" t="n"/>
      <c r="C59" s="2" t="n"/>
      <c r="D59" s="2" t="n"/>
      <c r="E59" s="2" t="n"/>
      <c r="F59" s="2" t="n"/>
      <c r="G59" s="2" t="n"/>
      <c r="H59" s="2" t="n"/>
      <c r="I59" s="2" t="n"/>
      <c r="J59" s="2" t="n"/>
      <c r="K59" s="2">
        <f>IF(COUNTA(G59:J59)&lt;4,"",ROUND(AVERAGE(G59:J59),1))</f>
        <v/>
      </c>
      <c r="L59" s="2" t="n"/>
      <c r="M59" s="2" t="n"/>
      <c r="N59" s="2" t="n"/>
      <c r="O59" s="2" t="n"/>
    </row>
    <row r="60">
      <c r="A60" s="2" t="n"/>
      <c r="B60" s="2" t="n"/>
      <c r="C60" s="2" t="n"/>
      <c r="D60" s="2" t="n"/>
      <c r="E60" s="2" t="n"/>
      <c r="F60" s="2" t="n"/>
      <c r="G60" s="2" t="n"/>
      <c r="H60" s="2" t="n"/>
      <c r="I60" s="2" t="n"/>
      <c r="J60" s="2" t="n"/>
      <c r="K60" s="2">
        <f>IF(COUNTA(G60:J60)&lt;4,"",ROUND(AVERAGE(G60:J60),1))</f>
        <v/>
      </c>
      <c r="L60" s="2" t="n"/>
      <c r="M60" s="2" t="n"/>
      <c r="N60" s="2" t="n"/>
      <c r="O60" s="2" t="n"/>
    </row>
    <row r="61">
      <c r="A61" s="2" t="n"/>
      <c r="B61" s="2" t="n"/>
      <c r="C61" s="2" t="n"/>
      <c r="D61" s="2" t="n"/>
      <c r="E61" s="2" t="n"/>
      <c r="F61" s="2" t="n"/>
      <c r="G61" s="2" t="n"/>
      <c r="H61" s="2" t="n"/>
      <c r="I61" s="2" t="n"/>
      <c r="J61" s="2" t="n"/>
      <c r="K61" s="2">
        <f>IF(COUNTA(G61:J61)&lt;4,"",ROUND(AVERAGE(G61:J61),1))</f>
        <v/>
      </c>
      <c r="L61" s="2" t="n"/>
      <c r="M61" s="2" t="n"/>
      <c r="N61" s="2" t="n"/>
      <c r="O61" s="2" t="n"/>
    </row>
    <row r="62">
      <c r="A62" s="2" t="n"/>
      <c r="B62" s="2" t="n"/>
      <c r="C62" s="2" t="n"/>
      <c r="D62" s="2" t="n"/>
      <c r="E62" s="2" t="n"/>
      <c r="F62" s="2" t="n"/>
      <c r="G62" s="2" t="n"/>
      <c r="H62" s="2" t="n"/>
      <c r="I62" s="2" t="n"/>
      <c r="J62" s="2" t="n"/>
      <c r="K62" s="2">
        <f>IF(COUNTA(G62:J62)&lt;4,"",ROUND(AVERAGE(G62:J62),1))</f>
        <v/>
      </c>
      <c r="L62" s="2" t="n"/>
      <c r="M62" s="2" t="n"/>
      <c r="N62" s="2" t="n"/>
      <c r="O62" s="2" t="n"/>
    </row>
    <row r="63">
      <c r="A63" s="2" t="n"/>
      <c r="B63" s="2" t="n"/>
      <c r="C63" s="2" t="n"/>
      <c r="D63" s="2" t="n"/>
      <c r="E63" s="2" t="n"/>
      <c r="F63" s="2" t="n"/>
      <c r="G63" s="2" t="n"/>
      <c r="H63" s="2" t="n"/>
      <c r="I63" s="2" t="n"/>
      <c r="J63" s="2" t="n"/>
      <c r="K63" s="2">
        <f>IF(COUNTA(G63:J63)&lt;4,"",ROUND(AVERAGE(G63:J63),1))</f>
        <v/>
      </c>
      <c r="L63" s="2" t="n"/>
      <c r="M63" s="2" t="n"/>
      <c r="N63" s="2" t="n"/>
      <c r="O63" s="2" t="n"/>
    </row>
    <row r="64">
      <c r="A64" s="2" t="n"/>
      <c r="B64" s="2" t="n"/>
      <c r="C64" s="2" t="n"/>
      <c r="D64" s="2" t="n"/>
      <c r="E64" s="2" t="n"/>
      <c r="F64" s="2" t="n"/>
      <c r="G64" s="2" t="n"/>
      <c r="H64" s="2" t="n"/>
      <c r="I64" s="2" t="n"/>
      <c r="J64" s="2" t="n"/>
      <c r="K64" s="2">
        <f>IF(COUNTA(G64:J64)&lt;4,"",ROUND(AVERAGE(G64:J64),1))</f>
        <v/>
      </c>
      <c r="L64" s="2" t="n"/>
      <c r="M64" s="2" t="n"/>
      <c r="N64" s="2" t="n"/>
      <c r="O64" s="2" t="n"/>
    </row>
    <row r="65">
      <c r="A65" s="2" t="n"/>
      <c r="B65" s="2" t="n"/>
      <c r="C65" s="2" t="n"/>
      <c r="D65" s="2" t="n"/>
      <c r="E65" s="2" t="n"/>
      <c r="F65" s="2" t="n"/>
      <c r="G65" s="2" t="n"/>
      <c r="H65" s="2" t="n"/>
      <c r="I65" s="2" t="n"/>
      <c r="J65" s="2" t="n"/>
      <c r="K65" s="2">
        <f>IF(COUNTA(G65:J65)&lt;4,"",ROUND(AVERAGE(G65:J65),1))</f>
        <v/>
      </c>
      <c r="L65" s="2" t="n"/>
      <c r="M65" s="2" t="n"/>
      <c r="N65" s="2" t="n"/>
      <c r="O65" s="2" t="n"/>
    </row>
    <row r="66">
      <c r="A66" s="2" t="n"/>
      <c r="B66" s="2" t="n"/>
      <c r="C66" s="2" t="n"/>
      <c r="D66" s="2" t="n"/>
      <c r="E66" s="2" t="n"/>
      <c r="F66" s="2" t="n"/>
      <c r="G66" s="2" t="n"/>
      <c r="H66" s="2" t="n"/>
      <c r="I66" s="2" t="n"/>
      <c r="J66" s="2" t="n"/>
      <c r="K66" s="2">
        <f>IF(COUNTA(G66:J66)&lt;4,"",ROUND(AVERAGE(G66:J66),1))</f>
        <v/>
      </c>
      <c r="L66" s="2" t="n"/>
      <c r="M66" s="2" t="n"/>
      <c r="N66" s="2" t="n"/>
      <c r="O66" s="2" t="n"/>
    </row>
    <row r="67">
      <c r="A67" s="2" t="n"/>
      <c r="B67" s="2" t="n"/>
      <c r="C67" s="2" t="n"/>
      <c r="D67" s="2" t="n"/>
      <c r="E67" s="2" t="n"/>
      <c r="F67" s="2" t="n"/>
      <c r="G67" s="2" t="n"/>
      <c r="H67" s="2" t="n"/>
      <c r="I67" s="2" t="n"/>
      <c r="J67" s="2" t="n"/>
      <c r="K67" s="2">
        <f>IF(COUNTA(G67:J67)&lt;4,"",ROUND(AVERAGE(G67:J67),1))</f>
        <v/>
      </c>
      <c r="L67" s="2" t="n"/>
      <c r="M67" s="2" t="n"/>
      <c r="N67" s="2" t="n"/>
      <c r="O67" s="2" t="n"/>
    </row>
    <row r="68">
      <c r="A68" s="2" t="n"/>
      <c r="B68" s="2" t="n"/>
      <c r="C68" s="2" t="n"/>
      <c r="D68" s="2" t="n"/>
      <c r="E68" s="2" t="n"/>
      <c r="F68" s="2" t="n"/>
      <c r="G68" s="2" t="n"/>
      <c r="H68" s="2" t="n"/>
      <c r="I68" s="2" t="n"/>
      <c r="J68" s="2" t="n"/>
      <c r="K68" s="2">
        <f>IF(COUNTA(G68:J68)&lt;4,"",ROUND(AVERAGE(G68:J68),1))</f>
        <v/>
      </c>
      <c r="L68" s="2" t="n"/>
      <c r="M68" s="2" t="n"/>
      <c r="N68" s="2" t="n"/>
      <c r="O68" s="2" t="n"/>
    </row>
    <row r="69">
      <c r="A69" s="2" t="n"/>
      <c r="B69" s="2" t="n"/>
      <c r="C69" s="2" t="n"/>
      <c r="D69" s="2" t="n"/>
      <c r="E69" s="2" t="n"/>
      <c r="F69" s="2" t="n"/>
      <c r="G69" s="2" t="n"/>
      <c r="H69" s="2" t="n"/>
      <c r="I69" s="2" t="n"/>
      <c r="J69" s="2" t="n"/>
      <c r="K69" s="2">
        <f>IF(COUNTA(G69:J69)&lt;4,"",ROUND(AVERAGE(G69:J69),1))</f>
        <v/>
      </c>
      <c r="L69" s="2" t="n"/>
      <c r="M69" s="2" t="n"/>
      <c r="N69" s="2" t="n"/>
      <c r="O69" s="2" t="n"/>
    </row>
    <row r="70">
      <c r="A70" s="2" t="n"/>
      <c r="B70" s="2" t="n"/>
      <c r="C70" s="2" t="n"/>
      <c r="D70" s="2" t="n"/>
      <c r="E70" s="2" t="n"/>
      <c r="F70" s="2" t="n"/>
      <c r="G70" s="2" t="n"/>
      <c r="H70" s="2" t="n"/>
      <c r="I70" s="2" t="n"/>
      <c r="J70" s="2" t="n"/>
      <c r="K70" s="2">
        <f>IF(COUNTA(G70:J70)&lt;4,"",ROUND(AVERAGE(G70:J70),1))</f>
        <v/>
      </c>
      <c r="L70" s="2" t="n"/>
      <c r="M70" s="2" t="n"/>
      <c r="N70" s="2" t="n"/>
      <c r="O70" s="2" t="n"/>
    </row>
    <row r="71">
      <c r="A71" s="2" t="n"/>
      <c r="B71" s="2" t="n"/>
      <c r="C71" s="2" t="n"/>
      <c r="D71" s="2" t="n"/>
      <c r="E71" s="2" t="n"/>
      <c r="F71" s="2" t="n"/>
      <c r="G71" s="2" t="n"/>
      <c r="H71" s="2" t="n"/>
      <c r="I71" s="2" t="n"/>
      <c r="J71" s="2" t="n"/>
      <c r="K71" s="2">
        <f>IF(COUNTA(G71:J71)&lt;4,"",ROUND(AVERAGE(G71:J71),1))</f>
        <v/>
      </c>
      <c r="L71" s="2" t="n"/>
      <c r="M71" s="2" t="n"/>
      <c r="N71" s="2" t="n"/>
      <c r="O71" s="2" t="n"/>
    </row>
    <row r="72">
      <c r="A72" s="2" t="n"/>
      <c r="B72" s="2" t="n"/>
      <c r="C72" s="2" t="n"/>
      <c r="D72" s="2" t="n"/>
      <c r="E72" s="2" t="n"/>
      <c r="F72" s="2" t="n"/>
      <c r="G72" s="2" t="n"/>
      <c r="H72" s="2" t="n"/>
      <c r="I72" s="2" t="n"/>
      <c r="J72" s="2" t="n"/>
      <c r="K72" s="2">
        <f>IF(COUNTA(G72:J72)&lt;4,"",ROUND(AVERAGE(G72:J72),1))</f>
        <v/>
      </c>
      <c r="L72" s="2" t="n"/>
      <c r="M72" s="2" t="n"/>
      <c r="N72" s="2" t="n"/>
      <c r="O72" s="2" t="n"/>
    </row>
    <row r="73">
      <c r="A73" s="2" t="n"/>
      <c r="B73" s="2" t="n"/>
      <c r="C73" s="2" t="n"/>
      <c r="D73" s="2" t="n"/>
      <c r="E73" s="2" t="n"/>
      <c r="F73" s="2" t="n"/>
      <c r="G73" s="2" t="n"/>
      <c r="H73" s="2" t="n"/>
      <c r="I73" s="2" t="n"/>
      <c r="J73" s="2" t="n"/>
      <c r="K73" s="2">
        <f>IF(COUNTA(G73:J73)&lt;4,"",ROUND(AVERAGE(G73:J73),1))</f>
        <v/>
      </c>
      <c r="L73" s="2" t="n"/>
      <c r="M73" s="2" t="n"/>
      <c r="N73" s="2" t="n"/>
      <c r="O73" s="2" t="n"/>
    </row>
    <row r="74">
      <c r="A74" s="2" t="n"/>
      <c r="B74" s="2" t="n"/>
      <c r="C74" s="2" t="n"/>
      <c r="D74" s="2" t="n"/>
      <c r="E74" s="2" t="n"/>
      <c r="F74" s="2" t="n"/>
      <c r="G74" s="2" t="n"/>
      <c r="H74" s="2" t="n"/>
      <c r="I74" s="2" t="n"/>
      <c r="J74" s="2" t="n"/>
      <c r="K74" s="2">
        <f>IF(COUNTA(G74:J74)&lt;4,"",ROUND(AVERAGE(G74:J74),1))</f>
        <v/>
      </c>
      <c r="L74" s="2" t="n"/>
      <c r="M74" s="2" t="n"/>
      <c r="N74" s="2" t="n"/>
      <c r="O74" s="2" t="n"/>
    </row>
    <row r="75">
      <c r="A75" s="2" t="n"/>
      <c r="B75" s="2" t="n"/>
      <c r="C75" s="2" t="n"/>
      <c r="D75" s="2" t="n"/>
      <c r="E75" s="2" t="n"/>
      <c r="F75" s="2" t="n"/>
      <c r="G75" s="2" t="n"/>
      <c r="H75" s="2" t="n"/>
      <c r="I75" s="2" t="n"/>
      <c r="J75" s="2" t="n"/>
      <c r="K75" s="2">
        <f>IF(COUNTA(G75:J75)&lt;4,"",ROUND(AVERAGE(G75:J75),1))</f>
        <v/>
      </c>
      <c r="L75" s="2" t="n"/>
      <c r="M75" s="2" t="n"/>
      <c r="N75" s="2" t="n"/>
      <c r="O75" s="2" t="n"/>
    </row>
    <row r="76">
      <c r="A76" s="2" t="n"/>
      <c r="B76" s="2" t="n"/>
      <c r="C76" s="2" t="n"/>
      <c r="D76" s="2" t="n"/>
      <c r="E76" s="2" t="n"/>
      <c r="F76" s="2" t="n"/>
      <c r="G76" s="2" t="n"/>
      <c r="H76" s="2" t="n"/>
      <c r="I76" s="2" t="n"/>
      <c r="J76" s="2" t="n"/>
      <c r="K76" s="2">
        <f>IF(COUNTA(G76:J76)&lt;4,"",ROUND(AVERAGE(G76:J76),1))</f>
        <v/>
      </c>
      <c r="L76" s="2" t="n"/>
      <c r="M76" s="2" t="n"/>
      <c r="N76" s="2" t="n"/>
      <c r="O76" s="2" t="n"/>
    </row>
    <row r="77">
      <c r="A77" s="2" t="n"/>
      <c r="B77" s="2" t="n"/>
      <c r="C77" s="2" t="n"/>
      <c r="D77" s="2" t="n"/>
      <c r="E77" s="2" t="n"/>
      <c r="F77" s="2" t="n"/>
      <c r="G77" s="2" t="n"/>
      <c r="H77" s="2" t="n"/>
      <c r="I77" s="2" t="n"/>
      <c r="J77" s="2" t="n"/>
      <c r="K77" s="2">
        <f>IF(COUNTA(G77:J77)&lt;4,"",ROUND(AVERAGE(G77:J77),1))</f>
        <v/>
      </c>
      <c r="L77" s="2" t="n"/>
      <c r="M77" s="2" t="n"/>
      <c r="N77" s="2" t="n"/>
      <c r="O77" s="2" t="n"/>
    </row>
    <row r="78">
      <c r="A78" s="2" t="n"/>
      <c r="B78" s="2" t="n"/>
      <c r="C78" s="2" t="n"/>
      <c r="D78" s="2" t="n"/>
      <c r="E78" s="2" t="n"/>
      <c r="F78" s="2" t="n"/>
      <c r="G78" s="2" t="n"/>
      <c r="H78" s="2" t="n"/>
      <c r="I78" s="2" t="n"/>
      <c r="J78" s="2" t="n"/>
      <c r="K78" s="2">
        <f>IF(COUNTA(G78:J78)&lt;4,"",ROUND(AVERAGE(G78:J78),1))</f>
        <v/>
      </c>
      <c r="L78" s="2" t="n"/>
      <c r="M78" s="2" t="n"/>
      <c r="N78" s="2" t="n"/>
      <c r="O78" s="2" t="n"/>
    </row>
    <row r="79">
      <c r="A79" s="2" t="n"/>
      <c r="B79" s="2" t="n"/>
      <c r="C79" s="2" t="n"/>
      <c r="D79" s="2" t="n"/>
      <c r="E79" s="2" t="n"/>
      <c r="F79" s="2" t="n"/>
      <c r="G79" s="2" t="n"/>
      <c r="H79" s="2" t="n"/>
      <c r="I79" s="2" t="n"/>
      <c r="J79" s="2" t="n"/>
      <c r="K79" s="2">
        <f>IF(COUNTA(G79:J79)&lt;4,"",ROUND(AVERAGE(G79:J79),1))</f>
        <v/>
      </c>
      <c r="L79" s="2" t="n"/>
      <c r="M79" s="2" t="n"/>
      <c r="N79" s="2" t="n"/>
      <c r="O79" s="2" t="n"/>
    </row>
    <row r="80">
      <c r="A80" s="2" t="n"/>
      <c r="B80" s="2" t="n"/>
      <c r="C80" s="2" t="n"/>
      <c r="D80" s="2" t="n"/>
      <c r="E80" s="2" t="n"/>
      <c r="F80" s="2" t="n"/>
      <c r="G80" s="2" t="n"/>
      <c r="H80" s="2" t="n"/>
      <c r="I80" s="2" t="n"/>
      <c r="J80" s="2" t="n"/>
      <c r="K80" s="2">
        <f>IF(COUNTA(G80:J80)&lt;4,"",ROUND(AVERAGE(G80:J80),1))</f>
        <v/>
      </c>
      <c r="L80" s="2" t="n"/>
      <c r="M80" s="2" t="n"/>
      <c r="N80" s="2" t="n"/>
      <c r="O80" s="2" t="n"/>
    </row>
    <row r="81">
      <c r="A81" s="2" t="n"/>
      <c r="B81" s="2" t="n"/>
      <c r="C81" s="2" t="n"/>
      <c r="D81" s="2" t="n"/>
      <c r="E81" s="2" t="n"/>
      <c r="F81" s="2" t="n"/>
      <c r="G81" s="2" t="n"/>
      <c r="H81" s="2" t="n"/>
      <c r="I81" s="2" t="n"/>
      <c r="J81" s="2" t="n"/>
      <c r="K81" s="2">
        <f>IF(COUNTA(G81:J81)&lt;4,"",ROUND(AVERAGE(G81:J81),1))</f>
        <v/>
      </c>
      <c r="L81" s="2" t="n"/>
      <c r="M81" s="2" t="n"/>
      <c r="N81" s="2" t="n"/>
      <c r="O81" s="2" t="n"/>
    </row>
    <row r="82">
      <c r="A82" s="2" t="n"/>
      <c r="B82" s="2" t="n"/>
      <c r="C82" s="2" t="n"/>
      <c r="D82" s="2" t="n"/>
      <c r="E82" s="2" t="n"/>
      <c r="F82" s="2" t="n"/>
      <c r="G82" s="2" t="n"/>
      <c r="H82" s="2" t="n"/>
      <c r="I82" s="2" t="n"/>
      <c r="J82" s="2" t="n"/>
      <c r="K82" s="2">
        <f>IF(COUNTA(G82:J82)&lt;4,"",ROUND(AVERAGE(G82:J82),1))</f>
        <v/>
      </c>
      <c r="L82" s="2" t="n"/>
      <c r="M82" s="2" t="n"/>
      <c r="N82" s="2" t="n"/>
      <c r="O82" s="2" t="n"/>
    </row>
    <row r="83">
      <c r="A83" s="2" t="n"/>
      <c r="B83" s="2" t="n"/>
      <c r="C83" s="2" t="n"/>
      <c r="D83" s="2" t="n"/>
      <c r="E83" s="2" t="n"/>
      <c r="F83" s="2" t="n"/>
      <c r="G83" s="2" t="n"/>
      <c r="H83" s="2" t="n"/>
      <c r="I83" s="2" t="n"/>
      <c r="J83" s="2" t="n"/>
      <c r="K83" s="2">
        <f>IF(COUNTA(G83:J83)&lt;4,"",ROUND(AVERAGE(G83:J83),1))</f>
        <v/>
      </c>
      <c r="L83" s="2" t="n"/>
      <c r="M83" s="2" t="n"/>
      <c r="N83" s="2" t="n"/>
      <c r="O83" s="2" t="n"/>
    </row>
    <row r="84">
      <c r="A84" s="2" t="n"/>
      <c r="B84" s="2" t="n"/>
      <c r="C84" s="2" t="n"/>
      <c r="D84" s="2" t="n"/>
      <c r="E84" s="2" t="n"/>
      <c r="F84" s="2" t="n"/>
      <c r="G84" s="2" t="n"/>
      <c r="H84" s="2" t="n"/>
      <c r="I84" s="2" t="n"/>
      <c r="J84" s="2" t="n"/>
      <c r="K84" s="2">
        <f>IF(COUNTA(G84:J84)&lt;4,"",ROUND(AVERAGE(G84:J84),1))</f>
        <v/>
      </c>
      <c r="L84" s="2" t="n"/>
      <c r="M84" s="2" t="n"/>
      <c r="N84" s="2" t="n"/>
      <c r="O84" s="2" t="n"/>
    </row>
    <row r="85">
      <c r="A85" s="2" t="n"/>
      <c r="B85" s="2" t="n"/>
      <c r="C85" s="2" t="n"/>
      <c r="D85" s="2" t="n"/>
      <c r="E85" s="2" t="n"/>
      <c r="F85" s="2" t="n"/>
      <c r="G85" s="2" t="n"/>
      <c r="H85" s="2" t="n"/>
      <c r="I85" s="2" t="n"/>
      <c r="J85" s="2" t="n"/>
      <c r="K85" s="2">
        <f>IF(COUNTA(G85:J85)&lt;4,"",ROUND(AVERAGE(G85:J85),1))</f>
        <v/>
      </c>
      <c r="L85" s="2" t="n"/>
      <c r="M85" s="2" t="n"/>
      <c r="N85" s="2" t="n"/>
      <c r="O85" s="2" t="n"/>
    </row>
    <row r="86">
      <c r="A86" s="2" t="n"/>
      <c r="B86" s="2" t="n"/>
      <c r="C86" s="2" t="n"/>
      <c r="D86" s="2" t="n"/>
      <c r="E86" s="2" t="n"/>
      <c r="F86" s="2" t="n"/>
      <c r="G86" s="2" t="n"/>
      <c r="H86" s="2" t="n"/>
      <c r="I86" s="2" t="n"/>
      <c r="J86" s="2" t="n"/>
      <c r="K86" s="2">
        <f>IF(COUNTA(G86:J86)&lt;4,"",ROUND(AVERAGE(G86:J86),1))</f>
        <v/>
      </c>
      <c r="L86" s="2" t="n"/>
      <c r="M86" s="2" t="n"/>
      <c r="N86" s="2" t="n"/>
      <c r="O86" s="2" t="n"/>
    </row>
    <row r="87">
      <c r="A87" s="2" t="n"/>
      <c r="B87" s="2" t="n"/>
      <c r="C87" s="2" t="n"/>
      <c r="D87" s="2" t="n"/>
      <c r="E87" s="2" t="n"/>
      <c r="F87" s="2" t="n"/>
      <c r="G87" s="2" t="n"/>
      <c r="H87" s="2" t="n"/>
      <c r="I87" s="2" t="n"/>
      <c r="J87" s="2" t="n"/>
      <c r="K87" s="2">
        <f>IF(COUNTA(G87:J87)&lt;4,"",ROUND(AVERAGE(G87:J87),1))</f>
        <v/>
      </c>
      <c r="L87" s="2" t="n"/>
      <c r="M87" s="2" t="n"/>
      <c r="N87" s="2" t="n"/>
      <c r="O87" s="2" t="n"/>
    </row>
    <row r="88">
      <c r="A88" s="2" t="n"/>
      <c r="B88" s="2" t="n"/>
      <c r="C88" s="2" t="n"/>
      <c r="D88" s="2" t="n"/>
      <c r="E88" s="2" t="n"/>
      <c r="F88" s="2" t="n"/>
      <c r="G88" s="2" t="n"/>
      <c r="H88" s="2" t="n"/>
      <c r="I88" s="2" t="n"/>
      <c r="J88" s="2" t="n"/>
      <c r="K88" s="2">
        <f>IF(COUNTA(G88:J88)&lt;4,"",ROUND(AVERAGE(G88:J88),1))</f>
        <v/>
      </c>
      <c r="L88" s="2" t="n"/>
      <c r="M88" s="2" t="n"/>
      <c r="N88" s="2" t="n"/>
      <c r="O88" s="2" t="n"/>
    </row>
    <row r="89">
      <c r="A89" s="2" t="n"/>
      <c r="B89" s="2" t="n"/>
      <c r="C89" s="2" t="n"/>
      <c r="D89" s="2" t="n"/>
      <c r="E89" s="2" t="n"/>
      <c r="F89" s="2" t="n"/>
      <c r="G89" s="2" t="n"/>
      <c r="H89" s="2" t="n"/>
      <c r="I89" s="2" t="n"/>
      <c r="J89" s="2" t="n"/>
      <c r="K89" s="2">
        <f>IF(COUNTA(G89:J89)&lt;4,"",ROUND(AVERAGE(G89:J89),1))</f>
        <v/>
      </c>
      <c r="L89" s="2" t="n"/>
      <c r="M89" s="2" t="n"/>
      <c r="N89" s="2" t="n"/>
      <c r="O89" s="2" t="n"/>
    </row>
    <row r="90">
      <c r="A90" s="2" t="n"/>
      <c r="B90" s="2" t="n"/>
      <c r="C90" s="2" t="n"/>
      <c r="D90" s="2" t="n"/>
      <c r="E90" s="2" t="n"/>
      <c r="F90" s="2" t="n"/>
      <c r="G90" s="2" t="n"/>
      <c r="H90" s="2" t="n"/>
      <c r="I90" s="2" t="n"/>
      <c r="J90" s="2" t="n"/>
      <c r="K90" s="2">
        <f>IF(COUNTA(G90:J90)&lt;4,"",ROUND(AVERAGE(G90:J90),1))</f>
        <v/>
      </c>
      <c r="L90" s="2" t="n"/>
      <c r="M90" s="2" t="n"/>
      <c r="N90" s="2" t="n"/>
      <c r="O90" s="2" t="n"/>
    </row>
    <row r="91">
      <c r="A91" s="2" t="n"/>
      <c r="B91" s="2" t="n"/>
      <c r="C91" s="2" t="n"/>
      <c r="D91" s="2" t="n"/>
      <c r="E91" s="2" t="n"/>
      <c r="F91" s="2" t="n"/>
      <c r="G91" s="2" t="n"/>
      <c r="H91" s="2" t="n"/>
      <c r="I91" s="2" t="n"/>
      <c r="J91" s="2" t="n"/>
      <c r="K91" s="2">
        <f>IF(COUNTA(G91:J91)&lt;4,"",ROUND(AVERAGE(G91:J91),1))</f>
        <v/>
      </c>
      <c r="L91" s="2" t="n"/>
      <c r="M91" s="2" t="n"/>
      <c r="N91" s="2" t="n"/>
      <c r="O91" s="2" t="n"/>
    </row>
    <row r="92">
      <c r="A92" s="2" t="n"/>
      <c r="B92" s="2" t="n"/>
      <c r="C92" s="2" t="n"/>
      <c r="D92" s="2" t="n"/>
      <c r="E92" s="2" t="n"/>
      <c r="F92" s="2" t="n"/>
      <c r="G92" s="2" t="n"/>
      <c r="H92" s="2" t="n"/>
      <c r="I92" s="2" t="n"/>
      <c r="J92" s="2" t="n"/>
      <c r="K92" s="2">
        <f>IF(COUNTA(G92:J92)&lt;4,"",ROUND(AVERAGE(G92:J92),1))</f>
        <v/>
      </c>
      <c r="L92" s="2" t="n"/>
      <c r="M92" s="2" t="n"/>
      <c r="N92" s="2" t="n"/>
      <c r="O92" s="2" t="n"/>
    </row>
    <row r="93">
      <c r="A93" s="2" t="n"/>
      <c r="B93" s="2" t="n"/>
      <c r="C93" s="2" t="n"/>
      <c r="D93" s="2" t="n"/>
      <c r="E93" s="2" t="n"/>
      <c r="F93" s="2" t="n"/>
      <c r="G93" s="2" t="n"/>
      <c r="H93" s="2" t="n"/>
      <c r="I93" s="2" t="n"/>
      <c r="J93" s="2" t="n"/>
      <c r="K93" s="2">
        <f>IF(COUNTA(G93:J93)&lt;4,"",ROUND(AVERAGE(G93:J93),1))</f>
        <v/>
      </c>
      <c r="L93" s="2" t="n"/>
      <c r="M93" s="2" t="n"/>
      <c r="N93" s="2" t="n"/>
      <c r="O93" s="2" t="n"/>
    </row>
    <row r="94">
      <c r="A94" s="2" t="n"/>
      <c r="B94" s="2" t="n"/>
      <c r="C94" s="2" t="n"/>
      <c r="D94" s="2" t="n"/>
      <c r="E94" s="2" t="n"/>
      <c r="F94" s="2" t="n"/>
      <c r="G94" s="2" t="n"/>
      <c r="H94" s="2" t="n"/>
      <c r="I94" s="2" t="n"/>
      <c r="J94" s="2" t="n"/>
      <c r="K94" s="2">
        <f>IF(COUNTA(G94:J94)&lt;4,"",ROUND(AVERAGE(G94:J94),1))</f>
        <v/>
      </c>
      <c r="L94" s="2" t="n"/>
      <c r="M94" s="2" t="n"/>
      <c r="N94" s="2" t="n"/>
      <c r="O94" s="2" t="n"/>
    </row>
    <row r="95">
      <c r="A95" s="2" t="n"/>
      <c r="B95" s="2" t="n"/>
      <c r="C95" s="2" t="n"/>
      <c r="D95" s="2" t="n"/>
      <c r="E95" s="2" t="n"/>
      <c r="F95" s="2" t="n"/>
      <c r="G95" s="2" t="n"/>
      <c r="H95" s="2" t="n"/>
      <c r="I95" s="2" t="n"/>
      <c r="J95" s="2" t="n"/>
      <c r="K95" s="2">
        <f>IF(COUNTA(G95:J95)&lt;4,"",ROUND(AVERAGE(G95:J95),1))</f>
        <v/>
      </c>
      <c r="L95" s="2" t="n"/>
      <c r="M95" s="2" t="n"/>
      <c r="N95" s="2" t="n"/>
      <c r="O95" s="2" t="n"/>
    </row>
    <row r="96">
      <c r="A96" s="2" t="n"/>
      <c r="B96" s="2" t="n"/>
      <c r="C96" s="2" t="n"/>
      <c r="D96" s="2" t="n"/>
      <c r="E96" s="2" t="n"/>
      <c r="F96" s="2" t="n"/>
      <c r="G96" s="2" t="n"/>
      <c r="H96" s="2" t="n"/>
      <c r="I96" s="2" t="n"/>
      <c r="J96" s="2" t="n"/>
      <c r="K96" s="2">
        <f>IF(COUNTA(G96:J96)&lt;4,"",ROUND(AVERAGE(G96:J96),1))</f>
        <v/>
      </c>
      <c r="L96" s="2" t="n"/>
      <c r="M96" s="2" t="n"/>
      <c r="N96" s="2" t="n"/>
      <c r="O96" s="2" t="n"/>
    </row>
    <row r="97">
      <c r="A97" s="2" t="n"/>
      <c r="B97" s="2" t="n"/>
      <c r="C97" s="2" t="n"/>
      <c r="D97" s="2" t="n"/>
      <c r="E97" s="2" t="n"/>
      <c r="F97" s="2" t="n"/>
      <c r="G97" s="2" t="n"/>
      <c r="H97" s="2" t="n"/>
      <c r="I97" s="2" t="n"/>
      <c r="J97" s="2" t="n"/>
      <c r="K97" s="2">
        <f>IF(COUNTA(G97:J97)&lt;4,"",ROUND(AVERAGE(G97:J97),1))</f>
        <v/>
      </c>
      <c r="L97" s="2" t="n"/>
      <c r="M97" s="2" t="n"/>
      <c r="N97" s="2" t="n"/>
      <c r="O97" s="2" t="n"/>
    </row>
    <row r="98">
      <c r="A98" s="2" t="n"/>
      <c r="B98" s="2" t="n"/>
      <c r="C98" s="2" t="n"/>
      <c r="D98" s="2" t="n"/>
      <c r="E98" s="2" t="n"/>
      <c r="F98" s="2" t="n"/>
      <c r="G98" s="2" t="n"/>
      <c r="H98" s="2" t="n"/>
      <c r="I98" s="2" t="n"/>
      <c r="J98" s="2" t="n"/>
      <c r="K98" s="2">
        <f>IF(COUNTA(G98:J98)&lt;4,"",ROUND(AVERAGE(G98:J98),1))</f>
        <v/>
      </c>
      <c r="L98" s="2" t="n"/>
      <c r="M98" s="2" t="n"/>
      <c r="N98" s="2" t="n"/>
      <c r="O98" s="2" t="n"/>
    </row>
    <row r="99">
      <c r="A99" s="2" t="n"/>
      <c r="B99" s="2" t="n"/>
      <c r="C99" s="2" t="n"/>
      <c r="D99" s="2" t="n"/>
      <c r="E99" s="2" t="n"/>
      <c r="F99" s="2" t="n"/>
      <c r="G99" s="2" t="n"/>
      <c r="H99" s="2" t="n"/>
      <c r="I99" s="2" t="n"/>
      <c r="J99" s="2" t="n"/>
      <c r="K99" s="2">
        <f>IF(COUNTA(G99:J99)&lt;4,"",ROUND(AVERAGE(G99:J99),1))</f>
        <v/>
      </c>
      <c r="L99" s="2" t="n"/>
      <c r="M99" s="2" t="n"/>
      <c r="N99" s="2" t="n"/>
      <c r="O99" s="2" t="n"/>
    </row>
    <row r="100">
      <c r="A100" s="2" t="n"/>
      <c r="B100" s="2" t="n"/>
      <c r="C100" s="2" t="n"/>
      <c r="D100" s="2" t="n"/>
      <c r="E100" s="2" t="n"/>
      <c r="F100" s="2" t="n"/>
      <c r="G100" s="2" t="n"/>
      <c r="H100" s="2" t="n"/>
      <c r="I100" s="2" t="n"/>
      <c r="J100" s="2" t="n"/>
      <c r="K100" s="2">
        <f>IF(COUNTA(G100:J100)&lt;4,"",ROUND(AVERAGE(G100:J100),1))</f>
        <v/>
      </c>
      <c r="L100" s="2" t="n"/>
      <c r="M100" s="2" t="n"/>
      <c r="N100" s="2" t="n"/>
      <c r="O100" s="2" t="n"/>
    </row>
    <row r="101">
      <c r="A101" s="2" t="n"/>
      <c r="B101" s="2" t="n"/>
      <c r="C101" s="2" t="n"/>
      <c r="D101" s="2" t="n"/>
      <c r="E101" s="2" t="n"/>
      <c r="F101" s="2" t="n"/>
      <c r="G101" s="2" t="n"/>
      <c r="H101" s="2" t="n"/>
      <c r="I101" s="2" t="n"/>
      <c r="J101" s="2" t="n"/>
      <c r="K101" s="2">
        <f>IF(COUNTA(G101:J101)&lt;4,"",ROUND(AVERAGE(G101:J101),1))</f>
        <v/>
      </c>
      <c r="L101" s="2" t="n"/>
      <c r="M101" s="2" t="n"/>
      <c r="N101" s="2" t="n"/>
      <c r="O101" s="2" t="n"/>
    </row>
    <row r="102">
      <c r="A102" s="2" t="n"/>
      <c r="B102" s="2" t="n"/>
      <c r="C102" s="2" t="n"/>
      <c r="D102" s="2" t="n"/>
      <c r="E102" s="2" t="n"/>
      <c r="F102" s="2" t="n"/>
      <c r="G102" s="2" t="n"/>
      <c r="H102" s="2" t="n"/>
      <c r="I102" s="2" t="n"/>
      <c r="J102" s="2" t="n"/>
      <c r="K102" s="2">
        <f>IF(COUNTA(G102:J102)&lt;4,"",ROUND(AVERAGE(G102:J102),1))</f>
        <v/>
      </c>
      <c r="L102" s="2" t="n"/>
      <c r="M102" s="2" t="n"/>
      <c r="N102" s="2" t="n"/>
      <c r="O102" s="2" t="n"/>
    </row>
    <row r="103">
      <c r="A103" s="2" t="n"/>
      <c r="B103" s="2" t="n"/>
      <c r="C103" s="2" t="n"/>
      <c r="D103" s="2" t="n"/>
      <c r="E103" s="2" t="n"/>
      <c r="F103" s="2" t="n"/>
      <c r="G103" s="2" t="n"/>
      <c r="H103" s="2" t="n"/>
      <c r="I103" s="2" t="n"/>
      <c r="J103" s="2" t="n"/>
      <c r="K103" s="2">
        <f>IF(COUNTA(G103:J103)&lt;4,"",ROUND(AVERAGE(G103:J103),1))</f>
        <v/>
      </c>
      <c r="L103" s="2" t="n"/>
      <c r="M103" s="2" t="n"/>
      <c r="N103" s="2" t="n"/>
      <c r="O103" s="2" t="n"/>
    </row>
    <row r="104">
      <c r="A104" s="2" t="n"/>
      <c r="B104" s="2" t="n"/>
      <c r="C104" s="2" t="n"/>
      <c r="D104" s="2" t="n"/>
      <c r="E104" s="2" t="n"/>
      <c r="F104" s="2" t="n"/>
      <c r="G104" s="2" t="n"/>
      <c r="H104" s="2" t="n"/>
      <c r="I104" s="2" t="n"/>
      <c r="J104" s="2" t="n"/>
      <c r="K104" s="2">
        <f>IF(COUNTA(G104:J104)&lt;4,"",ROUND(AVERAGE(G104:J104),1))</f>
        <v/>
      </c>
      <c r="L104" s="2" t="n"/>
      <c r="M104" s="2" t="n"/>
      <c r="N104" s="2" t="n"/>
      <c r="O104" s="2" t="n"/>
    </row>
    <row r="105">
      <c r="A105" s="2" t="n"/>
      <c r="B105" s="2" t="n"/>
      <c r="C105" s="2" t="n"/>
      <c r="D105" s="2" t="n"/>
      <c r="E105" s="2" t="n"/>
      <c r="F105" s="2" t="n"/>
      <c r="G105" s="2" t="n"/>
      <c r="H105" s="2" t="n"/>
      <c r="I105" s="2" t="n"/>
      <c r="J105" s="2" t="n"/>
      <c r="K105" s="2">
        <f>IF(COUNTA(G105:J105)&lt;4,"",ROUND(AVERAGE(G105:J105),1))</f>
        <v/>
      </c>
      <c r="L105" s="2" t="n"/>
      <c r="M105" s="2" t="n"/>
      <c r="N105" s="2" t="n"/>
      <c r="O105" s="2" t="n"/>
    </row>
    <row r="106">
      <c r="A106" s="2" t="n"/>
      <c r="B106" s="2" t="n"/>
      <c r="C106" s="2" t="n"/>
      <c r="D106" s="2" t="n"/>
      <c r="E106" s="2" t="n"/>
      <c r="F106" s="2" t="n"/>
      <c r="G106" s="2" t="n"/>
      <c r="H106" s="2" t="n"/>
      <c r="I106" s="2" t="n"/>
      <c r="J106" s="2" t="n"/>
      <c r="K106" s="2">
        <f>IF(COUNTA(G106:J106)&lt;4,"",ROUND(AVERAGE(G106:J106),1))</f>
        <v/>
      </c>
      <c r="L106" s="2" t="n"/>
      <c r="M106" s="2" t="n"/>
      <c r="N106" s="2" t="n"/>
      <c r="O106" s="2" t="n"/>
    </row>
    <row r="107">
      <c r="A107" s="2" t="n"/>
      <c r="B107" s="2" t="n"/>
      <c r="C107" s="2" t="n"/>
      <c r="D107" s="2" t="n"/>
      <c r="E107" s="2" t="n"/>
      <c r="F107" s="2" t="n"/>
      <c r="G107" s="2" t="n"/>
      <c r="H107" s="2" t="n"/>
      <c r="I107" s="2" t="n"/>
      <c r="J107" s="2" t="n"/>
      <c r="K107" s="2">
        <f>IF(COUNTA(G107:J107)&lt;4,"",ROUND(AVERAGE(G107:J107),1))</f>
        <v/>
      </c>
      <c r="L107" s="2" t="n"/>
      <c r="M107" s="2" t="n"/>
      <c r="N107" s="2" t="n"/>
      <c r="O107" s="2" t="n"/>
    </row>
    <row r="108">
      <c r="A108" s="2" t="n"/>
      <c r="B108" s="2" t="n"/>
      <c r="C108" s="2" t="n"/>
      <c r="D108" s="2" t="n"/>
      <c r="E108" s="2" t="n"/>
      <c r="F108" s="2" t="n"/>
      <c r="G108" s="2" t="n"/>
      <c r="H108" s="2" t="n"/>
      <c r="I108" s="2" t="n"/>
      <c r="J108" s="2" t="n"/>
      <c r="K108" s="2">
        <f>IF(COUNTA(G108:J108)&lt;4,"",ROUND(AVERAGE(G108:J108),1))</f>
        <v/>
      </c>
      <c r="L108" s="2" t="n"/>
      <c r="M108" s="2" t="n"/>
      <c r="N108" s="2" t="n"/>
      <c r="O108" s="2" t="n"/>
    </row>
    <row r="109">
      <c r="A109" s="2" t="n"/>
      <c r="B109" s="2" t="n"/>
      <c r="C109" s="2" t="n"/>
      <c r="D109" s="2" t="n"/>
      <c r="E109" s="2" t="n"/>
      <c r="F109" s="2" t="n"/>
      <c r="G109" s="2" t="n"/>
      <c r="H109" s="2" t="n"/>
      <c r="I109" s="2" t="n"/>
      <c r="J109" s="2" t="n"/>
      <c r="K109" s="2">
        <f>IF(COUNTA(G109:J109)&lt;4,"",ROUND(AVERAGE(G109:J109),1))</f>
        <v/>
      </c>
      <c r="L109" s="2" t="n"/>
      <c r="M109" s="2" t="n"/>
      <c r="N109" s="2" t="n"/>
      <c r="O109" s="2" t="n"/>
    </row>
    <row r="110">
      <c r="A110" s="2" t="n"/>
      <c r="B110" s="2" t="n"/>
      <c r="C110" s="2" t="n"/>
      <c r="D110" s="2" t="n"/>
      <c r="E110" s="2" t="n"/>
      <c r="F110" s="2" t="n"/>
      <c r="G110" s="2" t="n"/>
      <c r="H110" s="2" t="n"/>
      <c r="I110" s="2" t="n"/>
      <c r="J110" s="2" t="n"/>
      <c r="K110" s="2">
        <f>IF(COUNTA(G110:J110)&lt;4,"",ROUND(AVERAGE(G110:J110),1))</f>
        <v/>
      </c>
      <c r="L110" s="2" t="n"/>
      <c r="M110" s="2" t="n"/>
      <c r="N110" s="2" t="n"/>
      <c r="O110" s="2" t="n"/>
    </row>
    <row r="111">
      <c r="A111" s="2" t="n"/>
      <c r="B111" s="2" t="n"/>
      <c r="C111" s="2" t="n"/>
      <c r="D111" s="2" t="n"/>
      <c r="E111" s="2" t="n"/>
      <c r="F111" s="2" t="n"/>
      <c r="G111" s="2" t="n"/>
      <c r="H111" s="2" t="n"/>
      <c r="I111" s="2" t="n"/>
      <c r="J111" s="2" t="n"/>
      <c r="K111" s="2">
        <f>IF(COUNTA(G111:J111)&lt;4,"",ROUND(AVERAGE(G111:J111),1))</f>
        <v/>
      </c>
      <c r="L111" s="2" t="n"/>
      <c r="M111" s="2" t="n"/>
      <c r="N111" s="2" t="n"/>
      <c r="O111" s="2" t="n"/>
    </row>
    <row r="112">
      <c r="A112" s="2" t="n"/>
      <c r="B112" s="2" t="n"/>
      <c r="C112" s="2" t="n"/>
      <c r="D112" s="2" t="n"/>
      <c r="E112" s="2" t="n"/>
      <c r="F112" s="2" t="n"/>
      <c r="G112" s="2" t="n"/>
      <c r="H112" s="2" t="n"/>
      <c r="I112" s="2" t="n"/>
      <c r="J112" s="2" t="n"/>
      <c r="K112" s="2">
        <f>IF(COUNTA(G112:J112)&lt;4,"",ROUND(AVERAGE(G112:J112),1))</f>
        <v/>
      </c>
      <c r="L112" s="2" t="n"/>
      <c r="M112" s="2" t="n"/>
      <c r="N112" s="2" t="n"/>
      <c r="O112" s="2" t="n"/>
    </row>
    <row r="113">
      <c r="A113" s="2" t="n"/>
      <c r="B113" s="2" t="n"/>
      <c r="C113" s="2" t="n"/>
      <c r="D113" s="2" t="n"/>
      <c r="E113" s="2" t="n"/>
      <c r="F113" s="2" t="n"/>
      <c r="G113" s="2" t="n"/>
      <c r="H113" s="2" t="n"/>
      <c r="I113" s="2" t="n"/>
      <c r="J113" s="2" t="n"/>
      <c r="K113" s="2">
        <f>IF(COUNTA(G113:J113)&lt;4,"",ROUND(AVERAGE(G113:J113),1))</f>
        <v/>
      </c>
      <c r="L113" s="2" t="n"/>
      <c r="M113" s="2" t="n"/>
      <c r="N113" s="2" t="n"/>
      <c r="O113" s="2" t="n"/>
    </row>
    <row r="114">
      <c r="A114" s="2" t="n"/>
      <c r="B114" s="2" t="n"/>
      <c r="C114" s="2" t="n"/>
      <c r="D114" s="2" t="n"/>
      <c r="E114" s="2" t="n"/>
      <c r="F114" s="2" t="n"/>
      <c r="G114" s="2" t="n"/>
      <c r="H114" s="2" t="n"/>
      <c r="I114" s="2" t="n"/>
      <c r="J114" s="2" t="n"/>
      <c r="K114" s="2">
        <f>IF(COUNTA(G114:J114)&lt;4,"",ROUND(AVERAGE(G114:J114),1))</f>
        <v/>
      </c>
      <c r="L114" s="2" t="n"/>
      <c r="M114" s="2" t="n"/>
      <c r="N114" s="2" t="n"/>
      <c r="O114" s="2" t="n"/>
    </row>
    <row r="115">
      <c r="A115" s="2" t="n"/>
      <c r="B115" s="2" t="n"/>
      <c r="C115" s="2" t="n"/>
      <c r="D115" s="2" t="n"/>
      <c r="E115" s="2" t="n"/>
      <c r="F115" s="2" t="n"/>
      <c r="G115" s="2" t="n"/>
      <c r="H115" s="2" t="n"/>
      <c r="I115" s="2" t="n"/>
      <c r="J115" s="2" t="n"/>
      <c r="K115" s="2">
        <f>IF(COUNTA(G115:J115)&lt;4,"",ROUND(AVERAGE(G115:J115),1))</f>
        <v/>
      </c>
      <c r="L115" s="2" t="n"/>
      <c r="M115" s="2" t="n"/>
      <c r="N115" s="2" t="n"/>
      <c r="O115" s="2" t="n"/>
    </row>
    <row r="116">
      <c r="A116" s="2" t="n"/>
      <c r="B116" s="2" t="n"/>
      <c r="C116" s="2" t="n"/>
      <c r="D116" s="2" t="n"/>
      <c r="E116" s="2" t="n"/>
      <c r="F116" s="2" t="n"/>
      <c r="G116" s="2" t="n"/>
      <c r="H116" s="2" t="n"/>
      <c r="I116" s="2" t="n"/>
      <c r="J116" s="2" t="n"/>
      <c r="K116" s="2">
        <f>IF(COUNTA(G116:J116)&lt;4,"",ROUND(AVERAGE(G116:J116),1))</f>
        <v/>
      </c>
      <c r="L116" s="2" t="n"/>
      <c r="M116" s="2" t="n"/>
      <c r="N116" s="2" t="n"/>
      <c r="O116" s="2" t="n"/>
    </row>
    <row r="117">
      <c r="A117" s="2" t="n"/>
      <c r="B117" s="2" t="n"/>
      <c r="C117" s="2" t="n"/>
      <c r="D117" s="2" t="n"/>
      <c r="E117" s="2" t="n"/>
      <c r="F117" s="2" t="n"/>
      <c r="G117" s="2" t="n"/>
      <c r="H117" s="2" t="n"/>
      <c r="I117" s="2" t="n"/>
      <c r="J117" s="2" t="n"/>
      <c r="K117" s="2">
        <f>IF(COUNTA(G117:J117)&lt;4,"",ROUND(AVERAGE(G117:J117),1))</f>
        <v/>
      </c>
      <c r="L117" s="2" t="n"/>
      <c r="M117" s="2" t="n"/>
      <c r="N117" s="2" t="n"/>
      <c r="O117" s="2" t="n"/>
    </row>
    <row r="118">
      <c r="A118" s="2" t="n"/>
      <c r="B118" s="2" t="n"/>
      <c r="C118" s="2" t="n"/>
      <c r="D118" s="2" t="n"/>
      <c r="E118" s="2" t="n"/>
      <c r="F118" s="2" t="n"/>
      <c r="G118" s="2" t="n"/>
      <c r="H118" s="2" t="n"/>
      <c r="I118" s="2" t="n"/>
      <c r="J118" s="2" t="n"/>
      <c r="K118" s="2">
        <f>IF(COUNTA(G118:J118)&lt;4,"",ROUND(AVERAGE(G118:J118),1))</f>
        <v/>
      </c>
      <c r="L118" s="2" t="n"/>
      <c r="M118" s="2" t="n"/>
      <c r="N118" s="2" t="n"/>
      <c r="O118" s="2" t="n"/>
    </row>
    <row r="119">
      <c r="A119" s="2" t="n"/>
      <c r="B119" s="2" t="n"/>
      <c r="C119" s="2" t="n"/>
      <c r="D119" s="2" t="n"/>
      <c r="E119" s="2" t="n"/>
      <c r="F119" s="2" t="n"/>
      <c r="G119" s="2" t="n"/>
      <c r="H119" s="2" t="n"/>
      <c r="I119" s="2" t="n"/>
      <c r="J119" s="2" t="n"/>
      <c r="K119" s="2">
        <f>IF(COUNTA(G119:J119)&lt;4,"",ROUND(AVERAGE(G119:J119),1))</f>
        <v/>
      </c>
      <c r="L119" s="2" t="n"/>
      <c r="M119" s="2" t="n"/>
      <c r="N119" s="2" t="n"/>
      <c r="O119" s="2" t="n"/>
    </row>
    <row r="120">
      <c r="A120" s="2" t="n"/>
      <c r="B120" s="2" t="n"/>
      <c r="C120" s="2" t="n"/>
      <c r="D120" s="2" t="n"/>
      <c r="E120" s="2" t="n"/>
      <c r="F120" s="2" t="n"/>
      <c r="G120" s="2" t="n"/>
      <c r="H120" s="2" t="n"/>
      <c r="I120" s="2" t="n"/>
      <c r="J120" s="2" t="n"/>
      <c r="K120" s="2">
        <f>IF(COUNTA(G120:J120)&lt;4,"",ROUND(AVERAGE(G120:J120),1))</f>
        <v/>
      </c>
      <c r="L120" s="2" t="n"/>
      <c r="M120" s="2" t="n"/>
      <c r="N120" s="2" t="n"/>
      <c r="O120" s="2" t="n"/>
    </row>
    <row r="121">
      <c r="A121" s="2" t="n"/>
      <c r="B121" s="2" t="n"/>
      <c r="C121" s="2" t="n"/>
      <c r="D121" s="2" t="n"/>
      <c r="E121" s="2" t="n"/>
      <c r="F121" s="2" t="n"/>
      <c r="G121" s="2" t="n"/>
      <c r="H121" s="2" t="n"/>
      <c r="I121" s="2" t="n"/>
      <c r="J121" s="2" t="n"/>
      <c r="K121" s="2">
        <f>IF(COUNTA(G121:J121)&lt;4,"",ROUND(AVERAGE(G121:J121),1))</f>
        <v/>
      </c>
      <c r="L121" s="2" t="n"/>
      <c r="M121" s="2" t="n"/>
      <c r="N121" s="2" t="n"/>
      <c r="O121" s="2" t="n"/>
    </row>
    <row r="122">
      <c r="A122" s="2" t="n"/>
      <c r="B122" s="2" t="n"/>
      <c r="C122" s="2" t="n"/>
      <c r="D122" s="2" t="n"/>
      <c r="E122" s="2" t="n"/>
      <c r="F122" s="2" t="n"/>
      <c r="G122" s="2" t="n"/>
      <c r="H122" s="2" t="n"/>
      <c r="I122" s="2" t="n"/>
      <c r="J122" s="2" t="n"/>
      <c r="K122" s="2">
        <f>IF(COUNTA(G122:J122)&lt;4,"",ROUND(AVERAGE(G122:J122),1))</f>
        <v/>
      </c>
      <c r="L122" s="2" t="n"/>
      <c r="M122" s="2" t="n"/>
      <c r="N122" s="2" t="n"/>
      <c r="O122" s="2" t="n"/>
    </row>
    <row r="123">
      <c r="A123" s="2" t="n"/>
      <c r="B123" s="2" t="n"/>
      <c r="C123" s="2" t="n"/>
      <c r="D123" s="2" t="n"/>
      <c r="E123" s="2" t="n"/>
      <c r="F123" s="2" t="n"/>
      <c r="G123" s="2" t="n"/>
      <c r="H123" s="2" t="n"/>
      <c r="I123" s="2" t="n"/>
      <c r="J123" s="2" t="n"/>
      <c r="K123" s="2">
        <f>IF(COUNTA(G123:J123)&lt;4,"",ROUND(AVERAGE(G123:J123),1))</f>
        <v/>
      </c>
      <c r="L123" s="2" t="n"/>
      <c r="M123" s="2" t="n"/>
      <c r="N123" s="2" t="n"/>
      <c r="O123" s="2" t="n"/>
    </row>
    <row r="124">
      <c r="A124" s="2" t="n"/>
      <c r="B124" s="2" t="n"/>
      <c r="C124" s="2" t="n"/>
      <c r="D124" s="2" t="n"/>
      <c r="E124" s="2" t="n"/>
      <c r="F124" s="2" t="n"/>
      <c r="G124" s="2" t="n"/>
      <c r="H124" s="2" t="n"/>
      <c r="I124" s="2" t="n"/>
      <c r="J124" s="2" t="n"/>
      <c r="K124" s="2">
        <f>IF(COUNTA(G124:J124)&lt;4,"",ROUND(AVERAGE(G124:J124),1))</f>
        <v/>
      </c>
      <c r="L124" s="2" t="n"/>
      <c r="M124" s="2" t="n"/>
      <c r="N124" s="2" t="n"/>
      <c r="O124" s="2" t="n"/>
    </row>
    <row r="125">
      <c r="A125" s="2" t="n"/>
      <c r="B125" s="2" t="n"/>
      <c r="C125" s="2" t="n"/>
      <c r="D125" s="2" t="n"/>
      <c r="E125" s="2" t="n"/>
      <c r="F125" s="2" t="n"/>
      <c r="G125" s="2" t="n"/>
      <c r="H125" s="2" t="n"/>
      <c r="I125" s="2" t="n"/>
      <c r="J125" s="2" t="n"/>
      <c r="K125" s="2">
        <f>IF(COUNTA(G125:J125)&lt;4,"",ROUND(AVERAGE(G125:J125),1))</f>
        <v/>
      </c>
      <c r="L125" s="2" t="n"/>
      <c r="M125" s="2" t="n"/>
      <c r="N125" s="2" t="n"/>
      <c r="O125" s="2" t="n"/>
    </row>
    <row r="126">
      <c r="A126" s="2" t="n"/>
      <c r="B126" s="2" t="n"/>
      <c r="C126" s="2" t="n"/>
      <c r="D126" s="2" t="n"/>
      <c r="E126" s="2" t="n"/>
      <c r="F126" s="2" t="n"/>
      <c r="G126" s="2" t="n"/>
      <c r="H126" s="2" t="n"/>
      <c r="I126" s="2" t="n"/>
      <c r="J126" s="2" t="n"/>
      <c r="K126" s="2">
        <f>IF(COUNTA(G126:J126)&lt;4,"",ROUND(AVERAGE(G126:J126),1))</f>
        <v/>
      </c>
      <c r="L126" s="2" t="n"/>
      <c r="M126" s="2" t="n"/>
      <c r="N126" s="2" t="n"/>
      <c r="O126" s="2" t="n"/>
    </row>
    <row r="127">
      <c r="A127" s="2" t="n"/>
      <c r="B127" s="2" t="n"/>
      <c r="C127" s="2" t="n"/>
      <c r="D127" s="2" t="n"/>
      <c r="E127" s="2" t="n"/>
      <c r="F127" s="2" t="n"/>
      <c r="G127" s="2" t="n"/>
      <c r="H127" s="2" t="n"/>
      <c r="I127" s="2" t="n"/>
      <c r="J127" s="2" t="n"/>
      <c r="K127" s="2">
        <f>IF(COUNTA(G127:J127)&lt;4,"",ROUND(AVERAGE(G127:J127),1))</f>
        <v/>
      </c>
      <c r="L127" s="2" t="n"/>
      <c r="M127" s="2" t="n"/>
      <c r="N127" s="2" t="n"/>
      <c r="O127" s="2" t="n"/>
    </row>
    <row r="128">
      <c r="A128" s="2" t="n"/>
      <c r="B128" s="2" t="n"/>
      <c r="C128" s="2" t="n"/>
      <c r="D128" s="2" t="n"/>
      <c r="E128" s="2" t="n"/>
      <c r="F128" s="2" t="n"/>
      <c r="G128" s="2" t="n"/>
      <c r="H128" s="2" t="n"/>
      <c r="I128" s="2" t="n"/>
      <c r="J128" s="2" t="n"/>
      <c r="K128" s="2">
        <f>IF(COUNTA(G128:J128)&lt;4,"",ROUND(AVERAGE(G128:J128),1))</f>
        <v/>
      </c>
      <c r="L128" s="2" t="n"/>
      <c r="M128" s="2" t="n"/>
      <c r="N128" s="2" t="n"/>
      <c r="O128" s="2" t="n"/>
    </row>
    <row r="129">
      <c r="A129" s="2" t="n"/>
      <c r="B129" s="2" t="n"/>
      <c r="C129" s="2" t="n"/>
      <c r="D129" s="2" t="n"/>
      <c r="E129" s="2" t="n"/>
      <c r="F129" s="2" t="n"/>
      <c r="G129" s="2" t="n"/>
      <c r="H129" s="2" t="n"/>
      <c r="I129" s="2" t="n"/>
      <c r="J129" s="2" t="n"/>
      <c r="K129" s="2">
        <f>IF(COUNTA(G129:J129)&lt;4,"",ROUND(AVERAGE(G129:J129),1))</f>
        <v/>
      </c>
      <c r="L129" s="2" t="n"/>
      <c r="M129" s="2" t="n"/>
      <c r="N129" s="2" t="n"/>
      <c r="O129" s="2" t="n"/>
    </row>
    <row r="130">
      <c r="A130" s="2" t="n"/>
      <c r="B130" s="2" t="n"/>
      <c r="C130" s="2" t="n"/>
      <c r="D130" s="2" t="n"/>
      <c r="E130" s="2" t="n"/>
      <c r="F130" s="2" t="n"/>
      <c r="G130" s="2" t="n"/>
      <c r="H130" s="2" t="n"/>
      <c r="I130" s="2" t="n"/>
      <c r="J130" s="2" t="n"/>
      <c r="K130" s="2">
        <f>IF(COUNTA(G130:J130)&lt;4,"",ROUND(AVERAGE(G130:J130),1))</f>
        <v/>
      </c>
      <c r="L130" s="2" t="n"/>
      <c r="M130" s="2" t="n"/>
      <c r="N130" s="2" t="n"/>
      <c r="O130" s="2" t="n"/>
    </row>
    <row r="131">
      <c r="A131" s="2" t="n"/>
      <c r="B131" s="2" t="n"/>
      <c r="C131" s="2" t="n"/>
      <c r="D131" s="2" t="n"/>
      <c r="E131" s="2" t="n"/>
      <c r="F131" s="2" t="n"/>
      <c r="G131" s="2" t="n"/>
      <c r="H131" s="2" t="n"/>
      <c r="I131" s="2" t="n"/>
      <c r="J131" s="2" t="n"/>
      <c r="K131" s="2">
        <f>IF(COUNTA(G131:J131)&lt;4,"",ROUND(AVERAGE(G131:J131),1))</f>
        <v/>
      </c>
      <c r="L131" s="2" t="n"/>
      <c r="M131" s="2" t="n"/>
      <c r="N131" s="2" t="n"/>
      <c r="O131" s="2" t="n"/>
    </row>
    <row r="132">
      <c r="A132" s="2" t="n"/>
      <c r="B132" s="2" t="n"/>
      <c r="C132" s="2" t="n"/>
      <c r="D132" s="2" t="n"/>
      <c r="E132" s="2" t="n"/>
      <c r="F132" s="2" t="n"/>
      <c r="G132" s="2" t="n"/>
      <c r="H132" s="2" t="n"/>
      <c r="I132" s="2" t="n"/>
      <c r="J132" s="2" t="n"/>
      <c r="K132" s="2">
        <f>IF(COUNTA(G132:J132)&lt;4,"",ROUND(AVERAGE(G132:J132),1))</f>
        <v/>
      </c>
      <c r="L132" s="2" t="n"/>
      <c r="M132" s="2" t="n"/>
      <c r="N132" s="2" t="n"/>
      <c r="O132" s="2" t="n"/>
    </row>
    <row r="133">
      <c r="A133" s="2" t="n"/>
      <c r="B133" s="2" t="n"/>
      <c r="C133" s="2" t="n"/>
      <c r="D133" s="2" t="n"/>
      <c r="E133" s="2" t="n"/>
      <c r="F133" s="2" t="n"/>
      <c r="G133" s="2" t="n"/>
      <c r="H133" s="2" t="n"/>
      <c r="I133" s="2" t="n"/>
      <c r="J133" s="2" t="n"/>
      <c r="K133" s="2">
        <f>IF(COUNTA(G133:J133)&lt;4,"",ROUND(AVERAGE(G133:J133),1))</f>
        <v/>
      </c>
      <c r="L133" s="2" t="n"/>
      <c r="M133" s="2" t="n"/>
      <c r="N133" s="2" t="n"/>
      <c r="O133" s="2" t="n"/>
    </row>
    <row r="134">
      <c r="A134" s="2" t="n"/>
      <c r="B134" s="2" t="n"/>
      <c r="C134" s="2" t="n"/>
      <c r="D134" s="2" t="n"/>
      <c r="E134" s="2" t="n"/>
      <c r="F134" s="2" t="n"/>
      <c r="G134" s="2" t="n"/>
      <c r="H134" s="2" t="n"/>
      <c r="I134" s="2" t="n"/>
      <c r="J134" s="2" t="n"/>
      <c r="K134" s="2">
        <f>IF(COUNTA(G134:J134)&lt;4,"",ROUND(AVERAGE(G134:J134),1))</f>
        <v/>
      </c>
      <c r="L134" s="2" t="n"/>
      <c r="M134" s="2" t="n"/>
      <c r="N134" s="2" t="n"/>
      <c r="O134" s="2" t="n"/>
    </row>
    <row r="135">
      <c r="A135" s="2" t="n"/>
      <c r="B135" s="2" t="n"/>
      <c r="C135" s="2" t="n"/>
      <c r="D135" s="2" t="n"/>
      <c r="E135" s="2" t="n"/>
      <c r="F135" s="2" t="n"/>
      <c r="G135" s="2" t="n"/>
      <c r="H135" s="2" t="n"/>
      <c r="I135" s="2" t="n"/>
      <c r="J135" s="2" t="n"/>
      <c r="K135" s="2">
        <f>IF(COUNTA(G135:J135)&lt;4,"",ROUND(AVERAGE(G135:J135),1))</f>
        <v/>
      </c>
      <c r="L135" s="2" t="n"/>
      <c r="M135" s="2" t="n"/>
      <c r="N135" s="2" t="n"/>
      <c r="O135" s="2" t="n"/>
    </row>
    <row r="136">
      <c r="A136" s="2" t="n"/>
      <c r="B136" s="2" t="n"/>
      <c r="C136" s="2" t="n"/>
      <c r="D136" s="2" t="n"/>
      <c r="E136" s="2" t="n"/>
      <c r="F136" s="2" t="n"/>
      <c r="G136" s="2" t="n"/>
      <c r="H136" s="2" t="n"/>
      <c r="I136" s="2" t="n"/>
      <c r="J136" s="2" t="n"/>
      <c r="K136" s="2">
        <f>IF(COUNTA(G136:J136)&lt;4,"",ROUND(AVERAGE(G136:J136),1))</f>
        <v/>
      </c>
      <c r="L136" s="2" t="n"/>
      <c r="M136" s="2" t="n"/>
      <c r="N136" s="2" t="n"/>
      <c r="O136" s="2" t="n"/>
    </row>
    <row r="137">
      <c r="A137" s="2" t="n"/>
      <c r="B137" s="2" t="n"/>
      <c r="C137" s="2" t="n"/>
      <c r="D137" s="2" t="n"/>
      <c r="E137" s="2" t="n"/>
      <c r="F137" s="2" t="n"/>
      <c r="G137" s="2" t="n"/>
      <c r="H137" s="2" t="n"/>
      <c r="I137" s="2" t="n"/>
      <c r="J137" s="2" t="n"/>
      <c r="K137" s="2">
        <f>IF(COUNTA(G137:J137)&lt;4,"",ROUND(AVERAGE(G137:J137),1))</f>
        <v/>
      </c>
      <c r="L137" s="2" t="n"/>
      <c r="M137" s="2" t="n"/>
      <c r="N137" s="2" t="n"/>
      <c r="O137" s="2" t="n"/>
    </row>
    <row r="138">
      <c r="A138" s="2" t="n"/>
      <c r="B138" s="2" t="n"/>
      <c r="C138" s="2" t="n"/>
      <c r="D138" s="2" t="n"/>
      <c r="E138" s="2" t="n"/>
      <c r="F138" s="2" t="n"/>
      <c r="G138" s="2" t="n"/>
      <c r="H138" s="2" t="n"/>
      <c r="I138" s="2" t="n"/>
      <c r="J138" s="2" t="n"/>
      <c r="K138" s="2">
        <f>IF(COUNTA(G138:J138)&lt;4,"",ROUND(AVERAGE(G138:J138),1))</f>
        <v/>
      </c>
      <c r="L138" s="2" t="n"/>
      <c r="M138" s="2" t="n"/>
      <c r="N138" s="2" t="n"/>
      <c r="O138" s="2" t="n"/>
    </row>
    <row r="139">
      <c r="A139" s="2" t="n"/>
      <c r="B139" s="2" t="n"/>
      <c r="C139" s="2" t="n"/>
      <c r="D139" s="2" t="n"/>
      <c r="E139" s="2" t="n"/>
      <c r="F139" s="2" t="n"/>
      <c r="G139" s="2" t="n"/>
      <c r="H139" s="2" t="n"/>
      <c r="I139" s="2" t="n"/>
      <c r="J139" s="2" t="n"/>
      <c r="K139" s="2">
        <f>IF(COUNTA(G139:J139)&lt;4,"",ROUND(AVERAGE(G139:J139),1))</f>
        <v/>
      </c>
      <c r="L139" s="2" t="n"/>
      <c r="M139" s="2" t="n"/>
      <c r="N139" s="2" t="n"/>
      <c r="O139" s="2" t="n"/>
    </row>
    <row r="140">
      <c r="A140" s="2" t="n"/>
      <c r="B140" s="2" t="n"/>
      <c r="C140" s="2" t="n"/>
      <c r="D140" s="2" t="n"/>
      <c r="E140" s="2" t="n"/>
      <c r="F140" s="2" t="n"/>
      <c r="G140" s="2" t="n"/>
      <c r="H140" s="2" t="n"/>
      <c r="I140" s="2" t="n"/>
      <c r="J140" s="2" t="n"/>
      <c r="K140" s="2">
        <f>IF(COUNTA(G140:J140)&lt;4,"",ROUND(AVERAGE(G140:J140),1))</f>
        <v/>
      </c>
      <c r="L140" s="2" t="n"/>
      <c r="M140" s="2" t="n"/>
      <c r="N140" s="2" t="n"/>
      <c r="O140" s="2" t="n"/>
    </row>
    <row r="141">
      <c r="A141" s="2" t="n"/>
      <c r="B141" s="2" t="n"/>
      <c r="C141" s="2" t="n"/>
      <c r="D141" s="2" t="n"/>
      <c r="E141" s="2" t="n"/>
      <c r="F141" s="2" t="n"/>
      <c r="G141" s="2" t="n"/>
      <c r="H141" s="2" t="n"/>
      <c r="I141" s="2" t="n"/>
      <c r="J141" s="2" t="n"/>
      <c r="K141" s="2">
        <f>IF(COUNTA(G141:J141)&lt;4,"",ROUND(AVERAGE(G141:J141),1))</f>
        <v/>
      </c>
      <c r="L141" s="2" t="n"/>
      <c r="M141" s="2" t="n"/>
      <c r="N141" s="2" t="n"/>
      <c r="O141" s="2" t="n"/>
    </row>
    <row r="142">
      <c r="A142" s="2" t="n"/>
      <c r="B142" s="2" t="n"/>
      <c r="C142" s="2" t="n"/>
      <c r="D142" s="2" t="n"/>
      <c r="E142" s="2" t="n"/>
      <c r="F142" s="2" t="n"/>
      <c r="G142" s="2" t="n"/>
      <c r="H142" s="2" t="n"/>
      <c r="I142" s="2" t="n"/>
      <c r="J142" s="2" t="n"/>
      <c r="K142" s="2">
        <f>IF(COUNTA(G142:J142)&lt;4,"",ROUND(AVERAGE(G142:J142),1))</f>
        <v/>
      </c>
      <c r="L142" s="2" t="n"/>
      <c r="M142" s="2" t="n"/>
      <c r="N142" s="2" t="n"/>
      <c r="O142" s="2" t="n"/>
    </row>
    <row r="143">
      <c r="A143" s="2" t="n"/>
      <c r="B143" s="2" t="n"/>
      <c r="C143" s="2" t="n"/>
      <c r="D143" s="2" t="n"/>
      <c r="E143" s="2" t="n"/>
      <c r="F143" s="2" t="n"/>
      <c r="G143" s="2" t="n"/>
      <c r="H143" s="2" t="n"/>
      <c r="I143" s="2" t="n"/>
      <c r="J143" s="2" t="n"/>
      <c r="K143" s="2">
        <f>IF(COUNTA(G143:J143)&lt;4,"",ROUND(AVERAGE(G143:J143),1))</f>
        <v/>
      </c>
      <c r="L143" s="2" t="n"/>
      <c r="M143" s="2" t="n"/>
      <c r="N143" s="2" t="n"/>
      <c r="O143" s="2" t="n"/>
    </row>
    <row r="144">
      <c r="A144" s="2" t="n"/>
      <c r="B144" s="2" t="n"/>
      <c r="C144" s="2" t="n"/>
      <c r="D144" s="2" t="n"/>
      <c r="E144" s="2" t="n"/>
      <c r="F144" s="2" t="n"/>
      <c r="G144" s="2" t="n"/>
      <c r="H144" s="2" t="n"/>
      <c r="I144" s="2" t="n"/>
      <c r="J144" s="2" t="n"/>
      <c r="K144" s="2">
        <f>IF(COUNTA(G144:J144)&lt;4,"",ROUND(AVERAGE(G144:J144),1))</f>
        <v/>
      </c>
      <c r="L144" s="2" t="n"/>
      <c r="M144" s="2" t="n"/>
      <c r="N144" s="2" t="n"/>
      <c r="O144" s="2" t="n"/>
    </row>
    <row r="145">
      <c r="A145" s="2" t="n"/>
      <c r="B145" s="2" t="n"/>
      <c r="C145" s="2" t="n"/>
      <c r="D145" s="2" t="n"/>
      <c r="E145" s="2" t="n"/>
      <c r="F145" s="2" t="n"/>
      <c r="G145" s="2" t="n"/>
      <c r="H145" s="2" t="n"/>
      <c r="I145" s="2" t="n"/>
      <c r="J145" s="2" t="n"/>
      <c r="K145" s="2">
        <f>IF(COUNTA(G145:J145)&lt;4,"",ROUND(AVERAGE(G145:J145),1))</f>
        <v/>
      </c>
      <c r="L145" s="2" t="n"/>
      <c r="M145" s="2" t="n"/>
      <c r="N145" s="2" t="n"/>
      <c r="O145" s="2" t="n"/>
    </row>
    <row r="146">
      <c r="A146" s="2" t="n"/>
      <c r="B146" s="2" t="n"/>
      <c r="C146" s="2" t="n"/>
      <c r="D146" s="2" t="n"/>
      <c r="E146" s="2" t="n"/>
      <c r="F146" s="2" t="n"/>
      <c r="G146" s="2" t="n"/>
      <c r="H146" s="2" t="n"/>
      <c r="I146" s="2" t="n"/>
      <c r="J146" s="2" t="n"/>
      <c r="K146" s="2">
        <f>IF(COUNTA(G146:J146)&lt;4,"",ROUND(AVERAGE(G146:J146),1))</f>
        <v/>
      </c>
      <c r="L146" s="2" t="n"/>
      <c r="M146" s="2" t="n"/>
      <c r="N146" s="2" t="n"/>
      <c r="O146" s="2" t="n"/>
    </row>
    <row r="147">
      <c r="A147" s="2" t="n"/>
      <c r="B147" s="2" t="n"/>
      <c r="C147" s="2" t="n"/>
      <c r="D147" s="2" t="n"/>
      <c r="E147" s="2" t="n"/>
      <c r="F147" s="2" t="n"/>
      <c r="G147" s="2" t="n"/>
      <c r="H147" s="2" t="n"/>
      <c r="I147" s="2" t="n"/>
      <c r="J147" s="2" t="n"/>
      <c r="K147" s="2">
        <f>IF(COUNTA(G147:J147)&lt;4,"",ROUND(AVERAGE(G147:J147),1))</f>
        <v/>
      </c>
      <c r="L147" s="2" t="n"/>
      <c r="M147" s="2" t="n"/>
      <c r="N147" s="2" t="n"/>
      <c r="O147" s="2" t="n"/>
    </row>
    <row r="148">
      <c r="A148" s="2" t="n"/>
      <c r="B148" s="2" t="n"/>
      <c r="C148" s="2" t="n"/>
      <c r="D148" s="2" t="n"/>
      <c r="E148" s="2" t="n"/>
      <c r="F148" s="2" t="n"/>
      <c r="G148" s="2" t="n"/>
      <c r="H148" s="2" t="n"/>
      <c r="I148" s="2" t="n"/>
      <c r="J148" s="2" t="n"/>
      <c r="K148" s="2">
        <f>IF(COUNTA(G148:J148)&lt;4,"",ROUND(AVERAGE(G148:J148),1))</f>
        <v/>
      </c>
      <c r="L148" s="2" t="n"/>
      <c r="M148" s="2" t="n"/>
      <c r="N148" s="2" t="n"/>
      <c r="O148" s="2" t="n"/>
    </row>
    <row r="149">
      <c r="A149" s="2" t="n"/>
      <c r="B149" s="2" t="n"/>
      <c r="C149" s="2" t="n"/>
      <c r="D149" s="2" t="n"/>
      <c r="E149" s="2" t="n"/>
      <c r="F149" s="2" t="n"/>
      <c r="G149" s="2" t="n"/>
      <c r="H149" s="2" t="n"/>
      <c r="I149" s="2" t="n"/>
      <c r="J149" s="2" t="n"/>
      <c r="K149" s="2">
        <f>IF(COUNTA(G149:J149)&lt;4,"",ROUND(AVERAGE(G149:J149),1))</f>
        <v/>
      </c>
      <c r="L149" s="2" t="n"/>
      <c r="M149" s="2" t="n"/>
      <c r="N149" s="2" t="n"/>
      <c r="O149" s="2" t="n"/>
    </row>
    <row r="150">
      <c r="A150" s="2" t="n"/>
      <c r="B150" s="2" t="n"/>
      <c r="C150" s="2" t="n"/>
      <c r="D150" s="2" t="n"/>
      <c r="E150" s="2" t="n"/>
      <c r="F150" s="2" t="n"/>
      <c r="G150" s="2" t="n"/>
      <c r="H150" s="2" t="n"/>
      <c r="I150" s="2" t="n"/>
      <c r="J150" s="2" t="n"/>
      <c r="K150" s="2">
        <f>IF(COUNTA(G150:J150)&lt;4,"",ROUND(AVERAGE(G150:J150),1))</f>
        <v/>
      </c>
      <c r="L150" s="2" t="n"/>
      <c r="M150" s="2" t="n"/>
      <c r="N150" s="2" t="n"/>
      <c r="O150" s="2" t="n"/>
    </row>
    <row r="151">
      <c r="A151" s="2" t="n"/>
      <c r="B151" s="2" t="n"/>
      <c r="C151" s="2" t="n"/>
      <c r="D151" s="2" t="n"/>
      <c r="E151" s="2" t="n"/>
      <c r="F151" s="2" t="n"/>
      <c r="G151" s="2" t="n"/>
      <c r="H151" s="2" t="n"/>
      <c r="I151" s="2" t="n"/>
      <c r="J151" s="2" t="n"/>
      <c r="K151" s="2">
        <f>IF(COUNTA(G151:J151)&lt;4,"",ROUND(AVERAGE(G151:J151),1))</f>
        <v/>
      </c>
      <c r="L151" s="2" t="n"/>
      <c r="M151" s="2" t="n"/>
      <c r="N151" s="2" t="n"/>
      <c r="O151" s="2" t="n"/>
    </row>
    <row r="152">
      <c r="A152" s="2" t="n"/>
      <c r="B152" s="2" t="n"/>
      <c r="C152" s="2" t="n"/>
      <c r="D152" s="2" t="n"/>
      <c r="E152" s="2" t="n"/>
      <c r="F152" s="2" t="n"/>
      <c r="G152" s="2" t="n"/>
      <c r="H152" s="2" t="n"/>
      <c r="I152" s="2" t="n"/>
      <c r="J152" s="2" t="n"/>
      <c r="K152" s="2">
        <f>IF(COUNTA(G152:J152)&lt;4,"",ROUND(AVERAGE(G152:J152),1))</f>
        <v/>
      </c>
      <c r="L152" s="2" t="n"/>
      <c r="M152" s="2" t="n"/>
      <c r="N152" s="2" t="n"/>
      <c r="O152" s="2" t="n"/>
    </row>
    <row r="153">
      <c r="A153" s="2" t="n"/>
      <c r="B153" s="2" t="n"/>
      <c r="C153" s="2" t="n"/>
      <c r="D153" s="2" t="n"/>
      <c r="E153" s="2" t="n"/>
      <c r="F153" s="2" t="n"/>
      <c r="G153" s="2" t="n"/>
      <c r="H153" s="2" t="n"/>
      <c r="I153" s="2" t="n"/>
      <c r="J153" s="2" t="n"/>
      <c r="K153" s="2">
        <f>IF(COUNTA(G153:J153)&lt;4,"",ROUND(AVERAGE(G153:J153),1))</f>
        <v/>
      </c>
      <c r="L153" s="2" t="n"/>
      <c r="M153" s="2" t="n"/>
      <c r="N153" s="2" t="n"/>
      <c r="O153" s="2" t="n"/>
    </row>
    <row r="154">
      <c r="A154" s="2" t="n"/>
      <c r="B154" s="2" t="n"/>
      <c r="C154" s="2" t="n"/>
      <c r="D154" s="2" t="n"/>
      <c r="E154" s="2" t="n"/>
      <c r="F154" s="2" t="n"/>
      <c r="G154" s="2" t="n"/>
      <c r="H154" s="2" t="n"/>
      <c r="I154" s="2" t="n"/>
      <c r="J154" s="2" t="n"/>
      <c r="K154" s="2">
        <f>IF(COUNTA(G154:J154)&lt;4,"",ROUND(AVERAGE(G154:J154),1))</f>
        <v/>
      </c>
      <c r="L154" s="2" t="n"/>
      <c r="M154" s="2" t="n"/>
      <c r="N154" s="2" t="n"/>
      <c r="O154" s="2" t="n"/>
    </row>
    <row r="155">
      <c r="A155" s="2" t="n"/>
      <c r="B155" s="2" t="n"/>
      <c r="C155" s="2" t="n"/>
      <c r="D155" s="2" t="n"/>
      <c r="E155" s="2" t="n"/>
      <c r="F155" s="2" t="n"/>
      <c r="G155" s="2" t="n"/>
      <c r="H155" s="2" t="n"/>
      <c r="I155" s="2" t="n"/>
      <c r="J155" s="2" t="n"/>
      <c r="K155" s="2">
        <f>IF(COUNTA(G155:J155)&lt;4,"",ROUND(AVERAGE(G155:J155),1))</f>
        <v/>
      </c>
      <c r="L155" s="2" t="n"/>
      <c r="M155" s="2" t="n"/>
      <c r="N155" s="2" t="n"/>
      <c r="O155" s="2" t="n"/>
    </row>
    <row r="156">
      <c r="A156" s="2" t="n"/>
      <c r="B156" s="2" t="n"/>
      <c r="C156" s="2" t="n"/>
      <c r="D156" s="2" t="n"/>
      <c r="E156" s="2" t="n"/>
      <c r="F156" s="2" t="n"/>
      <c r="G156" s="2" t="n"/>
      <c r="H156" s="2" t="n"/>
      <c r="I156" s="2" t="n"/>
      <c r="J156" s="2" t="n"/>
      <c r="K156" s="2">
        <f>IF(COUNTA(G156:J156)&lt;4,"",ROUND(AVERAGE(G156:J156),1))</f>
        <v/>
      </c>
      <c r="L156" s="2" t="n"/>
      <c r="M156" s="2" t="n"/>
      <c r="N156" s="2" t="n"/>
      <c r="O156" s="2" t="n"/>
    </row>
    <row r="157">
      <c r="A157" s="2" t="n"/>
      <c r="B157" s="2" t="n"/>
      <c r="C157" s="2" t="n"/>
      <c r="D157" s="2" t="n"/>
      <c r="E157" s="2" t="n"/>
      <c r="F157" s="2" t="n"/>
      <c r="G157" s="2" t="n"/>
      <c r="H157" s="2" t="n"/>
      <c r="I157" s="2" t="n"/>
      <c r="J157" s="2" t="n"/>
      <c r="K157" s="2">
        <f>IF(COUNTA(G157:J157)&lt;4,"",ROUND(AVERAGE(G157:J157),1))</f>
        <v/>
      </c>
      <c r="L157" s="2" t="n"/>
      <c r="M157" s="2" t="n"/>
      <c r="N157" s="2" t="n"/>
      <c r="O157" s="2" t="n"/>
    </row>
    <row r="158">
      <c r="A158" s="2" t="n"/>
      <c r="B158" s="2" t="n"/>
      <c r="C158" s="2" t="n"/>
      <c r="D158" s="2" t="n"/>
      <c r="E158" s="2" t="n"/>
      <c r="F158" s="2" t="n"/>
      <c r="G158" s="2" t="n"/>
      <c r="H158" s="2" t="n"/>
      <c r="I158" s="2" t="n"/>
      <c r="J158" s="2" t="n"/>
      <c r="K158" s="2">
        <f>IF(COUNTA(G158:J158)&lt;4,"",ROUND(AVERAGE(G158:J158),1))</f>
        <v/>
      </c>
      <c r="L158" s="2" t="n"/>
      <c r="M158" s="2" t="n"/>
      <c r="N158" s="2" t="n"/>
      <c r="O158" s="2" t="n"/>
    </row>
    <row r="159">
      <c r="A159" s="2" t="n"/>
      <c r="B159" s="2" t="n"/>
      <c r="C159" s="2" t="n"/>
      <c r="D159" s="2" t="n"/>
      <c r="E159" s="2" t="n"/>
      <c r="F159" s="2" t="n"/>
      <c r="G159" s="2" t="n"/>
      <c r="H159" s="2" t="n"/>
      <c r="I159" s="2" t="n"/>
      <c r="J159" s="2" t="n"/>
      <c r="K159" s="2">
        <f>IF(COUNTA(G159:J159)&lt;4,"",ROUND(AVERAGE(G159:J159),1))</f>
        <v/>
      </c>
      <c r="L159" s="2" t="n"/>
      <c r="M159" s="2" t="n"/>
      <c r="N159" s="2" t="n"/>
      <c r="O159" s="2" t="n"/>
    </row>
    <row r="160">
      <c r="A160" s="2" t="n"/>
      <c r="B160" s="2" t="n"/>
      <c r="C160" s="2" t="n"/>
      <c r="D160" s="2" t="n"/>
      <c r="E160" s="2" t="n"/>
      <c r="F160" s="2" t="n"/>
      <c r="G160" s="2" t="n"/>
      <c r="H160" s="2" t="n"/>
      <c r="I160" s="2" t="n"/>
      <c r="J160" s="2" t="n"/>
      <c r="K160" s="2">
        <f>IF(COUNTA(G160:J160)&lt;4,"",ROUND(AVERAGE(G160:J160),1))</f>
        <v/>
      </c>
      <c r="L160" s="2" t="n"/>
      <c r="M160" s="2" t="n"/>
      <c r="N160" s="2" t="n"/>
      <c r="O160" s="2" t="n"/>
    </row>
    <row r="161">
      <c r="A161" s="2" t="n"/>
      <c r="B161" s="2" t="n"/>
      <c r="C161" s="2" t="n"/>
      <c r="D161" s="2" t="n"/>
      <c r="E161" s="2" t="n"/>
      <c r="F161" s="2" t="n"/>
      <c r="G161" s="2" t="n"/>
      <c r="H161" s="2" t="n"/>
      <c r="I161" s="2" t="n"/>
      <c r="J161" s="2" t="n"/>
      <c r="K161" s="2">
        <f>IF(COUNTA(G161:J161)&lt;4,"",ROUND(AVERAGE(G161:J161),1))</f>
        <v/>
      </c>
      <c r="L161" s="2" t="n"/>
      <c r="M161" s="2" t="n"/>
      <c r="N161" s="2" t="n"/>
      <c r="O161" s="2" t="n"/>
    </row>
    <row r="162">
      <c r="A162" s="2" t="n"/>
      <c r="B162" s="2" t="n"/>
      <c r="C162" s="2" t="n"/>
      <c r="D162" s="2" t="n"/>
      <c r="E162" s="2" t="n"/>
      <c r="F162" s="2" t="n"/>
      <c r="G162" s="2" t="n"/>
      <c r="H162" s="2" t="n"/>
      <c r="I162" s="2" t="n"/>
      <c r="J162" s="2" t="n"/>
      <c r="K162" s="2">
        <f>IF(COUNTA(G162:J162)&lt;4,"",ROUND(AVERAGE(G162:J162),1))</f>
        <v/>
      </c>
      <c r="L162" s="2" t="n"/>
      <c r="M162" s="2" t="n"/>
      <c r="N162" s="2" t="n"/>
      <c r="O162" s="2" t="n"/>
    </row>
    <row r="163">
      <c r="A163" s="2" t="n"/>
      <c r="B163" s="2" t="n"/>
      <c r="C163" s="2" t="n"/>
      <c r="D163" s="2" t="n"/>
      <c r="E163" s="2" t="n"/>
      <c r="F163" s="2" t="n"/>
      <c r="G163" s="2" t="n"/>
      <c r="H163" s="2" t="n"/>
      <c r="I163" s="2" t="n"/>
      <c r="J163" s="2" t="n"/>
      <c r="K163" s="2">
        <f>IF(COUNTA(G163:J163)&lt;4,"",ROUND(AVERAGE(G163:J163),1))</f>
        <v/>
      </c>
      <c r="L163" s="2" t="n"/>
      <c r="M163" s="2" t="n"/>
      <c r="N163" s="2" t="n"/>
      <c r="O163" s="2" t="n"/>
    </row>
    <row r="164">
      <c r="A164" s="2" t="n"/>
      <c r="B164" s="2" t="n"/>
      <c r="C164" s="2" t="n"/>
      <c r="D164" s="2" t="n"/>
      <c r="E164" s="2" t="n"/>
      <c r="F164" s="2" t="n"/>
      <c r="G164" s="2" t="n"/>
      <c r="H164" s="2" t="n"/>
      <c r="I164" s="2" t="n"/>
      <c r="J164" s="2" t="n"/>
      <c r="K164" s="2">
        <f>IF(COUNTA(G164:J164)&lt;4,"",ROUND(AVERAGE(G164:J164),1))</f>
        <v/>
      </c>
      <c r="L164" s="2" t="n"/>
      <c r="M164" s="2" t="n"/>
      <c r="N164" s="2" t="n"/>
      <c r="O164" s="2" t="n"/>
    </row>
    <row r="165">
      <c r="A165" s="2" t="n"/>
      <c r="B165" s="2" t="n"/>
      <c r="C165" s="2" t="n"/>
      <c r="D165" s="2" t="n"/>
      <c r="E165" s="2" t="n"/>
      <c r="F165" s="2" t="n"/>
      <c r="G165" s="2" t="n"/>
      <c r="H165" s="2" t="n"/>
      <c r="I165" s="2" t="n"/>
      <c r="J165" s="2" t="n"/>
      <c r="K165" s="2">
        <f>IF(COUNTA(G165:J165)&lt;4,"",ROUND(AVERAGE(G165:J165),1))</f>
        <v/>
      </c>
      <c r="L165" s="2" t="n"/>
      <c r="M165" s="2" t="n"/>
      <c r="N165" s="2" t="n"/>
      <c r="O165" s="2" t="n"/>
    </row>
    <row r="166">
      <c r="A166" s="2" t="n"/>
      <c r="B166" s="2" t="n"/>
      <c r="C166" s="2" t="n"/>
      <c r="D166" s="2" t="n"/>
      <c r="E166" s="2" t="n"/>
      <c r="F166" s="2" t="n"/>
      <c r="G166" s="2" t="n"/>
      <c r="H166" s="2" t="n"/>
      <c r="I166" s="2" t="n"/>
      <c r="J166" s="2" t="n"/>
      <c r="K166" s="2">
        <f>IF(COUNTA(G166:J166)&lt;4,"",ROUND(AVERAGE(G166:J166),1))</f>
        <v/>
      </c>
      <c r="L166" s="2" t="n"/>
      <c r="M166" s="2" t="n"/>
      <c r="N166" s="2" t="n"/>
      <c r="O166" s="2" t="n"/>
    </row>
    <row r="167">
      <c r="A167" s="2" t="n"/>
      <c r="B167" s="2" t="n"/>
      <c r="C167" s="2" t="n"/>
      <c r="D167" s="2" t="n"/>
      <c r="E167" s="2" t="n"/>
      <c r="F167" s="2" t="n"/>
      <c r="G167" s="2" t="n"/>
      <c r="H167" s="2" t="n"/>
      <c r="I167" s="2" t="n"/>
      <c r="J167" s="2" t="n"/>
      <c r="K167" s="2">
        <f>IF(COUNTA(G167:J167)&lt;4,"",ROUND(AVERAGE(G167:J167),1))</f>
        <v/>
      </c>
      <c r="L167" s="2" t="n"/>
      <c r="M167" s="2" t="n"/>
      <c r="N167" s="2" t="n"/>
      <c r="O167" s="2" t="n"/>
    </row>
    <row r="168">
      <c r="A168" s="2" t="n"/>
      <c r="B168" s="2" t="n"/>
      <c r="C168" s="2" t="n"/>
      <c r="D168" s="2" t="n"/>
      <c r="E168" s="2" t="n"/>
      <c r="F168" s="2" t="n"/>
      <c r="G168" s="2" t="n"/>
      <c r="H168" s="2" t="n"/>
      <c r="I168" s="2" t="n"/>
      <c r="J168" s="2" t="n"/>
      <c r="K168" s="2">
        <f>IF(COUNTA(G168:J168)&lt;4,"",ROUND(AVERAGE(G168:J168),1))</f>
        <v/>
      </c>
      <c r="L168" s="2" t="n"/>
      <c r="M168" s="2" t="n"/>
      <c r="N168" s="2" t="n"/>
      <c r="O168" s="2" t="n"/>
    </row>
    <row r="169">
      <c r="A169" s="2" t="n"/>
      <c r="B169" s="2" t="n"/>
      <c r="C169" s="2" t="n"/>
      <c r="D169" s="2" t="n"/>
      <c r="E169" s="2" t="n"/>
      <c r="F169" s="2" t="n"/>
      <c r="G169" s="2" t="n"/>
      <c r="H169" s="2" t="n"/>
      <c r="I169" s="2" t="n"/>
      <c r="J169" s="2" t="n"/>
      <c r="K169" s="2">
        <f>IF(COUNTA(G169:J169)&lt;4,"",ROUND(AVERAGE(G169:J169),1))</f>
        <v/>
      </c>
      <c r="L169" s="2" t="n"/>
      <c r="M169" s="2" t="n"/>
      <c r="N169" s="2" t="n"/>
      <c r="O169" s="2" t="n"/>
    </row>
    <row r="170">
      <c r="A170" s="2" t="n"/>
      <c r="B170" s="2" t="n"/>
      <c r="C170" s="2" t="n"/>
      <c r="D170" s="2" t="n"/>
      <c r="E170" s="2" t="n"/>
      <c r="F170" s="2" t="n"/>
      <c r="G170" s="2" t="n"/>
      <c r="H170" s="2" t="n"/>
      <c r="I170" s="2" t="n"/>
      <c r="J170" s="2" t="n"/>
      <c r="K170" s="2">
        <f>IF(COUNTA(G170:J170)&lt;4,"",ROUND(AVERAGE(G170:J170),1))</f>
        <v/>
      </c>
      <c r="L170" s="2" t="n"/>
      <c r="M170" s="2" t="n"/>
      <c r="N170" s="2" t="n"/>
      <c r="O170" s="2" t="n"/>
    </row>
    <row r="171">
      <c r="A171" s="2" t="n"/>
      <c r="B171" s="2" t="n"/>
      <c r="C171" s="2" t="n"/>
      <c r="D171" s="2" t="n"/>
      <c r="E171" s="2" t="n"/>
      <c r="F171" s="2" t="n"/>
      <c r="G171" s="2" t="n"/>
      <c r="H171" s="2" t="n"/>
      <c r="I171" s="2" t="n"/>
      <c r="J171" s="2" t="n"/>
      <c r="K171" s="2">
        <f>IF(COUNTA(G171:J171)&lt;4,"",ROUND(AVERAGE(G171:J171),1))</f>
        <v/>
      </c>
      <c r="L171" s="2" t="n"/>
      <c r="M171" s="2" t="n"/>
      <c r="N171" s="2" t="n"/>
      <c r="O171" s="2" t="n"/>
    </row>
    <row r="172">
      <c r="A172" s="2" t="n"/>
      <c r="B172" s="2" t="n"/>
      <c r="C172" s="2" t="n"/>
      <c r="D172" s="2" t="n"/>
      <c r="E172" s="2" t="n"/>
      <c r="F172" s="2" t="n"/>
      <c r="G172" s="2" t="n"/>
      <c r="H172" s="2" t="n"/>
      <c r="I172" s="2" t="n"/>
      <c r="J172" s="2" t="n"/>
      <c r="K172" s="2">
        <f>IF(COUNTA(G172:J172)&lt;4,"",ROUND(AVERAGE(G172:J172),1))</f>
        <v/>
      </c>
      <c r="L172" s="2" t="n"/>
      <c r="M172" s="2" t="n"/>
      <c r="N172" s="2" t="n"/>
      <c r="O172" s="2" t="n"/>
    </row>
    <row r="173">
      <c r="A173" s="2" t="n"/>
      <c r="B173" s="2" t="n"/>
      <c r="C173" s="2" t="n"/>
      <c r="D173" s="2" t="n"/>
      <c r="E173" s="2" t="n"/>
      <c r="F173" s="2" t="n"/>
      <c r="G173" s="2" t="n"/>
      <c r="H173" s="2" t="n"/>
      <c r="I173" s="2" t="n"/>
      <c r="J173" s="2" t="n"/>
      <c r="K173" s="2">
        <f>IF(COUNTA(G173:J173)&lt;4,"",ROUND(AVERAGE(G173:J173),1))</f>
        <v/>
      </c>
      <c r="L173" s="2" t="n"/>
      <c r="M173" s="2" t="n"/>
      <c r="N173" s="2" t="n"/>
      <c r="O173" s="2" t="n"/>
    </row>
    <row r="174">
      <c r="A174" s="2" t="n"/>
      <c r="B174" s="2" t="n"/>
      <c r="C174" s="2" t="n"/>
      <c r="D174" s="2" t="n"/>
      <c r="E174" s="2" t="n"/>
      <c r="F174" s="2" t="n"/>
      <c r="G174" s="2" t="n"/>
      <c r="H174" s="2" t="n"/>
      <c r="I174" s="2" t="n"/>
      <c r="J174" s="2" t="n"/>
      <c r="K174" s="2">
        <f>IF(COUNTA(G174:J174)&lt;4,"",ROUND(AVERAGE(G174:J174),1))</f>
        <v/>
      </c>
      <c r="L174" s="2" t="n"/>
      <c r="M174" s="2" t="n"/>
      <c r="N174" s="2" t="n"/>
      <c r="O174" s="2" t="n"/>
    </row>
    <row r="175">
      <c r="A175" s="2" t="n"/>
      <c r="B175" s="2" t="n"/>
      <c r="C175" s="2" t="n"/>
      <c r="D175" s="2" t="n"/>
      <c r="E175" s="2" t="n"/>
      <c r="F175" s="2" t="n"/>
      <c r="G175" s="2" t="n"/>
      <c r="H175" s="2" t="n"/>
      <c r="I175" s="2" t="n"/>
      <c r="J175" s="2" t="n"/>
      <c r="K175" s="2">
        <f>IF(COUNTA(G175:J175)&lt;4,"",ROUND(AVERAGE(G175:J175),1))</f>
        <v/>
      </c>
      <c r="L175" s="2" t="n"/>
      <c r="M175" s="2" t="n"/>
      <c r="N175" s="2" t="n"/>
      <c r="O175" s="2" t="n"/>
    </row>
    <row r="176">
      <c r="A176" s="2" t="n"/>
      <c r="B176" s="2" t="n"/>
      <c r="C176" s="2" t="n"/>
      <c r="D176" s="2" t="n"/>
      <c r="E176" s="2" t="n"/>
      <c r="F176" s="2" t="n"/>
      <c r="G176" s="2" t="n"/>
      <c r="H176" s="2" t="n"/>
      <c r="I176" s="2" t="n"/>
      <c r="J176" s="2" t="n"/>
      <c r="K176" s="2">
        <f>IF(COUNTA(G176:J176)&lt;4,"",ROUND(AVERAGE(G176:J176),1))</f>
        <v/>
      </c>
      <c r="L176" s="2" t="n"/>
      <c r="M176" s="2" t="n"/>
      <c r="N176" s="2" t="n"/>
      <c r="O176" s="2" t="n"/>
    </row>
    <row r="177">
      <c r="A177" s="2" t="n"/>
      <c r="B177" s="2" t="n"/>
      <c r="C177" s="2" t="n"/>
      <c r="D177" s="2" t="n"/>
      <c r="E177" s="2" t="n"/>
      <c r="F177" s="2" t="n"/>
      <c r="G177" s="2" t="n"/>
      <c r="H177" s="2" t="n"/>
      <c r="I177" s="2" t="n"/>
      <c r="J177" s="2" t="n"/>
      <c r="K177" s="2">
        <f>IF(COUNTA(G177:J177)&lt;4,"",ROUND(AVERAGE(G177:J177),1))</f>
        <v/>
      </c>
      <c r="L177" s="2" t="n"/>
      <c r="M177" s="2" t="n"/>
      <c r="N177" s="2" t="n"/>
      <c r="O177" s="2" t="n"/>
    </row>
    <row r="178">
      <c r="A178" s="2" t="n"/>
      <c r="B178" s="2" t="n"/>
      <c r="C178" s="2" t="n"/>
      <c r="D178" s="2" t="n"/>
      <c r="E178" s="2" t="n"/>
      <c r="F178" s="2" t="n"/>
      <c r="G178" s="2" t="n"/>
      <c r="H178" s="2" t="n"/>
      <c r="I178" s="2" t="n"/>
      <c r="J178" s="2" t="n"/>
      <c r="K178" s="2">
        <f>IF(COUNTA(G178:J178)&lt;4,"",ROUND(AVERAGE(G178:J178),1))</f>
        <v/>
      </c>
      <c r="L178" s="2" t="n"/>
      <c r="M178" s="2" t="n"/>
      <c r="N178" s="2" t="n"/>
      <c r="O178" s="2" t="n"/>
    </row>
    <row r="179">
      <c r="A179" s="2" t="n"/>
      <c r="B179" s="2" t="n"/>
      <c r="C179" s="2" t="n"/>
      <c r="D179" s="2" t="n"/>
      <c r="E179" s="2" t="n"/>
      <c r="F179" s="2" t="n"/>
      <c r="G179" s="2" t="n"/>
      <c r="H179" s="2" t="n"/>
      <c r="I179" s="2" t="n"/>
      <c r="J179" s="2" t="n"/>
      <c r="K179" s="2">
        <f>IF(COUNTA(G179:J179)&lt;4,"",ROUND(AVERAGE(G179:J179),1))</f>
        <v/>
      </c>
      <c r="L179" s="2" t="n"/>
      <c r="M179" s="2" t="n"/>
      <c r="N179" s="2" t="n"/>
      <c r="O179" s="2" t="n"/>
    </row>
    <row r="180">
      <c r="A180" s="2" t="n"/>
      <c r="B180" s="2" t="n"/>
      <c r="C180" s="2" t="n"/>
      <c r="D180" s="2" t="n"/>
      <c r="E180" s="2" t="n"/>
      <c r="F180" s="2" t="n"/>
      <c r="G180" s="2" t="n"/>
      <c r="H180" s="2" t="n"/>
      <c r="I180" s="2" t="n"/>
      <c r="J180" s="2" t="n"/>
      <c r="K180" s="2">
        <f>IF(COUNTA(G180:J180)&lt;4,"",ROUND(AVERAGE(G180:J180),1))</f>
        <v/>
      </c>
      <c r="L180" s="2" t="n"/>
      <c r="M180" s="2" t="n"/>
      <c r="N180" s="2" t="n"/>
      <c r="O180" s="2" t="n"/>
    </row>
    <row r="181">
      <c r="A181" s="2" t="n"/>
      <c r="B181" s="2" t="n"/>
      <c r="C181" s="2" t="n"/>
      <c r="D181" s="2" t="n"/>
      <c r="E181" s="2" t="n"/>
      <c r="F181" s="2" t="n"/>
      <c r="G181" s="2" t="n"/>
      <c r="H181" s="2" t="n"/>
      <c r="I181" s="2" t="n"/>
      <c r="J181" s="2" t="n"/>
      <c r="K181" s="2">
        <f>IF(COUNTA(G181:J181)&lt;4,"",ROUND(AVERAGE(G181:J181),1))</f>
        <v/>
      </c>
      <c r="L181" s="2" t="n"/>
      <c r="M181" s="2" t="n"/>
      <c r="N181" s="2" t="n"/>
      <c r="O181" s="2" t="n"/>
    </row>
    <row r="182">
      <c r="A182" s="2" t="n"/>
      <c r="B182" s="2" t="n"/>
      <c r="C182" s="2" t="n"/>
      <c r="D182" s="2" t="n"/>
      <c r="E182" s="2" t="n"/>
      <c r="F182" s="2" t="n"/>
      <c r="G182" s="2" t="n"/>
      <c r="H182" s="2" t="n"/>
      <c r="I182" s="2" t="n"/>
      <c r="J182" s="2" t="n"/>
      <c r="K182" s="2">
        <f>IF(COUNTA(G182:J182)&lt;4,"",ROUND(AVERAGE(G182:J182),1))</f>
        <v/>
      </c>
      <c r="L182" s="2" t="n"/>
      <c r="M182" s="2" t="n"/>
      <c r="N182" s="2" t="n"/>
      <c r="O182" s="2" t="n"/>
    </row>
    <row r="183">
      <c r="A183" s="2" t="n"/>
      <c r="B183" s="2" t="n"/>
      <c r="C183" s="2" t="n"/>
      <c r="D183" s="2" t="n"/>
      <c r="E183" s="2" t="n"/>
      <c r="F183" s="2" t="n"/>
      <c r="G183" s="2" t="n"/>
      <c r="H183" s="2" t="n"/>
      <c r="I183" s="2" t="n"/>
      <c r="J183" s="2" t="n"/>
      <c r="K183" s="2">
        <f>IF(COUNTA(G183:J183)&lt;4,"",ROUND(AVERAGE(G183:J183),1))</f>
        <v/>
      </c>
      <c r="L183" s="2" t="n"/>
      <c r="M183" s="2" t="n"/>
      <c r="N183" s="2" t="n"/>
      <c r="O183" s="2" t="n"/>
    </row>
    <row r="184">
      <c r="A184" s="2" t="n"/>
      <c r="B184" s="2" t="n"/>
      <c r="C184" s="2" t="n"/>
      <c r="D184" s="2" t="n"/>
      <c r="E184" s="2" t="n"/>
      <c r="F184" s="2" t="n"/>
      <c r="G184" s="2" t="n"/>
      <c r="H184" s="2" t="n"/>
      <c r="I184" s="2" t="n"/>
      <c r="J184" s="2" t="n"/>
      <c r="K184" s="2">
        <f>IF(COUNTA(G184:J184)&lt;4,"",ROUND(AVERAGE(G184:J184),1))</f>
        <v/>
      </c>
      <c r="L184" s="2" t="n"/>
      <c r="M184" s="2" t="n"/>
      <c r="N184" s="2" t="n"/>
      <c r="O184" s="2" t="n"/>
    </row>
    <row r="185">
      <c r="A185" s="2" t="n"/>
      <c r="B185" s="2" t="n"/>
      <c r="C185" s="2" t="n"/>
      <c r="D185" s="2" t="n"/>
      <c r="E185" s="2" t="n"/>
      <c r="F185" s="2" t="n"/>
      <c r="G185" s="2" t="n"/>
      <c r="H185" s="2" t="n"/>
      <c r="I185" s="2" t="n"/>
      <c r="J185" s="2" t="n"/>
      <c r="K185" s="2">
        <f>IF(COUNTA(G185:J185)&lt;4,"",ROUND(AVERAGE(G185:J185),1))</f>
        <v/>
      </c>
      <c r="L185" s="2" t="n"/>
      <c r="M185" s="2" t="n"/>
      <c r="N185" s="2" t="n"/>
      <c r="O185" s="2" t="n"/>
    </row>
    <row r="186">
      <c r="A186" s="2" t="n"/>
      <c r="B186" s="2" t="n"/>
      <c r="C186" s="2" t="n"/>
      <c r="D186" s="2" t="n"/>
      <c r="E186" s="2" t="n"/>
      <c r="F186" s="2" t="n"/>
      <c r="G186" s="2" t="n"/>
      <c r="H186" s="2" t="n"/>
      <c r="I186" s="2" t="n"/>
      <c r="J186" s="2" t="n"/>
      <c r="K186" s="2">
        <f>IF(COUNTA(G186:J186)&lt;4,"",ROUND(AVERAGE(G186:J186),1))</f>
        <v/>
      </c>
      <c r="L186" s="2" t="n"/>
      <c r="M186" s="2" t="n"/>
      <c r="N186" s="2" t="n"/>
      <c r="O186" s="2" t="n"/>
    </row>
    <row r="187">
      <c r="A187" s="2" t="n"/>
      <c r="B187" s="2" t="n"/>
      <c r="C187" s="2" t="n"/>
      <c r="D187" s="2" t="n"/>
      <c r="E187" s="2" t="n"/>
      <c r="F187" s="2" t="n"/>
      <c r="G187" s="2" t="n"/>
      <c r="H187" s="2" t="n"/>
      <c r="I187" s="2" t="n"/>
      <c r="J187" s="2" t="n"/>
      <c r="K187" s="2">
        <f>IF(COUNTA(G187:J187)&lt;4,"",ROUND(AVERAGE(G187:J187),1))</f>
        <v/>
      </c>
      <c r="L187" s="2" t="n"/>
      <c r="M187" s="2" t="n"/>
      <c r="N187" s="2" t="n"/>
      <c r="O187" s="2" t="n"/>
    </row>
    <row r="188">
      <c r="A188" s="2" t="n"/>
      <c r="B188" s="2" t="n"/>
      <c r="C188" s="2" t="n"/>
      <c r="D188" s="2" t="n"/>
      <c r="E188" s="2" t="n"/>
      <c r="F188" s="2" t="n"/>
      <c r="G188" s="2" t="n"/>
      <c r="H188" s="2" t="n"/>
      <c r="I188" s="2" t="n"/>
      <c r="J188" s="2" t="n"/>
      <c r="K188" s="2">
        <f>IF(COUNTA(G188:J188)&lt;4,"",ROUND(AVERAGE(G188:J188),1))</f>
        <v/>
      </c>
      <c r="L188" s="2" t="n"/>
      <c r="M188" s="2" t="n"/>
      <c r="N188" s="2" t="n"/>
      <c r="O188" s="2" t="n"/>
    </row>
    <row r="189">
      <c r="A189" s="2" t="n"/>
      <c r="B189" s="2" t="n"/>
      <c r="C189" s="2" t="n"/>
      <c r="D189" s="2" t="n"/>
      <c r="E189" s="2" t="n"/>
      <c r="F189" s="2" t="n"/>
      <c r="G189" s="2" t="n"/>
      <c r="H189" s="2" t="n"/>
      <c r="I189" s="2" t="n"/>
      <c r="J189" s="2" t="n"/>
      <c r="K189" s="2">
        <f>IF(COUNTA(G189:J189)&lt;4,"",ROUND(AVERAGE(G189:J189),1))</f>
        <v/>
      </c>
      <c r="L189" s="2" t="n"/>
      <c r="M189" s="2" t="n"/>
      <c r="N189" s="2" t="n"/>
      <c r="O189" s="2" t="n"/>
    </row>
    <row r="190">
      <c r="A190" s="2" t="n"/>
      <c r="B190" s="2" t="n"/>
      <c r="C190" s="2" t="n"/>
      <c r="D190" s="2" t="n"/>
      <c r="E190" s="2" t="n"/>
      <c r="F190" s="2" t="n"/>
      <c r="G190" s="2" t="n"/>
      <c r="H190" s="2" t="n"/>
      <c r="I190" s="2" t="n"/>
      <c r="J190" s="2" t="n"/>
      <c r="K190" s="2">
        <f>IF(COUNTA(G190:J190)&lt;4,"",ROUND(AVERAGE(G190:J190),1))</f>
        <v/>
      </c>
      <c r="L190" s="2" t="n"/>
      <c r="M190" s="2" t="n"/>
      <c r="N190" s="2" t="n"/>
      <c r="O190" s="2" t="n"/>
    </row>
    <row r="191">
      <c r="A191" s="2" t="n"/>
      <c r="B191" s="2" t="n"/>
      <c r="C191" s="2" t="n"/>
      <c r="D191" s="2" t="n"/>
      <c r="E191" s="2" t="n"/>
      <c r="F191" s="2" t="n"/>
      <c r="G191" s="2" t="n"/>
      <c r="H191" s="2" t="n"/>
      <c r="I191" s="2" t="n"/>
      <c r="J191" s="2" t="n"/>
      <c r="K191" s="2">
        <f>IF(COUNTA(G191:J191)&lt;4,"",ROUND(AVERAGE(G191:J191),1))</f>
        <v/>
      </c>
      <c r="L191" s="2" t="n"/>
      <c r="M191" s="2" t="n"/>
      <c r="N191" s="2" t="n"/>
      <c r="O191" s="2" t="n"/>
    </row>
    <row r="192">
      <c r="A192" s="2" t="n"/>
      <c r="B192" s="2" t="n"/>
      <c r="C192" s="2" t="n"/>
      <c r="D192" s="2" t="n"/>
      <c r="E192" s="2" t="n"/>
      <c r="F192" s="2" t="n"/>
      <c r="G192" s="2" t="n"/>
      <c r="H192" s="2" t="n"/>
      <c r="I192" s="2" t="n"/>
      <c r="J192" s="2" t="n"/>
      <c r="K192" s="2">
        <f>IF(COUNTA(G192:J192)&lt;4,"",ROUND(AVERAGE(G192:J192),1))</f>
        <v/>
      </c>
      <c r="L192" s="2" t="n"/>
      <c r="M192" s="2" t="n"/>
      <c r="N192" s="2" t="n"/>
      <c r="O192" s="2" t="n"/>
    </row>
    <row r="193">
      <c r="A193" s="2" t="n"/>
      <c r="B193" s="2" t="n"/>
      <c r="C193" s="2" t="n"/>
      <c r="D193" s="2" t="n"/>
      <c r="E193" s="2" t="n"/>
      <c r="F193" s="2" t="n"/>
      <c r="G193" s="2" t="n"/>
      <c r="H193" s="2" t="n"/>
      <c r="I193" s="2" t="n"/>
      <c r="J193" s="2" t="n"/>
      <c r="K193" s="2">
        <f>IF(COUNTA(G193:J193)&lt;4,"",ROUND(AVERAGE(G193:J193),1))</f>
        <v/>
      </c>
      <c r="L193" s="2" t="n"/>
      <c r="M193" s="2" t="n"/>
      <c r="N193" s="2" t="n"/>
      <c r="O193" s="2" t="n"/>
    </row>
    <row r="194">
      <c r="A194" s="2" t="n"/>
      <c r="B194" s="2" t="n"/>
      <c r="C194" s="2" t="n"/>
      <c r="D194" s="2" t="n"/>
      <c r="E194" s="2" t="n"/>
      <c r="F194" s="2" t="n"/>
      <c r="G194" s="2" t="n"/>
      <c r="H194" s="2" t="n"/>
      <c r="I194" s="2" t="n"/>
      <c r="J194" s="2" t="n"/>
      <c r="K194" s="2">
        <f>IF(COUNTA(G194:J194)&lt;4,"",ROUND(AVERAGE(G194:J194),1))</f>
        <v/>
      </c>
      <c r="L194" s="2" t="n"/>
      <c r="M194" s="2" t="n"/>
      <c r="N194" s="2" t="n"/>
      <c r="O194" s="2" t="n"/>
    </row>
    <row r="195">
      <c r="A195" s="2" t="n"/>
      <c r="B195" s="2" t="n"/>
      <c r="C195" s="2" t="n"/>
      <c r="D195" s="2" t="n"/>
      <c r="E195" s="2" t="n"/>
      <c r="F195" s="2" t="n"/>
      <c r="G195" s="2" t="n"/>
      <c r="H195" s="2" t="n"/>
      <c r="I195" s="2" t="n"/>
      <c r="J195" s="2" t="n"/>
      <c r="K195" s="2">
        <f>IF(COUNTA(G195:J195)&lt;4,"",ROUND(AVERAGE(G195:J195),1))</f>
        <v/>
      </c>
      <c r="L195" s="2" t="n"/>
      <c r="M195" s="2" t="n"/>
      <c r="N195" s="2" t="n"/>
      <c r="O195" s="2" t="n"/>
    </row>
    <row r="196">
      <c r="A196" s="2" t="n"/>
      <c r="B196" s="2" t="n"/>
      <c r="C196" s="2" t="n"/>
      <c r="D196" s="2" t="n"/>
      <c r="E196" s="2" t="n"/>
      <c r="F196" s="2" t="n"/>
      <c r="G196" s="2" t="n"/>
      <c r="H196" s="2" t="n"/>
      <c r="I196" s="2" t="n"/>
      <c r="J196" s="2" t="n"/>
      <c r="K196" s="2">
        <f>IF(COUNTA(G196:J196)&lt;4,"",ROUND(AVERAGE(G196:J196),1))</f>
        <v/>
      </c>
      <c r="L196" s="2" t="n"/>
      <c r="M196" s="2" t="n"/>
      <c r="N196" s="2" t="n"/>
      <c r="O196" s="2" t="n"/>
    </row>
    <row r="197">
      <c r="A197" s="2" t="n"/>
      <c r="B197" s="2" t="n"/>
      <c r="C197" s="2" t="n"/>
      <c r="D197" s="2" t="n"/>
      <c r="E197" s="2" t="n"/>
      <c r="F197" s="2" t="n"/>
      <c r="G197" s="2" t="n"/>
      <c r="H197" s="2" t="n"/>
      <c r="I197" s="2" t="n"/>
      <c r="J197" s="2" t="n"/>
      <c r="K197" s="2">
        <f>IF(COUNTA(G197:J197)&lt;4,"",ROUND(AVERAGE(G197:J197),1))</f>
        <v/>
      </c>
      <c r="L197" s="2" t="n"/>
      <c r="M197" s="2" t="n"/>
      <c r="N197" s="2" t="n"/>
      <c r="O197" s="2" t="n"/>
    </row>
    <row r="198">
      <c r="A198" s="2" t="n"/>
      <c r="B198" s="2" t="n"/>
      <c r="C198" s="2" t="n"/>
      <c r="D198" s="2" t="n"/>
      <c r="E198" s="2" t="n"/>
      <c r="F198" s="2" t="n"/>
      <c r="G198" s="2" t="n"/>
      <c r="H198" s="2" t="n"/>
      <c r="I198" s="2" t="n"/>
      <c r="J198" s="2" t="n"/>
      <c r="K198" s="2">
        <f>IF(COUNTA(G198:J198)&lt;4,"",ROUND(AVERAGE(G198:J198),1))</f>
        <v/>
      </c>
      <c r="L198" s="2" t="n"/>
      <c r="M198" s="2" t="n"/>
      <c r="N198" s="2" t="n"/>
      <c r="O198" s="2" t="n"/>
    </row>
    <row r="199">
      <c r="A199" s="2" t="n"/>
      <c r="B199" s="2" t="n"/>
      <c r="C199" s="2" t="n"/>
      <c r="D199" s="2" t="n"/>
      <c r="E199" s="2" t="n"/>
      <c r="F199" s="2" t="n"/>
      <c r="G199" s="2" t="n"/>
      <c r="H199" s="2" t="n"/>
      <c r="I199" s="2" t="n"/>
      <c r="J199" s="2" t="n"/>
      <c r="K199" s="2">
        <f>IF(COUNTA(G199:J199)&lt;4,"",ROUND(AVERAGE(G199:J199),1))</f>
        <v/>
      </c>
      <c r="L199" s="2" t="n"/>
      <c r="M199" s="2" t="n"/>
      <c r="N199" s="2" t="n"/>
      <c r="O199" s="2" t="n"/>
    </row>
    <row r="200">
      <c r="A200" s="2" t="n"/>
      <c r="B200" s="2" t="n"/>
      <c r="C200" s="2" t="n"/>
      <c r="D200" s="2" t="n"/>
      <c r="E200" s="2" t="n"/>
      <c r="F200" s="2" t="n"/>
      <c r="G200" s="2" t="n"/>
      <c r="H200" s="2" t="n"/>
      <c r="I200" s="2" t="n"/>
      <c r="J200" s="2" t="n"/>
      <c r="K200" s="2">
        <f>IF(COUNTA(G200:J200)&lt;4,"",ROUND(AVERAGE(G200:J200),1))</f>
        <v/>
      </c>
      <c r="L200" s="2" t="n"/>
      <c r="M200" s="2" t="n"/>
      <c r="N200" s="2" t="n"/>
      <c r="O200" s="2" t="n"/>
    </row>
    <row r="201">
      <c r="A201" s="2" t="n"/>
      <c r="B201" s="2" t="n"/>
      <c r="C201" s="2" t="n"/>
      <c r="D201" s="2" t="n"/>
      <c r="E201" s="2" t="n"/>
      <c r="F201" s="2" t="n"/>
      <c r="G201" s="2" t="n"/>
      <c r="H201" s="2" t="n"/>
      <c r="I201" s="2" t="n"/>
      <c r="J201" s="2" t="n"/>
      <c r="K201" s="2">
        <f>IF(COUNTA(G201:J201)&lt;4,"",ROUND(AVERAGE(G201:J201),1))</f>
        <v/>
      </c>
      <c r="L201" s="2" t="n"/>
      <c r="M201" s="2" t="n"/>
      <c r="N201" s="2" t="n"/>
      <c r="O201" s="2" t="n"/>
    </row>
    <row r="202">
      <c r="A202" s="2" t="n"/>
      <c r="B202" s="2" t="n"/>
      <c r="C202" s="2" t="n"/>
      <c r="D202" s="2" t="n"/>
      <c r="E202" s="2" t="n"/>
      <c r="F202" s="2" t="n"/>
      <c r="G202" s="2" t="n"/>
      <c r="H202" s="2" t="n"/>
      <c r="I202" s="2" t="n"/>
      <c r="J202" s="2" t="n"/>
      <c r="K202" s="2">
        <f>IF(COUNTA(G202:J202)&lt;4,"",ROUND(AVERAGE(G202:J202),1))</f>
        <v/>
      </c>
      <c r="L202" s="2" t="n"/>
      <c r="M202" s="2" t="n"/>
      <c r="N202" s="2" t="n"/>
      <c r="O202" s="2" t="n"/>
    </row>
    <row r="203">
      <c r="A203" s="2" t="n"/>
      <c r="B203" s="2" t="n"/>
      <c r="C203" s="2" t="n"/>
      <c r="D203" s="2" t="n"/>
      <c r="E203" s="2" t="n"/>
      <c r="F203" s="2" t="n"/>
      <c r="G203" s="2" t="n"/>
      <c r="H203" s="2" t="n"/>
      <c r="I203" s="2" t="n"/>
      <c r="J203" s="2" t="n"/>
      <c r="K203" s="2">
        <f>IF(COUNTA(G203:J203)&lt;4,"",ROUND(AVERAGE(G203:J203),1))</f>
        <v/>
      </c>
      <c r="L203" s="2" t="n"/>
      <c r="M203" s="2" t="n"/>
      <c r="N203" s="2" t="n"/>
      <c r="O203" s="2" t="n"/>
    </row>
    <row r="204">
      <c r="A204" s="2" t="n"/>
      <c r="B204" s="2" t="n"/>
      <c r="C204" s="2" t="n"/>
      <c r="D204" s="2" t="n"/>
      <c r="E204" s="2" t="n"/>
      <c r="F204" s="2" t="n"/>
      <c r="G204" s="2" t="n"/>
      <c r="H204" s="2" t="n"/>
      <c r="I204" s="2" t="n"/>
      <c r="J204" s="2" t="n"/>
      <c r="K204" s="2">
        <f>IF(COUNTA(G204:J204)&lt;4,"",ROUND(AVERAGE(G204:J204),1))</f>
        <v/>
      </c>
      <c r="L204" s="2" t="n"/>
      <c r="M204" s="2" t="n"/>
      <c r="N204" s="2" t="n"/>
      <c r="O204" s="2" t="n"/>
    </row>
    <row r="205">
      <c r="A205" s="2" t="n"/>
      <c r="B205" s="2" t="n"/>
      <c r="C205" s="2" t="n"/>
      <c r="D205" s="2" t="n"/>
      <c r="E205" s="2" t="n"/>
      <c r="F205" s="2" t="n"/>
      <c r="G205" s="2" t="n"/>
      <c r="H205" s="2" t="n"/>
      <c r="I205" s="2" t="n"/>
      <c r="J205" s="2" t="n"/>
      <c r="K205" s="2">
        <f>IF(COUNTA(G205:J205)&lt;4,"",ROUND(AVERAGE(G205:J205),1))</f>
        <v/>
      </c>
      <c r="L205" s="2" t="n"/>
      <c r="M205" s="2" t="n"/>
      <c r="N205" s="2" t="n"/>
      <c r="O205" s="2" t="n"/>
    </row>
    <row r="206">
      <c r="A206" s="2" t="n"/>
      <c r="B206" s="2" t="n"/>
      <c r="C206" s="2" t="n"/>
      <c r="D206" s="2" t="n"/>
      <c r="E206" s="2" t="n"/>
      <c r="F206" s="2" t="n"/>
      <c r="G206" s="2" t="n"/>
      <c r="H206" s="2" t="n"/>
      <c r="I206" s="2" t="n"/>
      <c r="J206" s="2" t="n"/>
      <c r="K206" s="2">
        <f>IF(COUNTA(G206:J206)&lt;4,"",ROUND(AVERAGE(G206:J206),1))</f>
        <v/>
      </c>
      <c r="L206" s="2" t="n"/>
      <c r="M206" s="2" t="n"/>
      <c r="N206" s="2" t="n"/>
      <c r="O206" s="2" t="n"/>
    </row>
    <row r="207">
      <c r="A207" s="2" t="n"/>
      <c r="B207" s="2" t="n"/>
      <c r="C207" s="2" t="n"/>
      <c r="D207" s="2" t="n"/>
      <c r="E207" s="2" t="n"/>
      <c r="F207" s="2" t="n"/>
      <c r="G207" s="2" t="n"/>
      <c r="H207" s="2" t="n"/>
      <c r="I207" s="2" t="n"/>
      <c r="J207" s="2" t="n"/>
      <c r="K207" s="2">
        <f>IF(COUNTA(G207:J207)&lt;4,"",ROUND(AVERAGE(G207:J207),1))</f>
        <v/>
      </c>
      <c r="L207" s="2" t="n"/>
      <c r="M207" s="2" t="n"/>
      <c r="N207" s="2" t="n"/>
      <c r="O207" s="2" t="n"/>
    </row>
    <row r="208">
      <c r="A208" s="2" t="n"/>
      <c r="B208" s="2" t="n"/>
      <c r="C208" s="2" t="n"/>
      <c r="D208" s="2" t="n"/>
      <c r="E208" s="2" t="n"/>
      <c r="F208" s="2" t="n"/>
      <c r="G208" s="2" t="n"/>
      <c r="H208" s="2" t="n"/>
      <c r="I208" s="2" t="n"/>
      <c r="J208" s="2" t="n"/>
      <c r="K208" s="2">
        <f>IF(COUNTA(G208:J208)&lt;4,"",ROUND(AVERAGE(G208:J208),1))</f>
        <v/>
      </c>
      <c r="L208" s="2" t="n"/>
      <c r="M208" s="2" t="n"/>
      <c r="N208" s="2" t="n"/>
      <c r="O208" s="2" t="n"/>
    </row>
    <row r="209">
      <c r="A209" s="2" t="n"/>
      <c r="B209" s="2" t="n"/>
      <c r="C209" s="2" t="n"/>
      <c r="D209" s="2" t="n"/>
      <c r="E209" s="2" t="n"/>
      <c r="F209" s="2" t="n"/>
      <c r="G209" s="2" t="n"/>
      <c r="H209" s="2" t="n"/>
      <c r="I209" s="2" t="n"/>
      <c r="J209" s="2" t="n"/>
      <c r="K209" s="2">
        <f>IF(COUNTA(G209:J209)&lt;4,"",ROUND(AVERAGE(G209:J209),1))</f>
        <v/>
      </c>
      <c r="L209" s="2" t="n"/>
      <c r="M209" s="2" t="n"/>
      <c r="N209" s="2" t="n"/>
      <c r="O209" s="2" t="n"/>
    </row>
    <row r="210">
      <c r="A210" s="2" t="n"/>
      <c r="B210" s="2" t="n"/>
      <c r="C210" s="2" t="n"/>
      <c r="D210" s="2" t="n"/>
      <c r="E210" s="2" t="n"/>
      <c r="F210" s="2" t="n"/>
      <c r="G210" s="2" t="n"/>
      <c r="H210" s="2" t="n"/>
      <c r="I210" s="2" t="n"/>
      <c r="J210" s="2" t="n"/>
      <c r="K210" s="2">
        <f>IF(COUNTA(G210:J210)&lt;4,"",ROUND(AVERAGE(G210:J210),1))</f>
        <v/>
      </c>
      <c r="L210" s="2" t="n"/>
      <c r="M210" s="2" t="n"/>
      <c r="N210" s="2" t="n"/>
      <c r="O210" s="2" t="n"/>
    </row>
    <row r="211">
      <c r="A211" s="2" t="n"/>
      <c r="B211" s="2" t="n"/>
      <c r="C211" s="2" t="n"/>
      <c r="D211" s="2" t="n"/>
      <c r="E211" s="2" t="n"/>
      <c r="F211" s="2" t="n"/>
      <c r="G211" s="2" t="n"/>
      <c r="H211" s="2" t="n"/>
      <c r="I211" s="2" t="n"/>
      <c r="J211" s="2" t="n"/>
      <c r="K211" s="2">
        <f>IF(COUNTA(G211:J211)&lt;4,"",ROUND(AVERAGE(G211:J211),1))</f>
        <v/>
      </c>
      <c r="L211" s="2" t="n"/>
      <c r="M211" s="2" t="n"/>
      <c r="N211" s="2" t="n"/>
      <c r="O211" s="2" t="n"/>
    </row>
    <row r="212">
      <c r="A212" s="2" t="n"/>
      <c r="B212" s="2" t="n"/>
      <c r="C212" s="2" t="n"/>
      <c r="D212" s="2" t="n"/>
      <c r="E212" s="2" t="n"/>
      <c r="F212" s="2" t="n"/>
      <c r="G212" s="2" t="n"/>
      <c r="H212" s="2" t="n"/>
      <c r="I212" s="2" t="n"/>
      <c r="J212" s="2" t="n"/>
      <c r="K212" s="2">
        <f>IF(COUNTA(G212:J212)&lt;4,"",ROUND(AVERAGE(G212:J212),1))</f>
        <v/>
      </c>
      <c r="L212" s="2" t="n"/>
      <c r="M212" s="2" t="n"/>
      <c r="N212" s="2" t="n"/>
      <c r="O212" s="2" t="n"/>
    </row>
    <row r="213">
      <c r="A213" s="2" t="n"/>
      <c r="B213" s="2" t="n"/>
      <c r="C213" s="2" t="n"/>
      <c r="D213" s="2" t="n"/>
      <c r="E213" s="2" t="n"/>
      <c r="F213" s="2" t="n"/>
      <c r="G213" s="2" t="n"/>
      <c r="H213" s="2" t="n"/>
      <c r="I213" s="2" t="n"/>
      <c r="J213" s="2" t="n"/>
      <c r="K213" s="2">
        <f>IF(COUNTA(G213:J213)&lt;4,"",ROUND(AVERAGE(G213:J213),1))</f>
        <v/>
      </c>
      <c r="L213" s="2" t="n"/>
      <c r="M213" s="2" t="n"/>
      <c r="N213" s="2" t="n"/>
      <c r="O213" s="2" t="n"/>
    </row>
    <row r="214">
      <c r="A214" s="2" t="n"/>
      <c r="B214" s="2" t="n"/>
      <c r="C214" s="2" t="n"/>
      <c r="D214" s="2" t="n"/>
      <c r="E214" s="2" t="n"/>
      <c r="F214" s="2" t="n"/>
      <c r="G214" s="2" t="n"/>
      <c r="H214" s="2" t="n"/>
      <c r="I214" s="2" t="n"/>
      <c r="J214" s="2" t="n"/>
      <c r="K214" s="2">
        <f>IF(COUNTA(G214:J214)&lt;4,"",ROUND(AVERAGE(G214:J214),1))</f>
        <v/>
      </c>
      <c r="L214" s="2" t="n"/>
      <c r="M214" s="2" t="n"/>
      <c r="N214" s="2" t="n"/>
      <c r="O214" s="2" t="n"/>
    </row>
    <row r="215">
      <c r="A215" s="2" t="n"/>
      <c r="B215" s="2" t="n"/>
      <c r="C215" s="2" t="n"/>
      <c r="D215" s="2" t="n"/>
      <c r="E215" s="2" t="n"/>
      <c r="F215" s="2" t="n"/>
      <c r="G215" s="2" t="n"/>
      <c r="H215" s="2" t="n"/>
      <c r="I215" s="2" t="n"/>
      <c r="J215" s="2" t="n"/>
      <c r="K215" s="2">
        <f>IF(COUNTA(G215:J215)&lt;4,"",ROUND(AVERAGE(G215:J215),1))</f>
        <v/>
      </c>
      <c r="L215" s="2" t="n"/>
      <c r="M215" s="2" t="n"/>
      <c r="N215" s="2" t="n"/>
      <c r="O215" s="2" t="n"/>
    </row>
    <row r="216">
      <c r="A216" s="2" t="n"/>
      <c r="B216" s="2" t="n"/>
      <c r="C216" s="2" t="n"/>
      <c r="D216" s="2" t="n"/>
      <c r="E216" s="2" t="n"/>
      <c r="F216" s="2" t="n"/>
      <c r="G216" s="2" t="n"/>
      <c r="H216" s="2" t="n"/>
      <c r="I216" s="2" t="n"/>
      <c r="J216" s="2" t="n"/>
      <c r="K216" s="2">
        <f>IF(COUNTA(G216:J216)&lt;4,"",ROUND(AVERAGE(G216:J216),1))</f>
        <v/>
      </c>
      <c r="L216" s="2" t="n"/>
      <c r="M216" s="2" t="n"/>
      <c r="N216" s="2" t="n"/>
      <c r="O216" s="2" t="n"/>
    </row>
    <row r="217">
      <c r="A217" s="2" t="n"/>
      <c r="B217" s="2" t="n"/>
      <c r="C217" s="2" t="n"/>
      <c r="D217" s="2" t="n"/>
      <c r="E217" s="2" t="n"/>
      <c r="F217" s="2" t="n"/>
      <c r="G217" s="2" t="n"/>
      <c r="H217" s="2" t="n"/>
      <c r="I217" s="2" t="n"/>
      <c r="J217" s="2" t="n"/>
      <c r="K217" s="2">
        <f>IF(COUNTA(G217:J217)&lt;4,"",ROUND(AVERAGE(G217:J217),1))</f>
        <v/>
      </c>
      <c r="L217" s="2" t="n"/>
      <c r="M217" s="2" t="n"/>
      <c r="N217" s="2" t="n"/>
      <c r="O217" s="2" t="n"/>
    </row>
    <row r="218">
      <c r="A218" s="2" t="n"/>
      <c r="B218" s="2" t="n"/>
      <c r="C218" s="2" t="n"/>
      <c r="D218" s="2" t="n"/>
      <c r="E218" s="2" t="n"/>
      <c r="F218" s="2" t="n"/>
      <c r="G218" s="2" t="n"/>
      <c r="H218" s="2" t="n"/>
      <c r="I218" s="2" t="n"/>
      <c r="J218" s="2" t="n"/>
      <c r="K218" s="2">
        <f>IF(COUNTA(G218:J218)&lt;4,"",ROUND(AVERAGE(G218:J218),1))</f>
        <v/>
      </c>
      <c r="L218" s="2" t="n"/>
      <c r="M218" s="2" t="n"/>
      <c r="N218" s="2" t="n"/>
      <c r="O218" s="2" t="n"/>
    </row>
    <row r="219">
      <c r="A219" s="2" t="n"/>
      <c r="B219" s="2" t="n"/>
      <c r="C219" s="2" t="n"/>
      <c r="D219" s="2" t="n"/>
      <c r="E219" s="2" t="n"/>
      <c r="F219" s="2" t="n"/>
      <c r="G219" s="2" t="n"/>
      <c r="H219" s="2" t="n"/>
      <c r="I219" s="2" t="n"/>
      <c r="J219" s="2" t="n"/>
      <c r="K219" s="2">
        <f>IF(COUNTA(G219:J219)&lt;4,"",ROUND(AVERAGE(G219:J219),1))</f>
        <v/>
      </c>
      <c r="L219" s="2" t="n"/>
      <c r="M219" s="2" t="n"/>
      <c r="N219" s="2" t="n"/>
      <c r="O219" s="2" t="n"/>
    </row>
    <row r="220">
      <c r="A220" s="2" t="n"/>
      <c r="B220" s="2" t="n"/>
      <c r="C220" s="2" t="n"/>
      <c r="D220" s="2" t="n"/>
      <c r="E220" s="2" t="n"/>
      <c r="F220" s="2" t="n"/>
      <c r="G220" s="2" t="n"/>
      <c r="H220" s="2" t="n"/>
      <c r="I220" s="2" t="n"/>
      <c r="J220" s="2" t="n"/>
      <c r="K220" s="2">
        <f>IF(COUNTA(G220:J220)&lt;4,"",ROUND(AVERAGE(G220:J220),1))</f>
        <v/>
      </c>
      <c r="L220" s="2" t="n"/>
      <c r="M220" s="2" t="n"/>
      <c r="N220" s="2" t="n"/>
      <c r="O220" s="2" t="n"/>
    </row>
    <row r="221">
      <c r="A221" s="2" t="n"/>
      <c r="B221" s="2" t="n"/>
      <c r="C221" s="2" t="n"/>
      <c r="D221" s="2" t="n"/>
      <c r="E221" s="2" t="n"/>
      <c r="F221" s="2" t="n"/>
      <c r="G221" s="2" t="n"/>
      <c r="H221" s="2" t="n"/>
      <c r="I221" s="2" t="n"/>
      <c r="J221" s="2" t="n"/>
      <c r="K221" s="2">
        <f>IF(COUNTA(G221:J221)&lt;4,"",ROUND(AVERAGE(G221:J221),1))</f>
        <v/>
      </c>
      <c r="L221" s="2" t="n"/>
      <c r="M221" s="2" t="n"/>
      <c r="N221" s="2" t="n"/>
      <c r="O221" s="2" t="n"/>
    </row>
    <row r="222">
      <c r="A222" s="2" t="n"/>
      <c r="B222" s="2" t="n"/>
      <c r="C222" s="2" t="n"/>
      <c r="D222" s="2" t="n"/>
      <c r="E222" s="2" t="n"/>
      <c r="F222" s="2" t="n"/>
      <c r="G222" s="2" t="n"/>
      <c r="H222" s="2" t="n"/>
      <c r="I222" s="2" t="n"/>
      <c r="J222" s="2" t="n"/>
      <c r="K222" s="2">
        <f>IF(COUNTA(G222:J222)&lt;4,"",ROUND(AVERAGE(G222:J222),1))</f>
        <v/>
      </c>
      <c r="L222" s="2" t="n"/>
      <c r="M222" s="2" t="n"/>
      <c r="N222" s="2" t="n"/>
      <c r="O222" s="2" t="n"/>
    </row>
    <row r="223">
      <c r="A223" s="2" t="n"/>
      <c r="B223" s="2" t="n"/>
      <c r="C223" s="2" t="n"/>
      <c r="D223" s="2" t="n"/>
      <c r="E223" s="2" t="n"/>
      <c r="F223" s="2" t="n"/>
      <c r="G223" s="2" t="n"/>
      <c r="H223" s="2" t="n"/>
      <c r="I223" s="2" t="n"/>
      <c r="J223" s="2" t="n"/>
      <c r="K223" s="2">
        <f>IF(COUNTA(G223:J223)&lt;4,"",ROUND(AVERAGE(G223:J223),1))</f>
        <v/>
      </c>
      <c r="L223" s="2" t="n"/>
      <c r="M223" s="2" t="n"/>
      <c r="N223" s="2" t="n"/>
      <c r="O223" s="2" t="n"/>
    </row>
    <row r="224">
      <c r="A224" s="2" t="n"/>
      <c r="B224" s="2" t="n"/>
      <c r="C224" s="2" t="n"/>
      <c r="D224" s="2" t="n"/>
      <c r="E224" s="2" t="n"/>
      <c r="F224" s="2" t="n"/>
      <c r="G224" s="2" t="n"/>
      <c r="H224" s="2" t="n"/>
      <c r="I224" s="2" t="n"/>
      <c r="J224" s="2" t="n"/>
      <c r="K224" s="2">
        <f>IF(COUNTA(G224:J224)&lt;4,"",ROUND(AVERAGE(G224:J224),1))</f>
        <v/>
      </c>
      <c r="L224" s="2" t="n"/>
      <c r="M224" s="2" t="n"/>
      <c r="N224" s="2" t="n"/>
      <c r="O224" s="2" t="n"/>
    </row>
    <row r="225">
      <c r="A225" s="2" t="n"/>
      <c r="B225" s="2" t="n"/>
      <c r="C225" s="2" t="n"/>
      <c r="D225" s="2" t="n"/>
      <c r="E225" s="2" t="n"/>
      <c r="F225" s="2" t="n"/>
      <c r="G225" s="2" t="n"/>
      <c r="H225" s="2" t="n"/>
      <c r="I225" s="2" t="n"/>
      <c r="J225" s="2" t="n"/>
      <c r="K225" s="2">
        <f>IF(COUNTA(G225:J225)&lt;4,"",ROUND(AVERAGE(G225:J225),1))</f>
        <v/>
      </c>
      <c r="L225" s="2" t="n"/>
      <c r="M225" s="2" t="n"/>
      <c r="N225" s="2" t="n"/>
      <c r="O225" s="2" t="n"/>
    </row>
    <row r="226">
      <c r="A226" s="2" t="n"/>
      <c r="B226" s="2" t="n"/>
      <c r="C226" s="2" t="n"/>
      <c r="D226" s="2" t="n"/>
      <c r="E226" s="2" t="n"/>
      <c r="F226" s="2" t="n"/>
      <c r="G226" s="2" t="n"/>
      <c r="H226" s="2" t="n"/>
      <c r="I226" s="2" t="n"/>
      <c r="J226" s="2" t="n"/>
      <c r="K226" s="2">
        <f>IF(COUNTA(G226:J226)&lt;4,"",ROUND(AVERAGE(G226:J226),1))</f>
        <v/>
      </c>
      <c r="L226" s="2" t="n"/>
      <c r="M226" s="2" t="n"/>
      <c r="N226" s="2" t="n"/>
      <c r="O226" s="2" t="n"/>
    </row>
    <row r="227">
      <c r="A227" s="2" t="n"/>
      <c r="B227" s="2" t="n"/>
      <c r="C227" s="2" t="n"/>
      <c r="D227" s="2" t="n"/>
      <c r="E227" s="2" t="n"/>
      <c r="F227" s="2" t="n"/>
      <c r="G227" s="2" t="n"/>
      <c r="H227" s="2" t="n"/>
      <c r="I227" s="2" t="n"/>
      <c r="J227" s="2" t="n"/>
      <c r="K227" s="2">
        <f>IF(COUNTA(G227:J227)&lt;4,"",ROUND(AVERAGE(G227:J227),1))</f>
        <v/>
      </c>
      <c r="L227" s="2" t="n"/>
      <c r="M227" s="2" t="n"/>
      <c r="N227" s="2" t="n"/>
      <c r="O227" s="2" t="n"/>
    </row>
    <row r="228">
      <c r="A228" s="2" t="n"/>
      <c r="B228" s="2" t="n"/>
      <c r="C228" s="2" t="n"/>
      <c r="D228" s="2" t="n"/>
      <c r="E228" s="2" t="n"/>
      <c r="F228" s="2" t="n"/>
      <c r="G228" s="2" t="n"/>
      <c r="H228" s="2" t="n"/>
      <c r="I228" s="2" t="n"/>
      <c r="J228" s="2" t="n"/>
      <c r="K228" s="2">
        <f>IF(COUNTA(G228:J228)&lt;4,"",ROUND(AVERAGE(G228:J228),1))</f>
        <v/>
      </c>
      <c r="L228" s="2" t="n"/>
      <c r="M228" s="2" t="n"/>
      <c r="N228" s="2" t="n"/>
      <c r="O228" s="2" t="n"/>
    </row>
    <row r="229">
      <c r="A229" s="2" t="n"/>
      <c r="B229" s="2" t="n"/>
      <c r="C229" s="2" t="n"/>
      <c r="D229" s="2" t="n"/>
      <c r="E229" s="2" t="n"/>
      <c r="F229" s="2" t="n"/>
      <c r="G229" s="2" t="n"/>
      <c r="H229" s="2" t="n"/>
      <c r="I229" s="2" t="n"/>
      <c r="J229" s="2" t="n"/>
      <c r="K229" s="2">
        <f>IF(COUNTA(G229:J229)&lt;4,"",ROUND(AVERAGE(G229:J229),1))</f>
        <v/>
      </c>
      <c r="L229" s="2" t="n"/>
      <c r="M229" s="2" t="n"/>
      <c r="N229" s="2" t="n"/>
      <c r="O229" s="2" t="n"/>
    </row>
    <row r="230">
      <c r="A230" s="2" t="n"/>
      <c r="B230" s="2" t="n"/>
      <c r="C230" s="2" t="n"/>
      <c r="D230" s="2" t="n"/>
      <c r="E230" s="2" t="n"/>
      <c r="F230" s="2" t="n"/>
      <c r="G230" s="2" t="n"/>
      <c r="H230" s="2" t="n"/>
      <c r="I230" s="2" t="n"/>
      <c r="J230" s="2" t="n"/>
      <c r="K230" s="2">
        <f>IF(COUNTA(G230:J230)&lt;4,"",ROUND(AVERAGE(G230:J230),1))</f>
        <v/>
      </c>
      <c r="L230" s="2" t="n"/>
      <c r="M230" s="2" t="n"/>
      <c r="N230" s="2" t="n"/>
      <c r="O230" s="2" t="n"/>
    </row>
    <row r="231">
      <c r="A231" s="2" t="n"/>
      <c r="B231" s="2" t="n"/>
      <c r="C231" s="2" t="n"/>
      <c r="D231" s="2" t="n"/>
      <c r="E231" s="2" t="n"/>
      <c r="F231" s="2" t="n"/>
      <c r="G231" s="2" t="n"/>
      <c r="H231" s="2" t="n"/>
      <c r="I231" s="2" t="n"/>
      <c r="J231" s="2" t="n"/>
      <c r="K231" s="2">
        <f>IF(COUNTA(G231:J231)&lt;4,"",ROUND(AVERAGE(G231:J231),1))</f>
        <v/>
      </c>
      <c r="L231" s="2" t="n"/>
      <c r="M231" s="2" t="n"/>
      <c r="N231" s="2" t="n"/>
      <c r="O231" s="2" t="n"/>
    </row>
    <row r="232">
      <c r="A232" s="2" t="n"/>
      <c r="B232" s="2" t="n"/>
      <c r="C232" s="2" t="n"/>
      <c r="D232" s="2" t="n"/>
      <c r="E232" s="2" t="n"/>
      <c r="F232" s="2" t="n"/>
      <c r="G232" s="2" t="n"/>
      <c r="H232" s="2" t="n"/>
      <c r="I232" s="2" t="n"/>
      <c r="J232" s="2" t="n"/>
      <c r="K232" s="2">
        <f>IF(COUNTA(G232:J232)&lt;4,"",ROUND(AVERAGE(G232:J232),1))</f>
        <v/>
      </c>
      <c r="L232" s="2" t="n"/>
      <c r="M232" s="2" t="n"/>
      <c r="N232" s="2" t="n"/>
      <c r="O232" s="2" t="n"/>
    </row>
    <row r="233">
      <c r="A233" s="2" t="n"/>
      <c r="B233" s="2" t="n"/>
      <c r="C233" s="2" t="n"/>
      <c r="D233" s="2" t="n"/>
      <c r="E233" s="2" t="n"/>
      <c r="F233" s="2" t="n"/>
      <c r="G233" s="2" t="n"/>
      <c r="H233" s="2" t="n"/>
      <c r="I233" s="2" t="n"/>
      <c r="J233" s="2" t="n"/>
      <c r="K233" s="2">
        <f>IF(COUNTA(G233:J233)&lt;4,"",ROUND(AVERAGE(G233:J233),1))</f>
        <v/>
      </c>
      <c r="L233" s="2" t="n"/>
      <c r="M233" s="2" t="n"/>
      <c r="N233" s="2" t="n"/>
      <c r="O233" s="2" t="n"/>
    </row>
    <row r="234">
      <c r="A234" s="2" t="n"/>
      <c r="B234" s="2" t="n"/>
      <c r="C234" s="2" t="n"/>
      <c r="D234" s="2" t="n"/>
      <c r="E234" s="2" t="n"/>
      <c r="F234" s="2" t="n"/>
      <c r="G234" s="2" t="n"/>
      <c r="H234" s="2" t="n"/>
      <c r="I234" s="2" t="n"/>
      <c r="J234" s="2" t="n"/>
      <c r="K234" s="2">
        <f>IF(COUNTA(G234:J234)&lt;4,"",ROUND(AVERAGE(G234:J234),1))</f>
        <v/>
      </c>
      <c r="L234" s="2" t="n"/>
      <c r="M234" s="2" t="n"/>
      <c r="N234" s="2" t="n"/>
      <c r="O234" s="2" t="n"/>
    </row>
    <row r="235">
      <c r="A235" s="2" t="n"/>
      <c r="B235" s="2" t="n"/>
      <c r="C235" s="2" t="n"/>
      <c r="D235" s="2" t="n"/>
      <c r="E235" s="2" t="n"/>
      <c r="F235" s="2" t="n"/>
      <c r="G235" s="2" t="n"/>
      <c r="H235" s="2" t="n"/>
      <c r="I235" s="2" t="n"/>
      <c r="J235" s="2" t="n"/>
      <c r="K235" s="2">
        <f>IF(COUNTA(G235:J235)&lt;4,"",ROUND(AVERAGE(G235:J235),1))</f>
        <v/>
      </c>
      <c r="L235" s="2" t="n"/>
      <c r="M235" s="2" t="n"/>
      <c r="N235" s="2" t="n"/>
      <c r="O235" s="2" t="n"/>
    </row>
    <row r="236">
      <c r="A236" s="2" t="n"/>
      <c r="B236" s="2" t="n"/>
      <c r="C236" s="2" t="n"/>
      <c r="D236" s="2" t="n"/>
      <c r="E236" s="2" t="n"/>
      <c r="F236" s="2" t="n"/>
      <c r="G236" s="2" t="n"/>
      <c r="H236" s="2" t="n"/>
      <c r="I236" s="2" t="n"/>
      <c r="J236" s="2" t="n"/>
      <c r="K236" s="2">
        <f>IF(COUNTA(G236:J236)&lt;4,"",ROUND(AVERAGE(G236:J236),1))</f>
        <v/>
      </c>
      <c r="L236" s="2" t="n"/>
      <c r="M236" s="2" t="n"/>
      <c r="N236" s="2" t="n"/>
      <c r="O236" s="2" t="n"/>
    </row>
    <row r="237">
      <c r="A237" s="2" t="n"/>
      <c r="B237" s="2" t="n"/>
      <c r="C237" s="2" t="n"/>
      <c r="D237" s="2" t="n"/>
      <c r="E237" s="2" t="n"/>
      <c r="F237" s="2" t="n"/>
      <c r="G237" s="2" t="n"/>
      <c r="H237" s="2" t="n"/>
      <c r="I237" s="2" t="n"/>
      <c r="J237" s="2" t="n"/>
      <c r="K237" s="2">
        <f>IF(COUNTA(G237:J237)&lt;4,"",ROUND(AVERAGE(G237:J237),1))</f>
        <v/>
      </c>
      <c r="L237" s="2" t="n"/>
      <c r="M237" s="2" t="n"/>
      <c r="N237" s="2" t="n"/>
      <c r="O237" s="2" t="n"/>
    </row>
    <row r="238">
      <c r="A238" s="2" t="n"/>
      <c r="B238" s="2" t="n"/>
      <c r="C238" s="2" t="n"/>
      <c r="D238" s="2" t="n"/>
      <c r="E238" s="2" t="n"/>
      <c r="F238" s="2" t="n"/>
      <c r="G238" s="2" t="n"/>
      <c r="H238" s="2" t="n"/>
      <c r="I238" s="2" t="n"/>
      <c r="J238" s="2" t="n"/>
      <c r="K238" s="2">
        <f>IF(COUNTA(G238:J238)&lt;4,"",ROUND(AVERAGE(G238:J238),1))</f>
        <v/>
      </c>
      <c r="L238" s="2" t="n"/>
      <c r="M238" s="2" t="n"/>
      <c r="N238" s="2" t="n"/>
      <c r="O238" s="2" t="n"/>
    </row>
    <row r="239">
      <c r="A239" s="2" t="n"/>
      <c r="B239" s="2" t="n"/>
      <c r="C239" s="2" t="n"/>
      <c r="D239" s="2" t="n"/>
      <c r="E239" s="2" t="n"/>
      <c r="F239" s="2" t="n"/>
      <c r="G239" s="2" t="n"/>
      <c r="H239" s="2" t="n"/>
      <c r="I239" s="2" t="n"/>
      <c r="J239" s="2" t="n"/>
      <c r="K239" s="2">
        <f>IF(COUNTA(G239:J239)&lt;4,"",ROUND(AVERAGE(G239:J239),1))</f>
        <v/>
      </c>
      <c r="L239" s="2" t="n"/>
      <c r="M239" s="2" t="n"/>
      <c r="N239" s="2" t="n"/>
      <c r="O239" s="2" t="n"/>
    </row>
    <row r="240">
      <c r="A240" s="2" t="n"/>
      <c r="B240" s="2" t="n"/>
      <c r="C240" s="2" t="n"/>
      <c r="D240" s="2" t="n"/>
      <c r="E240" s="2" t="n"/>
      <c r="F240" s="2" t="n"/>
      <c r="G240" s="2" t="n"/>
      <c r="H240" s="2" t="n"/>
      <c r="I240" s="2" t="n"/>
      <c r="J240" s="2" t="n"/>
      <c r="K240" s="2">
        <f>IF(COUNTA(G240:J240)&lt;4,"",ROUND(AVERAGE(G240:J240),1))</f>
        <v/>
      </c>
      <c r="L240" s="2" t="n"/>
      <c r="M240" s="2" t="n"/>
      <c r="N240" s="2" t="n"/>
      <c r="O240" s="2" t="n"/>
    </row>
    <row r="241">
      <c r="A241" s="2" t="n"/>
      <c r="B241" s="2" t="n"/>
      <c r="C241" s="2" t="n"/>
      <c r="D241" s="2" t="n"/>
      <c r="E241" s="2" t="n"/>
      <c r="F241" s="2" t="n"/>
      <c r="G241" s="2" t="n"/>
      <c r="H241" s="2" t="n"/>
      <c r="I241" s="2" t="n"/>
      <c r="J241" s="2" t="n"/>
      <c r="K241" s="2">
        <f>IF(COUNTA(G241:J241)&lt;4,"",ROUND(AVERAGE(G241:J241),1))</f>
        <v/>
      </c>
      <c r="L241" s="2" t="n"/>
      <c r="M241" s="2" t="n"/>
      <c r="N241" s="2" t="n"/>
      <c r="O241" s="2" t="n"/>
    </row>
    <row r="242">
      <c r="A242" s="2" t="n"/>
      <c r="B242" s="2" t="n"/>
      <c r="C242" s="2" t="n"/>
      <c r="D242" s="2" t="n"/>
      <c r="E242" s="2" t="n"/>
      <c r="F242" s="2" t="n"/>
      <c r="G242" s="2" t="n"/>
      <c r="H242" s="2" t="n"/>
      <c r="I242" s="2" t="n"/>
      <c r="J242" s="2" t="n"/>
      <c r="K242" s="2">
        <f>IF(COUNTA(G242:J242)&lt;4,"",ROUND(AVERAGE(G242:J242),1))</f>
        <v/>
      </c>
      <c r="L242" s="2" t="n"/>
      <c r="M242" s="2" t="n"/>
      <c r="N242" s="2" t="n"/>
      <c r="O242" s="2" t="n"/>
    </row>
    <row r="243">
      <c r="A243" s="2" t="n"/>
      <c r="B243" s="2" t="n"/>
      <c r="C243" s="2" t="n"/>
      <c r="D243" s="2" t="n"/>
      <c r="E243" s="2" t="n"/>
      <c r="F243" s="2" t="n"/>
      <c r="G243" s="2" t="n"/>
      <c r="H243" s="2" t="n"/>
      <c r="I243" s="2" t="n"/>
      <c r="J243" s="2" t="n"/>
      <c r="K243" s="2">
        <f>IF(COUNTA(G243:J243)&lt;4,"",ROUND(AVERAGE(G243:J243),1))</f>
        <v/>
      </c>
      <c r="L243" s="2" t="n"/>
      <c r="M243" s="2" t="n"/>
      <c r="N243" s="2" t="n"/>
      <c r="O243" s="2" t="n"/>
    </row>
    <row r="244">
      <c r="A244" s="2" t="n"/>
      <c r="B244" s="2" t="n"/>
      <c r="C244" s="2" t="n"/>
      <c r="D244" s="2" t="n"/>
      <c r="E244" s="2" t="n"/>
      <c r="F244" s="2" t="n"/>
      <c r="G244" s="2" t="n"/>
      <c r="H244" s="2" t="n"/>
      <c r="I244" s="2" t="n"/>
      <c r="J244" s="2" t="n"/>
      <c r="K244" s="2">
        <f>IF(COUNTA(G244:J244)&lt;4,"",ROUND(AVERAGE(G244:J244),1))</f>
        <v/>
      </c>
      <c r="L244" s="2" t="n"/>
      <c r="M244" s="2" t="n"/>
      <c r="N244" s="2" t="n"/>
      <c r="O244" s="2" t="n"/>
    </row>
    <row r="245">
      <c r="A245" s="2" t="n"/>
      <c r="B245" s="2" t="n"/>
      <c r="C245" s="2" t="n"/>
      <c r="D245" s="2" t="n"/>
      <c r="E245" s="2" t="n"/>
      <c r="F245" s="2" t="n"/>
      <c r="G245" s="2" t="n"/>
      <c r="H245" s="2" t="n"/>
      <c r="I245" s="2" t="n"/>
      <c r="J245" s="2" t="n"/>
      <c r="K245" s="2">
        <f>IF(COUNTA(G245:J245)&lt;4,"",ROUND(AVERAGE(G245:J245),1))</f>
        <v/>
      </c>
      <c r="L245" s="2" t="n"/>
      <c r="M245" s="2" t="n"/>
      <c r="N245" s="2" t="n"/>
      <c r="O245" s="2" t="n"/>
    </row>
    <row r="246">
      <c r="A246" s="2" t="n"/>
      <c r="B246" s="2" t="n"/>
      <c r="C246" s="2" t="n"/>
      <c r="D246" s="2" t="n"/>
      <c r="E246" s="2" t="n"/>
      <c r="F246" s="2" t="n"/>
      <c r="G246" s="2" t="n"/>
      <c r="H246" s="2" t="n"/>
      <c r="I246" s="2" t="n"/>
      <c r="J246" s="2" t="n"/>
      <c r="K246" s="2">
        <f>IF(COUNTA(G246:J246)&lt;4,"",ROUND(AVERAGE(G246:J246),1))</f>
        <v/>
      </c>
      <c r="L246" s="2" t="n"/>
      <c r="M246" s="2" t="n"/>
      <c r="N246" s="2" t="n"/>
      <c r="O246" s="2" t="n"/>
    </row>
    <row r="247">
      <c r="A247" s="2" t="n"/>
      <c r="B247" s="2" t="n"/>
      <c r="C247" s="2" t="n"/>
      <c r="D247" s="2" t="n"/>
      <c r="E247" s="2" t="n"/>
      <c r="F247" s="2" t="n"/>
      <c r="G247" s="2" t="n"/>
      <c r="H247" s="2" t="n"/>
      <c r="I247" s="2" t="n"/>
      <c r="J247" s="2" t="n"/>
      <c r="K247" s="2">
        <f>IF(COUNTA(G247:J247)&lt;4,"",ROUND(AVERAGE(G247:J247),1))</f>
        <v/>
      </c>
      <c r="L247" s="2" t="n"/>
      <c r="M247" s="2" t="n"/>
      <c r="N247" s="2" t="n"/>
      <c r="O247" s="2" t="n"/>
    </row>
    <row r="248">
      <c r="A248" s="2" t="n"/>
      <c r="B248" s="2" t="n"/>
      <c r="C248" s="2" t="n"/>
      <c r="D248" s="2" t="n"/>
      <c r="E248" s="2" t="n"/>
      <c r="F248" s="2" t="n"/>
      <c r="G248" s="2" t="n"/>
      <c r="H248" s="2" t="n"/>
      <c r="I248" s="2" t="n"/>
      <c r="J248" s="2" t="n"/>
      <c r="K248" s="2">
        <f>IF(COUNTA(G248:J248)&lt;4,"",ROUND(AVERAGE(G248:J248),1))</f>
        <v/>
      </c>
      <c r="L248" s="2" t="n"/>
      <c r="M248" s="2" t="n"/>
      <c r="N248" s="2" t="n"/>
      <c r="O248" s="2" t="n"/>
    </row>
    <row r="249">
      <c r="A249" s="2" t="n"/>
      <c r="B249" s="2" t="n"/>
      <c r="C249" s="2" t="n"/>
      <c r="D249" s="2" t="n"/>
      <c r="E249" s="2" t="n"/>
      <c r="F249" s="2" t="n"/>
      <c r="G249" s="2" t="n"/>
      <c r="H249" s="2" t="n"/>
      <c r="I249" s="2" t="n"/>
      <c r="J249" s="2" t="n"/>
      <c r="K249" s="2">
        <f>IF(COUNTA(G249:J249)&lt;4,"",ROUND(AVERAGE(G249:J249),1))</f>
        <v/>
      </c>
      <c r="L249" s="2" t="n"/>
      <c r="M249" s="2" t="n"/>
      <c r="N249" s="2" t="n"/>
      <c r="O249" s="2" t="n"/>
    </row>
    <row r="250">
      <c r="A250" s="2" t="n"/>
      <c r="B250" s="2" t="n"/>
      <c r="C250" s="2" t="n"/>
      <c r="D250" s="2" t="n"/>
      <c r="E250" s="2" t="n"/>
      <c r="F250" s="2" t="n"/>
      <c r="G250" s="2" t="n"/>
      <c r="H250" s="2" t="n"/>
      <c r="I250" s="2" t="n"/>
      <c r="J250" s="2" t="n"/>
      <c r="K250" s="2">
        <f>IF(COUNTA(G250:J250)&lt;4,"",ROUND(AVERAGE(G250:J250),1))</f>
        <v/>
      </c>
      <c r="L250" s="2" t="n"/>
      <c r="M250" s="2" t="n"/>
      <c r="N250" s="2" t="n"/>
      <c r="O250" s="2" t="n"/>
    </row>
    <row r="251">
      <c r="A251" s="2" t="n"/>
      <c r="B251" s="2" t="n"/>
      <c r="C251" s="2" t="n"/>
      <c r="D251" s="2" t="n"/>
      <c r="E251" s="2" t="n"/>
      <c r="F251" s="2" t="n"/>
      <c r="G251" s="2" t="n"/>
      <c r="H251" s="2" t="n"/>
      <c r="I251" s="2" t="n"/>
      <c r="J251" s="2" t="n"/>
      <c r="K251" s="2">
        <f>IF(COUNTA(G251:J251)&lt;4,"",ROUND(AVERAGE(G251:J251),1))</f>
        <v/>
      </c>
      <c r="L251" s="2" t="n"/>
      <c r="M251" s="2" t="n"/>
      <c r="N251" s="2" t="n"/>
      <c r="O251" s="2" t="n"/>
    </row>
    <row r="252">
      <c r="A252" s="2" t="n"/>
      <c r="B252" s="2" t="n"/>
      <c r="C252" s="2" t="n"/>
      <c r="D252" s="2" t="n"/>
      <c r="E252" s="2" t="n"/>
      <c r="F252" s="2" t="n"/>
      <c r="G252" s="2" t="n"/>
      <c r="H252" s="2" t="n"/>
      <c r="I252" s="2" t="n"/>
      <c r="J252" s="2" t="n"/>
      <c r="K252" s="2">
        <f>IF(COUNTA(G252:J252)&lt;4,"",ROUND(AVERAGE(G252:J252),1))</f>
        <v/>
      </c>
      <c r="L252" s="2" t="n"/>
      <c r="M252" s="2" t="n"/>
      <c r="N252" s="2" t="n"/>
      <c r="O252" s="2" t="n"/>
    </row>
    <row r="253">
      <c r="A253" s="2" t="n"/>
      <c r="B253" s="2" t="n"/>
      <c r="C253" s="2" t="n"/>
      <c r="D253" s="2" t="n"/>
      <c r="E253" s="2" t="n"/>
      <c r="F253" s="2" t="n"/>
      <c r="G253" s="2" t="n"/>
      <c r="H253" s="2" t="n"/>
      <c r="I253" s="2" t="n"/>
      <c r="J253" s="2" t="n"/>
      <c r="K253" s="2">
        <f>IF(COUNTA(G253:J253)&lt;4,"",ROUND(AVERAGE(G253:J253),1))</f>
        <v/>
      </c>
      <c r="L253" s="2" t="n"/>
      <c r="M253" s="2" t="n"/>
      <c r="N253" s="2" t="n"/>
      <c r="O253" s="2" t="n"/>
    </row>
    <row r="254">
      <c r="A254" s="2" t="n"/>
      <c r="B254" s="2" t="n"/>
      <c r="C254" s="2" t="n"/>
      <c r="D254" s="2" t="n"/>
      <c r="E254" s="2" t="n"/>
      <c r="F254" s="2" t="n"/>
      <c r="G254" s="2" t="n"/>
      <c r="H254" s="2" t="n"/>
      <c r="I254" s="2" t="n"/>
      <c r="J254" s="2" t="n"/>
      <c r="K254" s="2">
        <f>IF(COUNTA(G254:J254)&lt;4,"",ROUND(AVERAGE(G254:J254),1))</f>
        <v/>
      </c>
      <c r="L254" s="2" t="n"/>
      <c r="M254" s="2" t="n"/>
      <c r="N254" s="2" t="n"/>
      <c r="O254" s="2" t="n"/>
    </row>
    <row r="255">
      <c r="A255" s="2" t="n"/>
      <c r="B255" s="2" t="n"/>
      <c r="C255" s="2" t="n"/>
      <c r="D255" s="2" t="n"/>
      <c r="E255" s="2" t="n"/>
      <c r="F255" s="2" t="n"/>
      <c r="G255" s="2" t="n"/>
      <c r="H255" s="2" t="n"/>
      <c r="I255" s="2" t="n"/>
      <c r="J255" s="2" t="n"/>
      <c r="K255" s="2">
        <f>IF(COUNTA(G255:J255)&lt;4,"",ROUND(AVERAGE(G255:J255),1))</f>
        <v/>
      </c>
      <c r="L255" s="2" t="n"/>
      <c r="M255" s="2" t="n"/>
      <c r="N255" s="2" t="n"/>
      <c r="O255" s="2" t="n"/>
    </row>
    <row r="256">
      <c r="A256" s="2" t="n"/>
      <c r="B256" s="2" t="n"/>
      <c r="C256" s="2" t="n"/>
      <c r="D256" s="2" t="n"/>
      <c r="E256" s="2" t="n"/>
      <c r="F256" s="2" t="n"/>
      <c r="G256" s="2" t="n"/>
      <c r="H256" s="2" t="n"/>
      <c r="I256" s="2" t="n"/>
      <c r="J256" s="2" t="n"/>
      <c r="K256" s="2">
        <f>IF(COUNTA(G256:J256)&lt;4,"",ROUND(AVERAGE(G256:J256),1))</f>
        <v/>
      </c>
      <c r="L256" s="2" t="n"/>
      <c r="M256" s="2" t="n"/>
      <c r="N256" s="2" t="n"/>
      <c r="O256" s="2" t="n"/>
    </row>
    <row r="257">
      <c r="A257" s="2" t="n"/>
      <c r="B257" s="2" t="n"/>
      <c r="C257" s="2" t="n"/>
      <c r="D257" s="2" t="n"/>
      <c r="E257" s="2" t="n"/>
      <c r="F257" s="2" t="n"/>
      <c r="G257" s="2" t="n"/>
      <c r="H257" s="2" t="n"/>
      <c r="I257" s="2" t="n"/>
      <c r="J257" s="2" t="n"/>
      <c r="K257" s="2">
        <f>IF(COUNTA(G257:J257)&lt;4,"",ROUND(AVERAGE(G257:J257),1))</f>
        <v/>
      </c>
      <c r="L257" s="2" t="n"/>
      <c r="M257" s="2" t="n"/>
      <c r="N257" s="2" t="n"/>
      <c r="O257" s="2" t="n"/>
    </row>
    <row r="258">
      <c r="A258" s="2" t="n"/>
      <c r="B258" s="2" t="n"/>
      <c r="C258" s="2" t="n"/>
      <c r="D258" s="2" t="n"/>
      <c r="E258" s="2" t="n"/>
      <c r="F258" s="2" t="n"/>
      <c r="G258" s="2" t="n"/>
      <c r="H258" s="2" t="n"/>
      <c r="I258" s="2" t="n"/>
      <c r="J258" s="2" t="n"/>
      <c r="K258" s="2">
        <f>IF(COUNTA(G258:J258)&lt;4,"",ROUND(AVERAGE(G258:J258),1))</f>
        <v/>
      </c>
      <c r="L258" s="2" t="n"/>
      <c r="M258" s="2" t="n"/>
      <c r="N258" s="2" t="n"/>
      <c r="O258" s="2" t="n"/>
    </row>
    <row r="259">
      <c r="A259" s="2" t="n"/>
      <c r="B259" s="2" t="n"/>
      <c r="C259" s="2" t="n"/>
      <c r="D259" s="2" t="n"/>
      <c r="E259" s="2" t="n"/>
      <c r="F259" s="2" t="n"/>
      <c r="G259" s="2" t="n"/>
      <c r="H259" s="2" t="n"/>
      <c r="I259" s="2" t="n"/>
      <c r="J259" s="2" t="n"/>
      <c r="K259" s="2">
        <f>IF(COUNTA(G259:J259)&lt;4,"",ROUND(AVERAGE(G259:J259),1))</f>
        <v/>
      </c>
      <c r="L259" s="2" t="n"/>
      <c r="M259" s="2" t="n"/>
      <c r="N259" s="2" t="n"/>
      <c r="O259" s="2" t="n"/>
    </row>
    <row r="260">
      <c r="A260" s="2" t="n"/>
      <c r="B260" s="2" t="n"/>
      <c r="C260" s="2" t="n"/>
      <c r="D260" s="2" t="n"/>
      <c r="E260" s="2" t="n"/>
      <c r="F260" s="2" t="n"/>
      <c r="G260" s="2" t="n"/>
      <c r="H260" s="2" t="n"/>
      <c r="I260" s="2" t="n"/>
      <c r="J260" s="2" t="n"/>
      <c r="K260" s="2">
        <f>IF(COUNTA(G260:J260)&lt;4,"",ROUND(AVERAGE(G260:J260),1))</f>
        <v/>
      </c>
      <c r="L260" s="2" t="n"/>
      <c r="M260" s="2" t="n"/>
      <c r="N260" s="2" t="n"/>
      <c r="O260" s="2" t="n"/>
    </row>
    <row r="261">
      <c r="A261" s="2" t="n"/>
      <c r="B261" s="2" t="n"/>
      <c r="C261" s="2" t="n"/>
      <c r="D261" s="2" t="n"/>
      <c r="E261" s="2" t="n"/>
      <c r="F261" s="2" t="n"/>
      <c r="G261" s="2" t="n"/>
      <c r="H261" s="2" t="n"/>
      <c r="I261" s="2" t="n"/>
      <c r="J261" s="2" t="n"/>
      <c r="K261" s="2">
        <f>IF(COUNTA(G261:J261)&lt;4,"",ROUND(AVERAGE(G261:J261),1))</f>
        <v/>
      </c>
      <c r="L261" s="2" t="n"/>
      <c r="M261" s="2" t="n"/>
      <c r="N261" s="2" t="n"/>
      <c r="O261" s="2" t="n"/>
    </row>
    <row r="262">
      <c r="A262" s="2" t="n"/>
      <c r="B262" s="2" t="n"/>
      <c r="C262" s="2" t="n"/>
      <c r="D262" s="2" t="n"/>
      <c r="E262" s="2" t="n"/>
      <c r="F262" s="2" t="n"/>
      <c r="G262" s="2" t="n"/>
      <c r="H262" s="2" t="n"/>
      <c r="I262" s="2" t="n"/>
      <c r="J262" s="2" t="n"/>
      <c r="K262" s="2">
        <f>IF(COUNTA(G262:J262)&lt;4,"",ROUND(AVERAGE(G262:J262),1))</f>
        <v/>
      </c>
      <c r="L262" s="2" t="n"/>
      <c r="M262" s="2" t="n"/>
      <c r="N262" s="2" t="n"/>
      <c r="O262" s="2" t="n"/>
    </row>
    <row r="263">
      <c r="A263" s="2" t="n"/>
      <c r="B263" s="2" t="n"/>
      <c r="C263" s="2" t="n"/>
      <c r="D263" s="2" t="n"/>
      <c r="E263" s="2" t="n"/>
      <c r="F263" s="2" t="n"/>
      <c r="G263" s="2" t="n"/>
      <c r="H263" s="2" t="n"/>
      <c r="I263" s="2" t="n"/>
      <c r="J263" s="2" t="n"/>
      <c r="K263" s="2">
        <f>IF(COUNTA(G263:J263)&lt;4,"",ROUND(AVERAGE(G263:J263),1))</f>
        <v/>
      </c>
      <c r="L263" s="2" t="n"/>
      <c r="M263" s="2" t="n"/>
      <c r="N263" s="2" t="n"/>
      <c r="O263" s="2" t="n"/>
    </row>
    <row r="264">
      <c r="A264" s="2" t="n"/>
      <c r="B264" s="2" t="n"/>
      <c r="C264" s="2" t="n"/>
      <c r="D264" s="2" t="n"/>
      <c r="E264" s="2" t="n"/>
      <c r="F264" s="2" t="n"/>
      <c r="G264" s="2" t="n"/>
      <c r="H264" s="2" t="n"/>
      <c r="I264" s="2" t="n"/>
      <c r="J264" s="2" t="n"/>
      <c r="K264" s="2">
        <f>IF(COUNTA(G264:J264)&lt;4,"",ROUND(AVERAGE(G264:J264),1))</f>
        <v/>
      </c>
      <c r="L264" s="2" t="n"/>
      <c r="M264" s="2" t="n"/>
      <c r="N264" s="2" t="n"/>
      <c r="O264" s="2" t="n"/>
    </row>
    <row r="265">
      <c r="A265" s="2" t="n"/>
      <c r="B265" s="2" t="n"/>
      <c r="C265" s="2" t="n"/>
      <c r="D265" s="2" t="n"/>
      <c r="E265" s="2" t="n"/>
      <c r="F265" s="2" t="n"/>
      <c r="G265" s="2" t="n"/>
      <c r="H265" s="2" t="n"/>
      <c r="I265" s="2" t="n"/>
      <c r="J265" s="2" t="n"/>
      <c r="K265" s="2">
        <f>IF(COUNTA(G265:J265)&lt;4,"",ROUND(AVERAGE(G265:J265),1))</f>
        <v/>
      </c>
      <c r="L265" s="2" t="n"/>
      <c r="M265" s="2" t="n"/>
      <c r="N265" s="2" t="n"/>
      <c r="O265" s="2" t="n"/>
    </row>
    <row r="266">
      <c r="A266" s="2" t="n"/>
      <c r="B266" s="2" t="n"/>
      <c r="C266" s="2" t="n"/>
      <c r="D266" s="2" t="n"/>
      <c r="E266" s="2" t="n"/>
      <c r="F266" s="2" t="n"/>
      <c r="G266" s="2" t="n"/>
      <c r="H266" s="2" t="n"/>
      <c r="I266" s="2" t="n"/>
      <c r="J266" s="2" t="n"/>
      <c r="K266" s="2">
        <f>IF(COUNTA(G266:J266)&lt;4,"",ROUND(AVERAGE(G266:J266),1))</f>
        <v/>
      </c>
      <c r="L266" s="2" t="n"/>
      <c r="M266" s="2" t="n"/>
      <c r="N266" s="2" t="n"/>
      <c r="O266" s="2" t="n"/>
    </row>
    <row r="267">
      <c r="A267" s="2" t="n"/>
      <c r="B267" s="2" t="n"/>
      <c r="C267" s="2" t="n"/>
      <c r="D267" s="2" t="n"/>
      <c r="E267" s="2" t="n"/>
      <c r="F267" s="2" t="n"/>
      <c r="G267" s="2" t="n"/>
      <c r="H267" s="2" t="n"/>
      <c r="I267" s="2" t="n"/>
      <c r="J267" s="2" t="n"/>
      <c r="K267" s="2">
        <f>IF(COUNTA(G267:J267)&lt;4,"",ROUND(AVERAGE(G267:J267),1))</f>
        <v/>
      </c>
      <c r="L267" s="2" t="n"/>
      <c r="M267" s="2" t="n"/>
      <c r="N267" s="2" t="n"/>
      <c r="O267" s="2" t="n"/>
    </row>
    <row r="268">
      <c r="A268" s="2" t="n"/>
      <c r="B268" s="2" t="n"/>
      <c r="C268" s="2" t="n"/>
      <c r="D268" s="2" t="n"/>
      <c r="E268" s="2" t="n"/>
      <c r="F268" s="2" t="n"/>
      <c r="G268" s="2" t="n"/>
      <c r="H268" s="2" t="n"/>
      <c r="I268" s="2" t="n"/>
      <c r="J268" s="2" t="n"/>
      <c r="K268" s="2">
        <f>IF(COUNTA(G268:J268)&lt;4,"",ROUND(AVERAGE(G268:J268),1))</f>
        <v/>
      </c>
      <c r="L268" s="2" t="n"/>
      <c r="M268" s="2" t="n"/>
      <c r="N268" s="2" t="n"/>
      <c r="O268" s="2" t="n"/>
    </row>
    <row r="269">
      <c r="A269" s="2" t="n"/>
      <c r="B269" s="2" t="n"/>
      <c r="C269" s="2" t="n"/>
      <c r="D269" s="2" t="n"/>
      <c r="E269" s="2" t="n"/>
      <c r="F269" s="2" t="n"/>
      <c r="G269" s="2" t="n"/>
      <c r="H269" s="2" t="n"/>
      <c r="I269" s="2" t="n"/>
      <c r="J269" s="2" t="n"/>
      <c r="K269" s="2">
        <f>IF(COUNTA(G269:J269)&lt;4,"",ROUND(AVERAGE(G269:J269),1))</f>
        <v/>
      </c>
      <c r="L269" s="2" t="n"/>
      <c r="M269" s="2" t="n"/>
      <c r="N269" s="2" t="n"/>
      <c r="O269" s="2" t="n"/>
    </row>
    <row r="270">
      <c r="A270" s="2" t="n"/>
      <c r="B270" s="2" t="n"/>
      <c r="C270" s="2" t="n"/>
      <c r="D270" s="2" t="n"/>
      <c r="E270" s="2" t="n"/>
      <c r="F270" s="2" t="n"/>
      <c r="G270" s="2" t="n"/>
      <c r="H270" s="2" t="n"/>
      <c r="I270" s="2" t="n"/>
      <c r="J270" s="2" t="n"/>
      <c r="K270" s="2">
        <f>IF(COUNTA(G270:J270)&lt;4,"",ROUND(AVERAGE(G270:J270),1))</f>
        <v/>
      </c>
      <c r="L270" s="2" t="n"/>
      <c r="M270" s="2" t="n"/>
      <c r="N270" s="2" t="n"/>
      <c r="O270" s="2" t="n"/>
    </row>
    <row r="271">
      <c r="A271" s="2" t="n"/>
      <c r="B271" s="2" t="n"/>
      <c r="C271" s="2" t="n"/>
      <c r="D271" s="2" t="n"/>
      <c r="E271" s="2" t="n"/>
      <c r="F271" s="2" t="n"/>
      <c r="G271" s="2" t="n"/>
      <c r="H271" s="2" t="n"/>
      <c r="I271" s="2" t="n"/>
      <c r="J271" s="2" t="n"/>
      <c r="K271" s="2">
        <f>IF(COUNTA(G271:J271)&lt;4,"",ROUND(AVERAGE(G271:J271),1))</f>
        <v/>
      </c>
      <c r="L271" s="2" t="n"/>
      <c r="M271" s="2" t="n"/>
      <c r="N271" s="2" t="n"/>
      <c r="O271" s="2" t="n"/>
    </row>
    <row r="272">
      <c r="A272" s="2" t="n"/>
      <c r="B272" s="2" t="n"/>
      <c r="C272" s="2" t="n"/>
      <c r="D272" s="2" t="n"/>
      <c r="E272" s="2" t="n"/>
      <c r="F272" s="2" t="n"/>
      <c r="G272" s="2" t="n"/>
      <c r="H272" s="2" t="n"/>
      <c r="I272" s="2" t="n"/>
      <c r="J272" s="2" t="n"/>
      <c r="K272" s="2">
        <f>IF(COUNTA(G272:J272)&lt;4,"",ROUND(AVERAGE(G272:J272),1))</f>
        <v/>
      </c>
      <c r="L272" s="2" t="n"/>
      <c r="M272" s="2" t="n"/>
      <c r="N272" s="2" t="n"/>
      <c r="O272" s="2" t="n"/>
    </row>
    <row r="273">
      <c r="A273" s="2" t="n"/>
      <c r="B273" s="2" t="n"/>
      <c r="C273" s="2" t="n"/>
      <c r="D273" s="2" t="n"/>
      <c r="E273" s="2" t="n"/>
      <c r="F273" s="2" t="n"/>
      <c r="G273" s="2" t="n"/>
      <c r="H273" s="2" t="n"/>
      <c r="I273" s="2" t="n"/>
      <c r="J273" s="2" t="n"/>
      <c r="K273" s="2">
        <f>IF(COUNTA(G273:J273)&lt;4,"",ROUND(AVERAGE(G273:J273),1))</f>
        <v/>
      </c>
      <c r="L273" s="2" t="n"/>
      <c r="M273" s="2" t="n"/>
      <c r="N273" s="2" t="n"/>
      <c r="O273" s="2" t="n"/>
    </row>
    <row r="274">
      <c r="A274" s="2" t="n"/>
      <c r="B274" s="2" t="n"/>
      <c r="C274" s="2" t="n"/>
      <c r="D274" s="2" t="n"/>
      <c r="E274" s="2" t="n"/>
      <c r="F274" s="2" t="n"/>
      <c r="G274" s="2" t="n"/>
      <c r="H274" s="2" t="n"/>
      <c r="I274" s="2" t="n"/>
      <c r="J274" s="2" t="n"/>
      <c r="K274" s="2">
        <f>IF(COUNTA(G274:J274)&lt;4,"",ROUND(AVERAGE(G274:J274),1))</f>
        <v/>
      </c>
      <c r="L274" s="2" t="n"/>
      <c r="M274" s="2" t="n"/>
      <c r="N274" s="2" t="n"/>
      <c r="O274" s="2" t="n"/>
    </row>
    <row r="275">
      <c r="A275" s="2" t="n"/>
      <c r="B275" s="2" t="n"/>
      <c r="C275" s="2" t="n"/>
      <c r="D275" s="2" t="n"/>
      <c r="E275" s="2" t="n"/>
      <c r="F275" s="2" t="n"/>
      <c r="G275" s="2" t="n"/>
      <c r="H275" s="2" t="n"/>
      <c r="I275" s="2" t="n"/>
      <c r="J275" s="2" t="n"/>
      <c r="K275" s="2">
        <f>IF(COUNTA(G275:J275)&lt;4,"",ROUND(AVERAGE(G275:J275),1))</f>
        <v/>
      </c>
      <c r="L275" s="2" t="n"/>
      <c r="M275" s="2" t="n"/>
      <c r="N275" s="2" t="n"/>
      <c r="O275" s="2" t="n"/>
    </row>
    <row r="276">
      <c r="A276" s="2" t="n"/>
      <c r="B276" s="2" t="n"/>
      <c r="C276" s="2" t="n"/>
      <c r="D276" s="2" t="n"/>
      <c r="E276" s="2" t="n"/>
      <c r="F276" s="2" t="n"/>
      <c r="G276" s="2" t="n"/>
      <c r="H276" s="2" t="n"/>
      <c r="I276" s="2" t="n"/>
      <c r="J276" s="2" t="n"/>
      <c r="K276" s="2">
        <f>IF(COUNTA(G276:J276)&lt;4,"",ROUND(AVERAGE(G276:J276),1))</f>
        <v/>
      </c>
      <c r="L276" s="2" t="n"/>
      <c r="M276" s="2" t="n"/>
      <c r="N276" s="2" t="n"/>
      <c r="O276" s="2" t="n"/>
    </row>
    <row r="277">
      <c r="A277" s="2" t="n"/>
      <c r="B277" s="2" t="n"/>
      <c r="C277" s="2" t="n"/>
      <c r="D277" s="2" t="n"/>
      <c r="E277" s="2" t="n"/>
      <c r="F277" s="2" t="n"/>
      <c r="G277" s="2" t="n"/>
      <c r="H277" s="2" t="n"/>
      <c r="I277" s="2" t="n"/>
      <c r="J277" s="2" t="n"/>
      <c r="K277" s="2">
        <f>IF(COUNTA(G277:J277)&lt;4,"",ROUND(AVERAGE(G277:J277),1))</f>
        <v/>
      </c>
      <c r="L277" s="2" t="n"/>
      <c r="M277" s="2" t="n"/>
      <c r="N277" s="2" t="n"/>
      <c r="O277" s="2" t="n"/>
    </row>
    <row r="278">
      <c r="A278" s="2" t="n"/>
      <c r="B278" s="2" t="n"/>
      <c r="C278" s="2" t="n"/>
      <c r="D278" s="2" t="n"/>
      <c r="E278" s="2" t="n"/>
      <c r="F278" s="2" t="n"/>
      <c r="G278" s="2" t="n"/>
      <c r="H278" s="2" t="n"/>
      <c r="I278" s="2" t="n"/>
      <c r="J278" s="2" t="n"/>
      <c r="K278" s="2">
        <f>IF(COUNTA(G278:J278)&lt;4,"",ROUND(AVERAGE(G278:J278),1))</f>
        <v/>
      </c>
      <c r="L278" s="2" t="n"/>
      <c r="M278" s="2" t="n"/>
      <c r="N278" s="2" t="n"/>
      <c r="O278" s="2" t="n"/>
    </row>
    <row r="279">
      <c r="A279" s="2" t="n"/>
      <c r="B279" s="2" t="n"/>
      <c r="C279" s="2" t="n"/>
      <c r="D279" s="2" t="n"/>
      <c r="E279" s="2" t="n"/>
      <c r="F279" s="2" t="n"/>
      <c r="G279" s="2" t="n"/>
      <c r="H279" s="2" t="n"/>
      <c r="I279" s="2" t="n"/>
      <c r="J279" s="2" t="n"/>
      <c r="K279" s="2">
        <f>IF(COUNTA(G279:J279)&lt;4,"",ROUND(AVERAGE(G279:J279),1))</f>
        <v/>
      </c>
      <c r="L279" s="2" t="n"/>
      <c r="M279" s="2" t="n"/>
      <c r="N279" s="2" t="n"/>
      <c r="O279" s="2" t="n"/>
    </row>
    <row r="280">
      <c r="A280" s="2" t="n"/>
      <c r="B280" s="2" t="n"/>
      <c r="C280" s="2" t="n"/>
      <c r="D280" s="2" t="n"/>
      <c r="E280" s="2" t="n"/>
      <c r="F280" s="2" t="n"/>
      <c r="G280" s="2" t="n"/>
      <c r="H280" s="2" t="n"/>
      <c r="I280" s="2" t="n"/>
      <c r="J280" s="2" t="n"/>
      <c r="K280" s="2">
        <f>IF(COUNTA(G280:J280)&lt;4,"",ROUND(AVERAGE(G280:J280),1))</f>
        <v/>
      </c>
      <c r="L280" s="2" t="n"/>
      <c r="M280" s="2" t="n"/>
      <c r="N280" s="2" t="n"/>
      <c r="O280" s="2" t="n"/>
    </row>
    <row r="281">
      <c r="A281" s="2" t="n"/>
      <c r="B281" s="2" t="n"/>
      <c r="C281" s="2" t="n"/>
      <c r="D281" s="2" t="n"/>
      <c r="E281" s="2" t="n"/>
      <c r="F281" s="2" t="n"/>
      <c r="G281" s="2" t="n"/>
      <c r="H281" s="2" t="n"/>
      <c r="I281" s="2" t="n"/>
      <c r="J281" s="2" t="n"/>
      <c r="K281" s="2">
        <f>IF(COUNTA(G281:J281)&lt;4,"",ROUND(AVERAGE(G281:J281),1))</f>
        <v/>
      </c>
      <c r="L281" s="2" t="n"/>
      <c r="M281" s="2" t="n"/>
      <c r="N281" s="2" t="n"/>
      <c r="O281" s="2" t="n"/>
    </row>
    <row r="282">
      <c r="A282" s="2" t="n"/>
      <c r="B282" s="2" t="n"/>
      <c r="C282" s="2" t="n"/>
      <c r="D282" s="2" t="n"/>
      <c r="E282" s="2" t="n"/>
      <c r="F282" s="2" t="n"/>
      <c r="G282" s="2" t="n"/>
      <c r="H282" s="2" t="n"/>
      <c r="I282" s="2" t="n"/>
      <c r="J282" s="2" t="n"/>
      <c r="K282" s="2">
        <f>IF(COUNTA(G282:J282)&lt;4,"",ROUND(AVERAGE(G282:J282),1))</f>
        <v/>
      </c>
      <c r="L282" s="2" t="n"/>
      <c r="M282" s="2" t="n"/>
      <c r="N282" s="2" t="n"/>
      <c r="O282" s="2" t="n"/>
    </row>
    <row r="283">
      <c r="A283" s="2" t="n"/>
      <c r="B283" s="2" t="n"/>
      <c r="C283" s="2" t="n"/>
      <c r="D283" s="2" t="n"/>
      <c r="E283" s="2" t="n"/>
      <c r="F283" s="2" t="n"/>
      <c r="G283" s="2" t="n"/>
      <c r="H283" s="2" t="n"/>
      <c r="I283" s="2" t="n"/>
      <c r="J283" s="2" t="n"/>
      <c r="K283" s="2">
        <f>IF(COUNTA(G283:J283)&lt;4,"",ROUND(AVERAGE(G283:J283),1))</f>
        <v/>
      </c>
      <c r="L283" s="2" t="n"/>
      <c r="M283" s="2" t="n"/>
      <c r="N283" s="2" t="n"/>
      <c r="O283" s="2" t="n"/>
    </row>
    <row r="284">
      <c r="A284" s="2" t="n"/>
      <c r="B284" s="2" t="n"/>
      <c r="C284" s="2" t="n"/>
      <c r="D284" s="2" t="n"/>
      <c r="E284" s="2" t="n"/>
      <c r="F284" s="2" t="n"/>
      <c r="G284" s="2" t="n"/>
      <c r="H284" s="2" t="n"/>
      <c r="I284" s="2" t="n"/>
      <c r="J284" s="2" t="n"/>
      <c r="K284" s="2">
        <f>IF(COUNTA(G284:J284)&lt;4,"",ROUND(AVERAGE(G284:J284),1))</f>
        <v/>
      </c>
      <c r="L284" s="2" t="n"/>
      <c r="M284" s="2" t="n"/>
      <c r="N284" s="2" t="n"/>
      <c r="O284" s="2" t="n"/>
    </row>
    <row r="285">
      <c r="A285" s="2" t="n"/>
      <c r="B285" s="2" t="n"/>
      <c r="C285" s="2" t="n"/>
      <c r="D285" s="2" t="n"/>
      <c r="E285" s="2" t="n"/>
      <c r="F285" s="2" t="n"/>
      <c r="G285" s="2" t="n"/>
      <c r="H285" s="2" t="n"/>
      <c r="I285" s="2" t="n"/>
      <c r="J285" s="2" t="n"/>
      <c r="K285" s="2">
        <f>IF(COUNTA(G285:J285)&lt;4,"",ROUND(AVERAGE(G285:J285),1))</f>
        <v/>
      </c>
      <c r="L285" s="2" t="n"/>
      <c r="M285" s="2" t="n"/>
      <c r="N285" s="2" t="n"/>
      <c r="O285" s="2" t="n"/>
    </row>
    <row r="286">
      <c r="A286" s="2" t="n"/>
      <c r="B286" s="2" t="n"/>
      <c r="C286" s="2" t="n"/>
      <c r="D286" s="2" t="n"/>
      <c r="E286" s="2" t="n"/>
      <c r="F286" s="2" t="n"/>
      <c r="G286" s="2" t="n"/>
      <c r="H286" s="2" t="n"/>
      <c r="I286" s="2" t="n"/>
      <c r="J286" s="2" t="n"/>
      <c r="K286" s="2">
        <f>IF(COUNTA(G286:J286)&lt;4,"",ROUND(AVERAGE(G286:J286),1))</f>
        <v/>
      </c>
      <c r="L286" s="2" t="n"/>
      <c r="M286" s="2" t="n"/>
      <c r="N286" s="2" t="n"/>
      <c r="O286" s="2" t="n"/>
    </row>
    <row r="287">
      <c r="A287" s="2" t="n"/>
      <c r="B287" s="2" t="n"/>
      <c r="C287" s="2" t="n"/>
      <c r="D287" s="2" t="n"/>
      <c r="E287" s="2" t="n"/>
      <c r="F287" s="2" t="n"/>
      <c r="G287" s="2" t="n"/>
      <c r="H287" s="2" t="n"/>
      <c r="I287" s="2" t="n"/>
      <c r="J287" s="2" t="n"/>
      <c r="K287" s="2">
        <f>IF(COUNTA(G287:J287)&lt;4,"",ROUND(AVERAGE(G287:J287),1))</f>
        <v/>
      </c>
      <c r="L287" s="2" t="n"/>
      <c r="M287" s="2" t="n"/>
      <c r="N287" s="2" t="n"/>
      <c r="O287" s="2" t="n"/>
    </row>
    <row r="288">
      <c r="A288" s="2" t="n"/>
      <c r="B288" s="2" t="n"/>
      <c r="C288" s="2" t="n"/>
      <c r="D288" s="2" t="n"/>
      <c r="E288" s="2" t="n"/>
      <c r="F288" s="2" t="n"/>
      <c r="G288" s="2" t="n"/>
      <c r="H288" s="2" t="n"/>
      <c r="I288" s="2" t="n"/>
      <c r="J288" s="2" t="n"/>
      <c r="K288" s="2">
        <f>IF(COUNTA(G288:J288)&lt;4,"",ROUND(AVERAGE(G288:J288),1))</f>
        <v/>
      </c>
      <c r="L288" s="2" t="n"/>
      <c r="M288" s="2" t="n"/>
      <c r="N288" s="2" t="n"/>
      <c r="O288" s="2" t="n"/>
    </row>
    <row r="289">
      <c r="A289" s="2" t="n"/>
      <c r="B289" s="2" t="n"/>
      <c r="C289" s="2" t="n"/>
      <c r="D289" s="2" t="n"/>
      <c r="E289" s="2" t="n"/>
      <c r="F289" s="2" t="n"/>
      <c r="G289" s="2" t="n"/>
      <c r="H289" s="2" t="n"/>
      <c r="I289" s="2" t="n"/>
      <c r="J289" s="2" t="n"/>
      <c r="K289" s="2">
        <f>IF(COUNTA(G289:J289)&lt;4,"",ROUND(AVERAGE(G289:J289),1))</f>
        <v/>
      </c>
      <c r="L289" s="2" t="n"/>
      <c r="M289" s="2" t="n"/>
      <c r="N289" s="2" t="n"/>
      <c r="O289" s="2" t="n"/>
    </row>
    <row r="290">
      <c r="A290" s="2" t="n"/>
      <c r="B290" s="2" t="n"/>
      <c r="C290" s="2" t="n"/>
      <c r="D290" s="2" t="n"/>
      <c r="E290" s="2" t="n"/>
      <c r="F290" s="2" t="n"/>
      <c r="G290" s="2" t="n"/>
      <c r="H290" s="2" t="n"/>
      <c r="I290" s="2" t="n"/>
      <c r="J290" s="2" t="n"/>
      <c r="K290" s="2">
        <f>IF(COUNTA(G290:J290)&lt;4,"",ROUND(AVERAGE(G290:J290),1))</f>
        <v/>
      </c>
      <c r="L290" s="2" t="n"/>
      <c r="M290" s="2" t="n"/>
      <c r="N290" s="2" t="n"/>
      <c r="O290" s="2" t="n"/>
    </row>
    <row r="291">
      <c r="A291" s="2" t="n"/>
      <c r="B291" s="2" t="n"/>
      <c r="C291" s="2" t="n"/>
      <c r="D291" s="2" t="n"/>
      <c r="E291" s="2" t="n"/>
      <c r="F291" s="2" t="n"/>
      <c r="G291" s="2" t="n"/>
      <c r="H291" s="2" t="n"/>
      <c r="I291" s="2" t="n"/>
      <c r="J291" s="2" t="n"/>
      <c r="K291" s="2">
        <f>IF(COUNTA(G291:J291)&lt;4,"",ROUND(AVERAGE(G291:J291),1))</f>
        <v/>
      </c>
      <c r="L291" s="2" t="n"/>
      <c r="M291" s="2" t="n"/>
      <c r="N291" s="2" t="n"/>
      <c r="O291" s="2" t="n"/>
    </row>
    <row r="292">
      <c r="A292" s="2" t="n"/>
      <c r="B292" s="2" t="n"/>
      <c r="C292" s="2" t="n"/>
      <c r="D292" s="2" t="n"/>
      <c r="E292" s="2" t="n"/>
      <c r="F292" s="2" t="n"/>
      <c r="G292" s="2" t="n"/>
      <c r="H292" s="2" t="n"/>
      <c r="I292" s="2" t="n"/>
      <c r="J292" s="2" t="n"/>
      <c r="K292" s="2">
        <f>IF(COUNTA(G292:J292)&lt;4,"",ROUND(AVERAGE(G292:J292),1))</f>
        <v/>
      </c>
      <c r="L292" s="2" t="n"/>
      <c r="M292" s="2" t="n"/>
      <c r="N292" s="2" t="n"/>
      <c r="O292" s="2" t="n"/>
    </row>
    <row r="293">
      <c r="A293" s="2" t="n"/>
      <c r="B293" s="2" t="n"/>
      <c r="C293" s="2" t="n"/>
      <c r="D293" s="2" t="n"/>
      <c r="E293" s="2" t="n"/>
      <c r="F293" s="2" t="n"/>
      <c r="G293" s="2" t="n"/>
      <c r="H293" s="2" t="n"/>
      <c r="I293" s="2" t="n"/>
      <c r="J293" s="2" t="n"/>
      <c r="K293" s="2">
        <f>IF(COUNTA(G293:J293)&lt;4,"",ROUND(AVERAGE(G293:J293),1))</f>
        <v/>
      </c>
      <c r="L293" s="2" t="n"/>
      <c r="M293" s="2" t="n"/>
      <c r="N293" s="2" t="n"/>
      <c r="O293" s="2" t="n"/>
    </row>
    <row r="294">
      <c r="A294" s="2" t="n"/>
      <c r="B294" s="2" t="n"/>
      <c r="C294" s="2" t="n"/>
      <c r="D294" s="2" t="n"/>
      <c r="E294" s="2" t="n"/>
      <c r="F294" s="2" t="n"/>
      <c r="G294" s="2" t="n"/>
      <c r="H294" s="2" t="n"/>
      <c r="I294" s="2" t="n"/>
      <c r="J294" s="2" t="n"/>
      <c r="K294" s="2">
        <f>IF(COUNTA(G294:J294)&lt;4,"",ROUND(AVERAGE(G294:J294),1))</f>
        <v/>
      </c>
      <c r="L294" s="2" t="n"/>
      <c r="M294" s="2" t="n"/>
      <c r="N294" s="2" t="n"/>
      <c r="O294" s="2" t="n"/>
    </row>
    <row r="295">
      <c r="A295" s="2" t="n"/>
      <c r="B295" s="2" t="n"/>
      <c r="C295" s="2" t="n"/>
      <c r="D295" s="2" t="n"/>
      <c r="E295" s="2" t="n"/>
      <c r="F295" s="2" t="n"/>
      <c r="G295" s="2" t="n"/>
      <c r="H295" s="2" t="n"/>
      <c r="I295" s="2" t="n"/>
      <c r="J295" s="2" t="n"/>
      <c r="K295" s="2">
        <f>IF(COUNTA(G295:J295)&lt;4,"",ROUND(AVERAGE(G295:J295),1))</f>
        <v/>
      </c>
      <c r="L295" s="2" t="n"/>
      <c r="M295" s="2" t="n"/>
      <c r="N295" s="2" t="n"/>
      <c r="O295" s="2" t="n"/>
    </row>
    <row r="296">
      <c r="A296" s="2" t="n"/>
      <c r="B296" s="2" t="n"/>
      <c r="C296" s="2" t="n"/>
      <c r="D296" s="2" t="n"/>
      <c r="E296" s="2" t="n"/>
      <c r="F296" s="2" t="n"/>
      <c r="G296" s="2" t="n"/>
      <c r="H296" s="2" t="n"/>
      <c r="I296" s="2" t="n"/>
      <c r="J296" s="2" t="n"/>
      <c r="K296" s="2">
        <f>IF(COUNTA(G296:J296)&lt;4,"",ROUND(AVERAGE(G296:J296),1))</f>
        <v/>
      </c>
      <c r="L296" s="2" t="n"/>
      <c r="M296" s="2" t="n"/>
      <c r="N296" s="2" t="n"/>
      <c r="O296" s="2" t="n"/>
    </row>
    <row r="297">
      <c r="A297" s="2" t="n"/>
      <c r="B297" s="2" t="n"/>
      <c r="C297" s="2" t="n"/>
      <c r="D297" s="2" t="n"/>
      <c r="E297" s="2" t="n"/>
      <c r="F297" s="2" t="n"/>
      <c r="G297" s="2" t="n"/>
      <c r="H297" s="2" t="n"/>
      <c r="I297" s="2" t="n"/>
      <c r="J297" s="2" t="n"/>
      <c r="K297" s="2">
        <f>IF(COUNTA(G297:J297)&lt;4,"",ROUND(AVERAGE(G297:J297),1))</f>
        <v/>
      </c>
      <c r="L297" s="2" t="n"/>
      <c r="M297" s="2" t="n"/>
      <c r="N297" s="2" t="n"/>
      <c r="O297" s="2" t="n"/>
    </row>
    <row r="298">
      <c r="A298" s="2" t="n"/>
      <c r="B298" s="2" t="n"/>
      <c r="C298" s="2" t="n"/>
      <c r="D298" s="2" t="n"/>
      <c r="E298" s="2" t="n"/>
      <c r="F298" s="2" t="n"/>
      <c r="G298" s="2" t="n"/>
      <c r="H298" s="2" t="n"/>
      <c r="I298" s="2" t="n"/>
      <c r="J298" s="2" t="n"/>
      <c r="K298" s="2">
        <f>IF(COUNTA(G298:J298)&lt;4,"",ROUND(AVERAGE(G298:J298),1))</f>
        <v/>
      </c>
      <c r="L298" s="2" t="n"/>
      <c r="M298" s="2" t="n"/>
      <c r="N298" s="2" t="n"/>
      <c r="O298" s="2" t="n"/>
    </row>
    <row r="299">
      <c r="A299" s="2" t="n"/>
      <c r="B299" s="2" t="n"/>
      <c r="C299" s="2" t="n"/>
      <c r="D299" s="2" t="n"/>
      <c r="E299" s="2" t="n"/>
      <c r="F299" s="2" t="n"/>
      <c r="G299" s="2" t="n"/>
      <c r="H299" s="2" t="n"/>
      <c r="I299" s="2" t="n"/>
      <c r="J299" s="2" t="n"/>
      <c r="K299" s="2">
        <f>IF(COUNTA(G299:J299)&lt;4,"",ROUND(AVERAGE(G299:J299),1))</f>
        <v/>
      </c>
      <c r="L299" s="2" t="n"/>
      <c r="M299" s="2" t="n"/>
      <c r="N299" s="2" t="n"/>
      <c r="O299" s="2" t="n"/>
    </row>
    <row r="300">
      <c r="A300" s="2" t="n"/>
      <c r="B300" s="2" t="n"/>
      <c r="C300" s="2" t="n"/>
      <c r="D300" s="2" t="n"/>
      <c r="E300" s="2" t="n"/>
      <c r="F300" s="2" t="n"/>
      <c r="G300" s="2" t="n"/>
      <c r="H300" s="2" t="n"/>
      <c r="I300" s="2" t="n"/>
      <c r="J300" s="2" t="n"/>
      <c r="K300" s="2">
        <f>IF(COUNTA(G300:J300)&lt;4,"",ROUND(AVERAGE(G300:J300),1))</f>
        <v/>
      </c>
      <c r="L300" s="2" t="n"/>
      <c r="M300" s="2" t="n"/>
      <c r="N300" s="2" t="n"/>
      <c r="O300" s="2" t="n"/>
    </row>
    <row r="301">
      <c r="A301" s="2" t="n"/>
      <c r="B301" s="2" t="n"/>
      <c r="C301" s="2" t="n"/>
      <c r="D301" s="2" t="n"/>
      <c r="E301" s="2" t="n"/>
      <c r="F301" s="2" t="n"/>
      <c r="G301" s="2" t="n"/>
      <c r="H301" s="2" t="n"/>
      <c r="I301" s="2" t="n"/>
      <c r="J301" s="2" t="n"/>
      <c r="K301" s="2">
        <f>IF(COUNTA(G301:J301)&lt;4,"",ROUND(AVERAGE(G301:J301),1))</f>
        <v/>
      </c>
      <c r="L301" s="2" t="n"/>
      <c r="M301" s="2" t="n"/>
      <c r="N301" s="2" t="n"/>
      <c r="O301" s="2" t="n"/>
    </row>
    <row r="302">
      <c r="A302" s="2" t="n"/>
      <c r="B302" s="2" t="n"/>
      <c r="C302" s="2" t="n"/>
      <c r="D302" s="2" t="n"/>
      <c r="E302" s="2" t="n"/>
      <c r="F302" s="2" t="n"/>
      <c r="G302" s="2" t="n"/>
      <c r="H302" s="2" t="n"/>
      <c r="I302" s="2" t="n"/>
      <c r="J302" s="2" t="n"/>
      <c r="K302" s="2">
        <f>IF(COUNTA(G302:J302)&lt;4,"",ROUND(AVERAGE(G302:J302),1))</f>
        <v/>
      </c>
      <c r="L302" s="2" t="n"/>
      <c r="M302" s="2" t="n"/>
      <c r="N302" s="2" t="n"/>
      <c r="O302" s="2" t="n"/>
    </row>
    <row r="303">
      <c r="A303" s="2" t="n"/>
      <c r="B303" s="2" t="n"/>
      <c r="C303" s="2" t="n"/>
      <c r="D303" s="2" t="n"/>
      <c r="E303" s="2" t="n"/>
      <c r="F303" s="2" t="n"/>
      <c r="G303" s="2" t="n"/>
      <c r="H303" s="2" t="n"/>
      <c r="I303" s="2" t="n"/>
      <c r="J303" s="2" t="n"/>
      <c r="K303" s="2">
        <f>IF(COUNTA(G303:J303)&lt;4,"",ROUND(AVERAGE(G303:J303),1))</f>
        <v/>
      </c>
      <c r="L303" s="2" t="n"/>
      <c r="M303" s="2" t="n"/>
      <c r="N303" s="2" t="n"/>
      <c r="O303" s="2" t="n"/>
    </row>
    <row r="304">
      <c r="A304" s="2" t="n"/>
      <c r="B304" s="2" t="n"/>
      <c r="C304" s="2" t="n"/>
      <c r="D304" s="2" t="n"/>
      <c r="E304" s="2" t="n"/>
      <c r="F304" s="2" t="n"/>
      <c r="G304" s="2" t="n"/>
      <c r="H304" s="2" t="n"/>
      <c r="I304" s="2" t="n"/>
      <c r="J304" s="2" t="n"/>
      <c r="K304" s="2">
        <f>IF(COUNTA(G304:J304)&lt;4,"",ROUND(AVERAGE(G304:J304),1))</f>
        <v/>
      </c>
      <c r="L304" s="2" t="n"/>
      <c r="M304" s="2" t="n"/>
      <c r="N304" s="2" t="n"/>
      <c r="O304" s="2" t="n"/>
    </row>
    <row r="305">
      <c r="A305" s="2" t="n"/>
      <c r="B305" s="2" t="n"/>
      <c r="C305" s="2" t="n"/>
      <c r="D305" s="2" t="n"/>
      <c r="E305" s="2" t="n"/>
      <c r="F305" s="2" t="n"/>
      <c r="G305" s="2" t="n"/>
      <c r="H305" s="2" t="n"/>
      <c r="I305" s="2" t="n"/>
      <c r="J305" s="2" t="n"/>
      <c r="K305" s="2">
        <f>IF(COUNTA(G305:J305)&lt;4,"",ROUND(AVERAGE(G305:J305),1))</f>
        <v/>
      </c>
      <c r="L305" s="2" t="n"/>
      <c r="M305" s="2" t="n"/>
      <c r="N305" s="2" t="n"/>
      <c r="O305" s="2" t="n"/>
    </row>
    <row r="306">
      <c r="A306" s="2" t="n"/>
      <c r="B306" s="2" t="n"/>
      <c r="C306" s="2" t="n"/>
      <c r="D306" s="2" t="n"/>
      <c r="E306" s="2" t="n"/>
      <c r="F306" s="2" t="n"/>
      <c r="G306" s="2" t="n"/>
      <c r="H306" s="2" t="n"/>
      <c r="I306" s="2" t="n"/>
      <c r="J306" s="2" t="n"/>
      <c r="K306" s="2">
        <f>IF(COUNTA(G306:J306)&lt;4,"",ROUND(AVERAGE(G306:J306),1))</f>
        <v/>
      </c>
      <c r="L306" s="2" t="n"/>
      <c r="M306" s="2" t="n"/>
      <c r="N306" s="2" t="n"/>
      <c r="O306" s="2" t="n"/>
    </row>
    <row r="307">
      <c r="A307" s="2" t="n"/>
      <c r="B307" s="2" t="n"/>
      <c r="C307" s="2" t="n"/>
      <c r="D307" s="2" t="n"/>
      <c r="E307" s="2" t="n"/>
      <c r="F307" s="2" t="n"/>
      <c r="G307" s="2" t="n"/>
      <c r="H307" s="2" t="n"/>
      <c r="I307" s="2" t="n"/>
      <c r="J307" s="2" t="n"/>
      <c r="K307" s="2">
        <f>IF(COUNTA(G307:J307)&lt;4,"",ROUND(AVERAGE(G307:J307),1))</f>
        <v/>
      </c>
      <c r="L307" s="2" t="n"/>
      <c r="M307" s="2" t="n"/>
      <c r="N307" s="2" t="n"/>
      <c r="O307" s="2" t="n"/>
    </row>
    <row r="308">
      <c r="A308" s="2" t="n"/>
      <c r="B308" s="2" t="n"/>
      <c r="C308" s="2" t="n"/>
      <c r="D308" s="2" t="n"/>
      <c r="E308" s="2" t="n"/>
      <c r="F308" s="2" t="n"/>
      <c r="G308" s="2" t="n"/>
      <c r="H308" s="2" t="n"/>
      <c r="I308" s="2" t="n"/>
      <c r="J308" s="2" t="n"/>
      <c r="K308" s="2">
        <f>IF(COUNTA(G308:J308)&lt;4,"",ROUND(AVERAGE(G308:J308),1))</f>
        <v/>
      </c>
      <c r="L308" s="2" t="n"/>
      <c r="M308" s="2" t="n"/>
      <c r="N308" s="2" t="n"/>
      <c r="O308" s="2" t="n"/>
    </row>
    <row r="309">
      <c r="A309" s="2" t="n"/>
      <c r="B309" s="2" t="n"/>
      <c r="C309" s="2" t="n"/>
      <c r="D309" s="2" t="n"/>
      <c r="E309" s="2" t="n"/>
      <c r="F309" s="2" t="n"/>
      <c r="G309" s="2" t="n"/>
      <c r="H309" s="2" t="n"/>
      <c r="I309" s="2" t="n"/>
      <c r="J309" s="2" t="n"/>
      <c r="K309" s="2">
        <f>IF(COUNTA(G309:J309)&lt;4,"",ROUND(AVERAGE(G309:J309),1))</f>
        <v/>
      </c>
      <c r="L309" s="2" t="n"/>
      <c r="M309" s="2" t="n"/>
      <c r="N309" s="2" t="n"/>
      <c r="O309" s="2" t="n"/>
    </row>
    <row r="310">
      <c r="A310" s="2" t="n"/>
      <c r="B310" s="2" t="n"/>
      <c r="C310" s="2" t="n"/>
      <c r="D310" s="2" t="n"/>
      <c r="E310" s="2" t="n"/>
      <c r="F310" s="2" t="n"/>
      <c r="G310" s="2" t="n"/>
      <c r="H310" s="2" t="n"/>
      <c r="I310" s="2" t="n"/>
      <c r="J310" s="2" t="n"/>
      <c r="K310" s="2">
        <f>IF(COUNTA(G310:J310)&lt;4,"",ROUND(AVERAGE(G310:J310),1))</f>
        <v/>
      </c>
      <c r="L310" s="2" t="n"/>
      <c r="M310" s="2" t="n"/>
      <c r="N310" s="2" t="n"/>
      <c r="O310" s="2" t="n"/>
    </row>
    <row r="311">
      <c r="A311" s="2" t="n"/>
      <c r="B311" s="2" t="n"/>
      <c r="C311" s="2" t="n"/>
      <c r="D311" s="2" t="n"/>
      <c r="E311" s="2" t="n"/>
      <c r="F311" s="2" t="n"/>
      <c r="G311" s="2" t="n"/>
      <c r="H311" s="2" t="n"/>
      <c r="I311" s="2" t="n"/>
      <c r="J311" s="2" t="n"/>
      <c r="K311" s="2">
        <f>IF(COUNTA(G311:J311)&lt;4,"",ROUND(AVERAGE(G311:J311),1))</f>
        <v/>
      </c>
      <c r="L311" s="2" t="n"/>
      <c r="M311" s="2" t="n"/>
      <c r="N311" s="2" t="n"/>
      <c r="O311" s="2" t="n"/>
    </row>
    <row r="312">
      <c r="A312" s="2" t="n"/>
      <c r="B312" s="2" t="n"/>
      <c r="C312" s="2" t="n"/>
      <c r="D312" s="2" t="n"/>
      <c r="E312" s="2" t="n"/>
      <c r="F312" s="2" t="n"/>
      <c r="G312" s="2" t="n"/>
      <c r="H312" s="2" t="n"/>
      <c r="I312" s="2" t="n"/>
      <c r="J312" s="2" t="n"/>
      <c r="K312" s="2">
        <f>IF(COUNTA(G312:J312)&lt;4,"",ROUND(AVERAGE(G312:J312),1))</f>
        <v/>
      </c>
      <c r="L312" s="2" t="n"/>
      <c r="M312" s="2" t="n"/>
      <c r="N312" s="2" t="n"/>
      <c r="O312" s="2" t="n"/>
    </row>
    <row r="313">
      <c r="A313" s="2" t="n"/>
      <c r="B313" s="2" t="n"/>
      <c r="C313" s="2" t="n"/>
      <c r="D313" s="2" t="n"/>
      <c r="E313" s="2" t="n"/>
      <c r="F313" s="2" t="n"/>
      <c r="G313" s="2" t="n"/>
      <c r="H313" s="2" t="n"/>
      <c r="I313" s="2" t="n"/>
      <c r="J313" s="2" t="n"/>
      <c r="K313" s="2">
        <f>IF(COUNTA(G313:J313)&lt;4,"",ROUND(AVERAGE(G313:J313),1))</f>
        <v/>
      </c>
      <c r="L313" s="2" t="n"/>
      <c r="M313" s="2" t="n"/>
      <c r="N313" s="2" t="n"/>
      <c r="O313" s="2" t="n"/>
    </row>
    <row r="314">
      <c r="A314" s="2" t="n"/>
      <c r="B314" s="2" t="n"/>
      <c r="C314" s="2" t="n"/>
      <c r="D314" s="2" t="n"/>
      <c r="E314" s="2" t="n"/>
      <c r="F314" s="2" t="n"/>
      <c r="G314" s="2" t="n"/>
      <c r="H314" s="2" t="n"/>
      <c r="I314" s="2" t="n"/>
      <c r="J314" s="2" t="n"/>
      <c r="K314" s="2">
        <f>IF(COUNTA(G314:J314)&lt;4,"",ROUND(AVERAGE(G314:J314),1))</f>
        <v/>
      </c>
      <c r="L314" s="2" t="n"/>
      <c r="M314" s="2" t="n"/>
      <c r="N314" s="2" t="n"/>
      <c r="O314" s="2" t="n"/>
    </row>
    <row r="315">
      <c r="A315" s="2" t="n"/>
      <c r="B315" s="2" t="n"/>
      <c r="C315" s="2" t="n"/>
      <c r="D315" s="2" t="n"/>
      <c r="E315" s="2" t="n"/>
      <c r="F315" s="2" t="n"/>
      <c r="G315" s="2" t="n"/>
      <c r="H315" s="2" t="n"/>
      <c r="I315" s="2" t="n"/>
      <c r="J315" s="2" t="n"/>
      <c r="K315" s="2">
        <f>IF(COUNTA(G315:J315)&lt;4,"",ROUND(AVERAGE(G315:J315),1))</f>
        <v/>
      </c>
      <c r="L315" s="2" t="n"/>
      <c r="M315" s="2" t="n"/>
      <c r="N315" s="2" t="n"/>
      <c r="O315" s="2" t="n"/>
    </row>
    <row r="316">
      <c r="A316" s="2" t="n"/>
      <c r="B316" s="2" t="n"/>
      <c r="C316" s="2" t="n"/>
      <c r="D316" s="2" t="n"/>
      <c r="E316" s="2" t="n"/>
      <c r="F316" s="2" t="n"/>
      <c r="G316" s="2" t="n"/>
      <c r="H316" s="2" t="n"/>
      <c r="I316" s="2" t="n"/>
      <c r="J316" s="2" t="n"/>
      <c r="K316" s="2">
        <f>IF(COUNTA(G316:J316)&lt;4,"",ROUND(AVERAGE(G316:J316),1))</f>
        <v/>
      </c>
      <c r="L316" s="2" t="n"/>
      <c r="M316" s="2" t="n"/>
      <c r="N316" s="2" t="n"/>
      <c r="O316" s="2" t="n"/>
    </row>
    <row r="317">
      <c r="A317" s="2" t="n"/>
      <c r="B317" s="2" t="n"/>
      <c r="C317" s="2" t="n"/>
      <c r="D317" s="2" t="n"/>
      <c r="E317" s="2" t="n"/>
      <c r="F317" s="2" t="n"/>
      <c r="G317" s="2" t="n"/>
      <c r="H317" s="2" t="n"/>
      <c r="I317" s="2" t="n"/>
      <c r="J317" s="2" t="n"/>
      <c r="K317" s="2">
        <f>IF(COUNTA(G317:J317)&lt;4,"",ROUND(AVERAGE(G317:J317),1))</f>
        <v/>
      </c>
      <c r="L317" s="2" t="n"/>
      <c r="M317" s="2" t="n"/>
      <c r="N317" s="2" t="n"/>
      <c r="O317" s="2" t="n"/>
    </row>
    <row r="318">
      <c r="A318" s="2" t="n"/>
      <c r="B318" s="2" t="n"/>
      <c r="C318" s="2" t="n"/>
      <c r="D318" s="2" t="n"/>
      <c r="E318" s="2" t="n"/>
      <c r="F318" s="2" t="n"/>
      <c r="G318" s="2" t="n"/>
      <c r="H318" s="2" t="n"/>
      <c r="I318" s="2" t="n"/>
      <c r="J318" s="2" t="n"/>
      <c r="K318" s="2">
        <f>IF(COUNTA(G318:J318)&lt;4,"",ROUND(AVERAGE(G318:J318),1))</f>
        <v/>
      </c>
      <c r="L318" s="2" t="n"/>
      <c r="M318" s="2" t="n"/>
      <c r="N318" s="2" t="n"/>
      <c r="O318" s="2" t="n"/>
    </row>
    <row r="319">
      <c r="A319" s="2" t="n"/>
      <c r="B319" s="2" t="n"/>
      <c r="C319" s="2" t="n"/>
      <c r="D319" s="2" t="n"/>
      <c r="E319" s="2" t="n"/>
      <c r="F319" s="2" t="n"/>
      <c r="G319" s="2" t="n"/>
      <c r="H319" s="2" t="n"/>
      <c r="I319" s="2" t="n"/>
      <c r="J319" s="2" t="n"/>
      <c r="K319" s="2">
        <f>IF(COUNTA(G319:J319)&lt;4,"",ROUND(AVERAGE(G319:J319),1))</f>
        <v/>
      </c>
      <c r="L319" s="2" t="n"/>
      <c r="M319" s="2" t="n"/>
      <c r="N319" s="2" t="n"/>
      <c r="O319" s="2" t="n"/>
    </row>
    <row r="320">
      <c r="A320" s="2" t="n"/>
      <c r="B320" s="2" t="n"/>
      <c r="C320" s="2" t="n"/>
      <c r="D320" s="2" t="n"/>
      <c r="E320" s="2" t="n"/>
      <c r="F320" s="2" t="n"/>
      <c r="G320" s="2" t="n"/>
      <c r="H320" s="2" t="n"/>
      <c r="I320" s="2" t="n"/>
      <c r="J320" s="2" t="n"/>
      <c r="K320" s="2">
        <f>IF(COUNTA(G320:J320)&lt;4,"",ROUND(AVERAGE(G320:J320),1))</f>
        <v/>
      </c>
      <c r="L320" s="2" t="n"/>
      <c r="M320" s="2" t="n"/>
      <c r="N320" s="2" t="n"/>
      <c r="O320" s="2" t="n"/>
    </row>
    <row r="321">
      <c r="A321" s="2" t="n"/>
      <c r="B321" s="2" t="n"/>
      <c r="C321" s="2" t="n"/>
      <c r="D321" s="2" t="n"/>
      <c r="E321" s="2" t="n"/>
      <c r="F321" s="2" t="n"/>
      <c r="G321" s="2" t="n"/>
      <c r="H321" s="2" t="n"/>
      <c r="I321" s="2" t="n"/>
      <c r="J321" s="2" t="n"/>
      <c r="K321" s="2">
        <f>IF(COUNTA(G321:J321)&lt;4,"",ROUND(AVERAGE(G321:J321),1))</f>
        <v/>
      </c>
      <c r="L321" s="2" t="n"/>
      <c r="M321" s="2" t="n"/>
      <c r="N321" s="2" t="n"/>
      <c r="O321" s="2" t="n"/>
    </row>
    <row r="322">
      <c r="A322" s="2" t="n"/>
      <c r="B322" s="2" t="n"/>
      <c r="C322" s="2" t="n"/>
      <c r="D322" s="2" t="n"/>
      <c r="E322" s="2" t="n"/>
      <c r="F322" s="2" t="n"/>
      <c r="G322" s="2" t="n"/>
      <c r="H322" s="2" t="n"/>
      <c r="I322" s="2" t="n"/>
      <c r="J322" s="2" t="n"/>
      <c r="K322" s="2">
        <f>IF(COUNTA(G322:J322)&lt;4,"",ROUND(AVERAGE(G322:J322),1))</f>
        <v/>
      </c>
      <c r="L322" s="2" t="n"/>
      <c r="M322" s="2" t="n"/>
      <c r="N322" s="2" t="n"/>
      <c r="O322" s="2" t="n"/>
    </row>
    <row r="323">
      <c r="A323" s="2" t="n"/>
      <c r="B323" s="2" t="n"/>
      <c r="C323" s="2" t="n"/>
      <c r="D323" s="2" t="n"/>
      <c r="E323" s="2" t="n"/>
      <c r="F323" s="2" t="n"/>
      <c r="G323" s="2" t="n"/>
      <c r="H323" s="2" t="n"/>
      <c r="I323" s="2" t="n"/>
      <c r="J323" s="2" t="n"/>
      <c r="K323" s="2">
        <f>IF(COUNTA(G323:J323)&lt;4,"",ROUND(AVERAGE(G323:J323),1))</f>
        <v/>
      </c>
      <c r="L323" s="2" t="n"/>
      <c r="M323" s="2" t="n"/>
      <c r="N323" s="2" t="n"/>
      <c r="O323" s="2" t="n"/>
    </row>
    <row r="324">
      <c r="A324" s="2" t="n"/>
      <c r="B324" s="2" t="n"/>
      <c r="C324" s="2" t="n"/>
      <c r="D324" s="2" t="n"/>
      <c r="E324" s="2" t="n"/>
      <c r="F324" s="2" t="n"/>
      <c r="G324" s="2" t="n"/>
      <c r="H324" s="2" t="n"/>
      <c r="I324" s="2" t="n"/>
      <c r="J324" s="2" t="n"/>
      <c r="K324" s="2">
        <f>IF(COUNTA(G324:J324)&lt;4,"",ROUND(AVERAGE(G324:J324),1))</f>
        <v/>
      </c>
      <c r="L324" s="2" t="n"/>
      <c r="M324" s="2" t="n"/>
      <c r="N324" s="2" t="n"/>
      <c r="O324" s="2" t="n"/>
    </row>
    <row r="325">
      <c r="A325" s="2" t="n"/>
      <c r="B325" s="2" t="n"/>
      <c r="C325" s="2" t="n"/>
      <c r="D325" s="2" t="n"/>
      <c r="E325" s="2" t="n"/>
      <c r="F325" s="2" t="n"/>
      <c r="G325" s="2" t="n"/>
      <c r="H325" s="2" t="n"/>
      <c r="I325" s="2" t="n"/>
      <c r="J325" s="2" t="n"/>
      <c r="K325" s="2">
        <f>IF(COUNTA(G325:J325)&lt;4,"",ROUND(AVERAGE(G325:J325),1))</f>
        <v/>
      </c>
      <c r="L325" s="2" t="n"/>
      <c r="M325" s="2" t="n"/>
      <c r="N325" s="2" t="n"/>
      <c r="O325" s="2" t="n"/>
    </row>
    <row r="326">
      <c r="A326" s="2" t="n"/>
      <c r="B326" s="2" t="n"/>
      <c r="C326" s="2" t="n"/>
      <c r="D326" s="2" t="n"/>
      <c r="E326" s="2" t="n"/>
      <c r="F326" s="2" t="n"/>
      <c r="G326" s="2" t="n"/>
      <c r="H326" s="2" t="n"/>
      <c r="I326" s="2" t="n"/>
      <c r="J326" s="2" t="n"/>
      <c r="K326" s="2">
        <f>IF(COUNTA(G326:J326)&lt;4,"",ROUND(AVERAGE(G326:J326),1))</f>
        <v/>
      </c>
      <c r="L326" s="2" t="n"/>
      <c r="M326" s="2" t="n"/>
      <c r="N326" s="2" t="n"/>
      <c r="O326" s="2" t="n"/>
    </row>
    <row r="327">
      <c r="A327" s="2" t="n"/>
      <c r="B327" s="2" t="n"/>
      <c r="C327" s="2" t="n"/>
      <c r="D327" s="2" t="n"/>
      <c r="E327" s="2" t="n"/>
      <c r="F327" s="2" t="n"/>
      <c r="G327" s="2" t="n"/>
      <c r="H327" s="2" t="n"/>
      <c r="I327" s="2" t="n"/>
      <c r="J327" s="2" t="n"/>
      <c r="K327" s="2">
        <f>IF(COUNTA(G327:J327)&lt;4,"",ROUND(AVERAGE(G327:J327),1))</f>
        <v/>
      </c>
      <c r="L327" s="2" t="n"/>
      <c r="M327" s="2" t="n"/>
      <c r="N327" s="2" t="n"/>
      <c r="O327" s="2" t="n"/>
    </row>
    <row r="328">
      <c r="A328" s="2" t="n"/>
      <c r="B328" s="2" t="n"/>
      <c r="C328" s="2" t="n"/>
      <c r="D328" s="2" t="n"/>
      <c r="E328" s="2" t="n"/>
      <c r="F328" s="2" t="n"/>
      <c r="G328" s="2" t="n"/>
      <c r="H328" s="2" t="n"/>
      <c r="I328" s="2" t="n"/>
      <c r="J328" s="2" t="n"/>
      <c r="K328" s="2">
        <f>IF(COUNTA(G328:J328)&lt;4,"",ROUND(AVERAGE(G328:J328),1))</f>
        <v/>
      </c>
      <c r="L328" s="2" t="n"/>
      <c r="M328" s="2" t="n"/>
      <c r="N328" s="2" t="n"/>
      <c r="O328" s="2" t="n"/>
    </row>
    <row r="329">
      <c r="A329" s="2" t="n"/>
      <c r="B329" s="2" t="n"/>
      <c r="C329" s="2" t="n"/>
      <c r="D329" s="2" t="n"/>
      <c r="E329" s="2" t="n"/>
      <c r="F329" s="2" t="n"/>
      <c r="G329" s="2" t="n"/>
      <c r="H329" s="2" t="n"/>
      <c r="I329" s="2" t="n"/>
      <c r="J329" s="2" t="n"/>
      <c r="K329" s="2">
        <f>IF(COUNTA(G329:J329)&lt;4,"",ROUND(AVERAGE(G329:J329),1))</f>
        <v/>
      </c>
      <c r="L329" s="2" t="n"/>
      <c r="M329" s="2" t="n"/>
      <c r="N329" s="2" t="n"/>
      <c r="O329" s="2" t="n"/>
    </row>
    <row r="330">
      <c r="A330" s="2" t="n"/>
      <c r="B330" s="2" t="n"/>
      <c r="C330" s="2" t="n"/>
      <c r="D330" s="2" t="n"/>
      <c r="E330" s="2" t="n"/>
      <c r="F330" s="2" t="n"/>
      <c r="G330" s="2" t="n"/>
      <c r="H330" s="2" t="n"/>
      <c r="I330" s="2" t="n"/>
      <c r="J330" s="2" t="n"/>
      <c r="K330" s="2">
        <f>IF(COUNTA(G330:J330)&lt;4,"",ROUND(AVERAGE(G330:J330),1))</f>
        <v/>
      </c>
      <c r="L330" s="2" t="n"/>
      <c r="M330" s="2" t="n"/>
      <c r="N330" s="2" t="n"/>
      <c r="O330" s="2" t="n"/>
    </row>
    <row r="331">
      <c r="A331" s="2" t="n"/>
      <c r="B331" s="2" t="n"/>
      <c r="C331" s="2" t="n"/>
      <c r="D331" s="2" t="n"/>
      <c r="E331" s="2" t="n"/>
      <c r="F331" s="2" t="n"/>
      <c r="G331" s="2" t="n"/>
      <c r="H331" s="2" t="n"/>
      <c r="I331" s="2" t="n"/>
      <c r="J331" s="2" t="n"/>
      <c r="K331" s="2">
        <f>IF(COUNTA(G331:J331)&lt;4,"",ROUND(AVERAGE(G331:J331),1))</f>
        <v/>
      </c>
      <c r="L331" s="2" t="n"/>
      <c r="M331" s="2" t="n"/>
      <c r="N331" s="2" t="n"/>
      <c r="O331" s="2" t="n"/>
    </row>
    <row r="332">
      <c r="A332" s="2" t="n"/>
      <c r="B332" s="2" t="n"/>
      <c r="C332" s="2" t="n"/>
      <c r="D332" s="2" t="n"/>
      <c r="E332" s="2" t="n"/>
      <c r="F332" s="2" t="n"/>
      <c r="G332" s="2" t="n"/>
      <c r="H332" s="2" t="n"/>
      <c r="I332" s="2" t="n"/>
      <c r="J332" s="2" t="n"/>
      <c r="K332" s="2">
        <f>IF(COUNTA(G332:J332)&lt;4,"",ROUND(AVERAGE(G332:J332),1))</f>
        <v/>
      </c>
      <c r="L332" s="2" t="n"/>
      <c r="M332" s="2" t="n"/>
      <c r="N332" s="2" t="n"/>
      <c r="O332" s="2" t="n"/>
    </row>
    <row r="333">
      <c r="A333" s="2" t="n"/>
      <c r="B333" s="2" t="n"/>
      <c r="C333" s="2" t="n"/>
      <c r="D333" s="2" t="n"/>
      <c r="E333" s="2" t="n"/>
      <c r="F333" s="2" t="n"/>
      <c r="G333" s="2" t="n"/>
      <c r="H333" s="2" t="n"/>
      <c r="I333" s="2" t="n"/>
      <c r="J333" s="2" t="n"/>
      <c r="K333" s="2">
        <f>IF(COUNTA(G333:J333)&lt;4,"",ROUND(AVERAGE(G333:J333),1))</f>
        <v/>
      </c>
      <c r="L333" s="2" t="n"/>
      <c r="M333" s="2" t="n"/>
      <c r="N333" s="2" t="n"/>
      <c r="O333" s="2" t="n"/>
    </row>
    <row r="334">
      <c r="A334" s="2" t="n"/>
      <c r="B334" s="2" t="n"/>
      <c r="C334" s="2" t="n"/>
      <c r="D334" s="2" t="n"/>
      <c r="E334" s="2" t="n"/>
      <c r="F334" s="2" t="n"/>
      <c r="G334" s="2" t="n"/>
      <c r="H334" s="2" t="n"/>
      <c r="I334" s="2" t="n"/>
      <c r="J334" s="2" t="n"/>
      <c r="K334" s="2">
        <f>IF(COUNTA(G334:J334)&lt;4,"",ROUND(AVERAGE(G334:J334),1))</f>
        <v/>
      </c>
      <c r="L334" s="2" t="n"/>
      <c r="M334" s="2" t="n"/>
      <c r="N334" s="2" t="n"/>
      <c r="O334" s="2" t="n"/>
    </row>
    <row r="335">
      <c r="A335" s="2" t="n"/>
      <c r="B335" s="2" t="n"/>
      <c r="C335" s="2" t="n"/>
      <c r="D335" s="2" t="n"/>
      <c r="E335" s="2" t="n"/>
      <c r="F335" s="2" t="n"/>
      <c r="G335" s="2" t="n"/>
      <c r="H335" s="2" t="n"/>
      <c r="I335" s="2" t="n"/>
      <c r="J335" s="2" t="n"/>
      <c r="K335" s="2">
        <f>IF(COUNTA(G335:J335)&lt;4,"",ROUND(AVERAGE(G335:J335),1))</f>
        <v/>
      </c>
      <c r="L335" s="2" t="n"/>
      <c r="M335" s="2" t="n"/>
      <c r="N335" s="2" t="n"/>
      <c r="O335" s="2" t="n"/>
    </row>
    <row r="336">
      <c r="A336" s="2" t="n"/>
      <c r="B336" s="2" t="n"/>
      <c r="C336" s="2" t="n"/>
      <c r="D336" s="2" t="n"/>
      <c r="E336" s="2" t="n"/>
      <c r="F336" s="2" t="n"/>
      <c r="G336" s="2" t="n"/>
      <c r="H336" s="2" t="n"/>
      <c r="I336" s="2" t="n"/>
      <c r="J336" s="2" t="n"/>
      <c r="K336" s="2">
        <f>IF(COUNTA(G336:J336)&lt;4,"",ROUND(AVERAGE(G336:J336),1))</f>
        <v/>
      </c>
      <c r="L336" s="2" t="n"/>
      <c r="M336" s="2" t="n"/>
      <c r="N336" s="2" t="n"/>
      <c r="O336" s="2" t="n"/>
    </row>
    <row r="337">
      <c r="A337" s="2" t="n"/>
      <c r="B337" s="2" t="n"/>
      <c r="C337" s="2" t="n"/>
      <c r="D337" s="2" t="n"/>
      <c r="E337" s="2" t="n"/>
      <c r="F337" s="2" t="n"/>
      <c r="G337" s="2" t="n"/>
      <c r="H337" s="2" t="n"/>
      <c r="I337" s="2" t="n"/>
      <c r="J337" s="2" t="n"/>
      <c r="K337" s="2">
        <f>IF(COUNTA(G337:J337)&lt;4,"",ROUND(AVERAGE(G337:J337),1))</f>
        <v/>
      </c>
      <c r="L337" s="2" t="n"/>
      <c r="M337" s="2" t="n"/>
      <c r="N337" s="2" t="n"/>
      <c r="O337" s="2" t="n"/>
    </row>
    <row r="338">
      <c r="A338" s="2" t="n"/>
      <c r="B338" s="2" t="n"/>
      <c r="C338" s="2" t="n"/>
      <c r="D338" s="2" t="n"/>
      <c r="E338" s="2" t="n"/>
      <c r="F338" s="2" t="n"/>
      <c r="G338" s="2" t="n"/>
      <c r="H338" s="2" t="n"/>
      <c r="I338" s="2" t="n"/>
      <c r="J338" s="2" t="n"/>
      <c r="K338" s="2">
        <f>IF(COUNTA(G338:J338)&lt;4,"",ROUND(AVERAGE(G338:J338),1))</f>
        <v/>
      </c>
      <c r="L338" s="2" t="n"/>
      <c r="M338" s="2" t="n"/>
      <c r="N338" s="2" t="n"/>
      <c r="O338" s="2" t="n"/>
    </row>
    <row r="339">
      <c r="A339" s="2" t="n"/>
      <c r="B339" s="2" t="n"/>
      <c r="C339" s="2" t="n"/>
      <c r="D339" s="2" t="n"/>
      <c r="E339" s="2" t="n"/>
      <c r="F339" s="2" t="n"/>
      <c r="G339" s="2" t="n"/>
      <c r="H339" s="2" t="n"/>
      <c r="I339" s="2" t="n"/>
      <c r="J339" s="2" t="n"/>
      <c r="K339" s="2">
        <f>IF(COUNTA(G339:J339)&lt;4,"",ROUND(AVERAGE(G339:J339),1))</f>
        <v/>
      </c>
      <c r="L339" s="2" t="n"/>
      <c r="M339" s="2" t="n"/>
      <c r="N339" s="2" t="n"/>
      <c r="O339" s="2" t="n"/>
    </row>
    <row r="340">
      <c r="A340" s="2" t="n"/>
      <c r="B340" s="2" t="n"/>
      <c r="C340" s="2" t="n"/>
      <c r="D340" s="2" t="n"/>
      <c r="E340" s="2" t="n"/>
      <c r="F340" s="2" t="n"/>
      <c r="G340" s="2" t="n"/>
      <c r="H340" s="2" t="n"/>
      <c r="I340" s="2" t="n"/>
      <c r="J340" s="2" t="n"/>
      <c r="K340" s="2">
        <f>IF(COUNTA(G340:J340)&lt;4,"",ROUND(AVERAGE(G340:J340),1))</f>
        <v/>
      </c>
      <c r="L340" s="2" t="n"/>
      <c r="M340" s="2" t="n"/>
      <c r="N340" s="2" t="n"/>
      <c r="O340" s="2" t="n"/>
    </row>
    <row r="341">
      <c r="A341" s="2" t="n"/>
      <c r="B341" s="2" t="n"/>
      <c r="C341" s="2" t="n"/>
      <c r="D341" s="2" t="n"/>
      <c r="E341" s="2" t="n"/>
      <c r="F341" s="2" t="n"/>
      <c r="G341" s="2" t="n"/>
      <c r="H341" s="2" t="n"/>
      <c r="I341" s="2" t="n"/>
      <c r="J341" s="2" t="n"/>
      <c r="K341" s="2">
        <f>IF(COUNTA(G341:J341)&lt;4,"",ROUND(AVERAGE(G341:J341),1))</f>
        <v/>
      </c>
      <c r="L341" s="2" t="n"/>
      <c r="M341" s="2" t="n"/>
      <c r="N341" s="2" t="n"/>
      <c r="O341" s="2" t="n"/>
    </row>
    <row r="342">
      <c r="A342" s="2" t="n"/>
      <c r="B342" s="2" t="n"/>
      <c r="C342" s="2" t="n"/>
      <c r="D342" s="2" t="n"/>
      <c r="E342" s="2" t="n"/>
      <c r="F342" s="2" t="n"/>
      <c r="G342" s="2" t="n"/>
      <c r="H342" s="2" t="n"/>
      <c r="I342" s="2" t="n"/>
      <c r="J342" s="2" t="n"/>
      <c r="K342" s="2">
        <f>IF(COUNTA(G342:J342)&lt;4,"",ROUND(AVERAGE(G342:J342),1))</f>
        <v/>
      </c>
      <c r="L342" s="2" t="n"/>
      <c r="M342" s="2" t="n"/>
      <c r="N342" s="2" t="n"/>
      <c r="O342" s="2" t="n"/>
    </row>
    <row r="343">
      <c r="A343" s="2" t="n"/>
      <c r="B343" s="2" t="n"/>
      <c r="C343" s="2" t="n"/>
      <c r="D343" s="2" t="n"/>
      <c r="E343" s="2" t="n"/>
      <c r="F343" s="2" t="n"/>
      <c r="G343" s="2" t="n"/>
      <c r="H343" s="2" t="n"/>
      <c r="I343" s="2" t="n"/>
      <c r="J343" s="2" t="n"/>
      <c r="K343" s="2">
        <f>IF(COUNTA(G343:J343)&lt;4,"",ROUND(AVERAGE(G343:J343),1))</f>
        <v/>
      </c>
      <c r="L343" s="2" t="n"/>
      <c r="M343" s="2" t="n"/>
      <c r="N343" s="2" t="n"/>
      <c r="O343" s="2" t="n"/>
    </row>
    <row r="344">
      <c r="A344" s="2" t="n"/>
      <c r="B344" s="2" t="n"/>
      <c r="C344" s="2" t="n"/>
      <c r="D344" s="2" t="n"/>
      <c r="E344" s="2" t="n"/>
      <c r="F344" s="2" t="n"/>
      <c r="G344" s="2" t="n"/>
      <c r="H344" s="2" t="n"/>
      <c r="I344" s="2" t="n"/>
      <c r="J344" s="2" t="n"/>
      <c r="K344" s="2">
        <f>IF(COUNTA(G344:J344)&lt;4,"",ROUND(AVERAGE(G344:J344),1))</f>
        <v/>
      </c>
      <c r="L344" s="2" t="n"/>
      <c r="M344" s="2" t="n"/>
      <c r="N344" s="2" t="n"/>
      <c r="O344" s="2" t="n"/>
    </row>
    <row r="345">
      <c r="A345" s="2" t="n"/>
      <c r="B345" s="2" t="n"/>
      <c r="C345" s="2" t="n"/>
      <c r="D345" s="2" t="n"/>
      <c r="E345" s="2" t="n"/>
      <c r="F345" s="2" t="n"/>
      <c r="G345" s="2" t="n"/>
      <c r="H345" s="2" t="n"/>
      <c r="I345" s="2" t="n"/>
      <c r="J345" s="2" t="n"/>
      <c r="K345" s="2">
        <f>IF(COUNTA(G345:J345)&lt;4,"",ROUND(AVERAGE(G345:J345),1))</f>
        <v/>
      </c>
      <c r="L345" s="2" t="n"/>
      <c r="M345" s="2" t="n"/>
      <c r="N345" s="2" t="n"/>
      <c r="O345" s="2" t="n"/>
    </row>
    <row r="346">
      <c r="A346" s="2" t="n"/>
      <c r="B346" s="2" t="n"/>
      <c r="C346" s="2" t="n"/>
      <c r="D346" s="2" t="n"/>
      <c r="E346" s="2" t="n"/>
      <c r="F346" s="2" t="n"/>
      <c r="G346" s="2" t="n"/>
      <c r="H346" s="2" t="n"/>
      <c r="I346" s="2" t="n"/>
      <c r="J346" s="2" t="n"/>
      <c r="K346" s="2">
        <f>IF(COUNTA(G346:J346)&lt;4,"",ROUND(AVERAGE(G346:J346),1))</f>
        <v/>
      </c>
      <c r="L346" s="2" t="n"/>
      <c r="M346" s="2" t="n"/>
      <c r="N346" s="2" t="n"/>
      <c r="O346" s="2" t="n"/>
    </row>
    <row r="347">
      <c r="A347" s="2" t="n"/>
      <c r="B347" s="2" t="n"/>
      <c r="C347" s="2" t="n"/>
      <c r="D347" s="2" t="n"/>
      <c r="E347" s="2" t="n"/>
      <c r="F347" s="2" t="n"/>
      <c r="G347" s="2" t="n"/>
      <c r="H347" s="2" t="n"/>
      <c r="I347" s="2" t="n"/>
      <c r="J347" s="2" t="n"/>
      <c r="K347" s="2">
        <f>IF(COUNTA(G347:J347)&lt;4,"",ROUND(AVERAGE(G347:J347),1))</f>
        <v/>
      </c>
      <c r="L347" s="2" t="n"/>
      <c r="M347" s="2" t="n"/>
      <c r="N347" s="2" t="n"/>
      <c r="O347" s="2" t="n"/>
    </row>
    <row r="348">
      <c r="A348" s="2" t="n"/>
      <c r="B348" s="2" t="n"/>
      <c r="C348" s="2" t="n"/>
      <c r="D348" s="2" t="n"/>
      <c r="E348" s="2" t="n"/>
      <c r="F348" s="2" t="n"/>
      <c r="G348" s="2" t="n"/>
      <c r="H348" s="2" t="n"/>
      <c r="I348" s="2" t="n"/>
      <c r="J348" s="2" t="n"/>
      <c r="K348" s="2">
        <f>IF(COUNTA(G348:J348)&lt;4,"",ROUND(AVERAGE(G348:J348),1))</f>
        <v/>
      </c>
      <c r="L348" s="2" t="n"/>
      <c r="M348" s="2" t="n"/>
      <c r="N348" s="2" t="n"/>
      <c r="O348" s="2" t="n"/>
    </row>
    <row r="349">
      <c r="A349" s="2" t="n"/>
      <c r="B349" s="2" t="n"/>
      <c r="C349" s="2" t="n"/>
      <c r="D349" s="2" t="n"/>
      <c r="E349" s="2" t="n"/>
      <c r="F349" s="2" t="n"/>
      <c r="G349" s="2" t="n"/>
      <c r="H349" s="2" t="n"/>
      <c r="I349" s="2" t="n"/>
      <c r="J349" s="2" t="n"/>
      <c r="K349" s="2">
        <f>IF(COUNTA(G349:J349)&lt;4,"",ROUND(AVERAGE(G349:J349),1))</f>
        <v/>
      </c>
      <c r="L349" s="2" t="n"/>
      <c r="M349" s="2" t="n"/>
      <c r="N349" s="2" t="n"/>
      <c r="O349" s="2" t="n"/>
    </row>
    <row r="350">
      <c r="A350" s="2" t="n"/>
      <c r="B350" s="2" t="n"/>
      <c r="C350" s="2" t="n"/>
      <c r="D350" s="2" t="n"/>
      <c r="E350" s="2" t="n"/>
      <c r="F350" s="2" t="n"/>
      <c r="G350" s="2" t="n"/>
      <c r="H350" s="2" t="n"/>
      <c r="I350" s="2" t="n"/>
      <c r="J350" s="2" t="n"/>
      <c r="K350" s="2">
        <f>IF(COUNTA(G350:J350)&lt;4,"",ROUND(AVERAGE(G350:J350),1))</f>
        <v/>
      </c>
      <c r="L350" s="2" t="n"/>
      <c r="M350" s="2" t="n"/>
      <c r="N350" s="2" t="n"/>
      <c r="O350" s="2" t="n"/>
    </row>
    <row r="351">
      <c r="A351" s="2" t="n"/>
      <c r="B351" s="2" t="n"/>
      <c r="C351" s="2" t="n"/>
      <c r="D351" s="2" t="n"/>
      <c r="E351" s="2" t="n"/>
      <c r="F351" s="2" t="n"/>
      <c r="G351" s="2" t="n"/>
      <c r="H351" s="2" t="n"/>
      <c r="I351" s="2" t="n"/>
      <c r="J351" s="2" t="n"/>
      <c r="K351" s="2">
        <f>IF(COUNTA(G351:J351)&lt;4,"",ROUND(AVERAGE(G351:J351),1))</f>
        <v/>
      </c>
      <c r="L351" s="2" t="n"/>
      <c r="M351" s="2" t="n"/>
      <c r="N351" s="2" t="n"/>
      <c r="O351" s="2" t="n"/>
    </row>
    <row r="352">
      <c r="A352" s="2" t="n"/>
      <c r="B352" s="2" t="n"/>
      <c r="C352" s="2" t="n"/>
      <c r="D352" s="2" t="n"/>
      <c r="E352" s="2" t="n"/>
      <c r="F352" s="2" t="n"/>
      <c r="G352" s="2" t="n"/>
      <c r="H352" s="2" t="n"/>
      <c r="I352" s="2" t="n"/>
      <c r="J352" s="2" t="n"/>
      <c r="K352" s="2">
        <f>IF(COUNTA(G352:J352)&lt;4,"",ROUND(AVERAGE(G352:J352),1))</f>
        <v/>
      </c>
      <c r="L352" s="2" t="n"/>
      <c r="M352" s="2" t="n"/>
      <c r="N352" s="2" t="n"/>
      <c r="O352" s="2" t="n"/>
    </row>
    <row r="353">
      <c r="A353" s="2" t="n"/>
      <c r="B353" s="2" t="n"/>
      <c r="C353" s="2" t="n"/>
      <c r="D353" s="2" t="n"/>
      <c r="E353" s="2" t="n"/>
      <c r="F353" s="2" t="n"/>
      <c r="G353" s="2" t="n"/>
      <c r="H353" s="2" t="n"/>
      <c r="I353" s="2" t="n"/>
      <c r="J353" s="2" t="n"/>
      <c r="K353" s="2">
        <f>IF(COUNTA(G353:J353)&lt;4,"",ROUND(AVERAGE(G353:J353),1))</f>
        <v/>
      </c>
      <c r="L353" s="2" t="n"/>
      <c r="M353" s="2" t="n"/>
      <c r="N353" s="2" t="n"/>
      <c r="O353" s="2" t="n"/>
    </row>
    <row r="354">
      <c r="A354" s="2" t="n"/>
      <c r="B354" s="2" t="n"/>
      <c r="C354" s="2" t="n"/>
      <c r="D354" s="2" t="n"/>
      <c r="E354" s="2" t="n"/>
      <c r="F354" s="2" t="n"/>
      <c r="G354" s="2" t="n"/>
      <c r="H354" s="2" t="n"/>
      <c r="I354" s="2" t="n"/>
      <c r="J354" s="2" t="n"/>
      <c r="K354" s="2">
        <f>IF(COUNTA(G354:J354)&lt;4,"",ROUND(AVERAGE(G354:J354),1))</f>
        <v/>
      </c>
      <c r="L354" s="2" t="n"/>
      <c r="M354" s="2" t="n"/>
      <c r="N354" s="2" t="n"/>
      <c r="O354" s="2" t="n"/>
    </row>
    <row r="355">
      <c r="A355" s="2" t="n"/>
      <c r="B355" s="2" t="n"/>
      <c r="C355" s="2" t="n"/>
      <c r="D355" s="2" t="n"/>
      <c r="E355" s="2" t="n"/>
      <c r="F355" s="2" t="n"/>
      <c r="G355" s="2" t="n"/>
      <c r="H355" s="2" t="n"/>
      <c r="I355" s="2" t="n"/>
      <c r="J355" s="2" t="n"/>
      <c r="K355" s="2">
        <f>IF(COUNTA(G355:J355)&lt;4,"",ROUND(AVERAGE(G355:J355),1))</f>
        <v/>
      </c>
      <c r="L355" s="2" t="n"/>
      <c r="M355" s="2" t="n"/>
      <c r="N355" s="2" t="n"/>
      <c r="O355" s="2" t="n"/>
    </row>
    <row r="356">
      <c r="A356" s="2" t="n"/>
      <c r="B356" s="2" t="n"/>
      <c r="C356" s="2" t="n"/>
      <c r="D356" s="2" t="n"/>
      <c r="E356" s="2" t="n"/>
      <c r="F356" s="2" t="n"/>
      <c r="G356" s="2" t="n"/>
      <c r="H356" s="2" t="n"/>
      <c r="I356" s="2" t="n"/>
      <c r="J356" s="2" t="n"/>
      <c r="K356" s="2">
        <f>IF(COUNTA(G356:J356)&lt;4,"",ROUND(AVERAGE(G356:J356),1))</f>
        <v/>
      </c>
      <c r="L356" s="2" t="n"/>
      <c r="M356" s="2" t="n"/>
      <c r="N356" s="2" t="n"/>
      <c r="O356" s="2" t="n"/>
    </row>
    <row r="357">
      <c r="A357" s="2" t="n"/>
      <c r="B357" s="2" t="n"/>
      <c r="C357" s="2" t="n"/>
      <c r="D357" s="2" t="n"/>
      <c r="E357" s="2" t="n"/>
      <c r="F357" s="2" t="n"/>
      <c r="G357" s="2" t="n"/>
      <c r="H357" s="2" t="n"/>
      <c r="I357" s="2" t="n"/>
      <c r="J357" s="2" t="n"/>
      <c r="K357" s="2">
        <f>IF(COUNTA(G357:J357)&lt;4,"",ROUND(AVERAGE(G357:J357),1))</f>
        <v/>
      </c>
      <c r="L357" s="2" t="n"/>
      <c r="M357" s="2" t="n"/>
      <c r="N357" s="2" t="n"/>
      <c r="O357" s="2" t="n"/>
    </row>
    <row r="358">
      <c r="A358" s="2" t="n"/>
      <c r="B358" s="2" t="n"/>
      <c r="C358" s="2" t="n"/>
      <c r="D358" s="2" t="n"/>
      <c r="E358" s="2" t="n"/>
      <c r="F358" s="2" t="n"/>
      <c r="G358" s="2" t="n"/>
      <c r="H358" s="2" t="n"/>
      <c r="I358" s="2" t="n"/>
      <c r="J358" s="2" t="n"/>
      <c r="K358" s="2">
        <f>IF(COUNTA(G358:J358)&lt;4,"",ROUND(AVERAGE(G358:J358),1))</f>
        <v/>
      </c>
      <c r="L358" s="2" t="n"/>
      <c r="M358" s="2" t="n"/>
      <c r="N358" s="2" t="n"/>
      <c r="O358" s="2" t="n"/>
    </row>
    <row r="359">
      <c r="A359" s="2" t="n"/>
      <c r="B359" s="2" t="n"/>
      <c r="C359" s="2" t="n"/>
      <c r="D359" s="2" t="n"/>
      <c r="E359" s="2" t="n"/>
      <c r="F359" s="2" t="n"/>
      <c r="G359" s="2" t="n"/>
      <c r="H359" s="2" t="n"/>
      <c r="I359" s="2" t="n"/>
      <c r="J359" s="2" t="n"/>
      <c r="K359" s="2">
        <f>IF(COUNTA(G359:J359)&lt;4,"",ROUND(AVERAGE(G359:J359),1))</f>
        <v/>
      </c>
      <c r="L359" s="2" t="n"/>
      <c r="M359" s="2" t="n"/>
      <c r="N359" s="2" t="n"/>
      <c r="O359" s="2" t="n"/>
    </row>
    <row r="360">
      <c r="A360" s="2" t="n"/>
      <c r="B360" s="2" t="n"/>
      <c r="C360" s="2" t="n"/>
      <c r="D360" s="2" t="n"/>
      <c r="E360" s="2" t="n"/>
      <c r="F360" s="2" t="n"/>
      <c r="G360" s="2" t="n"/>
      <c r="H360" s="2" t="n"/>
      <c r="I360" s="2" t="n"/>
      <c r="J360" s="2" t="n"/>
      <c r="K360" s="2">
        <f>IF(COUNTA(G360:J360)&lt;4,"",ROUND(AVERAGE(G360:J360),1))</f>
        <v/>
      </c>
      <c r="L360" s="2" t="n"/>
      <c r="M360" s="2" t="n"/>
      <c r="N360" s="2" t="n"/>
      <c r="O360" s="2" t="n"/>
    </row>
    <row r="361">
      <c r="A361" s="2" t="n"/>
      <c r="B361" s="2" t="n"/>
      <c r="C361" s="2" t="n"/>
      <c r="D361" s="2" t="n"/>
      <c r="E361" s="2" t="n"/>
      <c r="F361" s="2" t="n"/>
      <c r="G361" s="2" t="n"/>
      <c r="H361" s="2" t="n"/>
      <c r="I361" s="2" t="n"/>
      <c r="J361" s="2" t="n"/>
      <c r="K361" s="2">
        <f>IF(COUNTA(G361:J361)&lt;4,"",ROUND(AVERAGE(G361:J361),1))</f>
        <v/>
      </c>
      <c r="L361" s="2" t="n"/>
      <c r="M361" s="2" t="n"/>
      <c r="N361" s="2" t="n"/>
      <c r="O361" s="2" t="n"/>
    </row>
    <row r="362">
      <c r="A362" s="2" t="n"/>
      <c r="B362" s="2" t="n"/>
      <c r="C362" s="2" t="n"/>
      <c r="D362" s="2" t="n"/>
      <c r="E362" s="2" t="n"/>
      <c r="F362" s="2" t="n"/>
      <c r="G362" s="2" t="n"/>
      <c r="H362" s="2" t="n"/>
      <c r="I362" s="2" t="n"/>
      <c r="J362" s="2" t="n"/>
      <c r="K362" s="2">
        <f>IF(COUNTA(G362:J362)&lt;4,"",ROUND(AVERAGE(G362:J362),1))</f>
        <v/>
      </c>
      <c r="L362" s="2" t="n"/>
      <c r="M362" s="2" t="n"/>
      <c r="N362" s="2" t="n"/>
      <c r="O362" s="2" t="n"/>
    </row>
    <row r="363">
      <c r="A363" s="2" t="n"/>
      <c r="B363" s="2" t="n"/>
      <c r="C363" s="2" t="n"/>
      <c r="D363" s="2" t="n"/>
      <c r="E363" s="2" t="n"/>
      <c r="F363" s="2" t="n"/>
      <c r="G363" s="2" t="n"/>
      <c r="H363" s="2" t="n"/>
      <c r="I363" s="2" t="n"/>
      <c r="J363" s="2" t="n"/>
      <c r="K363" s="2">
        <f>IF(COUNTA(G363:J363)&lt;4,"",ROUND(AVERAGE(G363:J363),1))</f>
        <v/>
      </c>
      <c r="L363" s="2" t="n"/>
      <c r="M363" s="2" t="n"/>
      <c r="N363" s="2" t="n"/>
      <c r="O363" s="2" t="n"/>
    </row>
    <row r="364">
      <c r="A364" s="2" t="n"/>
      <c r="B364" s="2" t="n"/>
      <c r="C364" s="2" t="n"/>
      <c r="D364" s="2" t="n"/>
      <c r="E364" s="2" t="n"/>
      <c r="F364" s="2" t="n"/>
      <c r="G364" s="2" t="n"/>
      <c r="H364" s="2" t="n"/>
      <c r="I364" s="2" t="n"/>
      <c r="J364" s="2" t="n"/>
      <c r="K364" s="2">
        <f>IF(COUNTA(G364:J364)&lt;4,"",ROUND(AVERAGE(G364:J364),1))</f>
        <v/>
      </c>
      <c r="L364" s="2" t="n"/>
      <c r="M364" s="2" t="n"/>
      <c r="N364" s="2" t="n"/>
      <c r="O364" s="2" t="n"/>
    </row>
    <row r="365">
      <c r="A365" s="2" t="n"/>
      <c r="B365" s="2" t="n"/>
      <c r="C365" s="2" t="n"/>
      <c r="D365" s="2" t="n"/>
      <c r="E365" s="2" t="n"/>
      <c r="F365" s="2" t="n"/>
      <c r="G365" s="2" t="n"/>
      <c r="H365" s="2" t="n"/>
      <c r="I365" s="2" t="n"/>
      <c r="J365" s="2" t="n"/>
      <c r="K365" s="2">
        <f>IF(COUNTA(G365:J365)&lt;4,"",ROUND(AVERAGE(G365:J365),1))</f>
        <v/>
      </c>
      <c r="L365" s="2" t="n"/>
      <c r="M365" s="2" t="n"/>
      <c r="N365" s="2" t="n"/>
      <c r="O365" s="2" t="n"/>
    </row>
    <row r="366">
      <c r="A366" s="2" t="n"/>
      <c r="B366" s="2" t="n"/>
      <c r="C366" s="2" t="n"/>
      <c r="D366" s="2" t="n"/>
      <c r="E366" s="2" t="n"/>
      <c r="F366" s="2" t="n"/>
      <c r="G366" s="2" t="n"/>
      <c r="H366" s="2" t="n"/>
      <c r="I366" s="2" t="n"/>
      <c r="J366" s="2" t="n"/>
      <c r="K366" s="2">
        <f>IF(COUNTA(G366:J366)&lt;4,"",ROUND(AVERAGE(G366:J366),1))</f>
        <v/>
      </c>
      <c r="L366" s="2" t="n"/>
      <c r="M366" s="2" t="n"/>
      <c r="N366" s="2" t="n"/>
      <c r="O366" s="2" t="n"/>
    </row>
    <row r="367">
      <c r="A367" s="2" t="n"/>
      <c r="B367" s="2" t="n"/>
      <c r="C367" s="2" t="n"/>
      <c r="D367" s="2" t="n"/>
      <c r="E367" s="2" t="n"/>
      <c r="F367" s="2" t="n"/>
      <c r="G367" s="2" t="n"/>
      <c r="H367" s="2" t="n"/>
      <c r="I367" s="2" t="n"/>
      <c r="J367" s="2" t="n"/>
      <c r="K367" s="2">
        <f>IF(COUNTA(G367:J367)&lt;4,"",ROUND(AVERAGE(G367:J367),1))</f>
        <v/>
      </c>
      <c r="L367" s="2" t="n"/>
      <c r="M367" s="2" t="n"/>
      <c r="N367" s="2" t="n"/>
      <c r="O367" s="2" t="n"/>
    </row>
    <row r="368">
      <c r="A368" s="2" t="n"/>
      <c r="B368" s="2" t="n"/>
      <c r="C368" s="2" t="n"/>
      <c r="D368" s="2" t="n"/>
      <c r="E368" s="2" t="n"/>
      <c r="F368" s="2" t="n"/>
      <c r="G368" s="2" t="n"/>
      <c r="H368" s="2" t="n"/>
      <c r="I368" s="2" t="n"/>
      <c r="J368" s="2" t="n"/>
      <c r="K368" s="2">
        <f>IF(COUNTA(G368:J368)&lt;4,"",ROUND(AVERAGE(G368:J368),1))</f>
        <v/>
      </c>
      <c r="L368" s="2" t="n"/>
      <c r="M368" s="2" t="n"/>
      <c r="N368" s="2" t="n"/>
      <c r="O368" s="2" t="n"/>
    </row>
    <row r="369">
      <c r="A369" s="2" t="n"/>
      <c r="B369" s="2" t="n"/>
      <c r="C369" s="2" t="n"/>
      <c r="D369" s="2" t="n"/>
      <c r="E369" s="2" t="n"/>
      <c r="F369" s="2" t="n"/>
      <c r="G369" s="2" t="n"/>
      <c r="H369" s="2" t="n"/>
      <c r="I369" s="2" t="n"/>
      <c r="J369" s="2" t="n"/>
      <c r="K369" s="2">
        <f>IF(COUNTA(G369:J369)&lt;4,"",ROUND(AVERAGE(G369:J369),1))</f>
        <v/>
      </c>
      <c r="L369" s="2" t="n"/>
      <c r="M369" s="2" t="n"/>
      <c r="N369" s="2" t="n"/>
      <c r="O369" s="2" t="n"/>
    </row>
    <row r="370">
      <c r="A370" s="2" t="n"/>
      <c r="B370" s="2" t="n"/>
      <c r="C370" s="2" t="n"/>
      <c r="D370" s="2" t="n"/>
      <c r="E370" s="2" t="n"/>
      <c r="F370" s="2" t="n"/>
      <c r="G370" s="2" t="n"/>
      <c r="H370" s="2" t="n"/>
      <c r="I370" s="2" t="n"/>
      <c r="J370" s="2" t="n"/>
      <c r="K370" s="2">
        <f>IF(COUNTA(G370:J370)&lt;4,"",ROUND(AVERAGE(G370:J370),1))</f>
        <v/>
      </c>
      <c r="L370" s="2" t="n"/>
      <c r="M370" s="2" t="n"/>
      <c r="N370" s="2" t="n"/>
      <c r="O370" s="2" t="n"/>
    </row>
    <row r="371">
      <c r="A371" s="2" t="n"/>
      <c r="B371" s="2" t="n"/>
      <c r="C371" s="2" t="n"/>
      <c r="D371" s="2" t="n"/>
      <c r="E371" s="2" t="n"/>
      <c r="F371" s="2" t="n"/>
      <c r="G371" s="2" t="n"/>
      <c r="H371" s="2" t="n"/>
      <c r="I371" s="2" t="n"/>
      <c r="J371" s="2" t="n"/>
      <c r="K371" s="2">
        <f>IF(COUNTA(G371:J371)&lt;4,"",ROUND(AVERAGE(G371:J371),1))</f>
        <v/>
      </c>
      <c r="L371" s="2" t="n"/>
      <c r="M371" s="2" t="n"/>
      <c r="N371" s="2" t="n"/>
      <c r="O371" s="2" t="n"/>
    </row>
    <row r="372">
      <c r="A372" s="2" t="n"/>
      <c r="B372" s="2" t="n"/>
      <c r="C372" s="2" t="n"/>
      <c r="D372" s="2" t="n"/>
      <c r="E372" s="2" t="n"/>
      <c r="F372" s="2" t="n"/>
      <c r="G372" s="2" t="n"/>
      <c r="H372" s="2" t="n"/>
      <c r="I372" s="2" t="n"/>
      <c r="J372" s="2" t="n"/>
      <c r="K372" s="2">
        <f>IF(COUNTA(G372:J372)&lt;4,"",ROUND(AVERAGE(G372:J372),1))</f>
        <v/>
      </c>
      <c r="L372" s="2" t="n"/>
      <c r="M372" s="2" t="n"/>
      <c r="N372" s="2" t="n"/>
      <c r="O372" s="2" t="n"/>
    </row>
    <row r="373">
      <c r="A373" s="2" t="n"/>
      <c r="B373" s="2" t="n"/>
      <c r="C373" s="2" t="n"/>
      <c r="D373" s="2" t="n"/>
      <c r="E373" s="2" t="n"/>
      <c r="F373" s="2" t="n"/>
      <c r="G373" s="2" t="n"/>
      <c r="H373" s="2" t="n"/>
      <c r="I373" s="2" t="n"/>
      <c r="J373" s="2" t="n"/>
      <c r="K373" s="2">
        <f>IF(COUNTA(G373:J373)&lt;4,"",ROUND(AVERAGE(G373:J373),1))</f>
        <v/>
      </c>
      <c r="L373" s="2" t="n"/>
      <c r="M373" s="2" t="n"/>
      <c r="N373" s="2" t="n"/>
      <c r="O373" s="2" t="n"/>
    </row>
    <row r="374">
      <c r="A374" s="2" t="n"/>
      <c r="B374" s="2" t="n"/>
      <c r="C374" s="2" t="n"/>
      <c r="D374" s="2" t="n"/>
      <c r="E374" s="2" t="n"/>
      <c r="F374" s="2" t="n"/>
      <c r="G374" s="2" t="n"/>
      <c r="H374" s="2" t="n"/>
      <c r="I374" s="2" t="n"/>
      <c r="J374" s="2" t="n"/>
      <c r="K374" s="2">
        <f>IF(COUNTA(G374:J374)&lt;4,"",ROUND(AVERAGE(G374:J374),1))</f>
        <v/>
      </c>
      <c r="L374" s="2" t="n"/>
      <c r="M374" s="2" t="n"/>
      <c r="N374" s="2" t="n"/>
      <c r="O374" s="2" t="n"/>
    </row>
    <row r="375">
      <c r="A375" s="2" t="n"/>
      <c r="B375" s="2" t="n"/>
      <c r="C375" s="2" t="n"/>
      <c r="D375" s="2" t="n"/>
      <c r="E375" s="2" t="n"/>
      <c r="F375" s="2" t="n"/>
      <c r="G375" s="2" t="n"/>
      <c r="H375" s="2" t="n"/>
      <c r="I375" s="2" t="n"/>
      <c r="J375" s="2" t="n"/>
      <c r="K375" s="2">
        <f>IF(COUNTA(G375:J375)&lt;4,"",ROUND(AVERAGE(G375:J375),1))</f>
        <v/>
      </c>
      <c r="L375" s="2" t="n"/>
      <c r="M375" s="2" t="n"/>
      <c r="N375" s="2" t="n"/>
      <c r="O375" s="2" t="n"/>
    </row>
    <row r="376">
      <c r="A376" s="2" t="n"/>
      <c r="B376" s="2" t="n"/>
      <c r="C376" s="2" t="n"/>
      <c r="D376" s="2" t="n"/>
      <c r="E376" s="2" t="n"/>
      <c r="F376" s="2" t="n"/>
      <c r="G376" s="2" t="n"/>
      <c r="H376" s="2" t="n"/>
      <c r="I376" s="2" t="n"/>
      <c r="J376" s="2" t="n"/>
      <c r="K376" s="2">
        <f>IF(COUNTA(G376:J376)&lt;4,"",ROUND(AVERAGE(G376:J376),1))</f>
        <v/>
      </c>
      <c r="L376" s="2" t="n"/>
      <c r="M376" s="2" t="n"/>
      <c r="N376" s="2" t="n"/>
      <c r="O376" s="2" t="n"/>
    </row>
    <row r="377">
      <c r="A377" s="2" t="n"/>
      <c r="B377" s="2" t="n"/>
      <c r="C377" s="2" t="n"/>
      <c r="D377" s="2" t="n"/>
      <c r="E377" s="2" t="n"/>
      <c r="F377" s="2" t="n"/>
      <c r="G377" s="2" t="n"/>
      <c r="H377" s="2" t="n"/>
      <c r="I377" s="2" t="n"/>
      <c r="J377" s="2" t="n"/>
      <c r="K377" s="2">
        <f>IF(COUNTA(G377:J377)&lt;4,"",ROUND(AVERAGE(G377:J377),1))</f>
        <v/>
      </c>
      <c r="L377" s="2" t="n"/>
      <c r="M377" s="2" t="n"/>
      <c r="N377" s="2" t="n"/>
      <c r="O377" s="2" t="n"/>
    </row>
    <row r="378">
      <c r="A378" s="2" t="n"/>
      <c r="B378" s="2" t="n"/>
      <c r="C378" s="2" t="n"/>
      <c r="D378" s="2" t="n"/>
      <c r="E378" s="2" t="n"/>
      <c r="F378" s="2" t="n"/>
      <c r="G378" s="2" t="n"/>
      <c r="H378" s="2" t="n"/>
      <c r="I378" s="2" t="n"/>
      <c r="J378" s="2" t="n"/>
      <c r="K378" s="2">
        <f>IF(COUNTA(G378:J378)&lt;4,"",ROUND(AVERAGE(G378:J378),1))</f>
        <v/>
      </c>
      <c r="L378" s="2" t="n"/>
      <c r="M378" s="2" t="n"/>
      <c r="N378" s="2" t="n"/>
      <c r="O378" s="2" t="n"/>
    </row>
    <row r="379">
      <c r="A379" s="2" t="n"/>
      <c r="B379" s="2" t="n"/>
      <c r="C379" s="2" t="n"/>
      <c r="D379" s="2" t="n"/>
      <c r="E379" s="2" t="n"/>
      <c r="F379" s="2" t="n"/>
      <c r="G379" s="2" t="n"/>
      <c r="H379" s="2" t="n"/>
      <c r="I379" s="2" t="n"/>
      <c r="J379" s="2" t="n"/>
      <c r="K379" s="2">
        <f>IF(COUNTA(G379:J379)&lt;4,"",ROUND(AVERAGE(G379:J379),1))</f>
        <v/>
      </c>
      <c r="L379" s="2" t="n"/>
      <c r="M379" s="2" t="n"/>
      <c r="N379" s="2" t="n"/>
      <c r="O379" s="2" t="n"/>
    </row>
    <row r="380">
      <c r="A380" s="2" t="n"/>
      <c r="B380" s="2" t="n"/>
      <c r="C380" s="2" t="n"/>
      <c r="D380" s="2" t="n"/>
      <c r="E380" s="2" t="n"/>
      <c r="F380" s="2" t="n"/>
      <c r="G380" s="2" t="n"/>
      <c r="H380" s="2" t="n"/>
      <c r="I380" s="2" t="n"/>
      <c r="J380" s="2" t="n"/>
      <c r="K380" s="2">
        <f>IF(COUNTA(G380:J380)&lt;4,"",ROUND(AVERAGE(G380:J380),1))</f>
        <v/>
      </c>
      <c r="L380" s="2" t="n"/>
      <c r="M380" s="2" t="n"/>
      <c r="N380" s="2" t="n"/>
      <c r="O380" s="2" t="n"/>
    </row>
    <row r="381">
      <c r="A381" s="2" t="n"/>
      <c r="B381" s="2" t="n"/>
      <c r="C381" s="2" t="n"/>
      <c r="D381" s="2" t="n"/>
      <c r="E381" s="2" t="n"/>
      <c r="F381" s="2" t="n"/>
      <c r="G381" s="2" t="n"/>
      <c r="H381" s="2" t="n"/>
      <c r="I381" s="2" t="n"/>
      <c r="J381" s="2" t="n"/>
      <c r="K381" s="2">
        <f>IF(COUNTA(G381:J381)&lt;4,"",ROUND(AVERAGE(G381:J381),1))</f>
        <v/>
      </c>
      <c r="L381" s="2" t="n"/>
      <c r="M381" s="2" t="n"/>
      <c r="N381" s="2" t="n"/>
      <c r="O381" s="2" t="n"/>
    </row>
    <row r="382">
      <c r="A382" s="2" t="n"/>
      <c r="B382" s="2" t="n"/>
      <c r="C382" s="2" t="n"/>
      <c r="D382" s="2" t="n"/>
      <c r="E382" s="2" t="n"/>
      <c r="F382" s="2" t="n"/>
      <c r="G382" s="2" t="n"/>
      <c r="H382" s="2" t="n"/>
      <c r="I382" s="2" t="n"/>
      <c r="J382" s="2" t="n"/>
      <c r="K382" s="2">
        <f>IF(COUNTA(G382:J382)&lt;4,"",ROUND(AVERAGE(G382:J382),1))</f>
        <v/>
      </c>
      <c r="L382" s="2" t="n"/>
      <c r="M382" s="2" t="n"/>
      <c r="N382" s="2" t="n"/>
      <c r="O382" s="2" t="n"/>
    </row>
    <row r="383">
      <c r="A383" s="2" t="n"/>
      <c r="B383" s="2" t="n"/>
      <c r="C383" s="2" t="n"/>
      <c r="D383" s="2" t="n"/>
      <c r="E383" s="2" t="n"/>
      <c r="F383" s="2" t="n"/>
      <c r="G383" s="2" t="n"/>
      <c r="H383" s="2" t="n"/>
      <c r="I383" s="2" t="n"/>
      <c r="J383" s="2" t="n"/>
      <c r="K383" s="2">
        <f>IF(COUNTA(G383:J383)&lt;4,"",ROUND(AVERAGE(G383:J383),1))</f>
        <v/>
      </c>
      <c r="L383" s="2" t="n"/>
      <c r="M383" s="2" t="n"/>
      <c r="N383" s="2" t="n"/>
      <c r="O383" s="2" t="n"/>
    </row>
    <row r="384">
      <c r="A384" s="2" t="n"/>
      <c r="B384" s="2" t="n"/>
      <c r="C384" s="2" t="n"/>
      <c r="D384" s="2" t="n"/>
      <c r="E384" s="2" t="n"/>
      <c r="F384" s="2" t="n"/>
      <c r="G384" s="2" t="n"/>
      <c r="H384" s="2" t="n"/>
      <c r="I384" s="2" t="n"/>
      <c r="J384" s="2" t="n"/>
      <c r="K384" s="2">
        <f>IF(COUNTA(G384:J384)&lt;4,"",ROUND(AVERAGE(G384:J384),1))</f>
        <v/>
      </c>
      <c r="L384" s="2" t="n"/>
      <c r="M384" s="2" t="n"/>
      <c r="N384" s="2" t="n"/>
      <c r="O384" s="2" t="n"/>
    </row>
    <row r="385">
      <c r="A385" s="2" t="n"/>
      <c r="B385" s="2" t="n"/>
      <c r="C385" s="2" t="n"/>
      <c r="D385" s="2" t="n"/>
      <c r="E385" s="2" t="n"/>
      <c r="F385" s="2" t="n"/>
      <c r="G385" s="2" t="n"/>
      <c r="H385" s="2" t="n"/>
      <c r="I385" s="2" t="n"/>
      <c r="J385" s="2" t="n"/>
      <c r="K385" s="2">
        <f>IF(COUNTA(G385:J385)&lt;4,"",ROUND(AVERAGE(G385:J385),1))</f>
        <v/>
      </c>
      <c r="L385" s="2" t="n"/>
      <c r="M385" s="2" t="n"/>
      <c r="N385" s="2" t="n"/>
      <c r="O385" s="2" t="n"/>
    </row>
    <row r="386">
      <c r="A386" s="2" t="n"/>
      <c r="B386" s="2" t="n"/>
      <c r="C386" s="2" t="n"/>
      <c r="D386" s="2" t="n"/>
      <c r="E386" s="2" t="n"/>
      <c r="F386" s="2" t="n"/>
      <c r="G386" s="2" t="n"/>
      <c r="H386" s="2" t="n"/>
      <c r="I386" s="2" t="n"/>
      <c r="J386" s="2" t="n"/>
      <c r="K386" s="2">
        <f>IF(COUNTA(G386:J386)&lt;4,"",ROUND(AVERAGE(G386:J386),1))</f>
        <v/>
      </c>
      <c r="L386" s="2" t="n"/>
      <c r="M386" s="2" t="n"/>
      <c r="N386" s="2" t="n"/>
      <c r="O386" s="2" t="n"/>
    </row>
    <row r="387">
      <c r="A387" s="2" t="n"/>
      <c r="B387" s="2" t="n"/>
      <c r="C387" s="2" t="n"/>
      <c r="D387" s="2" t="n"/>
      <c r="E387" s="2" t="n"/>
      <c r="F387" s="2" t="n"/>
      <c r="G387" s="2" t="n"/>
      <c r="H387" s="2" t="n"/>
      <c r="I387" s="2" t="n"/>
      <c r="J387" s="2" t="n"/>
      <c r="K387" s="2">
        <f>IF(COUNTA(G387:J387)&lt;4,"",ROUND(AVERAGE(G387:J387),1))</f>
        <v/>
      </c>
      <c r="L387" s="2" t="n"/>
      <c r="M387" s="2" t="n"/>
      <c r="N387" s="2" t="n"/>
      <c r="O387" s="2" t="n"/>
    </row>
    <row r="388">
      <c r="A388" s="2" t="n"/>
      <c r="B388" s="2" t="n"/>
      <c r="C388" s="2" t="n"/>
      <c r="D388" s="2" t="n"/>
      <c r="E388" s="2" t="n"/>
      <c r="F388" s="2" t="n"/>
      <c r="G388" s="2" t="n"/>
      <c r="H388" s="2" t="n"/>
      <c r="I388" s="2" t="n"/>
      <c r="J388" s="2" t="n"/>
      <c r="K388" s="2">
        <f>IF(COUNTA(G388:J388)&lt;4,"",ROUND(AVERAGE(G388:J388),1))</f>
        <v/>
      </c>
      <c r="L388" s="2" t="n"/>
      <c r="M388" s="2" t="n"/>
      <c r="N388" s="2" t="n"/>
      <c r="O388" s="2" t="n"/>
    </row>
    <row r="389">
      <c r="A389" s="2" t="n"/>
      <c r="B389" s="2" t="n"/>
      <c r="C389" s="2" t="n"/>
      <c r="D389" s="2" t="n"/>
      <c r="E389" s="2" t="n"/>
      <c r="F389" s="2" t="n"/>
      <c r="G389" s="2" t="n"/>
      <c r="H389" s="2" t="n"/>
      <c r="I389" s="2" t="n"/>
      <c r="J389" s="2" t="n"/>
      <c r="K389" s="2">
        <f>IF(COUNTA(G389:J389)&lt;4,"",ROUND(AVERAGE(G389:J389),1))</f>
        <v/>
      </c>
      <c r="L389" s="2" t="n"/>
      <c r="M389" s="2" t="n"/>
      <c r="N389" s="2" t="n"/>
      <c r="O389" s="2" t="n"/>
    </row>
    <row r="390">
      <c r="A390" s="2" t="n"/>
      <c r="B390" s="2" t="n"/>
      <c r="C390" s="2" t="n"/>
      <c r="D390" s="2" t="n"/>
      <c r="E390" s="2" t="n"/>
      <c r="F390" s="2" t="n"/>
      <c r="G390" s="2" t="n"/>
      <c r="H390" s="2" t="n"/>
      <c r="I390" s="2" t="n"/>
      <c r="J390" s="2" t="n"/>
      <c r="K390" s="2">
        <f>IF(COUNTA(G390:J390)&lt;4,"",ROUND(AVERAGE(G390:J390),1))</f>
        <v/>
      </c>
      <c r="L390" s="2" t="n"/>
      <c r="M390" s="2" t="n"/>
      <c r="N390" s="2" t="n"/>
      <c r="O390" s="2" t="n"/>
    </row>
    <row r="391">
      <c r="A391" s="2" t="n"/>
      <c r="B391" s="2" t="n"/>
      <c r="C391" s="2" t="n"/>
      <c r="D391" s="2" t="n"/>
      <c r="E391" s="2" t="n"/>
      <c r="F391" s="2" t="n"/>
      <c r="G391" s="2" t="n"/>
      <c r="H391" s="2" t="n"/>
      <c r="I391" s="2" t="n"/>
      <c r="J391" s="2" t="n"/>
      <c r="K391" s="2">
        <f>IF(COUNTA(G391:J391)&lt;4,"",ROUND(AVERAGE(G391:J391),1))</f>
        <v/>
      </c>
      <c r="L391" s="2" t="n"/>
      <c r="M391" s="2" t="n"/>
      <c r="N391" s="2" t="n"/>
      <c r="O391" s="2" t="n"/>
    </row>
    <row r="392">
      <c r="A392" s="2" t="n"/>
      <c r="B392" s="2" t="n"/>
      <c r="C392" s="2" t="n"/>
      <c r="D392" s="2" t="n"/>
      <c r="E392" s="2" t="n"/>
      <c r="F392" s="2" t="n"/>
      <c r="G392" s="2" t="n"/>
      <c r="H392" s="2" t="n"/>
      <c r="I392" s="2" t="n"/>
      <c r="J392" s="2" t="n"/>
      <c r="K392" s="2">
        <f>IF(COUNTA(G392:J392)&lt;4,"",ROUND(AVERAGE(G392:J392),1))</f>
        <v/>
      </c>
      <c r="L392" s="2" t="n"/>
      <c r="M392" s="2" t="n"/>
      <c r="N392" s="2" t="n"/>
      <c r="O392" s="2" t="n"/>
    </row>
    <row r="393">
      <c r="A393" s="2" t="n"/>
      <c r="B393" s="2" t="n"/>
      <c r="C393" s="2" t="n"/>
      <c r="D393" s="2" t="n"/>
      <c r="E393" s="2" t="n"/>
      <c r="F393" s="2" t="n"/>
      <c r="G393" s="2" t="n"/>
      <c r="H393" s="2" t="n"/>
      <c r="I393" s="2" t="n"/>
      <c r="J393" s="2" t="n"/>
      <c r="K393" s="2">
        <f>IF(COUNTA(G393:J393)&lt;4,"",ROUND(AVERAGE(G393:J393),1))</f>
        <v/>
      </c>
      <c r="L393" s="2" t="n"/>
      <c r="M393" s="2" t="n"/>
      <c r="N393" s="2" t="n"/>
      <c r="O393" s="2" t="n"/>
    </row>
    <row r="394">
      <c r="A394" s="2" t="n"/>
      <c r="B394" s="2" t="n"/>
      <c r="C394" s="2" t="n"/>
      <c r="D394" s="2" t="n"/>
      <c r="E394" s="2" t="n"/>
      <c r="F394" s="2" t="n"/>
      <c r="G394" s="2" t="n"/>
      <c r="H394" s="2" t="n"/>
      <c r="I394" s="2" t="n"/>
      <c r="J394" s="2" t="n"/>
      <c r="K394" s="2">
        <f>IF(COUNTA(G394:J394)&lt;4,"",ROUND(AVERAGE(G394:J394),1))</f>
        <v/>
      </c>
      <c r="L394" s="2" t="n"/>
      <c r="M394" s="2" t="n"/>
      <c r="N394" s="2" t="n"/>
      <c r="O394" s="2" t="n"/>
    </row>
    <row r="395">
      <c r="A395" s="2" t="n"/>
      <c r="B395" s="2" t="n"/>
      <c r="C395" s="2" t="n"/>
      <c r="D395" s="2" t="n"/>
      <c r="E395" s="2" t="n"/>
      <c r="F395" s="2" t="n"/>
      <c r="G395" s="2" t="n"/>
      <c r="H395" s="2" t="n"/>
      <c r="I395" s="2" t="n"/>
      <c r="J395" s="2" t="n"/>
      <c r="K395" s="2">
        <f>IF(COUNTA(G395:J395)&lt;4,"",ROUND(AVERAGE(G395:J395),1))</f>
        <v/>
      </c>
      <c r="L395" s="2" t="n"/>
      <c r="M395" s="2" t="n"/>
      <c r="N395" s="2" t="n"/>
      <c r="O395" s="2" t="n"/>
    </row>
    <row r="396">
      <c r="A396" s="2" t="n"/>
      <c r="B396" s="2" t="n"/>
      <c r="C396" s="2" t="n"/>
      <c r="D396" s="2" t="n"/>
      <c r="E396" s="2" t="n"/>
      <c r="F396" s="2" t="n"/>
      <c r="G396" s="2" t="n"/>
      <c r="H396" s="2" t="n"/>
      <c r="I396" s="2" t="n"/>
      <c r="J396" s="2" t="n"/>
      <c r="K396" s="2">
        <f>IF(COUNTA(G396:J396)&lt;4,"",ROUND(AVERAGE(G396:J396),1))</f>
        <v/>
      </c>
      <c r="L396" s="2" t="n"/>
      <c r="M396" s="2" t="n"/>
      <c r="N396" s="2" t="n"/>
      <c r="O396" s="2" t="n"/>
    </row>
    <row r="397">
      <c r="A397" s="2" t="n"/>
      <c r="B397" s="2" t="n"/>
      <c r="C397" s="2" t="n"/>
      <c r="D397" s="2" t="n"/>
      <c r="E397" s="2" t="n"/>
      <c r="F397" s="2" t="n"/>
      <c r="G397" s="2" t="n"/>
      <c r="H397" s="2" t="n"/>
      <c r="I397" s="2" t="n"/>
      <c r="J397" s="2" t="n"/>
      <c r="K397" s="2">
        <f>IF(COUNTA(G397:J397)&lt;4,"",ROUND(AVERAGE(G397:J397),1))</f>
        <v/>
      </c>
      <c r="L397" s="2" t="n"/>
      <c r="M397" s="2" t="n"/>
      <c r="N397" s="2" t="n"/>
      <c r="O397" s="2" t="n"/>
    </row>
    <row r="398">
      <c r="A398" s="2" t="n"/>
      <c r="B398" s="2" t="n"/>
      <c r="C398" s="2" t="n"/>
      <c r="D398" s="2" t="n"/>
      <c r="E398" s="2" t="n"/>
      <c r="F398" s="2" t="n"/>
      <c r="G398" s="2" t="n"/>
      <c r="H398" s="2" t="n"/>
      <c r="I398" s="2" t="n"/>
      <c r="J398" s="2" t="n"/>
      <c r="K398" s="2">
        <f>IF(COUNTA(G398:J398)&lt;4,"",ROUND(AVERAGE(G398:J398),1))</f>
        <v/>
      </c>
      <c r="L398" s="2" t="n"/>
      <c r="M398" s="2" t="n"/>
      <c r="N398" s="2" t="n"/>
      <c r="O398" s="2" t="n"/>
    </row>
    <row r="399">
      <c r="A399" s="2" t="n"/>
      <c r="B399" s="2" t="n"/>
      <c r="C399" s="2" t="n"/>
      <c r="D399" s="2" t="n"/>
      <c r="E399" s="2" t="n"/>
      <c r="F399" s="2" t="n"/>
      <c r="G399" s="2" t="n"/>
      <c r="H399" s="2" t="n"/>
      <c r="I399" s="2" t="n"/>
      <c r="J399" s="2" t="n"/>
      <c r="K399" s="2">
        <f>IF(COUNTA(G399:J399)&lt;4,"",ROUND(AVERAGE(G399:J399),1))</f>
        <v/>
      </c>
      <c r="L399" s="2" t="n"/>
      <c r="M399" s="2" t="n"/>
      <c r="N399" s="2" t="n"/>
      <c r="O399" s="2" t="n"/>
    </row>
    <row r="400">
      <c r="A400" s="2" t="n"/>
      <c r="B400" s="2" t="n"/>
      <c r="C400" s="2" t="n"/>
      <c r="D400" s="2" t="n"/>
      <c r="E400" s="2" t="n"/>
      <c r="F400" s="2" t="n"/>
      <c r="G400" s="2" t="n"/>
      <c r="H400" s="2" t="n"/>
      <c r="I400" s="2" t="n"/>
      <c r="J400" s="2" t="n"/>
      <c r="K400" s="2">
        <f>IF(COUNTA(G400:J400)&lt;4,"",ROUND(AVERAGE(G400:J400),1))</f>
        <v/>
      </c>
      <c r="L400" s="2" t="n"/>
      <c r="M400" s="2" t="n"/>
      <c r="N400" s="2" t="n"/>
      <c r="O400" s="2" t="n"/>
    </row>
    <row r="401">
      <c r="A401" s="2" t="n"/>
      <c r="B401" s="2" t="n"/>
      <c r="C401" s="2" t="n"/>
      <c r="D401" s="2" t="n"/>
      <c r="E401" s="2" t="n"/>
      <c r="F401" s="2" t="n"/>
      <c r="G401" s="2" t="n"/>
      <c r="H401" s="2" t="n"/>
      <c r="I401" s="2" t="n"/>
      <c r="J401" s="2" t="n"/>
      <c r="K401" s="2">
        <f>IF(COUNTA(G401:J401)&lt;4,"",ROUND(AVERAGE(G401:J401),1))</f>
        <v/>
      </c>
      <c r="L401" s="2" t="n"/>
      <c r="M401" s="2" t="n"/>
      <c r="N401" s="2" t="n"/>
      <c r="O401" s="2" t="n"/>
    </row>
    <row r="402">
      <c r="A402" s="2" t="n"/>
      <c r="B402" s="2" t="n"/>
      <c r="C402" s="2" t="n"/>
      <c r="D402" s="2" t="n"/>
      <c r="E402" s="2" t="n"/>
      <c r="F402" s="2" t="n"/>
      <c r="G402" s="2" t="n"/>
      <c r="H402" s="2" t="n"/>
      <c r="I402" s="2" t="n"/>
      <c r="J402" s="2" t="n"/>
      <c r="K402" s="2">
        <f>IF(COUNTA(G402:J402)&lt;4,"",ROUND(AVERAGE(G402:J402),1))</f>
        <v/>
      </c>
      <c r="L402" s="2" t="n"/>
      <c r="M402" s="2" t="n"/>
      <c r="N402" s="2" t="n"/>
      <c r="O402" s="2" t="n"/>
    </row>
    <row r="403">
      <c r="A403" s="2" t="n"/>
      <c r="B403" s="2" t="n"/>
      <c r="C403" s="2" t="n"/>
      <c r="D403" s="2" t="n"/>
      <c r="E403" s="2" t="n"/>
      <c r="F403" s="2" t="n"/>
      <c r="G403" s="2" t="n"/>
      <c r="H403" s="2" t="n"/>
      <c r="I403" s="2" t="n"/>
      <c r="J403" s="2" t="n"/>
      <c r="K403" s="2">
        <f>IF(COUNTA(G403:J403)&lt;4,"",ROUND(AVERAGE(G403:J403),1))</f>
        <v/>
      </c>
      <c r="L403" s="2" t="n"/>
      <c r="M403" s="2" t="n"/>
      <c r="N403" s="2" t="n"/>
      <c r="O403" s="2" t="n"/>
    </row>
    <row r="404">
      <c r="A404" s="2" t="n"/>
      <c r="B404" s="2" t="n"/>
      <c r="C404" s="2" t="n"/>
      <c r="D404" s="2" t="n"/>
      <c r="E404" s="2" t="n"/>
      <c r="F404" s="2" t="n"/>
      <c r="G404" s="2" t="n"/>
      <c r="H404" s="2" t="n"/>
      <c r="I404" s="2" t="n"/>
      <c r="J404" s="2" t="n"/>
      <c r="K404" s="2">
        <f>IF(COUNTA(G404:J404)&lt;4,"",ROUND(AVERAGE(G404:J404),1))</f>
        <v/>
      </c>
      <c r="L404" s="2" t="n"/>
      <c r="M404" s="2" t="n"/>
      <c r="N404" s="2" t="n"/>
      <c r="O404" s="2" t="n"/>
    </row>
    <row r="405">
      <c r="A405" s="2" t="n"/>
      <c r="B405" s="2" t="n"/>
      <c r="C405" s="2" t="n"/>
      <c r="D405" s="2" t="n"/>
      <c r="E405" s="2" t="n"/>
      <c r="F405" s="2" t="n"/>
      <c r="G405" s="2" t="n"/>
      <c r="H405" s="2" t="n"/>
      <c r="I405" s="2" t="n"/>
      <c r="J405" s="2" t="n"/>
      <c r="K405" s="2">
        <f>IF(COUNTA(G405:J405)&lt;4,"",ROUND(AVERAGE(G405:J405),1))</f>
        <v/>
      </c>
      <c r="L405" s="2" t="n"/>
      <c r="M405" s="2" t="n"/>
      <c r="N405" s="2" t="n"/>
      <c r="O405" s="2" t="n"/>
    </row>
    <row r="406">
      <c r="A406" s="2" t="n"/>
      <c r="B406" s="2" t="n"/>
      <c r="C406" s="2" t="n"/>
      <c r="D406" s="2" t="n"/>
      <c r="E406" s="2" t="n"/>
      <c r="F406" s="2" t="n"/>
      <c r="G406" s="2" t="n"/>
      <c r="H406" s="2" t="n"/>
      <c r="I406" s="2" t="n"/>
      <c r="J406" s="2" t="n"/>
      <c r="K406" s="2">
        <f>IF(COUNTA(G406:J406)&lt;4,"",ROUND(AVERAGE(G406:J406),1))</f>
        <v/>
      </c>
      <c r="L406" s="2" t="n"/>
      <c r="M406" s="2" t="n"/>
      <c r="N406" s="2" t="n"/>
      <c r="O406" s="2" t="n"/>
    </row>
    <row r="407">
      <c r="A407" s="2" t="n"/>
      <c r="B407" s="2" t="n"/>
      <c r="C407" s="2" t="n"/>
      <c r="D407" s="2" t="n"/>
      <c r="E407" s="2" t="n"/>
      <c r="F407" s="2" t="n"/>
      <c r="G407" s="2" t="n"/>
      <c r="H407" s="2" t="n"/>
      <c r="I407" s="2" t="n"/>
      <c r="J407" s="2" t="n"/>
      <c r="K407" s="2">
        <f>IF(COUNTA(G407:J407)&lt;4,"",ROUND(AVERAGE(G407:J407),1))</f>
        <v/>
      </c>
      <c r="L407" s="2" t="n"/>
      <c r="M407" s="2" t="n"/>
      <c r="N407" s="2" t="n"/>
      <c r="O407" s="2" t="n"/>
    </row>
    <row r="408">
      <c r="A408" s="2" t="n"/>
      <c r="B408" s="2" t="n"/>
      <c r="C408" s="2" t="n"/>
      <c r="D408" s="2" t="n"/>
      <c r="E408" s="2" t="n"/>
      <c r="F408" s="2" t="n"/>
      <c r="G408" s="2" t="n"/>
      <c r="H408" s="2" t="n"/>
      <c r="I408" s="2" t="n"/>
      <c r="J408" s="2" t="n"/>
      <c r="K408" s="2">
        <f>IF(COUNTA(G408:J408)&lt;4,"",ROUND(AVERAGE(G408:J408),1))</f>
        <v/>
      </c>
      <c r="L408" s="2" t="n"/>
      <c r="M408" s="2" t="n"/>
      <c r="N408" s="2" t="n"/>
      <c r="O408" s="2" t="n"/>
    </row>
    <row r="409">
      <c r="A409" s="2" t="n"/>
      <c r="B409" s="2" t="n"/>
      <c r="C409" s="2" t="n"/>
      <c r="D409" s="2" t="n"/>
      <c r="E409" s="2" t="n"/>
      <c r="F409" s="2" t="n"/>
      <c r="G409" s="2" t="n"/>
      <c r="H409" s="2" t="n"/>
      <c r="I409" s="2" t="n"/>
      <c r="J409" s="2" t="n"/>
      <c r="K409" s="2">
        <f>IF(COUNTA(G409:J409)&lt;4,"",ROUND(AVERAGE(G409:J409),1))</f>
        <v/>
      </c>
      <c r="L409" s="2" t="n"/>
      <c r="M409" s="2" t="n"/>
      <c r="N409" s="2" t="n"/>
      <c r="O409" s="2" t="n"/>
    </row>
    <row r="410">
      <c r="A410" s="2" t="n"/>
      <c r="B410" s="2" t="n"/>
      <c r="C410" s="2" t="n"/>
      <c r="D410" s="2" t="n"/>
      <c r="E410" s="2" t="n"/>
      <c r="F410" s="2" t="n"/>
      <c r="G410" s="2" t="n"/>
      <c r="H410" s="2" t="n"/>
      <c r="I410" s="2" t="n"/>
      <c r="J410" s="2" t="n"/>
      <c r="K410" s="2">
        <f>IF(COUNTA(G410:J410)&lt;4,"",ROUND(AVERAGE(G410:J410),1))</f>
        <v/>
      </c>
      <c r="L410" s="2" t="n"/>
      <c r="M410" s="2" t="n"/>
      <c r="N410" s="2" t="n"/>
      <c r="O410" s="2" t="n"/>
    </row>
    <row r="411">
      <c r="A411" s="2" t="n"/>
      <c r="B411" s="2" t="n"/>
      <c r="C411" s="2" t="n"/>
      <c r="D411" s="2" t="n"/>
      <c r="E411" s="2" t="n"/>
      <c r="F411" s="2" t="n"/>
      <c r="G411" s="2" t="n"/>
      <c r="H411" s="2" t="n"/>
      <c r="I411" s="2" t="n"/>
      <c r="J411" s="2" t="n"/>
      <c r="K411" s="2">
        <f>IF(COUNTA(G411:J411)&lt;4,"",ROUND(AVERAGE(G411:J411),1))</f>
        <v/>
      </c>
      <c r="L411" s="2" t="n"/>
      <c r="M411" s="2" t="n"/>
      <c r="N411" s="2" t="n"/>
      <c r="O411" s="2" t="n"/>
    </row>
    <row r="412">
      <c r="A412" s="2" t="n"/>
      <c r="B412" s="2" t="n"/>
      <c r="C412" s="2" t="n"/>
      <c r="D412" s="2" t="n"/>
      <c r="E412" s="2" t="n"/>
      <c r="F412" s="2" t="n"/>
      <c r="G412" s="2" t="n"/>
      <c r="H412" s="2" t="n"/>
      <c r="I412" s="2" t="n"/>
      <c r="J412" s="2" t="n"/>
      <c r="K412" s="2">
        <f>IF(COUNTA(G412:J412)&lt;4,"",ROUND(AVERAGE(G412:J412),1))</f>
        <v/>
      </c>
      <c r="L412" s="2" t="n"/>
      <c r="M412" s="2" t="n"/>
      <c r="N412" s="2" t="n"/>
      <c r="O412" s="2" t="n"/>
    </row>
    <row r="413">
      <c r="A413" s="2" t="n"/>
      <c r="B413" s="2" t="n"/>
      <c r="C413" s="2" t="n"/>
      <c r="D413" s="2" t="n"/>
      <c r="E413" s="2" t="n"/>
      <c r="F413" s="2" t="n"/>
      <c r="G413" s="2" t="n"/>
      <c r="H413" s="2" t="n"/>
      <c r="I413" s="2" t="n"/>
      <c r="J413" s="2" t="n"/>
      <c r="K413" s="2">
        <f>IF(COUNTA(G413:J413)&lt;4,"",ROUND(AVERAGE(G413:J413),1))</f>
        <v/>
      </c>
      <c r="L413" s="2" t="n"/>
      <c r="M413" s="2" t="n"/>
      <c r="N413" s="2" t="n"/>
      <c r="O413" s="2" t="n"/>
    </row>
    <row r="414">
      <c r="A414" s="2" t="n"/>
      <c r="B414" s="2" t="n"/>
      <c r="C414" s="2" t="n"/>
      <c r="D414" s="2" t="n"/>
      <c r="E414" s="2" t="n"/>
      <c r="F414" s="2" t="n"/>
      <c r="G414" s="2" t="n"/>
      <c r="H414" s="2" t="n"/>
      <c r="I414" s="2" t="n"/>
      <c r="J414" s="2" t="n"/>
      <c r="K414" s="2">
        <f>IF(COUNTA(G414:J414)&lt;4,"",ROUND(AVERAGE(G414:J414),1))</f>
        <v/>
      </c>
      <c r="L414" s="2" t="n"/>
      <c r="M414" s="2" t="n"/>
      <c r="N414" s="2" t="n"/>
      <c r="O414" s="2" t="n"/>
    </row>
    <row r="415">
      <c r="A415" s="2" t="n"/>
      <c r="B415" s="2" t="n"/>
      <c r="C415" s="2" t="n"/>
      <c r="D415" s="2" t="n"/>
      <c r="E415" s="2" t="n"/>
      <c r="F415" s="2" t="n"/>
      <c r="G415" s="2" t="n"/>
      <c r="H415" s="2" t="n"/>
      <c r="I415" s="2" t="n"/>
      <c r="J415" s="2" t="n"/>
      <c r="K415" s="2">
        <f>IF(COUNTA(G415:J415)&lt;4,"",ROUND(AVERAGE(G415:J415),1))</f>
        <v/>
      </c>
      <c r="L415" s="2" t="n"/>
      <c r="M415" s="2" t="n"/>
      <c r="N415" s="2" t="n"/>
      <c r="O415" s="2" t="n"/>
    </row>
    <row r="416">
      <c r="A416" s="2" t="n"/>
      <c r="B416" s="2" t="n"/>
      <c r="C416" s="2" t="n"/>
      <c r="D416" s="2" t="n"/>
      <c r="E416" s="2" t="n"/>
      <c r="F416" s="2" t="n"/>
      <c r="G416" s="2" t="n"/>
      <c r="H416" s="2" t="n"/>
      <c r="I416" s="2" t="n"/>
      <c r="J416" s="2" t="n"/>
      <c r="K416" s="2">
        <f>IF(COUNTA(G416:J416)&lt;4,"",ROUND(AVERAGE(G416:J416),1))</f>
        <v/>
      </c>
      <c r="L416" s="2" t="n"/>
      <c r="M416" s="2" t="n"/>
      <c r="N416" s="2" t="n"/>
      <c r="O416" s="2" t="n"/>
    </row>
    <row r="417">
      <c r="A417" s="2" t="n"/>
      <c r="B417" s="2" t="n"/>
      <c r="C417" s="2" t="n"/>
      <c r="D417" s="2" t="n"/>
      <c r="E417" s="2" t="n"/>
      <c r="F417" s="2" t="n"/>
      <c r="G417" s="2" t="n"/>
      <c r="H417" s="2" t="n"/>
      <c r="I417" s="2" t="n"/>
      <c r="J417" s="2" t="n"/>
      <c r="K417" s="2">
        <f>IF(COUNTA(G417:J417)&lt;4,"",ROUND(AVERAGE(G417:J417),1))</f>
        <v/>
      </c>
      <c r="L417" s="2" t="n"/>
      <c r="M417" s="2" t="n"/>
      <c r="N417" s="2" t="n"/>
      <c r="O417" s="2" t="n"/>
    </row>
    <row r="418">
      <c r="A418" s="2" t="n"/>
      <c r="B418" s="2" t="n"/>
      <c r="C418" s="2" t="n"/>
      <c r="D418" s="2" t="n"/>
      <c r="E418" s="2" t="n"/>
      <c r="F418" s="2" t="n"/>
      <c r="G418" s="2" t="n"/>
      <c r="H418" s="2" t="n"/>
      <c r="I418" s="2" t="n"/>
      <c r="J418" s="2" t="n"/>
      <c r="K418" s="2">
        <f>IF(COUNTA(G418:J418)&lt;4,"",ROUND(AVERAGE(G418:J418),1))</f>
        <v/>
      </c>
      <c r="L418" s="2" t="n"/>
      <c r="M418" s="2" t="n"/>
      <c r="N418" s="2" t="n"/>
      <c r="O418" s="2" t="n"/>
    </row>
    <row r="419">
      <c r="A419" s="2" t="n"/>
      <c r="B419" s="2" t="n"/>
      <c r="C419" s="2" t="n"/>
      <c r="D419" s="2" t="n"/>
      <c r="E419" s="2" t="n"/>
      <c r="F419" s="2" t="n"/>
      <c r="G419" s="2" t="n"/>
      <c r="H419" s="2" t="n"/>
      <c r="I419" s="2" t="n"/>
      <c r="J419" s="2" t="n"/>
      <c r="K419" s="2">
        <f>IF(COUNTA(G419:J419)&lt;4,"",ROUND(AVERAGE(G419:J419),1))</f>
        <v/>
      </c>
      <c r="L419" s="2" t="n"/>
      <c r="M419" s="2" t="n"/>
      <c r="N419" s="2" t="n"/>
      <c r="O419" s="2" t="n"/>
    </row>
    <row r="420">
      <c r="A420" s="2" t="n"/>
      <c r="B420" s="2" t="n"/>
      <c r="C420" s="2" t="n"/>
      <c r="D420" s="2" t="n"/>
      <c r="E420" s="2" t="n"/>
      <c r="F420" s="2" t="n"/>
      <c r="G420" s="2" t="n"/>
      <c r="H420" s="2" t="n"/>
      <c r="I420" s="2" t="n"/>
      <c r="J420" s="2" t="n"/>
      <c r="K420" s="2">
        <f>IF(COUNTA(G420:J420)&lt;4,"",ROUND(AVERAGE(G420:J420),1))</f>
        <v/>
      </c>
      <c r="L420" s="2" t="n"/>
      <c r="M420" s="2" t="n"/>
      <c r="N420" s="2" t="n"/>
      <c r="O420" s="2" t="n"/>
    </row>
    <row r="421">
      <c r="A421" s="2" t="n"/>
      <c r="B421" s="2" t="n"/>
      <c r="C421" s="2" t="n"/>
      <c r="D421" s="2" t="n"/>
      <c r="E421" s="2" t="n"/>
      <c r="F421" s="2" t="n"/>
      <c r="G421" s="2" t="n"/>
      <c r="H421" s="2" t="n"/>
      <c r="I421" s="2" t="n"/>
      <c r="J421" s="2" t="n"/>
      <c r="K421" s="2">
        <f>IF(COUNTA(G421:J421)&lt;4,"",ROUND(AVERAGE(G421:J421),1))</f>
        <v/>
      </c>
      <c r="L421" s="2" t="n"/>
      <c r="M421" s="2" t="n"/>
      <c r="N421" s="2" t="n"/>
      <c r="O421" s="2" t="n"/>
    </row>
    <row r="422">
      <c r="A422" s="2" t="n"/>
      <c r="B422" s="2" t="n"/>
      <c r="C422" s="2" t="n"/>
      <c r="D422" s="2" t="n"/>
      <c r="E422" s="2" t="n"/>
      <c r="F422" s="2" t="n"/>
      <c r="G422" s="2" t="n"/>
      <c r="H422" s="2" t="n"/>
      <c r="I422" s="2" t="n"/>
      <c r="J422" s="2" t="n"/>
      <c r="K422" s="2">
        <f>IF(COUNTA(G422:J422)&lt;4,"",ROUND(AVERAGE(G422:J422),1))</f>
        <v/>
      </c>
      <c r="L422" s="2" t="n"/>
      <c r="M422" s="2" t="n"/>
      <c r="N422" s="2" t="n"/>
      <c r="O422" s="2" t="n"/>
    </row>
    <row r="423">
      <c r="A423" s="2" t="n"/>
      <c r="B423" s="2" t="n"/>
      <c r="C423" s="2" t="n"/>
      <c r="D423" s="2" t="n"/>
      <c r="E423" s="2" t="n"/>
      <c r="F423" s="2" t="n"/>
      <c r="G423" s="2" t="n"/>
      <c r="H423" s="2" t="n"/>
      <c r="I423" s="2" t="n"/>
      <c r="J423" s="2" t="n"/>
      <c r="K423" s="2">
        <f>IF(COUNTA(G423:J423)&lt;4,"",ROUND(AVERAGE(G423:J423),1))</f>
        <v/>
      </c>
      <c r="L423" s="2" t="n"/>
      <c r="M423" s="2" t="n"/>
      <c r="N423" s="2" t="n"/>
      <c r="O423" s="2" t="n"/>
    </row>
    <row r="424">
      <c r="A424" s="2" t="n"/>
      <c r="B424" s="2" t="n"/>
      <c r="C424" s="2" t="n"/>
      <c r="D424" s="2" t="n"/>
      <c r="E424" s="2" t="n"/>
      <c r="F424" s="2" t="n"/>
      <c r="G424" s="2" t="n"/>
      <c r="H424" s="2" t="n"/>
      <c r="I424" s="2" t="n"/>
      <c r="J424" s="2" t="n"/>
      <c r="K424" s="2">
        <f>IF(COUNTA(G424:J424)&lt;4,"",ROUND(AVERAGE(G424:J424),1))</f>
        <v/>
      </c>
      <c r="L424" s="2" t="n"/>
      <c r="M424" s="2" t="n"/>
      <c r="N424" s="2" t="n"/>
      <c r="O424" s="2" t="n"/>
    </row>
    <row r="425">
      <c r="A425" s="2" t="n"/>
      <c r="B425" s="2" t="n"/>
      <c r="C425" s="2" t="n"/>
      <c r="D425" s="2" t="n"/>
      <c r="E425" s="2" t="n"/>
      <c r="F425" s="2" t="n"/>
      <c r="G425" s="2" t="n"/>
      <c r="H425" s="2" t="n"/>
      <c r="I425" s="2" t="n"/>
      <c r="J425" s="2" t="n"/>
      <c r="K425" s="2">
        <f>IF(COUNTA(G425:J425)&lt;4,"",ROUND(AVERAGE(G425:J425),1))</f>
        <v/>
      </c>
      <c r="L425" s="2" t="n"/>
      <c r="M425" s="2" t="n"/>
      <c r="N425" s="2" t="n"/>
      <c r="O425" s="2" t="n"/>
    </row>
    <row r="426">
      <c r="A426" s="2" t="n"/>
      <c r="B426" s="2" t="n"/>
      <c r="C426" s="2" t="n"/>
      <c r="D426" s="2" t="n"/>
      <c r="E426" s="2" t="n"/>
      <c r="F426" s="2" t="n"/>
      <c r="G426" s="2" t="n"/>
      <c r="H426" s="2" t="n"/>
      <c r="I426" s="2" t="n"/>
      <c r="J426" s="2" t="n"/>
      <c r="K426" s="2">
        <f>IF(COUNTA(G426:J426)&lt;4,"",ROUND(AVERAGE(G426:J426),1))</f>
        <v/>
      </c>
      <c r="L426" s="2" t="n"/>
      <c r="M426" s="2" t="n"/>
      <c r="N426" s="2" t="n"/>
      <c r="O426" s="2" t="n"/>
    </row>
    <row r="427">
      <c r="A427" s="2" t="n"/>
      <c r="B427" s="2" t="n"/>
      <c r="C427" s="2" t="n"/>
      <c r="D427" s="2" t="n"/>
      <c r="E427" s="2" t="n"/>
      <c r="F427" s="2" t="n"/>
      <c r="G427" s="2" t="n"/>
      <c r="H427" s="2" t="n"/>
      <c r="I427" s="2" t="n"/>
      <c r="J427" s="2" t="n"/>
      <c r="K427" s="2">
        <f>IF(COUNTA(G427:J427)&lt;4,"",ROUND(AVERAGE(G427:J427),1))</f>
        <v/>
      </c>
      <c r="L427" s="2" t="n"/>
      <c r="M427" s="2" t="n"/>
      <c r="N427" s="2" t="n"/>
      <c r="O427" s="2" t="n"/>
    </row>
    <row r="428">
      <c r="A428" s="2" t="n"/>
      <c r="B428" s="2" t="n"/>
      <c r="C428" s="2" t="n"/>
      <c r="D428" s="2" t="n"/>
      <c r="E428" s="2" t="n"/>
      <c r="F428" s="2" t="n"/>
      <c r="G428" s="2" t="n"/>
      <c r="H428" s="2" t="n"/>
      <c r="I428" s="2" t="n"/>
      <c r="J428" s="2" t="n"/>
      <c r="K428" s="2">
        <f>IF(COUNTA(G428:J428)&lt;4,"",ROUND(AVERAGE(G428:J428),1))</f>
        <v/>
      </c>
      <c r="L428" s="2" t="n"/>
      <c r="M428" s="2" t="n"/>
      <c r="N428" s="2" t="n"/>
      <c r="O428" s="2" t="n"/>
    </row>
    <row r="429">
      <c r="A429" s="2" t="n"/>
      <c r="B429" s="2" t="n"/>
      <c r="C429" s="2" t="n"/>
      <c r="D429" s="2" t="n"/>
      <c r="E429" s="2" t="n"/>
      <c r="F429" s="2" t="n"/>
      <c r="G429" s="2" t="n"/>
      <c r="H429" s="2" t="n"/>
      <c r="I429" s="2" t="n"/>
      <c r="J429" s="2" t="n"/>
      <c r="K429" s="2">
        <f>IF(COUNTA(G429:J429)&lt;4,"",ROUND(AVERAGE(G429:J429),1))</f>
        <v/>
      </c>
      <c r="L429" s="2" t="n"/>
      <c r="M429" s="2" t="n"/>
      <c r="N429" s="2" t="n"/>
      <c r="O429" s="2" t="n"/>
    </row>
    <row r="430">
      <c r="A430" s="2" t="n"/>
      <c r="B430" s="2" t="n"/>
      <c r="C430" s="2" t="n"/>
      <c r="D430" s="2" t="n"/>
      <c r="E430" s="2" t="n"/>
      <c r="F430" s="2" t="n"/>
      <c r="G430" s="2" t="n"/>
      <c r="H430" s="2" t="n"/>
      <c r="I430" s="2" t="n"/>
      <c r="J430" s="2" t="n"/>
      <c r="K430" s="2">
        <f>IF(COUNTA(G430:J430)&lt;4,"",ROUND(AVERAGE(G430:J430),1))</f>
        <v/>
      </c>
      <c r="L430" s="2" t="n"/>
      <c r="M430" s="2" t="n"/>
      <c r="N430" s="2" t="n"/>
      <c r="O430" s="2" t="n"/>
    </row>
    <row r="431">
      <c r="A431" s="2" t="n"/>
      <c r="B431" s="2" t="n"/>
      <c r="C431" s="2" t="n"/>
      <c r="D431" s="2" t="n"/>
      <c r="E431" s="2" t="n"/>
      <c r="F431" s="2" t="n"/>
      <c r="G431" s="2" t="n"/>
      <c r="H431" s="2" t="n"/>
      <c r="I431" s="2" t="n"/>
      <c r="J431" s="2" t="n"/>
      <c r="K431" s="2">
        <f>IF(COUNTA(G431:J431)&lt;4,"",ROUND(AVERAGE(G431:J431),1))</f>
        <v/>
      </c>
      <c r="L431" s="2" t="n"/>
      <c r="M431" s="2" t="n"/>
      <c r="N431" s="2" t="n"/>
      <c r="O431" s="2" t="n"/>
    </row>
    <row r="432">
      <c r="A432" s="2" t="n"/>
      <c r="B432" s="2" t="n"/>
      <c r="C432" s="2" t="n"/>
      <c r="D432" s="2" t="n"/>
      <c r="E432" s="2" t="n"/>
      <c r="F432" s="2" t="n"/>
      <c r="G432" s="2" t="n"/>
      <c r="H432" s="2" t="n"/>
      <c r="I432" s="2" t="n"/>
      <c r="J432" s="2" t="n"/>
      <c r="K432" s="2">
        <f>IF(COUNTA(G432:J432)&lt;4,"",ROUND(AVERAGE(G432:J432),1))</f>
        <v/>
      </c>
      <c r="L432" s="2" t="n"/>
      <c r="M432" s="2" t="n"/>
      <c r="N432" s="2" t="n"/>
      <c r="O432" s="2" t="n"/>
    </row>
    <row r="433">
      <c r="A433" s="2" t="n"/>
      <c r="B433" s="2" t="n"/>
      <c r="C433" s="2" t="n"/>
      <c r="D433" s="2" t="n"/>
      <c r="E433" s="2" t="n"/>
      <c r="F433" s="2" t="n"/>
      <c r="G433" s="2" t="n"/>
      <c r="H433" s="2" t="n"/>
      <c r="I433" s="2" t="n"/>
      <c r="J433" s="2" t="n"/>
      <c r="K433" s="2">
        <f>IF(COUNTA(G433:J433)&lt;4,"",ROUND(AVERAGE(G433:J433),1))</f>
        <v/>
      </c>
      <c r="L433" s="2" t="n"/>
      <c r="M433" s="2" t="n"/>
      <c r="N433" s="2" t="n"/>
      <c r="O433" s="2" t="n"/>
    </row>
    <row r="434">
      <c r="A434" s="2" t="n"/>
      <c r="B434" s="2" t="n"/>
      <c r="C434" s="2" t="n"/>
      <c r="D434" s="2" t="n"/>
      <c r="E434" s="2" t="n"/>
      <c r="F434" s="2" t="n"/>
      <c r="G434" s="2" t="n"/>
      <c r="H434" s="2" t="n"/>
      <c r="I434" s="2" t="n"/>
      <c r="J434" s="2" t="n"/>
      <c r="K434" s="2">
        <f>IF(COUNTA(G434:J434)&lt;4,"",ROUND(AVERAGE(G434:J434),1))</f>
        <v/>
      </c>
      <c r="L434" s="2" t="n"/>
      <c r="M434" s="2" t="n"/>
      <c r="N434" s="2" t="n"/>
      <c r="O434" s="2" t="n"/>
    </row>
    <row r="435">
      <c r="A435" s="2" t="n"/>
      <c r="B435" s="2" t="n"/>
      <c r="C435" s="2" t="n"/>
      <c r="D435" s="2" t="n"/>
      <c r="E435" s="2" t="n"/>
      <c r="F435" s="2" t="n"/>
      <c r="G435" s="2" t="n"/>
      <c r="H435" s="2" t="n"/>
      <c r="I435" s="2" t="n"/>
      <c r="J435" s="2" t="n"/>
      <c r="K435" s="2">
        <f>IF(COUNTA(G435:J435)&lt;4,"",ROUND(AVERAGE(G435:J435),1))</f>
        <v/>
      </c>
      <c r="L435" s="2" t="n"/>
      <c r="M435" s="2" t="n"/>
      <c r="N435" s="2" t="n"/>
      <c r="O435" s="2" t="n"/>
    </row>
    <row r="436">
      <c r="A436" s="2" t="n"/>
      <c r="B436" s="2" t="n"/>
      <c r="C436" s="2" t="n"/>
      <c r="D436" s="2" t="n"/>
      <c r="E436" s="2" t="n"/>
      <c r="F436" s="2" t="n"/>
      <c r="G436" s="2" t="n"/>
      <c r="H436" s="2" t="n"/>
      <c r="I436" s="2" t="n"/>
      <c r="J436" s="2" t="n"/>
      <c r="K436" s="2">
        <f>IF(COUNTA(G436:J436)&lt;4,"",ROUND(AVERAGE(G436:J436),1))</f>
        <v/>
      </c>
      <c r="L436" s="2" t="n"/>
      <c r="M436" s="2" t="n"/>
      <c r="N436" s="2" t="n"/>
      <c r="O436" s="2" t="n"/>
    </row>
    <row r="437">
      <c r="A437" s="2" t="n"/>
      <c r="B437" s="2" t="n"/>
      <c r="C437" s="2" t="n"/>
      <c r="D437" s="2" t="n"/>
      <c r="E437" s="2" t="n"/>
      <c r="F437" s="2" t="n"/>
      <c r="G437" s="2" t="n"/>
      <c r="H437" s="2" t="n"/>
      <c r="I437" s="2" t="n"/>
      <c r="J437" s="2" t="n"/>
      <c r="K437" s="2">
        <f>IF(COUNTA(G437:J437)&lt;4,"",ROUND(AVERAGE(G437:J437),1))</f>
        <v/>
      </c>
      <c r="L437" s="2" t="n"/>
      <c r="M437" s="2" t="n"/>
      <c r="N437" s="2" t="n"/>
      <c r="O437" s="2" t="n"/>
    </row>
    <row r="438">
      <c r="A438" s="2" t="n"/>
      <c r="B438" s="2" t="n"/>
      <c r="C438" s="2" t="n"/>
      <c r="D438" s="2" t="n"/>
      <c r="E438" s="2" t="n"/>
      <c r="F438" s="2" t="n"/>
      <c r="G438" s="2" t="n"/>
      <c r="H438" s="2" t="n"/>
      <c r="I438" s="2" t="n"/>
      <c r="J438" s="2" t="n"/>
      <c r="K438" s="2">
        <f>IF(COUNTA(G438:J438)&lt;4,"",ROUND(AVERAGE(G438:J438),1))</f>
        <v/>
      </c>
      <c r="L438" s="2" t="n"/>
      <c r="M438" s="2" t="n"/>
      <c r="N438" s="2" t="n"/>
      <c r="O438" s="2" t="n"/>
    </row>
    <row r="439">
      <c r="A439" s="2" t="n"/>
      <c r="B439" s="2" t="n"/>
      <c r="C439" s="2" t="n"/>
      <c r="D439" s="2" t="n"/>
      <c r="E439" s="2" t="n"/>
      <c r="F439" s="2" t="n"/>
      <c r="G439" s="2" t="n"/>
      <c r="H439" s="2" t="n"/>
      <c r="I439" s="2" t="n"/>
      <c r="J439" s="2" t="n"/>
      <c r="K439" s="2">
        <f>IF(COUNTA(G439:J439)&lt;4,"",ROUND(AVERAGE(G439:J439),1))</f>
        <v/>
      </c>
      <c r="L439" s="2" t="n"/>
      <c r="M439" s="2" t="n"/>
      <c r="N439" s="2" t="n"/>
      <c r="O439" s="2" t="n"/>
    </row>
    <row r="440">
      <c r="A440" s="2" t="n"/>
      <c r="B440" s="2" t="n"/>
      <c r="C440" s="2" t="n"/>
      <c r="D440" s="2" t="n"/>
      <c r="E440" s="2" t="n"/>
      <c r="F440" s="2" t="n"/>
      <c r="G440" s="2" t="n"/>
      <c r="H440" s="2" t="n"/>
      <c r="I440" s="2" t="n"/>
      <c r="J440" s="2" t="n"/>
      <c r="K440" s="2">
        <f>IF(COUNTA(G440:J440)&lt;4,"",ROUND(AVERAGE(G440:J440),1))</f>
        <v/>
      </c>
      <c r="L440" s="2" t="n"/>
      <c r="M440" s="2" t="n"/>
      <c r="N440" s="2" t="n"/>
      <c r="O440" s="2" t="n"/>
    </row>
    <row r="441">
      <c r="A441" s="2" t="n"/>
      <c r="B441" s="2" t="n"/>
      <c r="C441" s="2" t="n"/>
      <c r="D441" s="2" t="n"/>
      <c r="E441" s="2" t="n"/>
      <c r="F441" s="2" t="n"/>
      <c r="G441" s="2" t="n"/>
      <c r="H441" s="2" t="n"/>
      <c r="I441" s="2" t="n"/>
      <c r="J441" s="2" t="n"/>
      <c r="K441" s="2">
        <f>IF(COUNTA(G441:J441)&lt;4,"",ROUND(AVERAGE(G441:J441),1))</f>
        <v/>
      </c>
      <c r="L441" s="2" t="n"/>
      <c r="M441" s="2" t="n"/>
      <c r="N441" s="2" t="n"/>
      <c r="O441" s="2" t="n"/>
    </row>
    <row r="442">
      <c r="A442" s="2" t="n"/>
      <c r="B442" s="2" t="n"/>
      <c r="C442" s="2" t="n"/>
      <c r="D442" s="2" t="n"/>
      <c r="E442" s="2" t="n"/>
      <c r="F442" s="2" t="n"/>
      <c r="G442" s="2" t="n"/>
      <c r="H442" s="2" t="n"/>
      <c r="I442" s="2" t="n"/>
      <c r="J442" s="2" t="n"/>
      <c r="K442" s="2">
        <f>IF(COUNTA(G442:J442)&lt;4,"",ROUND(AVERAGE(G442:J442),1))</f>
        <v/>
      </c>
      <c r="L442" s="2" t="n"/>
      <c r="M442" s="2" t="n"/>
      <c r="N442" s="2" t="n"/>
      <c r="O442" s="2" t="n"/>
    </row>
    <row r="443">
      <c r="A443" s="2" t="n"/>
      <c r="B443" s="2" t="n"/>
      <c r="C443" s="2" t="n"/>
      <c r="D443" s="2" t="n"/>
      <c r="E443" s="2" t="n"/>
      <c r="F443" s="2" t="n"/>
      <c r="G443" s="2" t="n"/>
      <c r="H443" s="2" t="n"/>
      <c r="I443" s="2" t="n"/>
      <c r="J443" s="2" t="n"/>
      <c r="K443" s="2">
        <f>IF(COUNTA(G443:J443)&lt;4,"",ROUND(AVERAGE(G443:J443),1))</f>
        <v/>
      </c>
      <c r="L443" s="2" t="n"/>
      <c r="M443" s="2" t="n"/>
      <c r="N443" s="2" t="n"/>
      <c r="O443" s="2" t="n"/>
    </row>
    <row r="444">
      <c r="A444" s="2" t="n"/>
      <c r="B444" s="2" t="n"/>
      <c r="C444" s="2" t="n"/>
      <c r="D444" s="2" t="n"/>
      <c r="E444" s="2" t="n"/>
      <c r="F444" s="2" t="n"/>
      <c r="G444" s="2" t="n"/>
      <c r="H444" s="2" t="n"/>
      <c r="I444" s="2" t="n"/>
      <c r="J444" s="2" t="n"/>
      <c r="K444" s="2">
        <f>IF(COUNTA(G444:J444)&lt;4,"",ROUND(AVERAGE(G444:J444),1))</f>
        <v/>
      </c>
      <c r="L444" s="2" t="n"/>
      <c r="M444" s="2" t="n"/>
      <c r="N444" s="2" t="n"/>
      <c r="O444" s="2" t="n"/>
    </row>
    <row r="445">
      <c r="A445" s="2" t="n"/>
      <c r="B445" s="2" t="n"/>
      <c r="C445" s="2" t="n"/>
      <c r="D445" s="2" t="n"/>
      <c r="E445" s="2" t="n"/>
      <c r="F445" s="2" t="n"/>
      <c r="G445" s="2" t="n"/>
      <c r="H445" s="2" t="n"/>
      <c r="I445" s="2" t="n"/>
      <c r="J445" s="2" t="n"/>
      <c r="K445" s="2">
        <f>IF(COUNTA(G445:J445)&lt;4,"",ROUND(AVERAGE(G445:J445),1))</f>
        <v/>
      </c>
      <c r="L445" s="2" t="n"/>
      <c r="M445" s="2" t="n"/>
      <c r="N445" s="2" t="n"/>
      <c r="O445" s="2" t="n"/>
    </row>
    <row r="446">
      <c r="A446" s="2" t="n"/>
      <c r="B446" s="2" t="n"/>
      <c r="C446" s="2" t="n"/>
      <c r="D446" s="2" t="n"/>
      <c r="E446" s="2" t="n"/>
      <c r="F446" s="2" t="n"/>
      <c r="G446" s="2" t="n"/>
      <c r="H446" s="2" t="n"/>
      <c r="I446" s="2" t="n"/>
      <c r="J446" s="2" t="n"/>
      <c r="K446" s="2">
        <f>IF(COUNTA(G446:J446)&lt;4,"",ROUND(AVERAGE(G446:J446),1))</f>
        <v/>
      </c>
      <c r="L446" s="2" t="n"/>
      <c r="M446" s="2" t="n"/>
      <c r="N446" s="2" t="n"/>
      <c r="O446" s="2" t="n"/>
    </row>
    <row r="447">
      <c r="A447" s="2" t="n"/>
      <c r="B447" s="2" t="n"/>
      <c r="C447" s="2" t="n"/>
      <c r="D447" s="2" t="n"/>
      <c r="E447" s="2" t="n"/>
      <c r="F447" s="2" t="n"/>
      <c r="G447" s="2" t="n"/>
      <c r="H447" s="2" t="n"/>
      <c r="I447" s="2" t="n"/>
      <c r="J447" s="2" t="n"/>
      <c r="K447" s="2">
        <f>IF(COUNTA(G447:J447)&lt;4,"",ROUND(AVERAGE(G447:J447),1))</f>
        <v/>
      </c>
      <c r="L447" s="2" t="n"/>
      <c r="M447" s="2" t="n"/>
      <c r="N447" s="2" t="n"/>
      <c r="O447" s="2" t="n"/>
    </row>
    <row r="448">
      <c r="A448" s="2" t="n"/>
      <c r="B448" s="2" t="n"/>
      <c r="C448" s="2" t="n"/>
      <c r="D448" s="2" t="n"/>
      <c r="E448" s="2" t="n"/>
      <c r="F448" s="2" t="n"/>
      <c r="G448" s="2" t="n"/>
      <c r="H448" s="2" t="n"/>
      <c r="I448" s="2" t="n"/>
      <c r="J448" s="2" t="n"/>
      <c r="K448" s="2">
        <f>IF(COUNTA(G448:J448)&lt;4,"",ROUND(AVERAGE(G448:J448),1))</f>
        <v/>
      </c>
      <c r="L448" s="2" t="n"/>
      <c r="M448" s="2" t="n"/>
      <c r="N448" s="2" t="n"/>
      <c r="O448" s="2" t="n"/>
    </row>
    <row r="449">
      <c r="A449" s="2" t="n"/>
      <c r="B449" s="2" t="n"/>
      <c r="C449" s="2" t="n"/>
      <c r="D449" s="2" t="n"/>
      <c r="E449" s="2" t="n"/>
      <c r="F449" s="2" t="n"/>
      <c r="G449" s="2" t="n"/>
      <c r="H449" s="2" t="n"/>
      <c r="I449" s="2" t="n"/>
      <c r="J449" s="2" t="n"/>
      <c r="K449" s="2">
        <f>IF(COUNTA(G449:J449)&lt;4,"",ROUND(AVERAGE(G449:J449),1))</f>
        <v/>
      </c>
      <c r="L449" s="2" t="n"/>
      <c r="M449" s="2" t="n"/>
      <c r="N449" s="2" t="n"/>
      <c r="O449" s="2" t="n"/>
    </row>
    <row r="450">
      <c r="A450" s="2" t="n"/>
      <c r="B450" s="2" t="n"/>
      <c r="C450" s="2" t="n"/>
      <c r="D450" s="2" t="n"/>
      <c r="E450" s="2" t="n"/>
      <c r="F450" s="2" t="n"/>
      <c r="G450" s="2" t="n"/>
      <c r="H450" s="2" t="n"/>
      <c r="I450" s="2" t="n"/>
      <c r="J450" s="2" t="n"/>
      <c r="K450" s="2">
        <f>IF(COUNTA(G450:J450)&lt;4,"",ROUND(AVERAGE(G450:J450),1))</f>
        <v/>
      </c>
      <c r="L450" s="2" t="n"/>
      <c r="M450" s="2" t="n"/>
      <c r="N450" s="2" t="n"/>
      <c r="O450" s="2" t="n"/>
    </row>
    <row r="451">
      <c r="A451" s="2" t="n"/>
      <c r="B451" s="2" t="n"/>
      <c r="C451" s="2" t="n"/>
      <c r="D451" s="2" t="n"/>
      <c r="E451" s="2" t="n"/>
      <c r="F451" s="2" t="n"/>
      <c r="G451" s="2" t="n"/>
      <c r="H451" s="2" t="n"/>
      <c r="I451" s="2" t="n"/>
      <c r="J451" s="2" t="n"/>
      <c r="K451" s="2">
        <f>IF(COUNTA(G451:J451)&lt;4,"",ROUND(AVERAGE(G451:J451),1))</f>
        <v/>
      </c>
      <c r="L451" s="2" t="n"/>
      <c r="M451" s="2" t="n"/>
      <c r="N451" s="2" t="n"/>
      <c r="O451" s="2" t="n"/>
    </row>
    <row r="452">
      <c r="A452" s="2" t="n"/>
      <c r="B452" s="2" t="n"/>
      <c r="C452" s="2" t="n"/>
      <c r="D452" s="2" t="n"/>
      <c r="E452" s="2" t="n"/>
      <c r="F452" s="2" t="n"/>
      <c r="G452" s="2" t="n"/>
      <c r="H452" s="2" t="n"/>
      <c r="I452" s="2" t="n"/>
      <c r="J452" s="2" t="n"/>
      <c r="K452" s="2">
        <f>IF(COUNTA(G452:J452)&lt;4,"",ROUND(AVERAGE(G452:J452),1))</f>
        <v/>
      </c>
      <c r="L452" s="2" t="n"/>
      <c r="M452" s="2" t="n"/>
      <c r="N452" s="2" t="n"/>
      <c r="O452" s="2" t="n"/>
    </row>
    <row r="453">
      <c r="A453" s="2" t="n"/>
      <c r="B453" s="2" t="n"/>
      <c r="C453" s="2" t="n"/>
      <c r="D453" s="2" t="n"/>
      <c r="E453" s="2" t="n"/>
      <c r="F453" s="2" t="n"/>
      <c r="G453" s="2" t="n"/>
      <c r="H453" s="2" t="n"/>
      <c r="I453" s="2" t="n"/>
      <c r="J453" s="2" t="n"/>
      <c r="K453" s="2">
        <f>IF(COUNTA(G453:J453)&lt;4,"",ROUND(AVERAGE(G453:J453),1))</f>
        <v/>
      </c>
      <c r="L453" s="2" t="n"/>
      <c r="M453" s="2" t="n"/>
      <c r="N453" s="2" t="n"/>
      <c r="O453" s="2" t="n"/>
    </row>
    <row r="454">
      <c r="A454" s="2" t="n"/>
      <c r="B454" s="2" t="n"/>
      <c r="C454" s="2" t="n"/>
      <c r="D454" s="2" t="n"/>
      <c r="E454" s="2" t="n"/>
      <c r="F454" s="2" t="n"/>
      <c r="G454" s="2" t="n"/>
      <c r="H454" s="2" t="n"/>
      <c r="I454" s="2" t="n"/>
      <c r="J454" s="2" t="n"/>
      <c r="K454" s="2">
        <f>IF(COUNTA(G454:J454)&lt;4,"",ROUND(AVERAGE(G454:J454),1))</f>
        <v/>
      </c>
      <c r="L454" s="2" t="n"/>
      <c r="M454" s="2" t="n"/>
      <c r="N454" s="2" t="n"/>
      <c r="O454" s="2" t="n"/>
    </row>
    <row r="455">
      <c r="A455" s="2" t="n"/>
      <c r="B455" s="2" t="n"/>
      <c r="C455" s="2" t="n"/>
      <c r="D455" s="2" t="n"/>
      <c r="E455" s="2" t="n"/>
      <c r="F455" s="2" t="n"/>
      <c r="G455" s="2" t="n"/>
      <c r="H455" s="2" t="n"/>
      <c r="I455" s="2" t="n"/>
      <c r="J455" s="2" t="n"/>
      <c r="K455" s="2">
        <f>IF(COUNTA(G455:J455)&lt;4,"",ROUND(AVERAGE(G455:J455),1))</f>
        <v/>
      </c>
      <c r="L455" s="2" t="n"/>
      <c r="M455" s="2" t="n"/>
      <c r="N455" s="2" t="n"/>
      <c r="O455" s="2" t="n"/>
    </row>
    <row r="456">
      <c r="A456" s="2" t="n"/>
      <c r="B456" s="2" t="n"/>
      <c r="C456" s="2" t="n"/>
      <c r="D456" s="2" t="n"/>
      <c r="E456" s="2" t="n"/>
      <c r="F456" s="2" t="n"/>
      <c r="G456" s="2" t="n"/>
      <c r="H456" s="2" t="n"/>
      <c r="I456" s="2" t="n"/>
      <c r="J456" s="2" t="n"/>
      <c r="K456" s="2">
        <f>IF(COUNTA(G456:J456)&lt;4,"",ROUND(AVERAGE(G456:J456),1))</f>
        <v/>
      </c>
      <c r="L456" s="2" t="n"/>
      <c r="M456" s="2" t="n"/>
      <c r="N456" s="2" t="n"/>
      <c r="O456" s="2" t="n"/>
    </row>
    <row r="457">
      <c r="A457" s="2" t="n"/>
      <c r="B457" s="2" t="n"/>
      <c r="C457" s="2" t="n"/>
      <c r="D457" s="2" t="n"/>
      <c r="E457" s="2" t="n"/>
      <c r="F457" s="2" t="n"/>
      <c r="G457" s="2" t="n"/>
      <c r="H457" s="2" t="n"/>
      <c r="I457" s="2" t="n"/>
      <c r="J457" s="2" t="n"/>
      <c r="K457" s="2">
        <f>IF(COUNTA(G457:J457)&lt;4,"",ROUND(AVERAGE(G457:J457),1))</f>
        <v/>
      </c>
      <c r="L457" s="2" t="n"/>
      <c r="M457" s="2" t="n"/>
      <c r="N457" s="2" t="n"/>
      <c r="O457" s="2" t="n"/>
    </row>
    <row r="458">
      <c r="A458" s="2" t="n"/>
      <c r="B458" s="2" t="n"/>
      <c r="C458" s="2" t="n"/>
      <c r="D458" s="2" t="n"/>
      <c r="E458" s="2" t="n"/>
      <c r="F458" s="2" t="n"/>
      <c r="G458" s="2" t="n"/>
      <c r="H458" s="2" t="n"/>
      <c r="I458" s="2" t="n"/>
      <c r="J458" s="2" t="n"/>
      <c r="K458" s="2">
        <f>IF(COUNTA(G458:J458)&lt;4,"",ROUND(AVERAGE(G458:J458),1))</f>
        <v/>
      </c>
      <c r="L458" s="2" t="n"/>
      <c r="M458" s="2" t="n"/>
      <c r="N458" s="2" t="n"/>
      <c r="O458" s="2" t="n"/>
    </row>
    <row r="459">
      <c r="A459" s="2" t="n"/>
      <c r="B459" s="2" t="n"/>
      <c r="C459" s="2" t="n"/>
      <c r="D459" s="2" t="n"/>
      <c r="E459" s="2" t="n"/>
      <c r="F459" s="2" t="n"/>
      <c r="G459" s="2" t="n"/>
      <c r="H459" s="2" t="n"/>
      <c r="I459" s="2" t="n"/>
      <c r="J459" s="2" t="n"/>
      <c r="K459" s="2">
        <f>IF(COUNTA(G459:J459)&lt;4,"",ROUND(AVERAGE(G459:J459),1))</f>
        <v/>
      </c>
      <c r="L459" s="2" t="n"/>
      <c r="M459" s="2" t="n"/>
      <c r="N459" s="2" t="n"/>
      <c r="O459" s="2" t="n"/>
    </row>
    <row r="460">
      <c r="A460" s="2" t="n"/>
      <c r="B460" s="2" t="n"/>
      <c r="C460" s="2" t="n"/>
      <c r="D460" s="2" t="n"/>
      <c r="E460" s="2" t="n"/>
      <c r="F460" s="2" t="n"/>
      <c r="G460" s="2" t="n"/>
      <c r="H460" s="2" t="n"/>
      <c r="I460" s="2" t="n"/>
      <c r="J460" s="2" t="n"/>
      <c r="K460" s="2">
        <f>IF(COUNTA(G460:J460)&lt;4,"",ROUND(AVERAGE(G460:J460),1))</f>
        <v/>
      </c>
      <c r="L460" s="2" t="n"/>
      <c r="M460" s="2" t="n"/>
      <c r="N460" s="2" t="n"/>
      <c r="O460" s="2" t="n"/>
    </row>
    <row r="461">
      <c r="A461" s="2" t="n"/>
      <c r="B461" s="2" t="n"/>
      <c r="C461" s="2" t="n"/>
      <c r="D461" s="2" t="n"/>
      <c r="E461" s="2" t="n"/>
      <c r="F461" s="2" t="n"/>
      <c r="G461" s="2" t="n"/>
      <c r="H461" s="2" t="n"/>
      <c r="I461" s="2" t="n"/>
      <c r="J461" s="2" t="n"/>
      <c r="K461" s="2">
        <f>IF(COUNTA(G461:J461)&lt;4,"",ROUND(AVERAGE(G461:J461),1))</f>
        <v/>
      </c>
      <c r="L461" s="2" t="n"/>
      <c r="M461" s="2" t="n"/>
      <c r="N461" s="2" t="n"/>
      <c r="O461" s="2" t="n"/>
    </row>
    <row r="462">
      <c r="A462" s="2" t="n"/>
      <c r="B462" s="2" t="n"/>
      <c r="C462" s="2" t="n"/>
      <c r="D462" s="2" t="n"/>
      <c r="E462" s="2" t="n"/>
      <c r="F462" s="2" t="n"/>
      <c r="G462" s="2" t="n"/>
      <c r="H462" s="2" t="n"/>
      <c r="I462" s="2" t="n"/>
      <c r="J462" s="2" t="n"/>
      <c r="K462" s="2">
        <f>IF(COUNTA(G462:J462)&lt;4,"",ROUND(AVERAGE(G462:J462),1))</f>
        <v/>
      </c>
      <c r="L462" s="2" t="n"/>
      <c r="M462" s="2" t="n"/>
      <c r="N462" s="2" t="n"/>
      <c r="O462" s="2" t="n"/>
    </row>
    <row r="463">
      <c r="A463" s="2" t="n"/>
      <c r="B463" s="2" t="n"/>
      <c r="C463" s="2" t="n"/>
      <c r="D463" s="2" t="n"/>
      <c r="E463" s="2" t="n"/>
      <c r="F463" s="2" t="n"/>
      <c r="G463" s="2" t="n"/>
      <c r="H463" s="2" t="n"/>
      <c r="I463" s="2" t="n"/>
      <c r="J463" s="2" t="n"/>
      <c r="K463" s="2">
        <f>IF(COUNTA(G463:J463)&lt;4,"",ROUND(AVERAGE(G463:J463),1))</f>
        <v/>
      </c>
      <c r="L463" s="2" t="n"/>
      <c r="M463" s="2" t="n"/>
      <c r="N463" s="2" t="n"/>
      <c r="O463" s="2" t="n"/>
    </row>
    <row r="464">
      <c r="A464" s="2" t="n"/>
      <c r="B464" s="2" t="n"/>
      <c r="C464" s="2" t="n"/>
      <c r="D464" s="2" t="n"/>
      <c r="E464" s="2" t="n"/>
      <c r="F464" s="2" t="n"/>
      <c r="G464" s="2" t="n"/>
      <c r="H464" s="2" t="n"/>
      <c r="I464" s="2" t="n"/>
      <c r="J464" s="2" t="n"/>
      <c r="K464" s="2">
        <f>IF(COUNTA(G464:J464)&lt;4,"",ROUND(AVERAGE(G464:J464),1))</f>
        <v/>
      </c>
      <c r="L464" s="2" t="n"/>
      <c r="M464" s="2" t="n"/>
      <c r="N464" s="2" t="n"/>
      <c r="O464" s="2" t="n"/>
    </row>
    <row r="465">
      <c r="A465" s="2" t="n"/>
      <c r="B465" s="2" t="n"/>
      <c r="C465" s="2" t="n"/>
      <c r="D465" s="2" t="n"/>
      <c r="E465" s="2" t="n"/>
      <c r="F465" s="2" t="n"/>
      <c r="G465" s="2" t="n"/>
      <c r="H465" s="2" t="n"/>
      <c r="I465" s="2" t="n"/>
      <c r="J465" s="2" t="n"/>
      <c r="K465" s="2">
        <f>IF(COUNTA(G465:J465)&lt;4,"",ROUND(AVERAGE(G465:J465),1))</f>
        <v/>
      </c>
      <c r="L465" s="2" t="n"/>
      <c r="M465" s="2" t="n"/>
      <c r="N465" s="2" t="n"/>
      <c r="O465" s="2" t="n"/>
    </row>
    <row r="466">
      <c r="A466" s="2" t="n"/>
      <c r="B466" s="2" t="n"/>
      <c r="C466" s="2" t="n"/>
      <c r="D466" s="2" t="n"/>
      <c r="E466" s="2" t="n"/>
      <c r="F466" s="2" t="n"/>
      <c r="G466" s="2" t="n"/>
      <c r="H466" s="2" t="n"/>
      <c r="I466" s="2" t="n"/>
      <c r="J466" s="2" t="n"/>
      <c r="K466" s="2">
        <f>IF(COUNTA(G466:J466)&lt;4,"",ROUND(AVERAGE(G466:J466),1))</f>
        <v/>
      </c>
      <c r="L466" s="2" t="n"/>
      <c r="M466" s="2" t="n"/>
      <c r="N466" s="2" t="n"/>
      <c r="O466" s="2" t="n"/>
    </row>
    <row r="467">
      <c r="A467" s="2" t="n"/>
      <c r="B467" s="2" t="n"/>
      <c r="C467" s="2" t="n"/>
      <c r="D467" s="2" t="n"/>
      <c r="E467" s="2" t="n"/>
      <c r="F467" s="2" t="n"/>
      <c r="G467" s="2" t="n"/>
      <c r="H467" s="2" t="n"/>
      <c r="I467" s="2" t="n"/>
      <c r="J467" s="2" t="n"/>
      <c r="K467" s="2">
        <f>IF(COUNTA(G467:J467)&lt;4,"",ROUND(AVERAGE(G467:J467),1))</f>
        <v/>
      </c>
      <c r="L467" s="2" t="n"/>
      <c r="M467" s="2" t="n"/>
      <c r="N467" s="2" t="n"/>
      <c r="O467" s="2" t="n"/>
    </row>
    <row r="468">
      <c r="A468" s="2" t="n"/>
      <c r="B468" s="2" t="n"/>
      <c r="C468" s="2" t="n"/>
      <c r="D468" s="2" t="n"/>
      <c r="E468" s="2" t="n"/>
      <c r="F468" s="2" t="n"/>
      <c r="G468" s="2" t="n"/>
      <c r="H468" s="2" t="n"/>
      <c r="I468" s="2" t="n"/>
      <c r="J468" s="2" t="n"/>
      <c r="K468" s="2">
        <f>IF(COUNTA(G468:J468)&lt;4,"",ROUND(AVERAGE(G468:J468),1))</f>
        <v/>
      </c>
      <c r="L468" s="2" t="n"/>
      <c r="M468" s="2" t="n"/>
      <c r="N468" s="2" t="n"/>
      <c r="O468" s="2" t="n"/>
    </row>
    <row r="469">
      <c r="A469" s="2" t="n"/>
      <c r="B469" s="2" t="n"/>
      <c r="C469" s="2" t="n"/>
      <c r="D469" s="2" t="n"/>
      <c r="E469" s="2" t="n"/>
      <c r="F469" s="2" t="n"/>
      <c r="G469" s="2" t="n"/>
      <c r="H469" s="2" t="n"/>
      <c r="I469" s="2" t="n"/>
      <c r="J469" s="2" t="n"/>
      <c r="K469" s="2">
        <f>IF(COUNTA(G469:J469)&lt;4,"",ROUND(AVERAGE(G469:J469),1))</f>
        <v/>
      </c>
      <c r="L469" s="2" t="n"/>
      <c r="M469" s="2" t="n"/>
      <c r="N469" s="2" t="n"/>
      <c r="O469" s="2" t="n"/>
    </row>
    <row r="470">
      <c r="A470" s="2" t="n"/>
      <c r="B470" s="2" t="n"/>
      <c r="C470" s="2" t="n"/>
      <c r="D470" s="2" t="n"/>
      <c r="E470" s="2" t="n"/>
      <c r="F470" s="2" t="n"/>
      <c r="G470" s="2" t="n"/>
      <c r="H470" s="2" t="n"/>
      <c r="I470" s="2" t="n"/>
      <c r="J470" s="2" t="n"/>
      <c r="K470" s="2">
        <f>IF(COUNTA(G470:J470)&lt;4,"",ROUND(AVERAGE(G470:J470),1))</f>
        <v/>
      </c>
      <c r="L470" s="2" t="n"/>
      <c r="M470" s="2" t="n"/>
      <c r="N470" s="2" t="n"/>
      <c r="O470" s="2" t="n"/>
    </row>
    <row r="471">
      <c r="A471" s="2" t="n"/>
      <c r="B471" s="2" t="n"/>
      <c r="C471" s="2" t="n"/>
      <c r="D471" s="2" t="n"/>
      <c r="E471" s="2" t="n"/>
      <c r="F471" s="2" t="n"/>
      <c r="G471" s="2" t="n"/>
      <c r="H471" s="2" t="n"/>
      <c r="I471" s="2" t="n"/>
      <c r="J471" s="2" t="n"/>
      <c r="K471" s="2">
        <f>IF(COUNTA(G471:J471)&lt;4,"",ROUND(AVERAGE(G471:J471),1))</f>
        <v/>
      </c>
      <c r="L471" s="2" t="n"/>
      <c r="M471" s="2" t="n"/>
      <c r="N471" s="2" t="n"/>
      <c r="O471" s="2" t="n"/>
    </row>
    <row r="472">
      <c r="A472" s="2" t="n"/>
      <c r="B472" s="2" t="n"/>
      <c r="C472" s="2" t="n"/>
      <c r="D472" s="2" t="n"/>
      <c r="E472" s="2" t="n"/>
      <c r="F472" s="2" t="n"/>
      <c r="G472" s="2" t="n"/>
      <c r="H472" s="2" t="n"/>
      <c r="I472" s="2" t="n"/>
      <c r="J472" s="2" t="n"/>
      <c r="K472" s="2">
        <f>IF(COUNTA(G472:J472)&lt;4,"",ROUND(AVERAGE(G472:J472),1))</f>
        <v/>
      </c>
      <c r="L472" s="2" t="n"/>
      <c r="M472" s="2" t="n"/>
      <c r="N472" s="2" t="n"/>
      <c r="O472" s="2" t="n"/>
    </row>
    <row r="473">
      <c r="A473" s="2" t="n"/>
      <c r="B473" s="2" t="n"/>
      <c r="C473" s="2" t="n"/>
      <c r="D473" s="2" t="n"/>
      <c r="E473" s="2" t="n"/>
      <c r="F473" s="2" t="n"/>
      <c r="G473" s="2" t="n"/>
      <c r="H473" s="2" t="n"/>
      <c r="I473" s="2" t="n"/>
      <c r="J473" s="2" t="n"/>
      <c r="K473" s="2">
        <f>IF(COUNTA(G473:J473)&lt;4,"",ROUND(AVERAGE(G473:J473),1))</f>
        <v/>
      </c>
      <c r="L473" s="2" t="n"/>
      <c r="M473" s="2" t="n"/>
      <c r="N473" s="2" t="n"/>
      <c r="O473" s="2" t="n"/>
    </row>
    <row r="474">
      <c r="A474" s="2" t="n"/>
      <c r="B474" s="2" t="n"/>
      <c r="C474" s="2" t="n"/>
      <c r="D474" s="2" t="n"/>
      <c r="E474" s="2" t="n"/>
      <c r="F474" s="2" t="n"/>
      <c r="G474" s="2" t="n"/>
      <c r="H474" s="2" t="n"/>
      <c r="I474" s="2" t="n"/>
      <c r="J474" s="2" t="n"/>
      <c r="K474" s="2">
        <f>IF(COUNTA(G474:J474)&lt;4,"",ROUND(AVERAGE(G474:J474),1))</f>
        <v/>
      </c>
      <c r="L474" s="2" t="n"/>
      <c r="M474" s="2" t="n"/>
      <c r="N474" s="2" t="n"/>
      <c r="O474" s="2" t="n"/>
    </row>
    <row r="475">
      <c r="A475" s="2" t="n"/>
      <c r="B475" s="2" t="n"/>
      <c r="C475" s="2" t="n"/>
      <c r="D475" s="2" t="n"/>
      <c r="E475" s="2" t="n"/>
      <c r="F475" s="2" t="n"/>
      <c r="G475" s="2" t="n"/>
      <c r="H475" s="2" t="n"/>
      <c r="I475" s="2" t="n"/>
      <c r="J475" s="2" t="n"/>
      <c r="K475" s="2">
        <f>IF(COUNTA(G475:J475)&lt;4,"",ROUND(AVERAGE(G475:J475),1))</f>
        <v/>
      </c>
      <c r="L475" s="2" t="n"/>
      <c r="M475" s="2" t="n"/>
      <c r="N475" s="2" t="n"/>
      <c r="O475" s="2" t="n"/>
    </row>
    <row r="476">
      <c r="A476" s="2" t="n"/>
      <c r="B476" s="2" t="n"/>
      <c r="C476" s="2" t="n"/>
      <c r="D476" s="2" t="n"/>
      <c r="E476" s="2" t="n"/>
      <c r="F476" s="2" t="n"/>
      <c r="G476" s="2" t="n"/>
      <c r="H476" s="2" t="n"/>
      <c r="I476" s="2" t="n"/>
      <c r="J476" s="2" t="n"/>
      <c r="K476" s="2">
        <f>IF(COUNTA(G476:J476)&lt;4,"",ROUND(AVERAGE(G476:J476),1))</f>
        <v/>
      </c>
      <c r="L476" s="2" t="n"/>
      <c r="M476" s="2" t="n"/>
      <c r="N476" s="2" t="n"/>
      <c r="O476" s="2" t="n"/>
    </row>
    <row r="477">
      <c r="A477" s="2" t="n"/>
      <c r="B477" s="2" t="n"/>
      <c r="C477" s="2" t="n"/>
      <c r="D477" s="2" t="n"/>
      <c r="E477" s="2" t="n"/>
      <c r="F477" s="2" t="n"/>
      <c r="G477" s="2" t="n"/>
      <c r="H477" s="2" t="n"/>
      <c r="I477" s="2" t="n"/>
      <c r="J477" s="2" t="n"/>
      <c r="K477" s="2">
        <f>IF(COUNTA(G477:J477)&lt;4,"",ROUND(AVERAGE(G477:J477),1))</f>
        <v/>
      </c>
      <c r="L477" s="2" t="n"/>
      <c r="M477" s="2" t="n"/>
      <c r="N477" s="2" t="n"/>
      <c r="O477" s="2" t="n"/>
    </row>
    <row r="478">
      <c r="A478" s="2" t="n"/>
      <c r="B478" s="2" t="n"/>
      <c r="C478" s="2" t="n"/>
      <c r="D478" s="2" t="n"/>
      <c r="E478" s="2" t="n"/>
      <c r="F478" s="2" t="n"/>
      <c r="G478" s="2" t="n"/>
      <c r="H478" s="2" t="n"/>
      <c r="I478" s="2" t="n"/>
      <c r="J478" s="2" t="n"/>
      <c r="K478" s="2">
        <f>IF(COUNTA(G478:J478)&lt;4,"",ROUND(AVERAGE(G478:J478),1))</f>
        <v/>
      </c>
      <c r="L478" s="2" t="n"/>
      <c r="M478" s="2" t="n"/>
      <c r="N478" s="2" t="n"/>
      <c r="O478" s="2" t="n"/>
    </row>
    <row r="479">
      <c r="A479" s="2" t="n"/>
      <c r="B479" s="2" t="n"/>
      <c r="C479" s="2" t="n"/>
      <c r="D479" s="2" t="n"/>
      <c r="E479" s="2" t="n"/>
      <c r="F479" s="2" t="n"/>
      <c r="G479" s="2" t="n"/>
      <c r="H479" s="2" t="n"/>
      <c r="I479" s="2" t="n"/>
      <c r="J479" s="2" t="n"/>
      <c r="K479" s="2">
        <f>IF(COUNTA(G479:J479)&lt;4,"",ROUND(AVERAGE(G479:J479),1))</f>
        <v/>
      </c>
      <c r="L479" s="2" t="n"/>
      <c r="M479" s="2" t="n"/>
      <c r="N479" s="2" t="n"/>
      <c r="O479" s="2" t="n"/>
    </row>
    <row r="480">
      <c r="A480" s="2" t="n"/>
      <c r="B480" s="2" t="n"/>
      <c r="C480" s="2" t="n"/>
      <c r="D480" s="2" t="n"/>
      <c r="E480" s="2" t="n"/>
      <c r="F480" s="2" t="n"/>
      <c r="G480" s="2" t="n"/>
      <c r="H480" s="2" t="n"/>
      <c r="I480" s="2" t="n"/>
      <c r="J480" s="2" t="n"/>
      <c r="K480" s="2">
        <f>IF(COUNTA(G480:J480)&lt;4,"",ROUND(AVERAGE(G480:J480),1))</f>
        <v/>
      </c>
      <c r="L480" s="2" t="n"/>
      <c r="M480" s="2" t="n"/>
      <c r="N480" s="2" t="n"/>
      <c r="O480" s="2" t="n"/>
    </row>
    <row r="481">
      <c r="A481" s="2" t="n"/>
      <c r="B481" s="2" t="n"/>
      <c r="C481" s="2" t="n"/>
      <c r="D481" s="2" t="n"/>
      <c r="E481" s="2" t="n"/>
      <c r="F481" s="2" t="n"/>
      <c r="G481" s="2" t="n"/>
      <c r="H481" s="2" t="n"/>
      <c r="I481" s="2" t="n"/>
      <c r="J481" s="2" t="n"/>
      <c r="K481" s="2">
        <f>IF(COUNTA(G481:J481)&lt;4,"",ROUND(AVERAGE(G481:J481),1))</f>
        <v/>
      </c>
      <c r="L481" s="2" t="n"/>
      <c r="M481" s="2" t="n"/>
      <c r="N481" s="2" t="n"/>
      <c r="O481" s="2" t="n"/>
    </row>
    <row r="482">
      <c r="A482" s="2" t="n"/>
      <c r="B482" s="2" t="n"/>
      <c r="C482" s="2" t="n"/>
      <c r="D482" s="2" t="n"/>
      <c r="E482" s="2" t="n"/>
      <c r="F482" s="2" t="n"/>
      <c r="G482" s="2" t="n"/>
      <c r="H482" s="2" t="n"/>
      <c r="I482" s="2" t="n"/>
      <c r="J482" s="2" t="n"/>
      <c r="K482" s="2">
        <f>IF(COUNTA(G482:J482)&lt;4,"",ROUND(AVERAGE(G482:J482),1))</f>
        <v/>
      </c>
      <c r="L482" s="2" t="n"/>
      <c r="M482" s="2" t="n"/>
      <c r="N482" s="2" t="n"/>
      <c r="O482" s="2" t="n"/>
    </row>
    <row r="483">
      <c r="A483" s="2" t="n"/>
      <c r="B483" s="2" t="n"/>
      <c r="C483" s="2" t="n"/>
      <c r="D483" s="2" t="n"/>
      <c r="E483" s="2" t="n"/>
      <c r="F483" s="2" t="n"/>
      <c r="G483" s="2" t="n"/>
      <c r="H483" s="2" t="n"/>
      <c r="I483" s="2" t="n"/>
      <c r="J483" s="2" t="n"/>
      <c r="K483" s="2">
        <f>IF(COUNTA(G483:J483)&lt;4,"",ROUND(AVERAGE(G483:J483),1))</f>
        <v/>
      </c>
      <c r="L483" s="2" t="n"/>
      <c r="M483" s="2" t="n"/>
      <c r="N483" s="2" t="n"/>
      <c r="O483" s="2" t="n"/>
    </row>
    <row r="484">
      <c r="A484" s="2" t="n"/>
      <c r="B484" s="2" t="n"/>
      <c r="C484" s="2" t="n"/>
      <c r="D484" s="2" t="n"/>
      <c r="E484" s="2" t="n"/>
      <c r="F484" s="2" t="n"/>
      <c r="G484" s="2" t="n"/>
      <c r="H484" s="2" t="n"/>
      <c r="I484" s="2" t="n"/>
      <c r="J484" s="2" t="n"/>
      <c r="K484" s="2">
        <f>IF(COUNTA(G484:J484)&lt;4,"",ROUND(AVERAGE(G484:J484),1))</f>
        <v/>
      </c>
      <c r="L484" s="2" t="n"/>
      <c r="M484" s="2" t="n"/>
      <c r="N484" s="2" t="n"/>
      <c r="O484" s="2" t="n"/>
    </row>
    <row r="485">
      <c r="A485" s="2" t="n"/>
      <c r="B485" s="2" t="n"/>
      <c r="C485" s="2" t="n"/>
      <c r="D485" s="2" t="n"/>
      <c r="E485" s="2" t="n"/>
      <c r="F485" s="2" t="n"/>
      <c r="G485" s="2" t="n"/>
      <c r="H485" s="2" t="n"/>
      <c r="I485" s="2" t="n"/>
      <c r="J485" s="2" t="n"/>
      <c r="K485" s="2">
        <f>IF(COUNTA(G485:J485)&lt;4,"",ROUND(AVERAGE(G485:J485),1))</f>
        <v/>
      </c>
      <c r="L485" s="2" t="n"/>
      <c r="M485" s="2" t="n"/>
      <c r="N485" s="2" t="n"/>
      <c r="O485" s="2" t="n"/>
    </row>
    <row r="486">
      <c r="A486" s="2" t="n"/>
      <c r="B486" s="2" t="n"/>
      <c r="C486" s="2" t="n"/>
      <c r="D486" s="2" t="n"/>
      <c r="E486" s="2" t="n"/>
      <c r="F486" s="2" t="n"/>
      <c r="G486" s="2" t="n"/>
      <c r="H486" s="2" t="n"/>
      <c r="I486" s="2" t="n"/>
      <c r="J486" s="2" t="n"/>
      <c r="K486" s="2">
        <f>IF(COUNTA(G486:J486)&lt;4,"",ROUND(AVERAGE(G486:J486),1))</f>
        <v/>
      </c>
      <c r="L486" s="2" t="n"/>
      <c r="M486" s="2" t="n"/>
      <c r="N486" s="2" t="n"/>
      <c r="O486" s="2" t="n"/>
    </row>
    <row r="487">
      <c r="A487" s="2" t="n"/>
      <c r="B487" s="2" t="n"/>
      <c r="C487" s="2" t="n"/>
      <c r="D487" s="2" t="n"/>
      <c r="E487" s="2" t="n"/>
      <c r="F487" s="2" t="n"/>
      <c r="G487" s="2" t="n"/>
      <c r="H487" s="2" t="n"/>
      <c r="I487" s="2" t="n"/>
      <c r="J487" s="2" t="n"/>
      <c r="K487" s="2">
        <f>IF(COUNTA(G487:J487)&lt;4,"",ROUND(AVERAGE(G487:J487),1))</f>
        <v/>
      </c>
      <c r="L487" s="2" t="n"/>
      <c r="M487" s="2" t="n"/>
      <c r="N487" s="2" t="n"/>
      <c r="O487" s="2" t="n"/>
    </row>
    <row r="488">
      <c r="A488" s="2" t="n"/>
      <c r="B488" s="2" t="n"/>
      <c r="C488" s="2" t="n"/>
      <c r="D488" s="2" t="n"/>
      <c r="E488" s="2" t="n"/>
      <c r="F488" s="2" t="n"/>
      <c r="G488" s="2" t="n"/>
      <c r="H488" s="2" t="n"/>
      <c r="I488" s="2" t="n"/>
      <c r="J488" s="2" t="n"/>
      <c r="K488" s="2">
        <f>IF(COUNTA(G488:J488)&lt;4,"",ROUND(AVERAGE(G488:J488),1))</f>
        <v/>
      </c>
      <c r="L488" s="2" t="n"/>
      <c r="M488" s="2" t="n"/>
      <c r="N488" s="2" t="n"/>
      <c r="O488" s="2" t="n"/>
    </row>
    <row r="489">
      <c r="A489" s="2" t="n"/>
      <c r="B489" s="2" t="n"/>
      <c r="C489" s="2" t="n"/>
      <c r="D489" s="2" t="n"/>
      <c r="E489" s="2" t="n"/>
      <c r="F489" s="2" t="n"/>
      <c r="G489" s="2" t="n"/>
      <c r="H489" s="2" t="n"/>
      <c r="I489" s="2" t="n"/>
      <c r="J489" s="2" t="n"/>
      <c r="K489" s="2">
        <f>IF(COUNTA(G489:J489)&lt;4,"",ROUND(AVERAGE(G489:J489),1))</f>
        <v/>
      </c>
      <c r="L489" s="2" t="n"/>
      <c r="M489" s="2" t="n"/>
      <c r="N489" s="2" t="n"/>
      <c r="O489" s="2" t="n"/>
    </row>
    <row r="490">
      <c r="A490" s="2" t="n"/>
      <c r="B490" s="2" t="n"/>
      <c r="C490" s="2" t="n"/>
      <c r="D490" s="2" t="n"/>
      <c r="E490" s="2" t="n"/>
      <c r="F490" s="2" t="n"/>
      <c r="G490" s="2" t="n"/>
      <c r="H490" s="2" t="n"/>
      <c r="I490" s="2" t="n"/>
      <c r="J490" s="2" t="n"/>
      <c r="K490" s="2">
        <f>IF(COUNTA(G490:J490)&lt;4,"",ROUND(AVERAGE(G490:J490),1))</f>
        <v/>
      </c>
      <c r="L490" s="2" t="n"/>
      <c r="M490" s="2" t="n"/>
      <c r="N490" s="2" t="n"/>
      <c r="O490" s="2" t="n"/>
    </row>
    <row r="491">
      <c r="A491" s="2" t="n"/>
      <c r="B491" s="2" t="n"/>
      <c r="C491" s="2" t="n"/>
      <c r="D491" s="2" t="n"/>
      <c r="E491" s="2" t="n"/>
      <c r="F491" s="2" t="n"/>
      <c r="G491" s="2" t="n"/>
      <c r="H491" s="2" t="n"/>
      <c r="I491" s="2" t="n"/>
      <c r="J491" s="2" t="n"/>
      <c r="K491" s="2">
        <f>IF(COUNTA(G491:J491)&lt;4,"",ROUND(AVERAGE(G491:J491),1))</f>
        <v/>
      </c>
      <c r="L491" s="2" t="n"/>
      <c r="M491" s="2" t="n"/>
      <c r="N491" s="2" t="n"/>
      <c r="O491" s="2" t="n"/>
    </row>
    <row r="492">
      <c r="A492" s="2" t="n"/>
      <c r="B492" s="2" t="n"/>
      <c r="C492" s="2" t="n"/>
      <c r="D492" s="2" t="n"/>
      <c r="E492" s="2" t="n"/>
      <c r="F492" s="2" t="n"/>
      <c r="G492" s="2" t="n"/>
      <c r="H492" s="2" t="n"/>
      <c r="I492" s="2" t="n"/>
      <c r="J492" s="2" t="n"/>
      <c r="K492" s="2">
        <f>IF(COUNTA(G492:J492)&lt;4,"",ROUND(AVERAGE(G492:J492),1))</f>
        <v/>
      </c>
      <c r="L492" s="2" t="n"/>
      <c r="M492" s="2" t="n"/>
      <c r="N492" s="2" t="n"/>
      <c r="O492" s="2" t="n"/>
    </row>
    <row r="493">
      <c r="A493" s="2" t="n"/>
      <c r="B493" s="2" t="n"/>
      <c r="C493" s="2" t="n"/>
      <c r="D493" s="2" t="n"/>
      <c r="E493" s="2" t="n"/>
      <c r="F493" s="2" t="n"/>
      <c r="G493" s="2" t="n"/>
      <c r="H493" s="2" t="n"/>
      <c r="I493" s="2" t="n"/>
      <c r="J493" s="2" t="n"/>
      <c r="K493" s="2">
        <f>IF(COUNTA(G493:J493)&lt;4,"",ROUND(AVERAGE(G493:J493),1))</f>
        <v/>
      </c>
      <c r="L493" s="2" t="n"/>
      <c r="M493" s="2" t="n"/>
      <c r="N493" s="2" t="n"/>
      <c r="O493" s="2" t="n"/>
    </row>
    <row r="494">
      <c r="A494" s="2" t="n"/>
      <c r="B494" s="2" t="n"/>
      <c r="C494" s="2" t="n"/>
      <c r="D494" s="2" t="n"/>
      <c r="E494" s="2" t="n"/>
      <c r="F494" s="2" t="n"/>
      <c r="G494" s="2" t="n"/>
      <c r="H494" s="2" t="n"/>
      <c r="I494" s="2" t="n"/>
      <c r="J494" s="2" t="n"/>
      <c r="K494" s="2">
        <f>IF(COUNTA(G494:J494)&lt;4,"",ROUND(AVERAGE(G494:J494),1))</f>
        <v/>
      </c>
      <c r="L494" s="2" t="n"/>
      <c r="M494" s="2" t="n"/>
      <c r="N494" s="2" t="n"/>
      <c r="O494" s="2" t="n"/>
    </row>
    <row r="495">
      <c r="A495" s="2" t="n"/>
      <c r="B495" s="2" t="n"/>
      <c r="C495" s="2" t="n"/>
      <c r="D495" s="2" t="n"/>
      <c r="E495" s="2" t="n"/>
      <c r="F495" s="2" t="n"/>
      <c r="G495" s="2" t="n"/>
      <c r="H495" s="2" t="n"/>
      <c r="I495" s="2" t="n"/>
      <c r="J495" s="2" t="n"/>
      <c r="K495" s="2">
        <f>IF(COUNTA(G495:J495)&lt;4,"",ROUND(AVERAGE(G495:J495),1))</f>
        <v/>
      </c>
      <c r="L495" s="2" t="n"/>
      <c r="M495" s="2" t="n"/>
      <c r="N495" s="2" t="n"/>
      <c r="O495" s="2" t="n"/>
    </row>
    <row r="496">
      <c r="A496" s="2" t="n"/>
      <c r="B496" s="2" t="n"/>
      <c r="C496" s="2" t="n"/>
      <c r="D496" s="2" t="n"/>
      <c r="E496" s="2" t="n"/>
      <c r="F496" s="2" t="n"/>
      <c r="G496" s="2" t="n"/>
      <c r="H496" s="2" t="n"/>
      <c r="I496" s="2" t="n"/>
      <c r="J496" s="2" t="n"/>
      <c r="K496" s="2">
        <f>IF(COUNTA(G496:J496)&lt;4,"",ROUND(AVERAGE(G496:J496),1))</f>
        <v/>
      </c>
      <c r="L496" s="2" t="n"/>
      <c r="M496" s="2" t="n"/>
      <c r="N496" s="2" t="n"/>
      <c r="O496" s="2" t="n"/>
    </row>
    <row r="497">
      <c r="A497" s="2" t="n"/>
      <c r="B497" s="2" t="n"/>
      <c r="C497" s="2" t="n"/>
      <c r="D497" s="2" t="n"/>
      <c r="E497" s="2" t="n"/>
      <c r="F497" s="2" t="n"/>
      <c r="G497" s="2" t="n"/>
      <c r="H497" s="2" t="n"/>
      <c r="I497" s="2" t="n"/>
      <c r="J497" s="2" t="n"/>
      <c r="K497" s="2">
        <f>IF(COUNTA(G497:J497)&lt;4,"",ROUND(AVERAGE(G497:J497),1))</f>
        <v/>
      </c>
      <c r="L497" s="2" t="n"/>
      <c r="M497" s="2" t="n"/>
      <c r="N497" s="2" t="n"/>
      <c r="O497" s="2" t="n"/>
    </row>
    <row r="498">
      <c r="A498" s="2" t="n"/>
      <c r="B498" s="2" t="n"/>
      <c r="C498" s="2" t="n"/>
      <c r="D498" s="2" t="n"/>
      <c r="E498" s="2" t="n"/>
      <c r="F498" s="2" t="n"/>
      <c r="G498" s="2" t="n"/>
      <c r="H498" s="2" t="n"/>
      <c r="I498" s="2" t="n"/>
      <c r="J498" s="2" t="n"/>
      <c r="K498" s="2">
        <f>IF(COUNTA(G498:J498)&lt;4,"",ROUND(AVERAGE(G498:J498),1))</f>
        <v/>
      </c>
      <c r="L498" s="2" t="n"/>
      <c r="M498" s="2" t="n"/>
      <c r="N498" s="2" t="n"/>
      <c r="O498" s="2" t="n"/>
    </row>
    <row r="499">
      <c r="A499" s="2" t="n"/>
      <c r="B499" s="2" t="n"/>
      <c r="C499" s="2" t="n"/>
      <c r="D499" s="2" t="n"/>
      <c r="E499" s="2" t="n"/>
      <c r="F499" s="2" t="n"/>
      <c r="G499" s="2" t="n"/>
      <c r="H499" s="2" t="n"/>
      <c r="I499" s="2" t="n"/>
      <c r="J499" s="2" t="n"/>
      <c r="K499" s="2">
        <f>IF(COUNTA(G499:J499)&lt;4,"",ROUND(AVERAGE(G499:J499),1))</f>
        <v/>
      </c>
      <c r="L499" s="2" t="n"/>
      <c r="M499" s="2" t="n"/>
      <c r="N499" s="2" t="n"/>
      <c r="O499" s="2" t="n"/>
    </row>
    <row r="500">
      <c r="A500" s="2" t="n"/>
      <c r="B500" s="2" t="n"/>
      <c r="C500" s="2" t="n"/>
      <c r="D500" s="2" t="n"/>
      <c r="E500" s="2" t="n"/>
      <c r="F500" s="2" t="n"/>
      <c r="G500" s="2" t="n"/>
      <c r="H500" s="2" t="n"/>
      <c r="I500" s="2" t="n"/>
      <c r="J500" s="2" t="n"/>
      <c r="K500" s="2">
        <f>IF(COUNTA(G500:J500)&lt;4,"",ROUND(AVERAGE(G500:J500),1))</f>
        <v/>
      </c>
      <c r="L500" s="2" t="n"/>
      <c r="M500" s="2" t="n"/>
      <c r="N500" s="2" t="n"/>
      <c r="O500" s="2" t="n"/>
    </row>
  </sheetData>
  <autoFilter ref="A1:O50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9"/>
  <sheetViews>
    <sheetView workbookViewId="0">
      <pane ySplit="2" topLeftCell="A3" activePane="bottomLeft" state="frozen"/>
      <selection pane="bottomLeft" activeCell="A1" sqref="A1:D1"/>
    </sheetView>
  </sheetViews>
  <sheetFormatPr baseColWidth="8" defaultRowHeight="15"/>
  <cols>
    <col width="32" customWidth="1" style="15" min="1" max="2"/>
    <col width="12" customWidth="1" style="15" min="3" max="3"/>
    <col width="21" customWidth="1" style="15" min="4" max="4"/>
    <col width="32" customWidth="1" style="15" min="5" max="5"/>
  </cols>
  <sheetData>
    <row r="1">
      <c r="A1" s="18" t="inlineStr">
        <is>
          <t>INTERNSHIP HUNT — LIVE ANALYTICS</t>
        </is>
      </c>
      <c r="B1" s="19" t="n"/>
      <c r="C1" s="19" t="n"/>
      <c r="D1" s="20" t="n"/>
      <c r="E1" s="2" t="n"/>
    </row>
    <row r="2">
      <c r="A2" s="3" t="inlineStr">
        <is>
          <t>Metric</t>
        </is>
      </c>
      <c r="B2" s="2" t="n">
        <v>229</v>
      </c>
      <c r="C2" s="2" t="n"/>
      <c r="D2" s="2" t="n"/>
      <c r="E2" s="2" t="n"/>
      <c r="G2" s="6" t="inlineStr">
        <is>
          <t>V2 Intelligence Metrics</t>
        </is>
      </c>
    </row>
    <row r="3">
      <c r="A3" s="3" t="inlineStr">
        <is>
          <t>Total Jobs</t>
        </is>
      </c>
      <c r="B3" s="2" t="n">
        <v>51</v>
      </c>
      <c r="C3" s="2" t="n"/>
      <c r="D3" s="3" t="inlineStr">
        <is>
          <t>Priority</t>
        </is>
      </c>
      <c r="E3" s="3" t="inlineStr">
        <is>
          <t>Count</t>
        </is>
      </c>
      <c r="G3" s="6" t="inlineStr">
        <is>
          <t>Jobs with eligibility risk</t>
        </is>
      </c>
      <c r="H3">
        <f>COUNTIF(Jobs!#REF!,"risk")</f>
        <v/>
      </c>
    </row>
    <row r="4">
      <c r="A4" s="3" t="inlineStr">
        <is>
          <t>Shortlisted / Apply-level Jobs</t>
        </is>
      </c>
      <c r="B4" s="2" t="n">
        <v>0</v>
      </c>
      <c r="C4" s="2" t="n"/>
      <c r="D4" s="2" t="inlineStr">
        <is>
          <t>P1</t>
        </is>
      </c>
      <c r="E4" s="2">
        <f>COUNTIF(Jobs!#REF!,D4)</f>
        <v/>
      </c>
      <c r="G4" s="6" t="inlineStr">
        <is>
          <t>Jobs with eligibility failure</t>
        </is>
      </c>
      <c r="H4">
        <f>COUNTIF(Jobs!#REF!,"fail")</f>
        <v/>
      </c>
    </row>
    <row r="5">
      <c r="A5" s="3" t="inlineStr">
        <is>
          <t>Applications</t>
        </is>
      </c>
      <c r="B5" s="2">
        <f>COUNTA(Applications!A2:A500)</f>
        <v/>
      </c>
      <c r="C5" s="2" t="n"/>
      <c r="D5" s="2" t="inlineStr">
        <is>
          <t>P2</t>
        </is>
      </c>
      <c r="E5" s="2">
        <f>COUNTIF(Jobs!#REF!,D5)</f>
        <v/>
      </c>
      <c r="G5" s="6" t="inlineStr">
        <is>
          <t>PPO-strong jobs</t>
        </is>
      </c>
      <c r="H5">
        <f>COUNTIF(Jobs!#REF!,"strong")</f>
        <v/>
      </c>
    </row>
    <row r="6">
      <c r="A6" s="3" t="inlineStr">
        <is>
          <t>OAs</t>
        </is>
      </c>
      <c r="B6" s="2" t="n">
        <v>0</v>
      </c>
      <c r="C6" s="2" t="n"/>
      <c r="D6" s="2" t="inlineStr">
        <is>
          <t>P3</t>
        </is>
      </c>
      <c r="E6" s="2">
        <f>COUNTIF(Jobs!#REF!,D6)</f>
        <v/>
      </c>
      <c r="G6" s="6" t="inlineStr">
        <is>
          <t>Compensation to verify</t>
        </is>
      </c>
      <c r="H6">
        <f>COUNTIF(Jobs!#REF!,"verify")</f>
        <v/>
      </c>
    </row>
    <row r="7">
      <c r="A7" s="3" t="inlineStr">
        <is>
          <t>Interviews</t>
        </is>
      </c>
      <c r="B7" s="2" t="n">
        <v>0</v>
      </c>
      <c r="C7" s="2" t="n"/>
      <c r="D7" s="2" t="inlineStr">
        <is>
          <t>P4</t>
        </is>
      </c>
      <c r="E7" s="2">
        <f>COUNTIF(Jobs!#REF!,D7)</f>
        <v/>
      </c>
      <c r="G7" s="6" t="inlineStr">
        <is>
          <t>Apply ASAP jobs</t>
        </is>
      </c>
      <c r="H7">
        <f>COUNTIF(Jobs!#REF!,"APPLY ASAP")</f>
        <v/>
      </c>
    </row>
    <row r="8">
      <c r="A8" s="3" t="inlineStr">
        <is>
          <t>Offers</t>
        </is>
      </c>
      <c r="B8" s="2">
        <f>COUNTIF(Applications!H2:H500,"Offer")+COUNTIF(Applications!H2:H500,"PPO")</f>
        <v/>
      </c>
      <c r="C8" s="2" t="n"/>
      <c r="D8" s="2" t="n"/>
      <c r="E8" s="2" t="n"/>
    </row>
    <row r="9">
      <c r="A9" s="3" t="inlineStr">
        <is>
          <t>PPOs</t>
        </is>
      </c>
      <c r="B9" s="4">
        <f>COUNTIF(Applications!H2:H500,"PPO")</f>
        <v/>
      </c>
      <c r="C9" s="2" t="n"/>
      <c r="D9" s="2" t="n"/>
      <c r="E9" s="2" t="n"/>
    </row>
    <row r="10">
      <c r="A10" s="3" t="inlineStr">
        <is>
          <t>Application → Interview %</t>
        </is>
      </c>
      <c r="B10" s="4">
        <f>IFERROR(B6/B4,0)</f>
        <v/>
      </c>
      <c r="C10" s="2" t="n"/>
      <c r="D10" s="3" t="inlineStr">
        <is>
          <t>Application Status</t>
        </is>
      </c>
      <c r="E10" s="3" t="inlineStr">
        <is>
          <t>Count</t>
        </is>
      </c>
    </row>
    <row r="11">
      <c r="A11" s="3" t="inlineStr">
        <is>
          <t>Application → Offer %</t>
        </is>
      </c>
      <c r="B11" s="4">
        <f>IFERROR(B7/B4,0)</f>
        <v/>
      </c>
      <c r="C11" s="2" t="n"/>
      <c r="D11" s="2" t="inlineStr">
        <is>
          <t>Applied</t>
        </is>
      </c>
      <c r="E11" s="2">
        <f>COUNTIF(Applications!H2:H500,D11)</f>
        <v/>
      </c>
    </row>
    <row r="12">
      <c r="A12" s="2" t="inlineStr">
        <is>
          <t>Application → PPO %</t>
        </is>
      </c>
      <c r="B12" s="2">
        <f>IFERROR(B8/B4,0)</f>
        <v/>
      </c>
      <c r="C12" s="2" t="n"/>
      <c r="D12" s="2" t="inlineStr">
        <is>
          <t>Waiting</t>
        </is>
      </c>
      <c r="E12" s="2">
        <f>COUNTIF(Applications!H2:H500,D12)</f>
        <v/>
      </c>
    </row>
    <row r="13">
      <c r="A13" s="2" t="n"/>
      <c r="B13" s="2" t="n"/>
      <c r="C13" s="2" t="n"/>
      <c r="D13" s="2" t="inlineStr">
        <is>
          <t>OA</t>
        </is>
      </c>
      <c r="E13" s="2">
        <f>COUNTIF(Applications!H2:H500,D13)</f>
        <v/>
      </c>
    </row>
    <row r="14">
      <c r="A14" s="2" t="n"/>
      <c r="B14" s="2" t="n"/>
      <c r="C14" s="2" t="n"/>
      <c r="D14" s="2" t="inlineStr">
        <is>
          <t>Technical Interview</t>
        </is>
      </c>
      <c r="E14" s="2">
        <f>COUNTIF(Applications!H2:H500,D14)</f>
        <v/>
      </c>
    </row>
    <row r="15">
      <c r="A15" s="2" t="n"/>
      <c r="B15" s="2" t="n"/>
      <c r="C15" s="2" t="n"/>
      <c r="D15" s="2" t="inlineStr">
        <is>
          <t>HR/Manager</t>
        </is>
      </c>
      <c r="E15" s="2">
        <f>COUNTIF(Applications!H2:H500,D15)</f>
        <v/>
      </c>
    </row>
    <row r="16">
      <c r="A16" s="2" t="n"/>
      <c r="B16" s="2" t="n"/>
      <c r="C16" s="2" t="n"/>
      <c r="D16" s="2" t="inlineStr">
        <is>
          <t>Offer</t>
        </is>
      </c>
      <c r="E16" s="2">
        <f>COUNTIF(Applications!H2:H500,D16)</f>
        <v/>
      </c>
    </row>
    <row r="17">
      <c r="A17" s="2" t="n"/>
      <c r="B17" s="2" t="n"/>
      <c r="C17" s="2" t="n"/>
      <c r="D17" s="2" t="inlineStr">
        <is>
          <t>Rejected</t>
        </is>
      </c>
      <c r="E17" s="2">
        <f>COUNTIF(Applications!H2:H500,D17)</f>
        <v/>
      </c>
    </row>
    <row r="18">
      <c r="A18" s="2" t="n"/>
      <c r="B18" s="2" t="n"/>
      <c r="C18" s="2" t="n"/>
      <c r="D18" s="2" t="inlineStr">
        <is>
          <t>Ghosted</t>
        </is>
      </c>
      <c r="E18" s="2">
        <f>COUNTIF(Applications!H2:H500,D18)</f>
        <v/>
      </c>
    </row>
    <row r="19">
      <c r="A19" s="2" t="n"/>
      <c r="B19" s="2" t="n"/>
      <c r="C19" s="2" t="n"/>
      <c r="D19" s="2" t="inlineStr">
        <is>
          <t>PPO</t>
        </is>
      </c>
      <c r="E19" s="2">
        <f>COUNTIF(Applications!H2:H500,D19)</f>
        <v/>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K1"/>
  <sheetViews>
    <sheetView workbookViewId="0">
      <pane ySplit="1" topLeftCell="A2" activePane="bottomLeft" state="frozen"/>
      <selection activeCell="A1" sqref="A1:D1"/>
      <selection pane="bottomLeft" activeCell="A1" sqref="A1:D1"/>
    </sheetView>
  </sheetViews>
  <sheetFormatPr baseColWidth="8" defaultRowHeight="15"/>
  <cols>
    <col width="24" customWidth="1" style="15" min="1" max="37"/>
  </cols>
  <sheetData>
    <row r="1">
      <c r="A1" s="5" t="inlineStr">
        <is>
          <t>Job ID</t>
        </is>
      </c>
      <c r="B1" s="5" t="inlineStr">
        <is>
          <t>Company</t>
        </is>
      </c>
      <c r="C1" s="5" t="inlineStr">
        <is>
          <t>Role</t>
        </is>
      </c>
      <c r="D1" s="5" t="inlineStr">
        <is>
          <t>Job URL</t>
        </is>
      </c>
      <c r="E1" s="5" t="inlineStr">
        <is>
          <t>Source</t>
        </is>
      </c>
      <c r="F1" s="5" t="inlineStr">
        <is>
          <t>Location</t>
        </is>
      </c>
      <c r="G1" s="5" t="inlineStr">
        <is>
          <t>Work Mode</t>
        </is>
      </c>
      <c r="H1" s="5" t="inlineStr">
        <is>
          <t>Job Type</t>
        </is>
      </c>
      <c r="I1" s="5" t="inlineStr">
        <is>
          <t>Duration</t>
        </is>
      </c>
      <c r="J1" s="5" t="inlineStr">
        <is>
          <t>Stipend Raw</t>
        </is>
      </c>
      <c r="K1" s="5" t="inlineStr">
        <is>
          <t>Eligibility Status</t>
        </is>
      </c>
      <c r="L1" s="5" t="inlineStr">
        <is>
          <t>Eligibility Reasons</t>
        </is>
      </c>
      <c r="M1" s="5" t="inlineStr">
        <is>
          <t>Availability Status</t>
        </is>
      </c>
      <c r="N1" s="5" t="inlineStr">
        <is>
          <t>Availability Reason</t>
        </is>
      </c>
      <c r="O1" s="5" t="inlineStr">
        <is>
          <t>Compensation Status</t>
        </is>
      </c>
      <c r="P1" s="5" t="inlineStr">
        <is>
          <t>Guaranteed Stipend</t>
        </is>
      </c>
      <c r="Q1" s="5" t="inlineStr">
        <is>
          <t>Incentive Included</t>
        </is>
      </c>
      <c r="R1" s="5" t="inlineStr">
        <is>
          <t>PPO Status</t>
        </is>
      </c>
      <c r="S1" s="5" t="inlineStr">
        <is>
          <t>PPO Evidence</t>
        </is>
      </c>
      <c r="T1" s="5" t="inlineStr">
        <is>
          <t>Technical Fit</t>
        </is>
      </c>
      <c r="U1" s="5" t="inlineStr">
        <is>
          <t>Experience Fit</t>
        </is>
      </c>
      <c r="V1" s="5" t="inlineStr">
        <is>
          <t>Role Fit</t>
        </is>
      </c>
      <c r="W1" s="5" t="inlineStr">
        <is>
          <t>PPO Score</t>
        </is>
      </c>
      <c r="X1" s="5" t="inlineStr">
        <is>
          <t>Compensation Fit</t>
        </is>
      </c>
      <c r="Y1" s="5" t="inlineStr">
        <is>
          <t>Opportunity Quality</t>
        </is>
      </c>
      <c r="Z1" s="5" t="inlineStr">
        <is>
          <t>Overall Score</t>
        </is>
      </c>
      <c r="AA1" s="5" t="inlineStr">
        <is>
          <t>Recommendation</t>
        </is>
      </c>
      <c r="AB1" s="5" t="inlineStr">
        <is>
          <t>Required Skills</t>
        </is>
      </c>
      <c r="AC1" s="5" t="inlineStr">
        <is>
          <t>Preferred Skills</t>
        </is>
      </c>
      <c r="AD1" s="5" t="inlineStr">
        <is>
          <t>Skill Gaps</t>
        </is>
      </c>
      <c r="AE1" s="5" t="inlineStr">
        <is>
          <t>Hard Blockers</t>
        </is>
      </c>
      <c r="AF1" s="5" t="inlineStr">
        <is>
          <t>Red Flags</t>
        </is>
      </c>
      <c r="AG1" s="5" t="inlineStr">
        <is>
          <t>Recommended Resume</t>
        </is>
      </c>
      <c r="AH1" s="5" t="inlineStr">
        <is>
          <t>Interview Topics</t>
        </is>
      </c>
      <c r="AI1" s="5" t="inlineStr">
        <is>
          <t>Why Apply</t>
        </is>
      </c>
      <c r="AJ1" s="5" t="inlineStr">
        <is>
          <t>Why Not</t>
        </is>
      </c>
      <c r="AK1" s="5" t="inlineStr">
        <is>
          <t>Date Found</t>
        </is>
      </c>
    </row>
  </sheetData>
  <autoFilter ref="A1:AK49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0" customWidth="1" style="15" min="1" max="1"/>
    <col width="105" customWidth="1" style="15" min="2" max="2"/>
  </cols>
  <sheetData>
    <row r="1" ht="39" customHeight="1" s="15">
      <c r="A1" s="7" t="inlineStr">
        <is>
          <t>AI → CRM workflow</t>
        </is>
      </c>
      <c r="B1" s="2" t="n"/>
    </row>
    <row r="2">
      <c r="A2" s="2" t="inlineStr">
        <is>
          <t>1</t>
        </is>
      </c>
      <c r="B2" s="2" t="inlineStr">
        <is>
          <t>Run a JD through the AI Job Analyzer.</t>
        </is>
      </c>
    </row>
    <row r="3">
      <c r="A3" s="2" t="inlineStr">
        <is>
          <t>2</t>
        </is>
      </c>
      <c r="B3" s="2" t="inlineStr">
        <is>
          <t>Copy the structured JSON result into the importer script/tool we will build next.</t>
        </is>
      </c>
    </row>
    <row r="4">
      <c r="A4" s="2" t="inlineStr">
        <is>
          <t>3</t>
        </is>
      </c>
      <c r="B4" s="2" t="inlineStr">
        <is>
          <t>The importer maps the analysis into AI_Import and Jobs.</t>
        </is>
      </c>
    </row>
    <row r="5">
      <c r="A5" s="2" t="inlineStr">
        <is>
          <t>4</t>
        </is>
      </c>
      <c r="B5" s="2" t="inlineStr">
        <is>
          <t>Only shortlisted jobs move into Applications after you personally approve them.</t>
        </is>
      </c>
    </row>
    <row r="6">
      <c r="A6" s="2" t="inlineStr">
        <is>
          <t>5</t>
        </is>
      </c>
      <c r="B6" s="2" t="inlineStr">
        <is>
          <t>Never let AI submit applications automatically at this stage.</t>
        </is>
      </c>
    </row>
    <row r="7">
      <c r="A7" s="2" t="inlineStr">
        <is>
          <t>Current scoring</t>
        </is>
      </c>
      <c r="B7" s="2" t="inlineStr">
        <is>
          <t>Technical 30% + Experience 20% + Role 15% + PPO 15% + Compensation 10% + Opportunity Quality 10%.</t>
        </is>
      </c>
    </row>
    <row r="8">
      <c r="A8" s="2" t="inlineStr">
        <is>
          <t>Hard blockers</t>
        </is>
      </c>
      <c r="B8" s="2" t="inlineStr">
        <is>
          <t>Eligibility or availability failure forces SKIP regardless of score.</t>
        </is>
      </c>
    </row>
    <row r="9" ht="30" customHeight="1" s="15">
      <c r="A9" s="2" t="inlineStr">
        <is>
          <t>Compensation</t>
        </is>
      </c>
      <c r="B9" s="2" t="inlineStr">
        <is>
          <t>Guaranteed/fixed pay is what counts toward the ₹25,000 minimum; incentive-only amounts are not treated as guaranteed.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2026-08-17T20:57:55Z</dcterms:created>
  <dcterms:modified xsi:type="dcterms:W3CDTF">2026-09-12T09:12:27Z</dcterms:modified>
  <cp:lastModifiedBy>Amaanuddin Ahmed</cp:lastModifiedBy>
</cp:coreProperties>
</file>