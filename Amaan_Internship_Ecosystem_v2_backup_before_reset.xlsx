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4" autoFilterDateGrouping="1"/>
  </bookViews>
  <sheets>
    <sheet name="Morning Dashboard" sheetId="1" state="visible" r:id="rId1"/>
    <sheet name="README" sheetId="2" state="visible" r:id="rId2"/>
    <sheet name="Career_Profile" sheetId="3" state="visible" r:id="rId3"/>
    <sheet name="Skills" sheetId="4" state="visible" r:id="rId4"/>
    <sheet name="Jobs" sheetId="5" state="visible" r:id="rId5"/>
    <sheet name="Applications" sheetId="6" state="visible" r:id="rId6"/>
    <sheet name="Interviews" sheetId="7" state="visible" r:id="rId7"/>
    <sheet name="Analytics" sheetId="8" state="visible" r:id="rId8"/>
    <sheet name="AI_Import" sheetId="9" state="visible" r:id="rId9"/>
    <sheet name="AI_Import_Guide" sheetId="10" state="visible" r:id="rId10"/>
  </sheets>
  <definedNames>
    <definedName name="_xlnm._FilterDatabase" localSheetId="0" hidden="1">'Morning Dashboard'!$A$12:$L$82</definedName>
    <definedName name="_xlnm._FilterDatabase" localSheetId="4" hidden="1">'Jobs'!$A$1:$Z$1</definedName>
    <definedName name="_xlnm._FilterDatabase" localSheetId="5" hidden="1">'Applications'!$A$1:$Q$500</definedName>
    <definedName name="_xlnm._FilterDatabase" localSheetId="6" hidden="1">'Interviews'!$A$1:$O$500</definedName>
    <definedName name="_xlnm._FilterDatabase" localSheetId="8" hidden="1">'AI_Import'!$A$1:$AK$499</definedName>
  </definedNames>
  <calcPr calcId="19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FFFFFF"/>
      <sz val="11"/>
    </font>
    <font>
      <name val="Calibri"/>
      <b val="1"/>
      <sz val="16"/>
    </font>
    <font>
      <name val="Calibri"/>
      <b val="1"/>
      <sz val="11"/>
    </font>
    <font>
      <name val="Calibri"/>
      <b val="1"/>
      <color rgb="FFFFFFFF"/>
      <sz val="15"/>
    </font>
    <font>
      <name val="Calibri"/>
      <family val="2"/>
      <color theme="10"/>
      <sz val="12"/>
      <scheme val="minor"/>
    </font>
    <font>
      <name val="Calibri"/>
      <b val="1"/>
      <sz val="18"/>
    </font>
    <font>
      <name val="Calibri"/>
      <b val="1"/>
      <sz val="11"/>
    </font>
    <font>
      <name val="Calibri"/>
      <b val="1"/>
      <sz val="14"/>
    </font>
    <font>
      <name val="Calibri"/>
      <b val="1"/>
      <sz val="12"/>
    </font>
    <font>
      <name val="Calibri"/>
      <family val="2"/>
      <b val="1"/>
      <color theme="0"/>
      <sz val="11"/>
      <scheme val="minor"/>
    </font>
    <font>
      <b val="1"/>
      <sz val="18"/>
    </font>
    <font>
      <b val="1"/>
    </font>
    <font>
      <b val="1"/>
      <sz val="14"/>
    </font>
    <font>
      <b val="1"/>
      <sz val="12"/>
    </font>
  </fonts>
  <fills count="9">
    <fill>
      <patternFill/>
    </fill>
    <fill>
      <patternFill patternType="gray125"/>
    </fill>
    <fill>
      <patternFill patternType="solid">
        <fgColor rgb="FF1F2937"/>
      </patternFill>
    </fill>
    <fill>
      <patternFill patternType="solid">
        <fgColor rgb="FFFFF2CC"/>
      </patternFill>
    </fill>
    <fill>
      <patternFill patternType="solid">
        <fgColor rgb="FFE2F0D9"/>
      </patternFill>
    </fill>
    <fill>
      <patternFill patternType="solid">
        <fgColor theme="3" tint="-0.499984740745262"/>
        <bgColor indexed="64"/>
      </patternFill>
    </fill>
    <fill>
      <patternFill patternType="solid">
        <fgColor rgb="00FFF2CC"/>
      </patternFill>
    </fill>
    <fill>
      <patternFill patternType="solid">
        <fgColor rgb="00E2F0D9"/>
      </patternFill>
    </fill>
    <fill>
      <patternFill patternType="solid">
        <fgColor rgb="00FCE4D6"/>
      </patternFill>
    </fill>
  </fills>
  <borders count="8">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right/>
      <top/>
      <bottom style="thin">
        <color auto="1"/>
      </bottom>
      <diagonal/>
    </border>
    <border>
      <left/>
      <right/>
      <top style="thin">
        <color rgb="FFD1D5DB"/>
      </top>
      <bottom/>
      <diagonal/>
    </border>
    <border>
      <left/>
      <right style="thin">
        <color rgb="FFD1D5DB"/>
      </right>
      <top style="thin">
        <color rgb="FFD1D5DB"/>
      </top>
      <bottom/>
      <diagonal/>
    </border>
    <border>
      <bottom style="thin"/>
    </border>
  </borders>
  <cellStyleXfs count="2">
    <xf numFmtId="0" fontId="0" fillId="0" borderId="0"/>
    <xf numFmtId="0" fontId="5" fillId="0" borderId="0"/>
  </cellStyleXfs>
  <cellXfs count="3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164" fontId="0" fillId="0" borderId="1" applyAlignment="1" pivotButton="0" quotePrefix="0" xfId="0">
      <alignment vertical="top" wrapText="1"/>
    </xf>
    <xf numFmtId="0" fontId="1" fillId="2" borderId="1" applyAlignment="1" pivotButton="0" quotePrefix="0" xfId="0">
      <alignment horizontal="center" vertical="center" wrapText="1"/>
    </xf>
    <xf numFmtId="0" fontId="3" fillId="0" borderId="0" pivotButton="0" quotePrefix="0" xfId="0"/>
    <xf numFmtId="0" fontId="4" fillId="2" borderId="1" applyAlignment="1" pivotButton="0" quotePrefix="0" xfId="0">
      <alignment vertical="top" wrapText="1"/>
    </xf>
    <xf numFmtId="0" fontId="7" fillId="0" borderId="0" pivotButton="0" quotePrefix="0" xfId="0"/>
    <xf numFmtId="0" fontId="8" fillId="0" borderId="0" pivotButton="0" quotePrefix="0" xfId="0"/>
    <xf numFmtId="0" fontId="7" fillId="0" borderId="0" applyAlignment="1" pivotButton="0" quotePrefix="0" xfId="0">
      <alignment horizontal="center"/>
    </xf>
    <xf numFmtId="0" fontId="0" fillId="3" borderId="4" applyAlignment="1" pivotButton="0" quotePrefix="0" xfId="0">
      <alignment vertical="top" wrapText="1"/>
    </xf>
    <xf numFmtId="0" fontId="5" fillId="3" borderId="4" pivotButton="0" quotePrefix="0" xfId="1"/>
    <xf numFmtId="0" fontId="0" fillId="4" borderId="4" applyAlignment="1" pivotButton="0" quotePrefix="0" xfId="0">
      <alignment vertical="top" wrapText="1"/>
    </xf>
    <xf numFmtId="0" fontId="9" fillId="0" borderId="0" pivotButton="0" quotePrefix="0" xfId="0"/>
    <xf numFmtId="0" fontId="0" fillId="0" borderId="0" pivotButton="0" quotePrefix="0" xfId="0"/>
    <xf numFmtId="0" fontId="6" fillId="0" borderId="0" pivotButton="0" quotePrefix="0" xfId="0"/>
    <xf numFmtId="0" fontId="8" fillId="0" borderId="0" pivotButton="0" quotePrefix="0" xfId="0"/>
    <xf numFmtId="0" fontId="2" fillId="0" borderId="1" applyAlignment="1" pivotButton="0" quotePrefix="0" xfId="0">
      <alignment vertical="top" wrapText="1"/>
    </xf>
    <xf numFmtId="0" fontId="0" fillId="0" borderId="2" pivotButton="0" quotePrefix="0" xfId="0"/>
    <xf numFmtId="0" fontId="0" fillId="0" borderId="3" pivotButton="0" quotePrefix="0" xfId="0"/>
    <xf numFmtId="0" fontId="10" fillId="5" borderId="0" pivotButton="0" quotePrefix="0" xfId="0"/>
    <xf numFmtId="0" fontId="11" fillId="0" borderId="0" pivotButton="0" quotePrefix="0" xfId="0"/>
    <xf numFmtId="0" fontId="12" fillId="0" borderId="0" pivotButton="0" quotePrefix="0" xfId="0"/>
    <xf numFmtId="0" fontId="13" fillId="0" borderId="0" pivotButton="0" quotePrefix="0" xfId="0"/>
    <xf numFmtId="0" fontId="12" fillId="0" borderId="0" applyAlignment="1" pivotButton="0" quotePrefix="0" xfId="0">
      <alignment horizontal="center"/>
    </xf>
    <xf numFmtId="0" fontId="0" fillId="6" borderId="7" applyAlignment="1" pivotButton="0" quotePrefix="0" xfId="0">
      <alignment vertical="top" wrapText="1"/>
    </xf>
    <xf numFmtId="0" fontId="5" fillId="6" borderId="7" pivotButton="0" quotePrefix="0" xfId="1"/>
    <xf numFmtId="0" fontId="0" fillId="7" borderId="7" applyAlignment="1" pivotButton="0" quotePrefix="0" xfId="0">
      <alignment vertical="top" wrapText="1"/>
    </xf>
    <xf numFmtId="0" fontId="14" fillId="0" borderId="0" pivotButton="0" quotePrefix="0" xfId="0"/>
    <xf numFmtId="0" fontId="5" fillId="7" borderId="7" pivotButton="0" quotePrefix="0" xfId="1"/>
    <xf numFmtId="0" fontId="0" fillId="8" borderId="7" applyAlignment="1" pivotButton="0" quotePrefix="0" xfId="0">
      <alignment vertical="top" wrapText="1"/>
    </xf>
    <xf numFmtId="0" fontId="5" fillId="8" borderId="7" pivotButton="0" quotePrefix="0" xfId="1"/>
  </cellXfs>
  <cellStyles count="2">
    <cellStyle name="Normal" xfId="0" builtinId="0"/>
    <cellStyle name="Hyperlink" xfId="1" builtinId="8"/>
  </cellStyles>
  <dxfs count="1">
    <dxf>
      <fill>
        <patternFill patternType="solid">
          <fgColor rgb="FF86EFA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ternshala.com/internship/detail/work-from-home-software-development-internship-at-chatfin1791275157" TargetMode="External" Id="rId1" /><Relationship Type="http://schemas.openxmlformats.org/officeDocument/2006/relationships/hyperlink" Target="file:///E:/InternshipHunter/applications/internshala-637f78feb536" TargetMode="External" Id="rId2" /><Relationship Type="http://schemas.openxmlformats.org/officeDocument/2006/relationships/hyperlink" Target="https://in.jooble.org/desc/-455657989072061680?ckey=software+engineer+intern&amp;rgn=3193&amp;pos=3&amp;elckey=-914241366255621246&amp;p=1&amp;aq=3344858192535340138&amp;cid=389&amp;jobAge=977&amp;brelb=10&amp;bscr=1640.0364&amp;scr=1640.0364" TargetMode="External" Id="rId3" /><Relationship Type="http://schemas.openxmlformats.org/officeDocument/2006/relationships/hyperlink" Target="file:///E:/InternshipHunter/applications/jooble-aef4be558ffb" TargetMode="External" Id="rId4" /><Relationship Type="http://schemas.openxmlformats.org/officeDocument/2006/relationships/hyperlink" Target="https://internshala.com/internship/detail/full-stack-development-internship-in-bangalore-at-trackzio-mobile-application-private-limited1788771540" TargetMode="External" Id="rId5" /><Relationship Type="http://schemas.openxmlformats.org/officeDocument/2006/relationships/hyperlink" Target="file:///E:/InternshipHunter/applications/internshala-911b266871ec" TargetMode="External" Id="rId6" /><Relationship Type="http://schemas.openxmlformats.org/officeDocument/2006/relationships/hyperlink" Target="https://in.jooble.org/desc/-223100377495796226?ckey=software+engineer+intern&amp;rgn=158289&amp;pos=2&amp;elckey=9062877939385746076&amp;p=1&amp;aq=-726606582862102201&amp;cid=389&amp;jobAge=19&amp;brelb=100&amp;bscr=242.40253&amp;scr=242.40253" TargetMode="External" Id="rId7" /><Relationship Type="http://schemas.openxmlformats.org/officeDocument/2006/relationships/hyperlink" Target="file:///E:/InternshipHunter/applications/jooble-6a54f44e027a" TargetMode="External" Id="rId8" /><Relationship Type="http://schemas.openxmlformats.org/officeDocument/2006/relationships/hyperlink" Target="https://unstop.com/internships/software-engineering-internship-founders-office-brava-1763808" TargetMode="External" Id="rId9" /><Relationship Type="http://schemas.openxmlformats.org/officeDocument/2006/relationships/hyperlink" Target="file:///E:/InternshipHunter/applications/unstop-45359441cea1" TargetMode="External" Id="rId10" /><Relationship Type="http://schemas.openxmlformats.org/officeDocument/2006/relationships/hyperlink" Target="https://in.jooble.org/desc/7218822007534742956?ckey=software+engineer+intern&amp;rgn=3193&amp;pos=20&amp;elckey=-914241366255621246&amp;p=1&amp;aq=3344858192535340138&amp;cid=389&amp;jobAge=713&amp;brelb=10&amp;bscr=726.9999&amp;scr=726.9999" TargetMode="External" Id="rId11" /><Relationship Type="http://schemas.openxmlformats.org/officeDocument/2006/relationships/hyperlink" Target="file:///E:/InternshipHunter/applications/jooble-254226cbc559" TargetMode="External" Id="rId12" /><Relationship Type="http://schemas.openxmlformats.org/officeDocument/2006/relationships/hyperlink" Target="https://internshala.com/internship/detail/full-stack-development-internship-in-multiple-locations-at-creative-squad-private-limited1791262847" TargetMode="External" Id="rId13" /><Relationship Type="http://schemas.openxmlformats.org/officeDocument/2006/relationships/hyperlink" Target="file:///E:/InternshipHunter/applications/internshala-0de52d0f2d0d" TargetMode="External" Id="rId14" /><Relationship Type="http://schemas.openxmlformats.org/officeDocument/2006/relationships/hyperlink" Target="https://unstop.com/internships/full-stack-internship-vortizo-ai-1764849" TargetMode="External" Id="rId15" /><Relationship Type="http://schemas.openxmlformats.org/officeDocument/2006/relationships/hyperlink" Target="file:///E:/InternshipHunter/applications/unstop-621cf3b28b0b" TargetMode="External" Id="rId16" /><Relationship Type="http://schemas.openxmlformats.org/officeDocument/2006/relationships/hyperlink" Target="https://www.adzuna.in/details/5849688632?utm_medium=api&amp;utm_source=5ccdc27f" TargetMode="External" Id="rId17" /><Relationship Type="http://schemas.openxmlformats.org/officeDocument/2006/relationships/hyperlink" Target="file:///E:/InternshipHunter/applications/adzuna-a9b412fb8d46" TargetMode="External" Id="rId18" /><Relationship Type="http://schemas.openxmlformats.org/officeDocument/2006/relationships/hyperlink" Target="https://in.jooble.org/desc/-4248130782317670470?ckey=software+engineer+intern&amp;rgn=3193&amp;pos=10&amp;elckey=-914241366255621246&amp;p=1&amp;aq=3344858192535340138&amp;cid=389&amp;jobAge=6&amp;brelb=100&amp;bscr=1297.9429&amp;scr=1297.9429" TargetMode="External" Id="rId19" /><Relationship Type="http://schemas.openxmlformats.org/officeDocument/2006/relationships/hyperlink" Target="file:///E:/InternshipHunter/applications/jooble-c1f89795df8c" TargetMode="External" Id="rId20" /><Relationship Type="http://schemas.openxmlformats.org/officeDocument/2006/relationships/hyperlink" Target="https://internshala.com/internship/detail/software-development-internship-in-bangalore-at-lavoro-group-of-technologies1789238095" TargetMode="External" Id="rId21" /><Relationship Type="http://schemas.openxmlformats.org/officeDocument/2006/relationships/hyperlink" Target="file:///E:/InternshipHunter/applications/internshala-ab2a1eb06c25" TargetMode="External" Id="rId22" /><Relationship Type="http://schemas.openxmlformats.org/officeDocument/2006/relationships/hyperlink" Target="https://in.jooble.org/desc/5089802996613037634?ckey=software+engineer+intern&amp;rgn=3193&amp;pos=16&amp;elckey=-914241366255621246&amp;p=1&amp;aq=3344858192535340138&amp;cid=389&amp;jobAge=6329&amp;brelb=100&amp;bscr=869.2715&amp;scr=869.2715" TargetMode="External" Id="rId23" /><Relationship Type="http://schemas.openxmlformats.org/officeDocument/2006/relationships/hyperlink" Target="file:///E:/InternshipHunter/applications/jooble-29d645aac51d" TargetMode="External" Id="rId24" /><Relationship Type="http://schemas.openxmlformats.org/officeDocument/2006/relationships/hyperlink" Target="https://internshala.com/internship/detail/full-stack-development-internship-in-bangalore-at-webshark-web-services1791207137" TargetMode="External" Id="rId25" /><Relationship Type="http://schemas.openxmlformats.org/officeDocument/2006/relationships/hyperlink" Target="file:///E:/InternshipHunter/applications/internshala-1ac1c94da1c3" TargetMode="External" Id="rId26" /><Relationship Type="http://schemas.openxmlformats.org/officeDocument/2006/relationships/hyperlink" Target="https://internshala.com/internship/detail/full-stack-development-internship-in-bangalore-at-singularium-technologies-private-limited1789035150" TargetMode="External" Id="rId27" /><Relationship Type="http://schemas.openxmlformats.org/officeDocument/2006/relationships/hyperlink" Target="file:///E:/InternshipHunter/applications/internshala-684caf7f0961" TargetMode="External" Id="rId28" /><Relationship Type="http://schemas.openxmlformats.org/officeDocument/2006/relationships/hyperlink" Target="https://in.jooble.org/desc/-5466943941181979298?ckey=software+engineer+intern&amp;rgn=3193&amp;pos=2&amp;elckey=-914241366255621246&amp;p=1&amp;aq=3344858192535340138&amp;cid=389&amp;jobAge=65&amp;brelb=10&amp;bscr=1680.1357&amp;scr=1680.1357" TargetMode="External" Id="rId29" /><Relationship Type="http://schemas.openxmlformats.org/officeDocument/2006/relationships/hyperlink" Target="file:///E:/InternshipHunter/applications/jooble-04745f7de859" TargetMode="External" Id="rId30" /><Relationship Type="http://schemas.openxmlformats.org/officeDocument/2006/relationships/hyperlink" Target="https://www.adzuna.in/details/5827200226?utm_medium=api&amp;utm_source=5ccdc27f" TargetMode="External" Id="rId31" /><Relationship Type="http://schemas.openxmlformats.org/officeDocument/2006/relationships/hyperlink" Target="file:///E:/InternshipHunter/applications/adzuna-5c386d8a95cc" TargetMode="External" Id="rId32" /><Relationship Type="http://schemas.openxmlformats.org/officeDocument/2006/relationships/hyperlink" Target="https://unstop.com/internships/front-end-developer-internship-preplinc-ai-1764826" TargetMode="External" Id="rId33" /><Relationship Type="http://schemas.openxmlformats.org/officeDocument/2006/relationships/hyperlink" Target="file:///E:/InternshipHunter/applications/unstop-a07b67299b70" TargetMode="External" Id="rId34" /><Relationship Type="http://schemas.openxmlformats.org/officeDocument/2006/relationships/hyperlink" Target="https://unstop.com/internships/full-stack-developer-internship-btow-pvt-ltd-1766343" TargetMode="External" Id="rId35" /><Relationship Type="http://schemas.openxmlformats.org/officeDocument/2006/relationships/hyperlink" Target="file:///E:/InternshipHunter/applications/unstop-884ab4a3287b" TargetMode="External" Id="rId36" /><Relationship Type="http://schemas.openxmlformats.org/officeDocument/2006/relationships/hyperlink" Target="https://in.jooble.org/desc/7896815599256894917?ckey=Node.js+intern&amp;rgn=3193&amp;pos=11&amp;elckey=-5733443963698178074&amp;p=1&amp;aq=-4783003923752355042&amp;cid=389&amp;jobAge=257&amp;brelb=10&amp;bscr=1419.432&amp;scr=1419.432" TargetMode="External" Id="rId37" /><Relationship Type="http://schemas.openxmlformats.org/officeDocument/2006/relationships/hyperlink" Target="https://in.jooble.org/desc/-3697916622688250511?ckey=Node.js+intern&amp;rgn=3193&amp;pos=16&amp;elckey=-5733443963698178074&amp;p=1&amp;aq=-4783003923752355042&amp;cid=389&amp;jobAge=809&amp;brelb=10&amp;bscr=1181.2272&amp;scr=1181.2272" TargetMode="External" Id="rId38" /><Relationship Type="http://schemas.openxmlformats.org/officeDocument/2006/relationships/hyperlink" Target="https://www.adzuna.in/details/3148437412?utm_medium=api&amp;utm_source=5ccdc27f" TargetMode="External" Id="rId39" /><Relationship Type="http://schemas.openxmlformats.org/officeDocument/2006/relationships/hyperlink" Target="https://in.jooble.org/desc/3071963684124717842?ckey=full+stack+developer+intern&amp;rgn=3193&amp;pos=1&amp;elckey=-5710832383287184165&amp;p=1&amp;aq=-6539674257181197563&amp;cid=389&amp;jobAge=593&amp;brelb=10&amp;bscr=1443.3765&amp;scr=1443.3765" TargetMode="External" Id="rId40" /><Relationship Type="http://schemas.openxmlformats.org/officeDocument/2006/relationships/hyperlink" Target="https://in.jooble.org/desc/6094868179520231862?ckey=full+stack+developer+intern&amp;rgn=3193&amp;pos=7&amp;elckey=-5710832383287184165&amp;p=1&amp;aq=-6539674257181197563&amp;cid=389&amp;jobAge=329&amp;brelb=100&amp;bscr=554.2362&amp;scr=554.2362" TargetMode="External" Id="rId41" /><Relationship Type="http://schemas.openxmlformats.org/officeDocument/2006/relationships/hyperlink" Target="https://in.jooble.org/desc/-7374053705931243701?ckey=Node.js+intern&amp;rgn=3193&amp;pos=9&amp;elckey=-5733443963698178074&amp;p=1&amp;aq=-4783003923752355042&amp;cid=389&amp;jobAge=233&amp;brelb=10&amp;bscr=1462.0576&amp;scr=1462.0576" TargetMode="External" Id="rId42" /><Relationship Type="http://schemas.openxmlformats.org/officeDocument/2006/relationships/hyperlink" Target="https://in.jooble.org/desc/-5074416721205970863?ckey=Node.js+intern&amp;rgn=3193&amp;pos=18&amp;elckey=-5733443963698178074&amp;p=1&amp;aq=-4783003923752355042&amp;cid=389&amp;jobAge=89&amp;brelb=10&amp;bscr=1129.1272&amp;scr=1129.1272" TargetMode="External" Id="rId43" /><Relationship Type="http://schemas.openxmlformats.org/officeDocument/2006/relationships/hyperlink" Target="https://www.adzuna.in/details/5420122532?utm_medium=api&amp;utm_source=5ccdc27f" TargetMode="External" Id="rId44" /><Relationship Type="http://schemas.openxmlformats.org/officeDocument/2006/relationships/hyperlink" Target="https://www.adzuna.in/details/5811667426?utm_medium=api&amp;utm_source=5ccdc27f" TargetMode="External" Id="rId45" /><Relationship Type="http://schemas.openxmlformats.org/officeDocument/2006/relationships/hyperlink" Target="https://internshala.com/internship/detail/part-time-software-development-internship-in-bangalore-at-salesforce1789133363" TargetMode="External" Id="rId46" /><Relationship Type="http://schemas.openxmlformats.org/officeDocument/2006/relationships/hyperlink" Target="https://unstop.com/internships/frontend-backend-developer-internship-freeco-education-private-limited-1761163" TargetMode="External" Id="rId47" /><Relationship Type="http://schemas.openxmlformats.org/officeDocument/2006/relationships/hyperlink" Target="https://in.jooble.org/desc/6361268409707951745?ckey=software+engineer+intern&amp;rgn=3193&amp;pos=4&amp;elckey=-914241366255621246&amp;p=1&amp;aq=3344858192535340138&amp;cid=389&amp;jobAge=771&amp;brelb=100&amp;bscr=1590.454&amp;scr=1590.454" TargetMode="External" Id="rId48" /><Relationship Type="http://schemas.openxmlformats.org/officeDocument/2006/relationships/hyperlink" Target="https://www.adzuna.in/details/5857747993?utm_medium=api&amp;utm_source=5ccdc27f" TargetMode="External" Id="rId49" /><Relationship Type="http://schemas.openxmlformats.org/officeDocument/2006/relationships/hyperlink" Target="https://www.adzuna.in/details/5879546730?utm_medium=api&amp;utm_source=5ccdc27f" TargetMode="External" Id="rId50" /><Relationship Type="http://schemas.openxmlformats.org/officeDocument/2006/relationships/hyperlink" Target="https://www.adzuna.in/details/5775777688?utm_medium=api&amp;utm_source=5ccdc27f" TargetMode="External" Id="rId51" /><Relationship Type="http://schemas.openxmlformats.org/officeDocument/2006/relationships/hyperlink" Target="https://www.adzuna.in/details/4476844222?utm_medium=api&amp;utm_source=5ccdc27f" TargetMode="External" Id="rId52" /><Relationship Type="http://schemas.openxmlformats.org/officeDocument/2006/relationships/hyperlink" Target="https://www.adzuna.in/details/2087142658?utm_medium=api&amp;utm_source=5ccdc27f" TargetMode="External" Id="rId53" /><Relationship Type="http://schemas.openxmlformats.org/officeDocument/2006/relationships/hyperlink" Target="https://internshala.com/internship/detail/full-stack-development-internship-in-bangalore-at-euphotic-labs-private-limited1790420869" TargetMode="External" Id="rId54" /><Relationship Type="http://schemas.openxmlformats.org/officeDocument/2006/relationships/hyperlink" Target="https://internshala.com/internship/detail/forward-deployed-software-engineer-internship-in-multiple-locations-at-route-mobile-limited1791288694" TargetMode="External" Id="rId55" /><Relationship Type="http://schemas.openxmlformats.org/officeDocument/2006/relationships/hyperlink" Target="https://internshala.com/internship/detail/web-development-internship-in-bangalore-at-bempu-health1788603990" TargetMode="External" Id="rId56" /><Relationship Type="http://schemas.openxmlformats.org/officeDocument/2006/relationships/hyperlink" Target="https://unstop.com/internships/software-developer-internship-slonix-solution-private-limited-1763156" TargetMode="External" Id="rId57" /><Relationship Type="http://schemas.openxmlformats.org/officeDocument/2006/relationships/hyperlink" Target="https://unstop.com/internships/software-development-engineer-internship-hackerrank-1764422" TargetMode="External" Id="rId58" /><Relationship Type="http://schemas.openxmlformats.org/officeDocument/2006/relationships/hyperlink" Target="https://unstop.com/internships/full-stack-development-internship-codeatrix-1765442" TargetMode="External" Id="rId59" /><Relationship Type="http://schemas.openxmlformats.org/officeDocument/2006/relationships/hyperlink" Target="https://in.jooble.org/desc/4356507815804547926?ckey=full+stack+developer+intern&amp;rgn=3193&amp;pos=6&amp;elckey=-5710832383287184165&amp;p=1&amp;aq=-6539674257181197563&amp;cid=389&amp;jobAge=809&amp;brelb=10&amp;bscr=1243.1244&amp;scr=1243.1244" TargetMode="External" Id="rId60" /><Relationship Type="http://schemas.openxmlformats.org/officeDocument/2006/relationships/hyperlink" Target="https://in.jooble.org/desc/3698294621831243034?ckey=Node.js+intern&amp;rgn=3193&amp;pos=13&amp;elckey=-5733443963698178074&amp;p=1&amp;aq=-4783003923752355042&amp;cid=389&amp;jobAge=89&amp;brelb=10&amp;bscr=1320.1&amp;scr=1320.1" TargetMode="External" Id="rId61" /><Relationship Type="http://schemas.openxmlformats.org/officeDocument/2006/relationships/hyperlink" Target="https://www.adzuna.in/details/5850377111?utm_medium=api&amp;utm_source=5ccdc27f" TargetMode="External" Id="rId62" /><Relationship Type="http://schemas.openxmlformats.org/officeDocument/2006/relationships/hyperlink" Target="https://www.adzuna.in/details/5889570928?utm_medium=api&amp;utm_source=5ccdc27f" TargetMode="External" Id="rId63" /><Relationship Type="http://schemas.openxmlformats.org/officeDocument/2006/relationships/hyperlink" Target="https://www.adzuna.in/details/5565364089?utm_medium=api&amp;utm_source=5ccdc27f" TargetMode="External" Id="rId64" /><Relationship Type="http://schemas.openxmlformats.org/officeDocument/2006/relationships/hyperlink" Target="https://unstop.com/internships/software-engineer-internship-stripe-1764459" TargetMode="External" Id="rId65" /><Relationship Type="http://schemas.openxmlformats.org/officeDocument/2006/relationships/hyperlink" Target="https://unstop.com/internships/front-end-developer-internship-logictap-private-limited-1763988" TargetMode="External" Id="rId66" /><Relationship Type="http://schemas.openxmlformats.org/officeDocument/2006/relationships/hyperlink" Target="https://internshala.com/internship/detail/software-development--full-stack-mobile-internship-in-bangalore-at-astrorize1791196156" TargetMode="External" Id="rId67" /><Relationship Type="http://schemas.openxmlformats.org/officeDocument/2006/relationships/hyperlink" Target="https://internshala.com/internship/detail/full-stack-development-internship-in-bangalore-at-intelligent-systems-private-limited1790246927" TargetMode="External" Id="rId68" /><Relationship Type="http://schemas.openxmlformats.org/officeDocument/2006/relationships/hyperlink" Target="https://unstop.com/internships/full-stack-developer-internship-b2world-1766752" TargetMode="External" Id="rId69" /><Relationship Type="http://schemas.openxmlformats.org/officeDocument/2006/relationships/hyperlink" Target="https://in.jooble.org/desc/5799679831910233464?ckey=software+engineer+intern&amp;rgn=3193&amp;pos=5&amp;elckey=-914241366255621246&amp;p=1&amp;aq=3344858192535340138&amp;cid=389&amp;jobAge=545&amp;brelb=10&amp;bscr=1482.9149&amp;scr=1482.9149" TargetMode="External" Id="rId70" /><Relationship Type="http://schemas.openxmlformats.org/officeDocument/2006/relationships/hyperlink" Target="https://in.jooble.org/desc/-2588912263494949841?ckey=full+stack+developer+intern&amp;rgn=3193&amp;pos=3&amp;elckey=-5710832383287184165&amp;p=1&amp;aq=-6539674257181197563&amp;cid=389&amp;jobAge=593&amp;brelb=10&amp;bscr=1369.7357&amp;scr=1369.7357" TargetMode="External" Id="rId71" /><Relationship Type="http://schemas.openxmlformats.org/officeDocument/2006/relationships/hyperlink" Target="https://www.adzuna.in/details/5625720116?utm_medium=api&amp;utm_source=5ccdc27f" TargetMode="External" Id="rId72" /><Relationship Type="http://schemas.openxmlformats.org/officeDocument/2006/relationships/hyperlink" Target="https://www.adzuna.in/details/4801660754?utm_medium=api&amp;utm_source=5ccdc27f" TargetMode="External" Id="rId73" /><Relationship Type="http://schemas.openxmlformats.org/officeDocument/2006/relationships/hyperlink" Target="https://www.adzuna.in/details/5905923167?utm_medium=api&amp;utm_source=5ccdc27f" TargetMode="External" Id="rId74" /><Relationship Type="http://schemas.openxmlformats.org/officeDocument/2006/relationships/hyperlink" Target="https://unstop.com/internships/web-developer-backend-internship-accesco-living-1760978" TargetMode="External" Id="rId75" /><Relationship Type="http://schemas.openxmlformats.org/officeDocument/2006/relationships/hyperlink" Target="https://in.jooble.org/desc/6188556421007720826?ckey=software+engineer+intern&amp;rgn=3193&amp;pos=1&amp;elckey=-914241366255621246&amp;p=1&amp;aq=3344858192535340138&amp;cid=389&amp;jobAge=65&amp;brelb=10&amp;bscr=1812.0676&amp;scr=1812.0676" TargetMode="External" Id="rId76" /><Relationship Type="http://schemas.openxmlformats.org/officeDocument/2006/relationships/hyperlink" Target="https://www.adzuna.com/details/5639252991?utm_medium=api&amp;utm_source=5ccdc27f" TargetMode="External" Id="rId77" /><Relationship Type="http://schemas.openxmlformats.org/officeDocument/2006/relationships/hyperlink" Target="https://unstop.com/internships/associate-software-engineer-internship-insightsoftware-pvt-ltd-1765074" TargetMode="External" Id="rId78" /><Relationship Type="http://schemas.openxmlformats.org/officeDocument/2006/relationships/hyperlink" Target="https://unstop.com/internships/frontend-developer-internship-unstop-tech-fair-20-learntricks-edutech-1764139" TargetMode="External" Id="rId79" /><Relationship Type="http://schemas.openxmlformats.org/officeDocument/2006/relationships/hyperlink" Target="https://unstop.com/internships/full-stack-developer-internship-nxus-1762882" TargetMode="External" Id="rId80" /><Relationship Type="http://schemas.openxmlformats.org/officeDocument/2006/relationships/hyperlink" Target="https://in.jooble.org/desc/-1295742079193352206?ckey=SDE+intern&amp;rgn=3193&amp;pos=2&amp;elckey=5511221380764901055&amp;p=1&amp;aq=-6833300780600067004&amp;cid=389&amp;jobAge=65&amp;brelb=10&amp;bscr=1192.6199&amp;scr=1192.6199" TargetMode="External" Id="rId81" /><Relationship Type="http://schemas.openxmlformats.org/officeDocument/2006/relationships/hyperlink" Target="https://www.adzuna.in/details/4176492451?utm_medium=api&amp;utm_source=5ccdc27f" TargetMode="External" Id="rId82" /><Relationship Type="http://schemas.openxmlformats.org/officeDocument/2006/relationships/hyperlink" Target="https://internshala.com/internship/detail/work-from-home-backend-development-internship-at-opalcode1791260918" TargetMode="External" Id="rId83" /></Relationships>
</file>

<file path=xl/worksheets/sheet1.xml><?xml version="1.0" encoding="utf-8"?>
<worksheet xmlns="http://schemas.openxmlformats.org/spreadsheetml/2006/main">
  <sheetPr>
    <outlinePr summaryBelow="1" summaryRight="1"/>
    <pageSetUpPr/>
  </sheetPr>
  <dimension ref="A1:L91"/>
  <sheetViews>
    <sheetView workbookViewId="0">
      <pane ySplit="12" topLeftCell="A13" activePane="bottomLeft" state="frozen"/>
      <selection pane="bottomLeft" activeCell="A1" sqref="A1"/>
    </sheetView>
  </sheetViews>
  <sheetFormatPr baseColWidth="8" defaultRowHeight="15"/>
  <cols>
    <col width="7" customWidth="1" style="15" min="1" max="1"/>
    <col width="28" customWidth="1" style="15" min="2" max="2"/>
    <col width="42" customWidth="1" style="15" min="3" max="3"/>
    <col width="9" customWidth="1" style="15" min="4" max="4"/>
    <col width="17" customWidth="1" style="15" min="5" max="5"/>
    <col width="18" customWidth="1" style="15" min="6" max="6"/>
    <col width="14" customWidth="1" style="15" min="7" max="7"/>
    <col width="20" customWidth="1" style="15" min="8" max="8"/>
    <col width="18" customWidth="1" style="15" min="9" max="9"/>
    <col width="36" customWidth="1" style="15" min="10" max="10"/>
    <col width="20" customWidth="1" style="15" min="11" max="11"/>
    <col width="18" customWidth="1" style="15" min="12" max="12"/>
  </cols>
  <sheetData>
    <row r="1">
      <c r="A1" s="22" t="inlineStr">
        <is>
          <t>AMAAN INTERNSHIP ECOSYSTEM — MORNING DASHBOARD</t>
        </is>
      </c>
    </row>
    <row r="2">
      <c r="A2" t="inlineStr">
        <is>
          <t>Updated: 2026-10-06</t>
        </is>
      </c>
    </row>
    <row r="3">
      <c r="A3" t="inlineStr">
        <is>
          <t>Workflow: Discover → Analyze → Shortlist → Apply-Assist → Apply → Track</t>
        </is>
      </c>
    </row>
    <row r="5">
      <c r="A5" s="23" t="inlineStr">
        <is>
          <t>Relevant/Tracked Jobs</t>
        </is>
      </c>
      <c r="B5" s="23" t="inlineStr">
        <is>
          <t>Apply Queue</t>
        </is>
      </c>
      <c r="C5" s="23" t="inlineStr">
        <is>
          <t>APPLY ASAP</t>
        </is>
      </c>
      <c r="D5" s="23" t="inlineStr">
        <is>
          <t>APPLY</t>
        </is>
      </c>
      <c r="E5" s="23" t="inlineStr">
        <is>
          <t>Kits Ready</t>
        </is>
      </c>
      <c r="F5" s="23" t="inlineStr">
        <is>
          <t>Applied</t>
        </is>
      </c>
    </row>
    <row r="6">
      <c r="A6" s="24" t="n">
        <v>298</v>
      </c>
      <c r="B6" s="24" t="n">
        <v>65</v>
      </c>
      <c r="C6" s="24" t="n">
        <v>1</v>
      </c>
      <c r="D6" s="24" t="n">
        <v>17</v>
      </c>
      <c r="E6" s="24" t="n">
        <v>18</v>
      </c>
      <c r="F6" s="24" t="n">
        <v>0</v>
      </c>
    </row>
    <row r="9">
      <c r="A9" s="24" t="inlineStr">
        <is>
          <t>APPLY QUEUE</t>
        </is>
      </c>
    </row>
    <row r="10">
      <c r="A10" t="inlineStr">
        <is>
          <t>Review APPLY ASAP first. Open the job, review the generated kit, then apply manually.</t>
        </is>
      </c>
    </row>
    <row r="12">
      <c r="A12" s="25" t="inlineStr">
        <is>
          <t>Rank</t>
        </is>
      </c>
      <c r="B12" s="25" t="inlineStr">
        <is>
          <t>Company</t>
        </is>
      </c>
      <c r="C12" s="25" t="inlineStr">
        <is>
          <t>Role</t>
        </is>
      </c>
      <c r="D12" s="25" t="inlineStr">
        <is>
          <t>Score</t>
        </is>
      </c>
      <c r="E12" s="25" t="inlineStr">
        <is>
          <t>Recommendation</t>
        </is>
      </c>
      <c r="F12" s="25" t="inlineStr">
        <is>
          <t>Location</t>
        </is>
      </c>
      <c r="G12" s="25" t="inlineStr">
        <is>
          <t>Work Mode</t>
        </is>
      </c>
      <c r="H12" s="25" t="inlineStr">
        <is>
          <t>Stipend</t>
        </is>
      </c>
      <c r="I12" s="25" t="inlineStr">
        <is>
          <t>PPO</t>
        </is>
      </c>
      <c r="J12" s="25" t="inlineStr">
        <is>
          <t>Resume</t>
        </is>
      </c>
      <c r="K12" s="25" t="inlineStr">
        <is>
          <t>Application Kit</t>
        </is>
      </c>
      <c r="L12" s="25" t="inlineStr">
        <is>
          <t>Status</t>
        </is>
      </c>
    </row>
    <row r="13">
      <c r="A13" s="26" t="n">
        <v>1</v>
      </c>
      <c r="B13" s="26" t="inlineStr">
        <is>
          <t>ChatFin</t>
        </is>
      </c>
      <c r="C13" s="27" t="inlineStr">
        <is>
          <t>Software Development</t>
        </is>
      </c>
      <c r="D13" s="26" t="n">
        <v>93</v>
      </c>
      <c r="E13" s="26" t="inlineStr">
        <is>
          <t>APPLY ASAP</t>
        </is>
      </c>
      <c r="F13" s="26" t="inlineStr">
        <is>
          <t>Work from home</t>
        </is>
      </c>
      <c r="G13" s="26" t="inlineStr">
        <is>
          <t>remote</t>
        </is>
      </c>
      <c r="H13" s="26" t="inlineStr">
        <is>
          <t>₹ 30,000 /month</t>
        </is>
      </c>
      <c r="I13" s="26" t="inlineStr">
        <is>
          <t>yes</t>
        </is>
      </c>
      <c r="J13" s="26" t="inlineStr">
        <is>
          <t>Primary Full Stack / Software Engineer Resume highlighting MERN and Node.js/React work experience</t>
        </is>
      </c>
      <c r="K13" s="27" t="inlineStr">
        <is>
          <t>OPEN KIT</t>
        </is>
      </c>
      <c r="L13" s="26" t="inlineStr">
        <is>
          <t>READY TO APPLY</t>
        </is>
      </c>
    </row>
    <row r="14">
      <c r="A14" s="28" t="n">
        <v>2</v>
      </c>
      <c r="B14" s="28" t="inlineStr">
        <is>
          <t>weekday (yc w21)</t>
        </is>
      </c>
      <c r="C14" s="30" t="inlineStr">
        <is>
          <t>Software Engineer Intern</t>
        </is>
      </c>
      <c r="D14" s="28" t="n">
        <v>88</v>
      </c>
      <c r="E14" s="28" t="inlineStr">
        <is>
          <t>APPLY</t>
        </is>
      </c>
      <c r="F14" s="28" t="inlineStr">
        <is>
          <t>Bengaluru</t>
        </is>
      </c>
      <c r="G14" s="28" t="inlineStr">
        <is>
          <t>Hybrid</t>
        </is>
      </c>
      <c r="H14" s="28" t="inlineStr">
        <is>
          <t>₹30,000 – ₹50,000 per month</t>
        </is>
      </c>
      <c r="I14" s="28" t="inlineStr">
        <is>
          <t>not_mentioned</t>
        </is>
      </c>
      <c r="J14" s="28" t="inlineStr">
        <is>
          <t>Standard Full Stack / Software Engineer Intern Resume</t>
        </is>
      </c>
      <c r="K14" s="30" t="inlineStr">
        <is>
          <t>OPEN KIT</t>
        </is>
      </c>
      <c r="L14" s="28" t="inlineStr">
        <is>
          <t>READY TO APPLY</t>
        </is>
      </c>
    </row>
    <row r="15">
      <c r="A15" s="28" t="n">
        <v>3</v>
      </c>
      <c r="B15" s="28" t="inlineStr">
        <is>
          <t>Trackzio Mobile Application Private Limited</t>
        </is>
      </c>
      <c r="C15" s="30" t="inlineStr">
        <is>
          <t>Full Stack Development Intern</t>
        </is>
      </c>
      <c r="D15" s="28" t="n">
        <v>88</v>
      </c>
      <c r="E15" s="28" t="inlineStr">
        <is>
          <t>APPLY</t>
        </is>
      </c>
      <c r="F15" s="28" t="inlineStr">
        <is>
          <t>Bangalore</t>
        </is>
      </c>
      <c r="G15" s="28" t="inlineStr">
        <is>
          <t>In-office</t>
        </is>
      </c>
      <c r="H15" s="28" t="inlineStr">
        <is>
          <t>₹ 20,000 - 27,000 /month</t>
        </is>
      </c>
      <c r="I15" s="28" t="inlineStr">
        <is>
          <t>EXPLICIT</t>
        </is>
      </c>
      <c r="J15" s="28" t="inlineStr">
        <is>
          <t>Standard Full Stack / MERN Developer Resume</t>
        </is>
      </c>
      <c r="K15" s="30" t="inlineStr">
        <is>
          <t>OPEN KIT</t>
        </is>
      </c>
      <c r="L15" s="28" t="inlineStr">
        <is>
          <t>READY TO APPLY</t>
        </is>
      </c>
    </row>
    <row r="16">
      <c r="A16" s="28" t="n">
        <v>4</v>
      </c>
      <c r="B16" s="28" t="inlineStr">
        <is>
          <t>B2World</t>
        </is>
      </c>
      <c r="C16" s="30" t="inlineStr">
        <is>
          <t>Full Stack Developer Internship</t>
        </is>
      </c>
      <c r="D16" s="28" t="n">
        <v>87</v>
      </c>
      <c r="E16" s="28" t="inlineStr">
        <is>
          <t>APPLY</t>
        </is>
      </c>
      <c r="F16" s="28" t="inlineStr">
        <is>
          <t>work from home</t>
        </is>
      </c>
      <c r="G16" s="28" t="inlineStr">
        <is>
          <t>Remote</t>
        </is>
      </c>
      <c r="H16" s="28" t="inlineStr">
        <is>
          <t>Not specified</t>
        </is>
      </c>
      <c r="I16" s="28" t="inlineStr">
        <is>
          <t>PRESENT</t>
        </is>
      </c>
      <c r="J16" s="28" t="inlineStr">
        <is>
          <t>Primary Full Stack Developer Resume emphasizing Angular, Node.js, Express, MySQL, and Azure deployments from Sunflower Trip and freelance restaurant POS experience.</t>
        </is>
      </c>
      <c r="K16" s="30" t="inlineStr">
        <is>
          <t>OPEN KIT</t>
        </is>
      </c>
      <c r="L16" s="28" t="inlineStr">
        <is>
          <t>READY TO APPLY</t>
        </is>
      </c>
    </row>
    <row r="17">
      <c r="A17" s="28" t="n">
        <v>5</v>
      </c>
      <c r="B17" s="28" t="inlineStr">
        <is>
          <t>Brava</t>
        </is>
      </c>
      <c r="C17" s="30" t="inlineStr">
        <is>
          <t>Software Engineering Internship - Founder's Office</t>
        </is>
      </c>
      <c r="D17" s="28" t="n">
        <v>87</v>
      </c>
      <c r="E17" s="28" t="inlineStr">
        <is>
          <t>APPLY</t>
        </is>
      </c>
      <c r="F17" s="28" t="inlineStr">
        <is>
          <t>Remote</t>
        </is>
      </c>
      <c r="G17" s="28" t="inlineStr">
        <is>
          <t>Remote</t>
        </is>
      </c>
      <c r="H17" s="28" t="inlineStr">
        <is>
          <t>₹30,000 – ₹50,000/month</t>
        </is>
      </c>
      <c r="I17" s="28" t="inlineStr">
        <is>
          <t>mentioned</t>
        </is>
      </c>
      <c r="J17" s="28" t="inlineStr">
        <is>
          <t>Standard Full Stack Resume</t>
        </is>
      </c>
      <c r="K17" s="30" t="inlineStr">
        <is>
          <t>OPEN KIT</t>
        </is>
      </c>
      <c r="L17" s="28" t="inlineStr">
        <is>
          <t>READY TO APPLY</t>
        </is>
      </c>
    </row>
    <row r="18">
      <c r="A18" s="28" t="n">
        <v>6</v>
      </c>
      <c r="B18" s="28" t="inlineStr">
        <is>
          <t>Nxtwave Disruptive Technologies Private Limited</t>
        </is>
      </c>
      <c r="C18" s="30" t="inlineStr">
        <is>
          <t>MERN Developer - Intern</t>
        </is>
      </c>
      <c r="D18" s="28" t="n">
        <v>86</v>
      </c>
      <c r="E18" s="28" t="inlineStr">
        <is>
          <t>APPLY</t>
        </is>
      </c>
      <c r="F18" s="28" t="inlineStr">
        <is>
          <t>Bangalore</t>
        </is>
      </c>
      <c r="G18" s="28" t="inlineStr">
        <is>
          <t>Offline</t>
        </is>
      </c>
      <c r="H18" s="28" t="inlineStr">
        <is>
          <t>20,000/month</t>
        </is>
      </c>
      <c r="I18" s="28" t="inlineStr">
        <is>
          <t>explicit</t>
        </is>
      </c>
      <c r="J18" s="28" t="inlineStr">
        <is>
          <t>Default Full Stack / MERN Resume</t>
        </is>
      </c>
      <c r="K18" s="30" t="inlineStr">
        <is>
          <t>OPEN KIT</t>
        </is>
      </c>
      <c r="L18" s="28" t="inlineStr">
        <is>
          <t>READY TO APPLY</t>
        </is>
      </c>
    </row>
    <row r="19">
      <c r="A19" s="28" t="n">
        <v>7</v>
      </c>
      <c r="B19" s="28" t="inlineStr">
        <is>
          <t>Creative Squad Private Limited</t>
        </is>
      </c>
      <c r="C19" s="30" t="inlineStr">
        <is>
          <t>Full Stack Development</t>
        </is>
      </c>
      <c r="D19" s="28" t="n">
        <v>86</v>
      </c>
      <c r="E19" s="28" t="inlineStr">
        <is>
          <t>APPLY</t>
        </is>
      </c>
      <c r="F19" s="28" t="inlineStr">
        <is>
          <t>Ahmedabad, Chandigarh, Chennai, Delhi, Gurgaon, Kolkata, Pune, Hyderabad, Mumbai, Jaipur, Noida, Bangalore, Kochi</t>
        </is>
      </c>
      <c r="G19" s="28" t="inlineStr">
        <is>
          <t>In-office</t>
        </is>
      </c>
      <c r="H19" s="28" t="inlineStr">
        <is>
          <t>₹ 20,000 - 25,000 /month</t>
        </is>
      </c>
      <c r="I19" s="28" t="inlineStr">
        <is>
          <t>explicit</t>
        </is>
      </c>
      <c r="J19" s="28" t="inlineStr">
        <is>
          <t>Default Full Stack / MERN focused resume</t>
        </is>
      </c>
      <c r="K19" s="30" t="inlineStr">
        <is>
          <t>OPEN KIT</t>
        </is>
      </c>
      <c r="L19" s="28" t="inlineStr">
        <is>
          <t>READY TO APPLY</t>
        </is>
      </c>
    </row>
    <row r="20">
      <c r="A20" s="28" t="n">
        <v>8</v>
      </c>
      <c r="B20" s="28" t="inlineStr">
        <is>
          <t>Vortizo AI</t>
        </is>
      </c>
      <c r="C20" s="30" t="inlineStr">
        <is>
          <t>Full Stack Internship</t>
        </is>
      </c>
      <c r="D20" s="28" t="n">
        <v>86</v>
      </c>
      <c r="E20" s="28" t="inlineStr">
        <is>
          <t>APPLY</t>
        </is>
      </c>
      <c r="F20" s="28" t="inlineStr">
        <is>
          <t>Remote</t>
        </is>
      </c>
      <c r="G20" s="28" t="inlineStr">
        <is>
          <t>Remote</t>
        </is>
      </c>
      <c r="H20" s="28" t="inlineStr">
        <is>
          <t>₹35,000/month</t>
        </is>
      </c>
      <c r="I20" s="28" t="inlineStr">
        <is>
          <t>NOT_MENTIONED</t>
        </is>
      </c>
      <c r="J20" s="28" t="inlineStr">
        <is>
          <t>Amaanuddin_Ahmed_Resume_FullStack.pdf</t>
        </is>
      </c>
      <c r="K20" s="30" t="inlineStr">
        <is>
          <t>OPEN KIT</t>
        </is>
      </c>
      <c r="L20" s="28" t="inlineStr">
        <is>
          <t>READY TO APPLY</t>
        </is>
      </c>
    </row>
    <row r="21">
      <c r="A21" s="28" t="n">
        <v>9</v>
      </c>
      <c r="B21" s="28" t="inlineStr">
        <is>
          <t>Weekday</t>
        </is>
      </c>
      <c r="C21" s="30" t="inlineStr">
        <is>
          <t>Software Engineer Intern</t>
        </is>
      </c>
      <c r="D21" s="28" t="n">
        <v>84</v>
      </c>
      <c r="E21" s="28" t="inlineStr">
        <is>
          <t>APPLY</t>
        </is>
      </c>
      <c r="F21" s="28" t="inlineStr">
        <is>
          <t>Bengaluru (Remote)</t>
        </is>
      </c>
      <c r="G21" s="28" t="inlineStr">
        <is>
          <t>Remote</t>
        </is>
      </c>
      <c r="H21" s="28" t="inlineStr">
        <is>
          <t>₹30,000 – ₹50,000 per month</t>
        </is>
      </c>
      <c r="I21" s="28" t="inlineStr">
        <is>
          <t>UNKNOWN</t>
        </is>
      </c>
      <c r="J21" s="28" t="inlineStr">
        <is>
          <t>Standard Full Stack / Software Engineering Resume emphasizing JavaScript, Node.js, Express, and Angular experience.</t>
        </is>
      </c>
      <c r="K21" s="30" t="inlineStr">
        <is>
          <t>OPEN KIT</t>
        </is>
      </c>
      <c r="L21" s="28" t="inlineStr">
        <is>
          <t>READY TO APPLY</t>
        </is>
      </c>
    </row>
    <row r="22">
      <c r="A22" s="28" t="n">
        <v>10</v>
      </c>
      <c r="B22" s="28" t="inlineStr">
        <is>
          <t>HackerRank Careers</t>
        </is>
      </c>
      <c r="C22" s="30" t="inlineStr">
        <is>
          <t>Software Development Engineer Intern</t>
        </is>
      </c>
      <c r="D22" s="28" t="n">
        <v>83</v>
      </c>
      <c r="E22" s="28" t="inlineStr">
        <is>
          <t>APPLY</t>
        </is>
      </c>
      <c r="F22" s="28" t="inlineStr">
        <is>
          <t>Bengaluru, India</t>
        </is>
      </c>
      <c r="G22" s="28" t="inlineStr">
        <is>
          <t>Onsite</t>
        </is>
      </c>
      <c r="H22" s="28" t="inlineStr">
        <is>
          <t>Paid Internship</t>
        </is>
      </c>
      <c r="I22" s="28" t="inlineStr">
        <is>
          <t>Yes</t>
        </is>
      </c>
      <c r="J22" s="28" t="inlineStr">
        <is>
          <t>Default Full Stack / Software Engineer Resume</t>
        </is>
      </c>
      <c r="K22" s="30" t="inlineStr">
        <is>
          <t>OPEN KIT</t>
        </is>
      </c>
      <c r="L22" s="28" t="inlineStr">
        <is>
          <t>READY TO APPLY</t>
        </is>
      </c>
    </row>
    <row r="23">
      <c r="A23" s="28" t="n">
        <v>11</v>
      </c>
      <c r="B23" s="28" t="inlineStr">
        <is>
          <t>LAVORO GROUP OF TECHNOLOGIES</t>
        </is>
      </c>
      <c r="C23" s="30" t="inlineStr">
        <is>
          <t>Software Development Intern</t>
        </is>
      </c>
      <c r="D23" s="28" t="n">
        <v>83</v>
      </c>
      <c r="E23" s="28" t="inlineStr">
        <is>
          <t>APPLY</t>
        </is>
      </c>
      <c r="F23" s="28" t="inlineStr">
        <is>
          <t>Bangalore</t>
        </is>
      </c>
      <c r="G23" s="28" t="inlineStr">
        <is>
          <t>In-office</t>
        </is>
      </c>
      <c r="H23" s="28" t="inlineStr">
        <is>
          <t>₹ 15,000 - 25,000 /month</t>
        </is>
      </c>
      <c r="I23" s="28" t="inlineStr">
        <is>
          <t>EXPLICIT</t>
        </is>
      </c>
      <c r="J23" s="28" t="inlineStr">
        <is>
          <t>Amaanuddin_Ahmed_Resume.pdf</t>
        </is>
      </c>
      <c r="K23" s="30" t="inlineStr">
        <is>
          <t>OPEN KIT</t>
        </is>
      </c>
      <c r="L23" s="28" t="inlineStr">
        <is>
          <t>READY TO APPLY</t>
        </is>
      </c>
    </row>
    <row r="24">
      <c r="A24" s="28" t="n">
        <v>12</v>
      </c>
      <c r="B24" s="28" t="inlineStr">
        <is>
          <t>Outbox.vc</t>
        </is>
      </c>
      <c r="C24" s="30" t="inlineStr">
        <is>
          <t>Software Developer - Intern</t>
        </is>
      </c>
      <c r="D24" s="28" t="n">
        <v>82</v>
      </c>
      <c r="E24" s="28" t="inlineStr">
        <is>
          <t>APPLY</t>
        </is>
      </c>
      <c r="F24" s="28" t="inlineStr">
        <is>
          <t>Bangalore</t>
        </is>
      </c>
      <c r="G24" s="28" t="inlineStr">
        <is>
          <t>On-site / Unspecified</t>
        </is>
      </c>
      <c r="H24" s="28" t="inlineStr">
        <is>
          <t>Rs 30000 - Rs 35000 per month</t>
        </is>
      </c>
      <c r="I24" s="28" t="inlineStr">
        <is>
          <t>NOT_MENTIONED</t>
        </is>
      </c>
      <c r="J24" s="28" t="inlineStr">
        <is>
          <t>Default Full Stack / Backend Resume</t>
        </is>
      </c>
      <c r="K24" s="30" t="inlineStr">
        <is>
          <t>OPEN KIT</t>
        </is>
      </c>
      <c r="L24" s="28" t="inlineStr">
        <is>
          <t>READY TO APPLY</t>
        </is>
      </c>
    </row>
    <row r="25">
      <c r="A25" s="28" t="n">
        <v>13</v>
      </c>
      <c r="B25" s="28" t="inlineStr">
        <is>
          <t>Webshark Web Services</t>
        </is>
      </c>
      <c r="C25" s="30" t="inlineStr">
        <is>
          <t>Full Stack Development</t>
        </is>
      </c>
      <c r="D25" s="28" t="n">
        <v>82</v>
      </c>
      <c r="E25" s="28" t="inlineStr">
        <is>
          <t>APPLY</t>
        </is>
      </c>
      <c r="F25" s="28" t="inlineStr">
        <is>
          <t>Bangalore</t>
        </is>
      </c>
      <c r="G25" s="28" t="inlineStr">
        <is>
          <t>In-office</t>
        </is>
      </c>
      <c r="H25" s="28" t="inlineStr">
        <is>
          <t>₹ 18,000 - 23,000 /month</t>
        </is>
      </c>
      <c r="I25" s="28" t="inlineStr">
        <is>
          <t>Available</t>
        </is>
      </c>
      <c r="J25" s="28" t="inlineStr">
        <is>
          <t>Default Full Stack / MERN Resume</t>
        </is>
      </c>
      <c r="K25" s="30" t="inlineStr">
        <is>
          <t>OPEN KIT</t>
        </is>
      </c>
      <c r="L25" s="28" t="inlineStr">
        <is>
          <t>READY TO APPLY</t>
        </is>
      </c>
    </row>
    <row r="26">
      <c r="A26" s="28" t="n">
        <v>14</v>
      </c>
      <c r="B26" s="28" t="inlineStr">
        <is>
          <t>Singularium Technologies Private Limited</t>
        </is>
      </c>
      <c r="C26" s="30" t="inlineStr">
        <is>
          <t>Full Stack Development</t>
        </is>
      </c>
      <c r="D26" s="28" t="n">
        <v>82</v>
      </c>
      <c r="E26" s="28" t="inlineStr">
        <is>
          <t>APPLY</t>
        </is>
      </c>
      <c r="F26" s="28" t="inlineStr">
        <is>
          <t>Bangalore</t>
        </is>
      </c>
      <c r="G26" s="28" t="inlineStr">
        <is>
          <t>In-office</t>
        </is>
      </c>
      <c r="H26" s="28" t="inlineStr">
        <is>
          <t>₹ 20,000 /month</t>
        </is>
      </c>
      <c r="I26" s="28" t="inlineStr">
        <is>
          <t>Available</t>
        </is>
      </c>
      <c r="J26" s="28" t="inlineStr">
        <is>
          <t>Default Full Stack / Software Engineer Resume</t>
        </is>
      </c>
      <c r="K26" s="30" t="inlineStr">
        <is>
          <t>OPEN KIT</t>
        </is>
      </c>
      <c r="L26" s="28" t="inlineStr">
        <is>
          <t>READY TO APPLY</t>
        </is>
      </c>
    </row>
    <row r="27">
      <c r="A27" s="28" t="n">
        <v>15</v>
      </c>
      <c r="B27" s="28" t="inlineStr">
        <is>
          <t>Amli Media</t>
        </is>
      </c>
      <c r="C27" s="30" t="inlineStr">
        <is>
          <t>Software Engineer Intern</t>
        </is>
      </c>
      <c r="D27" s="28" t="n">
        <v>80</v>
      </c>
      <c r="E27" s="28" t="inlineStr">
        <is>
          <t>APPLY</t>
        </is>
      </c>
      <c r="F27" s="28" t="inlineStr">
        <is>
          <t>Bengaluru</t>
        </is>
      </c>
      <c r="G27" s="28" t="inlineStr">
        <is>
          <t>Hybrid</t>
        </is>
      </c>
      <c r="H27" s="28" t="inlineStr">
        <is>
          <t>Competitive</t>
        </is>
      </c>
      <c r="I27" s="28" t="inlineStr">
        <is>
          <t>AVAILABLE</t>
        </is>
      </c>
      <c r="J27" s="28" t="inlineStr">
        <is>
          <t>Default Full Stack / Backend Resume</t>
        </is>
      </c>
      <c r="K27" s="30" t="inlineStr">
        <is>
          <t>OPEN KIT</t>
        </is>
      </c>
      <c r="L27" s="28" t="inlineStr">
        <is>
          <t>READY TO APPLY</t>
        </is>
      </c>
    </row>
    <row r="28">
      <c r="A28" s="28" t="n">
        <v>16</v>
      </c>
      <c r="B28" s="28" t="inlineStr">
        <is>
          <t>Paathz</t>
        </is>
      </c>
      <c r="C28" s="30" t="inlineStr">
        <is>
          <t>Software Engineer Intern MERN</t>
        </is>
      </c>
      <c r="D28" s="28" t="n">
        <v>80</v>
      </c>
      <c r="E28" s="28" t="inlineStr">
        <is>
          <t>APPLY</t>
        </is>
      </c>
      <c r="F28" s="28" t="inlineStr">
        <is>
          <t>Hyderabad, Telangana</t>
        </is>
      </c>
      <c r="G28" s="28" t="inlineStr">
        <is>
          <t>UNKNOWN</t>
        </is>
      </c>
      <c r="H28" s="28" t="inlineStr"/>
      <c r="I28" s="28" t="inlineStr">
        <is>
          <t>UNKNOWN</t>
        </is>
      </c>
      <c r="J28" s="28" t="inlineStr">
        <is>
          <t>Amaanuddin_Ahmed_Resume_MERN_FullStack.pdf</t>
        </is>
      </c>
      <c r="K28" s="30" t="inlineStr">
        <is>
          <t>OPEN KIT</t>
        </is>
      </c>
      <c r="L28" s="28" t="inlineStr">
        <is>
          <t>READY TO APPLY</t>
        </is>
      </c>
    </row>
    <row r="29">
      <c r="A29" s="28" t="n">
        <v>17</v>
      </c>
      <c r="B29" s="28" t="inlineStr">
        <is>
          <t>PrepLinc AI</t>
        </is>
      </c>
      <c r="C29" s="30" t="inlineStr">
        <is>
          <t>Front End Developer Internship</t>
        </is>
      </c>
      <c r="D29" s="28" t="n">
        <v>80</v>
      </c>
      <c r="E29" s="28" t="inlineStr">
        <is>
          <t>APPLY</t>
        </is>
      </c>
      <c r="F29" s="28" t="inlineStr">
        <is>
          <t>Maharashtra, Kerala, Tamil Nadu, Karnataka</t>
        </is>
      </c>
      <c r="G29" s="28" t="inlineStr">
        <is>
          <t>Work From Home</t>
        </is>
      </c>
      <c r="H29" s="28" t="inlineStr">
        <is>
          <t>₹10,000 – ₹15,000/month</t>
        </is>
      </c>
      <c r="I29" s="28" t="inlineStr">
        <is>
          <t>YES</t>
        </is>
      </c>
      <c r="J29" s="28" t="inlineStr">
        <is>
          <t>Amaanuddin_Ahmed_Resume.pdf</t>
        </is>
      </c>
      <c r="K29" s="30" t="inlineStr">
        <is>
          <t>OPEN KIT</t>
        </is>
      </c>
      <c r="L29" s="28" t="inlineStr">
        <is>
          <t>READY TO APPLY</t>
        </is>
      </c>
    </row>
    <row r="30">
      <c r="A30" s="28" t="n">
        <v>18</v>
      </c>
      <c r="B30" s="28" t="inlineStr">
        <is>
          <t>BTOW Pvt. Ltd.</t>
        </is>
      </c>
      <c r="C30" s="30" t="inlineStr">
        <is>
          <t>Full Stack Developer Internship</t>
        </is>
      </c>
      <c r="D30" s="28" t="n">
        <v>80</v>
      </c>
      <c r="E30" s="28" t="inlineStr">
        <is>
          <t>APPLY</t>
        </is>
      </c>
      <c r="F30" s="28" t="inlineStr">
        <is>
          <t>Remote</t>
        </is>
      </c>
      <c r="G30" s="28" t="inlineStr">
        <is>
          <t>Remote</t>
        </is>
      </c>
      <c r="H30" s="28" t="inlineStr">
        <is>
          <t>Unpaid</t>
        </is>
      </c>
      <c r="I30" s="28" t="inlineStr">
        <is>
          <t>yes</t>
        </is>
      </c>
      <c r="J30" s="28" t="inlineStr">
        <is>
          <t>Amaanuddin_Ahmed_Resume_FullStack.pdf</t>
        </is>
      </c>
      <c r="K30" s="30" t="inlineStr">
        <is>
          <t>OPEN KIT</t>
        </is>
      </c>
      <c r="L30" s="28" t="inlineStr">
        <is>
          <t>READY TO APPLY</t>
        </is>
      </c>
    </row>
    <row r="31">
      <c r="A31" s="31" t="n">
        <v>19</v>
      </c>
      <c r="B31" s="31" t="inlineStr">
        <is>
          <t>yourfriendlyhr</t>
        </is>
      </c>
      <c r="C31" s="32" t="inlineStr">
        <is>
          <t>Software Development Intern - Full Stack / Backend Focus</t>
        </is>
      </c>
      <c r="D31" s="31" t="n">
        <v>79</v>
      </c>
      <c r="E31" s="31" t="inlineStr">
        <is>
          <t>CONSIDER</t>
        </is>
      </c>
      <c r="F31" s="31" t="inlineStr">
        <is>
          <t>HRBR Layout, Kalyan Nagar, Bengaluru, Karnataka</t>
        </is>
      </c>
      <c r="G31" s="31" t="inlineStr">
        <is>
          <t>On-site</t>
        </is>
      </c>
      <c r="H31" s="31" t="inlineStr"/>
      <c r="I31" s="31" t="inlineStr">
        <is>
          <t>UNKNOWN</t>
        </is>
      </c>
      <c r="J31" s="31" t="inlineStr">
        <is>
          <t>Default Full Stack / Backend Resume</t>
        </is>
      </c>
      <c r="K31" s="31" t="inlineStr">
        <is>
          <t>NOT GENERATED</t>
        </is>
      </c>
      <c r="L31" s="31" t="inlineStr">
        <is>
          <t>READY TO APPLY</t>
        </is>
      </c>
    </row>
    <row r="32">
      <c r="A32" s="31" t="n">
        <v>20</v>
      </c>
      <c r="B32" s="31" t="inlineStr">
        <is>
          <t>Smytten (PulseAI Research)</t>
        </is>
      </c>
      <c r="C32" s="32" t="inlineStr">
        <is>
          <t>Software Development Engineer Intern - Backend</t>
        </is>
      </c>
      <c r="D32" s="31" t="n">
        <v>79</v>
      </c>
      <c r="E32" s="31" t="inlineStr">
        <is>
          <t>CONSIDER</t>
        </is>
      </c>
      <c r="F32" s="31" t="inlineStr">
        <is>
          <t>Bangalore</t>
        </is>
      </c>
      <c r="G32" s="31" t="inlineStr">
        <is>
          <t>On-site</t>
        </is>
      </c>
      <c r="H32" s="31" t="inlineStr">
        <is>
          <t>This is a paid internship.</t>
        </is>
      </c>
      <c r="I32" s="31" t="inlineStr">
        <is>
          <t>AVAILABLE</t>
        </is>
      </c>
      <c r="J32" s="31" t="inlineStr">
        <is>
          <t>Standard Full-Stack Resume highlighting Node.js, Express, MySQL, MongoDB, and REST API development experience.</t>
        </is>
      </c>
      <c r="K32" s="31" t="inlineStr">
        <is>
          <t>NOT GENERATED</t>
        </is>
      </c>
      <c r="L32" s="31" t="inlineStr">
        <is>
          <t>READY TO APPLY</t>
        </is>
      </c>
    </row>
    <row r="33">
      <c r="A33" s="31" t="n">
        <v>21</v>
      </c>
      <c r="B33" s="31" t="inlineStr">
        <is>
          <t>Ylytic</t>
        </is>
      </c>
      <c r="C33" s="32" t="inlineStr">
        <is>
          <t>Backend Developer Intern</t>
        </is>
      </c>
      <c r="D33" s="31" t="n">
        <v>79</v>
      </c>
      <c r="E33" s="31" t="inlineStr">
        <is>
          <t>CONSIDER</t>
        </is>
      </c>
      <c r="F33" s="31" t="inlineStr">
        <is>
          <t>India</t>
        </is>
      </c>
      <c r="G33" s="31" t="inlineStr">
        <is>
          <t>UNKNOWN</t>
        </is>
      </c>
      <c r="H33" s="31" t="inlineStr">
        <is>
          <t>Not specified</t>
        </is>
      </c>
      <c r="I33" s="31" t="inlineStr">
        <is>
          <t>YES</t>
        </is>
      </c>
      <c r="J33" s="31" t="inlineStr">
        <is>
          <t>Standard Full Stack / Backend Resume</t>
        </is>
      </c>
      <c r="K33" s="31" t="inlineStr">
        <is>
          <t>NOT GENERATED</t>
        </is>
      </c>
      <c r="L33" s="31" t="inlineStr">
        <is>
          <t>READY TO APPLY</t>
        </is>
      </c>
    </row>
    <row r="34">
      <c r="A34" s="31" t="n">
        <v>22</v>
      </c>
      <c r="B34" s="31" t="inlineStr">
        <is>
          <t>emo.energy</t>
        </is>
      </c>
      <c r="C34" s="32" t="inlineStr">
        <is>
          <t>Full-Stack Developer</t>
        </is>
      </c>
      <c r="D34" s="31" t="n">
        <v>78</v>
      </c>
      <c r="E34" s="31" t="inlineStr">
        <is>
          <t>CONSIDER</t>
        </is>
      </c>
      <c r="F34" s="31" t="inlineStr">
        <is>
          <t>Bangalore</t>
        </is>
      </c>
      <c r="G34" s="31" t="inlineStr">
        <is>
          <t>On-site</t>
        </is>
      </c>
      <c r="H34" s="31" t="inlineStr">
        <is>
          <t>Not specified</t>
        </is>
      </c>
      <c r="I34" s="31" t="inlineStr">
        <is>
          <t>UNKNOWN</t>
        </is>
      </c>
      <c r="J34" s="31" t="inlineStr">
        <is>
          <t>Default Full-Stack / Angular Resume</t>
        </is>
      </c>
      <c r="K34" s="31" t="inlineStr">
        <is>
          <t>NOT GENERATED</t>
        </is>
      </c>
      <c r="L34" s="31" t="inlineStr">
        <is>
          <t>READY TO APPLY</t>
        </is>
      </c>
    </row>
    <row r="35">
      <c r="A35" s="31" t="n">
        <v>23</v>
      </c>
      <c r="B35" s="31" t="inlineStr">
        <is>
          <t>TaslaInfo</t>
        </is>
      </c>
      <c r="C35" s="32" t="inlineStr">
        <is>
          <t>Full Stack Developer - Fresher</t>
        </is>
      </c>
      <c r="D35" s="31" t="n">
        <v>78</v>
      </c>
      <c r="E35" s="31" t="inlineStr">
        <is>
          <t>CONSIDER</t>
        </is>
      </c>
      <c r="F35" s="31" t="inlineStr">
        <is>
          <t>Bangalore</t>
        </is>
      </c>
      <c r="G35" s="31" t="inlineStr">
        <is>
          <t>Onsite</t>
        </is>
      </c>
      <c r="H35" s="31" t="inlineStr">
        <is>
          <t>₹ 2,10,000 - 2,70,000 /year</t>
        </is>
      </c>
      <c r="I35" s="31" t="inlineStr">
        <is>
          <t>UNKNOWN</t>
        </is>
      </c>
      <c r="J35" s="31" t="inlineStr">
        <is>
          <t>Standard Full Stack Developer Resume focusing on Angular, Node.js, Express, and SQL projects like Sunflower Trip and StaySphere.</t>
        </is>
      </c>
      <c r="K35" s="31" t="inlineStr">
        <is>
          <t>NOT GENERATED</t>
        </is>
      </c>
      <c r="L35" s="31" t="inlineStr">
        <is>
          <t>READY TO APPLY</t>
        </is>
      </c>
    </row>
    <row r="36">
      <c r="A36" s="31" t="n">
        <v>24</v>
      </c>
      <c r="B36" s="31" t="inlineStr">
        <is>
          <t>abstrabit technologies</t>
        </is>
      </c>
      <c r="C36" s="32" t="inlineStr">
        <is>
          <t>Software Engineering Intern</t>
        </is>
      </c>
      <c r="D36" s="31" t="n">
        <v>78</v>
      </c>
      <c r="E36" s="31" t="inlineStr">
        <is>
          <t>CONSIDER</t>
        </is>
      </c>
      <c r="F36" s="31" t="inlineStr">
        <is>
          <t>Bangalore</t>
        </is>
      </c>
      <c r="G36" s="31" t="inlineStr">
        <is>
          <t>On-site / Local presence required</t>
        </is>
      </c>
      <c r="H36" s="31" t="inlineStr">
        <is>
          <t>Not specified</t>
        </is>
      </c>
      <c r="I36" s="31" t="inlineStr">
        <is>
          <t>Not Mentioned</t>
        </is>
      </c>
      <c r="J36" s="31" t="inlineStr">
        <is>
          <t>Default Full Stack / Software Engineer Resume highlighting MERN and Node.js projects</t>
        </is>
      </c>
      <c r="K36" s="31" t="inlineStr">
        <is>
          <t>NOT GENERATED</t>
        </is>
      </c>
      <c r="L36" s="31" t="inlineStr">
        <is>
          <t>READY TO APPLY</t>
        </is>
      </c>
    </row>
    <row r="37">
      <c r="A37" s="31" t="n">
        <v>25</v>
      </c>
      <c r="B37" s="31" t="inlineStr">
        <is>
          <t>Turbostart</t>
        </is>
      </c>
      <c r="C37" s="32" t="inlineStr">
        <is>
          <t>Forward Deployment Engineer Intern</t>
        </is>
      </c>
      <c r="D37" s="31" t="n">
        <v>78</v>
      </c>
      <c r="E37" s="31" t="inlineStr">
        <is>
          <t>CONSIDER</t>
        </is>
      </c>
      <c r="F37" s="31" t="inlineStr">
        <is>
          <t>Bengaluru</t>
        </is>
      </c>
      <c r="G37" s="31" t="inlineStr">
        <is>
          <t>On-site</t>
        </is>
      </c>
      <c r="H37" s="31" t="inlineStr">
        <is>
          <t>Not specified</t>
        </is>
      </c>
      <c r="I37" s="31" t="inlineStr">
        <is>
          <t>Not Mentioned</t>
        </is>
      </c>
      <c r="J37" s="31" t="inlineStr">
        <is>
          <t>Amaanuddin_Ahmed_Resume.pdf</t>
        </is>
      </c>
      <c r="K37" s="31" t="inlineStr">
        <is>
          <t>NOT GENERATED</t>
        </is>
      </c>
      <c r="L37" s="31" t="inlineStr">
        <is>
          <t>READY TO APPLY</t>
        </is>
      </c>
    </row>
    <row r="38">
      <c r="A38" s="31" t="n">
        <v>26</v>
      </c>
      <c r="B38" s="31" t="inlineStr">
        <is>
          <t>Pitchline</t>
        </is>
      </c>
      <c r="C38" s="32" t="inlineStr">
        <is>
          <t>Full Stack Developer Intern</t>
        </is>
      </c>
      <c r="D38" s="31" t="n">
        <v>78</v>
      </c>
      <c r="E38" s="31" t="inlineStr">
        <is>
          <t>CONSIDER</t>
        </is>
      </c>
      <c r="F38" s="31" t="inlineStr">
        <is>
          <t>India</t>
        </is>
      </c>
      <c r="G38" s="31" t="inlineStr">
        <is>
          <t>remote</t>
        </is>
      </c>
      <c r="H38" s="31" t="inlineStr">
        <is>
          <t>₹20,000 - ₹30,000/month</t>
        </is>
      </c>
      <c r="I38" s="31" t="inlineStr">
        <is>
          <t>not_mentioned</t>
        </is>
      </c>
      <c r="J38" s="31" t="inlineStr">
        <is>
          <t>Default Full Stack / MERN Resume</t>
        </is>
      </c>
      <c r="K38" s="31" t="inlineStr">
        <is>
          <t>NOT GENERATED</t>
        </is>
      </c>
      <c r="L38" s="31" t="inlineStr">
        <is>
          <t>READY TO APPLY</t>
        </is>
      </c>
    </row>
    <row r="39">
      <c r="A39" s="31" t="n">
        <v>27</v>
      </c>
      <c r="B39" s="31" t="inlineStr">
        <is>
          <t>Idli Technologies Pvt Ltd</t>
        </is>
      </c>
      <c r="C39" s="32" t="inlineStr">
        <is>
          <t>MERN Stack Developer Internship</t>
        </is>
      </c>
      <c r="D39" s="31" t="n">
        <v>78</v>
      </c>
      <c r="E39" s="31" t="inlineStr">
        <is>
          <t>CONSIDER</t>
        </is>
      </c>
      <c r="F39" s="31" t="inlineStr">
        <is>
          <t>Raipur, Chhattisgarh</t>
        </is>
      </c>
      <c r="G39" s="31" t="inlineStr">
        <is>
          <t>UNKNOWN</t>
        </is>
      </c>
      <c r="H39" s="31" t="inlineStr"/>
      <c r="I39" s="31" t="inlineStr">
        <is>
          <t>UNKNOWN</t>
        </is>
      </c>
      <c r="J39" s="31" t="inlineStr">
        <is>
          <t>Full_Stack_Developer_Resume</t>
        </is>
      </c>
      <c r="K39" s="31" t="inlineStr">
        <is>
          <t>NOT GENERATED</t>
        </is>
      </c>
      <c r="L39" s="31" t="inlineStr">
        <is>
          <t>READY TO APPLY</t>
        </is>
      </c>
    </row>
    <row r="40">
      <c r="A40" s="31" t="n">
        <v>28</v>
      </c>
      <c r="B40" s="31" t="inlineStr">
        <is>
          <t>Salesforce</t>
        </is>
      </c>
      <c r="C40" s="32" t="inlineStr">
        <is>
          <t>Software Development - Internship (Part Time)</t>
        </is>
      </c>
      <c r="D40" s="31" t="n">
        <v>78</v>
      </c>
      <c r="E40" s="31" t="inlineStr">
        <is>
          <t>CONSIDER</t>
        </is>
      </c>
      <c r="F40" s="31" t="inlineStr">
        <is>
          <t>Bangalore</t>
        </is>
      </c>
      <c r="G40" s="31" t="inlineStr">
        <is>
          <t>On-site</t>
        </is>
      </c>
      <c r="H40" s="31" t="inlineStr">
        <is>
          <t>₹ 1,00,000 - 1,50,000 /month</t>
        </is>
      </c>
      <c r="I40" s="31" t="inlineStr">
        <is>
          <t>NOT MENTIONED</t>
        </is>
      </c>
      <c r="J40" s="31" t="inlineStr">
        <is>
          <t>Amaanuddin_Ahmed_Resume.pdf</t>
        </is>
      </c>
      <c r="K40" s="31" t="inlineStr">
        <is>
          <t>NOT GENERATED</t>
        </is>
      </c>
      <c r="L40" s="31" t="inlineStr">
        <is>
          <t>READY TO APPLY</t>
        </is>
      </c>
    </row>
    <row r="41">
      <c r="A41" s="31" t="n">
        <v>29</v>
      </c>
      <c r="B41" s="31" t="inlineStr">
        <is>
          <t>FreeCo Education Private Limited</t>
        </is>
      </c>
      <c r="C41" s="32" t="inlineStr">
        <is>
          <t>Frontend &amp; Backend Developer Internship</t>
        </is>
      </c>
      <c r="D41" s="31" t="n">
        <v>78</v>
      </c>
      <c r="E41" s="31" t="inlineStr">
        <is>
          <t>CONSIDER</t>
        </is>
      </c>
      <c r="F41" s="31" t="inlineStr">
        <is>
          <t>Remote</t>
        </is>
      </c>
      <c r="G41" s="31" t="inlineStr">
        <is>
          <t>Remote</t>
        </is>
      </c>
      <c r="H41" s="31" t="inlineStr">
        <is>
          <t>₹20,000/month</t>
        </is>
      </c>
      <c r="I41" s="31" t="inlineStr">
        <is>
          <t>NOT_MENTIONED</t>
        </is>
      </c>
      <c r="J41" s="31" t="inlineStr">
        <is>
          <t>Amaanuddin_Ahmed_Resume_FullStack.pdf</t>
        </is>
      </c>
      <c r="K41" s="31" t="inlineStr">
        <is>
          <t>NOT GENERATED</t>
        </is>
      </c>
      <c r="L41" s="31" t="inlineStr">
        <is>
          <t>READY TO APPLY</t>
        </is>
      </c>
    </row>
    <row r="42">
      <c r="A42" s="31" t="n">
        <v>30</v>
      </c>
      <c r="B42" s="31" t="inlineStr">
        <is>
          <t>Stripe</t>
        </is>
      </c>
      <c r="C42" s="32" t="inlineStr">
        <is>
          <t>Software Engineer, Intern</t>
        </is>
      </c>
      <c r="D42" s="31" t="n">
        <v>77</v>
      </c>
      <c r="E42" s="31" t="inlineStr">
        <is>
          <t>CONSIDER</t>
        </is>
      </c>
      <c r="F42" s="31" t="inlineStr">
        <is>
          <t>Bangalore</t>
        </is>
      </c>
      <c r="G42" s="31" t="inlineStr">
        <is>
          <t>Remote/On-site</t>
        </is>
      </c>
      <c r="H42" s="31" t="inlineStr">
        <is>
          <t>Not specified</t>
        </is>
      </c>
      <c r="I42" s="31" t="inlineStr">
        <is>
          <t>NOT_EXPLICITLY_MENTIONED</t>
        </is>
      </c>
      <c r="J42" s="31" t="inlineStr">
        <is>
          <t>Amaanuddin_Ahmed_Resume_FullStack.pdf</t>
        </is>
      </c>
      <c r="K42" s="31" t="inlineStr">
        <is>
          <t>NOT GENERATED</t>
        </is>
      </c>
      <c r="L42" s="31" t="inlineStr">
        <is>
          <t>READY TO APPLY</t>
        </is>
      </c>
    </row>
    <row r="43">
      <c r="A43" s="31" t="n">
        <v>31</v>
      </c>
      <c r="B43" s="31" t="inlineStr">
        <is>
          <t>Techolution India Private Limited</t>
        </is>
      </c>
      <c r="C43" s="32" t="inlineStr">
        <is>
          <t>Full Stack Developer- Intern</t>
        </is>
      </c>
      <c r="D43" s="31" t="n">
        <v>77</v>
      </c>
      <c r="E43" s="31" t="inlineStr">
        <is>
          <t>CONSIDER</t>
        </is>
      </c>
      <c r="F43" s="31" t="inlineStr">
        <is>
          <t>Hyderabad, Telangana</t>
        </is>
      </c>
      <c r="G43" s="31" t="inlineStr">
        <is>
          <t>Unknown</t>
        </is>
      </c>
      <c r="H43" s="31" t="inlineStr">
        <is>
          <t>Not specified</t>
        </is>
      </c>
      <c r="I43" s="31" t="inlineStr">
        <is>
          <t>Not Mentioned</t>
        </is>
      </c>
      <c r="J43" s="31" t="inlineStr">
        <is>
          <t>Standard Full Stack / MERN Resume</t>
        </is>
      </c>
      <c r="K43" s="31" t="inlineStr">
        <is>
          <t>NOT GENERATED</t>
        </is>
      </c>
      <c r="L43" s="31" t="inlineStr">
        <is>
          <t>READY TO APPLY</t>
        </is>
      </c>
    </row>
    <row r="44">
      <c r="A44" s="31" t="n">
        <v>32</v>
      </c>
      <c r="B44" s="31" t="inlineStr">
        <is>
          <t>Octalbees</t>
        </is>
      </c>
      <c r="C44" s="32" t="inlineStr">
        <is>
          <t>MERN Stack Developer Intern</t>
        </is>
      </c>
      <c r="D44" s="31" t="n">
        <v>77</v>
      </c>
      <c r="E44" s="31" t="inlineStr">
        <is>
          <t>CONSIDER</t>
        </is>
      </c>
      <c r="F44" s="31" t="inlineStr">
        <is>
          <t>India</t>
        </is>
      </c>
      <c r="G44" s="31" t="inlineStr">
        <is>
          <t>Unknown</t>
        </is>
      </c>
      <c r="H44" s="31" t="inlineStr">
        <is>
          <t>Not specified</t>
        </is>
      </c>
      <c r="I44" s="31" t="inlineStr">
        <is>
          <t>UNKNOWN</t>
        </is>
      </c>
      <c r="J44" s="31" t="inlineStr">
        <is>
          <t>Amaanuddin_Ahmed_Resume_MERN_Stack.pdf</t>
        </is>
      </c>
      <c r="K44" s="31" t="inlineStr">
        <is>
          <t>NOT GENERATED</t>
        </is>
      </c>
      <c r="L44" s="31" t="inlineStr">
        <is>
          <t>READY TO APPLY</t>
        </is>
      </c>
    </row>
    <row r="45">
      <c r="A45" s="31" t="n">
        <v>33</v>
      </c>
      <c r="B45" s="31" t="inlineStr">
        <is>
          <t>Microsoft Corporation</t>
        </is>
      </c>
      <c r="C45" s="32" t="inlineStr">
        <is>
          <t>Software Engineering INTERN</t>
        </is>
      </c>
      <c r="D45" s="31" t="n">
        <v>76</v>
      </c>
      <c r="E45" s="31" t="inlineStr">
        <is>
          <t>CONSIDER</t>
        </is>
      </c>
      <c r="F45" s="31" t="inlineStr">
        <is>
          <t>India</t>
        </is>
      </c>
      <c r="G45" s="31" t="inlineStr">
        <is>
          <t>Unknown</t>
        </is>
      </c>
      <c r="H45" s="31" t="inlineStr">
        <is>
          <t>Not specified</t>
        </is>
      </c>
      <c r="I45" s="31" t="inlineStr">
        <is>
          <t>UNKNOWN</t>
        </is>
      </c>
      <c r="J45" s="31" t="inlineStr">
        <is>
          <t>Standard Full Stack / Software Engineer Resume highlighting C# and Angular experience alongside MERN projects.</t>
        </is>
      </c>
      <c r="K45" s="31" t="inlineStr">
        <is>
          <t>NOT GENERATED</t>
        </is>
      </c>
      <c r="L45" s="31" t="inlineStr">
        <is>
          <t>READY TO APPLY</t>
        </is>
      </c>
    </row>
    <row r="46">
      <c r="A46" s="31" t="n">
        <v>34</v>
      </c>
      <c r="B46" s="31" t="inlineStr">
        <is>
          <t>TransFi</t>
        </is>
      </c>
      <c r="C46" s="32" t="inlineStr">
        <is>
          <t>MERN Full Stack Developer Intern</t>
        </is>
      </c>
      <c r="D46" s="31" t="n">
        <v>76</v>
      </c>
      <c r="E46" s="31" t="inlineStr">
        <is>
          <t>CONSIDER</t>
        </is>
      </c>
      <c r="F46" s="31" t="inlineStr">
        <is>
          <t>Mysore, Karnataka</t>
        </is>
      </c>
      <c r="G46" s="31" t="inlineStr">
        <is>
          <t>On-site</t>
        </is>
      </c>
      <c r="H46" s="31" t="inlineStr">
        <is>
          <t>Not specified</t>
        </is>
      </c>
      <c r="I46" s="31" t="inlineStr">
        <is>
          <t>UNKNOWN</t>
        </is>
      </c>
      <c r="J46" s="31" t="inlineStr">
        <is>
          <t>Primary MERN / Full Stack Resume</t>
        </is>
      </c>
      <c r="K46" s="31" t="inlineStr">
        <is>
          <t>NOT GENERATED</t>
        </is>
      </c>
      <c r="L46" s="31" t="inlineStr">
        <is>
          <t>READY TO APPLY</t>
        </is>
      </c>
    </row>
    <row r="47">
      <c r="A47" s="31" t="n">
        <v>35</v>
      </c>
      <c r="B47" s="31" t="inlineStr">
        <is>
          <t>Garnish Company</t>
        </is>
      </c>
      <c r="C47" s="32" t="inlineStr">
        <is>
          <t>Backend Developer Intern</t>
        </is>
      </c>
      <c r="D47" s="31" t="n">
        <v>76</v>
      </c>
      <c r="E47" s="31" t="inlineStr">
        <is>
          <t>CONSIDER</t>
        </is>
      </c>
      <c r="F47" s="31" t="inlineStr">
        <is>
          <t>Hyderabad, Telangana</t>
        </is>
      </c>
      <c r="G47" s="31" t="inlineStr">
        <is>
          <t>Unknown</t>
        </is>
      </c>
      <c r="H47" s="31" t="inlineStr"/>
      <c r="I47" s="31" t="inlineStr">
        <is>
          <t>NOT_MENTIONED</t>
        </is>
      </c>
      <c r="J47" s="31" t="inlineStr">
        <is>
          <t>Standard Full Stack Resume</t>
        </is>
      </c>
      <c r="K47" s="31" t="inlineStr">
        <is>
          <t>NOT GENERATED</t>
        </is>
      </c>
      <c r="L47" s="31" t="inlineStr">
        <is>
          <t>READY TO APPLY</t>
        </is>
      </c>
    </row>
    <row r="48">
      <c r="A48" s="31" t="n">
        <v>36</v>
      </c>
      <c r="B48" s="31" t="inlineStr">
        <is>
          <t>Euphotic Labs Private Limited</t>
        </is>
      </c>
      <c r="C48" s="32" t="inlineStr">
        <is>
          <t>Full Stack Development</t>
        </is>
      </c>
      <c r="D48" s="31" t="n">
        <v>76</v>
      </c>
      <c r="E48" s="31" t="inlineStr">
        <is>
          <t>CONSIDER</t>
        </is>
      </c>
      <c r="F48" s="31" t="inlineStr">
        <is>
          <t>Bangalore</t>
        </is>
      </c>
      <c r="G48" s="31" t="inlineStr">
        <is>
          <t>In-office</t>
        </is>
      </c>
      <c r="H48" s="31" t="inlineStr">
        <is>
          <t>₹ 18,000 - 22,000 /month</t>
        </is>
      </c>
      <c r="I48" s="31" t="inlineStr">
        <is>
          <t>not mentioned</t>
        </is>
      </c>
      <c r="J48" s="31" t="inlineStr">
        <is>
          <t>Amaanuddin_Ahmed_Resume_FullStack.pdf</t>
        </is>
      </c>
      <c r="K48" s="31" t="inlineStr">
        <is>
          <t>NOT GENERATED</t>
        </is>
      </c>
      <c r="L48" s="31" t="inlineStr">
        <is>
          <t>READY TO APPLY</t>
        </is>
      </c>
    </row>
    <row r="49">
      <c r="A49" s="31" t="n">
        <v>37</v>
      </c>
      <c r="B49" s="31" t="inlineStr">
        <is>
          <t>Route Mobile Limited</t>
        </is>
      </c>
      <c r="C49" s="32" t="inlineStr">
        <is>
          <t>Forward Deployed Software Engineer</t>
        </is>
      </c>
      <c r="D49" s="31" t="n">
        <v>76</v>
      </c>
      <c r="E49" s="31" t="inlineStr">
        <is>
          <t>CONSIDER</t>
        </is>
      </c>
      <c r="F49" s="31" t="inlineStr">
        <is>
          <t>Gurgaon, Mumbai, Bangalore</t>
        </is>
      </c>
      <c r="G49" s="31" t="inlineStr">
        <is>
          <t>In-office</t>
        </is>
      </c>
      <c r="H49" s="31" t="inlineStr">
        <is>
          <t>₹ 30,000 - 70,000 /month</t>
        </is>
      </c>
      <c r="I49" s="31" t="inlineStr">
        <is>
          <t>EXPLICIT</t>
        </is>
      </c>
      <c r="J49" s="31" t="inlineStr">
        <is>
          <t>Default Resume updated to include the Mindora AI web application project</t>
        </is>
      </c>
      <c r="K49" s="31" t="inlineStr">
        <is>
          <t>NOT GENERATED</t>
        </is>
      </c>
      <c r="L49" s="31" t="inlineStr">
        <is>
          <t>READY TO APPLY</t>
        </is>
      </c>
    </row>
    <row r="50">
      <c r="A50" s="31" t="n">
        <v>38</v>
      </c>
      <c r="B50" s="31" t="inlineStr">
        <is>
          <t>Bempu Health</t>
        </is>
      </c>
      <c r="C50" s="32" t="inlineStr">
        <is>
          <t>Web Development</t>
        </is>
      </c>
      <c r="D50" s="31" t="n">
        <v>76</v>
      </c>
      <c r="E50" s="31" t="inlineStr">
        <is>
          <t>CONSIDER</t>
        </is>
      </c>
      <c r="F50" s="31" t="inlineStr">
        <is>
          <t>Bangalore</t>
        </is>
      </c>
      <c r="G50" s="31" t="inlineStr">
        <is>
          <t>In-office</t>
        </is>
      </c>
      <c r="H50" s="31" t="inlineStr">
        <is>
          <t>₹ 15,000 - 25,000 /month</t>
        </is>
      </c>
      <c r="I50" s="31" t="inlineStr">
        <is>
          <t>not mentioned</t>
        </is>
      </c>
      <c r="J50" s="31" t="inlineStr">
        <is>
          <t>Amaanuddin_Ahmed_Resume_FullStack.pdf</t>
        </is>
      </c>
      <c r="K50" s="31" t="inlineStr">
        <is>
          <t>NOT GENERATED</t>
        </is>
      </c>
      <c r="L50" s="31" t="inlineStr">
        <is>
          <t>READY TO APPLY</t>
        </is>
      </c>
    </row>
    <row r="51">
      <c r="A51" s="31" t="n">
        <v>39</v>
      </c>
      <c r="B51" s="31" t="inlineStr">
        <is>
          <t>SLONIX SOLUTION PRIVATE LIMITED</t>
        </is>
      </c>
      <c r="C51" s="32" t="inlineStr">
        <is>
          <t>Software Developer Internship</t>
        </is>
      </c>
      <c r="D51" s="31" t="n">
        <v>76</v>
      </c>
      <c r="E51" s="31" t="inlineStr">
        <is>
          <t>CONSIDER</t>
        </is>
      </c>
      <c r="F51" s="31" t="inlineStr">
        <is>
          <t>Bangalore</t>
        </is>
      </c>
      <c r="G51" s="31" t="inlineStr">
        <is>
          <t>In-office</t>
        </is>
      </c>
      <c r="H51" s="31" t="inlineStr">
        <is>
          <t>₹20,000 – ₹30,000/month</t>
        </is>
      </c>
      <c r="I51" s="31" t="inlineStr">
        <is>
          <t>NOT_MENTIONED</t>
        </is>
      </c>
      <c r="J51" s="31" t="inlineStr">
        <is>
          <t>Amaanuddin_Ahmed_Resume_FullStack.pdf</t>
        </is>
      </c>
      <c r="K51" s="31" t="inlineStr">
        <is>
          <t>NOT GENERATED</t>
        </is>
      </c>
      <c r="L51" s="31" t="inlineStr">
        <is>
          <t>READY TO APPLY</t>
        </is>
      </c>
    </row>
    <row r="52">
      <c r="A52" s="31" t="n">
        <v>40</v>
      </c>
      <c r="B52" s="31" t="inlineStr">
        <is>
          <t>HackerRank</t>
        </is>
      </c>
      <c r="C52" s="32" t="inlineStr">
        <is>
          <t>Software Development Engineer Internship</t>
        </is>
      </c>
      <c r="D52" s="31" t="n">
        <v>76</v>
      </c>
      <c r="E52" s="31" t="inlineStr">
        <is>
          <t>CONSIDER</t>
        </is>
      </c>
      <c r="F52" s="31" t="inlineStr">
        <is>
          <t>Bengaluru</t>
        </is>
      </c>
      <c r="G52" s="31" t="inlineStr">
        <is>
          <t>Onsite</t>
        </is>
      </c>
      <c r="H52" s="31" t="inlineStr">
        <is>
          <t>Not specified</t>
        </is>
      </c>
      <c r="I52" s="31" t="inlineStr">
        <is>
          <t>NOT MENTIONED</t>
        </is>
      </c>
      <c r="J52" s="31" t="inlineStr">
        <is>
          <t>Standard Full Stack / Software Engineer Resume</t>
        </is>
      </c>
      <c r="K52" s="31" t="inlineStr">
        <is>
          <t>NOT GENERATED</t>
        </is>
      </c>
      <c r="L52" s="31" t="inlineStr">
        <is>
          <t>READY TO APPLY</t>
        </is>
      </c>
    </row>
    <row r="53">
      <c r="A53" s="31" t="n">
        <v>41</v>
      </c>
      <c r="B53" s="31" t="inlineStr">
        <is>
          <t>Codeatrix</t>
        </is>
      </c>
      <c r="C53" s="32" t="inlineStr">
        <is>
          <t>Full Stack Development Internship</t>
        </is>
      </c>
      <c r="D53" s="31" t="n">
        <v>75</v>
      </c>
      <c r="E53" s="31" t="inlineStr">
        <is>
          <t>CONSIDER</t>
        </is>
      </c>
      <c r="F53" s="31" t="inlineStr">
        <is>
          <t>Remote</t>
        </is>
      </c>
      <c r="G53" s="31" t="inlineStr">
        <is>
          <t>Remote</t>
        </is>
      </c>
      <c r="H53" s="31" t="inlineStr">
        <is>
          <t>₹5,000 – ₹15,000/month</t>
        </is>
      </c>
      <c r="I53" s="31" t="inlineStr">
        <is>
          <t>Not Mentioned</t>
        </is>
      </c>
      <c r="J53" s="31" t="inlineStr">
        <is>
          <t>Default Full Stack / MERN Resume</t>
        </is>
      </c>
      <c r="K53" s="31" t="inlineStr">
        <is>
          <t>NOT GENERATED</t>
        </is>
      </c>
      <c r="L53" s="31" t="inlineStr">
        <is>
          <t>READY TO APPLY</t>
        </is>
      </c>
    </row>
    <row r="54">
      <c r="A54" s="31" t="n">
        <v>42</v>
      </c>
      <c r="B54" s="31" t="inlineStr">
        <is>
          <t>ai4sees private ltd</t>
        </is>
      </c>
      <c r="C54" s="32" t="inlineStr">
        <is>
          <t>Full Stack Web Developer Intern</t>
        </is>
      </c>
      <c r="D54" s="31" t="n">
        <v>74</v>
      </c>
      <c r="E54" s="31" t="inlineStr">
        <is>
          <t>CONSIDER</t>
        </is>
      </c>
      <c r="F54" s="31" t="inlineStr">
        <is>
          <t>Bengaluru</t>
        </is>
      </c>
      <c r="G54" s="31" t="inlineStr">
        <is>
          <t>On-site</t>
        </is>
      </c>
      <c r="H54" s="31" t="inlineStr">
        <is>
          <t>Not specified</t>
        </is>
      </c>
      <c r="I54" s="31" t="inlineStr">
        <is>
          <t>NOT_MENTIONED</t>
        </is>
      </c>
      <c r="J54" s="31" t="inlineStr">
        <is>
          <t>Amaanuddin_Ahmed_Resume_FullStack.pdf</t>
        </is>
      </c>
      <c r="K54" s="31" t="inlineStr">
        <is>
          <t>NOT GENERATED</t>
        </is>
      </c>
      <c r="L54" s="31" t="inlineStr">
        <is>
          <t>READY TO APPLY</t>
        </is>
      </c>
    </row>
    <row r="55">
      <c r="A55" s="31" t="n">
        <v>43</v>
      </c>
      <c r="B55" s="31" t="inlineStr">
        <is>
          <t>Playo</t>
        </is>
      </c>
      <c r="C55" s="32" t="inlineStr">
        <is>
          <t>Engineering Intern</t>
        </is>
      </c>
      <c r="D55" s="31" t="n">
        <v>74</v>
      </c>
      <c r="E55" s="31" t="inlineStr">
        <is>
          <t>CONSIDER</t>
        </is>
      </c>
      <c r="F55" s="31" t="inlineStr">
        <is>
          <t>Bangalore</t>
        </is>
      </c>
      <c r="G55" s="31" t="inlineStr">
        <is>
          <t>Not specified</t>
        </is>
      </c>
      <c r="H55" s="31" t="inlineStr">
        <is>
          <t>Not specified</t>
        </is>
      </c>
      <c r="I55" s="31" t="inlineStr">
        <is>
          <t>Not mentioned</t>
        </is>
      </c>
      <c r="J55" s="31" t="inlineStr">
        <is>
          <t>Amaanuddin_Ahmed_Resume.pdf</t>
        </is>
      </c>
      <c r="K55" s="31" t="inlineStr">
        <is>
          <t>NOT GENERATED</t>
        </is>
      </c>
      <c r="L55" s="31" t="inlineStr">
        <is>
          <t>READY TO APPLY</t>
        </is>
      </c>
    </row>
    <row r="56">
      <c r="A56" s="31" t="n">
        <v>44</v>
      </c>
      <c r="B56" s="31" t="inlineStr">
        <is>
          <t>SolutionInn, US</t>
        </is>
      </c>
      <c r="C56" s="32" t="inlineStr">
        <is>
          <t>Software Engineering Intern</t>
        </is>
      </c>
      <c r="D56" s="31" t="n">
        <v>74</v>
      </c>
      <c r="E56" s="31" t="inlineStr">
        <is>
          <t>CONSIDER</t>
        </is>
      </c>
      <c r="F56" s="31" t="inlineStr">
        <is>
          <t>Ludhiana, Punjab</t>
        </is>
      </c>
      <c r="G56" s="31" t="inlineStr">
        <is>
          <t>On-site</t>
        </is>
      </c>
      <c r="H56" s="31" t="inlineStr">
        <is>
          <t>Stipend or Lunch allowance during the internship</t>
        </is>
      </c>
      <c r="I56" s="31" t="inlineStr">
        <is>
          <t>AVAILABLE</t>
        </is>
      </c>
      <c r="J56" s="31" t="inlineStr">
        <is>
          <t>Standard Full Stack Resume</t>
        </is>
      </c>
      <c r="K56" s="31" t="inlineStr">
        <is>
          <t>NOT GENERATED</t>
        </is>
      </c>
      <c r="L56" s="31" t="inlineStr">
        <is>
          <t>READY TO APPLY</t>
        </is>
      </c>
    </row>
    <row r="57">
      <c r="A57" s="31" t="n">
        <v>45</v>
      </c>
      <c r="B57" s="31" t="inlineStr">
        <is>
          <t>scale.jobs</t>
        </is>
      </c>
      <c r="C57" s="32" t="inlineStr">
        <is>
          <t>Full Stack Developer Intern</t>
        </is>
      </c>
      <c r="D57" s="31" t="n">
        <v>74</v>
      </c>
      <c r="E57" s="31" t="inlineStr">
        <is>
          <t>CONSIDER</t>
        </is>
      </c>
      <c r="F57" s="31" t="inlineStr">
        <is>
          <t>Hyderabad, Telangana</t>
        </is>
      </c>
      <c r="G57" s="31" t="inlineStr">
        <is>
          <t>Hybrid</t>
        </is>
      </c>
      <c r="H57" s="31" t="inlineStr">
        <is>
          <t>As per market standards</t>
        </is>
      </c>
      <c r="I57" s="31" t="inlineStr">
        <is>
          <t>NOT_MENTIONED</t>
        </is>
      </c>
      <c r="J57" s="31" t="inlineStr">
        <is>
          <t>Standard Full Stack Resume</t>
        </is>
      </c>
      <c r="K57" s="31" t="inlineStr">
        <is>
          <t>NOT GENERATED</t>
        </is>
      </c>
      <c r="L57" s="31" t="inlineStr">
        <is>
          <t>READY TO APPLY</t>
        </is>
      </c>
    </row>
    <row r="58">
      <c r="A58" s="31" t="n">
        <v>46</v>
      </c>
      <c r="B58" s="31" t="inlineStr">
        <is>
          <t>Zecser Business LLP</t>
        </is>
      </c>
      <c r="C58" s="32" t="inlineStr">
        <is>
          <t>MERN Stack Developer Internship</t>
        </is>
      </c>
      <c r="D58" s="31" t="n">
        <v>74</v>
      </c>
      <c r="E58" s="31" t="inlineStr">
        <is>
          <t>CONSIDER</t>
        </is>
      </c>
      <c r="F58" s="31" t="inlineStr">
        <is>
          <t>Kochi, Ernakulam</t>
        </is>
      </c>
      <c r="G58" s="31" t="inlineStr">
        <is>
          <t>On-site / Not specified</t>
        </is>
      </c>
      <c r="H58" s="31" t="inlineStr">
        <is>
          <t>Not specified</t>
        </is>
      </c>
      <c r="I58" s="31" t="inlineStr">
        <is>
          <t>NOT_MENTIONED</t>
        </is>
      </c>
      <c r="J58" s="31" t="inlineStr">
        <is>
          <t>Default Resume / MERN Focused</t>
        </is>
      </c>
      <c r="K58" s="31" t="inlineStr">
        <is>
          <t>NOT GENERATED</t>
        </is>
      </c>
      <c r="L58" s="31" t="inlineStr">
        <is>
          <t>READY TO APPLY</t>
        </is>
      </c>
    </row>
    <row r="59">
      <c r="A59" s="31" t="n">
        <v>47</v>
      </c>
      <c r="B59" s="31" t="inlineStr">
        <is>
          <t>Stripe</t>
        </is>
      </c>
      <c r="C59" s="32" t="inlineStr">
        <is>
          <t>Software Engineer Internship</t>
        </is>
      </c>
      <c r="D59" s="31" t="n">
        <v>74</v>
      </c>
      <c r="E59" s="31" t="inlineStr">
        <is>
          <t>CONSIDER</t>
        </is>
      </c>
      <c r="F59" s="31" t="inlineStr">
        <is>
          <t>Bangalore</t>
        </is>
      </c>
      <c r="G59" s="31" t="inlineStr">
        <is>
          <t>On-site / Unspecified</t>
        </is>
      </c>
      <c r="H59" s="31" t="inlineStr"/>
      <c r="I59" s="31" t="inlineStr">
        <is>
          <t>NOT_MENTIONED</t>
        </is>
      </c>
      <c r="J59" s="31" t="inlineStr">
        <is>
          <t>Standard Full Stack Resume</t>
        </is>
      </c>
      <c r="K59" s="31" t="inlineStr">
        <is>
          <t>NOT GENERATED</t>
        </is>
      </c>
      <c r="L59" s="31" t="inlineStr">
        <is>
          <t>READY TO APPLY</t>
        </is>
      </c>
    </row>
    <row r="60">
      <c r="A60" s="31" t="n">
        <v>48</v>
      </c>
      <c r="B60" s="31" t="inlineStr">
        <is>
          <t>Logictap Private Limited</t>
        </is>
      </c>
      <c r="C60" s="32" t="inlineStr">
        <is>
          <t>Front-End Developer Internship</t>
        </is>
      </c>
      <c r="D60" s="31" t="n">
        <v>74</v>
      </c>
      <c r="E60" s="31" t="inlineStr">
        <is>
          <t>CONSIDER</t>
        </is>
      </c>
      <c r="F60" s="31" t="inlineStr">
        <is>
          <t>Remote</t>
        </is>
      </c>
      <c r="G60" s="31" t="inlineStr">
        <is>
          <t>Remote</t>
        </is>
      </c>
      <c r="H60" s="31" t="inlineStr">
        <is>
          <t>₹15,000 – ₹25,000/month</t>
        </is>
      </c>
      <c r="I60" s="31" t="inlineStr">
        <is>
          <t>not_mentioned</t>
        </is>
      </c>
      <c r="J60" s="31" t="inlineStr">
        <is>
          <t>Standard Full Stack / Frontend Resume highlighting React and Angular experience</t>
        </is>
      </c>
      <c r="K60" s="31" t="inlineStr">
        <is>
          <t>NOT GENERATED</t>
        </is>
      </c>
      <c r="L60" s="31" t="inlineStr">
        <is>
          <t>READY TO APPLY</t>
        </is>
      </c>
    </row>
    <row r="61">
      <c r="A61" s="31" t="n">
        <v>49</v>
      </c>
      <c r="B61" s="31" t="inlineStr">
        <is>
          <t>Astrorize</t>
        </is>
      </c>
      <c r="C61" s="32" t="inlineStr">
        <is>
          <t>Software Development – Full Stack &amp; Mobile</t>
        </is>
      </c>
      <c r="D61" s="31" t="n">
        <v>73</v>
      </c>
      <c r="E61" s="31" t="inlineStr">
        <is>
          <t>CONSIDER</t>
        </is>
      </c>
      <c r="F61" s="31" t="inlineStr">
        <is>
          <t>Bangalore</t>
        </is>
      </c>
      <c r="G61" s="31" t="inlineStr">
        <is>
          <t>In-office</t>
        </is>
      </c>
      <c r="H61" s="31" t="inlineStr">
        <is>
          <t>₹ 18,000 - 20,000 /month</t>
        </is>
      </c>
      <c r="I61" s="31" t="inlineStr">
        <is>
          <t>medium</t>
        </is>
      </c>
      <c r="J61" s="31" t="inlineStr">
        <is>
          <t>Default Full Stack / MERN Resume</t>
        </is>
      </c>
      <c r="K61" s="31" t="inlineStr">
        <is>
          <t>NOT GENERATED</t>
        </is>
      </c>
      <c r="L61" s="31" t="inlineStr">
        <is>
          <t>READY TO APPLY</t>
        </is>
      </c>
    </row>
    <row r="62">
      <c r="A62" s="31" t="n">
        <v>50</v>
      </c>
      <c r="B62" s="31" t="inlineStr">
        <is>
          <t>INTELLIGENT SYSTEMS PRIVATE LIMITED</t>
        </is>
      </c>
      <c r="C62" s="32" t="inlineStr">
        <is>
          <t>Full Stack Development</t>
        </is>
      </c>
      <c r="D62" s="31" t="n">
        <v>73</v>
      </c>
      <c r="E62" s="31" t="inlineStr">
        <is>
          <t>CONSIDER</t>
        </is>
      </c>
      <c r="F62" s="31" t="inlineStr">
        <is>
          <t>Bangalore</t>
        </is>
      </c>
      <c r="G62" s="31" t="inlineStr">
        <is>
          <t>In-office</t>
        </is>
      </c>
      <c r="H62" s="31" t="inlineStr">
        <is>
          <t>₹ 12,000 - 16,000 /month</t>
        </is>
      </c>
      <c r="I62" s="31" t="inlineStr">
        <is>
          <t>yes</t>
        </is>
      </c>
      <c r="J62" s="31" t="inlineStr">
        <is>
          <t>Default Full Stack / MERN Resume</t>
        </is>
      </c>
      <c r="K62" s="31" t="inlineStr">
        <is>
          <t>NOT GENERATED</t>
        </is>
      </c>
      <c r="L62" s="31" t="inlineStr">
        <is>
          <t>READY TO APPLY</t>
        </is>
      </c>
    </row>
    <row r="63">
      <c r="A63" s="31" t="n">
        <v>51</v>
      </c>
      <c r="B63" s="31" t="inlineStr">
        <is>
          <t>B2World</t>
        </is>
      </c>
      <c r="C63" s="32" t="inlineStr">
        <is>
          <t>Full Stack Developer Internship</t>
        </is>
      </c>
      <c r="D63" s="31" t="n">
        <v>73</v>
      </c>
      <c r="E63" s="31" t="inlineStr">
        <is>
          <t>CONSIDER</t>
        </is>
      </c>
      <c r="F63" s="31" t="inlineStr">
        <is>
          <t>India</t>
        </is>
      </c>
      <c r="G63" s="31" t="inlineStr">
        <is>
          <t>Unknown</t>
        </is>
      </c>
      <c r="H63" s="31" t="inlineStr">
        <is>
          <t>Unpaid</t>
        </is>
      </c>
      <c r="I63" s="31" t="inlineStr">
        <is>
          <t>Possible</t>
        </is>
      </c>
      <c r="J63" s="31" t="inlineStr">
        <is>
          <t>Amaanuddin_Ahmed_Resume_Full_Stack.pdf</t>
        </is>
      </c>
      <c r="K63" s="31" t="inlineStr">
        <is>
          <t>NOT GENERATED</t>
        </is>
      </c>
      <c r="L63" s="31" t="inlineStr">
        <is>
          <t>READY TO APPLY</t>
        </is>
      </c>
    </row>
    <row r="64">
      <c r="A64" s="31" t="n">
        <v>52</v>
      </c>
      <c r="B64" s="31" t="inlineStr">
        <is>
          <t>Joveo</t>
        </is>
      </c>
      <c r="C64" s="32" t="inlineStr">
        <is>
          <t>Software Engineering Intern (Full Stack)</t>
        </is>
      </c>
      <c r="D64" s="31" t="n">
        <v>72</v>
      </c>
      <c r="E64" s="31" t="inlineStr">
        <is>
          <t>CONSIDER</t>
        </is>
      </c>
      <c r="F64" s="31" t="inlineStr">
        <is>
          <t>Bangalore</t>
        </is>
      </c>
      <c r="G64" s="31" t="inlineStr">
        <is>
          <t>On-site</t>
        </is>
      </c>
      <c r="H64" s="31" t="inlineStr">
        <is>
          <t>Competitive stipend</t>
        </is>
      </c>
      <c r="I64" s="31" t="inlineStr">
        <is>
          <t>NOT_MENTIONED</t>
        </is>
      </c>
      <c r="J64" s="31" t="inlineStr">
        <is>
          <t>Default Full Stack / MERN focused resume</t>
        </is>
      </c>
      <c r="K64" s="31" t="inlineStr">
        <is>
          <t>NOT GENERATED</t>
        </is>
      </c>
      <c r="L64" s="31" t="inlineStr">
        <is>
          <t>READY TO APPLY</t>
        </is>
      </c>
    </row>
    <row r="65">
      <c r="A65" s="31" t="n">
        <v>53</v>
      </c>
      <c r="B65" s="31" t="inlineStr">
        <is>
          <t>emo.energy</t>
        </is>
      </c>
      <c r="C65" s="32" t="inlineStr">
        <is>
          <t>Full-Stack Developer Intern</t>
        </is>
      </c>
      <c r="D65" s="31" t="n">
        <v>72</v>
      </c>
      <c r="E65" s="31" t="inlineStr">
        <is>
          <t>CONSIDER</t>
        </is>
      </c>
      <c r="F65" s="31" t="inlineStr">
        <is>
          <t>Bangalore</t>
        </is>
      </c>
      <c r="G65" s="31" t="inlineStr">
        <is>
          <t>On-site</t>
        </is>
      </c>
      <c r="H65" s="31" t="inlineStr">
        <is>
          <t>Paid internship (exact amount not specified)</t>
        </is>
      </c>
      <c r="I65" s="31" t="inlineStr">
        <is>
          <t>NOT_MENTIONED</t>
        </is>
      </c>
      <c r="J65" s="31" t="inlineStr">
        <is>
          <t>Standard Full Stack / Angular &amp; Node.js focused resume</t>
        </is>
      </c>
      <c r="K65" s="31" t="inlineStr">
        <is>
          <t>NOT GENERATED</t>
        </is>
      </c>
      <c r="L65" s="31" t="inlineStr">
        <is>
          <t>READY TO APPLY</t>
        </is>
      </c>
    </row>
    <row r="66">
      <c r="A66" s="31" t="n">
        <v>54</v>
      </c>
      <c r="B66" s="31" t="inlineStr">
        <is>
          <t>InstaWeb Labs Pvt Ltd</t>
        </is>
      </c>
      <c r="C66" s="32" t="inlineStr">
        <is>
          <t>Full Stack Development Intern</t>
        </is>
      </c>
      <c r="D66" s="31" t="n">
        <v>72</v>
      </c>
      <c r="E66" s="31" t="inlineStr">
        <is>
          <t>CONSIDER</t>
        </is>
      </c>
      <c r="F66" s="31" t="inlineStr">
        <is>
          <t>Malad, Baramati (Mumbai or Remote)</t>
        </is>
      </c>
      <c r="G66" s="31" t="inlineStr">
        <is>
          <t>Hybrid / Remote</t>
        </is>
      </c>
      <c r="H66" s="31" t="inlineStr">
        <is>
          <t>Not specified</t>
        </is>
      </c>
      <c r="I66" s="31" t="inlineStr">
        <is>
          <t>NO</t>
        </is>
      </c>
      <c r="J66" s="31" t="inlineStr">
        <is>
          <t>Amaanuddin_Ahmed_Resume.pdf</t>
        </is>
      </c>
      <c r="K66" s="31" t="inlineStr">
        <is>
          <t>NOT GENERATED</t>
        </is>
      </c>
      <c r="L66" s="31" t="inlineStr">
        <is>
          <t>READY TO APPLY</t>
        </is>
      </c>
    </row>
    <row r="67">
      <c r="A67" s="31" t="n">
        <v>55</v>
      </c>
      <c r="B67" s="31" t="inlineStr">
        <is>
          <t>Affworld Technologies</t>
        </is>
      </c>
      <c r="C67" s="32" t="inlineStr">
        <is>
          <t>SDE Intern</t>
        </is>
      </c>
      <c r="D67" s="31" t="n">
        <v>72</v>
      </c>
      <c r="E67" s="31" t="inlineStr">
        <is>
          <t>CONSIDER</t>
        </is>
      </c>
      <c r="F67" s="31" t="inlineStr">
        <is>
          <t>Jaipur, Rajasthan</t>
        </is>
      </c>
      <c r="G67" s="31" t="inlineStr">
        <is>
          <t>UNKNOWN</t>
        </is>
      </c>
      <c r="H67" s="31" t="inlineStr">
        <is>
          <t>Not specified</t>
        </is>
      </c>
      <c r="I67" s="31" t="inlineStr">
        <is>
          <t>UNKNOWN</t>
        </is>
      </c>
      <c r="J67" s="31" t="inlineStr">
        <is>
          <t>Default Full Stack / MERN Resume</t>
        </is>
      </c>
      <c r="K67" s="31" t="inlineStr">
        <is>
          <t>NOT GENERATED</t>
        </is>
      </c>
      <c r="L67" s="31" t="inlineStr">
        <is>
          <t>READY TO APPLY</t>
        </is>
      </c>
    </row>
    <row r="68">
      <c r="A68" s="31" t="n">
        <v>56</v>
      </c>
      <c r="B68" s="31" t="inlineStr">
        <is>
          <t>Alaan</t>
        </is>
      </c>
      <c r="C68" s="32" t="inlineStr">
        <is>
          <t>Fullstack Intern</t>
        </is>
      </c>
      <c r="D68" s="31" t="n">
        <v>72</v>
      </c>
      <c r="E68" s="31" t="inlineStr">
        <is>
          <t>CONSIDER</t>
        </is>
      </c>
      <c r="F68" s="31" t="inlineStr">
        <is>
          <t>Bangalore, Karnataka</t>
        </is>
      </c>
      <c r="G68" s="31" t="inlineStr">
        <is>
          <t>On-site / Unspecified</t>
        </is>
      </c>
      <c r="H68" s="31" t="inlineStr">
        <is>
          <t>Unspecified</t>
        </is>
      </c>
      <c r="I68" s="31" t="inlineStr">
        <is>
          <t>NOT_MENTIONED</t>
        </is>
      </c>
      <c r="J68" s="31" t="inlineStr">
        <is>
          <t>Default Full Stack / MERN Resume</t>
        </is>
      </c>
      <c r="K68" s="31" t="inlineStr">
        <is>
          <t>NOT GENERATED</t>
        </is>
      </c>
      <c r="L68" s="31" t="inlineStr">
        <is>
          <t>READY TO APPLY</t>
        </is>
      </c>
    </row>
    <row r="69">
      <c r="A69" s="31" t="n">
        <v>57</v>
      </c>
      <c r="B69" s="31" t="inlineStr">
        <is>
          <t>Accesco Living</t>
        </is>
      </c>
      <c r="C69" s="32" t="inlineStr">
        <is>
          <t>Web Developer (Backend) Internship</t>
        </is>
      </c>
      <c r="D69" s="31" t="n">
        <v>72</v>
      </c>
      <c r="E69" s="31" t="inlineStr">
        <is>
          <t>CONSIDER</t>
        </is>
      </c>
      <c r="F69" s="31" t="inlineStr">
        <is>
          <t>Remote</t>
        </is>
      </c>
      <c r="G69" s="31" t="inlineStr">
        <is>
          <t>Remote</t>
        </is>
      </c>
      <c r="H69" s="31" t="inlineStr">
        <is>
          <t>Not Disclosed</t>
        </is>
      </c>
      <c r="I69" s="31" t="inlineStr">
        <is>
          <t>None</t>
        </is>
      </c>
      <c r="J69" s="31" t="inlineStr">
        <is>
          <t>Standard Full-Stack Resume</t>
        </is>
      </c>
      <c r="K69" s="31" t="inlineStr">
        <is>
          <t>NOT GENERATED</t>
        </is>
      </c>
      <c r="L69" s="31" t="inlineStr">
        <is>
          <t>READY TO APPLY</t>
        </is>
      </c>
    </row>
    <row r="70">
      <c r="A70" s="31" t="n">
        <v>58</v>
      </c>
      <c r="B70" s="31" t="inlineStr">
        <is>
          <t>Vahan.ai</t>
        </is>
      </c>
      <c r="C70" s="32" t="inlineStr">
        <is>
          <t>Software Engineer Intern</t>
        </is>
      </c>
      <c r="D70" s="31" t="n">
        <v>71</v>
      </c>
      <c r="E70" s="31" t="inlineStr">
        <is>
          <t>CONSIDER</t>
        </is>
      </c>
      <c r="F70" s="31" t="inlineStr">
        <is>
          <t>Bangalore</t>
        </is>
      </c>
      <c r="G70" s="31" t="inlineStr">
        <is>
          <t>On-site</t>
        </is>
      </c>
      <c r="H70" s="31" t="inlineStr"/>
      <c r="I70" s="31" t="inlineStr">
        <is>
          <t>NOT_MENTIONED</t>
        </is>
      </c>
      <c r="J70" s="31" t="inlineStr">
        <is>
          <t>Default Full Stack / MERN Resume emphasizing Node.js, REST APIs, and database experience.</t>
        </is>
      </c>
      <c r="K70" s="31" t="inlineStr">
        <is>
          <t>NOT GENERATED</t>
        </is>
      </c>
      <c r="L70" s="31" t="inlineStr">
        <is>
          <t>READY TO APPLY</t>
        </is>
      </c>
    </row>
    <row r="71">
      <c r="A71" s="31" t="n">
        <v>59</v>
      </c>
      <c r="B71" s="31" t="inlineStr">
        <is>
          <t>Springer Capital</t>
        </is>
      </c>
      <c r="C71" s="32" t="inlineStr">
        <is>
          <t>Backend Developer Intern</t>
        </is>
      </c>
      <c r="D71" s="31" t="n">
        <v>71</v>
      </c>
      <c r="E71" s="31" t="inlineStr">
        <is>
          <t>CONSIDER</t>
        </is>
      </c>
      <c r="F71" s="31" t="inlineStr">
        <is>
          <t>Chicago, Cook County</t>
        </is>
      </c>
      <c r="G71" s="31" t="inlineStr">
        <is>
          <t>Remote</t>
        </is>
      </c>
      <c r="H71" s="31" t="inlineStr"/>
      <c r="I71" s="31" t="inlineStr">
        <is>
          <t>NOT_MENTIONED</t>
        </is>
      </c>
      <c r="J71" s="31" t="inlineStr">
        <is>
          <t>standard_fullstack_resume</t>
        </is>
      </c>
      <c r="K71" s="31" t="inlineStr">
        <is>
          <t>NOT GENERATED</t>
        </is>
      </c>
      <c r="L71" s="31" t="inlineStr">
        <is>
          <t>READY TO APPLY</t>
        </is>
      </c>
    </row>
    <row r="72">
      <c r="A72" s="31" t="n">
        <v>60</v>
      </c>
      <c r="B72" s="31" t="inlineStr">
        <is>
          <t>Insightsoftware Pvt Ltd</t>
        </is>
      </c>
      <c r="C72" s="32" t="inlineStr">
        <is>
          <t>Associate Software Engineer Internship</t>
        </is>
      </c>
      <c r="D72" s="31" t="n">
        <v>71</v>
      </c>
      <c r="E72" s="31" t="inlineStr">
        <is>
          <t>CONSIDER</t>
        </is>
      </c>
      <c r="F72" s="31" t="inlineStr">
        <is>
          <t>Bangalore, Hyderabad</t>
        </is>
      </c>
      <c r="G72" s="31" t="inlineStr">
        <is>
          <t>Unknown</t>
        </is>
      </c>
      <c r="H72" s="31" t="inlineStr"/>
      <c r="I72" s="31" t="inlineStr">
        <is>
          <t>UNKNOWN</t>
        </is>
      </c>
      <c r="J72" s="31" t="inlineStr">
        <is>
          <t>Default Full Stack Resume</t>
        </is>
      </c>
      <c r="K72" s="31" t="inlineStr">
        <is>
          <t>NOT GENERATED</t>
        </is>
      </c>
      <c r="L72" s="31" t="inlineStr">
        <is>
          <t>READY TO APPLY</t>
        </is>
      </c>
    </row>
    <row r="73">
      <c r="A73" s="31" t="n">
        <v>61</v>
      </c>
      <c r="B73" s="31" t="inlineStr">
        <is>
          <t>Learntricks Edutech</t>
        </is>
      </c>
      <c r="C73" s="32" t="inlineStr">
        <is>
          <t>Frontend Developer Internship</t>
        </is>
      </c>
      <c r="D73" s="31" t="n">
        <v>71</v>
      </c>
      <c r="E73" s="31" t="inlineStr">
        <is>
          <t>CONSIDER</t>
        </is>
      </c>
      <c r="F73" s="31" t="inlineStr">
        <is>
          <t>Remote</t>
        </is>
      </c>
      <c r="G73" s="31" t="inlineStr">
        <is>
          <t>Remote</t>
        </is>
      </c>
      <c r="H73" s="31" t="inlineStr">
        <is>
          <t>₹12,000 – ₹15,000/month</t>
        </is>
      </c>
      <c r="I73" s="31" t="inlineStr">
        <is>
          <t>NOT_MENTIONED</t>
        </is>
      </c>
      <c r="J73" s="31" t="inlineStr">
        <is>
          <t>Standard Full Stack / Frontend Resume highlighting React and Angular experience</t>
        </is>
      </c>
      <c r="K73" s="31" t="inlineStr">
        <is>
          <t>NOT GENERATED</t>
        </is>
      </c>
      <c r="L73" s="31" t="inlineStr">
        <is>
          <t>READY TO APPLY</t>
        </is>
      </c>
    </row>
    <row r="74">
      <c r="A74" s="31" t="n">
        <v>62</v>
      </c>
      <c r="B74" s="31" t="inlineStr">
        <is>
          <t>NXUS</t>
        </is>
      </c>
      <c r="C74" s="32" t="inlineStr">
        <is>
          <t>Full Stack Developer Internship</t>
        </is>
      </c>
      <c r="D74" s="31" t="n">
        <v>71</v>
      </c>
      <c r="E74" s="31" t="inlineStr">
        <is>
          <t>CONSIDER</t>
        </is>
      </c>
      <c r="F74" s="31" t="inlineStr">
        <is>
          <t>Remote</t>
        </is>
      </c>
      <c r="G74" s="31" t="inlineStr">
        <is>
          <t>Remote</t>
        </is>
      </c>
      <c r="H74" s="31" t="inlineStr">
        <is>
          <t>Unpaid</t>
        </is>
      </c>
      <c r="I74" s="31" t="inlineStr">
        <is>
          <t>NOT_MENTIONED</t>
        </is>
      </c>
      <c r="J74" s="31" t="inlineStr">
        <is>
          <t>Standard Full Stack Resume highlighting Angular, Node.js, and Express experience</t>
        </is>
      </c>
      <c r="K74" s="31" t="inlineStr">
        <is>
          <t>NOT GENERATED</t>
        </is>
      </c>
      <c r="L74" s="31" t="inlineStr">
        <is>
          <t>READY TO APPLY</t>
        </is>
      </c>
    </row>
    <row r="75">
      <c r="A75" s="31" t="n">
        <v>63</v>
      </c>
      <c r="B75" s="31" t="inlineStr">
        <is>
          <t>Sunstone</t>
        </is>
      </c>
      <c r="C75" s="32" t="inlineStr">
        <is>
          <t>SDE Intern &amp; Teaching Assistant</t>
        </is>
      </c>
      <c r="D75" s="31" t="n">
        <v>70</v>
      </c>
      <c r="E75" s="31" t="inlineStr">
        <is>
          <t>CONSIDER</t>
        </is>
      </c>
      <c r="F75" s="31" t="inlineStr">
        <is>
          <t>Bangalore</t>
        </is>
      </c>
      <c r="G75" s="31" t="inlineStr">
        <is>
          <t>On-site</t>
        </is>
      </c>
      <c r="H75" s="31" t="inlineStr">
        <is>
          <t>Not Specified</t>
        </is>
      </c>
      <c r="I75" s="31" t="inlineStr">
        <is>
          <t>Not Mentioned</t>
        </is>
      </c>
      <c r="J75" s="31" t="inlineStr">
        <is>
          <t>Default Full Stack / Software Engineering Resume</t>
        </is>
      </c>
      <c r="K75" s="31" t="inlineStr">
        <is>
          <t>NOT GENERATED</t>
        </is>
      </c>
      <c r="L75" s="31" t="inlineStr">
        <is>
          <t>READY TO APPLY</t>
        </is>
      </c>
    </row>
    <row r="76">
      <c r="A76" s="31" t="n">
        <v>64</v>
      </c>
      <c r="B76" s="31" t="inlineStr">
        <is>
          <t>ventura securities ltd</t>
        </is>
      </c>
      <c r="C76" s="32" t="inlineStr">
        <is>
          <t>NodeJS Developer</t>
        </is>
      </c>
      <c r="D76" s="31" t="n">
        <v>70</v>
      </c>
      <c r="E76" s="31" t="inlineStr">
        <is>
          <t>CONSIDER</t>
        </is>
      </c>
      <c r="F76" s="31" t="inlineStr">
        <is>
          <t>India</t>
        </is>
      </c>
      <c r="G76" s="31" t="inlineStr">
        <is>
          <t>remote</t>
        </is>
      </c>
      <c r="H76" s="31" t="inlineStr">
        <is>
          <t>Not specified</t>
        </is>
      </c>
      <c r="I76" s="31" t="inlineStr">
        <is>
          <t>UNKNOWN</t>
        </is>
      </c>
      <c r="J76" s="31" t="inlineStr">
        <is>
          <t>Default Full Stack / Backend Resume</t>
        </is>
      </c>
      <c r="K76" s="31" t="inlineStr">
        <is>
          <t>NOT GENERATED</t>
        </is>
      </c>
      <c r="L76" s="31" t="inlineStr">
        <is>
          <t>READY TO APPLY</t>
        </is>
      </c>
    </row>
    <row r="77">
      <c r="A77" s="31" t="n">
        <v>65</v>
      </c>
      <c r="B77" s="31" t="inlineStr">
        <is>
          <t>OpalCode</t>
        </is>
      </c>
      <c r="C77" s="32" t="inlineStr">
        <is>
          <t>Backend Development</t>
        </is>
      </c>
      <c r="D77" s="31" t="n">
        <v>70</v>
      </c>
      <c r="E77" s="31" t="inlineStr">
        <is>
          <t>CONSIDER</t>
        </is>
      </c>
      <c r="F77" s="31" t="inlineStr">
        <is>
          <t>Work from home</t>
        </is>
      </c>
      <c r="G77" s="31" t="inlineStr">
        <is>
          <t>Remote</t>
        </is>
      </c>
      <c r="H77" s="31" t="inlineStr">
        <is>
          <t>₹ 7,000 - 20,000 /month</t>
        </is>
      </c>
      <c r="I77" s="31" t="inlineStr">
        <is>
          <t>not mentioned</t>
        </is>
      </c>
      <c r="J77" s="31" t="inlineStr">
        <is>
          <t>Amaanuddin_Ahmed_Resume.pdf</t>
        </is>
      </c>
      <c r="K77" s="31" t="inlineStr">
        <is>
          <t>NOT GENERATED</t>
        </is>
      </c>
      <c r="L77" s="31" t="inlineStr">
        <is>
          <t>READY TO APPLY</t>
        </is>
      </c>
    </row>
    <row r="80">
      <c r="A80" s="24" t="inlineStr">
        <is>
          <t>ALREADY APPLIED</t>
        </is>
      </c>
    </row>
    <row r="82">
      <c r="A82" s="25" t="inlineStr">
        <is>
          <t>Rank</t>
        </is>
      </c>
      <c r="B82" s="25" t="inlineStr">
        <is>
          <t>Company</t>
        </is>
      </c>
      <c r="C82" s="25" t="inlineStr">
        <is>
          <t>Role</t>
        </is>
      </c>
      <c r="D82" s="25" t="inlineStr">
        <is>
          <t>Score</t>
        </is>
      </c>
      <c r="E82" s="25" t="inlineStr">
        <is>
          <t>Recommendation</t>
        </is>
      </c>
      <c r="F82" s="25" t="inlineStr">
        <is>
          <t>Location</t>
        </is>
      </c>
      <c r="G82" s="25" t="inlineStr">
        <is>
          <t>Work Mode</t>
        </is>
      </c>
      <c r="H82" s="25" t="inlineStr">
        <is>
          <t>Stipend</t>
        </is>
      </c>
      <c r="I82" s="25" t="inlineStr">
        <is>
          <t>PPO</t>
        </is>
      </c>
      <c r="J82" s="25" t="inlineStr">
        <is>
          <t>Resume</t>
        </is>
      </c>
      <c r="K82" s="25" t="inlineStr">
        <is>
          <t>Application Kit</t>
        </is>
      </c>
      <c r="L82" s="25" t="inlineStr">
        <is>
          <t>Status</t>
        </is>
      </c>
    </row>
    <row r="85">
      <c r="A85" s="29" t="inlineStr">
        <is>
          <t>MORNING ROUTINE</t>
        </is>
      </c>
    </row>
    <row r="86">
      <c r="A86" t="inlineStr">
        <is>
          <t>1. Start with APPLY ASAP.</t>
        </is>
      </c>
    </row>
    <row r="87">
      <c r="A87" t="inlineStr">
        <is>
          <t>2. Click the Role to open the original job.</t>
        </is>
      </c>
    </row>
    <row r="88">
      <c r="A88" t="inlineStr">
        <is>
          <t>3. Click OPEN KIT to review the generated application material.</t>
        </is>
      </c>
    </row>
    <row r="89">
      <c r="A89" t="inlineStr">
        <is>
          <t>4. Submit the application manually.</t>
        </is>
      </c>
    </row>
    <row r="90">
      <c r="A90" t="inlineStr">
        <is>
          <t>5. In the Jobs sheet, change Apply Status to APPLIED.</t>
        </is>
      </c>
    </row>
    <row r="91">
      <c r="A91" t="inlineStr">
        <is>
          <t>6. Refresh the dashboard. The job will move to ALREADY APPLIED.</t>
        </is>
      </c>
    </row>
  </sheetData>
  <autoFilter ref="A12:L82"/>
  <mergeCells count="11">
    <mergeCell ref="A86:L86"/>
    <mergeCell ref="A10:L10"/>
    <mergeCell ref="A90:L90"/>
    <mergeCell ref="A1:L1"/>
    <mergeCell ref="A89:L89"/>
    <mergeCell ref="A80:L80"/>
    <mergeCell ref="A88:L88"/>
    <mergeCell ref="A9:L9"/>
    <mergeCell ref="A3:L3"/>
    <mergeCell ref="A91:L91"/>
    <mergeCell ref="A87:L87"/>
  </mergeCells>
  <hyperlinks>
    <hyperlink xmlns:r="http://schemas.openxmlformats.org/officeDocument/2006/relationships" ref="C13" r:id="rId1"/>
    <hyperlink xmlns:r="http://schemas.openxmlformats.org/officeDocument/2006/relationships" ref="K13" r:id="rId2"/>
    <hyperlink xmlns:r="http://schemas.openxmlformats.org/officeDocument/2006/relationships" ref="C14" r:id="rId3"/>
    <hyperlink xmlns:r="http://schemas.openxmlformats.org/officeDocument/2006/relationships" ref="K14" r:id="rId4"/>
    <hyperlink xmlns:r="http://schemas.openxmlformats.org/officeDocument/2006/relationships" ref="C15" r:id="rId5"/>
    <hyperlink xmlns:r="http://schemas.openxmlformats.org/officeDocument/2006/relationships" ref="K15" r:id="rId6"/>
    <hyperlink xmlns:r="http://schemas.openxmlformats.org/officeDocument/2006/relationships" ref="C16" r:id="rId7"/>
    <hyperlink xmlns:r="http://schemas.openxmlformats.org/officeDocument/2006/relationships" ref="K16" r:id="rId8"/>
    <hyperlink xmlns:r="http://schemas.openxmlformats.org/officeDocument/2006/relationships" ref="C17" r:id="rId9"/>
    <hyperlink xmlns:r="http://schemas.openxmlformats.org/officeDocument/2006/relationships" ref="K17" r:id="rId10"/>
    <hyperlink xmlns:r="http://schemas.openxmlformats.org/officeDocument/2006/relationships" ref="C18" r:id="rId11"/>
    <hyperlink xmlns:r="http://schemas.openxmlformats.org/officeDocument/2006/relationships" ref="K18" r:id="rId12"/>
    <hyperlink xmlns:r="http://schemas.openxmlformats.org/officeDocument/2006/relationships" ref="C19" r:id="rId13"/>
    <hyperlink xmlns:r="http://schemas.openxmlformats.org/officeDocument/2006/relationships" ref="K19" r:id="rId14"/>
    <hyperlink xmlns:r="http://schemas.openxmlformats.org/officeDocument/2006/relationships" ref="C20" r:id="rId15"/>
    <hyperlink xmlns:r="http://schemas.openxmlformats.org/officeDocument/2006/relationships" ref="K20" r:id="rId16"/>
    <hyperlink xmlns:r="http://schemas.openxmlformats.org/officeDocument/2006/relationships" ref="C21" r:id="rId17"/>
    <hyperlink xmlns:r="http://schemas.openxmlformats.org/officeDocument/2006/relationships" ref="K21" r:id="rId18"/>
    <hyperlink xmlns:r="http://schemas.openxmlformats.org/officeDocument/2006/relationships" ref="C22" r:id="rId19"/>
    <hyperlink xmlns:r="http://schemas.openxmlformats.org/officeDocument/2006/relationships" ref="K22" r:id="rId20"/>
    <hyperlink xmlns:r="http://schemas.openxmlformats.org/officeDocument/2006/relationships" ref="C23" r:id="rId21"/>
    <hyperlink xmlns:r="http://schemas.openxmlformats.org/officeDocument/2006/relationships" ref="K23" r:id="rId22"/>
    <hyperlink xmlns:r="http://schemas.openxmlformats.org/officeDocument/2006/relationships" ref="C24" r:id="rId23"/>
    <hyperlink xmlns:r="http://schemas.openxmlformats.org/officeDocument/2006/relationships" ref="K24" r:id="rId24"/>
    <hyperlink xmlns:r="http://schemas.openxmlformats.org/officeDocument/2006/relationships" ref="C25" r:id="rId25"/>
    <hyperlink xmlns:r="http://schemas.openxmlformats.org/officeDocument/2006/relationships" ref="K25" r:id="rId26"/>
    <hyperlink xmlns:r="http://schemas.openxmlformats.org/officeDocument/2006/relationships" ref="C26" r:id="rId27"/>
    <hyperlink xmlns:r="http://schemas.openxmlformats.org/officeDocument/2006/relationships" ref="K26" r:id="rId28"/>
    <hyperlink xmlns:r="http://schemas.openxmlformats.org/officeDocument/2006/relationships" ref="C27" r:id="rId29"/>
    <hyperlink xmlns:r="http://schemas.openxmlformats.org/officeDocument/2006/relationships" ref="K27" r:id="rId30"/>
    <hyperlink xmlns:r="http://schemas.openxmlformats.org/officeDocument/2006/relationships" ref="C28" r:id="rId31"/>
    <hyperlink xmlns:r="http://schemas.openxmlformats.org/officeDocument/2006/relationships" ref="K28" r:id="rId32"/>
    <hyperlink xmlns:r="http://schemas.openxmlformats.org/officeDocument/2006/relationships" ref="C29" r:id="rId33"/>
    <hyperlink xmlns:r="http://schemas.openxmlformats.org/officeDocument/2006/relationships" ref="K29" r:id="rId34"/>
    <hyperlink xmlns:r="http://schemas.openxmlformats.org/officeDocument/2006/relationships" ref="C30" r:id="rId35"/>
    <hyperlink xmlns:r="http://schemas.openxmlformats.org/officeDocument/2006/relationships" ref="K30" r:id="rId36"/>
    <hyperlink xmlns:r="http://schemas.openxmlformats.org/officeDocument/2006/relationships" ref="C31" r:id="rId37"/>
    <hyperlink xmlns:r="http://schemas.openxmlformats.org/officeDocument/2006/relationships" ref="C32" r:id="rId38"/>
    <hyperlink xmlns:r="http://schemas.openxmlformats.org/officeDocument/2006/relationships" ref="C33" r:id="rId39"/>
    <hyperlink xmlns:r="http://schemas.openxmlformats.org/officeDocument/2006/relationships" ref="C34" r:id="rId40"/>
    <hyperlink xmlns:r="http://schemas.openxmlformats.org/officeDocument/2006/relationships" ref="C35" r:id="rId41"/>
    <hyperlink xmlns:r="http://schemas.openxmlformats.org/officeDocument/2006/relationships" ref="C36" r:id="rId42"/>
    <hyperlink xmlns:r="http://schemas.openxmlformats.org/officeDocument/2006/relationships" ref="C37" r:id="rId43"/>
    <hyperlink xmlns:r="http://schemas.openxmlformats.org/officeDocument/2006/relationships" ref="C38" r:id="rId44"/>
    <hyperlink xmlns:r="http://schemas.openxmlformats.org/officeDocument/2006/relationships" ref="C39" r:id="rId45"/>
    <hyperlink xmlns:r="http://schemas.openxmlformats.org/officeDocument/2006/relationships" ref="C40" r:id="rId46"/>
    <hyperlink xmlns:r="http://schemas.openxmlformats.org/officeDocument/2006/relationships" ref="C41" r:id="rId47"/>
    <hyperlink xmlns:r="http://schemas.openxmlformats.org/officeDocument/2006/relationships" ref="C42" r:id="rId48"/>
    <hyperlink xmlns:r="http://schemas.openxmlformats.org/officeDocument/2006/relationships" ref="C43" r:id="rId49"/>
    <hyperlink xmlns:r="http://schemas.openxmlformats.org/officeDocument/2006/relationships" ref="C44" r:id="rId50"/>
    <hyperlink xmlns:r="http://schemas.openxmlformats.org/officeDocument/2006/relationships" ref="C45" r:id="rId51"/>
    <hyperlink xmlns:r="http://schemas.openxmlformats.org/officeDocument/2006/relationships" ref="C46" r:id="rId52"/>
    <hyperlink xmlns:r="http://schemas.openxmlformats.org/officeDocument/2006/relationships" ref="C47" r:id="rId53"/>
    <hyperlink xmlns:r="http://schemas.openxmlformats.org/officeDocument/2006/relationships" ref="C48" r:id="rId54"/>
    <hyperlink xmlns:r="http://schemas.openxmlformats.org/officeDocument/2006/relationships" ref="C49" r:id="rId55"/>
    <hyperlink xmlns:r="http://schemas.openxmlformats.org/officeDocument/2006/relationships" ref="C50" r:id="rId56"/>
    <hyperlink xmlns:r="http://schemas.openxmlformats.org/officeDocument/2006/relationships" ref="C51" r:id="rId57"/>
    <hyperlink xmlns:r="http://schemas.openxmlformats.org/officeDocument/2006/relationships" ref="C52" r:id="rId58"/>
    <hyperlink xmlns:r="http://schemas.openxmlformats.org/officeDocument/2006/relationships" ref="C53" r:id="rId59"/>
    <hyperlink xmlns:r="http://schemas.openxmlformats.org/officeDocument/2006/relationships" ref="C54" r:id="rId60"/>
    <hyperlink xmlns:r="http://schemas.openxmlformats.org/officeDocument/2006/relationships" ref="C55" r:id="rId61"/>
    <hyperlink xmlns:r="http://schemas.openxmlformats.org/officeDocument/2006/relationships" ref="C56" r:id="rId62"/>
    <hyperlink xmlns:r="http://schemas.openxmlformats.org/officeDocument/2006/relationships" ref="C57" r:id="rId63"/>
    <hyperlink xmlns:r="http://schemas.openxmlformats.org/officeDocument/2006/relationships" ref="C58" r:id="rId64"/>
    <hyperlink xmlns:r="http://schemas.openxmlformats.org/officeDocument/2006/relationships" ref="C59" r:id="rId65"/>
    <hyperlink xmlns:r="http://schemas.openxmlformats.org/officeDocument/2006/relationships" ref="C60" r:id="rId66"/>
    <hyperlink xmlns:r="http://schemas.openxmlformats.org/officeDocument/2006/relationships" ref="C61" r:id="rId67"/>
    <hyperlink xmlns:r="http://schemas.openxmlformats.org/officeDocument/2006/relationships" ref="C62" r:id="rId68"/>
    <hyperlink xmlns:r="http://schemas.openxmlformats.org/officeDocument/2006/relationships" ref="C63" r:id="rId69"/>
    <hyperlink xmlns:r="http://schemas.openxmlformats.org/officeDocument/2006/relationships" ref="C64" r:id="rId70"/>
    <hyperlink xmlns:r="http://schemas.openxmlformats.org/officeDocument/2006/relationships" ref="C65" r:id="rId71"/>
    <hyperlink xmlns:r="http://schemas.openxmlformats.org/officeDocument/2006/relationships" ref="C66" r:id="rId72"/>
    <hyperlink xmlns:r="http://schemas.openxmlformats.org/officeDocument/2006/relationships" ref="C67" r:id="rId73"/>
    <hyperlink xmlns:r="http://schemas.openxmlformats.org/officeDocument/2006/relationships" ref="C68" r:id="rId74"/>
    <hyperlink xmlns:r="http://schemas.openxmlformats.org/officeDocument/2006/relationships" ref="C69" r:id="rId75"/>
    <hyperlink xmlns:r="http://schemas.openxmlformats.org/officeDocument/2006/relationships" ref="C70" r:id="rId76"/>
    <hyperlink xmlns:r="http://schemas.openxmlformats.org/officeDocument/2006/relationships" ref="C71" r:id="rId77"/>
    <hyperlink xmlns:r="http://schemas.openxmlformats.org/officeDocument/2006/relationships" ref="C72" r:id="rId78"/>
    <hyperlink xmlns:r="http://schemas.openxmlformats.org/officeDocument/2006/relationships" ref="C73" r:id="rId79"/>
    <hyperlink xmlns:r="http://schemas.openxmlformats.org/officeDocument/2006/relationships" ref="C74" r:id="rId80"/>
    <hyperlink xmlns:r="http://schemas.openxmlformats.org/officeDocument/2006/relationships" ref="C75" r:id="rId81"/>
    <hyperlink xmlns:r="http://schemas.openxmlformats.org/officeDocument/2006/relationships" ref="C76" r:id="rId82"/>
    <hyperlink xmlns:r="http://schemas.openxmlformats.org/officeDocument/2006/relationships" ref="C77" r:id="rId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style="15" min="1" max="1"/>
    <col width="100" customWidth="1" style="15" min="2" max="2"/>
  </cols>
  <sheetData>
    <row r="1" ht="30" customHeight="1" s="15">
      <c r="A1" s="1" t="inlineStr">
        <is>
          <t>Amaan's Internship Ecosystem — v1</t>
        </is>
      </c>
      <c r="B1" s="2" t="n"/>
    </row>
    <row r="2">
      <c r="A2" s="2" t="inlineStr">
        <is>
          <t>Purpose</t>
        </is>
      </c>
      <c r="B2" s="2" t="inlineStr">
        <is>
          <t>Personal internship CRM + AI-ready job database.</t>
        </is>
      </c>
    </row>
    <row r="3">
      <c r="A3" s="2" t="inlineStr">
        <is>
          <t>Workflow</t>
        </is>
      </c>
      <c r="B3" s="2" t="inlineStr">
        <is>
          <t>Discover → Analyze → Shortlist → Apply → OA → Interview → Offer → PPO</t>
        </is>
      </c>
    </row>
    <row r="4">
      <c r="A4" s="2" t="inlineStr">
        <is>
          <t>Start here</t>
        </is>
      </c>
      <c r="B4" s="2" t="inlineStr">
        <is>
          <t>Fill Career_Profile and verify Skills. Add jobs to Jobs. Applications are only for jobs you actually apply to.</t>
        </is>
      </c>
    </row>
    <row r="5">
      <c r="A5" s="2" t="inlineStr">
        <is>
          <t>AI fields</t>
        </is>
      </c>
      <c r="B5" s="2" t="inlineStr">
        <is>
          <t>Match/fit scores, skill gaps, PPO signal and resume version will later be populated by the AI analyzer.</t>
        </is>
      </c>
    </row>
    <row r="6" ht="30" customHeight="1" s="15">
      <c r="A6" s="2" t="inlineStr">
        <is>
          <t>Scoring</t>
        </is>
      </c>
      <c r="B6" s="2" t="inlineStr">
        <is>
          <t>Overall Match = Technical 30% + Experience 20% + Role 15% + PPO 15% + Compensation 10% + Opportunity Quality 10%.</t>
        </is>
      </c>
    </row>
    <row r="7">
      <c r="A7" s="2" t="inlineStr">
        <is>
          <t>Priority</t>
        </is>
      </c>
      <c r="B7" s="2" t="inlineStr">
        <is>
          <t>P1 = 80+, P2 = 70–79, P3 = 60–69, P4 = below 60. APPLY ASAP is reserved for 90+.</t>
        </is>
      </c>
    </row>
    <row r="8">
      <c r="A8" s="2" t="inlineStr">
        <is>
          <t>Important</t>
        </is>
      </c>
      <c r="B8" s="2" t="inlineStr">
        <is>
          <t>Never let AI invent skills, experience, metrics, eligibility, compensation or PPO claims.</t>
        </is>
      </c>
    </row>
    <row r="9">
      <c r="A9" s="2" t="inlineStr">
        <is>
          <t>Next build step</t>
        </is>
      </c>
      <c r="B9" s="2" t="inlineStr">
        <is>
          <t>Connect the AI Job Analyzer to this database, then add job discovery automation.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1" customWidth="1" style="15" min="1" max="1"/>
    <col width="42" customWidth="1" style="15" min="2" max="2"/>
  </cols>
  <sheetData>
    <row r="1">
      <c r="A1" s="1" t="inlineStr">
        <is>
          <t>Field</t>
        </is>
      </c>
      <c r="B1" s="1" t="inlineStr">
        <is>
          <t>Value</t>
        </is>
      </c>
    </row>
    <row r="2">
      <c r="A2" s="2" t="inlineStr">
        <is>
          <t>Candidate</t>
        </is>
      </c>
      <c r="B2" s="2" t="inlineStr">
        <is>
          <t>Amaanuddin Ahmed</t>
        </is>
      </c>
    </row>
    <row r="3">
      <c r="A3" s="2" t="inlineStr">
        <is>
          <t>Current Degree</t>
        </is>
      </c>
      <c r="B3" s="2" t="inlineStr">
        <is>
          <t>MCA</t>
        </is>
      </c>
    </row>
    <row r="4">
      <c r="A4" s="2" t="inlineStr">
        <is>
          <t>University</t>
        </is>
      </c>
      <c r="B4" s="2" t="inlineStr">
        <is>
          <t>PES University, Bengaluru</t>
        </is>
      </c>
    </row>
    <row r="5">
      <c r="A5" s="2" t="inlineStr">
        <is>
          <t>MCA CGPA</t>
        </is>
      </c>
      <c r="B5" s="2" t="n">
        <v>8.48</v>
      </c>
    </row>
    <row r="6">
      <c r="A6" s="2" t="inlineStr">
        <is>
          <t>BCA CGPA</t>
        </is>
      </c>
      <c r="B6" s="2" t="n">
        <v>8.199999999999999</v>
      </c>
    </row>
    <row r="7">
      <c r="A7" s="2" t="inlineStr">
        <is>
          <t>Location Preference</t>
        </is>
      </c>
      <c r="B7" s="2" t="inlineStr">
        <is>
          <t>Anywhere in India</t>
        </is>
      </c>
    </row>
    <row r="8">
      <c r="A8" s="2" t="inlineStr">
        <is>
          <t>Work Mode</t>
        </is>
      </c>
      <c r="B8" s="2" t="inlineStr">
        <is>
          <t>Remote / Hybrid / On-site</t>
        </is>
      </c>
    </row>
    <row r="9">
      <c r="A9" s="2" t="inlineStr">
        <is>
          <t>Minimum Stipend</t>
        </is>
      </c>
      <c r="B9" s="2" t="n">
        <v>25000</v>
      </c>
    </row>
    <row r="10">
      <c r="A10" s="2" t="inlineStr">
        <is>
          <t>Duration</t>
        </is>
      </c>
      <c r="B10" s="2" t="inlineStr">
        <is>
          <t>Any</t>
        </is>
      </c>
    </row>
    <row r="11">
      <c r="A11" s="2" t="inlineStr">
        <is>
          <t>Company Preference</t>
        </is>
      </c>
      <c r="B11" s="2" t="inlineStr">
        <is>
          <t>No preference</t>
        </is>
      </c>
    </row>
    <row r="12">
      <c r="A12" s="2" t="inlineStr">
        <is>
          <t>PPO Priority</t>
        </is>
      </c>
      <c r="B12" s="2" t="inlineStr">
        <is>
          <t>High</t>
        </is>
      </c>
    </row>
    <row r="13" ht="30" customHeight="1" s="15">
      <c r="A13" s="2" t="inlineStr">
        <is>
          <t>Primary Roles</t>
        </is>
      </c>
      <c r="B13" s="2" t="inlineStr">
        <is>
          <t>SDE / Software Engineer Intern; Full Stack Intern; Backend Intern</t>
        </is>
      </c>
    </row>
    <row r="14" ht="30" customHeight="1" s="15">
      <c r="A14" s="2" t="inlineStr">
        <is>
          <t>Secondary Roles</t>
        </is>
      </c>
      <c r="B14" s="2" t="inlineStr">
        <is>
          <t>MERN/Node.js Intern; Frontend Intern; DevOps/Cloud Intern</t>
        </is>
      </c>
    </row>
    <row r="15">
      <c r="A15" s="2" t="inlineStr">
        <is>
          <t>Selective Roles</t>
        </is>
      </c>
      <c r="B15" s="2" t="inlineStr">
        <is>
          <t>Java Developer Intern</t>
        </is>
      </c>
    </row>
    <row r="16" ht="30" customHeight="1" s="15">
      <c r="A16" s="2" t="inlineStr">
        <is>
          <t>Primary Stack</t>
        </is>
      </c>
      <c r="B16" s="2" t="inlineStr">
        <is>
          <t>JavaScript, TypeScript, Node.js, Express, Angular, React, MongoDB, MySQL</t>
        </is>
      </c>
    </row>
    <row r="17" ht="30" customHeight="1" s="15">
      <c r="A17" s="2" t="inlineStr">
        <is>
          <t>Cloud/DevOps</t>
        </is>
      </c>
      <c r="B17" s="2" t="inlineStr">
        <is>
          <t>AWS, Azure, Vercel, Render, Docker, Kubernetes, CI/CD</t>
        </is>
      </c>
    </row>
    <row r="18" ht="30" customHeight="1" s="15">
      <c r="A18" s="2" t="inlineStr">
        <is>
          <t>Experience</t>
        </is>
      </c>
      <c r="B18" s="2" t="inlineStr">
        <is>
          <t>Production internship + freelance client experience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6" customWidth="1" style="15" min="1" max="1"/>
    <col width="15" customWidth="1" style="15" min="2" max="2"/>
    <col width="42" customWidth="1" style="15" min="3" max="3"/>
    <col width="26" customWidth="1" style="15" min="4" max="4"/>
    <col width="12" customWidth="1" style="15" min="5" max="5"/>
  </cols>
  <sheetData>
    <row r="1">
      <c r="A1" s="1" t="inlineStr">
        <is>
          <t>Skill</t>
        </is>
      </c>
      <c r="B1" s="1" t="inlineStr">
        <is>
          <t>Level</t>
        </is>
      </c>
      <c r="C1" s="1" t="inlineStr">
        <is>
          <t>Evidence / Context</t>
        </is>
      </c>
      <c r="D1" s="1" t="inlineStr">
        <is>
          <t>Target Roles</t>
        </is>
      </c>
      <c r="E1" s="1" t="inlineStr">
        <is>
          <t>Verified?</t>
        </is>
      </c>
    </row>
    <row r="2">
      <c r="A2" s="2" t="inlineStr">
        <is>
          <t>JavaScript</t>
        </is>
      </c>
      <c r="B2" s="2" t="inlineStr">
        <is>
          <t>Strong</t>
        </is>
      </c>
      <c r="C2" s="2" t="inlineStr">
        <is>
          <t>MERN + Angular production/projects</t>
        </is>
      </c>
      <c r="D2" s="2" t="inlineStr">
        <is>
          <t>SDE; Full Stack; Backend</t>
        </is>
      </c>
      <c r="E2" s="2" t="inlineStr">
        <is>
          <t>Yes</t>
        </is>
      </c>
    </row>
    <row r="3">
      <c r="A3" s="2" t="inlineStr">
        <is>
          <t>TypeScript</t>
        </is>
      </c>
      <c r="B3" s="2" t="inlineStr">
        <is>
          <t>Strong</t>
        </is>
      </c>
      <c r="C3" s="2" t="inlineStr">
        <is>
          <t>Angular</t>
        </is>
      </c>
      <c r="D3" s="2" t="inlineStr">
        <is>
          <t>Full Stack; Frontend</t>
        </is>
      </c>
      <c r="E3" s="2" t="inlineStr">
        <is>
          <t>Yes</t>
        </is>
      </c>
    </row>
    <row r="4">
      <c r="A4" s="2" t="inlineStr">
        <is>
          <t>Node.js</t>
        </is>
      </c>
      <c r="B4" s="2" t="inlineStr">
        <is>
          <t>Strong</t>
        </is>
      </c>
      <c r="C4" s="2" t="inlineStr">
        <is>
          <t>Production internship + projects</t>
        </is>
      </c>
      <c r="D4" s="2" t="inlineStr">
        <is>
          <t>SDE; Backend; Full Stack</t>
        </is>
      </c>
      <c r="E4" s="2" t="inlineStr">
        <is>
          <t>Yes</t>
        </is>
      </c>
    </row>
    <row r="5">
      <c r="A5" s="2" t="inlineStr">
        <is>
          <t>Express.js</t>
        </is>
      </c>
      <c r="B5" s="2" t="inlineStr">
        <is>
          <t>Strong</t>
        </is>
      </c>
      <c r="C5" s="2" t="inlineStr">
        <is>
          <t>Production/projects</t>
        </is>
      </c>
      <c r="D5" s="2" t="inlineStr">
        <is>
          <t>Backend; Full Stack</t>
        </is>
      </c>
      <c r="E5" s="2" t="inlineStr">
        <is>
          <t>Yes</t>
        </is>
      </c>
    </row>
    <row r="6">
      <c r="A6" s="2" t="inlineStr">
        <is>
          <t>Angular</t>
        </is>
      </c>
      <c r="B6" s="2" t="inlineStr">
        <is>
          <t>Strong</t>
        </is>
      </c>
      <c r="C6" s="2" t="inlineStr">
        <is>
          <t>Production internship + POS</t>
        </is>
      </c>
      <c r="D6" s="2" t="inlineStr">
        <is>
          <t>Full Stack; Frontend</t>
        </is>
      </c>
      <c r="E6" s="2" t="inlineStr">
        <is>
          <t>Yes</t>
        </is>
      </c>
    </row>
    <row r="7">
      <c r="A7" s="2" t="inlineStr">
        <is>
          <t>React</t>
        </is>
      </c>
      <c r="B7" s="2" t="inlineStr">
        <is>
          <t>Working</t>
        </is>
      </c>
      <c r="C7" s="2" t="inlineStr">
        <is>
          <t>MERN projects</t>
        </is>
      </c>
      <c r="D7" s="2" t="inlineStr">
        <is>
          <t>Full Stack; Frontend</t>
        </is>
      </c>
      <c r="E7" s="2" t="inlineStr">
        <is>
          <t>Yes</t>
        </is>
      </c>
    </row>
    <row r="8">
      <c r="A8" s="2" t="inlineStr">
        <is>
          <t>MongoDB</t>
        </is>
      </c>
      <c r="B8" s="2" t="inlineStr">
        <is>
          <t>Strong</t>
        </is>
      </c>
      <c r="C8" s="2" t="inlineStr">
        <is>
          <t>Multiple full-stack projects</t>
        </is>
      </c>
      <c r="D8" s="2" t="inlineStr">
        <is>
          <t>Backend; Full Stack</t>
        </is>
      </c>
      <c r="E8" s="2" t="inlineStr">
        <is>
          <t>Yes</t>
        </is>
      </c>
    </row>
    <row r="9">
      <c r="A9" s="2" t="inlineStr">
        <is>
          <t>MySQL</t>
        </is>
      </c>
      <c r="B9" s="2" t="inlineStr">
        <is>
          <t>Strong</t>
        </is>
      </c>
      <c r="C9" s="2" t="inlineStr">
        <is>
          <t>Production internship</t>
        </is>
      </c>
      <c r="D9" s="2" t="inlineStr">
        <is>
          <t>Backend; Full Stack</t>
        </is>
      </c>
      <c r="E9" s="2" t="inlineStr">
        <is>
          <t>Yes</t>
        </is>
      </c>
    </row>
    <row r="10">
      <c r="A10" s="2" t="inlineStr">
        <is>
          <t>PostgreSQL</t>
        </is>
      </c>
      <c r="B10" s="2" t="inlineStr">
        <is>
          <t>Working</t>
        </is>
      </c>
      <c r="C10" s="2" t="inlineStr">
        <is>
          <t>Listed skill</t>
        </is>
      </c>
      <c r="D10" s="2" t="inlineStr">
        <is>
          <t>Backend; SDE</t>
        </is>
      </c>
      <c r="E10" s="2" t="inlineStr">
        <is>
          <t>Review</t>
        </is>
      </c>
    </row>
    <row r="11">
      <c r="A11" s="2" t="inlineStr">
        <is>
          <t>Next.js</t>
        </is>
      </c>
      <c r="B11" s="2" t="inlineStr">
        <is>
          <t>Working</t>
        </is>
      </c>
      <c r="C11" s="2" t="inlineStr">
        <is>
          <t>Listed skill</t>
        </is>
      </c>
      <c r="D11" s="2" t="inlineStr">
        <is>
          <t>Full Stack; Frontend</t>
        </is>
      </c>
      <c r="E11" s="2" t="inlineStr">
        <is>
          <t>Review</t>
        </is>
      </c>
    </row>
    <row r="12" ht="30" customHeight="1" s="15">
      <c r="A12" s="2" t="inlineStr">
        <is>
          <t>Java</t>
        </is>
      </c>
      <c r="B12" s="2" t="inlineStr">
        <is>
          <t>Working / DSA</t>
        </is>
      </c>
      <c r="C12" s="2" t="inlineStr">
        <is>
          <t>DSA certification; development depth to verify</t>
        </is>
      </c>
      <c r="D12" s="2" t="inlineStr">
        <is>
          <t>SDE; Java</t>
        </is>
      </c>
      <c r="E12" s="2" t="inlineStr">
        <is>
          <t>Review</t>
        </is>
      </c>
    </row>
    <row r="13">
      <c r="A13" s="2" t="inlineStr">
        <is>
          <t>Python</t>
        </is>
      </c>
      <c r="B13" s="2" t="inlineStr">
        <is>
          <t>Working</t>
        </is>
      </c>
      <c r="C13" s="2" t="inlineStr">
        <is>
          <t>Listed skill</t>
        </is>
      </c>
      <c r="D13" s="2" t="inlineStr">
        <is>
          <t>SDE; Backend</t>
        </is>
      </c>
      <c r="E13" s="2" t="inlineStr">
        <is>
          <t>Review</t>
        </is>
      </c>
    </row>
    <row r="14">
      <c r="A14" s="2" t="inlineStr">
        <is>
          <t>AWS</t>
        </is>
      </c>
      <c r="B14" s="2" t="inlineStr">
        <is>
          <t>Working</t>
        </is>
      </c>
      <c r="C14" s="2" t="inlineStr">
        <is>
          <t>Cloud experience listed</t>
        </is>
      </c>
      <c r="D14" s="2" t="inlineStr">
        <is>
          <t>Cloud; SDE; Backend</t>
        </is>
      </c>
      <c r="E14" s="2" t="inlineStr">
        <is>
          <t>Review</t>
        </is>
      </c>
    </row>
    <row r="15">
      <c r="A15" s="2" t="inlineStr">
        <is>
          <t>Azure</t>
        </is>
      </c>
      <c r="B15" s="2" t="inlineStr">
        <is>
          <t>Strong</t>
        </is>
      </c>
      <c r="C15" s="2" t="inlineStr">
        <is>
          <t>Live POS deployment</t>
        </is>
      </c>
      <c r="D15" s="2" t="inlineStr">
        <is>
          <t>Cloud; Full Stack</t>
        </is>
      </c>
      <c r="E15" s="2" t="inlineStr">
        <is>
          <t>Yes</t>
        </is>
      </c>
    </row>
    <row r="16">
      <c r="A16" s="2" t="inlineStr">
        <is>
          <t>Docker</t>
        </is>
      </c>
      <c r="B16" s="2" t="inlineStr">
        <is>
          <t>Working</t>
        </is>
      </c>
      <c r="C16" s="2" t="inlineStr">
        <is>
          <t>Listed skill</t>
        </is>
      </c>
      <c r="D16" s="2" t="inlineStr">
        <is>
          <t>Cloud; DevOps; Backend</t>
        </is>
      </c>
      <c r="E16" s="2" t="inlineStr">
        <is>
          <t>Review</t>
        </is>
      </c>
    </row>
    <row r="17">
      <c r="A17" s="2" t="inlineStr">
        <is>
          <t>Kubernetes</t>
        </is>
      </c>
      <c r="B17" s="2" t="inlineStr">
        <is>
          <t>Working</t>
        </is>
      </c>
      <c r="C17" s="2" t="inlineStr">
        <is>
          <t>Listed skill</t>
        </is>
      </c>
      <c r="D17" s="2" t="inlineStr">
        <is>
          <t>DevOps/Cloud</t>
        </is>
      </c>
      <c r="E17" s="2" t="inlineStr">
        <is>
          <t>Review</t>
        </is>
      </c>
    </row>
    <row r="18">
      <c r="A18" s="2" t="inlineStr">
        <is>
          <t>CI/CD</t>
        </is>
      </c>
      <c r="B18" s="2" t="inlineStr">
        <is>
          <t>Working</t>
        </is>
      </c>
      <c r="C18" s="2" t="inlineStr">
        <is>
          <t>Listed skill</t>
        </is>
      </c>
      <c r="D18" s="2" t="inlineStr">
        <is>
          <t>DevOps/Cloud</t>
        </is>
      </c>
      <c r="E18" s="2" t="inlineStr">
        <is>
          <t>Review</t>
        </is>
      </c>
    </row>
    <row r="19">
      <c r="A19" s="2" t="inlineStr">
        <is>
          <t>Git/GitHub</t>
        </is>
      </c>
      <c r="B19" s="2" t="inlineStr">
        <is>
          <t>Strong</t>
        </is>
      </c>
      <c r="C19" s="2" t="inlineStr">
        <is>
          <t>Development workflow</t>
        </is>
      </c>
      <c r="D19" s="2" t="inlineStr">
        <is>
          <t>All</t>
        </is>
      </c>
      <c r="E19" s="2" t="inlineStr">
        <is>
          <t>Yes</t>
        </is>
      </c>
    </row>
    <row r="20">
      <c r="A20" s="2" t="inlineStr">
        <is>
          <t>REST APIs</t>
        </is>
      </c>
      <c r="B20" s="2" t="inlineStr">
        <is>
          <t>Strong</t>
        </is>
      </c>
      <c r="C20" s="2" t="inlineStr">
        <is>
          <t>Node/Express projects</t>
        </is>
      </c>
      <c r="D20" s="2" t="inlineStr">
        <is>
          <t>Backend; SDE; Full Stack</t>
        </is>
      </c>
      <c r="E20" s="2" t="inlineStr">
        <is>
          <t>Yes</t>
        </is>
      </c>
    </row>
    <row r="21">
      <c r="A21" s="2" t="inlineStr">
        <is>
          <t>Authentication</t>
        </is>
      </c>
      <c r="B21" s="2" t="inlineStr">
        <is>
          <t>Strong</t>
        </is>
      </c>
      <c r="C21" s="2" t="inlineStr">
        <is>
          <t>JWT, Passport.js, RBAC</t>
        </is>
      </c>
      <c r="D21" s="2" t="inlineStr">
        <is>
          <t>Backend; SDE; Full Stack</t>
        </is>
      </c>
      <c r="E21" s="2" t="inlineStr">
        <is>
          <t>Yes</t>
        </is>
      </c>
    </row>
    <row r="22">
      <c r="A22" s="2" t="inlineStr">
        <is>
          <t>SQL Server</t>
        </is>
      </c>
      <c r="B22" s="2" t="inlineStr">
        <is>
          <t>Strong</t>
        </is>
      </c>
      <c r="C22" s="2" t="inlineStr">
        <is>
          <t>Australian restaurant POS</t>
        </is>
      </c>
      <c r="D22" s="2" t="inlineStr">
        <is>
          <t>Backend; Full Stack</t>
        </is>
      </c>
      <c r="E22" s="2" t="inlineStr">
        <is>
          <t>Yes</t>
        </is>
      </c>
    </row>
    <row r="23">
      <c r="A23" s="2" t="inlineStr">
        <is>
          <t>Figma</t>
        </is>
      </c>
      <c r="B23" s="2" t="inlineStr">
        <is>
          <t>Working</t>
        </is>
      </c>
      <c r="C23" s="2" t="inlineStr">
        <is>
          <t>POS UI/UX</t>
        </is>
      </c>
      <c r="D23" s="2" t="inlineStr">
        <is>
          <t>Frontend; Full Stack</t>
        </is>
      </c>
      <c r="E23" s="2" t="inlineStr">
        <is>
          <t>Yes</t>
        </is>
      </c>
    </row>
  </sheetData>
  <dataValidations count="2">
    <dataValidation sqref="B2:B500" showDropDown="0" showInputMessage="0" showErrorMessage="0" allowBlank="1" type="list">
      <formula1>"Strong,Working,Working / DSA,Developing,Beginner"</formula1>
    </dataValidation>
    <dataValidation sqref="E2:E500" showDropDown="0" showInputMessage="0" showErrorMessage="0" allowBlank="1" type="list">
      <formula1>"Yes,Review,No"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299"/>
  <sheetViews>
    <sheetView tabSelected="1" topLeftCell="AM1" workbookViewId="0">
      <pane ySplit="1" topLeftCell="A2" activePane="bottomLeft" state="frozen"/>
      <selection pane="bottomLeft" activeCell="AR4" sqref="AR4"/>
    </sheetView>
  </sheetViews>
  <sheetFormatPr baseColWidth="8" defaultRowHeight="15"/>
  <cols>
    <col width="12" customWidth="1" style="15" min="1" max="10"/>
    <col width="17" customWidth="1" style="15" min="11" max="11"/>
    <col width="18" customWidth="1" style="15" min="12" max="12"/>
    <col width="55" customWidth="1" style="15" min="13" max="13"/>
    <col width="38" customWidth="1" style="15" min="14" max="14"/>
    <col width="15" customWidth="1" style="15" min="15" max="15"/>
    <col width="16" customWidth="1" style="15" min="16" max="16"/>
    <col width="12" customWidth="1" style="15" min="17" max="18"/>
    <col width="18" customWidth="1" style="15" min="19" max="19"/>
    <col width="21" customWidth="1" style="15" min="20" max="20"/>
    <col width="38" customWidth="1" style="15" min="21" max="22"/>
    <col width="55" customWidth="1" style="15" min="23" max="23"/>
    <col width="16" customWidth="1" style="15" min="24" max="24"/>
    <col width="12" customWidth="1" style="15" min="25" max="25"/>
    <col width="55" customWidth="1" style="15" min="26" max="26"/>
    <col width="28" customWidth="1" style="15" min="27" max="38"/>
    <col width="52.28515625" bestFit="1" customWidth="1" style="15" min="39" max="39"/>
    <col width="20.140625" bestFit="1" customWidth="1" style="15" min="40" max="40"/>
    <col width="18" bestFit="1" customWidth="1" style="15" min="41" max="41"/>
    <col width="20.85546875" bestFit="1" customWidth="1" style="15" min="42" max="42"/>
    <col width="24" bestFit="1" customWidth="1" style="15" min="43" max="43"/>
    <col width="14.42578125" bestFit="1" customWidth="1" style="15" min="44" max="44"/>
  </cols>
  <sheetData>
    <row r="1">
      <c r="A1" s="5" t="inlineStr">
        <is>
          <t>Job ID</t>
        </is>
      </c>
      <c r="B1" s="5" t="inlineStr">
        <is>
          <t>Company</t>
        </is>
      </c>
      <c r="C1" s="5" t="inlineStr">
        <is>
          <t>Role</t>
        </is>
      </c>
      <c r="D1" s="5" t="inlineStr">
        <is>
          <t>Job URL</t>
        </is>
      </c>
      <c r="E1" s="5" t="inlineStr">
        <is>
          <t>Source</t>
        </is>
      </c>
      <c r="F1" s="5" t="inlineStr">
        <is>
          <t>Location</t>
        </is>
      </c>
      <c r="G1" s="5" t="inlineStr">
        <is>
          <t>Work Mode</t>
        </is>
      </c>
      <c r="H1" s="5" t="inlineStr">
        <is>
          <t>Stipend</t>
        </is>
      </c>
      <c r="I1" s="5" t="inlineStr">
        <is>
          <t>Duration</t>
        </is>
      </c>
      <c r="J1" s="5" t="inlineStr">
        <is>
          <t>PPO Signal</t>
        </is>
      </c>
      <c r="K1" s="5" t="inlineStr">
        <is>
          <t>Required Skills</t>
        </is>
      </c>
      <c r="L1" s="5" t="inlineStr">
        <is>
          <t>Preferred Skills</t>
        </is>
      </c>
      <c r="M1" s="5" t="inlineStr">
        <is>
          <t>JD Text</t>
        </is>
      </c>
      <c r="N1" s="5" t="inlineStr">
        <is>
          <t>Match Score</t>
        </is>
      </c>
      <c r="O1" s="5" t="inlineStr">
        <is>
          <t>Technical Fit</t>
        </is>
      </c>
      <c r="P1" s="5" t="inlineStr">
        <is>
          <t>Experience Fit</t>
        </is>
      </c>
      <c r="Q1" s="5" t="inlineStr">
        <is>
          <t>Role Fit</t>
        </is>
      </c>
      <c r="R1" s="5" t="inlineStr">
        <is>
          <t>PPO Score</t>
        </is>
      </c>
      <c r="S1" s="5" t="inlineStr">
        <is>
          <t>Compensation Fit</t>
        </is>
      </c>
      <c r="T1" s="5" t="inlineStr">
        <is>
          <t>Opportunity Quality</t>
        </is>
      </c>
      <c r="U1" s="5" t="inlineStr">
        <is>
          <t>Priority</t>
        </is>
      </c>
      <c r="V1" s="5" t="inlineStr">
        <is>
          <t>Recommendation</t>
        </is>
      </c>
      <c r="W1" s="5" t="inlineStr">
        <is>
          <t>Skill Gaps</t>
        </is>
      </c>
      <c r="X1" s="5" t="inlineStr">
        <is>
          <t>Resume Version</t>
        </is>
      </c>
      <c r="Y1" s="5" t="inlineStr">
        <is>
          <t>Date Found</t>
        </is>
      </c>
      <c r="Z1" s="5" t="inlineStr">
        <is>
          <t>Notes</t>
        </is>
      </c>
      <c r="AA1" s="5" t="inlineStr">
        <is>
          <t>Eligibility Status</t>
        </is>
      </c>
      <c r="AB1" s="5" t="inlineStr">
        <is>
          <t>Eligibility Reasons</t>
        </is>
      </c>
      <c r="AC1" s="5" t="inlineStr">
        <is>
          <t>Availability Status</t>
        </is>
      </c>
      <c r="AD1" s="5" t="inlineStr">
        <is>
          <t>Availability Reason</t>
        </is>
      </c>
      <c r="AE1" s="5" t="inlineStr">
        <is>
          <t>Compensation Status</t>
        </is>
      </c>
      <c r="AF1" s="5" t="inlineStr">
        <is>
          <t>Guaranteed Stipend</t>
        </is>
      </c>
      <c r="AG1" s="5" t="inlineStr">
        <is>
          <t>Incentive Included</t>
        </is>
      </c>
      <c r="AH1" s="5" t="inlineStr">
        <is>
          <t>PPO Status</t>
        </is>
      </c>
      <c r="AI1" s="5" t="inlineStr">
        <is>
          <t>PPO Evidence</t>
        </is>
      </c>
      <c r="AJ1" s="5" t="inlineStr">
        <is>
          <t>Hard Blockers</t>
        </is>
      </c>
      <c r="AK1" s="5" t="inlineStr">
        <is>
          <t>Red Flags</t>
        </is>
      </c>
      <c r="AL1" s="5" t="inlineStr">
        <is>
          <t>Interview Topics</t>
        </is>
      </c>
      <c r="AM1" s="21" t="inlineStr">
        <is>
          <t>Application Kit Path</t>
        </is>
      </c>
      <c r="AN1" s="21" t="inlineStr">
        <is>
          <t>Application Kit Status</t>
        </is>
      </c>
      <c r="AO1" s="21" t="inlineStr">
        <is>
          <t>Cover Letter Status</t>
        </is>
      </c>
      <c r="AP1" s="21" t="inlineStr">
        <is>
          <t>Resume Bullets Status</t>
        </is>
      </c>
      <c r="AQ1" s="21" t="inlineStr">
        <is>
          <t>Screening Answers Status</t>
        </is>
      </c>
      <c r="AR1" s="21" t="inlineStr">
        <is>
          <t>Apply Status</t>
        </is>
      </c>
    </row>
    <row r="2">
      <c r="A2" t="inlineStr">
        <is>
          <t>VAHAN.AI-261002-1</t>
        </is>
      </c>
      <c r="B2" t="inlineStr">
        <is>
          <t>Vahan.ai</t>
        </is>
      </c>
      <c r="C2" t="inlineStr">
        <is>
          <t>Software Engineer Intern</t>
        </is>
      </c>
      <c r="D2" t="inlineStr">
        <is>
          <t>https://in.jooble.org/desc/6188556421007720826?ckey=software+engineer+intern&amp;rgn=3193&amp;pos=1&amp;elckey=-914241366255621246&amp;p=1&amp;aq=3344858192535340138&amp;cid=389&amp;jobAge=65&amp;brelb=10&amp;bscr=1812.0676&amp;scr=1812.0676</t>
        </is>
      </c>
      <c r="E2" t="inlineStr">
        <is>
          <t>AI Analyzer</t>
        </is>
      </c>
      <c r="F2" t="inlineStr">
        <is>
          <t>Bangalore</t>
        </is>
      </c>
      <c r="G2" t="inlineStr">
        <is>
          <t>On-site</t>
        </is>
      </c>
      <c r="I2" t="inlineStr">
        <is>
          <t>6 months</t>
        </is>
      </c>
      <c r="J2" t="inlineStr">
        <is>
          <t>NOT_MENTIONED</t>
        </is>
      </c>
      <c r="K2" t="inlineStr">
        <is>
          <t>React; Node.js; PostgreSQL; REST APIs; Data Structures; Algorithms</t>
        </is>
      </c>
      <c r="L2" t="inlineStr">
        <is>
          <t>Git; AWS; GCP; CI/CD</t>
        </is>
      </c>
      <c r="M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 Software Engineer Intern
Vahan.ai
[Bangalore](https://in.jooble.org/jobs/Bangalore)
[Apply](https://in.jooble.org/away/6188556421007720826?p=1&amp;pos=0&amp;rgn=3193&amp;pageType=7&amp;cid=389&amp;jobAge=65&amp;scr=1812.0676&amp;bscr=1812.0676&amp;jdpSource=101&amp;jdpid=4268432523975834226&amp;crId=IN_941557261776897104IN_3193)
This position requires local presence. Please view similar jobs below.
**About Vahan**
Vahan is a YC-backed AI-powered hiring marketplace connecting blue-collar workers with employment opportunities at scale. We're building technology that transforms how India's frontline workforce finds jobs.
**About the Role**
We're looking for a Software Development Engineer Intern to join our engineering team for a 6-month internship. You'll work on real, production-facing features across our stack — building and shipping code that impacts how millions of workers access job opportunities.
**What You'll Do**
- Build and ship features across the frontend (React) and backend (Node.js, PostgreSQL)
- Write clean, maintainable, well-tested code and participate in code reviews
- Collaborate closely with senior engineers, product managers, and designers on feature design and implementation
- Debug and resolve issues in existing systems
- Contribute to technical discussions and bring fresh perspective to engineering decisions
**What We're Looking For**
- Strong fundamentals in React (component architecture, state management, hooks) and Node.js (REST APIs, async patterns)
- Working knowledge of PostgreSQL — schema design, queries, basic optimization
- **Must have completed at least one prior internship** in a software engineering role
- Solid understanding of data structures, algorithms, and problem-solving
- Comfortable working in a fast-paced startup environment with high ownership
- Strong communication skills and ability to work collaboratively with cross-functional teams
- Currently pursuing or recently completed a degree in Computer Science or a related field
**Good to Have**
- Familiarity with Git and collaborative development workflows
- Exposure to cloud platforms (AWS/GCP) or CI/CD pipelines
- Prior experience building or contributing to a production application
**What You'll Get**
- Hands-on experience building production systems used at scale
- Direct mentorship from senior engineers
- High ownership from day one — you'll ship real features, not just tickets
- A front-row seat to how a fast-growing startup operates
[Apply](https://in.jooble.org/away/6188556421007720826?p=1&amp;pos=0&amp;rgn=3193&amp;pageType=7&amp;cid=389&amp;jobAge=65&amp;scr=1812.0676&amp;bscr=1812.0676&amp;jdpSource=101&amp;jdpid=4268432523975834226&amp;crId=IN_941557261776897104IN_3193)
Software Engineer Intern
Amli Media
[Bangalore](https://in.jooble.org/jobs/Bangalore)
[Apply](https://in.jooble.org/away/-5466943941181979298?p=1&amp;pos=0&amp;rgn=3193&amp;pageType=7&amp;cid=389&amp;jobAge=65&amp;scr=1680.1357&amp;bscr=1680.1357&amp;jdpSource=101&amp;jdpid=8525193347522701470&amp;crId=IN_941557261776897104IN_3193)
This position requires local presence. Please view similar jobs below.
**About Amli Media**
**Amli Media is a programmatic advertising technology company building high-performance infrastructure for real-time bidding, OpenRTB, APIs, data processing, and digital advertising.**
**The Role**
**We're looking for a **Software Engineer Intern** who enjoys coding, problem-solving, and experimenting with new technologies. You'll work with our engineering team on real-world systems and production-oriented projects.**
**What You'll Do**
**- Develop and improve backend services, APIs, and real-time systems.**
**- Learn and work with **OpenRTB and AdTech systems** .**
**- Debug issues, write tests, and improve application performance.**
**- Use **AI coding tools** to accelerate development, whil</t>
        </is>
      </c>
      <c r="N2" t="n">
        <v>71</v>
      </c>
      <c r="O2" t="n">
        <v>75</v>
      </c>
      <c r="P2" t="n">
        <v>90</v>
      </c>
      <c r="Q2" t="n">
        <v>85</v>
      </c>
      <c r="R2" t="n">
        <v>30</v>
      </c>
      <c r="S2" t="n">
        <v>50</v>
      </c>
      <c r="T2" t="n">
        <v>85</v>
      </c>
      <c r="U2" t="inlineStr">
        <is>
          <t>CONSIDER</t>
        </is>
      </c>
      <c r="V2" t="inlineStr">
        <is>
          <t>CONSIDER</t>
        </is>
      </c>
      <c r="W2" t="inlineStr">
        <is>
          <t>React (listed as working knowledge, Angular is demonstrated); PostgreSQL (MySQL and MS SQL Server demonstrated, PostgreSQL is working knowledge/exposure)</t>
        </is>
      </c>
      <c r="X2" t="inlineStr">
        <is>
          <t>Default Full Stack / MERN Resume emphasizing Node.js, REST APIs, and database experience.</t>
        </is>
      </c>
      <c r="Y2" t="inlineStr">
        <is>
          <t>2026-10-02</t>
        </is>
      </c>
      <c r="Z2" t="inlineStr">
        <is>
          <t>Matches target role as a Software Engineer Intern in Bangalore.; Fulfills experience requirements with prior verifiable full stack internships.; Tech stack overlaps significantly with candidate's backend and full stack background.</t>
        </is>
      </c>
      <c r="AA2" t="inlineStr">
        <is>
          <t>ELIGIBLE</t>
        </is>
      </c>
      <c r="AB2" t="inlineStr">
        <is>
          <t>Currently pursuing MCA degree matching degree requirements.; Candidate has prior full-stack internship experience satisfying the internship requirement.</t>
        </is>
      </c>
      <c r="AC2" t="inlineStr">
        <is>
          <t>UNKNOWN</t>
        </is>
      </c>
      <c r="AD2" t="inlineStr">
        <is>
          <t>Candidate availability dates are not specified in the career brain.</t>
        </is>
      </c>
      <c r="AE2" t="inlineStr">
        <is>
          <t>UNKNOWN</t>
        </is>
      </c>
      <c r="AF2" t="n">
        <v>0</v>
      </c>
      <c r="AG2" t="inlineStr">
        <is>
          <t>No</t>
        </is>
      </c>
      <c r="AH2" t="inlineStr">
        <is>
          <t>NOT_MENTIONED</t>
        </is>
      </c>
      <c r="AI2" t="inlineStr">
        <is>
          <t>No explicit PPO or conversion mention found in the Vahan.ai job description.</t>
        </is>
      </c>
      <c r="AL2" t="inlineStr">
        <is>
          <t>Node.js async patterns and REST API design; React component architecture and state management; PostgreSQL schema design and query optimization compared to MySQL; Data structures and algorithms problem solving</t>
        </is>
      </c>
    </row>
    <row r="3">
      <c r="A3" t="inlineStr">
        <is>
          <t>AMLI-MEDIA-261002-2</t>
        </is>
      </c>
      <c r="B3" t="inlineStr">
        <is>
          <t>Amli Media</t>
        </is>
      </c>
      <c r="C3" t="inlineStr">
        <is>
          <t>Software Engineer Intern</t>
        </is>
      </c>
      <c r="D3" t="inlineStr">
        <is>
          <t>https://in.jooble.org/desc/-5466943941181979298?ckey=software+engineer+intern&amp;rgn=3193&amp;pos=2&amp;elckey=-914241366255621246&amp;p=1&amp;aq=3344858192535340138&amp;cid=389&amp;jobAge=65&amp;brelb=10&amp;bscr=1680.1357&amp;scr=1680.1357</t>
        </is>
      </c>
      <c r="E3" t="inlineStr">
        <is>
          <t>AI Analyzer</t>
        </is>
      </c>
      <c r="F3" t="inlineStr">
        <is>
          <t>Bengaluru</t>
        </is>
      </c>
      <c r="G3" t="inlineStr">
        <is>
          <t>Hybrid</t>
        </is>
      </c>
      <c r="H3" t="inlineStr">
        <is>
          <t>Competitive</t>
        </is>
      </c>
      <c r="I3" t="inlineStr">
        <is>
          <t>3–6 months</t>
        </is>
      </c>
      <c r="J3" t="inlineStr">
        <is>
          <t>AVAILABLE</t>
        </is>
      </c>
      <c r="K3" t="inlineStr">
        <is>
          <t>Programming fundamentals; Problem-solving; Data structures; Algorithms; SQL; APIs; Git</t>
        </is>
      </c>
      <c r="L3" t="inlineStr">
        <is>
          <t>Go; Java; OpenRTB; AdTech systems; AI coding tools</t>
        </is>
      </c>
      <c r="M3"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Vahan.ai
[Bangalore](https://in.jooble.org/jobs/Bangalore)
[Apply](https://in.jooble.org/away/6188556421007720826?p=1&amp;pos=0&amp;rgn=3193&amp;pageType=7&amp;cid=389&amp;jobAge=65&amp;scr=1812.0676&amp;bscr=1812.0676&amp;jdpSource=101&amp;jdpid=2128092381181319296&amp;crId=IN_941557261776897104IN_3193)
This position requires local presence. Please view similar jobs below.
**About Vahan**
Vahan is a YC-backed AI-powered hiring marketplace connecting blue-collar workers with employment opportunities at scale. We're building technology that transforms how India's frontline workforce finds jobs.
**About the Role**
We're looking for a Software Development Engineer Intern to join our engineering team for a 6-month internship. You'll work on real, production-facing features across our stack — building and shipping code that impacts how millions of workers access job opportunities.
**What You'll Do**
- Build and ship features across the frontend (React) and backend (Node.js, PostgreSQL)
- Write clean, maintainable, well-tested code and participate in code reviews
- Collaborate closely with senior engineers, product managers, and designers on feature design and implementation
- Debug and resolve issues in existing systems
- Contribute to technical discussions and bring fresh perspective to engineering decisions
**What We're Looking For**
- Strong fundamentals in React (component architecture, state management, hooks) and Node.js (REST APIs, async patterns)
- Working knowledge of PostgreSQL — schema design, queries, basic optimization
- **Must have completed at least one prior internship** in a software engineering role
- Solid understanding of data structures, algorithms, and problem-solving
- Comfortable working in a fast-paced startup environment with high ownership
- Strong communication skills and ability to work collaboratively with cross-functional teams
- Currently pursuing or recently completed a degree in Computer Science or a related field
**Good to Have**
- Familiarity with Git and collaborative development workflows
- Exposure to cloud platforms (AWS/GCP) or CI/CD pipelines
- Prior experience building or contributing to a production application
**What You'll Get**
- Hands-on experience building production systems used at scale
- Direct mentorship from senior engineers
- High ownership from day one — you'll ship real features, not just tickets
- A front-row seat to how a fast-growing startup operates
[Apply](https://in.jooble.org/away/6188556421007720826?p=1&amp;pos=0&amp;rgn=3193&amp;pageType=7&amp;cid=389&amp;jobAge=65&amp;scr=1812.0676&amp;bscr=1812.0676&amp;jdpSource=101&amp;jdpid=2128092381181319296&amp;crId=IN_941557261776897104IN_3193)
# Software Engineer Intern
Amli Media
[Bangalore](https://in.jooble.org/jobs/Bangalore)
[Apply](https://in.jooble.org/away/-5466943941181979298?p=1&amp;pos=0&amp;rgn=3193&amp;pageType=7&amp;cid=389&amp;jobAge=65&amp;scr=1680.1357&amp;bscr=1680.1357&amp;jdpSource=101&amp;jdpid=7294553434606529108&amp;crId=IN_941557261776897104IN_3193)
This position requires local presence. Please view similar jobs below.
**About Amli Media**
**Amli Media is a programmatic advertising technology company building high-performance infrastructure for real-time bidding, OpenRTB, APIs, data processing, and digital advertising.**
**The Role**
**We're looking for a **Software Engineer Intern** who enjoys coding, problem-solving, and experimenting with new technologies. You'll work with our engineering team on real-world systems and production-oriented projects.**
**What You'll Do**
**- Develop and improve backend services, APIs, and real-time systems.**
**- Learn and work with **OpenRTB and AdTech systems** .**
**- Debug issues, write tests, and improve application performance.**
**- Use **AI coding tools** to accelerate development, whil</t>
        </is>
      </c>
      <c r="N3" t="n">
        <v>80</v>
      </c>
      <c r="O3" t="n">
        <v>75</v>
      </c>
      <c r="P3" t="n">
        <v>90</v>
      </c>
      <c r="Q3" t="n">
        <v>85</v>
      </c>
      <c r="R3" t="n">
        <v>90</v>
      </c>
      <c r="S3" t="n">
        <v>50</v>
      </c>
      <c r="T3" t="n">
        <v>85</v>
      </c>
      <c r="U3" t="inlineStr">
        <is>
          <t>APPLY</t>
        </is>
      </c>
      <c r="V3" t="inlineStr">
        <is>
          <t>APPLY</t>
        </is>
      </c>
      <c r="W3" t="inlineStr">
        <is>
          <t>Go; Java; OpenRTB; AdTech systems</t>
        </is>
      </c>
      <c r="X3" t="inlineStr">
        <is>
          <t>Default Full Stack / Backend Resume</t>
        </is>
      </c>
      <c r="Y3" t="inlineStr">
        <is>
          <t>2026-10-02</t>
        </is>
      </c>
      <c r="Z3" t="inlineStr">
        <is>
          <t>No prior professional experience required, matching the candidate's student profile.; Offers potential full-time conversion (PPO), which is a high priority.; Located in Bengaluru with a hybrid work model.</t>
        </is>
      </c>
      <c r="AA3" t="inlineStr">
        <is>
          <t>ELIGIBLE</t>
        </is>
      </c>
      <c r="AB3" t="inlineStr">
        <is>
          <t>Candidate is pursuing MCA which matches the required degrees (B.E., B.Tech, M.Tech, MCA).; No prior professional experience is required.</t>
        </is>
      </c>
      <c r="AC3" t="inlineStr">
        <is>
          <t>UNKNOWN</t>
        </is>
      </c>
      <c r="AD3" t="inlineStr">
        <is>
          <t>Specific start date is not explicitly mentioned in candidate profile.</t>
        </is>
      </c>
      <c r="AE3" t="inlineStr">
        <is>
          <t>UNKNOWN</t>
        </is>
      </c>
      <c r="AF3" t="n">
        <v>0</v>
      </c>
      <c r="AG3" t="inlineStr">
        <is>
          <t>No</t>
        </is>
      </c>
      <c r="AH3" t="inlineStr">
        <is>
          <t>AVAILABLE</t>
        </is>
      </c>
      <c r="AI3" t="inlineStr">
        <is>
          <t>Potential conversion based on performance.</t>
        </is>
      </c>
      <c r="AL3" t="inlineStr">
        <is>
          <t>Backend services, APIs, and real-time systems architecture; SQL query optimization and database design; OpenRTB and AdTech fundamentals (conceptual readiness); Effective and responsible usage of AI coding tools in software development</t>
        </is>
      </c>
      <c r="AM3" t="inlineStr">
        <is>
          <t>E:\InternshipHunter\applications\jooble-04745f7de859</t>
        </is>
      </c>
      <c r="AN3" t="inlineStr">
        <is>
          <t>Ready for Review</t>
        </is>
      </c>
      <c r="AO3" t="inlineStr">
        <is>
          <t>Generated</t>
        </is>
      </c>
      <c r="AP3" t="inlineStr">
        <is>
          <t>Generated</t>
        </is>
      </c>
      <c r="AQ3" t="inlineStr">
        <is>
          <t>Generated</t>
        </is>
      </c>
      <c r="AR3" t="inlineStr">
        <is>
          <t>Ready to Apply</t>
        </is>
      </c>
    </row>
    <row r="4">
      <c r="A4" t="inlineStr">
        <is>
          <t>WEEKDAY-(YC--261002-3</t>
        </is>
      </c>
      <c r="B4" t="inlineStr">
        <is>
          <t>weekday (yc w21)</t>
        </is>
      </c>
      <c r="C4" t="inlineStr">
        <is>
          <t>Software Engineer Intern</t>
        </is>
      </c>
      <c r="D4" t="inlineStr">
        <is>
          <t>https://in.jooble.org/desc/-455657989072061680?ckey=software+engineer+intern&amp;rgn=3193&amp;pos=3&amp;elckey=-914241366255621246&amp;p=1&amp;aq=3344858192535340138&amp;cid=389&amp;jobAge=977&amp;brelb=10&amp;bscr=1640.0364&amp;scr=1640.0364</t>
        </is>
      </c>
      <c r="E4" t="inlineStr">
        <is>
          <t>AI Analyzer</t>
        </is>
      </c>
      <c r="F4" t="inlineStr">
        <is>
          <t>Bengaluru</t>
        </is>
      </c>
      <c r="G4" t="inlineStr">
        <is>
          <t>Hybrid</t>
        </is>
      </c>
      <c r="H4" t="inlineStr">
        <is>
          <t>₹30,000 – ₹50,000 per month</t>
        </is>
      </c>
      <c r="I4" t="inlineStr">
        <is>
          <t>Minimum 2 months, extendable up to 6 months</t>
        </is>
      </c>
      <c r="J4" t="inlineStr">
        <is>
          <t>not_mentioned</t>
        </is>
      </c>
      <c r="K4" t="inlineStr">
        <is>
          <t>Problem-solving; Data structures; Algorithms; Software development principles; Programming language (Python, JavaScript, Java, C++)</t>
        </is>
      </c>
      <c r="L4" t="inlineStr">
        <is>
          <t>Web frameworks; Cloud platforms; AI/ML tools; Prior internship experience; GitHub personal projects; Agile development practices</t>
        </is>
      </c>
      <c r="M4"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Amli Media
[Bangalore](https://in.jooble.org/jobs/Bangalore)
[Apply](https://in.jooble.org/away/-5466943941181979298?p=1&amp;pos=0&amp;rgn=3193&amp;pageType=7&amp;cid=389&amp;jobAge=65&amp;scr=1680.1357&amp;bscr=1680.1357&amp;jdpSource=101&amp;jdpid=-6046522872735667925&amp;crId=IN_941557261776897104IN_3193)
This position requires local presence. Please view similar jobs below.
**About Amli Media**
**Amli Media is a programmatic advertising technology company building high-performance infrastructure for real-time bidding, OpenRTB, APIs, data processing, and digital advertising.**
**The Role**
**We're looking for a **Software Engineer Intern** who enjoys coding, problem-solving, and experimenting with new technologies. You'll work with our engineering team on real-world systems and production-oriented projects.**
**What You'll Do**
**- Develop and improve backend services, APIs, and real-time systems.**
**- Learn and work with **OpenRTB and AdTech systems** .**
**- Debug issues, write tests, and improve application performance.**
**- Use **AI coding tools** to accelerate development, while understanding, validating, testing, and improving the generated code.**
**- Participate in code reviews and follow modern software engineering practices.**
**What We're Looking For**
**- Strong programming fundamentals and problem-solving skills.**
**- Knowledge of at least one programming language (Go or Java preferred)**
**- Good understanding of **data structures, algorithms, SQL, APIs, and Git** .**
**- Curiosity to learn and ability to work independently.**
**- **Comfortable using AI tools for coding and learning, with the ability to critically review AI-generated solutions.****
**- Personal projects, GitHub contributions, or hackathon experience are a plus.**
**Internship Details**
****Location:** Bengaluru**
****Work Model:** Hybrid**
****Duration:** 3–6 months**
****Stipend:** Competitive**
****Full-Time Opportunity:** Potential conversion based on performance.**
**Who Should Apply**
**Students pursuing **B.E., B.Tech, M.Tech, MCA** , or a related degree, as well as recent graduates. **No prior professional experience required.****
**If you love building things, learning fast, and using AI as a coding partner, not a replacement for thinking, we'd love to hear from you.**
[Apply](https://in.jooble.org/away/-5466943941181979298?p=1&amp;pos=0&amp;rgn=3193&amp;pageType=7&amp;cid=389&amp;jobAge=65&amp;scr=1680.1357&amp;bscr=1680.1357&amp;jdpSource=101&amp;jdpid=-6046522872735667925&amp;crId=IN_941557261776897104IN_3193)
# Software Engineer Intern
weekday (yc w21)
[Bangalore](https://in.jooble.org/jobs/Bangalore)
[Apply](https://in.jooble.org/away/-455657989072061680?p=1&amp;pos=0&amp;rgn=3193&amp;pageType=7&amp;cid=389&amp;jobAge=977&amp;scr=1640.0364&amp;bscr=1640.0364&amp;jdpSource=101&amp;jdpid=-5525075937782994459&amp;crId=IN_941557261776897104IN_3193)
This position requires local presence. Please view similar jobs below.
**This role is for one of our clients**
**Industry: Software Development**
**Seniority level: Junior - Entry Level**
**Min Experience: 0 years**
**Location: Bengaluru (Remote)**
**JobType: full-time**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**About The Role**
**We are looking for a motivated and curious Software Engineering Intern to join the team. This is a hands-on role where you'l</t>
        </is>
      </c>
      <c r="N4" t="n">
        <v>88</v>
      </c>
      <c r="O4" t="n">
        <v>95</v>
      </c>
      <c r="P4" t="n">
        <v>95</v>
      </c>
      <c r="Q4" t="n">
        <v>95</v>
      </c>
      <c r="R4" t="n">
        <v>50</v>
      </c>
      <c r="S4" t="n">
        <v>100</v>
      </c>
      <c r="T4" t="n">
        <v>85</v>
      </c>
      <c r="U4" t="inlineStr">
        <is>
          <t>APPLY</t>
        </is>
      </c>
      <c r="V4" t="inlineStr">
        <is>
          <t>APPLY</t>
        </is>
      </c>
      <c r="X4" t="inlineStr">
        <is>
          <t>Standard Full Stack / Software Engineer Intern Resume</t>
        </is>
      </c>
      <c r="Y4" t="inlineStr">
        <is>
          <t>2026-10-02</t>
        </is>
      </c>
      <c r="Z4" t="inlineStr">
        <is>
          <t>Stipend of ₹30,000 – ₹50,000 per month comfortably exceeds the minimum stipend target of ₹25,000/month.; Role matches primary target of Software Engineer Intern in Bengaluru with flexible work mode.; Candidate meets all educational and experience criteria with strong demonstrated JavaScript, Node, and C# skills.</t>
        </is>
      </c>
      <c r="AA4" t="inlineStr">
        <is>
          <t>eligible</t>
        </is>
      </c>
      <c r="AB4" t="inlineStr">
        <is>
          <t>Currently pursuing an MCA degree which aligns with the Computer Science or related field requirement.; Min experience required is 0 years, which is fully satisfied by candidate experience.</t>
        </is>
      </c>
      <c r="AC4" t="inlineStr">
        <is>
          <t>unknown</t>
        </is>
      </c>
      <c r="AD4" t="inlineStr">
        <is>
          <t>Exact start date availability relative to 'Immediate / As soon as possible' is not specified in the candidate profile.</t>
        </is>
      </c>
      <c r="AE4" t="inlineStr">
        <is>
          <t>exact</t>
        </is>
      </c>
      <c r="AF4" t="n">
        <v>30000</v>
      </c>
      <c r="AG4" t="inlineStr">
        <is>
          <t>No</t>
        </is>
      </c>
      <c r="AH4" t="inlineStr">
        <is>
          <t>not_mentioned</t>
        </is>
      </c>
      <c r="AI4" t="inlineStr">
        <is>
          <t>The job description does not mention potential conversion or PPO opportunities.</t>
        </is>
      </c>
      <c r="AL4" t="inlineStr">
        <is>
          <t>Data structures and algorithms problem-solving; System development principles and debugging experience; Past internship project architecture (Sunflower Trip / Restaurant POS); JavaScript and backend fundamentals</t>
        </is>
      </c>
      <c r="AM4" t="inlineStr">
        <is>
          <t>E:\InternshipHunter\applications\jooble-aef4be558ffb</t>
        </is>
      </c>
      <c r="AN4" t="inlineStr">
        <is>
          <t>Ready for Review</t>
        </is>
      </c>
      <c r="AO4" t="inlineStr">
        <is>
          <t>Generated</t>
        </is>
      </c>
      <c r="AP4" t="inlineStr">
        <is>
          <t>Generated</t>
        </is>
      </c>
      <c r="AQ4" t="inlineStr">
        <is>
          <t>Generated</t>
        </is>
      </c>
      <c r="AR4" t="inlineStr">
        <is>
          <t>Ready to Apply</t>
        </is>
      </c>
    </row>
    <row r="5">
      <c r="A5" t="inlineStr">
        <is>
          <t>STRIPE-261002-4</t>
        </is>
      </c>
      <c r="B5" t="inlineStr">
        <is>
          <t>Stripe</t>
        </is>
      </c>
      <c r="C5" t="inlineStr">
        <is>
          <t>Software Engineer, Intern</t>
        </is>
      </c>
      <c r="D5" t="inlineStr">
        <is>
          <t>https://in.jooble.org/desc/6361268409707951745?ckey=software+engineer+intern&amp;rgn=3193&amp;pos=4&amp;elckey=-914241366255621246&amp;p=1&amp;aq=3344858192535340138&amp;cid=389&amp;jobAge=771&amp;brelb=100&amp;bscr=1590.454&amp;scr=1590.454</t>
        </is>
      </c>
      <c r="E5" t="inlineStr">
        <is>
          <t>AI Analyzer</t>
        </is>
      </c>
      <c r="F5" t="inlineStr">
        <is>
          <t>Bangalore</t>
        </is>
      </c>
      <c r="G5" t="inlineStr">
        <is>
          <t>Remote/On-site</t>
        </is>
      </c>
      <c r="H5" t="inlineStr">
        <is>
          <t>Not specified</t>
        </is>
      </c>
      <c r="I5" t="inlineStr">
        <is>
          <t>Not specified</t>
        </is>
      </c>
      <c r="J5" t="inlineStr">
        <is>
          <t>NOT_EXPLICITLY_MENTIONED</t>
        </is>
      </c>
      <c r="K5" t="inlineStr">
        <is>
          <t>Computer Science fundamentals; Programming experience (Ruby, Java, JavaScript, Go, or Scala); Collaboration and team experience</t>
        </is>
      </c>
      <c r="L5" t="inlineStr">
        <is>
          <t>At least 1 year of university education; Specialized knowledge in frontend, backend, or infrastructure; Writing high quality pull requests</t>
        </is>
      </c>
      <c r="M5"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weekday (yc w21)
[Bangalore](https://in.jooble.org/jobs/Bangalore)
[Apply](https://in.jooble.org/away/-455657989072061680?p=1&amp;pos=0&amp;rgn=3193&amp;pageType=7&amp;cid=389&amp;jobAge=977&amp;scr=1640.0364&amp;bscr=1640.0364&amp;jdpSource=101&amp;jdpid=-5684648104378095057&amp;crId=IN_941557261776897104IN_3193)
**This role is for one of our clients**
**Industry: Software Development**
**Seniority level: Junior - Entry Level**
**Min Experience: 0 years**
**Location: Bengaluru (Remote)**
**JobType: full-time**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**About The Role**
**We are looking for a motivated and curious Software Engineering Intern to join the team. This is a hands-on role where you'll work alongside experienced engineers, contribute to real projects, and grow your technical skills in a fast-paced environment.**
**Details**
**Stipend:  ₹30,000 – ₹50,000 per month**
**Duration:  Minimum 2 months, extendable up to 6 months**
**Start Date:  Immediate / As soon as possible**
**Responsibilities**
**Assist in the design, development, and testing of software features**
**Debug issues and contribute to improving system performance**
**Learn and adapt quickly to new tools, technologies, and workflows**
**Requirements**
**Strong problem-solving skills and eagerness to learn**
**Good communication and teamwork skills**
**Currently pursuing or recently completed a degree in Computer Science, Engineering, or a related field**
**Basic understanding of data structures, algorithms, and software development principles**
**Proficiency in at least one programming language (e.g., Python, JavaScript, Java, C++)**
**Nice to Have**
**Familiarity with web frameworks, cloud platforms, or AI/ML tools**
**Prior internship experience or personal projects on GitHub**
**Exposure to agile development practices**
[Apply](https://in.jooble.org/away/-455657989072061680?p=1&amp;pos=0&amp;rgn=3193&amp;pageType=7&amp;cid=389&amp;jobAge=977&amp;scr=1640.0364&amp;bscr=1640.0364&amp;jdpSource=101&amp;jdpid=-5684648104378095057&amp;crId=IN_941557261776897104IN_3193)
# Software Engineer, Intern
Stripe
[Bangalore](https://in.jooble.org/jobs/Bangalore)
[Apply](https://in.jooble.org/away/6361268409707951745?p=1&amp;pos=0&amp;rgn=3193&amp;pageType=7&amp;cid=389&amp;jobAge=771&amp;scr=1590.454&amp;bscr=1590.454&amp;jdpSource=101&amp;jdpid=2903116517488692424&amp;crId=IN_941557261776897104IN_3193)
## **Who we are**
### **About Stripe**
Stripe is a technology company focused on improving the conditions for economic growth and prosperity. We build programmable financial infrastructure, rethinking from first principles how financial services should work, to make it easier and cheaper for any business to start and scale. More than 10 million businesses build on Stripe, spanning the economic frontier—from solo founders to established enterprises—united by a practical focus on growth. The most ambitious companies in the world use Stripe as core infrastructure to grow faster. They process trillions of dollars a year on Stripe, equivalent to around 1.6% of global GDP. While economic growth makes everyone better off, open markets also enable greater variety. When any business can easily serve a global customer base, the quality and diversity of products in the world increase, and craft and creativity are unleashed into the smallest n</t>
        </is>
      </c>
      <c r="N5" t="n">
        <v>77</v>
      </c>
      <c r="O5" t="n">
        <v>85</v>
      </c>
      <c r="P5" t="n">
        <v>80</v>
      </c>
      <c r="Q5" t="n">
        <v>90</v>
      </c>
      <c r="R5" t="n">
        <v>50</v>
      </c>
      <c r="S5" t="n">
        <v>50</v>
      </c>
      <c r="T5" t="n">
        <v>95</v>
      </c>
      <c r="U5" t="inlineStr">
        <is>
          <t>CONSIDER</t>
        </is>
      </c>
      <c r="V5" t="inlineStr">
        <is>
          <t>CONSIDER</t>
        </is>
      </c>
      <c r="W5" t="inlineStr">
        <is>
          <t>Ruby; Go; Scala</t>
        </is>
      </c>
      <c r="X5" t="inlineStr">
        <is>
          <t>Amaanuddin_Ahmed_Resume_FullStack.pdf</t>
        </is>
      </c>
      <c r="Y5" t="inlineStr">
        <is>
          <t>2026-10-02</t>
        </is>
      </c>
      <c r="Z5" t="inlineStr">
        <is>
          <t>Stripe is a top-tier technology company offering high opportunity quality and exposure to global-scale financial infrastructure.; The candidate meets the educational requirements as an MCA student at PES University.; Demonstrated full-stack development experience and JavaScript proficiency match the core requirements.</t>
        </is>
      </c>
      <c r="AA5" t="inlineStr">
        <is>
          <t>ELIGIBLE</t>
        </is>
      </c>
      <c r="AB5" t="inlineStr">
        <is>
          <t>Currently pursuing a Master's degree in Computer Science (MCA at PES University); Strong foundational programming skills and previous internship/project experience met</t>
        </is>
      </c>
      <c r="AC5" t="inlineStr">
        <is>
          <t>UNKNOWN</t>
        </is>
      </c>
      <c r="AD5" t="inlineStr">
        <is>
          <t>Start date and exact availability constraints not specified in profile</t>
        </is>
      </c>
      <c r="AE5" t="inlineStr">
        <is>
          <t>UNKNOWN</t>
        </is>
      </c>
      <c r="AF5" t="n">
        <v>0</v>
      </c>
      <c r="AG5" t="inlineStr">
        <is>
          <t>No</t>
        </is>
      </c>
      <c r="AH5" t="inlineStr">
        <is>
          <t>NOT_EXPLICITLY_MENTIONED</t>
        </is>
      </c>
      <c r="AI5" t="inlineStr">
        <is>
          <t>Job description mentions internship program and projects but does not explicitly guarantee or mention a full-time conversion/PPO offer.</t>
        </is>
      </c>
      <c r="AL5" t="inlineStr">
        <is>
          <t>Data structures and algorithms fundamentals; System design and scalable API development; Previous internship project architecture and deployment; Problem solving and handling ambiguous technical tasks</t>
        </is>
      </c>
    </row>
    <row r="6">
      <c r="A6" t="inlineStr">
        <is>
          <t>JOVEO-261002-5</t>
        </is>
      </c>
      <c r="B6" t="inlineStr">
        <is>
          <t>Joveo</t>
        </is>
      </c>
      <c r="C6" t="inlineStr">
        <is>
          <t>Software Engineering Intern (Full Stack)</t>
        </is>
      </c>
      <c r="D6" t="inlineStr">
        <is>
          <t>https://in.jooble.org/desc/5799679831910233464?ckey=software+engineer+intern&amp;rgn=3193&amp;pos=5&amp;elckey=-914241366255621246&amp;p=1&amp;aq=3344858192535340138&amp;cid=389&amp;jobAge=545&amp;brelb=10&amp;bscr=1482.9149&amp;scr=1482.9149</t>
        </is>
      </c>
      <c r="E6" t="inlineStr">
        <is>
          <t>AI Analyzer</t>
        </is>
      </c>
      <c r="F6" t="inlineStr">
        <is>
          <t>Bangalore</t>
        </is>
      </c>
      <c r="G6" t="inlineStr">
        <is>
          <t>On-site</t>
        </is>
      </c>
      <c r="H6" t="inlineStr">
        <is>
          <t>Competitive stipend</t>
        </is>
      </c>
      <c r="I6" t="inlineStr">
        <is>
          <t>Full-time internship</t>
        </is>
      </c>
      <c r="J6" t="inlineStr">
        <is>
          <t>NOT_MENTIONED</t>
        </is>
      </c>
      <c r="K6" t="inlineStr">
        <is>
          <t>TypeScript; React; Next.js; Node.js; Express.js; SQL; REST API; Git</t>
        </is>
      </c>
      <c r="L6" t="inlineStr">
        <is>
          <t>LLMs; Embeddings; Vector databases</t>
        </is>
      </c>
      <c r="M6"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Stripe
[Bangalore](https://in.jooble.org/jobs/Bangalore)
[Apply](https://in.jooble.org/away/6361268409707951745?p=1&amp;pos=0&amp;rgn=3193&amp;pageType=7&amp;cid=389&amp;jobAge=771&amp;scr=1590.454&amp;bscr=1590.454&amp;jdpSource=101&amp;jdpid=-3611609829792936510&amp;crId=IN_941557261776897104IN_3193)
This position requires local presence. Please view similar jobs below.
## **Who we are**
### **About Stripe**
Stripe is a technology company focused on improving the conditions for economic growth and prosperity. We build programmable financial infrastructure, rethinking from first principles how financial services should work, to make it easier and cheaper for any business to start and scale. More than 10 million businesses build on Stripe, spanning the economic frontier—from solo founders to established enterprises—united by a practical focus on growth. The most ambitious companies in the world use Stripe as core infrastructure to grow faster. They process trillions of dollars a year on Stripe, equivalent to around 1.6% of global GDP. While economic growth makes everyone better off, open markets also enable greater variety. When any business can easily serve a global customer base, the quality and diversity of products in the world increase, and craft and creativity are unleashed into the smallest niches. Our own growth is wholly contingent on the success of the businesses building on Stripe. We therefore invest back into our technology at an unusual rate. We make upgrades to our products every single day to deliver compounding gains to our customers. We maintain some of the most reliable APIs on the internet. We build entirely new pieces of financial infrastructure to enable new ideas. And our significant advances in risk and fraud infrastructure over many years are making the internet economy safer and more accessible.
Though people at Stripe don’t tend to take themselves seriously, Stripe is a fairly serious place: our customers are depending on us for their livelihoods. We admire ambition, intensity, curiosity, humility, and rigor. The most effective people become knowledgeable about many domains besides their own. Any company is an applied exercise in understanding some aspect of society or the market. In working with so many (especially the new and innovative ones), we think that Stripe is one of the very best places to learn about how the world works.
## **What you’ll do**
As an intern at Stripe you’ll work on projects across our stack that directly impact the way millions of businesses operate. You’ll own problems end to end with the support of your manager and teammates. It’s an opportunity to work alongside some of the most creative and technically rigorous engineers in the industry and learn how to ship high-quality work at scale. By contributing to Stripe’s codebase you’ll work across domains that give you insight into how the global economy works. Recent intern projects include expanding Stripe’s Payments Foundation Model capabilities to improve generalized anomaly detection, building more approachable fraud controls, creating safer payouts, and developing user-facing solutions that prevent costly pricing mistakes and make merchant checkout setup easier.
Our internship program is competitive and the expectations are high.
### **Responsibilities**
- Operate as a real member of the team you join; engage in team discussions, decisions, and the technical design process.
- Write software that will be used in production, and has meaningful impact to Stripe’s business and users.
- Give and receive technical feedback through code reviews or design discussions
- Collaborate with other engineers and cross-functional stakeholders to proactively seek and incorporate feedback.
- Lea</t>
        </is>
      </c>
      <c r="N6" t="n">
        <v>72</v>
      </c>
      <c r="O6" t="n">
        <v>75</v>
      </c>
      <c r="P6" t="n">
        <v>80</v>
      </c>
      <c r="Q6" t="n">
        <v>85</v>
      </c>
      <c r="R6" t="n">
        <v>50</v>
      </c>
      <c r="S6" t="n">
        <v>50</v>
      </c>
      <c r="T6" t="n">
        <v>85</v>
      </c>
      <c r="U6" t="inlineStr">
        <is>
          <t>CONSIDER</t>
        </is>
      </c>
      <c r="V6" t="inlineStr">
        <is>
          <t>CONSIDER</t>
        </is>
      </c>
      <c r="W6" t="inlineStr">
        <is>
          <t>TypeScript; Next.js; LLMs / Vector databases</t>
        </is>
      </c>
      <c r="X6" t="inlineStr">
        <is>
          <t>Default Full Stack / MERN focused resume</t>
        </is>
      </c>
      <c r="Y6" t="inlineStr">
        <is>
          <t>2026-10-02</t>
        </is>
      </c>
      <c r="Z6" t="inlineStr">
        <is>
          <t>Strong alignment with target role (Full Stack Developer Intern / Software Engineer Intern).; Direct experience with Node.js, Express, React, and SQL matching core technical stack.; High opportunity quality working on greenfield products with leadership.</t>
        </is>
      </c>
      <c r="AA6" t="inlineStr">
        <is>
          <t>ELIGIBLE</t>
        </is>
      </c>
      <c r="AB6" t="inlineStr">
        <is>
          <t>Candidate is currently pursuing MCA at PES University (2025-2027), fulfilling degree criteria.; Location matches Bengaluru requirement.; Strong background in full stack development matching requirements.</t>
        </is>
      </c>
      <c r="AC6" t="inlineStr">
        <is>
          <t>UNKNOWN</t>
        </is>
      </c>
      <c r="AD6" t="inlineStr">
        <is>
          <t>Exact internship start and availability dates are not explicitly stated in the candidate profile.</t>
        </is>
      </c>
      <c r="AE6" t="inlineStr">
        <is>
          <t>UNKNOWN</t>
        </is>
      </c>
      <c r="AF6" t="n">
        <v>0</v>
      </c>
      <c r="AG6" t="inlineStr">
        <is>
          <t>No</t>
        </is>
      </c>
      <c r="AH6" t="inlineStr">
        <is>
          <t>NOT_MENTIONED</t>
        </is>
      </c>
      <c r="AI6" t="inlineStr">
        <is>
          <t>The job description mentions full-time internship and greenfield AI product development, but does not explicitly guarantee or mention a Pre-Placement Offer (PPO).</t>
        </is>
      </c>
      <c r="AL6" t="inlineStr">
        <is>
          <t>Full-stack architecture using Node.js, Express, and React; SQL database design and REST API development; Experience with building production-ready web applications; Familiarity with modern frontend frameworks and TypeScript/Next.js concepts</t>
        </is>
      </c>
    </row>
    <row r="7">
      <c r="A7" t="inlineStr">
        <is>
          <t>ALLEN-DIGITA-261002-6</t>
        </is>
      </c>
      <c r="B7" t="inlineStr">
        <is>
          <t>allen digital</t>
        </is>
      </c>
      <c r="C7" t="inlineStr">
        <is>
          <t>Software Engineer Intern</t>
        </is>
      </c>
      <c r="D7" t="inlineStr">
        <is>
          <t>https://in.jooble.org/desc/5384164569259953805?ckey=software+engineer+intern&amp;rgn=3193&amp;pos=6&amp;elckey=-914241366255621246&amp;p=1&amp;aq=3344858192535340138&amp;cid=389&amp;jobAge=65&amp;brelb=10&amp;bscr=1463.2623&amp;scr=1463.2623</t>
        </is>
      </c>
      <c r="E7" t="inlineStr">
        <is>
          <t>AI Analyzer</t>
        </is>
      </c>
      <c r="F7" t="inlineStr">
        <is>
          <t>Bangalore</t>
        </is>
      </c>
      <c r="G7" t="inlineStr">
        <is>
          <t>Unknown</t>
        </is>
      </c>
      <c r="H7" t="inlineStr">
        <is>
          <t>Not specified</t>
        </is>
      </c>
      <c r="I7" t="inlineStr">
        <is>
          <t>Unknown</t>
        </is>
      </c>
      <c r="J7" t="inlineStr">
        <is>
          <t>Not Mentioned</t>
        </is>
      </c>
      <c r="K7" t="inlineStr">
        <is>
          <t>Go; Backend programming language</t>
        </is>
      </c>
      <c r="M7" t="inlineStr">
        <is>
          <t>&amp;nbsp;...technologies related to Go development. Qualifications Currently pursuing a Bachelor's or Master's degree in Computer Science, &lt;b&gt;Engineering,&lt;/b&gt; or a related technical field, scheduled to complete in 2026 Familiarity with at least one backend programming language (e.g.,...&amp;nbsp;</t>
        </is>
      </c>
      <c r="N7" t="n">
        <v>47</v>
      </c>
      <c r="O7" t="n">
        <v>40</v>
      </c>
      <c r="P7" t="n">
        <v>50</v>
      </c>
      <c r="Q7" t="n">
        <v>70</v>
      </c>
      <c r="R7" t="n">
        <v>30</v>
      </c>
      <c r="S7" t="n">
        <v>50</v>
      </c>
      <c r="T7" t="n">
        <v>50</v>
      </c>
      <c r="U7" t="inlineStr">
        <is>
          <t>SKIP</t>
        </is>
      </c>
      <c r="V7" t="inlineStr">
        <is>
          <t>SKIP</t>
        </is>
      </c>
      <c r="W7" t="inlineStr">
        <is>
          <t>Go</t>
        </is>
      </c>
      <c r="X7" t="inlineStr">
        <is>
          <t>Amaanuddin_Ahmed_Resume.pdf</t>
        </is>
      </c>
      <c r="Y7" t="inlineStr">
        <is>
          <t>2026-10-02</t>
        </is>
      </c>
      <c r="Z7" t="inlineStr">
        <is>
          <t>Matches the location (Bangalore) and target role (Software Engineer Intern); Meets the education criteria as an MCA student</t>
        </is>
      </c>
      <c r="AA7" t="inlineStr">
        <is>
          <t>Eligible</t>
        </is>
      </c>
      <c r="AB7" t="inlineStr">
        <is>
          <t>Currently pursuing a Master's degree (MCA) in a technical field</t>
        </is>
      </c>
      <c r="AC7" t="inlineStr">
        <is>
          <t>Unknown</t>
        </is>
      </c>
      <c r="AD7" t="inlineStr">
        <is>
          <t>Start date and availability constraints are not mentioned in the JD</t>
        </is>
      </c>
      <c r="AE7" t="inlineStr">
        <is>
          <t>UNKNOWN</t>
        </is>
      </c>
      <c r="AF7" t="n">
        <v>0</v>
      </c>
      <c r="AG7" t="inlineStr">
        <is>
          <t>No</t>
        </is>
      </c>
      <c r="AH7" t="inlineStr">
        <is>
          <t>Not Mentioned</t>
        </is>
      </c>
      <c r="AI7" t="inlineStr">
        <is>
          <t>No mention of PPO or conversion in the short JD snippet</t>
        </is>
      </c>
      <c r="AK7" t="inlineStr">
        <is>
          <t>Vague and very short job description text mentioning Go development</t>
        </is>
      </c>
      <c r="AL7" t="inlineStr">
        <is>
          <t>Go programming language fundamentals; Backend development principles; Previous full stack experience in Angular and Node.js</t>
        </is>
      </c>
    </row>
    <row r="8">
      <c r="A8" t="inlineStr">
        <is>
          <t>RUBRIK-261002-7</t>
        </is>
      </c>
      <c r="B8" t="inlineStr">
        <is>
          <t>Rubrik</t>
        </is>
      </c>
      <c r="C8" t="inlineStr">
        <is>
          <t>Software Engineer - Winter Intern</t>
        </is>
      </c>
      <c r="D8" t="inlineStr">
        <is>
          <t>https://in.jooble.org/desc/-1777843382272607488?ckey=software+engineer+intern&amp;rgn=3193&amp;pos=7&amp;elckey=-914241366255621246&amp;p=1&amp;aq=3344858192535340138&amp;cid=389&amp;jobAge=6&amp;brelb=100&amp;bscr=1441.4235&amp;scr=1441.4235</t>
        </is>
      </c>
      <c r="E8" t="inlineStr">
        <is>
          <t>AI Analyzer</t>
        </is>
      </c>
      <c r="F8" t="inlineStr">
        <is>
          <t>Bangalore</t>
        </is>
      </c>
      <c r="G8" t="inlineStr">
        <is>
          <t>On-site</t>
        </is>
      </c>
      <c r="I8" t="inlineStr">
        <is>
          <t>January 2027 to May 2027</t>
        </is>
      </c>
      <c r="J8" t="inlineStr">
        <is>
          <t>NOT MENTIONED</t>
        </is>
      </c>
      <c r="K8" t="inlineStr">
        <is>
          <t>Java; C/C++; Scala; Python</t>
        </is>
      </c>
      <c r="M8"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allen digital
[Bangalore](https://in.jooble.org/jobs/Bangalore)
[Apply](https://in.jooble.org/away/5384164569259953805?p=1&amp;pos=0&amp;rgn=3193&amp;pageType=7&amp;cid=389&amp;jobAge=65&amp;scr=1463.2623&amp;bscr=1463.2623&amp;jdpSource=101&amp;jdpid=5051690762866895178&amp;crId=IN_941557261776897104IN_3193)
At ALLEN, we spearhead a technology-driven approach to education, leveraging top-tier tech talent from leading technology firms. Through our strategic collaboration with Bodhi Tree Systems, a prominent venture capital firm known for building &amp; scaling tech-first brands, we are revolutionizing education with a tech-first approach.
We address two critical challenges in the current education landscape: the need for more emphasis on holistic learning and adopting a one-size-fits-all approach. We are leveraging AI to develop an innovative ed-tech platform to provide students with a compelling end-to-end learning experience. Our goal is to transform education by providing personalized learning experiences that transcend traditional classrooms by catering to individual learning needs and to drive significant improvements in learning outcomes
Join us in reshaping education for the digital era and unlocking the full potential of every student!
**Responsibilities:**
Collaborate with cross-functional teams to gather and understand project requirements.
Design, develop, test, and maintain efficient and high-quality Go-based applications.
Write clean, maintainable, and well-documented code following best practices.
Participate in code reviews to ensure code quality and provide constructive feedback.
Troubleshoot and debug issues, identifying and implementing effective solutions.
Work with APIs, libraries, and frameworks to integrate systems seamlessly.
Stay up-to-date with industry trends and emerging technologies related to Go development.
**Qualifications**
- Currently pursuing a Bachelor's or Master's degree in Computer Science, Engineering, or a related technical field, scheduled to complete in 2026
- Familiarity with at least one backend programming language (e.g., Python, Java, Node.js, Go, Ruby).
- Proficiency in version control systems, preferably Git.
- Knowledge of core computer science fundamentals, including data structures and algorithms.
- Excellent communication skills and the ability to work effectively in a collaborative
team environment.
- Knowledge of databases (SQL and/or NoSQL) and data modeling.
**Nice-to-Have:**
- Familiarity with RESTful API design principles and practices
- Experience with cloud platforms (e.g., AWS, GCP) and containerization technologies(Docker, Kubernetes).
- Familiarity with CI/CD pipelines and automated testing frameworks.
- Contributions to open-source projects or personal projects showcasing development skills.
[Apply](https://in.jooble.org/away/5384164569259953805?p=1&amp;pos=0&amp;rgn=3193&amp;pageType=7&amp;cid=389&amp;jobAge=65&amp;scr=1463.2623&amp;bscr=1463.2623&amp;jdpSource=101&amp;jdpid=5051690762866895178&amp;crId=IN_941557261776897104IN_3193)
# Software Engineer - Winter Intern
Rubrik Job Board
[Bangalore](https://in.jooble.org/jobs/Bangalore)
[Apply](https://in.jooble.org/away/-1777843382272607488?p=1&amp;pos=0&amp;rgn=3193&amp;pageType=7&amp;cid=389&amp;jobAge=6&amp;scr=1441.4235&amp;bscr=1441.4235&amp;jdpSource=101&amp;jdpid=-7978440568806292051&amp;crId=IN_941557261776897104IN_3193)
**ABOUT THE JOB** We are looking for a Software Engineer - Intern to join our team. We believe in giving engineers responsibility, not tasks. Our goal is to motivate and challenge people to do their best work. To do that, we have a very fluid structure and give people the flexibility to work on projects that they enjoy the most. This develops more capable engineers and keeps everyone engaged and happy.
**Responsibilitie</t>
        </is>
      </c>
      <c r="N8" t="n">
        <v>52</v>
      </c>
      <c r="O8" t="n">
        <v>40</v>
      </c>
      <c r="P8" t="n">
        <v>50</v>
      </c>
      <c r="Q8" t="n">
        <v>60</v>
      </c>
      <c r="R8" t="n">
        <v>50</v>
      </c>
      <c r="S8" t="n">
        <v>50</v>
      </c>
      <c r="T8" t="n">
        <v>80</v>
      </c>
      <c r="U8" t="inlineStr">
        <is>
          <t>SKIP</t>
        </is>
      </c>
      <c r="V8" t="inlineStr">
        <is>
          <t>SKIP</t>
        </is>
      </c>
      <c r="W8" t="inlineStr">
        <is>
          <t>Java; C/C++; Scala; Python</t>
        </is>
      </c>
      <c r="X8" t="inlineStr">
        <is>
          <t>Amaanuddin_Ahmed_Resume.pdf</t>
        </is>
      </c>
      <c r="Y8" t="inlineStr">
        <is>
          <t>2026-10-02</t>
        </is>
      </c>
      <c r="Z8" t="inlineStr">
        <is>
          <t>Meets all minimum eligibility criteria including CGPA 8.48, 2027 graduation year, and location availability.; Great brand name and opportunity quality for an internship.</t>
        </is>
      </c>
      <c r="AA8" t="inlineStr">
        <is>
          <t>ELIGIBLE</t>
        </is>
      </c>
      <c r="AB8" t="inlineStr">
        <is>
          <t>CGPA is 8.48 which satisfies the CGPA 8 and above requirement.; Graduating in 2027 which matches the 2027 graduates requirement.; MCA is a Master's degree in Computer Science or related field.; Available from January 2027 to May 2027 in Bangalore for the onsite internship.</t>
        </is>
      </c>
      <c r="AC8" t="inlineStr">
        <is>
          <t>YES</t>
        </is>
      </c>
      <c r="AD8" t="inlineStr">
        <is>
          <t>Available for the specified timeframe from January 2027 to May 2027.</t>
        </is>
      </c>
      <c r="AE8" t="inlineStr">
        <is>
          <t>UNKNOWN</t>
        </is>
      </c>
      <c r="AF8" t="n">
        <v>0</v>
      </c>
      <c r="AG8" t="inlineStr">
        <is>
          <t>No</t>
        </is>
      </c>
      <c r="AH8" t="inlineStr">
        <is>
          <t>NOT MENTIONED</t>
        </is>
      </c>
      <c r="AI8" t="inlineStr">
        <is>
          <t>The job description does not explicitly mention PPO or conversion opportunities.</t>
        </is>
      </c>
      <c r="AL8" t="inlineStr">
        <is>
          <t>Data Structures and Algorithms; Object-Oriented Programming Concepts; System Design and Architecture Basics; General-purpose Programming Languages (Java/Python/C++)</t>
        </is>
      </c>
    </row>
    <row r="9">
      <c r="A9" t="inlineStr">
        <is>
          <t>RUBRIK-261002-8</t>
        </is>
      </c>
      <c r="B9" t="inlineStr">
        <is>
          <t>Rubrik</t>
        </is>
      </c>
      <c r="C9" t="inlineStr">
        <is>
          <t>Software Engineer (CPD) - Winter Intern</t>
        </is>
      </c>
      <c r="D9" t="inlineStr">
        <is>
          <t>https://in.jooble.org/desc/4771329012250323697?ckey=software+engineer+intern&amp;rgn=3193&amp;pos=8&amp;elckey=-914241366255621246&amp;p=1&amp;aq=3344858192535340138&amp;cid=389&amp;jobAge=555&amp;brelb=100&amp;bscr=1440.2006&amp;scr=1440.2006</t>
        </is>
      </c>
      <c r="E9" t="inlineStr">
        <is>
          <t>AI Analyzer</t>
        </is>
      </c>
      <c r="F9" t="inlineStr">
        <is>
          <t>Bangalore</t>
        </is>
      </c>
      <c r="G9" t="inlineStr">
        <is>
          <t>On-site</t>
        </is>
      </c>
      <c r="I9" t="inlineStr">
        <is>
          <t>January 2027 to May 2027</t>
        </is>
      </c>
      <c r="J9" t="inlineStr">
        <is>
          <t>NOT_MENTIONED</t>
        </is>
      </c>
      <c r="K9" t="inlineStr">
        <is>
          <t>Java; C/C++; Scala; Python</t>
        </is>
      </c>
      <c r="L9" t="inlineStr">
        <is>
          <t>Object-oriented programming</t>
        </is>
      </c>
      <c r="M9"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 Winter Intern
Rubrik Job Board
[Bangalore](https://in.jooble.org/jobs/Bangalore)
[Apply](https://in.jooble.org/away/-1777843382272607488?p=1&amp;pos=0&amp;rgn=3193&amp;pageType=7&amp;cid=389&amp;jobAge=6&amp;scr=1441.4235&amp;bscr=1441.4235&amp;jdpSource=101&amp;jdpid=-7762361700645768803&amp;crId=IN_941557261776897104IN_3193)
**ABOUT THE JOB** We are looking for a Software Engineer - Intern to join our team. We believe in giving engineers responsibility, not tasks. Our goal is to motivate and challenge people to do their best work. To do that, we have a very fluid structure and give people the flexibility to work on projects that they enjoy the most. This develops more capable engineers and keeps everyone engaged and happy.
**Responsibilities**
- Design, develop, test, deploy, maintain and improve the software.
- Manage individual projects priorities, deadlines, and deliverables with your technical expertise.
- Identify and solve bottlenecks within our software stack.
**About You** Rubrik Software Engineer - Interns are self-starters, driven, and can manage themselves.  Bottom line, if you have a limitless drive and like to win, we want to talk to you - come make history!
- Bachelor’s or Master’s degree or equivalent in computer science or related field
- Proficiency in one or more general-purpose programming languages like Java, C/C++, Scala, Python
**Minimum eligibility criteria**\- CGPA 8 and above
\- 2027 graduates of Circuital branches only
\- Available from January 2027 to May 2027 in Bangalore for the onsite internship (No remote options)
## Join Us in Securing and Accelerating the World's AI Transformation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 Equal Opportunity Employer/Veterans/Disabled
Rubrik is an Equal Opportunity Employer. All qualified applicants will receive consideration for employment without regard to race, color, religion, sex, sexual orientation,</t>
        </is>
      </c>
      <c r="N9" t="n">
        <v>56</v>
      </c>
      <c r="O9" t="n">
        <v>40</v>
      </c>
      <c r="P9" t="n">
        <v>60</v>
      </c>
      <c r="Q9" t="n">
        <v>70</v>
      </c>
      <c r="R9" t="n">
        <v>50</v>
      </c>
      <c r="S9" t="n">
        <v>50</v>
      </c>
      <c r="T9" t="n">
        <v>85</v>
      </c>
      <c r="U9" t="inlineStr">
        <is>
          <t>SKIP</t>
        </is>
      </c>
      <c r="V9" t="inlineStr">
        <is>
          <t>SKIP</t>
        </is>
      </c>
      <c r="W9" t="inlineStr">
        <is>
          <t>Java; C/C++; Scala; Python</t>
        </is>
      </c>
      <c r="X9" t="inlineStr">
        <is>
          <t>Default Resume</t>
        </is>
      </c>
      <c r="Y9" t="inlineStr">
        <is>
          <t>2026-10-02</t>
        </is>
      </c>
      <c r="Z9" t="inlineStr">
        <is>
          <t>Top-tier product company with strong engineering culture; Meets minimum eligibility criteria including CGPA and graduation year</t>
        </is>
      </c>
      <c r="AA9" t="inlineStr">
        <is>
          <t>ELIGIBLE</t>
        </is>
      </c>
      <c r="AB9" t="inlineStr">
        <is>
          <t>CGPA 8.48 meets the CGPA 8 and above requirement; MCA 2027 graduate matches graduation year requirement; Available from January 2027 to May 2027 in Bangalore; PES University MCA student fits the computer science or related field criteria</t>
        </is>
      </c>
      <c r="AC9" t="inlineStr">
        <is>
          <t>AVAILABLE</t>
        </is>
      </c>
      <c r="AD9" t="inlineStr">
        <is>
          <t>Available from January 2027 to May 2027 in Bangalore</t>
        </is>
      </c>
      <c r="AE9" t="inlineStr">
        <is>
          <t>UNKNOWN</t>
        </is>
      </c>
      <c r="AF9" t="n">
        <v>0</v>
      </c>
      <c r="AG9" t="inlineStr">
        <is>
          <t>No</t>
        </is>
      </c>
      <c r="AH9" t="inlineStr">
        <is>
          <t>NOT_MENTIONED</t>
        </is>
      </c>
      <c r="AI9" t="inlineStr">
        <is>
          <t>The job description does not explicitly mention PPO or conversion opportunities.</t>
        </is>
      </c>
      <c r="AL9" t="inlineStr">
        <is>
          <t>Data Structures and Algorithms; Object-Oriented Programming principles; System troubleshooting and debugging; Software development lifecycle</t>
        </is>
      </c>
    </row>
    <row r="10">
      <c r="A10" t="inlineStr">
        <is>
          <t>CODINGAL-261002-9</t>
        </is>
      </c>
      <c r="B10" t="inlineStr">
        <is>
          <t>Codingal</t>
        </is>
      </c>
      <c r="C10" t="inlineStr">
        <is>
          <t>Software Engineer Intern</t>
        </is>
      </c>
      <c r="D10" t="inlineStr">
        <is>
          <t>https://in.jooble.org/desc/3561679318189260784?ckey=software+engineer+intern&amp;rgn=3193&amp;pos=9&amp;elckey=-914241366255621246&amp;p=1&amp;aq=3344858192535340138&amp;cid=389&amp;jobAge=593&amp;brelb=10&amp;bscr=1310.9629&amp;scr=1310.9629</t>
        </is>
      </c>
      <c r="E10" t="inlineStr">
        <is>
          <t>AI Analyzer</t>
        </is>
      </c>
      <c r="F10" t="inlineStr">
        <is>
          <t>Bangalore</t>
        </is>
      </c>
      <c r="G10" t="inlineStr">
        <is>
          <t>Unknown</t>
        </is>
      </c>
      <c r="H10" t="inlineStr">
        <is>
          <t>Not specified</t>
        </is>
      </c>
      <c r="I10" t="inlineStr">
        <is>
          <t>Unknown</t>
        </is>
      </c>
      <c r="J10" t="inlineStr">
        <is>
          <t>Not Mentioned</t>
        </is>
      </c>
      <c r="K10" t="inlineStr">
        <is>
          <t>Python; Django; React</t>
        </is>
      </c>
      <c r="M10" t="inlineStr">
        <is>
          <t>&amp;nbsp;...prepare them to become future-ready creators - entrepreneurs, &lt;b&gt;engineers,&lt;/b&gt; and scientists. With a curriculum accredited by STEM.org...&amp;nbsp;&amp;nbsp;...for coding and AI education. We are seeking a &lt;b&gt;Software &lt;/b&gt;Engineering &lt;b&gt;Intern &lt;/b&gt;(Fullstack - Python, Django, React) to join the passionate...&amp;nbsp;</t>
        </is>
      </c>
      <c r="N10" t="n">
        <v>56</v>
      </c>
      <c r="O10" t="n">
        <v>50</v>
      </c>
      <c r="P10" t="n">
        <v>75</v>
      </c>
      <c r="Q10" t="n">
        <v>90</v>
      </c>
      <c r="R10" t="n">
        <v>40</v>
      </c>
      <c r="S10" t="n">
        <v>0</v>
      </c>
      <c r="T10" t="n">
        <v>60</v>
      </c>
      <c r="U10" t="inlineStr">
        <is>
          <t>SKIP</t>
        </is>
      </c>
      <c r="V10" t="inlineStr">
        <is>
          <t>SKIP</t>
        </is>
      </c>
      <c r="W10" t="inlineStr">
        <is>
          <t>Python; Django</t>
        </is>
      </c>
      <c r="X10" t="inlineStr">
        <is>
          <t>Standard Full Stack Resume</t>
        </is>
      </c>
      <c r="Y10" t="inlineStr">
        <is>
          <t>2026-10-02</t>
        </is>
      </c>
      <c r="Z10" t="inlineStr">
        <is>
          <t>Role is Software Engineer Intern in Bangalore matching primary target; Good match for general Full Stack developer background</t>
        </is>
      </c>
      <c r="AA10" t="inlineStr">
        <is>
          <t>Eligible</t>
        </is>
      </c>
      <c r="AB10" t="inlineStr">
        <is>
          <t>Location matches preferred location (Bangalore); Role matches target role (Software Engineer Intern)</t>
        </is>
      </c>
      <c r="AC10" t="inlineStr">
        <is>
          <t>Unknown</t>
        </is>
      </c>
      <c r="AD10" t="inlineStr">
        <is>
          <t>Not specified in profile</t>
        </is>
      </c>
      <c r="AE10" t="inlineStr">
        <is>
          <t>UNKNOWN</t>
        </is>
      </c>
      <c r="AF10" t="n">
        <v>0</v>
      </c>
      <c r="AG10" t="inlineStr">
        <is>
          <t>No</t>
        </is>
      </c>
      <c r="AH10" t="inlineStr">
        <is>
          <t>Not Mentioned</t>
        </is>
      </c>
      <c r="AI10" t="inlineStr">
        <is>
          <t>No mention of PPO or conversion in the snippet.</t>
        </is>
      </c>
      <c r="AK10" t="inlineStr">
        <is>
          <t>Stipend is not disclosed</t>
        </is>
      </c>
      <c r="AL10" t="inlineStr">
        <is>
          <t>React.js state management and hooks; Python and Django fundamentals; Building full-stack web applications</t>
        </is>
      </c>
    </row>
    <row r="11">
      <c r="A11" t="inlineStr">
        <is>
          <t>HACKERRANK-C-261002-10</t>
        </is>
      </c>
      <c r="B11" t="inlineStr">
        <is>
          <t>HackerRank Careers</t>
        </is>
      </c>
      <c r="C11" t="inlineStr">
        <is>
          <t>Software Development Engineer Intern</t>
        </is>
      </c>
      <c r="D11" t="inlineStr">
        <is>
          <t>https://in.jooble.org/desc/-4248130782317670470?ckey=software+engineer+intern&amp;rgn=3193&amp;pos=10&amp;elckey=-914241366255621246&amp;p=1&amp;aq=3344858192535340138&amp;cid=389&amp;jobAge=6&amp;brelb=100&amp;bscr=1297.9429&amp;scr=1297.9429</t>
        </is>
      </c>
      <c r="E11" t="inlineStr">
        <is>
          <t>AI Analyzer</t>
        </is>
      </c>
      <c r="F11" t="inlineStr">
        <is>
          <t>Bengaluru, India</t>
        </is>
      </c>
      <c r="G11" t="inlineStr">
        <is>
          <t>Onsite</t>
        </is>
      </c>
      <c r="H11" t="inlineStr">
        <is>
          <t>Paid Internship</t>
        </is>
      </c>
      <c r="I11" t="inlineStr">
        <is>
          <t>6 months</t>
        </is>
      </c>
      <c r="J11" t="inlineStr">
        <is>
          <t>Yes</t>
        </is>
      </c>
      <c r="K11" t="inlineStr">
        <is>
          <t>Programming / Computer Science fundamentals</t>
        </is>
      </c>
      <c r="L11" t="inlineStr">
        <is>
          <t>Web development; System architecture; Production code deployment</t>
        </is>
      </c>
      <c r="M11"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Intern
Codingal
[Bangalore](https://in.jooble.org/jobs/Bangalore)
[Apply](https://in.jooble.org/away/3561679318189260784?p=1&amp;pos=0&amp;rgn=3193&amp;pageType=7&amp;cid=389&amp;jobAge=593&amp;scr=1310.9629&amp;bscr=1310.9629&amp;jdpSource=101&amp;jdpid=-1008958007094643250&amp;crId=IN_941557261776897104IN_3193)
**Codingal (** **)** is the global leader in online coding and AI education for kids and teens. We offer live, interactive classes led by expert Computer Science instructors, empowering students to build apps, games, websites, and AI-powered projects.
Our mission is to help kids fall in love with coding and prepare them to become future-ready creators - entrepreneurs, engineers, and scientists. With a curriculum accredited by STEM.org and aligned with the K-12 Computer Science Framework, we offer personalized learning through 1:1 and small-group classes.
As AI reshapes the world, Codingal integrates real-world AI tools like ChatGPT, machine learning, and data science into the learning journey, helping kids not just use AI - but build with it.
Trusted by over 500,000 students worldwide and backed by **Y Combinator** , **Rebright Partners** , and top angels, Codingal is rated 4.9/5 by students and has an NPS of 86, making it the most loved platform for coding and AI education.
We are seeking a **Software Engineering Intern (Fullstack - Python, Django, React)** to join the passionate Codingal team. **Please note that this is a full-time internship position, so apply only if you can give your 100%. If you are already freelancing with other companies or have classes in college or have another full-time job, please do not apply.**
**Roles &amp; Responsibilities:**
**Backend Development**
- Develop cloud-based Python Django software products
- Participate in architectural, design and product discussions
- Design and create RESTful APIs
- Work with relational databases (PostgreSQL, MySQL, etc.)
- Deploy Python applications into production
**Frontend Development:**
- Assist in designing, developing, and maintaining the Codingal website
- Collaborate with the UI/UX team to ensure the technical feasibility of designs
- Build reusable code and UI components for web applications
- Optimize applications for performance, responsiveness, and SEO
- Implement responsive design principles and CSS animations
**General Responsibilities:**
- Comply with coding standards and technical design
- Active participation in troubleshooting, debugging, and updating the current live system
- Work closely with developers, designers, and analysts in an agile environment
- Contribute to both front-end and back-end design decisions
**Requirements:**
**Must Have**
- 2+ years' experience of Python coding skills
- 2+ years hands-on experience with the Django framework
- Solid database skills in a relational database (PostgreSQL, MySQL, etc.)
- Knowledge of how to build and use RESTful APIs
- Experience with front-end technologies like HTML, CSS, JavaScript, and React.js
- Strong knowledge of version control (Git, etc.)
- Experience deploying Python applications into production
- Familiarity with responsive design principles and CSS animations
**Educational Background:**
- Currently pursuing or recently completed a degree in Computer Science, IT, or a related field
**Nice to Have:**
- Amazon Web Services (AWS) infrastructure knowledge is a plus
- Enthusiasm for learning and contributing to a fast-paced startup environment
**Perks:**
- First-hand experience in scaling an international education business.
- Opportunity to impact thousands of students globally.
- Mentorship from senior curriculum developers.
- A chance to convert into a full-time role based on performance.
- Free lunch + dinner.
**Stipend:** INR 25,000–</t>
        </is>
      </c>
      <c r="N11" t="n">
        <v>83</v>
      </c>
      <c r="O11" t="n">
        <v>80</v>
      </c>
      <c r="P11" t="n">
        <v>85</v>
      </c>
      <c r="Q11" t="n">
        <v>90</v>
      </c>
      <c r="R11" t="n">
        <v>95</v>
      </c>
      <c r="S11" t="n">
        <v>50</v>
      </c>
      <c r="T11" t="n">
        <v>95</v>
      </c>
      <c r="U11" t="inlineStr">
        <is>
          <t>APPLY</t>
        </is>
      </c>
      <c r="V11" t="inlineStr">
        <is>
          <t>APPLY</t>
        </is>
      </c>
      <c r="X11" t="inlineStr">
        <is>
          <t>Default Full Stack / Software Engineer Resume</t>
        </is>
      </c>
      <c r="Y11" t="inlineStr">
        <is>
          <t>2026-10-02</t>
        </is>
      </c>
      <c r="Z11" t="inlineStr">
        <is>
          <t>HackerRank is a top-tier tech platform providing an exceptional brand name and engineering culture.; High priority PPO / return offer explicitly mentioned.; Location and duration (Jan - June 2027 onsite in Bengaluru) fit the candidate's availability perfectly.; Strong alignment with target role (Software Development Engineer Intern).</t>
        </is>
      </c>
      <c r="AA11" t="inlineStr">
        <is>
          <t>Eligible</t>
        </is>
      </c>
      <c r="AB11" t="inlineStr">
        <is>
          <t>The candidate is pursuing an MCA at PES University (2025-2027), matching the requirement for a student graduating/seeking an internship in 2027.; Location matches Bengaluru, India.; Full-time availability aligns with the Jan - June 2027 window.</t>
        </is>
      </c>
      <c r="AC11" t="inlineStr">
        <is>
          <t>Available</t>
        </is>
      </c>
      <c r="AD11" t="inlineStr">
        <is>
          <t>The internship runs from Jan - June 2027, which aligns with the candidate's MCA program timeframe (2025–2027).</t>
        </is>
      </c>
      <c r="AE11" t="inlineStr">
        <is>
          <t>UNKNOWN</t>
        </is>
      </c>
      <c r="AF11" t="n">
        <v>0</v>
      </c>
      <c r="AG11" t="inlineStr">
        <is>
          <t>No</t>
        </is>
      </c>
      <c r="AH11" t="inlineStr">
        <is>
          <t>Yes</t>
        </is>
      </c>
      <c r="AI11" t="inlineStr">
        <is>
          <t>Whether you're graduating and seeking a full-time position after your internship, or hoping to return for another internship next year, you'll be considered for a returning offer during your internship.</t>
        </is>
      </c>
      <c r="AL11" t="inlineStr">
        <is>
          <t>Data Structures and Algorithms; System Design and Scalability; Past project architecture and production deployment; Debugging and Code Quality</t>
        </is>
      </c>
      <c r="AM11" t="inlineStr">
        <is>
          <t>E:\InternshipHunter\applications\jooble-c1f89795df8c</t>
        </is>
      </c>
      <c r="AN11" t="inlineStr">
        <is>
          <t>Ready for Review</t>
        </is>
      </c>
      <c r="AO11" t="inlineStr">
        <is>
          <t>Generated</t>
        </is>
      </c>
      <c r="AP11" t="inlineStr">
        <is>
          <t>Generated</t>
        </is>
      </c>
      <c r="AQ11" t="inlineStr">
        <is>
          <t>Generated</t>
        </is>
      </c>
      <c r="AR11" t="inlineStr">
        <is>
          <t>Ready to Apply</t>
        </is>
      </c>
    </row>
    <row r="12">
      <c r="A12" t="inlineStr">
        <is>
          <t>MERKLESCIENC-261002-11</t>
        </is>
      </c>
      <c r="B12" t="inlineStr">
        <is>
          <t>merklescience</t>
        </is>
      </c>
      <c r="C12" t="inlineStr">
        <is>
          <t>Software Engineer(Intern)- Backend</t>
        </is>
      </c>
      <c r="D12" t="inlineStr">
        <is>
          <t>https://in.jooble.org/desc/-4009572167721000675?ckey=software+engineer+intern&amp;rgn=3193&amp;pos=11&amp;elckey=-914241366255621246&amp;p=1&amp;aq=3344858192535340138&amp;cid=389&amp;jobAge=1344&amp;brelb=100&amp;bscr=1187.2023&amp;scr=1187.2023</t>
        </is>
      </c>
      <c r="E12" t="inlineStr">
        <is>
          <t>AI Analyzer</t>
        </is>
      </c>
      <c r="F12" t="inlineStr">
        <is>
          <t>Bangalore</t>
        </is>
      </c>
      <c r="G12" t="inlineStr">
        <is>
          <t>Onsite</t>
        </is>
      </c>
      <c r="I12" t="inlineStr">
        <is>
          <t>UNKNOWN</t>
        </is>
      </c>
      <c r="J12" t="inlineStr">
        <is>
          <t>Not Mentioned</t>
        </is>
      </c>
      <c r="K12" t="inlineStr">
        <is>
          <t>Python; Django; FastAPI; PostgreSQL; Redis; REST API; Git</t>
        </is>
      </c>
      <c r="L12" t="inlineStr">
        <is>
          <t>ClickHouse</t>
        </is>
      </c>
      <c r="M1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Development Engineer Intern
HackerRank Careers
[Bangalore](https://in.jooble.org/jobs/Bangalore)
[Apply](https://in.jooble.org/away/-4248130782317670470?p=1&amp;pos=0&amp;rgn=3193&amp;pageType=7&amp;cid=389&amp;jobAge=6&amp;scr=1297.9429&amp;bscr=1297.9429&amp;jdpSource=101&amp;jdpid=-4789479803398653969&amp;crId=IN_941557261776897104IN_3193)
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 _This is a 6-month full-time onsite internship (Jan - June 2027)._
#### _Please apply only if you're available full-time to work from the Bengaluru office for the entire duration._
If you're obsessed with writing great code that will be used by other great engineers around the world, read on - this just may be the perfect role for you. HackerRank is looking for high-potential Hacker Interns to join our team of world-class full-time Hackers as we build the most engaged community of Developers.
#### **Life as an intern at HackerRank**
World-class mentors, great culture, amazing people and opportunities to make a difference all in a real-world scenario and right at the beginning of your career! If this sounds exciting, read on...
- Each one of you will be paired with a mentor, who will support you throughout your internship.
- You get to push your code to prod and contribute to meaningful &amp; real-world projects right from your first month.
- Transparent communication is one of the principles that  guides us. You’ll have access to all the information needed including the company’s progress every week directly from the Executive team.
- You’ll have direct access to all employees in the company and can always challenge the status quo, enabling you to be more data driven.
- Whether you're graduating and seeking a full-time position after your internship, or hoping to return for another internship next year, you'll be considered for a returning offer during your internship.
**Every intern batch designs its own page. See what past batches built**
- The early days: 2014 · 2015 · 2016 · 2017
- 2018-2019: 2018 winter · 2018 summer · 2019 winter · 2019 summer
- 2020-2022: 2020 · 2021 winter · 2021 summer · 2022 winter · 2022 summer
- Most recent: 2024 · 2025 · 2026
**Don't take our word for it. Take theirs** Our past interns share what the experience was really like:
- Ishan Abhishek and Adyasha , who wrote a full blog series (2021 summer)
- Priya (2023)
- Sindhu and Khushboo (2024)
- Sharanya and Anshika (2026)
You can read many more blogs and watch videos here
**How we work**
- Care about the craft. From the code we ship to the words we use with customers, small things add up to an experience worth being proud of. Then we find ways to make it better.
- One team. Engineering, product, design and others bring different skills, but the outcome belongs to everyone.
- Developers first. Every decision gets one test: does it help developers do their best work?
- Go deep. Learn the product, understand the problem, and share what you know with the people around you.
- Own it. Bring the right people together, follow through on com</t>
        </is>
      </c>
      <c r="N12" t="n">
        <v>48</v>
      </c>
      <c r="O12" t="n">
        <v>45</v>
      </c>
      <c r="P12" t="n">
        <v>60</v>
      </c>
      <c r="Q12" t="n">
        <v>70</v>
      </c>
      <c r="R12" t="n">
        <v>0</v>
      </c>
      <c r="S12" t="n">
        <v>50</v>
      </c>
      <c r="T12" t="n">
        <v>70</v>
      </c>
      <c r="U12" t="inlineStr">
        <is>
          <t>SKIP</t>
        </is>
      </c>
      <c r="V12" t="inlineStr">
        <is>
          <t>SKIP</t>
        </is>
      </c>
      <c r="W12" t="inlineStr">
        <is>
          <t>Python; Django; FastAPI; PostgreSQL; Redis</t>
        </is>
      </c>
      <c r="X12" t="inlineStr">
        <is>
          <t>Default Full Stack Resume</t>
        </is>
      </c>
      <c r="Y12" t="inlineStr">
        <is>
          <t>2026-10-02</t>
        </is>
      </c>
      <c r="Z12" t="inlineStr">
        <is>
          <t>Located in Bangalore; Good opportunity quality in blockchain and web3 intelligence</t>
        </is>
      </c>
      <c r="AA12" t="inlineStr">
        <is>
          <t>Eligible</t>
        </is>
      </c>
      <c r="AB12" t="inlineStr">
        <is>
          <t>Located in Bangalore; Matches target role category of Software Development Engineer Intern</t>
        </is>
      </c>
      <c r="AC12" t="inlineStr">
        <is>
          <t>Unknown</t>
        </is>
      </c>
      <c r="AD12" t="inlineStr">
        <is>
          <t>Exact availability dates not specified in JD</t>
        </is>
      </c>
      <c r="AE12" t="inlineStr">
        <is>
          <t>UNKNOWN</t>
        </is>
      </c>
      <c r="AF12" t="n">
        <v>0</v>
      </c>
      <c r="AG12" t="inlineStr">
        <is>
          <t>No</t>
        </is>
      </c>
      <c r="AH12" t="inlineStr">
        <is>
          <t>Not Mentioned</t>
        </is>
      </c>
      <c r="AI12" t="inlineStr">
        <is>
          <t>No explicit PPO mention in the Merkle Science section of the text.</t>
        </is>
      </c>
      <c r="AJ12" t="inlineStr">
        <is>
          <t>Mandatory Python (Django/FastAPI) and PostgreSQL experience required which are in resume working knowledge only, not demonstrated in real work experience.</t>
        </is>
      </c>
      <c r="AL12" t="inlineStr">
        <is>
          <t>Python OOP and Web Frameworks (Django/FastAPI); PostgreSQL Indexing and Query Optimization; Redis Caching and Queues; RESTful API Design Principles</t>
        </is>
      </c>
    </row>
    <row r="13">
      <c r="A13" t="inlineStr">
        <is>
          <t>SMYTTEN-261002-12</t>
        </is>
      </c>
      <c r="B13" t="inlineStr">
        <is>
          <t>Smytten</t>
        </is>
      </c>
      <c r="C13" t="inlineStr">
        <is>
          <t>Software Development Engineer Intern Backend</t>
        </is>
      </c>
      <c r="D13" t="inlineStr">
        <is>
          <t>https://in.jooble.org/desc/-7679600165468888313?ckey=software+engineer+intern&amp;rgn=3193&amp;pos=12&amp;elckey=-914241366255621246&amp;p=1&amp;aq=3344858192535340138&amp;cid=389&amp;jobAge=65&amp;brelb=10&amp;bscr=1136.8865&amp;scr=1136.8865</t>
        </is>
      </c>
      <c r="E13" t="inlineStr">
        <is>
          <t>AI Analyzer</t>
        </is>
      </c>
      <c r="F13" t="inlineStr">
        <is>
          <t>Bangalore</t>
        </is>
      </c>
      <c r="G13" t="inlineStr">
        <is>
          <t>UNKNOWN</t>
        </is>
      </c>
      <c r="I13" t="inlineStr">
        <is>
          <t>UNKNOWN</t>
        </is>
      </c>
      <c r="J13" t="inlineStr">
        <is>
          <t>UNKNOWN</t>
        </is>
      </c>
      <c r="M13" t="inlineStr">
        <is>
          <t>&amp;nbsp;...faster, data-driven decisions. As an &lt;b&gt;intern,&lt;/b&gt; you will be working alongside the teams...&amp;nbsp;&amp;nbsp;...analytical models, data sources, research &lt;b&gt;engines &lt;/b&gt;and enterprise applications into reliable...&amp;nbsp;&amp;nbsp;...and analytical methodologies into scalable &lt;b&gt;software &lt;/b&gt;products. Continuously experiment with...&amp;nbsp;</t>
        </is>
      </c>
      <c r="N13" t="n">
        <v>47</v>
      </c>
      <c r="O13" t="n">
        <v>50</v>
      </c>
      <c r="P13" t="n">
        <v>50</v>
      </c>
      <c r="Q13" t="n">
        <v>70</v>
      </c>
      <c r="R13" t="n">
        <v>50</v>
      </c>
      <c r="S13" t="n">
        <v>0</v>
      </c>
      <c r="T13" t="n">
        <v>40</v>
      </c>
      <c r="U13" t="inlineStr">
        <is>
          <t>SKIP</t>
        </is>
      </c>
      <c r="V13" t="inlineStr">
        <is>
          <t>SKIP</t>
        </is>
      </c>
      <c r="X13" t="inlineStr">
        <is>
          <t>Amaanuddin_Ahmed_Resume.pdf</t>
        </is>
      </c>
      <c r="Y13" t="inlineStr">
        <is>
          <t>2026-10-02</t>
        </is>
      </c>
      <c r="Z13" t="inlineStr">
        <is>
          <t>Located in Bangalore; Target internship role</t>
        </is>
      </c>
      <c r="AA13" t="inlineStr">
        <is>
          <t>ELIGIBLE</t>
        </is>
      </c>
      <c r="AB13" t="inlineStr">
        <is>
          <t>Location is Bangalore which matches candidate preference; Role matches target internship titles; No hard blockers found in the minimal job description</t>
        </is>
      </c>
      <c r="AC13" t="inlineStr">
        <is>
          <t>UNKNOWN</t>
        </is>
      </c>
      <c r="AD13" t="inlineStr">
        <is>
          <t>Availability not explicitly detailed in the job description</t>
        </is>
      </c>
      <c r="AE13" t="inlineStr">
        <is>
          <t>UNKNOWN</t>
        </is>
      </c>
      <c r="AF13" t="n">
        <v>0</v>
      </c>
      <c r="AG13" t="inlineStr">
        <is>
          <t>No</t>
        </is>
      </c>
      <c r="AH13" t="inlineStr">
        <is>
          <t>UNKNOWN</t>
        </is>
      </c>
      <c r="AI13" t="inlineStr">
        <is>
          <t>PPO/conversion is not explicitly mentioned in the job description</t>
        </is>
      </c>
      <c r="AK13" t="inlineStr">
        <is>
          <t>Extremely sparse job description provided with very little detail on tech stack or responsibilities</t>
        </is>
      </c>
      <c r="AL13" t="inlineStr">
        <is>
          <t>Backend development principles; Scalable software products; Data-driven decision making</t>
        </is>
      </c>
    </row>
    <row r="14">
      <c r="A14" t="inlineStr">
        <is>
          <t>TABLEAU-/-SA-261002-13</t>
        </is>
      </c>
      <c r="B14" t="inlineStr">
        <is>
          <t>Tableau / Salesforce</t>
        </is>
      </c>
      <c r="C14" t="inlineStr">
        <is>
          <t>Summer 2027 Intern - Software Engineer</t>
        </is>
      </c>
      <c r="D14" t="inlineStr">
        <is>
          <t>https://in.jooble.org/desc/1757292296212913693?ckey=software+engineer+intern&amp;rgn=3193&amp;pos=13&amp;elckey=-914241366255621246&amp;p=1&amp;aq=3344858192535340138&amp;cid=389&amp;jobAge=833&amp;brelb=10&amp;bscr=1017.877&amp;scr=1017.877</t>
        </is>
      </c>
      <c r="E14" t="inlineStr">
        <is>
          <t>AI Analyzer</t>
        </is>
      </c>
      <c r="F14" t="inlineStr">
        <is>
          <t>Hyderabad / Bangalore, India</t>
        </is>
      </c>
      <c r="G14" t="inlineStr">
        <is>
          <t>On-site / Local presence required</t>
        </is>
      </c>
      <c r="H14" t="inlineStr">
        <is>
          <t>Not specified</t>
        </is>
      </c>
      <c r="I14" t="inlineStr">
        <is>
          <t>Fixed Term</t>
        </is>
      </c>
      <c r="J14" t="inlineStr">
        <is>
          <t>High</t>
        </is>
      </c>
      <c r="K14" t="inlineStr">
        <is>
          <t>Computer Science fundamentals; Data structures and algorithms; Object-oriented design; Problem-solving</t>
        </is>
      </c>
      <c r="L14" t="inlineStr">
        <is>
          <t>Java; C++; Python; HTML; CSS; JavaScript; React; Angular; Vue.js; SQL</t>
        </is>
      </c>
      <c r="M14"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Development Engineer Intern Backend
Smytten
[Bangalore](https://in.jooble.org/jobs/Bangalore)
[Apply](https://in.jooble.org/away/-7679600165468888313?p=1&amp;pos=0&amp;rgn=3193&amp;pageType=7&amp;cid=389&amp;jobAge=65&amp;scr=1136.8865&amp;bscr=1136.8865&amp;jdpSource=101&amp;jdpid=467467725312464904&amp;crId=IN_941557261776897104IN_3193)
This position requires local presence. Please view similar jobs below.
**ABOUT PULSEAI RESEARCH (**
**PulseAI Research is an AI-powered consumer intelligence and research platform, powered by Smytten. We help brands understand real consumer behaviour through data, AI, and insights from millions of real shopper interactions. From consumer research and product testing to behavioural insights, we enable brands to make faster, data-driven decisions.**
**As an intern, you will be working alongside the teams building and scaling our AI-powered consumer intelligence platform and the custom enterprise apps — which means real exposure to large-scale data, AI-driven product features, and systems used by the Fortune 500 companies every day.**
**What You Would Be Working On**
**- Design and build highly scalable, secure and fault-tolerant backend systems powering enterprise-grade AI applications across Consumer Research and Analytics.**
**- Build the orchestration layer for AI and agentic workflows — connecting LLMs, analytical models, data sources, research engines and enterprise applications into reliable production systems.**
**- Develop high-performance APIs, microservices and asynchronous processing systems that power AI-led research, analytics, dashboards, automated insight generation and enterprise integrations.**
**- Build backend infrastructure for GenAI applications, including model gateways, prompt and workflow orchestration, structured outputs, RAG pipelines, embeddings, vector retrieval, caching, evaluation and AI guardrails.**
**- Build AI systems that operate across structured and unstructured data — survey responses, behavioural events, transactions, documents, conversations, qualitative interviews and external intelligence sources.**
**- Engineer multi-tenant enterprise architecture with strong data isolation, role-based access controls, auditability, authentication, API security and privacy-by-design principles.**
**- Build scalable research and analytics workflow engines capable of managing long-running jobs, distributed tasks, retries, queues, scheduling and real-time status updates.**
**- Create production-grade integrations with LLMs and machine-learning models, while solving for latency, reliability, model fallbacks, token economics, observability and output quality.**
**- Build systems that make AI explainable and auditable by maintaining lineage between source data, analytical transformations, model outputs and final recommendations.**
**- Work closely with AI/ML engineers, data scientists, researchers, product teams and analytics experts to convert complex research and analytical methodologies into scalable software products.**
**- Continuously experiment with new developments across LLMs, AI agents, retrieval systems, reasoning models and data infrastructure, and translate the ones that matter into production capabilities.**
**YOU DON'T NEED TO BE AN EXPERT — BUT THESE SHOULDN'T BE STRANGERS**
**- Data structures, algorithms and computer science fundamentals**
**- Backend development in Python, Java, Go, Node.js or equivalent**
**- REST/gRPC APIs and distributed system concepts**
**- Understanding of environment variables, and json handling**
**- SQL and modern database architectures**
**- Caching, queues and asynchronous processing**
**- Cloud-native application development**
**YOU'LL BE HARD TO IGNORE IF YOU'VE WORKED WITH ANY OF THESE**
**- LM APIs </t>
        </is>
      </c>
      <c r="N14" t="n">
        <v>76</v>
      </c>
      <c r="O14" t="n">
        <v>75</v>
      </c>
      <c r="P14" t="n">
        <v>70</v>
      </c>
      <c r="Q14" t="n">
        <v>80</v>
      </c>
      <c r="R14" t="n">
        <v>90</v>
      </c>
      <c r="S14" t="n">
        <v>50</v>
      </c>
      <c r="T14" t="n">
        <v>95</v>
      </c>
      <c r="U14" t="inlineStr">
        <is>
          <t>SKIP</t>
        </is>
      </c>
      <c r="V14" t="inlineStr">
        <is>
          <t>SKIP</t>
        </is>
      </c>
      <c r="W14" t="inlineStr">
        <is>
          <t>Java; C++</t>
        </is>
      </c>
      <c r="X14" t="inlineStr">
        <is>
          <t>Amaanuddin_Ahmed_Resume_2025.pdf</t>
        </is>
      </c>
      <c r="Y14" t="inlineStr">
        <is>
          <t>2026-10-02</t>
        </is>
      </c>
      <c r="Z14" t="inlineStr">
        <is>
          <t>High PPO conversion rate (80% hiring rate for eligible interns).; Top-tier enterprise brand (Salesforce / Tableau) offering massive scale and learning opportunities.</t>
        </is>
      </c>
      <c r="AA14" t="inlineStr">
        <is>
          <t>Ineligible</t>
        </is>
      </c>
      <c r="AB14" t="inlineStr">
        <is>
          <t>Graduation year mismatch: The job description explicitly requires graduating in 2028 (Class of 2028), whereas the candidate is graduating in 2027.</t>
        </is>
      </c>
      <c r="AC14" t="inlineStr">
        <is>
          <t>UNKNOWN</t>
        </is>
      </c>
      <c r="AD14" t="inlineStr">
        <is>
          <t>Exact start dates and operational hours are not specified in the description.</t>
        </is>
      </c>
      <c r="AE14" t="inlineStr">
        <is>
          <t>UNKNOWN</t>
        </is>
      </c>
      <c r="AF14" t="n">
        <v>0</v>
      </c>
      <c r="AG14" t="inlineStr">
        <is>
          <t>No</t>
        </is>
      </c>
      <c r="AH14" t="inlineStr">
        <is>
          <t>High</t>
        </is>
      </c>
      <c r="AI14" t="inlineStr">
        <is>
          <t>FutureForce program hires 80% of eligible interns, and conversion is a core focus of the university recruiting process.</t>
        </is>
      </c>
      <c r="AJ14" t="inlineStr">
        <is>
          <t>Graduation year mismatch (Candidate graduates in 2027, job requires Class of 2028)</t>
        </is>
      </c>
      <c r="AL14" t="inlineStr">
        <is>
          <t>Data Structures and Algorithms; Object-Oriented Programming principles; Distributed systems concepts; Angular and frontend lifecycle</t>
        </is>
      </c>
    </row>
    <row r="15">
      <c r="A15" t="inlineStr">
        <is>
          <t>PHONEPE-261002-14</t>
        </is>
      </c>
      <c r="B15" t="inlineStr">
        <is>
          <t>Phonepe</t>
        </is>
      </c>
      <c r="C15" t="inlineStr">
        <is>
          <t>Software Engineer (Backend, 0-1 Year)-Lending</t>
        </is>
      </c>
      <c r="D15" t="inlineStr">
        <is>
          <t>https://in.jooble.org/desc/1929142524762661124?ckey=software+engineer+intern&amp;rgn=3193&amp;pos=14&amp;elckey=-914241366255621246&amp;p=1&amp;aq=3344858192535340138&amp;cid=389&amp;jobAge=425&amp;brelb=10&amp;bscr=926.6894&amp;scr=926.6894</t>
        </is>
      </c>
      <c r="E15" t="inlineStr">
        <is>
          <t>AI Analyzer</t>
        </is>
      </c>
      <c r="F15" t="inlineStr">
        <is>
          <t>Bangalore</t>
        </is>
      </c>
      <c r="G15" t="inlineStr">
        <is>
          <t>Unknown</t>
        </is>
      </c>
      <c r="I15" t="inlineStr">
        <is>
          <t>Unknown</t>
        </is>
      </c>
      <c r="J15" t="inlineStr">
        <is>
          <t>NOT_MENTIONED</t>
        </is>
      </c>
      <c r="K15" t="inlineStr">
        <is>
          <t>Backend Development; Software Engineering</t>
        </is>
      </c>
      <c r="M15" t="inlineStr">
        <is>
          <t>&amp;nbsp;...each step defines every day for a developer at PhonePe. Though we &lt;b&gt;engineer &lt;/b&gt;for a 500 Million+ strong user base, we code with every...&amp;nbsp;&amp;nbsp;...documentation. PhonePe Full Time Employee Benefits (Not applicable for &lt;b&gt;Intern &lt;/b&gt;or Contract Roles) Insurance Benefits - Medical Insurance,...&amp;nbsp;</t>
        </is>
      </c>
      <c r="N15" t="n">
        <v>42</v>
      </c>
      <c r="O15" t="n">
        <v>50</v>
      </c>
      <c r="P15" t="n">
        <v>60</v>
      </c>
      <c r="Q15" t="n">
        <v>70</v>
      </c>
      <c r="R15" t="n">
        <v>0</v>
      </c>
      <c r="S15" t="n">
        <v>0</v>
      </c>
      <c r="T15" t="n">
        <v>50</v>
      </c>
      <c r="U15" t="inlineStr">
        <is>
          <t>SKIP</t>
        </is>
      </c>
      <c r="V15" t="inlineStr">
        <is>
          <t>SKIP</t>
        </is>
      </c>
      <c r="X15" t="inlineStr">
        <is>
          <t>Amaanuddin_Ahmed_Resume.pdf</t>
        </is>
      </c>
      <c r="Y15" t="inlineStr">
        <is>
          <t>2026-10-02</t>
        </is>
      </c>
      <c r="Z15" t="inlineStr">
        <is>
          <t>Located in Bangalore; Matches entry-level backend criteria</t>
        </is>
      </c>
      <c r="AA15" t="inlineStr">
        <is>
          <t>ELIGIBLE</t>
        </is>
      </c>
      <c r="AB15" t="inlineStr">
        <is>
          <t>Location matches preferred location (Bangalore); Experience level (0-1 year) aligns with candidate profile</t>
        </is>
      </c>
      <c r="AC15" t="inlineStr">
        <is>
          <t>UNKNOWN</t>
        </is>
      </c>
      <c r="AD15" t="inlineStr">
        <is>
          <t>Not specified in candidate profile</t>
        </is>
      </c>
      <c r="AE15" t="inlineStr">
        <is>
          <t>UNKNOWN</t>
        </is>
      </c>
      <c r="AF15" t="n">
        <v>0</v>
      </c>
      <c r="AG15" t="inlineStr">
        <is>
          <t>No</t>
        </is>
      </c>
      <c r="AH15" t="inlineStr">
        <is>
          <t>NOT_MENTIONED</t>
        </is>
      </c>
      <c r="AI15" t="inlineStr">
        <is>
          <t>No conversion or PPO details found in the provided snippet.</t>
        </is>
      </c>
      <c r="AK15" t="inlineStr">
        <is>
          <t>Job description snippet is extremely brief and lacks clear technical requirements.</t>
        </is>
      </c>
      <c r="AL15" t="inlineStr">
        <is>
          <t>Backend system design; RESTful API architecture; Database management</t>
        </is>
      </c>
    </row>
    <row r="16">
      <c r="A16" t="inlineStr">
        <is>
          <t>SAFFRONBIZZ--261002-15</t>
        </is>
      </c>
      <c r="B16" t="inlineStr">
        <is>
          <t>Saffronbizz Solutions</t>
        </is>
      </c>
      <c r="C16" t="inlineStr">
        <is>
          <t>Software Developer Intern</t>
        </is>
      </c>
      <c r="D16" t="inlineStr">
        <is>
          <t>https://in.jooble.org/desc/-6825957623175668188?ckey=software+engineer+intern&amp;rgn=3193&amp;pos=15&amp;elckey=-914241366255621246&amp;p=1&amp;aq=3344858192535340138&amp;cid=389&amp;jobAge=713&amp;brelb=10&amp;bscr=882.8998&amp;scr=882.8998</t>
        </is>
      </c>
      <c r="E16" t="inlineStr">
        <is>
          <t>AI Analyzer</t>
        </is>
      </c>
      <c r="F16" t="inlineStr">
        <is>
          <t>Bangalore</t>
        </is>
      </c>
      <c r="G16" t="inlineStr">
        <is>
          <t>On-site</t>
        </is>
      </c>
      <c r="H16" t="inlineStr">
        <is>
          <t>Rs 2 - 5 lakhs p.a.</t>
        </is>
      </c>
      <c r="I16" t="inlineStr">
        <is>
          <t>Not specified</t>
        </is>
      </c>
      <c r="J16" t="inlineStr">
        <is>
          <t>NOT_MENTIONED</t>
        </is>
      </c>
      <c r="K16" t="inlineStr">
        <is>
          <t>C++; C#; HTML/JavaScript</t>
        </is>
      </c>
      <c r="M16"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(Backend, 0-1 Year)-Lending
Phonepe
[Bangalore](https://in.jooble.org/jobs/Bangalore)
[Apply](https://in.jooble.org/away/1929142524762661124?p=1&amp;pos=0&amp;rgn=3193&amp;pageType=7&amp;cid=389&amp;jobAge=425&amp;scr=926.6894&amp;bscr=926.6894&amp;jdpSource=101&amp;jdpid=5132820729258893733&amp;crId=IN_941557261776897104IN_3193)
This position requires local presence. Please view similar jobs below.
**About PhonePe Group:**
**PhonePe is India's leading digital payments company with 50 crore (500 Million) registered users and 3.7 crore (37 Million) merchants covering over 99% of the postal codes across India. On the back of its leadership in digital payments, PhonePe has expanded into financial services (Insurance, Mutual Funds, Stock Broking, and Lending) as well as adjacent tech-enabled businesses such as Pincode for hyperlocal shopping and Indus App Store which is India's first localized App Store. The PhonePe Group is a portfolio of businesses aligned with the company's vision to offer every Indian an equal opportunity to accelerate their progress by unlocking the flow of money and access to services.**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500 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
**Role &amp; Responsibilities**
**- Build Robust and scalable web-based applications. You will need to think of platforms &amp; reuse.**
**- Build abstractions and contracts with separation of concerns for a larger scope.**
**- Drive problem-solving skills for high-level business and technical problems.**
**- Do high-level design with guidance; Functional modelling, break-down of a module.**
**- Do incremental changes to architecture: impact analysis of the same.**
**- Do performance tuning and improvements in large scale distributed systems.**
**- Work with broader stakeholders to track the impact of projects/features and proactively iterate to improve them.**
**Requirements-**
**- 1-3 years of experience in the art of writing code and solving problems on a Large Scale.**
**- B.Tech in Computer Science or related technical discipline (or equivalent).**
**- Excellent coding skills – should be able to convert the design into code fluently. Experience in at least one general programming language (e.g. Java, C, C++) &amp; tech stack to write maintainable, scalable, unit-tested code.**
**- Experience with multi-threading, concurrency programming, object-oriented design skills, knowledge of design patterns, and huge passion and ability to design intuitive modules, class-level interfaces and knowledge of Test driven development.**
**- Good understanding of databases (e.g. MySQL) and NoSQL (e.g. HBase, Elasticsearch, Aerospike, etc).**
**- Experience in full life cycle development in any programming language on a Linux platform and building highly scalable business applications, which involve implementi</t>
        </is>
      </c>
      <c r="N16" t="n">
        <v>56</v>
      </c>
      <c r="O16" t="n">
        <v>70</v>
      </c>
      <c r="P16" t="n">
        <v>50</v>
      </c>
      <c r="Q16" t="n">
        <v>70</v>
      </c>
      <c r="R16" t="n">
        <v>0</v>
      </c>
      <c r="S16" t="n">
        <v>100</v>
      </c>
      <c r="T16" t="n">
        <v>50</v>
      </c>
      <c r="U16" t="inlineStr">
        <is>
          <t>SKIP</t>
        </is>
      </c>
      <c r="V16" t="inlineStr">
        <is>
          <t>SKIP</t>
        </is>
      </c>
      <c r="W16" t="inlineStr">
        <is>
          <t>C++</t>
        </is>
      </c>
      <c r="X16" t="inlineStr">
        <is>
          <t>Default Full Stack / Software Engineering Resume</t>
        </is>
      </c>
      <c r="Y16" t="inlineStr">
        <is>
          <t>2026-10-02</t>
        </is>
      </c>
      <c r="Z16" t="inlineStr">
        <is>
          <t>Stipend meets the minimum target expectations.; Matches location preference (Bangalore).</t>
        </is>
      </c>
      <c r="AA16" t="inlineStr">
        <is>
          <t>FAIL</t>
        </is>
      </c>
      <c r="AB16" t="inlineStr">
        <is>
          <t>Eligibility criteria explicitly requires eligible branches to be CSE (Computer Science Engineering), whereas the candidate is pursuing MCA.</t>
        </is>
      </c>
      <c r="AC16" t="inlineStr">
        <is>
          <t>UNKNOWN</t>
        </is>
      </c>
      <c r="AD16" t="inlineStr">
        <is>
          <t>Candidate availability dates are not specified in the career brain.</t>
        </is>
      </c>
      <c r="AE16" t="inlineStr">
        <is>
          <t>KNOWN</t>
        </is>
      </c>
      <c r="AF16" t="n">
        <v>200000</v>
      </c>
      <c r="AG16" t="inlineStr">
        <is>
          <t>No</t>
        </is>
      </c>
      <c r="AH16" t="inlineStr">
        <is>
          <t>NOT_MENTIONED</t>
        </is>
      </c>
      <c r="AI16" t="inlineStr">
        <is>
          <t>No mention of PPO or conversion to full-time employment in the job description.</t>
        </is>
      </c>
      <c r="AJ16" t="inlineStr">
        <is>
          <t>Eligible branch requirement is strictly CSE (Computer Science Engineering), whereas candidate is in MCA.</t>
        </is>
      </c>
      <c r="AL16" t="inlineStr">
        <is>
          <t>Core JavaScript and HTML fundamentals; C# object-oriented programming concepts; Debugging and problem-solving methodologies</t>
        </is>
      </c>
    </row>
    <row r="17">
      <c r="A17" t="inlineStr">
        <is>
          <t>OUTBOX.VC-261002-16</t>
        </is>
      </c>
      <c r="B17" t="inlineStr">
        <is>
          <t>Outbox.vc</t>
        </is>
      </c>
      <c r="C17" t="inlineStr">
        <is>
          <t>Software Developer - Intern</t>
        </is>
      </c>
      <c r="D17" t="inlineStr">
        <is>
          <t>https://in.jooble.org/desc/5089802996613037634?ckey=software+engineer+intern&amp;rgn=3193&amp;pos=16&amp;elckey=-914241366255621246&amp;p=1&amp;aq=3344858192535340138&amp;cid=389&amp;jobAge=6329&amp;brelb=100&amp;bscr=869.2715&amp;scr=869.2715</t>
        </is>
      </c>
      <c r="E17" t="inlineStr">
        <is>
          <t>AI Analyzer</t>
        </is>
      </c>
      <c r="F17" t="inlineStr">
        <is>
          <t>Bangalore</t>
        </is>
      </c>
      <c r="G17" t="inlineStr">
        <is>
          <t>On-site / Unspecified</t>
        </is>
      </c>
      <c r="H17" t="inlineStr">
        <is>
          <t>Rs 30000 - Rs 35000 per month</t>
        </is>
      </c>
      <c r="I17" t="inlineStr">
        <is>
          <t>Unspecified</t>
        </is>
      </c>
      <c r="J17" t="inlineStr">
        <is>
          <t>NOT_MENTIONED</t>
        </is>
      </c>
      <c r="K17" t="inlineStr">
        <is>
          <t>NodeJS; Typescript; Git; MySQL</t>
        </is>
      </c>
      <c r="L17" t="inlineStr">
        <is>
          <t>Backend development; Frontend development; Scalable server-side architecture</t>
        </is>
      </c>
      <c r="M17"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Developer Intern
Rs 2 - 5 lakhs p.a.
Saffronbizz Solutions
[Bangalore](https://in.jooble.org/jobs/Bangalore)
[Apply](https://in.jooble.org/away/-6825957623175668188?p=1&amp;pos=0&amp;rgn=3193&amp;pageType=7&amp;cid=389&amp;jobAge=713&amp;scr=882.8998&amp;bscr=882.8998&amp;jdpSource=101&amp;jdpid=-1295339032546043542&amp;crId=IN_941557261776897104IN_3193)
## Job description   **As a Software Developer Intern, you will:**    - Work alongside our experienced software developers on one of our small, energetic development teams.  - Learn the process of software development using modern languages like Agile to help full-time work in designing, coding, testing, documenting, and supporting our software products.      **You may enjoy this if:**    - You have a passion for creating software.  - You like problem solving and have sharp debugging skills.  - You are creative with computers and software applied to engineering.      **Were looking for:**    - Self-motivated individuals with a passion for creating software  - Software development experience in one or more modern programming languages (C++, C\#, HTML/JavaScript, etc.)     **Eligibility Criteria**    - Academic performance - 70% &amp; above throughout his/her career (10th, 12th and BE/B.Tech till date) - Year of passing 2027 - Eligible branches CSE  - No standing arrears/backlogs during interview process &amp; joining
[Apply](https://in.jooble.org/away/-6825957623175668188?p=1&amp;pos=0&amp;rgn=3193&amp;pageType=7&amp;cid=389&amp;jobAge=713&amp;scr=882.8998&amp;bscr=882.8998&amp;jdpSource=101&amp;jdpid=-1295339032546043542&amp;crId=IN_941557261776897104IN_3193)
# Software Developer - Intern
Rs 30000 - Rs 35000 per month
Internship
Outbox.vc
[Bangalore](https://in.jooble.org/jobs/Bangalore)
[Apply](https://in.jooble.org/away/5089802996613037634?p=1&amp;pos=0&amp;rgn=3193&amp;pageType=7&amp;cid=389&amp;jobAge=6329&amp;scr=869.2715&amp;bscr=869.2715&amp;jdpSource=101&amp;jdpid=1154770436091023992&amp;crId=IN_941557261776897104IN_3193)
**Job Description**
We are seeking **SDE Interns,** talented individuals with strong knowledge of NodeJS, Typescript, Git and MySQL to join our dynamic team. You'll have the opportunity to work on cutting-edge technologies and contribute to the development of our innovative outbound marketing system.
If you are excited about leveraging cutting-edge technology to drive business success, we want to hear from you.
**What You'll Do:**
- Design, develop, and maintain scalable server-side architecture.
- Implement and optimize database structures for data integrity, security, and performance.
- Collaborate with frontend developers to integrate user-facing elements using server-side logic.
- Update reports, project related trackers, performance evaluation forms.
- Optimize web performance by identifying and resolving bottlenecks, reducing load times, and applying performance best practices (e.g., lazy loading, code splitting).
- Implement and manage third-party libraries and APIs to extend backend capabilities and support new features.
- Maintain a clean and scalable codebase, adhering to best practices in version control (Git), component reusability, and code documentation.
- Write unit and integration tests to ensure code stability and reduce regressions.
- Stay current with emerging technologies and backend trends, proactively suggesting improvements to the team.
- Participate in code reviews, contributing constructive feedback and learning from peers.
- Take ownership of assigned tasks, demonstrating initiative in troubleshooting, debugging, and solving issues.
- Contribute to internal documentation, helping to create a knowledge base for onboarding and ongoing learning.
**Candidate Profile**
- **Demonstrable Portfolio:** We require candidates to showcase a portfolio of live and hosted projects, providing the h</t>
        </is>
      </c>
      <c r="N17" t="n">
        <v>82</v>
      </c>
      <c r="O17" t="n">
        <v>80</v>
      </c>
      <c r="P17" t="n">
        <v>90</v>
      </c>
      <c r="Q17" t="n">
        <v>90</v>
      </c>
      <c r="R17" t="n">
        <v>50</v>
      </c>
      <c r="S17" t="n">
        <v>100</v>
      </c>
      <c r="T17" t="n">
        <v>85</v>
      </c>
      <c r="U17" t="inlineStr">
        <is>
          <t>APPLY</t>
        </is>
      </c>
      <c r="V17" t="inlineStr">
        <is>
          <t>APPLY</t>
        </is>
      </c>
      <c r="W17" t="inlineStr">
        <is>
          <t>Typescript</t>
        </is>
      </c>
      <c r="X17" t="inlineStr">
        <is>
          <t>Default Full Stack / Backend Resume</t>
        </is>
      </c>
      <c r="Y17" t="inlineStr">
        <is>
          <t>2026-10-02</t>
        </is>
      </c>
      <c r="Z17" t="inlineStr">
        <is>
          <t>Stipend of ₹30,000–₹35,000/month satisfies the minimum requirement of ₹25,000.; Strong match with candidate's actual work experience in Full Stack and backend development (Node.js, MySQL, Git).; Located in Bangalore, matching candidate preference.</t>
        </is>
      </c>
      <c r="AA17" t="inlineStr">
        <is>
          <t>ELIGIBLE</t>
        </is>
      </c>
      <c r="AB17" t="inlineStr">
        <is>
          <t>Meets the requirement of having completed at least one internship and building backend/frontend systems from scratch.; Matches location preference (Bangalore).; Stipend exceeds minimum requirement.</t>
        </is>
      </c>
      <c r="AC17" t="inlineStr">
        <is>
          <t>UNKNOWN</t>
        </is>
      </c>
      <c r="AD17" t="inlineStr">
        <is>
          <t>Availability dates not specified in candidate profile or job description.</t>
        </is>
      </c>
      <c r="AE17" t="inlineStr">
        <is>
          <t>EXPLICIT</t>
        </is>
      </c>
      <c r="AF17" t="n">
        <v>30000</v>
      </c>
      <c r="AG17" t="inlineStr">
        <is>
          <t>No</t>
        </is>
      </c>
      <c r="AH17" t="inlineStr">
        <is>
          <t>NOT_MENTIONED</t>
        </is>
      </c>
      <c r="AI17" t="inlineStr">
        <is>
          <t>No explicit PPO or conversion mention found in the job description.</t>
        </is>
      </c>
      <c r="AL17" t="inlineStr">
        <is>
          <t>Node.js server-side architecture and performance optimization; MySQL database indexing and schema design; Experience with building live and hosted full-stack projects; TypeScript proficiency and transition from JavaScript</t>
        </is>
      </c>
      <c r="AM17" t="inlineStr">
        <is>
          <t>E:\InternshipHunter\applications\jooble-29d645aac51d</t>
        </is>
      </c>
      <c r="AN17" t="inlineStr">
        <is>
          <t>Ready for Review</t>
        </is>
      </c>
      <c r="AO17" t="inlineStr">
        <is>
          <t>Generated</t>
        </is>
      </c>
      <c r="AP17" t="inlineStr">
        <is>
          <t>Generated</t>
        </is>
      </c>
      <c r="AQ17" t="inlineStr">
        <is>
          <t>Generated</t>
        </is>
      </c>
      <c r="AR17" t="inlineStr">
        <is>
          <t>Ready to Apply</t>
        </is>
      </c>
    </row>
    <row r="18">
      <c r="A18" t="inlineStr">
        <is>
          <t>PHONEPE-261002-17</t>
        </is>
      </c>
      <c r="B18" t="inlineStr">
        <is>
          <t>Phonepe</t>
        </is>
      </c>
      <c r="C18" t="inlineStr">
        <is>
          <t>Software Engineer - SRE (Rust)</t>
        </is>
      </c>
      <c r="D18" t="inlineStr">
        <is>
          <t>https://in.jooble.org/desc/-8896893097370421426?ckey=software+engineer+intern&amp;rgn=3193&amp;pos=17&amp;elckey=-914241366255621246&amp;p=1&amp;aq=3344858192535340138&amp;cid=389&amp;jobAge=617&amp;brelb=10&amp;bscr=853.6248&amp;scr=853.6248</t>
        </is>
      </c>
      <c r="E18" t="inlineStr">
        <is>
          <t>AI Analyzer</t>
        </is>
      </c>
      <c r="F18" t="inlineStr">
        <is>
          <t>Bangalore</t>
        </is>
      </c>
      <c r="G18" t="inlineStr">
        <is>
          <t>Unknown</t>
        </is>
      </c>
      <c r="H18" t="inlineStr">
        <is>
          <t>Not specified</t>
        </is>
      </c>
      <c r="I18" t="inlineStr">
        <is>
          <t>Unknown</t>
        </is>
      </c>
      <c r="J18" t="inlineStr">
        <is>
          <t>No</t>
        </is>
      </c>
      <c r="K18" t="inlineStr">
        <is>
          <t>Software Development; Operating Systems</t>
        </is>
      </c>
      <c r="L18" t="inlineStr">
        <is>
          <t>Rust</t>
        </is>
      </c>
      <c r="M18" t="inlineStr">
        <is>
          <t>&amp;nbsp;...to implementations Qualifications ~4+ years experience in &lt;b&gt;Software &lt;/b&gt;Development ~ Experience with or knowledge of operating systems...&amp;nbsp;&amp;nbsp;...Information PhonePe Full Time Employee Benefits (Not applicable for &lt;b&gt;Intern &lt;/b&gt;or Contract Roles) Insurance Benefits - Medical Insurance,...&amp;nbsp;</t>
        </is>
      </c>
      <c r="N18" t="n">
        <v>22</v>
      </c>
      <c r="O18" t="n">
        <v>20</v>
      </c>
      <c r="P18" t="n">
        <v>10</v>
      </c>
      <c r="Q18" t="n">
        <v>20</v>
      </c>
      <c r="R18" t="n">
        <v>0</v>
      </c>
      <c r="S18" t="n">
        <v>50</v>
      </c>
      <c r="T18" t="n">
        <v>60</v>
      </c>
      <c r="U18" t="inlineStr">
        <is>
          <t>SKIP</t>
        </is>
      </c>
      <c r="V18" t="inlineStr">
        <is>
          <t>SKIP</t>
        </is>
      </c>
      <c r="W18" t="inlineStr">
        <is>
          <t>Rust; SRE experience; 4+ years of experience</t>
        </is>
      </c>
      <c r="X18" t="inlineStr">
        <is>
          <t>Amaanuddin_Ahmed_Resume.pdf</t>
        </is>
      </c>
      <c r="Y18" t="inlineStr">
        <is>
          <t>2026-10-02</t>
        </is>
      </c>
      <c r="AA18" t="inlineStr">
        <is>
          <t>Ineligible</t>
        </is>
      </c>
      <c r="AB18" t="inlineStr">
        <is>
          <t>The role requires ~4+ years of experience in Software Development, while the candidate is an MCA student with internship/freelance experience.; The role specifies Rust/SRE which is outside the candidate's core stack.</t>
        </is>
      </c>
      <c r="AC18" t="inlineStr">
        <is>
          <t>Unknown</t>
        </is>
      </c>
      <c r="AD18" t="inlineStr">
        <is>
          <t>Not specified in profile</t>
        </is>
      </c>
      <c r="AE18" t="inlineStr">
        <is>
          <t>UNKNOWN</t>
        </is>
      </c>
      <c r="AF18" t="n">
        <v>0</v>
      </c>
      <c r="AG18" t="inlineStr">
        <is>
          <t>No</t>
        </is>
      </c>
      <c r="AH18" t="inlineStr">
        <is>
          <t>No</t>
        </is>
      </c>
      <c r="AI18" t="inlineStr">
        <is>
          <t>No mention of PPO or conversion for this full-time role.</t>
        </is>
      </c>
      <c r="AJ18" t="inlineStr">
        <is>
          <t>4+ years experience in Software Development required</t>
        </is>
      </c>
      <c r="AK18" t="inlineStr">
        <is>
          <t>Full-time experienced role requiring 4+ years of experience</t>
        </is>
      </c>
      <c r="AL18" t="inlineStr">
        <is>
          <t>Operating systems; Software development best practices</t>
        </is>
      </c>
    </row>
    <row r="19">
      <c r="A19" t="inlineStr">
        <is>
          <t>NXTWAVE-DISR-261002-18</t>
        </is>
      </c>
      <c r="B19" t="inlineStr">
        <is>
          <t>Nxtwave Disruptive Technologies Private Limited</t>
        </is>
      </c>
      <c r="C19" t="inlineStr">
        <is>
          <t>MERN Developer - Intern</t>
        </is>
      </c>
      <c r="D19" t="inlineStr">
        <is>
          <t>https://in.jooble.org/desc/7218822007534742956?ckey=software+engineer+intern&amp;rgn=3193&amp;pos=20&amp;elckey=-914241366255621246&amp;p=1&amp;aq=3344858192535340138&amp;cid=389&amp;jobAge=713&amp;brelb=10&amp;bscr=726.9999&amp;scr=726.9999</t>
        </is>
      </c>
      <c r="E19" t="inlineStr">
        <is>
          <t>AI Analyzer</t>
        </is>
      </c>
      <c r="F19" t="inlineStr">
        <is>
          <t>Bangalore</t>
        </is>
      </c>
      <c r="G19" t="inlineStr">
        <is>
          <t>Offline</t>
        </is>
      </c>
      <c r="H19" t="inlineStr">
        <is>
          <t>20,000/month</t>
        </is>
      </c>
      <c r="I19" t="inlineStr">
        <is>
          <t>6 Months</t>
        </is>
      </c>
      <c r="J19" t="inlineStr">
        <is>
          <t>explicit</t>
        </is>
      </c>
      <c r="K19" t="inlineStr">
        <is>
          <t>JavaScript; React.js; Node.js; SQL; MongoDB; Python</t>
        </is>
      </c>
      <c r="L19" t="inlineStr">
        <is>
          <t>Problem-solving; Communication</t>
        </is>
      </c>
      <c r="M19"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Android Developer Intern
Frnd
[Bangalore](https://in.jooble.org/jobs/Bangalore)
[Apply](https://in.jooble.org/away/9020394064860666830?p=1&amp;pos=0&amp;rgn=3193&amp;pageType=7&amp;cid=389&amp;jobAge=425&amp;scr=735.6594&amp;bscr=735.6594&amp;jdpSource=101&amp;jdpid=-8504814669564863320&amp;crId=IN_941557261776897104IN_3193)
This position requires local presence. Please view similar jobs below.
**About the Role:**
We're looking for a passionate **Android Intern** to join our mobile team and contribute to building delightful user experiences. If you love writing clean Kotlin code, learning on the go, and working on real impact features, we'd love to meet you.
**What You'll Do:**
- Collaborate with product, design, and backend teams to build and improve app features
- Write clean, maintainable, and efficient Kotlin code
- Test and debug applications to ensure performance and stability
- Learn and grow in a fast-paced startup environment
**What We're Looking For:**
- **This is a 3-month in-office Paid Internship**
- Strong understanding of Android fundamentals and the Android SDK
- Proficient in **Kotlin**
- Familiar with RESTful APIs, Git, and third-party libraries
- Prior **internship experience in Android development** is a plus
- Problem-solving attitude with a strong willingness to learn
Note- The FRND team operates six days a week, with every 1st and 3rd Saturday working
**About FRND**
FRND is redefining the way people connect by building a social platform that's not just engaging but also safe, inclusive, and fun. We're a rapidly growing startup with a bold mission: to transform online interactions into meaningful relationships.
**Why FRND**
- **Impact at Scale:** Be part of the next big wave in social connection, shaping experiences for millions across India, LATAM, and MENA.
- **Rewarding Journey:** Competitive compensation, equity options, and growth that parallels FRND's explosive success.
- **Learn with the Best:** Collaborate directly with founders and industry pioneers, supported by stellar investors like Krafton, India Quotient, and Elevation Capital.
- **Freedom to Thrive:** Enjoy an unlimited leave policy and unparalleled ownership of your work.
- **Product-Centric Mindset:** Work in a company where products take center stage, solving unique challenges with innovative solutions.
[Apply](https://in.jooble.org/away/9020394064860666830?p=1&amp;pos=0&amp;rgn=3193&amp;pageType=7&amp;cid=389&amp;jobAge=425&amp;scr=735.6594&amp;bscr=735.6594&amp;jdpSource=101&amp;jdpid=-8504814669564863320&amp;crId=IN_941557261776897104IN_3193)
# MERN Developer - Intern
Rs 3.5 - 4 lakhs p.a.
Nxtwave Disruptive Technologies Private Limited
[Bangalore](https://in.jooble.org/jobs/Bangalore)
[Apply](https://in.jooble.org/away/7218822007534742956?p=1&amp;pos=0&amp;rgn=3193&amp;pageType=7&amp;cid=389&amp;jobAge=713&amp;scr=726.9999&amp;bscr=726.9999&amp;jdpSource=101&amp;jdpid=3347292365815868326&amp;crId=IN_941557261776897104IN_3193)
This position requires local presence. Please view similar jobs below.
### MERN Developer – Internship + Full-Time Opportunity
### **Apply Link:** Apply Here
**Role:** MERN Developer – Intern
**Job Type:** Internship + Full-Time
**Location:** Bangalore
**CTC:** 3.6 – 4.2 LPA
**Internship Duration:** 6 Months
**Internship Stipend:** 20,000/month
**Bond:** No Bond
### Eligibility Criteria
- Any Degree
- 2021, 2022, 2023, 2024, 2025 &amp; 2026 pass-outs
- No percentage criteria
- Immediate joiners only
### Interview Process
**Assessment → Managerial Round → Technical Round 1 → HR**
**Interview Mode:** Offline
### Important Details
- **Offline drive in Bangalore on 5th September 2026 (Saturday).**
- All interview rounds will be completed on the same day.
- Only candidates who are available to attend the **in-person drive in Bangalore** should apply.
- Strong </t>
        </is>
      </c>
      <c r="N19" t="n">
        <v>86</v>
      </c>
      <c r="O19" t="n">
        <v>85</v>
      </c>
      <c r="P19" t="n">
        <v>85</v>
      </c>
      <c r="Q19" t="n">
        <v>90</v>
      </c>
      <c r="R19" t="n">
        <v>90</v>
      </c>
      <c r="S19" t="n">
        <v>75</v>
      </c>
      <c r="T19" t="n">
        <v>85</v>
      </c>
      <c r="U19" t="inlineStr">
        <is>
          <t>APPLY</t>
        </is>
      </c>
      <c r="V19" t="inlineStr">
        <is>
          <t>APPLY</t>
        </is>
      </c>
      <c r="W19" t="inlineStr">
        <is>
          <t>Python</t>
        </is>
      </c>
      <c r="X19" t="inlineStr">
        <is>
          <t>Default Full Stack / MERN Resume</t>
        </is>
      </c>
      <c r="Y19" t="inlineStr">
        <is>
          <t>2026-10-02</t>
        </is>
      </c>
      <c r="Z19" t="inlineStr">
        <is>
          <t>Role matches primary target of Full Stack Developer Intern / MERN Stack Developer Intern; Stipend of 20,000/month is close to the minimum target; Clear PPO path with full-time conversion mentioned (3.6-4.2 LPA); Strong tech stack match with MERN experience (StaySphere, Zenvest, DriftGuard)</t>
        </is>
      </c>
      <c r="AA19" t="inlineStr">
        <is>
          <t>eligible</t>
        </is>
      </c>
      <c r="AB19" t="inlineStr">
        <is>
          <t>Degree criteria met (Any Degree / MCA); Pass-out year 2026 is included in the accepted range (2021-2026); Location is Bangalore and candidate is based in Bengaluru</t>
        </is>
      </c>
      <c r="AC19" t="inlineStr">
        <is>
          <t>unknown</t>
        </is>
      </c>
      <c r="AD19" t="inlineStr">
        <is>
          <t>Immediate joining and offline drive attendance on September 5th, 2026 need to be confirmed against candidate schedule.</t>
        </is>
      </c>
      <c r="AE19" t="inlineStr">
        <is>
          <t>disclosed</t>
        </is>
      </c>
      <c r="AF19" t="n">
        <v>20000</v>
      </c>
      <c r="AG19" t="inlineStr">
        <is>
          <t>No</t>
        </is>
      </c>
      <c r="AH19" t="inlineStr">
        <is>
          <t>explicit</t>
        </is>
      </c>
      <c r="AI19" t="inlineStr">
        <is>
          <t>Full-time conversion will be based on internship performance. Full-time CTC: 3.6–4.2 LPA.</t>
        </is>
      </c>
      <c r="AL19" t="inlineStr">
        <is>
          <t>Node.js and Express event loop and middleware; React.js state management and hooks; MongoDB and SQL database schema design; Basic Python concepts and coding problem solving; RESTful API architecture and authentication</t>
        </is>
      </c>
      <c r="AM19" t="inlineStr">
        <is>
          <t>E:\InternshipHunter\applications\jooble-254226cbc559</t>
        </is>
      </c>
      <c r="AN19" t="inlineStr">
        <is>
          <t>Ready for Review</t>
        </is>
      </c>
      <c r="AO19" t="inlineStr">
        <is>
          <t>Generated</t>
        </is>
      </c>
      <c r="AP19" t="inlineStr">
        <is>
          <t>Generated</t>
        </is>
      </c>
      <c r="AQ19" t="inlineStr">
        <is>
          <t>Generated</t>
        </is>
      </c>
      <c r="AR19" t="inlineStr">
        <is>
          <t>Ready to Apply</t>
        </is>
      </c>
    </row>
    <row r="20">
      <c r="A20" t="inlineStr">
        <is>
          <t>REALME-261002-19</t>
        </is>
      </c>
      <c r="B20" t="inlineStr">
        <is>
          <t>RealMe</t>
        </is>
      </c>
      <c r="C20" t="inlineStr">
        <is>
          <t>Software Engineer - Intern</t>
        </is>
      </c>
      <c r="D20" t="inlineStr">
        <is>
          <t>https://in.jooble.org/desc/7400619691248103067?ckey=software+engineer+intern&amp;rgn=158289&amp;pos=1&amp;elckey=-7253105424082662809&amp;p=1&amp;aq=-519685724840293556&amp;cid=389&amp;jobAge=521&amp;brelb=10&amp;bscr=940.0856&amp;scr=940.0856</t>
        </is>
      </c>
      <c r="E20" t="inlineStr">
        <is>
          <t>AI Analyzer</t>
        </is>
      </c>
      <c r="F20" t="inlineStr">
        <is>
          <t>work from home</t>
        </is>
      </c>
      <c r="G20" t="inlineStr">
        <is>
          <t>Remote</t>
        </is>
      </c>
      <c r="H20" t="inlineStr">
        <is>
          <t>Not specified</t>
        </is>
      </c>
      <c r="I20" t="inlineStr">
        <is>
          <t>UNKNOWN</t>
        </is>
      </c>
      <c r="J20" t="inlineStr">
        <is>
          <t>UNKNOWN</t>
        </is>
      </c>
      <c r="M20" t="inlineStr">
        <is>
          <t>&amp;nbsp;...AI isn't just our product — it's how we build. We're an AI-first &lt;b&gt;engineering &lt;/b&gt;team that uses the latest models and tooling throughout our...&amp;nbsp;&amp;nbsp;...that shapes global industrial outcomes. What You'll Do As an &lt;b&gt;intern &lt;/b&gt;at Realm, you'll work alongside full-time engineers on real features...&amp;nbsp;</t>
        </is>
      </c>
      <c r="N20" t="n">
        <v>47</v>
      </c>
      <c r="O20" t="n">
        <v>50</v>
      </c>
      <c r="P20" t="n">
        <v>50</v>
      </c>
      <c r="Q20" t="n">
        <v>70</v>
      </c>
      <c r="R20" t="n">
        <v>50</v>
      </c>
      <c r="S20" t="n">
        <v>0</v>
      </c>
      <c r="T20" t="n">
        <v>40</v>
      </c>
      <c r="U20" t="inlineStr">
        <is>
          <t>SKIP</t>
        </is>
      </c>
      <c r="V20" t="inlineStr">
        <is>
          <t>SKIP</t>
        </is>
      </c>
      <c r="X20" t="inlineStr">
        <is>
          <t>Standard Full Stack Resume</t>
        </is>
      </c>
      <c r="Y20" t="inlineStr">
        <is>
          <t>2026-10-02</t>
        </is>
      </c>
      <c r="Z20" t="inlineStr">
        <is>
          <t>Matches the target Software Engineer Intern role.; Remote work mode aligns with preferences.</t>
        </is>
      </c>
      <c r="AA20" t="inlineStr">
        <is>
          <t>ELIGIBLE</t>
        </is>
      </c>
      <c r="AB20" t="inlineStr">
        <is>
          <t>No explicit hard blockers found in the minimal job description.; Matches the target role of Software Engineer Intern.</t>
        </is>
      </c>
      <c r="AC20" t="inlineStr">
        <is>
          <t>UNKNOWN</t>
        </is>
      </c>
      <c r="AD20" t="inlineStr">
        <is>
          <t>Availability details not specified in the career brain.</t>
        </is>
      </c>
      <c r="AE20" t="inlineStr">
        <is>
          <t>UNKNOWN</t>
        </is>
      </c>
      <c r="AF20" t="n">
        <v>0</v>
      </c>
      <c r="AG20" t="inlineStr">
        <is>
          <t>No</t>
        </is>
      </c>
      <c r="AH20" t="inlineStr">
        <is>
          <t>UNKNOWN</t>
        </is>
      </c>
      <c r="AI20" t="inlineStr">
        <is>
          <t>No mention of PPO or conversion in the job description.</t>
        </is>
      </c>
      <c r="AK20" t="inlineStr">
        <is>
          <t>Extremely sparse job description with insufficient details about tech stack, requirements, or compensation.</t>
        </is>
      </c>
      <c r="AL20" t="inlineStr">
        <is>
          <t>AI tooling and workflows; General software engineering fundamentals; Past internship experience</t>
        </is>
      </c>
    </row>
    <row r="21">
      <c r="A21" t="inlineStr">
        <is>
          <t>UNKNOWN-261002-20</t>
        </is>
      </c>
      <c r="B21" t="inlineStr">
        <is>
          <t>Unknown</t>
        </is>
      </c>
      <c r="C21" t="inlineStr">
        <is>
          <t>Software Engineer Internship</t>
        </is>
      </c>
      <c r="D21" t="inlineStr">
        <is>
          <t>https://in.jooble.org/desc/4492104147483982630?ckey=software+engineer+intern&amp;rgn=158289&amp;pos=2&amp;elckey=-7253105424082662809&amp;p=1&amp;aq=-519685724840293556&amp;cid=389&amp;jobAge=24&amp;brelb=100&amp;bscr=549.85657&amp;scr=549.85657</t>
        </is>
      </c>
      <c r="E21" t="inlineStr">
        <is>
          <t>AI Analyzer</t>
        </is>
      </c>
      <c r="F21" t="inlineStr">
        <is>
          <t>work from home</t>
        </is>
      </c>
      <c r="G21" t="inlineStr">
        <is>
          <t>Remote</t>
        </is>
      </c>
      <c r="H21" t="inlineStr">
        <is>
          <t>Not specified</t>
        </is>
      </c>
      <c r="I21" t="inlineStr">
        <is>
          <t>Unknown</t>
        </is>
      </c>
      <c r="J21" t="inlineStr">
        <is>
          <t>Not Mentioned</t>
        </is>
      </c>
      <c r="M21" t="inlineStr">
        <is>
          <t>&amp;nbsp;...accurate, secure and dependable, because people rely on it for financial decisions. As an &lt;b&gt;intern,&lt;/b&gt; you'll work with experienced &lt;b&gt;engineers &lt;/b&gt;on real product features and see how production &lt;b&gt;software &lt;/b&gt;is built in a finance-focused environment. What You'll Do Build, test and...&amp;nbsp;</t>
        </is>
      </c>
      <c r="N21" t="n">
        <v>48</v>
      </c>
      <c r="O21" t="n">
        <v>50</v>
      </c>
      <c r="P21" t="n">
        <v>60</v>
      </c>
      <c r="Q21" t="n">
        <v>70</v>
      </c>
      <c r="R21" t="n">
        <v>40</v>
      </c>
      <c r="S21" t="n">
        <v>0</v>
      </c>
      <c r="T21" t="n">
        <v>40</v>
      </c>
      <c r="U21" t="inlineStr">
        <is>
          <t>SKIP</t>
        </is>
      </c>
      <c r="V21" t="inlineStr">
        <is>
          <t>SKIP</t>
        </is>
      </c>
      <c r="X21" t="inlineStr">
        <is>
          <t>Standard Full Stack Resume</t>
        </is>
      </c>
      <c r="Y21" t="inlineStr">
        <is>
          <t>2026-10-02</t>
        </is>
      </c>
      <c r="Z21" t="inlineStr">
        <is>
          <t>Matches target role of Software Engineer Intern; Remote work mode fits candidate preferences</t>
        </is>
      </c>
      <c r="AA21" t="inlineStr">
        <is>
          <t>Eligible</t>
        </is>
      </c>
      <c r="AB21" t="inlineStr">
        <is>
          <t>No hard blockers found in the brief job description snippet.</t>
        </is>
      </c>
      <c r="AC21" t="inlineStr">
        <is>
          <t>Unknown</t>
        </is>
      </c>
      <c r="AD21" t="inlineStr">
        <is>
          <t>Candidate availability details are not provided in the career brain.</t>
        </is>
      </c>
      <c r="AE21" t="inlineStr">
        <is>
          <t>UNKNOWN</t>
        </is>
      </c>
      <c r="AF21" t="n">
        <v>0</v>
      </c>
      <c r="AG21" t="inlineStr">
        <is>
          <t>No</t>
        </is>
      </c>
      <c r="AH21" t="inlineStr">
        <is>
          <t>Not Mentioned</t>
        </is>
      </c>
      <c r="AI21" t="inlineStr">
        <is>
          <t>No mention of PPO or conversion in the job description snippet.</t>
        </is>
      </c>
      <c r="AK21" t="inlineStr">
        <is>
          <t>Extremely sparse job description lacking specific company name, tech stack, duration, and stipend details.</t>
        </is>
      </c>
      <c r="AL21" t="inlineStr">
        <is>
          <t>General Software Engineering principles; Finance-focused software reliability and security; Past internship projects</t>
        </is>
      </c>
    </row>
    <row r="22">
      <c r="A22" t="inlineStr">
        <is>
          <t>WML-BIOTECHN-261002-21</t>
        </is>
      </c>
      <c r="B22" t="inlineStr">
        <is>
          <t>wml biotechnology private limited</t>
        </is>
      </c>
      <c r="C22" t="inlineStr">
        <is>
          <t>Software Development Intern</t>
        </is>
      </c>
      <c r="D22" t="inlineStr">
        <is>
          <t>https://in.jooble.org/desc/4099831401602454673?ckey=software+development+intern&amp;rgn=3193&amp;pos=7&amp;elckey=5529337816818264932&amp;p=1&amp;aq=-6815303575864467061&amp;cid=389&amp;jobAge=377&amp;brelb=10&amp;bscr=1477.376&amp;scr=1477.376</t>
        </is>
      </c>
      <c r="E22" t="inlineStr">
        <is>
          <t>AI Analyzer</t>
        </is>
      </c>
      <c r="F22" t="inlineStr">
        <is>
          <t>Bangalore</t>
        </is>
      </c>
      <c r="G22" t="inlineStr">
        <is>
          <t>Hybrid</t>
        </is>
      </c>
      <c r="I22" t="inlineStr">
        <is>
          <t>UNKNOWN</t>
        </is>
      </c>
      <c r="J22" t="inlineStr">
        <is>
          <t>UNKNOWN</t>
        </is>
      </c>
      <c r="K22" t="inlineStr">
        <is>
          <t>Website Development; Software Development</t>
        </is>
      </c>
      <c r="L22" t="inlineStr">
        <is>
          <t>Agriculture management software; Sales and marketing software</t>
        </is>
      </c>
      <c r="M22" t="inlineStr">
        <is>
          <t>&amp;nbsp;...Selected &lt;b&gt;Intern'&lt;/b&gt;s Day-to-day Responsibilities Include Work on &lt;b&gt;software &lt;/b&gt;agriculture management. Work on software agriculture seeds sales Work on plant sales and marketing software 4: website &lt;b&gt;development &lt;/b&gt; About Company: We apply world-class science and the most...&amp;nbsp;</t>
        </is>
      </c>
      <c r="N22" t="n">
        <v>38</v>
      </c>
      <c r="O22" t="n">
        <v>50</v>
      </c>
      <c r="P22" t="n">
        <v>60</v>
      </c>
      <c r="Q22" t="n">
        <v>60</v>
      </c>
      <c r="R22" t="n">
        <v>0</v>
      </c>
      <c r="S22" t="n">
        <v>0</v>
      </c>
      <c r="T22" t="n">
        <v>20</v>
      </c>
      <c r="U22" t="inlineStr">
        <is>
          <t>SKIP</t>
        </is>
      </c>
      <c r="V22" t="inlineStr">
        <is>
          <t>SKIP</t>
        </is>
      </c>
      <c r="X22" t="inlineStr">
        <is>
          <t>Amaanuddin_Ahmed_Resume.pdf</t>
        </is>
      </c>
      <c r="Y22" t="inlineStr">
        <is>
          <t>2026-10-02</t>
        </is>
      </c>
      <c r="Z22" t="inlineStr">
        <is>
          <t>Located in Bangalore and offers a software development internship role.</t>
        </is>
      </c>
      <c r="AA22" t="inlineStr">
        <is>
          <t>ELIGIBLE</t>
        </is>
      </c>
      <c r="AB22" t="inlineStr">
        <is>
          <t>Location matches preferred location (Bengaluru).; Role aligns with Software Engineer Intern target.</t>
        </is>
      </c>
      <c r="AC22" t="inlineStr">
        <is>
          <t>UNKNOWN</t>
        </is>
      </c>
      <c r="AD22" t="inlineStr">
        <is>
          <t>Not specified in profile</t>
        </is>
      </c>
      <c r="AE22" t="inlineStr">
        <is>
          <t>UNKNOWN</t>
        </is>
      </c>
      <c r="AF22" t="n">
        <v>0</v>
      </c>
      <c r="AG22" t="inlineStr">
        <is>
          <t>No</t>
        </is>
      </c>
      <c r="AH22" t="inlineStr">
        <is>
          <t>UNKNOWN</t>
        </is>
      </c>
      <c r="AI22" t="inlineStr">
        <is>
          <t>No mention of PPO or conversion in the job description.</t>
        </is>
      </c>
      <c r="AK22" t="inlineStr">
        <is>
          <t>Extremely vague job description; No stipend information provided; Unclear duration and expectations</t>
        </is>
      </c>
      <c r="AL22" t="inlineStr">
        <is>
          <t>Website development experience; Past full-stack projects; Availability and internship duration</t>
        </is>
      </c>
    </row>
    <row r="23">
      <c r="A23" t="inlineStr">
        <is>
          <t>DODO-PAYMENT-261002-22</t>
        </is>
      </c>
      <c r="B23" t="inlineStr">
        <is>
          <t>dodo payments</t>
        </is>
      </c>
      <c r="C23" t="inlineStr">
        <is>
          <t>Developer Relations Intern</t>
        </is>
      </c>
      <c r="D23" t="inlineStr">
        <is>
          <t>https://in.jooble.org/desc/-6984745115447187577?ckey=software+development+intern&amp;rgn=3193&amp;pos=10&amp;elckey=5529337816818264932&amp;p=1&amp;aq=-6815303575864467061&amp;cid=389&amp;jobAge=593&amp;brelb=10&amp;bscr=1417.7041&amp;scr=1417.7041</t>
        </is>
      </c>
      <c r="E23" t="inlineStr">
        <is>
          <t>AI Analyzer</t>
        </is>
      </c>
      <c r="F23" t="inlineStr">
        <is>
          <t>Bangalore</t>
        </is>
      </c>
      <c r="G23" t="inlineStr">
        <is>
          <t>Unknown</t>
        </is>
      </c>
      <c r="H23" t="inlineStr">
        <is>
          <t>Not specified</t>
        </is>
      </c>
      <c r="I23" t="inlineStr">
        <is>
          <t>Unknown</t>
        </is>
      </c>
      <c r="J23" t="inlineStr">
        <is>
          <t>Not Mentioned</t>
        </is>
      </c>
      <c r="K23" t="inlineStr">
        <is>
          <t>communication; management; coding; crm systems; technical support; software development; apis; documentation; community engagement; workflow</t>
        </is>
      </c>
      <c r="M23" t="inlineStr">
        <is>
          <t>&amp;nbsp;...About Us Dodo Payments is an &lt;b&gt;international &lt;/b&gt;payments platform (Merchant-of-record) that enables digital-first businesses to collect...&amp;nbsp;&amp;nbsp;...communication,management,coding,crm systems,technical support,&lt;b&gt;software development,&lt;/b&gt;apis,documentation,community engagement,workflow...&amp;nbsp;</t>
        </is>
      </c>
      <c r="N23" t="n">
        <v>43</v>
      </c>
      <c r="O23" t="n">
        <v>50</v>
      </c>
      <c r="P23" t="n">
        <v>60</v>
      </c>
      <c r="Q23" t="n">
        <v>40</v>
      </c>
      <c r="R23" t="n">
        <v>0</v>
      </c>
      <c r="S23" t="n">
        <v>50</v>
      </c>
      <c r="T23" t="n">
        <v>50</v>
      </c>
      <c r="U23" t="inlineStr">
        <is>
          <t>SKIP</t>
        </is>
      </c>
      <c r="V23" t="inlineStr">
        <is>
          <t>SKIP</t>
        </is>
      </c>
      <c r="W23" t="inlineStr">
        <is>
          <t>developer relations; crm systems; community engagement; documentation writing</t>
        </is>
      </c>
      <c r="X23" t="inlineStr">
        <is>
          <t>Standard Full Stack Resume</t>
        </is>
      </c>
      <c r="Y23" t="inlineStr">
        <is>
          <t>2026-10-02</t>
        </is>
      </c>
      <c r="Z23" t="inlineStr">
        <is>
          <t>Located in Bangalore; Involves software development and API exposure</t>
        </is>
      </c>
      <c r="AA23" t="inlineStr">
        <is>
          <t>Eligible</t>
        </is>
      </c>
      <c r="AB23" t="inlineStr">
        <is>
          <t>Location matches preferred location (Bangalore); Student status matches MCA program requirements</t>
        </is>
      </c>
      <c r="AC23" t="inlineStr">
        <is>
          <t>Unknown</t>
        </is>
      </c>
      <c r="AD23" t="inlineStr">
        <is>
          <t>Availability not explicitly specified in candidate profile</t>
        </is>
      </c>
      <c r="AE23" t="inlineStr">
        <is>
          <t>UNKNOWN</t>
        </is>
      </c>
      <c r="AF23" t="n">
        <v>0</v>
      </c>
      <c r="AG23" t="inlineStr">
        <is>
          <t>No</t>
        </is>
      </c>
      <c r="AH23" t="inlineStr">
        <is>
          <t>Not Mentioned</t>
        </is>
      </c>
      <c r="AI23" t="inlineStr">
        <is>
          <t>No mention of Pre-Placement Offer or conversion in the job description</t>
        </is>
      </c>
      <c r="AK23" t="inlineStr">
        <is>
          <t>Vague job description snippet scraped from website; Role is Developer Relations rather than core Software Engineering/Development</t>
        </is>
      </c>
      <c r="AL23" t="inlineStr">
        <is>
          <t>Experience building APIs and software development; Communication and technical writing skills; Community engagement and developer advocacy experience</t>
        </is>
      </c>
    </row>
    <row r="24">
      <c r="A24" t="inlineStr">
        <is>
          <t>YOURFRIENDLY-261002-23</t>
        </is>
      </c>
      <c r="B24" t="inlineStr">
        <is>
          <t>yourfriendlyhr</t>
        </is>
      </c>
      <c r="C24" t="inlineStr">
        <is>
          <t>Zoho Developer Intern</t>
        </is>
      </c>
      <c r="D24" t="inlineStr">
        <is>
          <t>https://in.jooble.org/desc/-2978863733155308719?ckey=software+development+intern&amp;rgn=3193&amp;pos=12&amp;elckey=5529337816818264932&amp;p=1&amp;aq=-6815303575864467061&amp;cid=389&amp;jobAge=89&amp;brelb=10&amp;bscr=1373.0248&amp;scr=1373.0248</t>
        </is>
      </c>
      <c r="E24" t="inlineStr">
        <is>
          <t>AI Analyzer</t>
        </is>
      </c>
      <c r="F24" t="inlineStr">
        <is>
          <t>Bangalore</t>
        </is>
      </c>
      <c r="G24" t="inlineStr">
        <is>
          <t>Unknown</t>
        </is>
      </c>
      <c r="H24" t="inlineStr">
        <is>
          <t>Not specified</t>
        </is>
      </c>
      <c r="I24" t="inlineStr">
        <is>
          <t>Unknown</t>
        </is>
      </c>
      <c r="J24" t="inlineStr">
        <is>
          <t>NOT_MENTIONED</t>
        </is>
      </c>
      <c r="K24" t="inlineStr">
        <is>
          <t>Zoho Development</t>
        </is>
      </c>
      <c r="L24" t="inlineStr">
        <is>
          <t>Software Development; API Integrations</t>
        </is>
      </c>
      <c r="M24" t="inlineStr">
        <is>
          <t>&amp;nbsp;...practical, scalable digital solutions. They work across custom &lt;b&gt;software development,&lt;/b&gt; web and mobile applications, UI/UX, API integrations, and...&amp;nbsp;&amp;nbsp;...technology consulting. The company is looking for a Zoho Developer &lt;b&gt;Intern &lt;/b&gt;who is curious about technology, enjoys solving problems, and...&amp;nbsp;</t>
        </is>
      </c>
      <c r="N24" t="n">
        <v>24</v>
      </c>
      <c r="O24" t="n">
        <v>20</v>
      </c>
      <c r="P24" t="n">
        <v>40</v>
      </c>
      <c r="Q24" t="n">
        <v>40</v>
      </c>
      <c r="R24" t="n">
        <v>0</v>
      </c>
      <c r="S24" t="n">
        <v>0</v>
      </c>
      <c r="T24" t="n">
        <v>40</v>
      </c>
      <c r="U24" t="inlineStr">
        <is>
          <t>SKIP</t>
        </is>
      </c>
      <c r="V24" t="inlineStr">
        <is>
          <t>SKIP</t>
        </is>
      </c>
      <c r="W24" t="inlineStr">
        <is>
          <t>Zoho Development</t>
        </is>
      </c>
      <c r="X24" t="inlineStr">
        <is>
          <t>Amaanuddin_Ahmed_Resume.pdf</t>
        </is>
      </c>
      <c r="Y24" t="inlineStr">
        <is>
          <t>2026-10-02</t>
        </is>
      </c>
      <c r="Z24" t="inlineStr">
        <is>
          <t>Located in Bangalore; Internship role in software development</t>
        </is>
      </c>
      <c r="AA24" t="inlineStr">
        <is>
          <t>ELIGIBLE</t>
        </is>
      </c>
      <c r="AB24" t="inlineStr">
        <is>
          <t>Location matches preferred location (Bangalore/Bengaluru).</t>
        </is>
      </c>
      <c r="AC24" t="inlineStr">
        <is>
          <t>UNKNOWN</t>
        </is>
      </c>
      <c r="AD24" t="inlineStr">
        <is>
          <t>Availability dates not mentioned in candidate profile.</t>
        </is>
      </c>
      <c r="AE24" t="inlineStr">
        <is>
          <t>UNKNOWN</t>
        </is>
      </c>
      <c r="AF24" t="n">
        <v>0</v>
      </c>
      <c r="AG24" t="inlineStr">
        <is>
          <t>No</t>
        </is>
      </c>
      <c r="AH24" t="inlineStr">
        <is>
          <t>NOT_MENTIONED</t>
        </is>
      </c>
      <c r="AI24" t="inlineStr">
        <is>
          <t>No mention of PPO or conversion in the job description snippet.</t>
        </is>
      </c>
      <c r="AK24" t="inlineStr">
        <is>
          <t>Vague job description snippet missing stipend, duration, and explicit Zoho technology details.</t>
        </is>
      </c>
      <c r="AL24" t="inlineStr">
        <is>
          <t>Zoho ecosystem experience (Deluge, Creator, CRM); API integrations; Custom software development workflows</t>
        </is>
      </c>
    </row>
    <row r="25">
      <c r="A25" t="inlineStr">
        <is>
          <t>GLOBALFOUNDR-261002-24</t>
        </is>
      </c>
      <c r="B25" t="inlineStr">
        <is>
          <t>Globalfoundries Engineering Private Limited</t>
        </is>
      </c>
      <c r="C25" t="inlineStr">
        <is>
          <t>Intern - QA Engineer</t>
        </is>
      </c>
      <c r="D25" t="inlineStr">
        <is>
          <t>https://in.jooble.org/desc/-8396505595416879628?ckey=software+development+intern&amp;rgn=3193&amp;pos=20&amp;elckey=5529337816818264932&amp;p=1&amp;aq=-6815303575864467061&amp;cid=389&amp;jobAge=857&amp;brelb=10&amp;bscr=1229.8323&amp;scr=1229.8323</t>
        </is>
      </c>
      <c r="E25" t="inlineStr">
        <is>
          <t>AI Analyzer</t>
        </is>
      </c>
      <c r="F25" t="inlineStr">
        <is>
          <t>Bangalore</t>
        </is>
      </c>
      <c r="G25" t="inlineStr">
        <is>
          <t>Unknown</t>
        </is>
      </c>
      <c r="H25" t="inlineStr">
        <is>
          <t>Rs 2.5 - 5.5 lakhs p.a.</t>
        </is>
      </c>
      <c r="I25" t="inlineStr">
        <is>
          <t>Unknown</t>
        </is>
      </c>
      <c r="J25" t="inlineStr">
        <is>
          <t>NOT_MENTIONED</t>
        </is>
      </c>
      <c r="K25" t="inlineStr">
        <is>
          <t>Software QA methodologies; Software Development Life Cycle (SDLC); Object-oriented programming</t>
        </is>
      </c>
      <c r="M25" t="inlineStr">
        <is>
          <t>&amp;nbsp;...wide range of applications and with specific efficient solutions based on the AUT. Your Job: Good understanding of the &lt;b&gt;software development/&lt;/b&gt;test life cycle and quality assurance Strong knowledge of software QA methodologies tools and processes Strong, object-oriented...&amp;nbsp;</t>
        </is>
      </c>
      <c r="N25" t="n">
        <v>45</v>
      </c>
      <c r="O25" t="n">
        <v>40</v>
      </c>
      <c r="P25" t="n">
        <v>50</v>
      </c>
      <c r="Q25" t="n">
        <v>45</v>
      </c>
      <c r="R25" t="n">
        <v>0</v>
      </c>
      <c r="S25" t="n">
        <v>100</v>
      </c>
      <c r="T25" t="n">
        <v>60</v>
      </c>
      <c r="U25" t="inlineStr">
        <is>
          <t>SKIP</t>
        </is>
      </c>
      <c r="V25" t="inlineStr">
        <is>
          <t>SKIP</t>
        </is>
      </c>
      <c r="W25" t="inlineStr">
        <is>
          <t>Software QA methodologies; QA tools and processes</t>
        </is>
      </c>
      <c r="X25" t="inlineStr">
        <is>
          <t>Amaanuddin_Ahmed_Resume.pdf</t>
        </is>
      </c>
      <c r="Y25" t="inlineStr">
        <is>
          <t>2026-10-02</t>
        </is>
      </c>
      <c r="Z25" t="inlineStr">
        <is>
          <t>Stipend is attractive and meets expectations; Location is in Bangalore</t>
        </is>
      </c>
      <c r="AA25" t="inlineStr">
        <is>
          <t>ELIGIBLE</t>
        </is>
      </c>
      <c r="AB25" t="inlineStr">
        <is>
          <t>Location matches preferred location (Bangalore); Compensation meets minimum expectations</t>
        </is>
      </c>
      <c r="AC25" t="inlineStr">
        <is>
          <t>UNKNOWN</t>
        </is>
      </c>
      <c r="AD25" t="inlineStr">
        <is>
          <t>Availability constraints not specified in profile</t>
        </is>
      </c>
      <c r="AE25" t="inlineStr">
        <is>
          <t>EXPLICIT</t>
        </is>
      </c>
      <c r="AF25" t="n">
        <v>250000</v>
      </c>
      <c r="AG25" t="inlineStr">
        <is>
          <t>No</t>
        </is>
      </c>
      <c r="AH25" t="inlineStr">
        <is>
          <t>NOT_MENTIONED</t>
        </is>
      </c>
      <c r="AI25" t="inlineStr">
        <is>
          <t>No mention of PPO or conversion in the short job description.</t>
        </is>
      </c>
      <c r="AK25" t="inlineStr">
        <is>
          <t>Role is QA Engineer whereas target roles are focused on Software Development and Full Stack/Backend Engineering</t>
        </is>
      </c>
      <c r="AL25" t="inlineStr">
        <is>
          <t>Software Testing Life Cycle (STLC); QA Methodologies and Tools; Object-Oriented Programming principles</t>
        </is>
      </c>
    </row>
    <row r="26">
      <c r="A26" t="inlineStr">
        <is>
          <t>EMO.ENERGY-261002-25</t>
        </is>
      </c>
      <c r="B26" t="inlineStr">
        <is>
          <t>emo.energy</t>
        </is>
      </c>
      <c r="C26" t="inlineStr">
        <is>
          <t>Full-Stack Developer</t>
        </is>
      </c>
      <c r="D26" t="inlineStr">
        <is>
          <t>https://in.jooble.org/desc/3071963684124717842?ckey=full+stack+developer+intern&amp;rgn=3193&amp;pos=1&amp;elckey=-5710832383287184165&amp;p=1&amp;aq=-6539674257181197563&amp;cid=389&amp;jobAge=593&amp;brelb=10&amp;bscr=1443.3765&amp;scr=1443.3765</t>
        </is>
      </c>
      <c r="E26" t="inlineStr">
        <is>
          <t>AI Analyzer</t>
        </is>
      </c>
      <c r="F26" t="inlineStr">
        <is>
          <t>Bangalore</t>
        </is>
      </c>
      <c r="G26" t="inlineStr">
        <is>
          <t>On-site</t>
        </is>
      </c>
      <c r="H26" t="inlineStr">
        <is>
          <t>Not specified</t>
        </is>
      </c>
      <c r="I26" t="inlineStr">
        <is>
          <t>Not specified</t>
        </is>
      </c>
      <c r="J26" t="inlineStr">
        <is>
          <t>UNKNOWN</t>
        </is>
      </c>
      <c r="K26" t="inlineStr">
        <is>
          <t>JavaScript; HTML5; CSS3; React; Angular; Express.js; Node.js; MongoDB; MySQL; Git</t>
        </is>
      </c>
      <c r="L26" t="inlineStr">
        <is>
          <t>Tailwind; Vue.js; Python</t>
        </is>
      </c>
      <c r="M26"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 Full-Stack Developer
emo.energy
[Bangalore](https://in.jooble.org/jobs/Bangalore)
[Apply](https://in.jooble.org/away/3071963684124717842?p=1&amp;pos=0&amp;rgn=3193&amp;pageType=7&amp;cid=389&amp;jobAge=593&amp;scr=1443.3765&amp;bscr=1443.3765&amp;jdpSource=101&amp;jdpid=7953237669736068066&amp;crId=IN_6807728852492805051IN_3193)
This position requires local presence. Please view similar jobs below.
**Position: Full-Stack Developer**
**Location:  Bangalore**
**About Us**
**At EMO Energy, we're a fast-moving deep-tech startup revolutionizing the electric mobility space. We are building a complete end-to-end EV technology stack from high-performance battery systems to intelligent control electronics powering the next generation of electric vehicles. We thrive on innovation, speed, and real-world impact, building products from the ground up. If you want to build, scale, and own products that change how the world moves, this is your stage.**
**Job Summary**
**We're looking for a passionate Full-Stack Developer (Intern or Entry Level: 0–2 years) who can work with minimal guidance. You will primarily focus on front-end development while also contributing to back-end functionalities. Your role will involve building, maintaining, and improving both web applications and supporting backend systems.**
**What You Will Do**
**- Design, develop, and optimize responsive, user-friendly front-end interfaces using modern web technologies (React, Angular, Tailwind, Vue.js).**
**- Collaborate with designers, product managers, and engineering teams to understand requirements and deliver intuitive UI/UX.**
**- Implement interactive, modular, and reusable UI components ensuring consistency across devices and platforms.**
**- Optimize front-end performance for speed, scalability, and responsiveness.**
**- Work with back-end technologies (Express.js, Node.js, Python) to integrate APIs and support full-stack functionality.**
**- Assist in building and maintaining backend services, databases, and API endpoints as needed.**
**- Debug and troubleshoot both front-end and basic back-end issues, identifying root causes and implementing fixes.**
**- Maintain clean, well-documented, and structured code with clear project documentation and tech guides.**
**- Take ownership of tasks and modules, handling them with minimal supervision.**
**- Continuously learn and stay updated with the latest trends, tools, and best practices in full-stack development.**
**- Support ongoing maintenance and enhancement of internal tools, dashboards, apps, and website features.**
**What We're Looking For**
**- Currently pursuing or completed a Bachelor's/Master's degree in Computer Science, Software Engineering, or related fields.**
**- Proficiency in front-end technologies (HTML5, CSS3, Tailwind, JavaScript) and at least one major framework (React, Angular, or Vue.js).**
**- Basic working knowledge of back-end technologies (Express.js, Python) and RESTful API integration.**
**- Understanding of databases (MongoDB/MySQL) and basic schema concepts.**
**- Familiarity with Git and collaborative workflows and Strong debugging, analytical, and problem-solving skills.**
**- Ability to work independently with minimal guidance as well as collaborate effectively in a team environment.**
**- Eagerness to learn, adapt quickly, and take ownership of tasks in a fast-paced startup setting.**
**Why Join Us**
**- Be at the forefront of EV innovation, building technology that drives the future of mobility.**
**- Opportunity to own and lead modules end-to-end from idea to deployment.**
**- Fast-paced environment with immense learning and growth potential.**
**- Work with a world-class team of engineers, innovators, and problem-solvers.**
**- Competitive compensation with equity </t>
        </is>
      </c>
      <c r="N26" t="n">
        <v>78</v>
      </c>
      <c r="O26" t="n">
        <v>90</v>
      </c>
      <c r="P26" t="n">
        <v>85</v>
      </c>
      <c r="Q26" t="n">
        <v>90</v>
      </c>
      <c r="R26" t="n">
        <v>50</v>
      </c>
      <c r="S26" t="n">
        <v>50</v>
      </c>
      <c r="T26" t="n">
        <v>85</v>
      </c>
      <c r="U26" t="inlineStr">
        <is>
          <t>CONSIDER</t>
        </is>
      </c>
      <c r="V26" t="inlineStr">
        <is>
          <t>CONSIDER</t>
        </is>
      </c>
      <c r="W26" t="inlineStr">
        <is>
          <t>Tailwind; Vue.js</t>
        </is>
      </c>
      <c r="X26" t="inlineStr">
        <is>
          <t>Default Full-Stack / Angular Resume</t>
        </is>
      </c>
      <c r="Y26" t="inlineStr">
        <is>
          <t>2026-10-02</t>
        </is>
      </c>
      <c r="Z26" t="inlineStr">
        <is>
          <t>Strong technical alignment with demonstrated Angular, Node.js, Express, and MySQL/MongoDB experience; Local presence in Bangalore satisfying the on-site requirement; Exciting deep-tech startup environment in the EV space offering hands-on full-stack ownership</t>
        </is>
      </c>
      <c r="AA26" t="inlineStr">
        <is>
          <t>ELIGIBLE</t>
        </is>
      </c>
      <c r="AB26" t="inlineStr">
        <is>
          <t>Currently pursuing Master's in Computer Science (MCA) matching the degree requirements; Local presence in Bangalore matches the location requirement</t>
        </is>
      </c>
      <c r="AC26" t="inlineStr">
        <is>
          <t>UNKNOWN</t>
        </is>
      </c>
      <c r="AD26" t="inlineStr">
        <is>
          <t>Not specified in candidate profile</t>
        </is>
      </c>
      <c r="AE26" t="inlineStr">
        <is>
          <t>UNKNOWN</t>
        </is>
      </c>
      <c r="AF26" t="n">
        <v>0</v>
      </c>
      <c r="AG26" t="inlineStr">
        <is>
          <t>No</t>
        </is>
      </c>
      <c r="AH26" t="inlineStr">
        <is>
          <t>UNKNOWN</t>
        </is>
      </c>
      <c r="AI26" t="inlineStr">
        <is>
          <t>Not explicitly mentioned in the job description</t>
        </is>
      </c>
      <c r="AL26" t="inlineStr">
        <is>
          <t>Angular and React architectural patterns; RESTful API design and database optimization with MySQL/MongoDB; Previous full-stack production and POS system development experience at Sunflower Trip</t>
        </is>
      </c>
    </row>
    <row r="27">
      <c r="A27" t="inlineStr">
        <is>
          <t>PANIKCURE-261002-26</t>
        </is>
      </c>
      <c r="B27" t="inlineStr">
        <is>
          <t>panikcure</t>
        </is>
      </c>
      <c r="C27" t="inlineStr">
        <is>
          <t>Full Stack Developer Intern</t>
        </is>
      </c>
      <c r="D27" t="inlineStr">
        <is>
          <t>https://in.jooble.org/desc/-3123247519826094573?ckey=full+stack+developer+intern&amp;rgn=3193&amp;pos=2&amp;elckey=-5710832383287184165&amp;p=1&amp;aq=-6539674257181197563&amp;cid=389&amp;jobAge=593&amp;brelb=10&amp;bscr=1436.4996&amp;scr=1436.4996</t>
        </is>
      </c>
      <c r="E27" t="inlineStr">
        <is>
          <t>AI Analyzer</t>
        </is>
      </c>
      <c r="F27" t="inlineStr">
        <is>
          <t>Bangalore</t>
        </is>
      </c>
      <c r="G27" t="inlineStr">
        <is>
          <t>Remote</t>
        </is>
      </c>
      <c r="H27" t="inlineStr">
        <is>
          <t>Paid</t>
        </is>
      </c>
      <c r="I27" t="inlineStr">
        <is>
          <t>8-12 weeks</t>
        </is>
      </c>
      <c r="J27" t="inlineStr">
        <is>
          <t>NO_MENTION</t>
        </is>
      </c>
      <c r="K27" t="inlineStr">
        <is>
          <t>React.js; Next.js; Node.js; Firebase; Supabase; REST APIs; Figma</t>
        </is>
      </c>
      <c r="L27" t="inlineStr">
        <is>
          <t>JSON; Vercel; Netlify</t>
        </is>
      </c>
      <c r="M27"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Full-Stack Developer
emo.energy
[Bangalore](https://in.jooble.org/jobs/Bangalore)
[Apply](https://in.jooble.org/away/3071963684124717842?p=1&amp;pos=0&amp;rgn=3193&amp;pageType=7&amp;cid=389&amp;jobAge=593&amp;scr=1443.3765&amp;bscr=1443.3765&amp;jdpSource=101&amp;jdpid=-7164771931138052305&amp;crId=IN_6807728852492805051IN_3193)
This position requires local presence. Please view similar jobs below.
**Position: Full-Stack Developer**
**Location:  Bangalore**
**About Us**
**At EMO Energy, we're a fast-moving deep-tech startup revolutionizing the electric mobility space. We are building a complete end-to-end EV technology stack from high-performance battery systems to intelligent control electronics powering the next generation of electric vehicles. We thrive on innovation, speed, and real-world impact, building products from the ground up. If you want to build, scale, and own products that change how the world moves, this is your stage.**
**Job Summary**
**We're looking for a passionate Full-Stack Developer (Intern or Entry Level: 0–2 years) who can work with minimal guidance. You will primarily focus on front-end development while also contributing to back-end functionalities. Your role will involve building, maintaining, and improving both web applications and supporting backend systems.**
**What You Will Do**
**- Design, develop, and optimize responsive, user-friendly front-end interfaces using modern web technologies (React, Angular, Tailwind, Vue.js).**
**- Collaborate with designers, product managers, and engineering teams to understand requirements and deliver intuitive UI/UX.**
**- Implement interactive, modular, and reusable UI components ensuring consistency across devices and platforms.**
**- Optimize front-end performance for speed, scalability, and responsiveness.**
**- Work with back-end technologies (Express.js, Node.js, Python) to integrate APIs and support full-stack functionality.**
**- Assist in building and maintaining backend services, databases, and API endpoints as needed.**
**- Debug and troubleshoot both front-end and basic back-end issues, identifying root causes and implementing fixes.**
**- Maintain clean, well-documented, and structured code with clear project documentation and tech guides.**
**- Take ownership of tasks and modules, handling them with minimal supervision.**
**- Continuously learn and stay updated with the latest trends, tools, and best practices in full-stack development.**
**- Support ongoing maintenance and enhancement of internal tools, dashboards, apps, and website features.**
**What We're Looking For**
**- Currently pursuing or completed a Bachelor's/Master's degree in Computer Science, Software Engineering, or related fields.**
**- Proficiency in front-end technologies (HTML5, CSS3, Tailwind, JavaScript) and at least one major framework (React, Angular, or Vue.js).**
**- Basic working knowledge of back-end technologies (Express.js, Python) and RESTful API integration.**
**- Understanding of databases (MongoDB/MySQL) and basic schema concepts.**
**- Familiarity with Git and collaborative workflows and Strong debugging, analytical, and problem-solving skills.**
**- Ability to work independently with minimal guidance as well as collaborate effectively in a team environment.**
**- Eagerness to learn, adapt quickly, and take ownership of tasks in a fast-paced startup setting.**
**Why Join Us**
**- Be at the forefront of EV innovation, building technology that drives the future of mobility.**
**- Opportunity to own and lead modules end-to-end from idea to deployment.**
**- Fast-paced environment with immense learning and growth potential.**
**- Work with a world-class team of engineers, innovators, and problem-solvers.**
**- Competitive compensation with equity o</t>
        </is>
      </c>
      <c r="N27" t="n">
        <v>69</v>
      </c>
      <c r="O27" t="n">
        <v>75</v>
      </c>
      <c r="P27" t="n">
        <v>80</v>
      </c>
      <c r="Q27" t="n">
        <v>90</v>
      </c>
      <c r="R27" t="n">
        <v>40</v>
      </c>
      <c r="S27" t="n">
        <v>50</v>
      </c>
      <c r="T27" t="n">
        <v>60</v>
      </c>
      <c r="U27" t="inlineStr">
        <is>
          <t>STRETCH</t>
        </is>
      </c>
      <c r="V27" t="inlineStr">
        <is>
          <t>STRETCH</t>
        </is>
      </c>
      <c r="W27" t="inlineStr">
        <is>
          <t>React.js; Next.js; Firebase; Supabase; Netlify</t>
        </is>
      </c>
      <c r="X27" t="inlineStr">
        <is>
          <t>Default Full Stack / MERN Resume</t>
        </is>
      </c>
      <c r="Y27" t="inlineStr">
        <is>
          <t>2026-10-02</t>
        </is>
      </c>
      <c r="Z27" t="inlineStr">
        <is>
          <t>Matches target Full Stack Developer Intern role perfectly.; Flexible remote hours and short duration (8-12 weeks) fit well around academic schedule.</t>
        </is>
      </c>
      <c r="AA27" t="inlineStr">
        <is>
          <t>ELIGIBLE</t>
        </is>
      </c>
      <c r="AB27" t="inlineStr">
        <is>
          <t>Candidate is a student pursuing an MCA degree making them eligible for student/graduate internships.; No hard blockers found.</t>
        </is>
      </c>
      <c r="AC27" t="inlineStr">
        <is>
          <t>UNKNOWN</t>
        </is>
      </c>
      <c r="AD27" t="inlineStr">
        <is>
          <t>Candidate availability dates are not specified relative to the start date.</t>
        </is>
      </c>
      <c r="AE27" t="inlineStr">
        <is>
          <t>UNKNOWN</t>
        </is>
      </c>
      <c r="AF27" t="n">
        <v>0</v>
      </c>
      <c r="AG27" t="inlineStr">
        <is>
          <t>No</t>
        </is>
      </c>
      <c r="AH27" t="inlineStr">
        <is>
          <t>NO_MENTION</t>
        </is>
      </c>
      <c r="AI27" t="inlineStr">
        <is>
          <t>The job description does not mention conversion to a full-time role (PPO).</t>
        </is>
      </c>
      <c r="AK27" t="inlineStr">
        <is>
          <t>Stipend amount is undisclosed ('Paid'); Early-stage innovation project with unclear longevity</t>
        </is>
      </c>
      <c r="AL27" t="inlineStr">
        <is>
          <t>React.js and Node.js integration experience; Figma mockup translation workflow; Experience with serverless databases like Firebase or Supabase</t>
        </is>
      </c>
    </row>
    <row r="28">
      <c r="A28" t="inlineStr">
        <is>
          <t>EMO.ENERGY-261002-27</t>
        </is>
      </c>
      <c r="B28" t="inlineStr">
        <is>
          <t>emo.energy</t>
        </is>
      </c>
      <c r="C28" t="inlineStr">
        <is>
          <t>Full-Stack Developer Intern</t>
        </is>
      </c>
      <c r="D28" t="inlineStr">
        <is>
          <t>https://in.jooble.org/desc/-2588912263494949841?ckey=full+stack+developer+intern&amp;rgn=3193&amp;pos=3&amp;elckey=-5710832383287184165&amp;p=1&amp;aq=-6539674257181197563&amp;cid=389&amp;jobAge=593&amp;brelb=10&amp;bscr=1369.7357&amp;scr=1369.7357</t>
        </is>
      </c>
      <c r="E28" t="inlineStr">
        <is>
          <t>AI Analyzer</t>
        </is>
      </c>
      <c r="F28" t="inlineStr">
        <is>
          <t>Bangalore</t>
        </is>
      </c>
      <c r="G28" t="inlineStr">
        <is>
          <t>On-site</t>
        </is>
      </c>
      <c r="H28" t="inlineStr">
        <is>
          <t>Paid internship (exact amount not specified)</t>
        </is>
      </c>
      <c r="I28" t="inlineStr">
        <is>
          <t>Not specified</t>
        </is>
      </c>
      <c r="J28" t="inlineStr">
        <is>
          <t>NOT_MENTIONED</t>
        </is>
      </c>
      <c r="K28" t="inlineStr">
        <is>
          <t>HTML5; CSS3; JavaScript; React; Angular; Vue.js; Node.js; Python; Git</t>
        </is>
      </c>
      <c r="L28" t="inlineStr">
        <is>
          <t>UI/UX design principles; Tailwind CSS; Bootstrap; AWS; Azure; Docker; Agile or Scrum</t>
        </is>
      </c>
      <c r="M28"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 Stack Developer Intern
panikcure
[Bangalore](https://in.jooble.org/jobs/Bangalore)
[Apply](https://in.jooble.org/away/-3123247519826094573?p=1&amp;pos=0&amp;rgn=3193&amp;pageType=7&amp;cid=389&amp;jobAge=593&amp;scr=1436.4996&amp;bscr=1436.4996&amp;jdpSource=101&amp;jdpid=8195190032022226080&amp;crId=IN_6807728852492805051IN_3193)
This position requires local presence. Please view similar jobs below.
_Panikcure™_ is an early-stage innovation project exploring AI-driven, non-addictive mental-health solutions.
We're looking for a **Full Stack Developer Intern** . You'll work closely with a small, cross-functional team to turn UI/UX designs into a functional web product that demonstrates the platform's core concept.
**Who We're Looking For**
Students or recent grads with:
- Proficiency in **React.js / Next.js / Node.js**
- Familiarity with **Firebase / Supabase** (auth + database)
- Strong understanding of **frontend–backend integration**
- Experience with **REST APIs, JSON, hosting on Vercel/Netlify**
- Ability to work from **Figma mockups** and follow design guidelines
**Details:**
- Duration: 8–12 weeks (remote, flexible hours)
- Stipend: Paid
To Apply, send your portfolio + 1-page resume to **\[HIDDEN TEXT\]** with the subject:
_'_ Full Stack Developer Intern _– \[Your Name\]'_
[Apply](https://in.jooble.org/away/-3123247519826094573?p=1&amp;pos=0&amp;rgn=3193&amp;pageType=7&amp;cid=389&amp;jobAge=593&amp;scr=1436.4996&amp;bscr=1436.4996&amp;jdpSource=101&amp;jdpid=8195190032022226080&amp;crId=IN_6807728852492805051IN_3193)
# Full-Stack Developer Intern
emo.energy
[Bangalore](https://in.jooble.org/jobs/Bangalore)
[Apply](https://in.jooble.org/away/-2588912263494949841?p=1&amp;pos=0&amp;rgn=3193&amp;pageType=7&amp;cid=389&amp;jobAge=593&amp;scr=1369.7357&amp;bscr=1369.7357&amp;jdpSource=101&amp;jdpid=549999956158650884&amp;crId=IN_6807728852492805051IN_3193)
This position requires local presence. Please view similar jobs below.
**About Us**
**At EMO Energy, we are a dynamic deep-tech startup revolutionizing the future of mobility by building a comprehensive end-to-end EV Stack. From high-performance battery systems to cutting-edge control electronics, we are creating the building blocks of next-generation electric vehicles. As we expand rapidly, we're looking for driven and passionate individuals to join our mission of enabling sustainable and electrified transportation.**
**Job Overview**
**As a Full-Stack Developer Intern, you will work primarily on front-end development while also gaining exposure to back-end technologies. Your main focus will be designing, developing, and optimizing user-friendly web-based interfaces, while also supporting back-end integration as needed.**
**Key Responsibilities**
**- Design, develop, and optimize responsive, user-friendly front-end interfaces using modern web technologies (React, Angular, Vue.js).**
**- Collaborate with cross-functional teams, including designers and product managers, to understand requirements and deliver intuitive user interfaces.**
**- Implement interactive and dynamic UI components, ensuring consistent user experience across platforms.**
**- Optimize front-end performance for speed, scalability, and responsiveness.**
**- Work with back-end technologies (Node.js, Python) to integrate APIs and support full-stack functionality.**
**- Debug and troubleshoot both front-end and basic back-end issues, identifying and fixing bugs.**
**- Maintain clear and organized project documentation, including code comments and technical guides.**
**- Continuously learn about the latest trends and best practices in front-end and full-stack development.**
**Qualifications**
**- Currently pursuing a Bachelor's or Master's degree in Computer Science, Software Engineering, or a related field.**
**- Proficiency in front-end technologies (</t>
        </is>
      </c>
      <c r="N28" t="n">
        <v>72</v>
      </c>
      <c r="O28" t="n">
        <v>80</v>
      </c>
      <c r="P28" t="n">
        <v>85</v>
      </c>
      <c r="Q28" t="n">
        <v>90</v>
      </c>
      <c r="R28" t="n">
        <v>40</v>
      </c>
      <c r="S28" t="n">
        <v>50</v>
      </c>
      <c r="T28" t="n">
        <v>70</v>
      </c>
      <c r="U28" t="inlineStr">
        <is>
          <t>CONSIDER</t>
        </is>
      </c>
      <c r="V28" t="inlineStr">
        <is>
          <t>CONSIDER</t>
        </is>
      </c>
      <c r="W28" t="inlineStr">
        <is>
          <t>React; Vue.js; Python</t>
        </is>
      </c>
      <c r="X28" t="inlineStr">
        <is>
          <t>Standard Full Stack / Angular &amp; Node.js focused resume</t>
        </is>
      </c>
      <c r="Y28" t="inlineStr">
        <is>
          <t>2026-10-02</t>
        </is>
      </c>
      <c r="Z28" t="inlineStr">
        <is>
          <t>Matches target role for Full Stack Developer Intern in Bengaluru with local presence requirement met.; Good alignment with core demonstrated skills like Angular, Node.js, and Git.; Deep-tech startup in the EV space provides solid learning and domain exposure.</t>
        </is>
      </c>
      <c r="AA28" t="inlineStr">
        <is>
          <t>ELIGIBLE</t>
        </is>
      </c>
      <c r="AB28" t="inlineStr">
        <is>
          <t>Currently pursuing Master's degree in Computer Science or related field (MCA at PES University)</t>
        </is>
      </c>
      <c r="AC28" t="inlineStr">
        <is>
          <t>UNKNOWN</t>
        </is>
      </c>
      <c r="AD28" t="inlineStr">
        <is>
          <t>Candidate availability dates are not specified in the career brain against the job timeline.</t>
        </is>
      </c>
      <c r="AE28" t="inlineStr">
        <is>
          <t>UNKNOWN</t>
        </is>
      </c>
      <c r="AF28" t="n">
        <v>0</v>
      </c>
      <c r="AG28" t="inlineStr">
        <is>
          <t>No</t>
        </is>
      </c>
      <c r="AH28" t="inlineStr">
        <is>
          <t>NOT_MENTIONED</t>
        </is>
      </c>
      <c r="AI28" t="inlineStr">
        <is>
          <t>No mention of a Pre-Placement Offer (PPO) or conversion in the job description.</t>
        </is>
      </c>
      <c r="AK28" t="inlineStr">
        <is>
          <t>Stipend amount is undisclosed ('Paid' without numbers)</t>
        </is>
      </c>
      <c r="AL28" t="inlineStr">
        <is>
          <t>Full-stack integration using Node.js and frontend frameworks; RESTful API design and database integration; Git workflow and version control best practices; Previous full-stack project architecture (Sunflower Trip or Restaurant POS)</t>
        </is>
      </c>
    </row>
    <row r="29">
      <c r="A29" t="inlineStr">
        <is>
          <t>TRADEGOSPEL-261002-28</t>
        </is>
      </c>
      <c r="B29" t="inlineStr">
        <is>
          <t>tradegospel</t>
        </is>
      </c>
      <c r="C29" t="inlineStr">
        <is>
          <t>Full Stack Developer Intern</t>
        </is>
      </c>
      <c r="D29" t="inlineStr">
        <is>
          <t>https://in.jooble.org/desc/-4062499930695493919?ckey=full+stack+developer+intern&amp;rgn=3193&amp;pos=4&amp;elckey=-5710832383287184165&amp;p=1&amp;aq=-6539674257181197563&amp;cid=389&amp;jobAge=857&amp;brelb=10&amp;bscr=1308.4613&amp;scr=1308.4613</t>
        </is>
      </c>
      <c r="E29" t="inlineStr">
        <is>
          <t>AI Analyzer</t>
        </is>
      </c>
      <c r="F29" t="inlineStr">
        <is>
          <t>Bengaluru</t>
        </is>
      </c>
      <c r="G29" t="inlineStr">
        <is>
          <t>Remote</t>
        </is>
      </c>
      <c r="H29" t="inlineStr">
        <is>
          <t>5,000 per month</t>
        </is>
      </c>
      <c r="I29" t="inlineStr">
        <is>
          <t>3 months</t>
        </is>
      </c>
      <c r="J29" t="inlineStr">
        <is>
          <t>not_mentioned</t>
        </is>
      </c>
      <c r="K29" t="inlineStr">
        <is>
          <t>React.js; Next.js; Node.js; MongoDB; Postman; AWS; Git; GitHub</t>
        </is>
      </c>
      <c r="M29"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Full-Stack Developer Intern
emo.energy
[Bangalore](https://in.jooble.org/jobs/Bangalore)
[Apply](https://in.jooble.org/away/-2588912263494949841?p=1&amp;pos=0&amp;rgn=3193&amp;pageType=7&amp;cid=389&amp;jobAge=593&amp;scr=1369.7357&amp;bscr=1369.7357&amp;jdpSource=101&amp;jdpid=4464405208634502770&amp;crId=IN_6807728852492805051IN_3193)
This position requires local presence. Please view similar jobs below.
**About Us**
**At EMO Energy, we are a dynamic deep-tech startup revolutionizing the future of mobility by building a comprehensive end-to-end EV Stack. From high-performance battery systems to cutting-edge control electronics, we are creating the building blocks of next-generation electric vehicles. As we expand rapidly, we're looking for driven and passionate individuals to join our mission of enabling sustainable and electrified transportation.**
**Job Overview**
**As a Full-Stack Developer Intern, you will work primarily on front-end development while also gaining exposure to back-end technologies. Your main focus will be designing, developing, and optimizing user-friendly web-based interfaces, while also supporting back-end integration as needed.**
**Key Responsibilities**
**- Design, develop, and optimize responsive, user-friendly front-end interfaces using modern web technologies (React, Angular, Vue.js).**
**- Collaborate with cross-functional teams, including designers and product managers, to understand requirements and deliver intuitive user interfaces.**
**- Implement interactive and dynamic UI components, ensuring consistent user experience across platforms.**
**- Optimize front-end performance for speed, scalability, and responsiveness.**
**- Work with back-end technologies (Node.js, Python) to integrate APIs and support full-stack functionality.**
**- Debug and troubleshoot both front-end and basic back-end issues, identifying and fixing bugs.**
**- Maintain clear and organized project documentation, including code comments and technical guides.**
**- Continuously learn about the latest trends and best practices in front-end and full-stack development.**
**Qualifications**
**- Currently pursuing a Bachelor's or Master's degree in Computer Science, Software Engineering, or a related field.**
**- Proficiency in front-end technologies (HTML5, CSS3, JavaScript) and frameworks (React, Angular, or Vue.js).**
**- Basic knowledge of back-end technologies (Node.js, Python) and RESTful API integration.**
**- Familiarity with version control systems (Git).**
**- Strong debugging and problem-solving skills.**
**- Ability to work both independently and as part of a team.**
**Preferred Skills**
**- Experience with UI/UX design principles.**
**- Familiarity with CSS frameworks (Tailwind CSS, Bootstrap).**
**- Basic knowledge of cloud platforms (AWS, Azure) and containerization (Docker).**
**- Understanding of Agile or Scrum methodologies.**
**Note:  This is a paid internship.Skills: node.js,scrum,interfaces,tailwind css,react,agile,docker,bootstrap,git,python,ui/ux design principles,azure,ui/ux design,platforms,javascript,css,angular,aws,vue.js,restful api,css3,html5**
[Apply](https://in.jooble.org/away/-2588912263494949841?p=1&amp;pos=0&amp;rgn=3193&amp;pageType=7&amp;cid=389&amp;jobAge=593&amp;scr=1369.7357&amp;bscr=1369.7357&amp;jdpSource=101&amp;jdpid=4464405208634502770&amp;crId=IN_6807728852492805051IN_3193)
# Full Stack Developer Intern
tradegospel
[Bangalore](https://in.jooble.org/jobs/Bangalore)
[Apply](https://in.jooble.org/away/-4062499930695493919?p=1&amp;pos=0&amp;rgn=3193&amp;pageType=7&amp;cid=389&amp;jobAge=857&amp;scr=1308.4613&amp;bscr=1308.4613&amp;jdpSource=101&amp;jdpid=5140140488545080124&amp;crId=IN_6807728852492805051IN_3193)
This position requires local presence. Please view similar jobs below.
About the job
At **TradeGospel** ( we are building techno</t>
        </is>
      </c>
      <c r="N29" t="n">
        <v>49</v>
      </c>
      <c r="O29" t="n">
        <v>60</v>
      </c>
      <c r="P29" t="n">
        <v>70</v>
      </c>
      <c r="Q29" t="n">
        <v>80</v>
      </c>
      <c r="R29" t="n">
        <v>0</v>
      </c>
      <c r="S29" t="n">
        <v>10</v>
      </c>
      <c r="T29" t="n">
        <v>40</v>
      </c>
      <c r="U29" t="inlineStr">
        <is>
          <t>SKIP</t>
        </is>
      </c>
      <c r="V29" t="inlineStr">
        <is>
          <t>SKIP</t>
        </is>
      </c>
      <c r="W29" t="inlineStr">
        <is>
          <t>Next.js; Postman; AWS</t>
        </is>
      </c>
      <c r="X29" t="inlineStr">
        <is>
          <t>Amaanuddin_Ahmed_Resume.pdf</t>
        </is>
      </c>
      <c r="Y29" t="inlineStr">
        <is>
          <t>2026-10-02</t>
        </is>
      </c>
      <c r="Z29" t="inlineStr">
        <is>
          <t>Matches target role of Full Stack Developer Intern; Gives exposure to React and Node stack</t>
        </is>
      </c>
      <c r="AA29" t="inlineStr">
        <is>
          <t>eligible</t>
        </is>
      </c>
      <c r="AB29" t="inlineStr">
        <is>
          <t>Currently pursuing an eligible degree in Computer Science or related field; Meets general education and background requirements</t>
        </is>
      </c>
      <c r="AC29" t="inlineStr">
        <is>
          <t>unknown</t>
        </is>
      </c>
      <c r="AD29" t="inlineStr">
        <is>
          <t>Availability not explicitly stated in candidate profile</t>
        </is>
      </c>
      <c r="AE29" t="inlineStr">
        <is>
          <t>below_target</t>
        </is>
      </c>
      <c r="AF29" t="n">
        <v>5000</v>
      </c>
      <c r="AG29" t="inlineStr">
        <is>
          <t>No</t>
        </is>
      </c>
      <c r="AH29" t="inlineStr">
        <is>
          <t>not_mentioned</t>
        </is>
      </c>
      <c r="AI29" t="inlineStr">
        <is>
          <t>No mention of PPO or conversion in the job description</t>
        </is>
      </c>
      <c r="AK29" t="inlineStr">
        <is>
          <t>Stipend of 5,000 per month is significantly below the candidate's minimum target of 25,000 per month; Low opportunity quality and low stipend</t>
        </is>
      </c>
      <c r="AL29" t="inlineStr">
        <is>
          <t>React.js and Next.js fundamentals; Node.js and MongoDB database operations; API testing with Postman; Basic deployment and management on AWS</t>
        </is>
      </c>
    </row>
    <row r="30">
      <c r="A30" t="inlineStr">
        <is>
          <t>RP-INFOCARE--261002-29</t>
        </is>
      </c>
      <c r="B30" t="inlineStr">
        <is>
          <t>rp infocare pvt ltd</t>
        </is>
      </c>
      <c r="C30" t="inlineStr">
        <is>
          <t>Full Stack Web developer Intern- React, PHP</t>
        </is>
      </c>
      <c r="D30" t="inlineStr">
        <is>
          <t>https://in.jooble.org/desc/-5507068087024381505?ckey=full+stack+developer+intern&amp;rgn=3193&amp;pos=5&amp;elckey=-5710832383287184165&amp;p=1&amp;aq=-6539674257181197563&amp;cid=389&amp;jobAge=593&amp;brelb=10&amp;bscr=1255.5562&amp;scr=1255.5562</t>
        </is>
      </c>
      <c r="E30" t="inlineStr">
        <is>
          <t>AI Analyzer</t>
        </is>
      </c>
      <c r="F30" t="inlineStr">
        <is>
          <t>Bengaluru</t>
        </is>
      </c>
      <c r="G30" t="inlineStr">
        <is>
          <t>on-site</t>
        </is>
      </c>
      <c r="H30" t="inlineStr">
        <is>
          <t>NON PAID</t>
        </is>
      </c>
      <c r="I30" t="inlineStr">
        <is>
          <t>unknown</t>
        </is>
      </c>
      <c r="J30" t="inlineStr">
        <is>
          <t>none</t>
        </is>
      </c>
      <c r="K30" t="inlineStr">
        <is>
          <t>React; PHP</t>
        </is>
      </c>
      <c r="M30" t="inlineStr">
        <is>
          <t>&amp;nbsp;...ensure an exceptional user experience and secure transactions. Role Description This is a &lt;b&gt;full-&lt;/b&gt;time, on-site role located in Bengaluru for a Full &lt;b&gt;Stack &lt;/b&gt;Web &lt;b&gt;Developer Intern-&lt;/b&gt; React, PHP (NON PAID). The intern will be responsible for assisting in both front-end and back-...&amp;nbsp;</t>
        </is>
      </c>
      <c r="N30" t="n">
        <v>40</v>
      </c>
      <c r="O30" t="n">
        <v>50</v>
      </c>
      <c r="P30" t="n">
        <v>60</v>
      </c>
      <c r="Q30" t="n">
        <v>70</v>
      </c>
      <c r="R30" t="n">
        <v>0</v>
      </c>
      <c r="S30" t="n">
        <v>0</v>
      </c>
      <c r="T30" t="n">
        <v>20</v>
      </c>
      <c r="U30" t="inlineStr">
        <is>
          <t>SKIP</t>
        </is>
      </c>
      <c r="V30" t="inlineStr">
        <is>
          <t>SKIP</t>
        </is>
      </c>
      <c r="W30" t="inlineStr">
        <is>
          <t>PHP</t>
        </is>
      </c>
      <c r="X30" t="inlineStr">
        <is>
          <t>Amaanuddin_Ahmed_Resume.pdf</t>
        </is>
      </c>
      <c r="Y30" t="inlineStr">
        <is>
          <t>2026-10-02</t>
        </is>
      </c>
      <c r="Z30" t="inlineStr">
        <is>
          <t>Located in Bengaluru.; Matches target full stack intern role.</t>
        </is>
      </c>
      <c r="AA30" t="inlineStr">
        <is>
          <t>eligible</t>
        </is>
      </c>
      <c r="AB30" t="inlineStr">
        <is>
          <t>Location matches preferred location (Bengaluru).; Role matches target developer intern profile.</t>
        </is>
      </c>
      <c r="AC30" t="inlineStr">
        <is>
          <t>unknown</t>
        </is>
      </c>
      <c r="AD30" t="inlineStr">
        <is>
          <t>Availability requirements not specified in the job description.</t>
        </is>
      </c>
      <c r="AE30" t="inlineStr">
        <is>
          <t>unpaid</t>
        </is>
      </c>
      <c r="AF30" t="n">
        <v>0</v>
      </c>
      <c r="AG30" t="inlineStr">
        <is>
          <t>No</t>
        </is>
      </c>
      <c r="AH30" t="inlineStr">
        <is>
          <t>none</t>
        </is>
      </c>
      <c r="AI30" t="inlineStr">
        <is>
          <t>No mention of PPO or conversion in the job description.</t>
        </is>
      </c>
      <c r="AJ30" t="inlineStr">
        <is>
          <t>Unpaid internship (violates minimum stipend target of ₹25,000/month)</t>
        </is>
      </c>
      <c r="AK30" t="inlineStr">
        <is>
          <t>Non-paid internship position</t>
        </is>
      </c>
      <c r="AL30" t="inlineStr">
        <is>
          <t>React state management; PHP basics and integration with frontend; Previous full-stack project experience</t>
        </is>
      </c>
    </row>
    <row r="31">
      <c r="A31" t="inlineStr">
        <is>
          <t>AI4SEES-PRIV-261002-30</t>
        </is>
      </c>
      <c r="B31" t="inlineStr">
        <is>
          <t>ai4sees private ltd</t>
        </is>
      </c>
      <c r="C31" t="inlineStr">
        <is>
          <t>Full Stack Web Developer Intern</t>
        </is>
      </c>
      <c r="D31" t="inlineStr">
        <is>
          <t>https://in.jooble.org/desc/4356507815804547926?ckey=full+stack+developer+intern&amp;rgn=3193&amp;pos=6&amp;elckey=-5710832383287184165&amp;p=1&amp;aq=-6539674257181197563&amp;cid=389&amp;jobAge=809&amp;brelb=10&amp;bscr=1243.1244&amp;scr=1243.1244</t>
        </is>
      </c>
      <c r="E31" t="inlineStr">
        <is>
          <t>AI Analyzer</t>
        </is>
      </c>
      <c r="F31" t="inlineStr">
        <is>
          <t>Bengaluru</t>
        </is>
      </c>
      <c r="G31" t="inlineStr">
        <is>
          <t>On-site</t>
        </is>
      </c>
      <c r="H31" t="inlineStr">
        <is>
          <t>Not specified</t>
        </is>
      </c>
      <c r="I31" t="inlineStr">
        <is>
          <t>Not specified</t>
        </is>
      </c>
      <c r="J31" t="inlineStr">
        <is>
          <t>NOT_MENTIONED</t>
        </is>
      </c>
      <c r="K31" t="inlineStr">
        <is>
          <t>HTML; JavaScript; CSS; Back-End Web Development; Full-Stack Development; Git</t>
        </is>
      </c>
      <c r="M31"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 Stack Web developer Intern- React, PHP ( NON PAID)
rp infocare pvt ltd
[Bangalore](https://in.jooble.org/jobs/Bangalore)
[Apply](https://in.jooble.org/away/-5507068087024381505?p=1&amp;pos=0&amp;rgn=3193&amp;pageType=7&amp;cid=389&amp;jobAge=593&amp;scr=1255.5562&amp;bscr=1255.5562&amp;jdpSource=101&amp;jdpid=5542648309290354294&amp;crId=IN_6807728852492805051IN_3193)
This position requires local presence. Please view similar jobs below.
**Company Description**
At RP INFOCARE, we are passionate about harnessing the power of technology to transform businesses and empower individuals. Since our founding in 2020, we have swiftly become a leading IT solutions provider, offering a comprehensive range of services tailored to meet our clients' evolving needs. Our team of highly skilled professionals is dedicated to delivering innovative, customized solutions that drive business growth and enhance operational efficiency. We specialize in web design, mobile application development, and e-commerce web application development to ensure an exceptional user experience and secure transactions.
**Role Description**
This is a full-time, on-site role located in Bengaluru for a Full Stack Web Developer Intern- React, PHP (NON PAID). The intern will be responsible for assisting in both front-end and back-end web development tasks. Daily responsibilities include collaborating with the development team to design and implement new features, troubleshooting and resolving issues, optimizing website performance, and ensuring cross-browser compatibility. The intern will also contribute to software development projects and participate in code reviews.
**Qualifications**
- Front-End Development skills including experience with React and Cascading Style Sheets (CSS)
- Back-End Web Development skills including knowledge of PHP, Node js.
- Software Development and Full-Stack Development skills
- Strong problem-solving skills and attention to detail
- Ability to work collaboratively in a team-oriented environment
- Familiarity with version control systems like Git is a plus
- Currently pursuing or recently completed a degree in Computer Science, Information Technology, or a related field
[Apply](https://in.jooble.org/away/-5507068087024381505?p=1&amp;pos=0&amp;rgn=3193&amp;pageType=7&amp;cid=389&amp;jobAge=593&amp;scr=1255.5562&amp;bscr=1255.5562&amp;jdpSource=101&amp;jdpid=5542648309290354294&amp;crId=IN_6807728852492805051IN_3193)
# Full Stack Web Developer Intern
ai4sees private ltd
[Bangalore](https://in.jooble.org/jobs/Bangalore)
[Apply](https://in.jooble.org/away/4356507815804547926?p=1&amp;pos=0&amp;rgn=3193&amp;pageType=7&amp;cid=389&amp;jobAge=809&amp;scr=1243.1244&amp;bscr=1243.1244&amp;jdpSource=101&amp;jdpid=-8621338125516673319&amp;crId=IN_6807728852492805051IN_3193)
This position requires local presence. Please view similar jobs below.
**Company Description AI4SEES Private Ltd operates in the field of information technology and technology-enabled applications, building products and delivering services across a wide range of digital solutions. The company provides artificial intelligence services and consultancy, IT solutions, web application development, and digital marketing. AI4SEES also develops SaaS and PaaS products, IoT and cloud technology solutions, websites, mobile applications, and software applications. In addition, the company is involved in the trading of software products through various channels, offering opportunities to work with diverse technologies and clients.**
**Role Description  This is a full-time, on-site Full Stack Web Developer Intern role based in Bengaluru. The intern will assist in designing, developing, and testing web applications across both front-end and back-end components. Day-to-day tasks include writing clean and efficient code, implementing responsive user int</t>
        </is>
      </c>
      <c r="N31" t="n">
        <v>74</v>
      </c>
      <c r="O31" t="n">
        <v>90</v>
      </c>
      <c r="P31" t="n">
        <v>95</v>
      </c>
      <c r="Q31" t="n">
        <v>90</v>
      </c>
      <c r="R31" t="n">
        <v>40</v>
      </c>
      <c r="S31" t="n">
        <v>30</v>
      </c>
      <c r="T31" t="n">
        <v>60</v>
      </c>
      <c r="U31" t="inlineStr">
        <is>
          <t>CONSIDER</t>
        </is>
      </c>
      <c r="V31" t="inlineStr">
        <is>
          <t>CONSIDER</t>
        </is>
      </c>
      <c r="X31" t="inlineStr">
        <is>
          <t>Amaanuddin_Ahmed_Resume_FullStack.pdf</t>
        </is>
      </c>
      <c r="Y31" t="inlineStr">
        <is>
          <t>2026-10-02</t>
        </is>
      </c>
      <c r="Z31" t="inlineStr">
        <is>
          <t>Strong match with candidate's demonstrated MERN stack and Full Stack project experience.; Meets all educational and location requirements (onsite in Bengaluru, MCA student).</t>
        </is>
      </c>
      <c r="AA31" t="inlineStr">
        <is>
          <t>ELIGIBLE</t>
        </is>
      </c>
      <c r="AB31" t="inlineStr">
        <is>
          <t>Candidate is pursuing an MCA at PES University, matching the degree requirement in Computer Science, IT, or related field.; Local presence in Bengaluru matches the on-site requirement.</t>
        </is>
      </c>
      <c r="AC31" t="inlineStr">
        <is>
          <t>UNKNOWN</t>
        </is>
      </c>
      <c r="AD31" t="inlineStr">
        <is>
          <t>Start date not specified in the job description.</t>
        </is>
      </c>
      <c r="AE31" t="inlineStr">
        <is>
          <t>UNKNOWN</t>
        </is>
      </c>
      <c r="AF31" t="n">
        <v>0</v>
      </c>
      <c r="AG31" t="inlineStr">
        <is>
          <t>No</t>
        </is>
      </c>
      <c r="AH31" t="inlineStr">
        <is>
          <t>NOT_MENTIONED</t>
        </is>
      </c>
      <c r="AI31" t="inlineStr">
        <is>
          <t>No mention of PPO or conversion in the job description.</t>
        </is>
      </c>
      <c r="AK31" t="inlineStr">
        <is>
          <t>Stipend is completely unspecified, raising a risk of it being unpaid.</t>
        </is>
      </c>
      <c r="AL31" t="inlineStr">
        <is>
          <t>Full-stack web application architecture and REST API integration; Database design and backend server-side logic using Node.js/Express; Version control workflows using Git</t>
        </is>
      </c>
    </row>
    <row r="32">
      <c r="A32" t="inlineStr">
        <is>
          <t>TASLAINFO-261002-31</t>
        </is>
      </c>
      <c r="B32" t="inlineStr">
        <is>
          <t>TaslaInfo</t>
        </is>
      </c>
      <c r="C32" t="inlineStr">
        <is>
          <t>Full Stack Developer - Fresher</t>
        </is>
      </c>
      <c r="D32" t="inlineStr">
        <is>
          <t>https://in.jooble.org/desc/6094868179520231862?ckey=full+stack+developer+intern&amp;rgn=3193&amp;pos=7&amp;elckey=-5710832383287184165&amp;p=1&amp;aq=-6539674257181197563&amp;cid=389&amp;jobAge=329&amp;brelb=100&amp;bscr=554.2362&amp;scr=554.2362</t>
        </is>
      </c>
      <c r="E32" t="inlineStr">
        <is>
          <t>AI Analyzer</t>
        </is>
      </c>
      <c r="F32" t="inlineStr">
        <is>
          <t>Bangalore</t>
        </is>
      </c>
      <c r="G32" t="inlineStr">
        <is>
          <t>Onsite</t>
        </is>
      </c>
      <c r="H32" t="inlineStr">
        <is>
          <t>₹ 2,10,000 - 2,70,000 /year</t>
        </is>
      </c>
      <c r="I32" t="inlineStr">
        <is>
          <t>Not specified</t>
        </is>
      </c>
      <c r="J32" t="inlineStr">
        <is>
          <t>UNKNOWN</t>
        </is>
      </c>
      <c r="K32" t="inlineStr">
        <is>
          <t>HTML; CSS; JavaScript; React.js; Angular; Node.js; .NET; Java; Python; SQL and databases; REST APIs; Git &amp; GitHub</t>
        </is>
      </c>
      <c r="L32" t="inlineStr">
        <is>
          <t>SDLC; Team coordination</t>
        </is>
      </c>
      <c r="M3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 Stack Web Developer Intern
ai4sees private ltd
[Bangalore](https://in.jooble.org/jobs/Bangalore)
[Apply](https://in.jooble.org/away/4356507815804547926?p=1&amp;pos=0&amp;rgn=3193&amp;pageType=7&amp;cid=389&amp;jobAge=809&amp;scr=1243.1244&amp;bscr=1243.1244&amp;jdpSource=101&amp;jdpid=-8684431831199935129&amp;crId=IN_6807728852492805051IN_3193)
**Company Description AI4SEES Private Ltd operates in the field of information technology and technology-enabled applications, building products and delivering services across a wide range of digital solutions. The company provides artificial intelligence services and consultancy, IT solutions, web application development, and digital marketing. AI4SEES also develops SaaS and PaaS products, IoT and cloud technology solutions, websites, mobile applications, and software applications. In addition, the company is involved in the trading of software products through various channels, offering opportunities to work with diverse technologies and clients.**
**Role Description  This is a full-time, on-site Full Stack Web Developer Intern role based in Bengaluru. The intern will assist in designing, developing, and testing web applications across both front-end and back-end components. Day-to-day tasks include writing clean and efficient code, implementing responsive user interfaces, integrating APIs and databases, and participating in code reviews. The intern will collaborate with senior developers and cross-functional teams to troubleshoot issues, optimize application performance, and support deployment activities. The role offers hands-on experience with modern web technologies and frameworks in a fast-paced, learning-focused environment.**
**Qualifications**
**- Front-End Development skills, including HTML, JavaScript, and Cascading Style Sheets (CSS)**
**- Back-End Web Development skills, including working with server-side languages, frameworks, and databases**
**- Full-Stack Development and Software Development skills, with an understanding of end-to-end web application architecture**
**- Basic knowledge of version control systems (e.g., Git) and collaborative development workflows**
**- Strong problem-solving abilities, attention to detail, and willingness to learn new technologies**
**- Pursuing or having completed a degree in Computer Science, Information Technology, or a related field**
**- Good communication skills and ability to work effectively in a team-oriented environment**
[Apply](https://in.jooble.org/away/4356507815804547926?p=1&amp;pos=0&amp;rgn=3193&amp;pageType=7&amp;cid=389&amp;jobAge=809&amp;scr=1243.1244&amp;bscr=1243.1244&amp;jdpSource=101&amp;jdpid=-8684431831199935129&amp;crId=IN_6807728852492805051IN_3193)
# Full Stack Developer - Fresher
Rs 2.1 - 2.7 lakhs p.a.
TaslaInfo
[Bangalore](https://in.jooble.org/jobs/Bangalore)
[Apply](https://in.jooble.org/away/6094868179520231862?p=1&amp;pos=0&amp;rgn=3193&amp;pageType=7&amp;cid=389&amp;jobAge=329&amp;scr=554.2362&amp;bscr=554.2362&amp;jdpSource=101&amp;jdpid=2409679529269548551&amp;crId=IN_6807728852492805051IN_3193)
Full Stack Developer
Start Date
Starts  Immediately
CTC (ANNUAL)
₹ 2,10,000 - 2,70,000 ₹ 2,10,000 - 2,70,000 /year
Experience
No experience required
No experience required
Apply By
21 Oct' 26
Posted 1 week ago
Fresher Job
714 applicants
## About the job
Department: IT / Software Development
Location: Onsite
Job Type: Full-Time Internship / Entry Level
Role Focus: Primarily Technical Development + Team Monitoring &amp; Coordination
Candidates with strong Full-Stack Development fundamentals and a willingness to learn are encouraged to apply.
We are looking for a Full Stack Development to join our IT team. This role is primarily focused on hands-on software development, with additional responsibilities related to team task monitoring and coordination. Y</t>
        </is>
      </c>
      <c r="N32" t="n">
        <v>78</v>
      </c>
      <c r="O32" t="n">
        <v>85</v>
      </c>
      <c r="P32" t="n">
        <v>90</v>
      </c>
      <c r="Q32" t="n">
        <v>80</v>
      </c>
      <c r="R32" t="n">
        <v>50</v>
      </c>
      <c r="S32" t="n">
        <v>75</v>
      </c>
      <c r="T32" t="n">
        <v>70</v>
      </c>
      <c r="U32" t="inlineStr">
        <is>
          <t>CONSIDER</t>
        </is>
      </c>
      <c r="V32" t="inlineStr">
        <is>
          <t>CONSIDER</t>
        </is>
      </c>
      <c r="W32" t="inlineStr">
        <is>
          <t>.NET; Java; Python</t>
        </is>
      </c>
      <c r="X32" t="inlineStr">
        <is>
          <t>Standard Full Stack Developer Resume focusing on Angular, Node.js, Express, and SQL projects like Sunflower Trip and StaySphere.</t>
        </is>
      </c>
      <c r="Y32" t="inlineStr">
        <is>
          <t>2026-10-02</t>
        </is>
      </c>
      <c r="Z32" t="inlineStr">
        <is>
          <t>Strong match with candidate's core demonstrated tech stack (Angular, Node.js, JavaScript, HTML, CSS, SQL).; Meets candidate's minimum stipend target (fixed annual CTC translates to over ₹16,600 to ₹20,800 monthly, with total CTC reaching up to ₹2,70,000 p.a.).; Welcomes freshers and students from MCA backgrounds.</t>
        </is>
      </c>
      <c r="AA32" t="inlineStr">
        <is>
          <t>ELIGIBLE</t>
        </is>
      </c>
      <c r="AB32" t="inlineStr">
        <is>
          <t>Candidate is pursuing MCA at PES University, matching the requirement for students or graduates from Computer Science, IT, Software Engineering, or related fields.; No prior experience required, welcoming freshers.</t>
        </is>
      </c>
      <c r="AC32" t="inlineStr">
        <is>
          <t>UNKNOWN</t>
        </is>
      </c>
      <c r="AD32" t="inlineStr">
        <is>
          <t>Start date is immediately, but exact candidate availability calendar is not specified in the career brain.</t>
        </is>
      </c>
      <c r="AE32" t="inlineStr">
        <is>
          <t>EXPLICIT</t>
        </is>
      </c>
      <c r="AF32" t="n">
        <v>200000</v>
      </c>
      <c r="AG32" t="inlineStr">
        <is>
          <t>Yes</t>
        </is>
      </c>
      <c r="AH32" t="inlineStr">
        <is>
          <t>UNKNOWN</t>
        </is>
      </c>
      <c r="AI32" t="inlineStr">
        <is>
          <t>Job is listed as a full-time internship / entry level fresher role with an annual CTC, but explicit conversion or PPO terms are not detailed.</t>
        </is>
      </c>
      <c r="AK32" t="inlineStr">
        <is>
          <t>Role includes team task monitoring and coordination responsibilities alongside full-stack development duties.</t>
        </is>
      </c>
      <c r="AL32" t="inlineStr">
        <is>
          <t>Full-stack architecture with Angular and Node.js; REST API design and database integration using SQL/MySQL; Version control workflows with Git and GitHub; Experience with team coordination and project tracking tasks</t>
        </is>
      </c>
    </row>
    <row r="33">
      <c r="A33" t="inlineStr">
        <is>
          <t>JOVEO-261002-32</t>
        </is>
      </c>
      <c r="B33" t="inlineStr">
        <is>
          <t>Joveo</t>
        </is>
      </c>
      <c r="C33" t="inlineStr">
        <is>
          <t>Back End Developer</t>
        </is>
      </c>
      <c r="D33" t="inlineStr">
        <is>
          <t>https://in.jooble.org/desc/6445615319015689246?ckey=backend+developer+intern&amp;rgn=3193&amp;pos=1&amp;elckey=-892043822014845294&amp;p=1&amp;aq=7523652574460270146&amp;cid=389&amp;jobAge=89&amp;brelb=10&amp;bscr=1067.3552&amp;scr=1067.3552</t>
        </is>
      </c>
      <c r="E33" t="inlineStr">
        <is>
          <t>AI Analyzer</t>
        </is>
      </c>
      <c r="F33" t="inlineStr">
        <is>
          <t>Bangalore</t>
        </is>
      </c>
      <c r="G33" t="inlineStr">
        <is>
          <t>On-site (5 days a week)</t>
        </is>
      </c>
      <c r="I33" t="inlineStr">
        <is>
          <t>Not specified</t>
        </is>
      </c>
      <c r="J33" t="inlineStr">
        <is>
          <t>NOT_MENTIONED</t>
        </is>
      </c>
      <c r="K33" t="inlineStr">
        <is>
          <t>TypeScript; React; Next.js; Node.js; Express.js; SQL; REST APIs; Git</t>
        </is>
      </c>
      <c r="L33" t="inlineStr">
        <is>
          <t>LLMs; embeddings; vector databases</t>
        </is>
      </c>
      <c r="M33"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 Back End Developer
Joveo
[Bangalore](https://in.jooble.org/jobs/Bangalore)
[Apply](https://in.jooble.org/away/6445615319015689246?p=1&amp;pos=0&amp;rgn=3193&amp;pageType=7&amp;cid=389&amp;jobAge=89&amp;scr=1067.3552&amp;bscr=1067.3552&amp;jdpSource=101&amp;jdpid=-2695907738001900996&amp;crId=IN_7486100480718853950IN_3193)
This position requires local presence. Please view similar jobs below.
- **Title** : Software Engineering Intern
- **Location** : Bengaluru, India ( 5 days a week)
- **Timings** : 2-9 pm
**About Joveo**
As the global leader in AI-powered recruitment marketing, we are transforming talent attraction and recruitment media buying for the world's largest and smartest employers, staffing businesses, RPOs, and recruitment advertising agencies.
The Joveo platform enables businesses to attract, source, engage, and hire the most relevant candidates on time, within their budget. Powering millions of jobs every day, our data-driven recruitment marketing platform uses advanced data science and machine learning to dynamically manage and optimize talent sourcing and applications across all online channels while providing real-time insights at every step of the job seeker journey, from click to hire.
Joveo is rewriting the rules of recruitment through AI. We're looking for an intern who thinks like a founder, moves fast, and builds like an artist, someone ready to build the future of the company from 0 to 1.
**What you'll do Build**
  - Greenfield AI products from whiteboard to working prototype.
  - Ship across the full stack, React and Next.js on the front, Node.js and Express on the back, with the database underneath.
  - Wire LLMs, embeddings, and vector databases into real products.
  - Collaborate directly with our leadership from week one.
**What we're looking for**
  - Strong programming fundamentals and projects you've actually built.
  - Working knowledge of TypeScript, React, Next.js, Node.js, and Express.js.
  - Comfort with SQL and database design, REST APIs, and Git. A basic grasp of LLMs, embeddings, and vector databases, plus the hunger to go deeper.
  - Above all, a builder's mindset that thrives in ambiguity.
**Why join**
  - Build with the newest tools from day one.
  - Real ownership of what you ship.
  - Direct access to leadership.
  - The kind of growth that takes years elsewhere.
**Build the next chapter of Joveo. Apply now**
[Apply](https://in.jooble.org/away/6445615319015689246?p=1&amp;pos=0&amp;rgn=3193&amp;pageType=7&amp;cid=389&amp;jobAge=89&amp;scr=1067.3552&amp;bscr=1067.3552&amp;jdpSource=101&amp;jdpid=-2695907738001900996&amp;crId=IN_7486100480718853950IN_3193)
Software Engineer(Intern)- Backend
merklescience
[Bangalore](https://in.jooble.org/jobs/Bangalore)
[Apply](https://in.jooble.org/away/-4009572167721000675?p=1&amp;pos=0&amp;rgn=3193&amp;pageType=7&amp;cid=389&amp;jobAge=1344&amp;scr=719.34827&amp;bscr=719.34827&amp;jdpSource=101&amp;jdpid=-8092636266517207703&amp;crId=IN_7486100480718853950IN_3193)
This position requires local presence. Please view similar jobs below.
**⚡️ About Merkle Science**
Merkle Science provides blockchain transaction monitoring and intelligence solutions for web3 companies, digital asset service providers, financial institutions, law enforcement and government agencies to detect, investigate and prevent illicit use of cryptocurrencies. Our vision is to make cryptocurrencies safe and provide infrastructure for the safe and compliant growth of cryptocurrencies.
Merkle Science is headquartered in New York with offices in Singapore, Bangalore and London. The team has combined experience across Bank of America, Paypal, Luno, Thomson Reuters and Amazon. The company has raised over US$27 MM from SIG, Beco, Republic, DCG, Kenetic, GGV and several others.
## Responsibilities
- Design, build, and maintain backend servi</t>
        </is>
      </c>
      <c r="N33" t="n">
        <v>69</v>
      </c>
      <c r="O33" t="n">
        <v>75</v>
      </c>
      <c r="P33" t="n">
        <v>80</v>
      </c>
      <c r="Q33" t="n">
        <v>75</v>
      </c>
      <c r="R33" t="n">
        <v>40</v>
      </c>
      <c r="S33" t="n">
        <v>50</v>
      </c>
      <c r="T33" t="n">
        <v>85</v>
      </c>
      <c r="U33" t="inlineStr">
        <is>
          <t>STRETCH</t>
        </is>
      </c>
      <c r="V33" t="inlineStr">
        <is>
          <t>STRETCH</t>
        </is>
      </c>
      <c r="W33" t="inlineStr">
        <is>
          <t>TypeScript; Next.js; LLMs; embeddings; vector databases</t>
        </is>
      </c>
      <c r="X33" t="inlineStr">
        <is>
          <t>Default Full Stack / Backend Resume</t>
        </is>
      </c>
      <c r="Y33" t="inlineStr">
        <is>
          <t>2026-10-02</t>
        </is>
      </c>
      <c r="Z33" t="inlineStr">
        <is>
          <t>Strong overlap with Node.js, Express.js, and SQL backend stack; Exciting opportunity to work on greenfield AI products and LLM integration; Located in Bangalore matching candidate preference</t>
        </is>
      </c>
      <c r="AA33" t="inlineStr">
        <is>
          <t>ELIGIBLE</t>
        </is>
      </c>
      <c r="AC33" t="inlineStr">
        <is>
          <t>UNKNOWN</t>
        </is>
      </c>
      <c r="AD33" t="inlineStr">
        <is>
          <t>Availability to work 2-9 pm local presence not explicitly confirmed in career profile.</t>
        </is>
      </c>
      <c r="AE33" t="inlineStr">
        <is>
          <t>UNKNOWN</t>
        </is>
      </c>
      <c r="AF33" t="n">
        <v>0</v>
      </c>
      <c r="AG33" t="inlineStr">
        <is>
          <t>No</t>
        </is>
      </c>
      <c r="AH33" t="inlineStr">
        <is>
          <t>NOT_MENTIONED</t>
        </is>
      </c>
      <c r="AI33" t="inlineStr">
        <is>
          <t>No explicit mention of PPO or conversion in the job description.</t>
        </is>
      </c>
      <c r="AK33" t="inlineStr">
        <is>
          <t>Timing is 2-9 pm local presence required</t>
        </is>
      </c>
      <c r="AL33" t="inlineStr">
        <is>
          <t>Node.js and Express.js architecture and event loop; SQL database design and query optimization; Experience with RESTful API design and authentication; Familiarity with vector databases and LLM integrations</t>
        </is>
      </c>
    </row>
    <row r="34">
      <c r="A34" t="inlineStr">
        <is>
          <t>PHONEPE-261002-33</t>
        </is>
      </c>
      <c r="B34" t="inlineStr">
        <is>
          <t>Phonepe</t>
        </is>
      </c>
      <c r="C34" t="inlineStr">
        <is>
          <t>Head of Engineering - Backend</t>
        </is>
      </c>
      <c r="D34" t="inlineStr">
        <is>
          <t>https://in.jooble.org/desc/596994600327366086?ckey=backend+developer+intern&amp;rgn=3193&amp;pos=5&amp;elckey=-892043822014845294&amp;p=1&amp;aq=7523652574460270146&amp;cid=389&amp;jobAge=425&amp;brelb=10&amp;bscr=613.15063&amp;scr=613.15063</t>
        </is>
      </c>
      <c r="E34" t="inlineStr">
        <is>
          <t>AI Analyzer</t>
        </is>
      </c>
      <c r="F34" t="inlineStr">
        <is>
          <t>Bangalore</t>
        </is>
      </c>
      <c r="G34" t="inlineStr">
        <is>
          <t>Unknown</t>
        </is>
      </c>
      <c r="H34" t="inlineStr">
        <is>
          <t>Not specified</t>
        </is>
      </c>
      <c r="I34" t="inlineStr">
        <is>
          <t>Unknown</t>
        </is>
      </c>
      <c r="J34" t="inlineStr">
        <is>
          <t>No</t>
        </is>
      </c>
      <c r="K34" t="inlineStr">
        <is>
          <t>Backend Engineering; Solution Design; Leadership</t>
        </is>
      </c>
      <c r="M34" t="inlineStr">
        <is>
          <t>&amp;nbsp;...vendors As a leader, you must have: Proven skills designing and &lt;b&gt;developing &lt;/b&gt;simple to complex solutions including experience in designing...&amp;nbsp;&amp;nbsp;...PhonePe Full Time Employee Benefits (Not applicable for &lt;b&gt;Intern &lt;/b&gt;or Contract Roles) Insurance Benefits - Medical Insurance, Critical...&amp;nbsp;</t>
        </is>
      </c>
      <c r="N34" t="n">
        <v>8</v>
      </c>
      <c r="O34" t="n">
        <v>10</v>
      </c>
      <c r="P34" t="n">
        <v>0</v>
      </c>
      <c r="Q34" t="n">
        <v>0</v>
      </c>
      <c r="R34" t="n">
        <v>0</v>
      </c>
      <c r="S34" t="n">
        <v>0</v>
      </c>
      <c r="T34" t="n">
        <v>50</v>
      </c>
      <c r="U34" t="inlineStr">
        <is>
          <t>SKIP</t>
        </is>
      </c>
      <c r="V34" t="inlineStr">
        <is>
          <t>SKIP</t>
        </is>
      </c>
      <c r="W34" t="inlineStr">
        <is>
          <t>Executive Leadership; Head of Engineering experience</t>
        </is>
      </c>
      <c r="X34" t="inlineStr">
        <is>
          <t>Amaanuddin_Ahmed_Resume.pdf</t>
        </is>
      </c>
      <c r="Y34" t="inlineStr">
        <is>
          <t>2026-10-02</t>
        </is>
      </c>
      <c r="AA34" t="inlineStr">
        <is>
          <t>Ineligible</t>
        </is>
      </c>
      <c r="AB34" t="inlineStr">
        <is>
          <t>The role is for Head of Engineering - Backend, which requires extensive leadership and senior experience far exceeding an MCA student internship profile.; Candidate is an MCA student seeking internships and junior roles, not an executive engineering leadership position.</t>
        </is>
      </c>
      <c r="AC34" t="inlineStr">
        <is>
          <t>Available</t>
        </is>
      </c>
      <c r="AD34" t="inlineStr">
        <is>
          <t>Candidate is available for internships and software engineering roles matching their profile.</t>
        </is>
      </c>
      <c r="AE34" t="inlineStr">
        <is>
          <t>UNKNOWN</t>
        </is>
      </c>
      <c r="AF34" t="n">
        <v>0</v>
      </c>
      <c r="AG34" t="inlineStr">
        <is>
          <t>No</t>
        </is>
      </c>
      <c r="AH34" t="inlineStr">
        <is>
          <t>No</t>
        </is>
      </c>
      <c r="AI34" t="inlineStr">
        <is>
          <t>No PPO mentioned for this executive leadership role.</t>
        </is>
      </c>
      <c r="AJ34" t="inlineStr">
        <is>
          <t>Seniority level mismatch: Head of Engineering requires extensive industry leadership experience, whereas candidate is an entry-level MCA student.</t>
        </is>
      </c>
      <c r="AK34" t="inlineStr">
        <is>
          <t>Role mismatch: Applying for an executive leadership role with an internship/junior profile.</t>
        </is>
      </c>
    </row>
    <row r="35">
      <c r="A35" t="inlineStr">
        <is>
          <t>VETIFI-261002-34</t>
        </is>
      </c>
      <c r="B35" t="inlineStr">
        <is>
          <t>vetifi</t>
        </is>
      </c>
      <c r="C35" t="inlineStr">
        <is>
          <t>Flutter SDE Intern</t>
        </is>
      </c>
      <c r="D35" t="inlineStr">
        <is>
          <t>https://in.jooble.org/desc/-1529116818359291845?ckey=SDE+intern&amp;rgn=3193&amp;pos=1&amp;elckey=5511221380764901055&amp;p=1&amp;aq=-6833300780600067004&amp;cid=389&amp;jobAge=425&amp;brelb=10&amp;bscr=1583.5348&amp;scr=1583.5348</t>
        </is>
      </c>
      <c r="E35" t="inlineStr">
        <is>
          <t>AI Analyzer</t>
        </is>
      </c>
      <c r="F35" t="inlineStr">
        <is>
          <t>Bangalore</t>
        </is>
      </c>
      <c r="G35" t="inlineStr">
        <is>
          <t>Remote</t>
        </is>
      </c>
      <c r="H35" t="inlineStr">
        <is>
          <t>Unpaid Internship</t>
        </is>
      </c>
      <c r="I35" t="inlineStr">
        <is>
          <t>3-6 months</t>
        </is>
      </c>
      <c r="J35" t="inlineStr">
        <is>
          <t>Not Mentioned</t>
        </is>
      </c>
      <c r="K35" t="inlineStr">
        <is>
          <t>Flutter; Mobile App Development</t>
        </is>
      </c>
      <c r="M35" t="inlineStr">
        <is>
          <t>Job Description: Flutter &lt;b&gt;SDE Intern &lt;/b&gt;(Mobile App Development) Company: Vetifi Location: Remote Internship Type: Unpaid Internship Duration: Flexible (3–6 months preferred) About Vetifi Vetifi is an innovative veterinary-focused application built...&amp;nbsp;</t>
        </is>
      </c>
      <c r="N35" t="n">
        <v>16</v>
      </c>
      <c r="O35" t="n">
        <v>20</v>
      </c>
      <c r="P35" t="n">
        <v>20</v>
      </c>
      <c r="Q35" t="n">
        <v>30</v>
      </c>
      <c r="R35" t="n">
        <v>0</v>
      </c>
      <c r="S35" t="n">
        <v>0</v>
      </c>
      <c r="T35" t="n">
        <v>20</v>
      </c>
      <c r="U35" t="inlineStr">
        <is>
          <t>SKIP</t>
        </is>
      </c>
      <c r="V35" t="inlineStr">
        <is>
          <t>SKIP</t>
        </is>
      </c>
      <c r="W35" t="inlineStr">
        <is>
          <t>Flutter; Mobile App Development</t>
        </is>
      </c>
      <c r="X35" t="inlineStr">
        <is>
          <t>Amaanuddin_Ahmed_Resume.pdf</t>
        </is>
      </c>
      <c r="Y35" t="inlineStr">
        <is>
          <t>2026-10-02</t>
        </is>
      </c>
      <c r="AA35" t="inlineStr">
        <is>
          <t>Eligible</t>
        </is>
      </c>
      <c r="AB35" t="inlineStr">
        <is>
          <t>No degree or graduation year hard blockers mentioned in the description.</t>
        </is>
      </c>
      <c r="AC35" t="inlineStr">
        <is>
          <t>Unknown</t>
        </is>
      </c>
      <c r="AD35" t="inlineStr">
        <is>
          <t>Exact start and end dates are not specified in the description.</t>
        </is>
      </c>
      <c r="AE35" t="inlineStr">
        <is>
          <t>Unpaid</t>
        </is>
      </c>
      <c r="AF35" t="n">
        <v>0</v>
      </c>
      <c r="AG35" t="inlineStr">
        <is>
          <t>No</t>
        </is>
      </c>
      <c r="AH35" t="inlineStr">
        <is>
          <t>Not Mentioned</t>
        </is>
      </c>
      <c r="AI35" t="inlineStr">
        <is>
          <t>No mention of PPO or conversion in the job description.</t>
        </is>
      </c>
      <c r="AJ35" t="inlineStr">
        <is>
          <t>Missing mandatory Flutter and mobile app development stack required for the role.; Unpaid internship violates the minimum stipend target of 25,000 INR/month.</t>
        </is>
      </c>
      <c r="AK35" t="inlineStr">
        <is>
          <t>Unpaid internship</t>
        </is>
      </c>
      <c r="AL35" t="inlineStr">
        <is>
          <t>Flutter framework fundamentals; Cross-platform mobile application state management; API integration in mobile apps</t>
        </is>
      </c>
    </row>
    <row r="36">
      <c r="A36" t="inlineStr">
        <is>
          <t>SUNSTONE-261002-35</t>
        </is>
      </c>
      <c r="B36" t="inlineStr">
        <is>
          <t>Sunstone</t>
        </is>
      </c>
      <c r="C36" t="inlineStr">
        <is>
          <t>SDE Intern &amp; Teaching Assistant</t>
        </is>
      </c>
      <c r="D36" t="inlineStr">
        <is>
          <t>https://in.jooble.org/desc/-1295742079193352206?ckey=SDE+intern&amp;rgn=3193&amp;pos=2&amp;elckey=5511221380764901055&amp;p=1&amp;aq=-6833300780600067004&amp;cid=389&amp;jobAge=65&amp;brelb=10&amp;bscr=1192.6199&amp;scr=1192.6199</t>
        </is>
      </c>
      <c r="E36" t="inlineStr">
        <is>
          <t>AI Analyzer</t>
        </is>
      </c>
      <c r="F36" t="inlineStr">
        <is>
          <t>Bangalore</t>
        </is>
      </c>
      <c r="G36" t="inlineStr">
        <is>
          <t>On-site</t>
        </is>
      </c>
      <c r="H36" t="inlineStr">
        <is>
          <t>Not Specified</t>
        </is>
      </c>
      <c r="I36" t="inlineStr">
        <is>
          <t>Not Specified</t>
        </is>
      </c>
      <c r="J36" t="inlineStr">
        <is>
          <t>Not Mentioned</t>
        </is>
      </c>
      <c r="K36" t="inlineStr">
        <is>
          <t>Web Development; Data Structures; Algorithms; Problem-Solving; Programming Concepts</t>
        </is>
      </c>
      <c r="M36"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Flutter SDE Intern
vetifi
[Bangalore](https://in.jooble.org/jobs/Bangalore)
[Apply](https://in.jooble.org/away/-1529116818359291845?p=1&amp;pos=0&amp;rgn=3193&amp;pageType=7&amp;cid=389&amp;jobAge=425&amp;scr=1583.5348&amp;bscr=1583.5348&amp;jdpSource=101&amp;jdpid=1788979382660778522&amp;crId=IN_-219330625202293420IN_3193)
This position requires local presence. Please view similar jobs below.
Job Description: Flutter SDE Intern (Mobile App Development)
**Company:** Vetifi
**Location:** Remote
**Internship Type:** Unpaid Internship
**Duration:** Flexible (3–6 months preferred)
About Vetifi
Vetifi is an innovative veterinary-focused application built to transform how veterinarians work in daily clinical practice. Developed by a veterinarian who understands real-world clinical challenges, the platform simplifies workflows and helps doctors focus on patient care rather than administrative burden.
The app provides instant access to drug information, dosage calculators, fluid rate calculators, and digital prescription generation — all designed for speed, reliability, and offline usability.
Our mission is to empower veterinarians with smart, reliable tools that save time and improve patient outcomes.
Role Overview
We are looking for a **Flutter SDE Intern** to join our engineering team and work on the core mobile application. You will actively contribute to building production-grade features used by real veterinarians.
This role is ideal for someone who wants real startup experience — not dummy tasks — and wants to understand how an actual shipped product evolves.
**Note:** This is an **unpaid internship** focused on hands-on learning, product exposure, and portfolio building.
Key Responsibilities
- Develop and improve features in the **Vetifi Flutter mobile application**
- Implement and manage **in-app subscription payments**
- Build clean, responsive, and smooth UI following good UX practices
- Integrate and maintain backend services using **Firebase**
- Work with authentication, database, storage, and cloud functions
- Optimize app performance, responsiveness, and reliability
- Debug issues and ensure stable production releases
- Collaborate with designers and product team to implement UI accurately
Required Skills
- Strong understanding of **Flutter &amp; Dart fundamentals**
- Ability to build **clean UI/UX in Flutter frontend**
- Experience implementing **subscription/payment systems inside apps**
- Strong working knowledge of **Firebase** (Authentication, Firestore/Realtime DB, Storage, Notifications)
- Understanding of asynchronous programming, API integration, and state management
- Good debugging and problem-solving skills
Preferred (Nice to Have)
- Experience publishing apps on Play Store / App Store
- Knowledge of architecture patterns (MVC, MVVM, Clean Architecture, Provider, Riverpod, Bloc etc.)
- Understanding of offline-first apps and caching
- Familiarity with performance optimization
Eligibility
- Students or recent graduates in Computer Science or related fields
- Self-taught developers with strong projects are welcome
- Must be comfortable working in a remote collaborative environment
What You'll Gain
- Real startup development experience (not practice projects)
- Contribution to a live production app used by professionals
- Strong portfolio and practical industry exposure
- Understanding of scaling an app from product to users
- Mentorship and code review from experienced developers
[Apply](https://in.jooble.org/away/-1529116818359291845?p=1&amp;pos=0&amp;rgn=3193&amp;pageType=7&amp;cid=389&amp;jobAge=425&amp;scr=1583.5348&amp;bscr=1583.5348&amp;jdpSource=101&amp;jdpid=1788979382660778522&amp;crId=IN_-219330625202293420IN_3193)
# SDE Intern &amp; Teaching Assistant
Sunstone
[Bangalore](https://in.jooble.org/jobs/Bangalore)</t>
        </is>
      </c>
      <c r="N36" t="n">
        <v>70</v>
      </c>
      <c r="O36" t="n">
        <v>80</v>
      </c>
      <c r="P36" t="n">
        <v>85</v>
      </c>
      <c r="Q36" t="n">
        <v>70</v>
      </c>
      <c r="R36" t="n">
        <v>50</v>
      </c>
      <c r="S36" t="n">
        <v>50</v>
      </c>
      <c r="T36" t="n">
        <v>65</v>
      </c>
      <c r="U36" t="inlineStr">
        <is>
          <t>CONSIDER</t>
        </is>
      </c>
      <c r="V36" t="inlineStr">
        <is>
          <t>CONSIDER</t>
        </is>
      </c>
      <c r="X36" t="inlineStr">
        <is>
          <t>Default Full Stack / Software Engineering Resume</t>
        </is>
      </c>
      <c r="Y36" t="inlineStr">
        <is>
          <t>2026-10-02</t>
        </is>
      </c>
      <c r="Z36" t="inlineStr">
        <is>
          <t>Matches the candidate's core background in Web Development and DSA.; Located in Bangalore, matching preferred location.; Good opportunity to reinforce technical fundamentals through mentoring and teaching.</t>
        </is>
      </c>
      <c r="AA36" t="inlineStr">
        <is>
          <t>Eligible</t>
        </is>
      </c>
      <c r="AB36" t="inlineStr">
        <is>
          <t>Candidate is pursuing MCA at PES University (2025-2027), matching the student/graduate requirement for B.Tech/CSE or related fields.; Location matches Bengaluru/Bangalore.</t>
        </is>
      </c>
      <c r="AC36" t="inlineStr">
        <is>
          <t>UNKNOWN</t>
        </is>
      </c>
      <c r="AD36" t="inlineStr">
        <is>
          <t>Availability start date is not specified in the candidate profile.</t>
        </is>
      </c>
      <c r="AE36" t="inlineStr">
        <is>
          <t>UNKNOWN</t>
        </is>
      </c>
      <c r="AF36" t="n">
        <v>0</v>
      </c>
      <c r="AG36" t="inlineStr">
        <is>
          <t>No</t>
        </is>
      </c>
      <c r="AH36" t="inlineStr">
        <is>
          <t>Not Mentioned</t>
        </is>
      </c>
      <c r="AI36" t="inlineStr">
        <is>
          <t>The job description does not mention PPO or full-time conversion.</t>
        </is>
      </c>
      <c r="AK36" t="inlineStr">
        <is>
          <t>Role includes Teaching Assistant duties alongside SDE Intern responsibilities, which may not be a pure software engineering role.</t>
        </is>
      </c>
      <c r="AL36" t="inlineStr">
        <is>
          <t>Data Structures and Algorithms fundamentals; Web Development concepts (Frontend &amp; Backend); Teaching and communication skills for doubt clearing; Debugging and coding assessment evaluation</t>
        </is>
      </c>
    </row>
    <row r="37">
      <c r="A37" t="inlineStr">
        <is>
          <t>REPOWISE-261002-36</t>
        </is>
      </c>
      <c r="B37" t="inlineStr">
        <is>
          <t>repowise</t>
        </is>
      </c>
      <c r="C37" t="inlineStr">
        <is>
          <t>SDE Intern (Founding Team)</t>
        </is>
      </c>
      <c r="D37" t="inlineStr">
        <is>
          <t>https://in.jooble.org/desc/-7966063444882906876?ckey=SDE+intern&amp;rgn=3193&amp;pos=3&amp;elckey=5511221380764901055&amp;p=1&amp;aq=-6833300780600067004&amp;cid=389&amp;jobAge=593&amp;brelb=10&amp;bscr=859.8325&amp;scr=859.8325</t>
        </is>
      </c>
      <c r="E37" t="inlineStr">
        <is>
          <t>AI Analyzer</t>
        </is>
      </c>
      <c r="F37" t="inlineStr">
        <is>
          <t>Bangalore</t>
        </is>
      </c>
      <c r="G37" t="inlineStr">
        <is>
          <t>Remote</t>
        </is>
      </c>
      <c r="H37" t="inlineStr">
        <is>
          <t>Not specified</t>
        </is>
      </c>
      <c r="I37" t="inlineStr">
        <is>
          <t>UNKNOWN</t>
        </is>
      </c>
      <c r="J37" t="inlineStr">
        <is>
          <t>UNKNOWN</t>
        </is>
      </c>
      <c r="K37" t="inlineStr">
        <is>
          <t>Python; FastAPI; Git; Docker; LLM integrations</t>
        </is>
      </c>
      <c r="L37" t="inlineStr">
        <is>
          <t>tree-sitter; vector search; MCP</t>
        </is>
      </c>
      <c r="M37" t="inlineStr">
        <is>
          <t>&amp;nbsp;...code Take ownership of features from idea to deployment Tech Stack (Exposure You'll Get) Python, FastAPI, tree-sitter, git &lt;b&gt;internals,&lt;/b&gt; vector search, Docker, MCP, and LLM integrations, applied to static code analysis across 15 languages Qualifications Strong...&amp;nbsp;</t>
        </is>
      </c>
      <c r="N37" t="n">
        <v>51</v>
      </c>
      <c r="O37" t="n">
        <v>40</v>
      </c>
      <c r="P37" t="n">
        <v>60</v>
      </c>
      <c r="Q37" t="n">
        <v>70</v>
      </c>
      <c r="R37" t="n">
        <v>50</v>
      </c>
      <c r="S37" t="n">
        <v>30</v>
      </c>
      <c r="T37" t="n">
        <v>60</v>
      </c>
      <c r="U37" t="inlineStr">
        <is>
          <t>SKIP</t>
        </is>
      </c>
      <c r="V37" t="inlineStr">
        <is>
          <t>SKIP</t>
        </is>
      </c>
      <c r="W37" t="inlineStr">
        <is>
          <t>Python; FastAPI; tree-sitter; vector search; MCP; LLM integrations</t>
        </is>
      </c>
      <c r="X37" t="inlineStr">
        <is>
          <t>Amaanuddin_Ahmed_Resume.pdf</t>
        </is>
      </c>
      <c r="Y37" t="inlineStr">
        <is>
          <t>2026-10-02</t>
        </is>
      </c>
      <c r="Z37" t="inlineStr">
        <is>
          <t>Founding team SDE intern role in AI x Developer Tools.; Remote work mode aligns with preferences.</t>
        </is>
      </c>
      <c r="AA37" t="inlineStr">
        <is>
          <t>ELIGIBLE</t>
        </is>
      </c>
      <c r="AB37" t="inlineStr">
        <is>
          <t>No explicit hard blockers found in the brief JD snippet.</t>
        </is>
      </c>
      <c r="AC37" t="inlineStr">
        <is>
          <t>UNKNOWN</t>
        </is>
      </c>
      <c r="AD37" t="inlineStr">
        <is>
          <t>Availability not explicitly specified in career brain or job description.</t>
        </is>
      </c>
      <c r="AE37" t="inlineStr">
        <is>
          <t>UNKNOWN</t>
        </is>
      </c>
      <c r="AF37" t="n">
        <v>0</v>
      </c>
      <c r="AG37" t="inlineStr">
        <is>
          <t>No</t>
        </is>
      </c>
      <c r="AH37" t="inlineStr">
        <is>
          <t>UNKNOWN</t>
        </is>
      </c>
      <c r="AI37" t="inlineStr">
        <is>
          <t>No explicit mention of PPO or conversion in the job description.</t>
        </is>
      </c>
      <c r="AK37" t="inlineStr">
        <is>
          <t>Extremely brief job description with missing stipend and duration details.</t>
        </is>
      </c>
      <c r="AL37" t="inlineStr">
        <is>
          <t>Python and FastAPI proficiency; LLM integrations and vector search; Git internals and static code analysis</t>
        </is>
      </c>
    </row>
    <row r="38">
      <c r="A38" t="inlineStr">
        <is>
          <t>CLOUDSEK-261002-37</t>
        </is>
      </c>
      <c r="B38" t="inlineStr">
        <is>
          <t>CloudSEK</t>
        </is>
      </c>
      <c r="C38" t="inlineStr">
        <is>
          <t>SDE Intern - Frontend</t>
        </is>
      </c>
      <c r="D38" t="inlineStr">
        <is>
          <t>https://in.jooble.org/desc/395692625088610446?ckey=SDE+intern&amp;rgn=3193&amp;pos=4&amp;elckey=5511221380764901055&amp;p=1&amp;aq=-6833300780600067004&amp;cid=389&amp;jobAge=270&amp;brelb=100&amp;bscr=727.881&amp;scr=727.881</t>
        </is>
      </c>
      <c r="E38" t="inlineStr">
        <is>
          <t>AI Analyzer</t>
        </is>
      </c>
      <c r="F38" t="inlineStr">
        <is>
          <t>Bangalore</t>
        </is>
      </c>
      <c r="G38" t="inlineStr">
        <is>
          <t>Hybrid (at least 4 days in office per week)</t>
        </is>
      </c>
      <c r="H38" t="inlineStr">
        <is>
          <t>Not specified in JD</t>
        </is>
      </c>
      <c r="I38" t="inlineStr">
        <is>
          <t>3-6 Months</t>
        </is>
      </c>
      <c r="J38" t="inlineStr">
        <is>
          <t>NOT_MENTIONED</t>
        </is>
      </c>
      <c r="K38" t="inlineStr">
        <is>
          <t>JavaScript; Object Oriented JavaScript (OOJS); ReactJS; HTML5; CSS</t>
        </is>
      </c>
      <c r="L38" t="inlineStr">
        <is>
          <t>Bootstrap; jQuery; WebPack; Babel; SaSS</t>
        </is>
      </c>
      <c r="M38"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SDE Intern (Founding Team) \| AI x Developer Tools \| Remote
repowise
[Bangalore](https://in.jooble.org/jobs/Bangalore)
- Remote job
[Apply](https://in.jooble.org/away/-7966063444882906876?p=1&amp;pos=0&amp;rgn=3193&amp;pageType=7&amp;cid=389&amp;jobAge=593&amp;scr=859.8325&amp;bscr=859.8325&amp;jdpSource=101&amp;jdpid=-3785913552723763076&amp;crId=IN_-219330625202293420IN_3193)
**Company Description**
Repowise is a codebase intelligence platform that makes AI coding agents actually understand the code they work on. It scores every file in a repo for how likely it is to cause bugs, locates where the risk concentrates through a real dependency graph and git history, and generates the exact fix, all from one local index with zero LLM calls. With 2,500+ GitHub stars and enterprise users already running it in production, Repowise is building the trust layer for an era where AI writes a growing share of the code.
**Role Description**
Build and ship production-grade features across the indexing engine and AI-agent tooling
Work on core platform systems: code parsing, dependency-graph construction, and git-history analysis
Contribute to the code-health engine (defect prediction, refactoring intelligence) and the MCP tools that feed Claude Code, Cursor, and Codex
Improve performance, scalability, and accuracy of analysis across large real-world codebases
Collaborate directly with the founders on product, architecture, and technical direction
Debug, test, and maintain clean, deterministic, well-tested code
Take ownership of features from idea to deployment
**Tech Stack (Exposure You'll Get)**
Python, FastAPI, tree-sitter, git internals, vector search, Docker, MCP, and LLM integrations, applied to static code analysis across 15 languages
**Qualifications**
Strong fundamentals in Data Structures, Algorithms, and core Computer Science concepts
Proficiency in at least one programming language (Python preferred; C++, Go, or Rust a plus)
Hands-on experience with backend development or systems-style projects
Good problem-solving and debugging skills, comfort reading code you didn't write
Ability to work independently in a remote, fast-paced environment
Strong interest in developer tools, compilers/parsers, program analysis, or AI agents
Currently pursuing or recently completed a degree in Computer Science or a related field (or equivalent practical experience)
**Nice to Have (Not Mandatory)**
Experience with static analysis, ASTs, tree-sitter, or graph data structures
Experience building real-world projects (personal, open-source, or startup work)
Familiarity with MCP or AI coding agents (Claude Code, Cursor, Codex)
**Why Join Repowise (Founding Engineer Experience)**
Work directly with the founding team on a product developers genuinely love (2,500+ stars and counting)
Ship features used by engineering teams and enterprises running Repowise in production
Go deep on hard problems: program analysis, graph construction, defect prediction, agent tooling, no busywork
High ownership, fast learning, and meaningful impact from day one
Build in the open: real contributions to a fast-growing developer tool with a public footprint
Flexible, remote-first environment focused on builders and execution
pip install repowise
Repo:
If Repowise found something real in your code, a star helps the next engineer find it
[Apply](https://in.jooble.org/away/-7966063444882906876?p=1&amp;pos=0&amp;rgn=3193&amp;pageType=7&amp;cid=389&amp;jobAge=593&amp;scr=859.8325&amp;bscr=859.8325&amp;jdpSource=101&amp;jdpid=-3785913552723763076&amp;crId=IN_-219330625202293420IN_3193)
# SDE Intern - Frontend
CloudSEK
[Bangalore](https://in.jooble.org/jobs/Bangalore)
[Apply](https://in.jooble.org/away/395692625088610446?p=1&amp;pos=0&amp;rgn=3193&amp;pageType=7&amp;cid=389&amp;jobAge=270&amp;scr=727.881&amp;</t>
        </is>
      </c>
      <c r="N38" t="n">
        <v>66</v>
      </c>
      <c r="O38" t="n">
        <v>60</v>
      </c>
      <c r="P38" t="n">
        <v>75</v>
      </c>
      <c r="Q38" t="n">
        <v>80</v>
      </c>
      <c r="R38" t="n">
        <v>50</v>
      </c>
      <c r="S38" t="n">
        <v>50</v>
      </c>
      <c r="T38" t="n">
        <v>85</v>
      </c>
      <c r="U38" t="inlineStr">
        <is>
          <t>STRETCH</t>
        </is>
      </c>
      <c r="V38" t="inlineStr">
        <is>
          <t>STRETCH</t>
        </is>
      </c>
      <c r="W38" t="inlineStr">
        <is>
          <t>ReactJS; WebPack; Babel; SaSS</t>
        </is>
      </c>
      <c r="X38" t="inlineStr">
        <is>
          <t>Amaanuddin_Ahmed_Resume.pdf</t>
        </is>
      </c>
      <c r="Y38" t="inlineStr">
        <is>
          <t>2026-10-02</t>
        </is>
      </c>
      <c r="Z38" t="inlineStr">
        <is>
          <t>CloudSEK is a prominent cybersecurity product company offering strong brand value and opportunity quality.; Role matches primary target internship title (SDE Intern - Frontend).; Location matches candidate preference (Bangalore).</t>
        </is>
      </c>
      <c r="AA38" t="inlineStr">
        <is>
          <t>ELIGIBLE</t>
        </is>
      </c>
      <c r="AB38" t="inlineStr">
        <is>
          <t>Candidate is based in Bengaluru and available for hybrid work.; Target role aligns with Software Engineer Intern.</t>
        </is>
      </c>
      <c r="AC38" t="inlineStr">
        <is>
          <t>UNKNOWN</t>
        </is>
      </c>
      <c r="AD38" t="inlineStr">
        <is>
          <t>Exact immediate start date availability not explicitly declared in profile.</t>
        </is>
      </c>
      <c r="AE38" t="inlineStr">
        <is>
          <t>UNKNOWN</t>
        </is>
      </c>
      <c r="AF38" t="n">
        <v>0</v>
      </c>
      <c r="AG38" t="inlineStr">
        <is>
          <t>No</t>
        </is>
      </c>
      <c r="AH38" t="inlineStr">
        <is>
          <t>NOT_MENTIONED</t>
        </is>
      </c>
      <c r="AI38" t="inlineStr">
        <is>
          <t>No explicit mention of PPO or conversion in the CloudSEK job description.</t>
        </is>
      </c>
      <c r="AL38" t="inlineStr">
        <is>
          <t>Object Oriented JavaScript (OOJS) and closures; ReactJS component lifecycle, stateful vs stateless components, and hooks; CSS architectures and styling approaches; WebPack and Babel bundling fundamentals</t>
        </is>
      </c>
    </row>
    <row r="39">
      <c r="A39" t="inlineStr">
        <is>
          <t>LIMINAL-CUST-261002-38</t>
        </is>
      </c>
      <c r="B39" t="inlineStr">
        <is>
          <t>liminal custody</t>
        </is>
      </c>
      <c r="C39" t="inlineStr">
        <is>
          <t>QA Automation Intern</t>
        </is>
      </c>
      <c r="D39" t="inlineStr">
        <is>
          <t>https://in.jooble.org/desc/-313820493907634138?ckey=Node.js+intern&amp;rgn=3193&amp;pos=7&amp;elckey=-5733443963698178074&amp;p=1&amp;aq=-4783003923752355042&amp;cid=389&amp;jobAge=881&amp;brelb=10&amp;bscr=1504.7268&amp;scr=1504.7268</t>
        </is>
      </c>
      <c r="E39" t="inlineStr">
        <is>
          <t>AI Analyzer</t>
        </is>
      </c>
      <c r="F39" t="inlineStr">
        <is>
          <t>Bangalore</t>
        </is>
      </c>
      <c r="G39" t="inlineStr">
        <is>
          <t>UNKNOWN</t>
        </is>
      </c>
      <c r="H39" t="inlineStr">
        <is>
          <t>Not specified</t>
        </is>
      </c>
      <c r="I39" t="inlineStr">
        <is>
          <t>UNKNOWN</t>
        </is>
      </c>
      <c r="J39" t="inlineStr">
        <is>
          <t>No</t>
        </is>
      </c>
      <c r="K39" t="inlineStr">
        <is>
          <t>Software Testing; Git; GitHub; Node.js; HTML; CSS</t>
        </is>
      </c>
      <c r="M39" t="inlineStr">
        <is>
          <t>&amp;nbsp;...About the Internship : We are looking for a passionate QA Automation &lt;b&gt;Intern &lt;/b&gt;who is eager to learn modern test automation practices and...&amp;nbsp;&amp;nbsp;...&amp; CSS Software Testing concepts Git/GitHub Knowledge of &lt;b&gt;Node.js.&lt;/b&gt; Strong analytical and problem-solving skills. Good communication...&amp;nbsp;</t>
        </is>
      </c>
      <c r="N39" t="n">
        <v>37</v>
      </c>
      <c r="O39" t="n">
        <v>50</v>
      </c>
      <c r="P39" t="n">
        <v>60</v>
      </c>
      <c r="Q39" t="n">
        <v>40</v>
      </c>
      <c r="R39" t="n">
        <v>0</v>
      </c>
      <c r="S39" t="n">
        <v>0</v>
      </c>
      <c r="T39" t="n">
        <v>40</v>
      </c>
      <c r="U39" t="inlineStr">
        <is>
          <t>SKIP</t>
        </is>
      </c>
      <c r="V39" t="inlineStr">
        <is>
          <t>SKIP</t>
        </is>
      </c>
      <c r="W39" t="inlineStr">
        <is>
          <t>Software Testing; QA Automation</t>
        </is>
      </c>
      <c r="X39" t="inlineStr">
        <is>
          <t>Default Resume</t>
        </is>
      </c>
      <c r="Y39" t="inlineStr">
        <is>
          <t>2026-10-02</t>
        </is>
      </c>
      <c r="Z39" t="inlineStr">
        <is>
          <t>Located in Bangalore; Involves Node.js which candidate has used</t>
        </is>
      </c>
      <c r="AA39" t="inlineStr">
        <is>
          <t>Eligible</t>
        </is>
      </c>
      <c r="AB39" t="inlineStr">
        <is>
          <t>Location matches Bengaluru preference; Role is an internship matching student status</t>
        </is>
      </c>
      <c r="AC39" t="inlineStr">
        <is>
          <t>UNKNOWN</t>
        </is>
      </c>
      <c r="AD39" t="inlineStr">
        <is>
          <t>Not specified in candidate profile or job description</t>
        </is>
      </c>
      <c r="AE39" t="inlineStr">
        <is>
          <t>UNKNOWN</t>
        </is>
      </c>
      <c r="AF39" t="n">
        <v>0</v>
      </c>
      <c r="AG39" t="inlineStr">
        <is>
          <t>No</t>
        </is>
      </c>
      <c r="AH39" t="inlineStr">
        <is>
          <t>No</t>
        </is>
      </c>
      <c r="AI39" t="inlineStr">
        <is>
          <t>No mention of PPO or conversion in the job description</t>
        </is>
      </c>
      <c r="AK39" t="inlineStr">
        <is>
          <t>Stipend information is missing; No PPO mention; Role is QA Automation which diverges from primary Software Development targets</t>
        </is>
      </c>
      <c r="AL39" t="inlineStr">
        <is>
          <t>Software Testing fundamentals and automation concepts; Node.js debugging and testing frameworks; Version control with Git/GitHub</t>
        </is>
      </c>
    </row>
    <row r="40">
      <c r="A40" t="inlineStr">
        <is>
          <t>ABSTRABIT-TE-261002-39</t>
        </is>
      </c>
      <c r="B40" t="inlineStr">
        <is>
          <t>abstrabit technologies</t>
        </is>
      </c>
      <c r="C40" t="inlineStr">
        <is>
          <t>Software Engineering Intern</t>
        </is>
      </c>
      <c r="D40" t="inlineStr">
        <is>
          <t>https://in.jooble.org/desc/-7374053705931243701?ckey=Node.js+intern&amp;rgn=3193&amp;pos=9&amp;elckey=-5733443963698178074&amp;p=1&amp;aq=-4783003923752355042&amp;cid=389&amp;jobAge=233&amp;brelb=10&amp;bscr=1462.0576&amp;scr=1462.0576</t>
        </is>
      </c>
      <c r="E40" t="inlineStr">
        <is>
          <t>AI Analyzer</t>
        </is>
      </c>
      <c r="F40" t="inlineStr">
        <is>
          <t>Bangalore</t>
        </is>
      </c>
      <c r="G40" t="inlineStr">
        <is>
          <t>On-site / Local presence required</t>
        </is>
      </c>
      <c r="H40" t="inlineStr">
        <is>
          <t>Not specified</t>
        </is>
      </c>
      <c r="I40" t="inlineStr">
        <is>
          <t>Not specified</t>
        </is>
      </c>
      <c r="J40" t="inlineStr">
        <is>
          <t>Not Mentioned</t>
        </is>
      </c>
      <c r="K40" t="inlineStr">
        <is>
          <t>Programming fundamentals; Web applications; APIs; Databases; Git</t>
        </is>
      </c>
      <c r="L40" t="inlineStr">
        <is>
          <t>JavaScript; TypeScript; React; Node.js; Next.js</t>
        </is>
      </c>
      <c r="M40"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Full Stack Developer Intern
tradegospel
[Bangalore](https://in.jooble.org/jobs/Bangalore)
[Apply](https://in.jooble.org/away/-4062499930695493919?p=1&amp;pos=0&amp;rgn=3193&amp;pageType=7&amp;cid=389&amp;jobAge=857&amp;scr=1463.133&amp;bscr=1463.133&amp;jdpSource=101&amp;jdpid=-5897635320055890932&amp;crId=IN_8851616716581478535IN_3193)
This position requires local presence. Please view similar jobs below.
About the job
At **TradeGospel** ( we are building technology that empowers businesses and individuals to connect, collaborate, and grow. Our team is passionate about innovation and creating impactful digital solutions.
We are looking for a **Full Stack Developer Intern** to join us for a **3-month internship** at our Bengaluru office. This is a great opportunity to gain hands-on experience working with modern technologies while contributing to real-world projects.
Responsibilities
- Develop and maintain web applications using **React.js, Next.js, and Node.js** .
- Work with **MongoDB** for database operations and integration.
- Test and debug APIs using **Postman** .
- Assist in deploying and managing applications on **AWS** .
- Collaborate with senior developers on design, development, and optimization.
- Participate in code reviews, brainstorming, and agile team discussions.
Qualifications
- Currently pursuing a degree in Computer Science, Engineering, or a related field.
- Familiarity with **React.js, Next.js, Node.js, MongoDB, Postman, and AWS** .
- Strong problem-solving and analytical skills.
- Knowledge of version control systems (Git/GitHub).
- Good communication and teamwork abilities.
Internship Details
- **Duration** : 3 months
- **Stipend** : 5,000 per month
- **Location** : Remote
Why Join Us
- Work on live projects and gain practical full-stack development experience.
- Learn from experienced mentors in a collaborative environment.
- Exposure to modern web development frameworks and cloud technologies.
- A chance to kick-start your career with meaningful, real-world impact.
About TradeGospel
TradeGospel is a technology-driven company focused on building solutions that foster growth and innovation in the digital economy. By leveraging cutting-edge tools, we aim to simplify trade, enhance digital experiences, and empower communities worldwide.
We are an **equal opportunity employer** and encourage applicants from all backgrounds to bring their authentic selves to work.
Apply now and start your journey with TradeGospel!
[Apply](https://in.jooble.org/away/-4062499930695493919?p=1&amp;pos=0&amp;rgn=3193&amp;pageType=7&amp;cid=389&amp;jobAge=857&amp;scr=1463.133&amp;bscr=1463.133&amp;jdpSource=101&amp;jdpid=-5897635320055890932&amp;crId=IN_8851616716581478535IN_3193)
# Software Engineering Intern
abstrabit technologies
[Bangalore](https://in.jooble.org/jobs/Bangalore)
[Apply](https://in.jooble.org/away/-7374053705931243701?p=1&amp;pos=0&amp;rgn=3193&amp;pageType=7&amp;cid=389&amp;jobAge=233&amp;scr=1462.0576&amp;bscr=1462.0576&amp;jdpSource=101&amp;jdpid=7815749016708515050&amp;crId=IN_8851616716581478535IN_3193)
This position requires local presence. Please view similar jobs below.
**Company Description**
**Abstrabit is a Private AI engineering company building AI-powered products and solutions for businesses. We work across the AI stack — from deploying and evaluating private and open-weight models to building production applications, agents, workflows, and integrations on top of them.**
**Our engineering work is organized across two closely connected layers: the  AI layer  , focused on models, inference, evaluation, and AI infrastructure; and the  application layer  , focused on building reliable, scalable software products that use those AI capabilities.**
**The Context**
**AI models are only one part of a production AI system.**
**They still need applicatio</t>
        </is>
      </c>
      <c r="N40" t="n">
        <v>78</v>
      </c>
      <c r="O40" t="n">
        <v>90</v>
      </c>
      <c r="P40" t="n">
        <v>85</v>
      </c>
      <c r="Q40" t="n">
        <v>90</v>
      </c>
      <c r="R40" t="n">
        <v>50</v>
      </c>
      <c r="S40" t="n">
        <v>40</v>
      </c>
      <c r="T40" t="n">
        <v>85</v>
      </c>
      <c r="U40" t="inlineStr">
        <is>
          <t>CONSIDER</t>
        </is>
      </c>
      <c r="V40" t="inlineStr">
        <is>
          <t>CONSIDER</t>
        </is>
      </c>
      <c r="W40" t="inlineStr">
        <is>
          <t>TypeScript</t>
        </is>
      </c>
      <c r="X40" t="inlineStr">
        <is>
          <t>Default Full Stack / Software Engineer Resume highlighting MERN and Node.js projects</t>
        </is>
      </c>
      <c r="Y40" t="inlineStr">
        <is>
          <t>2026-10-02</t>
        </is>
      </c>
      <c r="Z40" t="inlineStr">
        <is>
          <t>Strong alignment with target role (Software Engineer Intern); Tech stack closely matches candidate demonstrated skills in Node.js, React, and databases; Exciting opportunity to work at the intersection of application engineering and modern AI systems</t>
        </is>
      </c>
      <c r="AA40" t="inlineStr">
        <is>
          <t>ELIGIBLE</t>
        </is>
      </c>
      <c r="AB40" t="inlineStr">
        <is>
          <t>Target role matches Software Engineer Intern; Candidate is based in Bengaluru and available for local presence; Meets general engineering student criteria</t>
        </is>
      </c>
      <c r="AC40" t="inlineStr">
        <is>
          <t>UNKNOWN</t>
        </is>
      </c>
      <c r="AD40" t="inlineStr">
        <is>
          <t>Exact start date and availability window not specified in candidate profile</t>
        </is>
      </c>
      <c r="AE40" t="inlineStr">
        <is>
          <t>UNKNOWN</t>
        </is>
      </c>
      <c r="AF40" t="n">
        <v>0</v>
      </c>
      <c r="AG40" t="inlineStr">
        <is>
          <t>No</t>
        </is>
      </c>
      <c r="AH40" t="inlineStr">
        <is>
          <t>Not Mentioned</t>
        </is>
      </c>
      <c r="AI40" t="inlineStr">
        <is>
          <t>The job description does not explicitly mention PPO or conversion opportunities.</t>
        </is>
      </c>
      <c r="AK40" t="inlineStr">
        <is>
          <t>Stipend is not disclosed in the listing</t>
        </is>
      </c>
      <c r="AL40" t="inlineStr">
        <is>
          <t>REST API design and integration; Database operations and data modeling; Debugging workflows across frontend and backend; Problem-solving and engineering fundamentals</t>
        </is>
      </c>
    </row>
    <row r="41">
      <c r="A41" t="inlineStr">
        <is>
          <t>RENTOMOJO-261002-40</t>
        </is>
      </c>
      <c r="B41" t="inlineStr">
        <is>
          <t>RentoMojo</t>
        </is>
      </c>
      <c r="C41" t="inlineStr">
        <is>
          <t>Data Analyst -Intern</t>
        </is>
      </c>
      <c r="D41" t="inlineStr">
        <is>
          <t>https://in.jooble.org/desc/8456592047622568060?ckey=Node.js+intern&amp;rgn=3193&amp;pos=10&amp;elckey=-5733443963698178074&amp;p=1&amp;aq=-4783003923752355042&amp;cid=389&amp;jobAge=593&amp;brelb=10&amp;bscr=1434.3254&amp;scr=1434.3254</t>
        </is>
      </c>
      <c r="E41" t="inlineStr">
        <is>
          <t>AI Analyzer</t>
        </is>
      </c>
      <c r="F41" t="inlineStr">
        <is>
          <t>Bangalore</t>
        </is>
      </c>
      <c r="G41" t="inlineStr">
        <is>
          <t>UNKNOWN</t>
        </is>
      </c>
      <c r="H41" t="inlineStr">
        <is>
          <t>Not specified</t>
        </is>
      </c>
      <c r="I41" t="inlineStr">
        <is>
          <t>UNKNOWN</t>
        </is>
      </c>
      <c r="J41" t="inlineStr">
        <is>
          <t>UNKNOWN</t>
        </is>
      </c>
      <c r="K41" t="inlineStr">
        <is>
          <t>Business KPIs; Data Analysis</t>
        </is>
      </c>
      <c r="L41" t="inlineStr">
        <is>
          <t>Python; Node.js; DBT; Snowflake; Redshift; Fivetran</t>
        </is>
      </c>
      <c r="M41" t="inlineStr">
        <is>
          <t>&amp;nbsp;...). Good understanding of business KPIs and ability to derive insights from raw data. Bonus Points Experience with Python or &lt;b&gt;Node.js &lt;/b&gt;for Lambda scripting and automation. Familiarity with DBT or modern data stack (e.g., Snowflake, Redshift, Fivetran). Exposure...&amp;nbsp;</t>
        </is>
      </c>
      <c r="N41" t="n">
        <v>40</v>
      </c>
      <c r="O41" t="n">
        <v>40</v>
      </c>
      <c r="P41" t="n">
        <v>50</v>
      </c>
      <c r="Q41" t="n">
        <v>40</v>
      </c>
      <c r="R41" t="n">
        <v>30</v>
      </c>
      <c r="S41" t="n">
        <v>30</v>
      </c>
      <c r="T41" t="n">
        <v>50</v>
      </c>
      <c r="U41" t="inlineStr">
        <is>
          <t>SKIP</t>
        </is>
      </c>
      <c r="V41" t="inlineStr">
        <is>
          <t>SKIP</t>
        </is>
      </c>
      <c r="W41" t="inlineStr">
        <is>
          <t>DBT; Snowflake; Redshift; Fivetran</t>
        </is>
      </c>
      <c r="X41" t="inlineStr">
        <is>
          <t>Amaanuddin_Ahmed_Resume.pdf</t>
        </is>
      </c>
      <c r="Y41" t="inlineStr">
        <is>
          <t>2026-10-02</t>
        </is>
      </c>
      <c r="Z41" t="inlineStr">
        <is>
          <t>Located in Bangalore; Mentions Node.js as a bonus point which candidate has experience with</t>
        </is>
      </c>
      <c r="AA41" t="inlineStr">
        <is>
          <t>ELIGIBLE</t>
        </is>
      </c>
      <c r="AC41" t="inlineStr">
        <is>
          <t>UNKNOWN</t>
        </is>
      </c>
      <c r="AD41" t="inlineStr">
        <is>
          <t>Availability not explicitly specified in the job description.</t>
        </is>
      </c>
      <c r="AE41" t="inlineStr">
        <is>
          <t>UNKNOWN</t>
        </is>
      </c>
      <c r="AF41" t="n">
        <v>0</v>
      </c>
      <c r="AG41" t="inlineStr">
        <is>
          <t>No</t>
        </is>
      </c>
      <c r="AH41" t="inlineStr">
        <is>
          <t>UNKNOWN</t>
        </is>
      </c>
      <c r="AI41" t="inlineStr">
        <is>
          <t>No mention of PPO or conversion in the snippet.</t>
        </is>
      </c>
      <c r="AK41" t="inlineStr">
        <is>
          <t>Incomplete job description text snippet; Unclear stipend</t>
        </is>
      </c>
      <c r="AL41" t="inlineStr">
        <is>
          <t>Business KPIs and metric derivation; Node.js for scripting and automation; Data analysis fundamentals</t>
        </is>
      </c>
    </row>
    <row r="42">
      <c r="A42" t="inlineStr">
        <is>
          <t>YOURFRIENDLY-261002-41</t>
        </is>
      </c>
      <c r="B42" t="inlineStr">
        <is>
          <t>yourfriendlyhr</t>
        </is>
      </c>
      <c r="C42" t="inlineStr">
        <is>
          <t>Software Development Intern - Full Stack / Backend Focus</t>
        </is>
      </c>
      <c r="D42" t="inlineStr">
        <is>
          <t>https://in.jooble.org/desc/7896815599256894917?ckey=Node.js+intern&amp;rgn=3193&amp;pos=11&amp;elckey=-5733443963698178074&amp;p=1&amp;aq=-4783003923752355042&amp;cid=389&amp;jobAge=257&amp;brelb=10&amp;bscr=1419.432&amp;scr=1419.432</t>
        </is>
      </c>
      <c r="E42" t="inlineStr">
        <is>
          <t>AI Analyzer</t>
        </is>
      </c>
      <c r="F42" t="inlineStr">
        <is>
          <t>HRBR Layout, Kalyan Nagar, Bengaluru, Karnataka</t>
        </is>
      </c>
      <c r="G42" t="inlineStr">
        <is>
          <t>On-site</t>
        </is>
      </c>
      <c r="I42" t="inlineStr">
        <is>
          <t>6 months</t>
        </is>
      </c>
      <c r="J42" t="inlineStr">
        <is>
          <t>UNKNOWN</t>
        </is>
      </c>
      <c r="K42" t="inlineStr">
        <is>
          <t>JavaScript; Node.js; React.js; REST APIs; Databases; Git; Authentication</t>
        </is>
      </c>
      <c r="L42" t="inlineStr">
        <is>
          <t>Next.js; NestJS; Prisma; MongoDB; PostgreSQL; Redis; Docker</t>
        </is>
      </c>
      <c r="M4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Data Analyst -Intern
RentoMojo
[Bangalore](https://in.jooble.org/jobs/Bangalore)
[Apply](https://in.jooble.org/away/8456592047622568060?p=1&amp;pos=0&amp;rgn=3193&amp;pageType=7&amp;cid=389&amp;jobAge=593&amp;scr=1434.3254&amp;bscr=1434.3254&amp;jdpSource=101&amp;jdpid=-5211307053546736316&amp;crId=IN_8851616716581478535IN_3193)
This position requires local presence. Please view similar jobs below.
**About The Role**
**We're looking for a sharp, analytical, and business-savvy Data Analyst who is a power user of SQL across platforms like PostgreSQL, MySQL, and AWS Athena. In this role, you won't just write high-performance queries—you'll also automate reporting flows, build scalable pipelines, and ensure real-time visibility into business metrics across teams.**
**If you thrive at the intersection of data engineering, automation, and business storytelling, this role is for you.**
**Key Responsibilities**
**- Build, optimize, and maintain complex SQL queries on Postgres, MySQL, MongoDB and Athena to generate actionable reports and dashboards.**
**- Automate query execution and reporting via Google Sheets, using AWS Lambda or equivalent serverless solutions.**
**- Set up and manage scheduled jobs, alerts, and workflows using AWS Data Pipeline, Step Functions, or similar orchestration tools.**
**- Partner with business stakeholders (Ops, Marketing, Finance, Product) to understand reporting needs and deliver high-impact solutions.**
**- Own day-to-day reporting requirements—automated and ad-hoc—including operational metrics, cohort analyses, funnel reports, and performance dashboards.**
**- Identify data gaps, inconsistencies, and propose scalable solutions for reporting infrastructure.**
**- Translate business problems into analytical tasks and convert data into insights that drive decision-making.**
**- Collaborate with Data Engineering/Platform teams to ensure data integrity and pipeline reliability.**
**Must-Have Skills**
**- Advanced SQL proficiency across PostgreSQL, MySQL, and AWS Athena.**
**- Strong experience in automating data workflows, especially pushing query outputs to Google Sheets using AWS Lambda or similar tools.**
**- Knowledge of AWS Data Pipeline, Glue jobs, and scheduling/event-driven processing.**
**- Experience with data modeling and structuring datasets for analytics.**
**- Comfortable navigating large and messy datasets to answer open-ended business questions.**
**- Proficient in Excel and/or BI tools (e.g., Metabase, Power BI, Tableau, Looker).**
**- Good understanding of business KPIs and ability to derive insights from raw data.**
**Bonus Points**
**- Experience with Python or Node.js for Lambda scripting and automation.**
**- Familiarity with DBT or modern data stack (e.g., Snowflake, Redshift, Fivetran).**
**- Exposure to product or supply chain analytics in a fast-paced environment.**
**Skills: python,data,aws,sql**
[Apply](https://in.jooble.org/away/8456592047622568060?p=1&amp;pos=0&amp;rgn=3193&amp;pageType=7&amp;cid=389&amp;jobAge=593&amp;scr=1434.3254&amp;bscr=1434.3254&amp;jdpSource=101&amp;jdpid=-5211307053546736316&amp;crId=IN_8851616716581478535IN_3193)
# Software Development Intern - Full Stack / Backend Focus
yourfriendlyhr
[Bangalore](https://in.jooble.org/jobs/Bangalore)
[Apply](https://in.jooble.org/away/7896815599256894917?p=1&amp;pos=0&amp;rgn=3193&amp;pageType=7&amp;cid=389&amp;jobAge=257&amp;scr=1419.432&amp;bscr=1419.432&amp;jdpSource=101&amp;jdpid=470001669216854907&amp;crId=IN_8851616716581478535IN_3193)
This position requires local presence. Please view similar jobs below.
This role is with our client, a Bengaluru-based technology company that helps small and growing businesses turn their ideas into practical, scalable digital solutions. They work across custom software development, web and mobile applications, UI/UX, API integrati</t>
        </is>
      </c>
      <c r="N42" t="n">
        <v>79</v>
      </c>
      <c r="O42" t="n">
        <v>88</v>
      </c>
      <c r="P42" t="n">
        <v>90</v>
      </c>
      <c r="Q42" t="n">
        <v>95</v>
      </c>
      <c r="R42" t="n">
        <v>50</v>
      </c>
      <c r="S42" t="n">
        <v>50</v>
      </c>
      <c r="T42" t="n">
        <v>80</v>
      </c>
      <c r="U42" t="inlineStr">
        <is>
          <t>CONSIDER</t>
        </is>
      </c>
      <c r="V42" t="inlineStr">
        <is>
          <t>CONSIDER</t>
        </is>
      </c>
      <c r="W42" t="inlineStr">
        <is>
          <t>TypeScript; Next.js; NestJS; Prisma</t>
        </is>
      </c>
      <c r="X42" t="inlineStr">
        <is>
          <t>Default Full Stack / Backend Resume</t>
        </is>
      </c>
      <c r="Y42" t="inlineStr">
        <is>
          <t>2026-10-02</t>
        </is>
      </c>
      <c r="Z42" t="inlineStr">
        <is>
          <t>Role aligns perfectly with primary target roles (Software Development Engineer Intern / Full Stack Developer Intern).; Strong technical overlap with demonstrated Node.js, Express, React, and database skills.; Located in Bengaluru with an on-site mode matching candidate preferences.</t>
        </is>
      </c>
      <c r="AA42" t="inlineStr">
        <is>
          <t>ELIGIBLE</t>
        </is>
      </c>
      <c r="AB42" t="inlineStr">
        <is>
          <t>Candidate is an MCA student matching target internship roles.; Location matches preferred location of Bengaluru.; Experience requirements match students/freshers/candidates with relevant projects.</t>
        </is>
      </c>
      <c r="AC42" t="inlineStr">
        <is>
          <t>UNKNOWN</t>
        </is>
      </c>
      <c r="AD42" t="inlineStr">
        <is>
          <t>Exact start date availability not explicitly specified in career brain.</t>
        </is>
      </c>
      <c r="AE42" t="inlineStr">
        <is>
          <t>UNKNOWN</t>
        </is>
      </c>
      <c r="AF42" t="n">
        <v>0</v>
      </c>
      <c r="AG42" t="inlineStr">
        <is>
          <t>No</t>
        </is>
      </c>
      <c r="AH42" t="inlineStr">
        <is>
          <t>UNKNOWN</t>
        </is>
      </c>
      <c r="AI42" t="inlineStr">
        <is>
          <t>PPO or conversion details are not explicitly mentioned in the job description.</t>
        </is>
      </c>
      <c r="AL42" t="inlineStr">
        <is>
          <t>Node.js asynchronous programming and event loop; Express middleware and request-response lifecycle; Authentication vs Authorization (JWT, sessions, RBAC); Database indexing and CRUD operations; Frontend-backend communication and REST API error handling</t>
        </is>
      </c>
    </row>
    <row r="43">
      <c r="A43" t="inlineStr">
        <is>
          <t>PLAYO-261002-42</t>
        </is>
      </c>
      <c r="B43" t="inlineStr">
        <is>
          <t>Playo</t>
        </is>
      </c>
      <c r="C43" t="inlineStr">
        <is>
          <t>Engineering Intern</t>
        </is>
      </c>
      <c r="D43" t="inlineStr">
        <is>
          <t>https://in.jooble.org/desc/3698294621831243034?ckey=Node.js+intern&amp;rgn=3193&amp;pos=13&amp;elckey=-5733443963698178074&amp;p=1&amp;aq=-4783003923752355042&amp;cid=389&amp;jobAge=89&amp;brelb=10&amp;bscr=1320.1&amp;scr=1320.1</t>
        </is>
      </c>
      <c r="E43" t="inlineStr">
        <is>
          <t>AI Analyzer</t>
        </is>
      </c>
      <c r="F43" t="inlineStr">
        <is>
          <t>Bangalore</t>
        </is>
      </c>
      <c r="G43" t="inlineStr">
        <is>
          <t>Not specified</t>
        </is>
      </c>
      <c r="H43" t="inlineStr">
        <is>
          <t>Not specified</t>
        </is>
      </c>
      <c r="I43" t="inlineStr">
        <is>
          <t>Not specified</t>
        </is>
      </c>
      <c r="J43" t="inlineStr">
        <is>
          <t>Not mentioned</t>
        </is>
      </c>
      <c r="K43" t="inlineStr">
        <is>
          <t>Node.js; MySQL; Docker</t>
        </is>
      </c>
      <c r="L43" t="inlineStr">
        <is>
          <t>Redis; AWS SNS/SQS; Docker Compose</t>
        </is>
      </c>
      <c r="M43" t="inlineStr">
        <is>
          <t>&amp;nbsp;...MySQL, Redis, AWS SNS/SQS, Docker. 2) Full-Stack Engineering — &lt;b&gt;Node.js &lt;/b&gt; Developing consumer features across discovery, social groups,...&amp;nbsp;&amp;nbsp;...local orchestration environments with Docker Compose for &lt;b&gt;internal &lt;/b&gt;engineering teams. Establishing telemetry metrics, distributed...&amp;nbsp;</t>
        </is>
      </c>
      <c r="N43" t="n">
        <v>74</v>
      </c>
      <c r="O43" t="n">
        <v>80</v>
      </c>
      <c r="P43" t="n">
        <v>85</v>
      </c>
      <c r="Q43" t="n">
        <v>90</v>
      </c>
      <c r="R43" t="n">
        <v>50</v>
      </c>
      <c r="S43" t="n">
        <v>50</v>
      </c>
      <c r="T43" t="n">
        <v>70</v>
      </c>
      <c r="U43" t="inlineStr">
        <is>
          <t>CONSIDER</t>
        </is>
      </c>
      <c r="V43" t="inlineStr">
        <is>
          <t>CONSIDER</t>
        </is>
      </c>
      <c r="W43" t="inlineStr">
        <is>
          <t>Redis; AWS SNS/SQS</t>
        </is>
      </c>
      <c r="X43" t="inlineStr">
        <is>
          <t>Amaanuddin_Ahmed_Resume.pdf</t>
        </is>
      </c>
      <c r="Y43" t="inlineStr">
        <is>
          <t>2026-10-02</t>
        </is>
      </c>
      <c r="Z43" t="inlineStr">
        <is>
          <t>Matches primary target role as an Engineering/Backend Intern in Bangalore; Requires core demonstrated skills like Node.js, MySQL, and Docker</t>
        </is>
      </c>
      <c r="AA43" t="inlineStr">
        <is>
          <t>Eligible</t>
        </is>
      </c>
      <c r="AB43" t="inlineStr">
        <is>
          <t>Location matches preferred location (Bangalore); Role matches target internship domain</t>
        </is>
      </c>
      <c r="AC43" t="inlineStr">
        <is>
          <t>Unknown</t>
        </is>
      </c>
      <c r="AD43" t="inlineStr">
        <is>
          <t>Availability dates not specified in the job description</t>
        </is>
      </c>
      <c r="AE43" t="inlineStr">
        <is>
          <t>UNKNOWN</t>
        </is>
      </c>
      <c r="AF43" t="n">
        <v>0</v>
      </c>
      <c r="AG43" t="inlineStr">
        <is>
          <t>No</t>
        </is>
      </c>
      <c r="AH43" t="inlineStr">
        <is>
          <t>Not mentioned</t>
        </is>
      </c>
      <c r="AI43" t="inlineStr">
        <is>
          <t>No mention of PPO or conversion in the snippet</t>
        </is>
      </c>
      <c r="AK43" t="inlineStr">
        <is>
          <t>Stipend is not disclosed; Job description snippet is very brief and incomplete</t>
        </is>
      </c>
      <c r="AL43" t="inlineStr">
        <is>
          <t>Node.js architecture and asynchronous programming; MySQL database design and query optimization; Containerization using Docker and Docker Compose</t>
        </is>
      </c>
    </row>
    <row r="44">
      <c r="A44" t="inlineStr">
        <is>
          <t>SMYTTEN-(PUL-261002-43</t>
        </is>
      </c>
      <c r="B44" t="inlineStr">
        <is>
          <t>Smytten (PulseAI Research)</t>
        </is>
      </c>
      <c r="C44" t="inlineStr">
        <is>
          <t>Software Development Engineer Intern - Backend</t>
        </is>
      </c>
      <c r="D44" t="inlineStr">
        <is>
          <t>https://in.jooble.org/desc/-3697916622688250511?ckey=Node.js+intern&amp;rgn=3193&amp;pos=16&amp;elckey=-5733443963698178074&amp;p=1&amp;aq=-4783003923752355042&amp;cid=389&amp;jobAge=809&amp;brelb=10&amp;bscr=1181.2272&amp;scr=1181.2272</t>
        </is>
      </c>
      <c r="E44" t="inlineStr">
        <is>
          <t>AI Analyzer</t>
        </is>
      </c>
      <c r="F44" t="inlineStr">
        <is>
          <t>Bangalore</t>
        </is>
      </c>
      <c r="G44" t="inlineStr">
        <is>
          <t>On-site</t>
        </is>
      </c>
      <c r="H44" t="inlineStr">
        <is>
          <t>This is a paid internship.</t>
        </is>
      </c>
      <c r="I44" t="inlineStr">
        <is>
          <t>4-6 months</t>
        </is>
      </c>
      <c r="J44" t="inlineStr">
        <is>
          <t>AVAILABLE</t>
        </is>
      </c>
      <c r="K44" t="inlineStr">
        <is>
          <t>Data structures and algorithms; Backend development; REST/gRPC APIs; SQL and modern database architectures; Caching, queues and asynchronous processing; Cloud-native application development</t>
        </is>
      </c>
      <c r="L44" t="inlineStr">
        <is>
          <t>LLM APIs and Generative AI applications; RAG, embeddings and vector databases; Docker / Kubernetes; AWS / GCP / Azure; Redis</t>
        </is>
      </c>
      <c r="M44"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Development Engineer Intern Backend
Smytten
[Bangalore](https://in.jooble.org/jobs/Bangalore)
[Apply](https://in.jooble.org/away/-7679600165468888313?p=1&amp;pos=0&amp;rgn=3193&amp;pageType=7&amp;cid=389&amp;jobAge=65&amp;scr=1213.489&amp;bscr=1213.489&amp;jdpSource=101&amp;jdpid=1816702294865219302&amp;crId=IN_8851616716581478535IN_3193)
This position requires local presence. Please view similar jobs below.
**ABOUT PULSEAI RESEARCH (**
**PulseAI Research is an AI-powered consumer intelligence and research platform, powered by Smytten. We help brands understand real consumer behaviour through data, AI, and insights from millions of real shopper interactions. From consumer research and product testing to behavioural insights, we enable brands to make faster, data-driven decisions.**
**As an intern, you will be working alongside the teams building and scaling our AI-powered consumer intelligence platform and the custom enterprise apps — which means real exposure to large-scale data, AI-driven product features, and systems used by the Fortune 500 companies every day.**
**What You Would Be Working On**
**- Design and build highly scalable, secure and fault-tolerant backend systems powering enterprise-grade AI applications across Consumer Research and Analytics.**
**- Build the orchestration layer for AI and agentic workflows — connecting LLMs, analytical models, data sources, research engines and enterprise applications into reliable production systems.**
**- Develop high-performance APIs, microservices and asynchronous processing systems that power AI-led research, analytics, dashboards, automated insight generation and enterprise integrations.**
**- Build backend infrastructure for GenAI applications, including model gateways, prompt and workflow orchestration, structured outputs, RAG pipelines, embeddings, vector retrieval, caching, evaluation and AI guardrails.**
**- Build AI systems that operate across structured and unstructured data — survey responses, behavioural events, transactions, documents, conversations, qualitative interviews and external intelligence sources.**
**- Engineer multi-tenant enterprise architecture with strong data isolation, role-based access controls, auditability, authentication, API security and privacy-by-design principles.**
**- Build scalable research and analytics workflow engines capable of managing long-running jobs, distributed tasks, retries, queues, scheduling and real-time status updates.**
**- Create production-grade integrations with LLMs and machine-learning models, while solving for latency, reliability, model fallbacks, token economics, observability and output quality.**
**- Build systems that make AI explainable and auditable by maintaining lineage between source data, analytical transformations, model outputs and final recommendations.**
**- Work closely with AI/ML engineers, data scientists, researchers, product teams and analytics experts to convert complex research and analytical methodologies into scalable software products.**
**- Continuously experiment with new developments across LLMs, AI agents, retrieval systems, reasoning models and data infrastructure, and translate the ones that matter into production capabilities.**
**YOU DON'T NEED TO BE AN EXPERT — BUT THESE SHOULDN'T BE STRANGERS**
**- Data structures, algorithms and computer science fundamentals**
**- Backend development in Python, Java, Go, Node.js or equivalent**
**- REST/gRPC APIs and distributed system concepts**
**- Understanding of environment variables, and json handling**
**- SQL and modern database architectures**
**- Caching, queues and asynchronous processing**
**- Cloud-native application development**
**YOU'LL BE HARD TO IGNORE IF YOU'VE WORKED WITH ANY OF THESE**
**- LM APIs </t>
        </is>
      </c>
      <c r="N44" t="n">
        <v>79</v>
      </c>
      <c r="O44" t="n">
        <v>75</v>
      </c>
      <c r="P44" t="n">
        <v>80</v>
      </c>
      <c r="Q44" t="n">
        <v>85</v>
      </c>
      <c r="R44" t="n">
        <v>90</v>
      </c>
      <c r="S44" t="n">
        <v>50</v>
      </c>
      <c r="T44" t="n">
        <v>90</v>
      </c>
      <c r="U44" t="inlineStr">
        <is>
          <t>CONSIDER</t>
        </is>
      </c>
      <c r="V44" t="inlineStr">
        <is>
          <t>CONSIDER</t>
        </is>
      </c>
      <c r="W44" t="inlineStr">
        <is>
          <t>Generative AI / LLMs; Vector databases / RAG; Docker / Kubernetes</t>
        </is>
      </c>
      <c r="X44" t="inlineStr">
        <is>
          <t>Standard Full-Stack Resume highlighting Node.js, Express, MySQL, MongoDB, and REST API development experience.</t>
        </is>
      </c>
      <c r="Y44" t="inlineStr">
        <is>
          <t>2026-10-02</t>
        </is>
      </c>
      <c r="Z44" t="inlineStr">
        <is>
          <t>Role offers PPO consideration upon completing the 4-month minimum duration.; High opportunity quality working on enterprise-grade AI and backend systems.; Strong technical alignment with Node.js, REST APIs, and database architecture.</t>
        </is>
      </c>
      <c r="AA44" t="inlineStr">
        <is>
          <t>ELIGIBLE</t>
        </is>
      </c>
      <c r="AB44" t="inlineStr">
        <is>
          <t>MCA student graduating in 2027 matching eligible batch requirements; Available for 4-6 month full-time internship; Local presence in Bengaluru</t>
        </is>
      </c>
      <c r="AC44" t="inlineStr">
        <is>
          <t>UNKNOWN</t>
        </is>
      </c>
      <c r="AD44" t="inlineStr">
        <is>
          <t>Exact start date availability is not explicitly specified in the candidate profile.</t>
        </is>
      </c>
      <c r="AE44" t="inlineStr">
        <is>
          <t>UNKNOWN</t>
        </is>
      </c>
      <c r="AF44" t="n">
        <v>0</v>
      </c>
      <c r="AG44" t="inlineStr">
        <is>
          <t>No</t>
        </is>
      </c>
      <c r="AH44" t="inlineStr">
        <is>
          <t>AVAILABLE</t>
        </is>
      </c>
      <c r="AI44" t="inlineStr">
        <is>
          <t>4 months minimum to qualify for PPO consideration</t>
        </is>
      </c>
      <c r="AL44" t="inlineStr">
        <is>
          <t>Data structures, algorithms, and backend fundamentals in Node.js; REST API design and database indexing/query optimization; Asynchronous processing, queues, and caching mechanisms; Previous full-stack internship experience and production deployments</t>
        </is>
      </c>
    </row>
    <row r="45">
      <c r="A45" t="inlineStr">
        <is>
          <t>VISCR-AI-261002-44</t>
        </is>
      </c>
      <c r="B45" t="inlineStr">
        <is>
          <t>viscr ai</t>
        </is>
      </c>
      <c r="C45" t="inlineStr">
        <is>
          <t>Intern Software Development Engineering R&amp;D (AI/ML/NLP)</t>
        </is>
      </c>
      <c r="D45" t="inlineStr">
        <is>
          <t>https://in.jooble.org/desc/-8319584585580036309?ckey=Node.js+intern&amp;rgn=3193&amp;pos=17&amp;elckey=-5733443963698178074&amp;p=1&amp;aq=-4783003923752355042&amp;cid=389&amp;jobAge=905&amp;brelb=10&amp;bscr=1141.7026&amp;scr=1141.7026</t>
        </is>
      </c>
      <c r="E45" t="inlineStr">
        <is>
          <t>AI Analyzer</t>
        </is>
      </c>
      <c r="F45" t="inlineStr">
        <is>
          <t>Bangalore</t>
        </is>
      </c>
      <c r="G45" t="inlineStr">
        <is>
          <t>On-site</t>
        </is>
      </c>
      <c r="I45" t="inlineStr">
        <is>
          <t>6 months</t>
        </is>
      </c>
      <c r="J45" t="inlineStr">
        <is>
          <t>HIGH</t>
        </is>
      </c>
      <c r="K45" t="inlineStr">
        <is>
          <t>ML/NLP tools and algorithms; Programming in Python, Java, Node.js, or JavaScript; SQL and NoSQL databases; API Integration</t>
        </is>
      </c>
      <c r="L45" t="inlineStr">
        <is>
          <t>Web crawling with Puppeteer or Selenium; Data Lakes; Design Patterns; Distributed systems; Research experience</t>
        </is>
      </c>
      <c r="M45"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Tech- Intern
Lane
[Bangalore](https://in.jooble.org/jobs/Bangalore)
[Apply](https://in.jooble.org/away/-3697916622688250511?p=1&amp;pos=0&amp;rgn=3193&amp;pageType=7&amp;cid=389&amp;jobAge=809&amp;scr=1181.2272&amp;bscr=1181.2272&amp;jdpSource=101&amp;jdpid=-2952112168848758596&amp;crId=IN_8851616716581478535IN_3193)
This position requires local presence. Please view similar jobs below.
**Location:** Bengaluru (Indiranagar)
**Reporting to:** Technical Head
**Experience:** Fresher
**Type: Internship**
**About Lane Technologies**
Lane Technologies is a technology-driven company focused on building innovative, scalable, and user-centric digital solutions. We work across modern software stacks to deliver high-quality products for real-world business challenges.
**Role Overview**
We are looking for motivated and curious developers who are eager to gain hands-on experience in software development and technology operations. As a Tech Intern, you will work closely with our engineering team on live projects and contribute to real product development.
Key Responsibilities
**What You Will Do**
- Full-Stack Support: Assist in connecting frontend user interfaces with backend application logic (APIs).
- Cloud Deployment: Learn and assist in deploying, hosting, and monitoring applications on AWS.
- Database &amp; Caching: Write basic database queries and help implement caching layers using Redis to make applications run faster.
- Troubleshooting: Debug issues across the entire stack, from UI glitches to server-side errors.
- Coordinate with Sales, Ops and Car Comm Team to get the update on pages and analytics.
**Skills We Are Looking For**
- Cloud (Essential): Basic, hands-on exposure to core AWS services (like EC2, S3, or RDS) through personal projects, college work, or certifications.
- Coding Basics: Familiarity with at least one backend language (e.g., Node.js, Python) and frontend basics (HTML/CSS/JavaScript or React).
- Data Basics: Understanding of SQL/NoSQL databases and the basic concept of caching (Redis).
- Mindset: Curious, self-driven, and excited to build things from scratch.
**Who Should Apply**
- Students or recent graduates in Computer Science, IT, Engineering, or related fields
- Passionate learners looking to build a strong technical foundation
- Candidates eager to grow in a fast-paced tech environment
[Apply](https://in.jooble.org/away/-3697916622688250511?p=1&amp;pos=0&amp;rgn=3193&amp;pageType=7&amp;cid=389&amp;jobAge=809&amp;scr=1181.2272&amp;bscr=1181.2272&amp;jdpSource=101&amp;jdpid=-2952112168848758596&amp;crId=IN_8851616716581478535IN_3193)
# Intern Software Development Engineering R&amp;D (AI/ML/NLP), Graduation Year
viscr ai
[Bangalore](https://in.jooble.org/jobs/Bangalore)
[Apply](https://in.jooble.org/away/-8319584585580036309?p=1&amp;pos=0&amp;rgn=3193&amp;pageType=7&amp;cid=389&amp;jobAge=905&amp;scr=1141.7026&amp;bscr=1141.7026&amp;jdpSource=101&amp;jdpid=-4424927919752591862&amp;crId=IN_8851616716581478535IN_3193)
This position requires local presence. Please view similar jobs below.
**Job description**
Key things to Note, before you consider applying:
- **Process and stages of Interview process:**(i) Technical Screening, (ii) Coding Task: Given a three to four days of time to implement a software engineering development task (Note: It is not a paid task), (iii) Coding round that involves, demo, code walk through of the coding task, (iv) coding round (v) HR round and Offer discussion.
- This will be 6 months of Internship with data and NLP team, they will be working on core data pipeline development projects. Upon successful completion of their Internship, considering performance they will converted into full-time without Probation period. In general, we have a probation of 6 months for full-time engineers. Candidates will be provided with regular feedback that h</t>
        </is>
      </c>
      <c r="N45" t="n">
        <v>68</v>
      </c>
      <c r="O45" t="n">
        <v>60</v>
      </c>
      <c r="P45" t="n">
        <v>70</v>
      </c>
      <c r="Q45" t="n">
        <v>65</v>
      </c>
      <c r="R45" t="n">
        <v>95</v>
      </c>
      <c r="S45" t="n">
        <v>30</v>
      </c>
      <c r="T45" t="n">
        <v>85</v>
      </c>
      <c r="U45" t="inlineStr">
        <is>
          <t>STRETCH</t>
        </is>
      </c>
      <c r="V45" t="inlineStr">
        <is>
          <t>STRETCH</t>
        </is>
      </c>
      <c r="W45" t="inlineStr">
        <is>
          <t>Strong exposure to ML/NLP tools and algorithms; Web crawling with Puppeteer or Selenium; Data Lakes</t>
        </is>
      </c>
      <c r="X45" t="inlineStr">
        <is>
          <t>Amaanuddin_Ahmed_Full_Stack_Resume.pdf</t>
        </is>
      </c>
      <c r="Y45" t="inlineStr">
        <is>
          <t>2026-10-02</t>
        </is>
      </c>
      <c r="Z45" t="inlineStr">
        <is>
          <t>Offers a strong conversion path to a full-time role without a probation period.; Working with top engineers, PhDs, and cybersecurity experts provides great learning and publication potential.; Matches primary software engineering and backend intern target roles.</t>
        </is>
      </c>
      <c r="AA45" t="inlineStr">
        <is>
          <t>ELIGIBLE</t>
        </is>
      </c>
      <c r="AB45" t="inlineStr">
        <is>
          <t>Candidate is an MCA student graduating in 2027, fitting the Computer Science and engineering academic background requirement.; Local presence in Bangalore matches the on-site requirement.</t>
        </is>
      </c>
      <c r="AC45" t="inlineStr">
        <is>
          <t>UNKNOWN</t>
        </is>
      </c>
      <c r="AD45" t="inlineStr">
        <is>
          <t>Exact start date availability is not specified in the career brain.</t>
        </is>
      </c>
      <c r="AE45" t="inlineStr">
        <is>
          <t>UNKNOWN</t>
        </is>
      </c>
      <c r="AF45" t="n">
        <v>0</v>
      </c>
      <c r="AG45" t="inlineStr">
        <is>
          <t>No</t>
        </is>
      </c>
      <c r="AH45" t="inlineStr">
        <is>
          <t>HIGH</t>
        </is>
      </c>
      <c r="AI45" t="inlineStr">
        <is>
          <t>Upon successful completion of their Internship, considering performance they will converted into full-time without Probation period.</t>
        </is>
      </c>
      <c r="AK45" t="inlineStr">
        <is>
          <t>Rigorous multi-stage interview process including a 3 to 4 day unpaid coding task and multiple technical coding rounds.</t>
        </is>
      </c>
      <c r="AL45" t="inlineStr">
        <is>
          <t>Backend development and API integrations; Database management and data pipeline concepts; Core computer science fundamentals and design patterns; Walkthrough of the 3-4 day take-home coding task</t>
        </is>
      </c>
    </row>
    <row r="46">
      <c r="A46" t="inlineStr">
        <is>
          <t>TURBOSTART-261002-45</t>
        </is>
      </c>
      <c r="B46" t="inlineStr">
        <is>
          <t>Turbostart</t>
        </is>
      </c>
      <c r="C46" t="inlineStr">
        <is>
          <t>Forward Deployment Engineer Intern</t>
        </is>
      </c>
      <c r="D46" t="inlineStr">
        <is>
          <t>https://in.jooble.org/desc/-5074416721205970863?ckey=Node.js+intern&amp;rgn=3193&amp;pos=18&amp;elckey=-5733443963698178074&amp;p=1&amp;aq=-4783003923752355042&amp;cid=389&amp;jobAge=89&amp;brelb=10&amp;bscr=1129.1272&amp;scr=1129.1272</t>
        </is>
      </c>
      <c r="E46" t="inlineStr">
        <is>
          <t>AI Analyzer</t>
        </is>
      </c>
      <c r="F46" t="inlineStr">
        <is>
          <t>Bengaluru</t>
        </is>
      </c>
      <c r="G46" t="inlineStr">
        <is>
          <t>On-site</t>
        </is>
      </c>
      <c r="H46" t="inlineStr">
        <is>
          <t>Not specified</t>
        </is>
      </c>
      <c r="I46" t="inlineStr">
        <is>
          <t>Not specified</t>
        </is>
      </c>
      <c r="J46" t="inlineStr">
        <is>
          <t>Not Mentioned</t>
        </is>
      </c>
      <c r="K46" t="inlineStr">
        <is>
          <t>Programming fundamentals in Java, JavaScript, Python, or Node.js; REST APIs and JSON; Databases and basic SQL; Git/version control</t>
        </is>
      </c>
      <c r="L46" t="inlineStr">
        <is>
          <t>AWS, Azure, or GCP; Linux/command-line environments; CI/CD or deployment processes; Docker; Postman; Salesforce; AI/ML technologies</t>
        </is>
      </c>
      <c r="M46"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Intern Software Development Engineering R&amp;D (AI/ML/NLP), Graduation Year
viscr ai
[Bangalore](https://in.jooble.org/jobs/Bangalore)
[Apply](https://in.jooble.org/away/-8319584585580036309?p=1&amp;pos=0&amp;rgn=3193&amp;pageType=7&amp;cid=389&amp;jobAge=905&amp;scr=1141.7026&amp;bscr=1141.7026&amp;jdpSource=101&amp;jdpid=-3744446012070968091&amp;crId=IN_8851616716581478535IN_3193)
This position requires local presence. Please view similar jobs below.
**Job description**
Key things to Note, before you consider applying:
- **Process and stages of Interview process:**(i) Technical Screening, (ii) Coding Task: Given a three to four days of time to implement a software engineering development task (Note: It is not a paid task), (iii) Coding round that involves, demo, code walk through of the coding task, (iv) coding round (v) HR round and Offer discussion.
- This will be 6 months of Internship with data and NLP team, they will be working on core data pipeline development projects. Upon successful completion of their Internship, considering performance they will converted into full-time without Probation period. In general, we have a probation of 6 months for full-time engineers. Candidates will be provided with regular feedback that help them learn and make their Internship (6 months) period successful.
- Willing to undergo a background check, in accordance with local law/regulations.
- We will verify the validity/authenticity of your past experiences if any (previous internships and projects).
**Note:** If you think you are fine with the above process, please take further look into the JD below.
**Responsibilities:**
Will be working on R&amp;D and backend project that advances the enterprise cybersecurity using AI, ML and NLP techniques.
**Minimum requirements:**
- Strong exposure to ML/NLP tools and algorithms experience is mandatory. Core and tough cybersecurity, AI, NLP, ML problems to solve.
- Systems building experience is a strong Plus.
- Experience in web crawling techniques with tools like Puppeteer and Selenium.
- Must have strong programming experience in 1 or more programming languages – C, Python, Go Lang, Java, Rust, JavaScript, TypeScript, Node.js. Other OO languages are also a plus.
- Experience with SQL, NoSQL databases, and building/managing Data Lakes is a plus.
- Understanding of Design Patterns, distributed systems, and parallel processing.
- Collaborative mindset with excellent communication skills for working in cross-functional teams.
- Must have strong programming experience in 1 or more programming languages – C, Python, Go Lang, Java, Rust. Other OO languages are also a plus.
- Strong skills in API Integration and software systems design and development.
- Research experience is Plus
- Candidates should take full-time 6 to 9 months Internship, only such candidates eligible should apply for this role (Need letter from your school/department).
**Note:** Graduated B.Tech/M.Tech/M.S Computer science students looking for full-time roles should join us as Intern for 6 months and then will be converted into full-time role (on the basis of candidate's performance)
**Qualifications**
- Bachelor's/Master's in Computer Science, Engineering, or equivalent.
- M.Tech/M.S/B.Tech Final year requiring project-based Internship will also be considered for this role.
- Experience in full stack development is preferred.
**Note:** Candidates will have great potential for publications/patents. You will be working with top Computer Science PhDs, product leaders, and cybersecurity experts and hence you will be assured to learn and grow as a top cybersecurity expert.
[Apply](https://in.jooble.org/away/-8319584585580036309?p=1&amp;pos=0&amp;rgn=3193&amp;pageType=7&amp;cid=389&amp;jobAge=905&amp;scr=1141.7026&amp;bscr=1141.7026&amp;jdpSource=101&amp;jdpi</t>
        </is>
      </c>
      <c r="N46" t="n">
        <v>78</v>
      </c>
      <c r="O46" t="n">
        <v>95</v>
      </c>
      <c r="P46" t="n">
        <v>90</v>
      </c>
      <c r="Q46" t="n">
        <v>85</v>
      </c>
      <c r="R46" t="n">
        <v>40</v>
      </c>
      <c r="S46" t="n">
        <v>50</v>
      </c>
      <c r="T46" t="n">
        <v>80</v>
      </c>
      <c r="U46" t="inlineStr">
        <is>
          <t>CONSIDER</t>
        </is>
      </c>
      <c r="V46" t="inlineStr">
        <is>
          <t>CONSIDER</t>
        </is>
      </c>
      <c r="X46" t="inlineStr">
        <is>
          <t>Amaanuddin_Ahmed_Resume.pdf</t>
        </is>
      </c>
      <c r="Y46" t="inlineStr">
        <is>
          <t>2026-10-02</t>
        </is>
      </c>
      <c r="Z46" t="inlineStr">
        <is>
          <t>Strong match with required technical skills including Node.js, JavaScript, SQL, and Git.; Located in Bengaluru and meets educational eligibility criteria.; Provides exposure to real-world deployments, enterprise tools, and client interactions.</t>
        </is>
      </c>
      <c r="AA46" t="inlineStr">
        <is>
          <t>ELIGIBLE</t>
        </is>
      </c>
      <c r="AB46" t="inlineStr">
        <is>
          <t>Candidate is pursuing an MCA at PES University (2025-2027), matching the requirement for a degree in Computer Science, Information Technology, Engineering, or a related field.; Location matches Bengaluru requirement.</t>
        </is>
      </c>
      <c r="AC46" t="inlineStr">
        <is>
          <t>UNKNOWN</t>
        </is>
      </c>
      <c r="AD46" t="inlineStr">
        <is>
          <t>Exact availability dates not specified in profile.</t>
        </is>
      </c>
      <c r="AE46" t="inlineStr">
        <is>
          <t>UNKNOWN</t>
        </is>
      </c>
      <c r="AF46" t="n">
        <v>0</v>
      </c>
      <c r="AG46" t="inlineStr">
        <is>
          <t>No</t>
        </is>
      </c>
      <c r="AH46" t="inlineStr">
        <is>
          <t>Not Mentioned</t>
        </is>
      </c>
      <c r="AI46" t="inlineStr">
        <is>
          <t>No explicit PPO or conversion mention found in the Turbostart job description.</t>
        </is>
      </c>
      <c r="AL46" t="inlineStr">
        <is>
          <t>API integration workflows and troubleshooting; Database configuration and SQL querying; Client-facing communication and handling technical deployments; Version control workflows using Git</t>
        </is>
      </c>
    </row>
    <row r="47">
      <c r="A47" t="inlineStr">
        <is>
          <t>NRK-INFOTECH-261002-46</t>
        </is>
      </c>
      <c r="B47" t="inlineStr">
        <is>
          <t>nrk infotech</t>
        </is>
      </c>
      <c r="C47" t="inlineStr">
        <is>
          <t>HR internship</t>
        </is>
      </c>
      <c r="D47" t="inlineStr">
        <is>
          <t>https://in.jooble.org/desc/-211248450339282167?ckey=MERN+intern&amp;rgn=3193&amp;pos=3&amp;elckey=3428421839182385677&amp;p=1&amp;aq=4753772425208129198&amp;cid=389&amp;jobAge=65&amp;brelb=10&amp;bscr=505.07297&amp;scr=505.07297</t>
        </is>
      </c>
      <c r="E47" t="inlineStr">
        <is>
          <t>AI Analyzer</t>
        </is>
      </c>
      <c r="F47" t="inlineStr">
        <is>
          <t>Bangalore</t>
        </is>
      </c>
      <c r="G47" t="inlineStr">
        <is>
          <t>On-site</t>
        </is>
      </c>
      <c r="H47" t="inlineStr">
        <is>
          <t>Not specified</t>
        </is>
      </c>
      <c r="I47" t="inlineStr">
        <is>
          <t>Unknown</t>
        </is>
      </c>
      <c r="J47" t="inlineStr">
        <is>
          <t>No</t>
        </is>
      </c>
      <c r="M47" t="inlineStr">
        <is>
          <t>&amp;nbsp;...organization that provides job-ready training in Digital Marketing, &lt;b&gt;MERN &lt;/b&gt;Stack, and Data Analytics, guided by experienced industry...&amp;nbsp;&amp;nbsp;...INFOTECH is a full-time, on-site position based in Bengaluru South. The &lt;b&gt;intern &lt;/b&gt;will support day-to-day HR operations, including assisting with...&amp;nbsp;</t>
        </is>
      </c>
      <c r="N47" t="n">
        <v>2</v>
      </c>
      <c r="O47" t="n">
        <v>0</v>
      </c>
      <c r="P47" t="n">
        <v>0</v>
      </c>
      <c r="Q47" t="n">
        <v>0</v>
      </c>
      <c r="R47" t="n">
        <v>0</v>
      </c>
      <c r="S47" t="n">
        <v>0</v>
      </c>
      <c r="T47" t="n">
        <v>20</v>
      </c>
      <c r="U47" t="inlineStr">
        <is>
          <t>SKIP</t>
        </is>
      </c>
      <c r="V47" t="inlineStr">
        <is>
          <t>SKIP</t>
        </is>
      </c>
      <c r="W47" t="inlineStr">
        <is>
          <t>Human Resources Operations; HR Management</t>
        </is>
      </c>
      <c r="X47" t="inlineStr">
        <is>
          <t>Amaanuddin_Ahmed_Resume_General</t>
        </is>
      </c>
      <c r="Y47" t="inlineStr">
        <is>
          <t>2026-10-02</t>
        </is>
      </c>
      <c r="AA47" t="inlineStr">
        <is>
          <t>Not Eligible</t>
        </is>
      </c>
      <c r="AB47" t="inlineStr">
        <is>
          <t>Role is for HR operations, whereas candidate is technical (MCA, software engineering).</t>
        </is>
      </c>
      <c r="AC47" t="inlineStr">
        <is>
          <t>UNKNOWN</t>
        </is>
      </c>
      <c r="AD47" t="inlineStr">
        <is>
          <t>Availability not explicitly specified in job description.</t>
        </is>
      </c>
      <c r="AE47" t="inlineStr">
        <is>
          <t>UNKNOWN</t>
        </is>
      </c>
      <c r="AF47" t="n">
        <v>0</v>
      </c>
      <c r="AG47" t="inlineStr">
        <is>
          <t>No</t>
        </is>
      </c>
      <c r="AH47" t="inlineStr">
        <is>
          <t>No</t>
        </is>
      </c>
      <c r="AI47" t="inlineStr">
        <is>
          <t>No mention of PPO or conversion.</t>
        </is>
      </c>
      <c r="AJ47" t="inlineStr">
        <is>
          <t>Role mismatch: HR internship vs target technical/software engineering roles</t>
        </is>
      </c>
      <c r="AK47" t="inlineStr">
        <is>
          <t>Completely unrelated functional area (HR instead of Software Engineering)</t>
        </is>
      </c>
    </row>
    <row r="48">
      <c r="A48" t="inlineStr">
        <is>
          <t>IMPACTO-DIGI-261002-47</t>
        </is>
      </c>
      <c r="B48" t="inlineStr">
        <is>
          <t>IMPACTO DIGIFIN TECHNOLOGIES PVT LTD</t>
        </is>
      </c>
      <c r="C48" t="inlineStr">
        <is>
          <t>PL/SQL and Java Developer Intern</t>
        </is>
      </c>
      <c r="D48" t="inlineStr">
        <is>
          <t>https://in.jooble.org/desc/9189383143499433444?ckey=Java+developer+intern&amp;rgn=3193&amp;pos=1&amp;elckey=2283227708169803404&amp;p=1&amp;aq=-7969387701549386267&amp;cid=389&amp;jobAge=281&amp;brelb=100&amp;bscr=1113.9829&amp;scr=1113.9829</t>
        </is>
      </c>
      <c r="E48" t="inlineStr">
        <is>
          <t>AI Analyzer</t>
        </is>
      </c>
      <c r="F48" t="inlineStr">
        <is>
          <t>Bangalore</t>
        </is>
      </c>
      <c r="G48" t="inlineStr">
        <is>
          <t>On-site</t>
        </is>
      </c>
      <c r="H48" t="inlineStr">
        <is>
          <t>Rs 15000 per month</t>
        </is>
      </c>
      <c r="I48" t="inlineStr">
        <is>
          <t>6 Months</t>
        </is>
      </c>
      <c r="J48" t="inlineStr">
        <is>
          <t>explicit</t>
        </is>
      </c>
      <c r="K48" t="inlineStr">
        <is>
          <t>PL/SQL; Java</t>
        </is>
      </c>
      <c r="M48" t="inlineStr">
        <is>
          <t>&amp;nbsp;...Job Title: &lt;b&gt;Intern &lt;/b&gt;to Hire – PL/SQL &amp; &lt;b&gt;Java Developer &lt;/b&gt; Department: Technology / Product Engineering Location: Bangalore (On-site) Reporting To: Senior Backend Developer / Technical Lead Duration: 6 Months Internship (Intern-to-Hire based on performance) Type:...&amp;nbsp;</t>
        </is>
      </c>
      <c r="N48" t="n">
        <v>59</v>
      </c>
      <c r="O48" t="n">
        <v>40</v>
      </c>
      <c r="P48" t="n">
        <v>60</v>
      </c>
      <c r="Q48" t="n">
        <v>70</v>
      </c>
      <c r="R48" t="n">
        <v>90</v>
      </c>
      <c r="S48" t="n">
        <v>40</v>
      </c>
      <c r="T48" t="n">
        <v>70</v>
      </c>
      <c r="U48" t="inlineStr">
        <is>
          <t>SKIP</t>
        </is>
      </c>
      <c r="V48" t="inlineStr">
        <is>
          <t>SKIP</t>
        </is>
      </c>
      <c r="W48" t="inlineStr">
        <is>
          <t>PL/SQL; Java</t>
        </is>
      </c>
      <c r="X48" t="inlineStr">
        <is>
          <t>Standard Full Stack Resume</t>
        </is>
      </c>
      <c r="Y48" t="inlineStr">
        <is>
          <t>2026-10-02</t>
        </is>
      </c>
      <c r="Z48" t="inlineStr">
        <is>
          <t>Includes an explicit intern-to-hire (PPO) pathway; Located in Bangalore with an on-site setup matching preferences</t>
        </is>
      </c>
      <c r="AA48" t="inlineStr">
        <is>
          <t>eligible</t>
        </is>
      </c>
      <c r="AB48" t="inlineStr">
        <is>
          <t>Location matches preferred location of Bengaluru; Internship role matches target software engineering intern roles; No degree or hard experience blockers specified in short snippet</t>
        </is>
      </c>
      <c r="AC48" t="inlineStr">
        <is>
          <t>unknown</t>
        </is>
      </c>
      <c r="AD48" t="inlineStr">
        <is>
          <t>Exact joining date and immediate availability requirements are not specified in the job description.</t>
        </is>
      </c>
      <c r="AE48" t="inlineStr">
        <is>
          <t>fixed</t>
        </is>
      </c>
      <c r="AF48" t="n">
        <v>15000</v>
      </c>
      <c r="AG48" t="inlineStr">
        <is>
          <t>No</t>
        </is>
      </c>
      <c r="AH48" t="inlineStr">
        <is>
          <t>explicit</t>
        </is>
      </c>
      <c r="AI48" t="inlineStr">
        <is>
          <t>Intern-to-Hire based on performance</t>
        </is>
      </c>
      <c r="AK48" t="inlineStr">
        <is>
          <t>Stipend of Rs 15000 per month is below the minimum target of Rs 25,000/month; Java is listed as working knowledge / certification only, not demonstrated in real production work experience</t>
        </is>
      </c>
      <c r="AL48" t="inlineStr">
        <is>
          <t>Java Core Concepts; PL/SQL Queries and Database Management; Internship performance expectations for conversion</t>
        </is>
      </c>
    </row>
    <row r="49">
      <c r="A49" t="inlineStr">
        <is>
          <t>NEOSTATS-261002-48</t>
        </is>
      </c>
      <c r="B49" t="inlineStr">
        <is>
          <t>neostats</t>
        </is>
      </c>
      <c r="C49" t="inlineStr">
        <is>
          <t>Artificial Intelligence Engineer</t>
        </is>
      </c>
      <c r="D49" t="inlineStr">
        <is>
          <t>https://in.jooble.org/desc/-7292019498942283213?ckey=AI+engineer+intern&amp;rgn=3193&amp;pos=5&amp;elckey=8997079028877527062&amp;p=1&amp;aq=-4679361632342772663&amp;cid=389&amp;jobAge=593&amp;brelb=10&amp;bscr=731.42334&amp;scr=731.42334</t>
        </is>
      </c>
      <c r="E49" t="inlineStr">
        <is>
          <t>AI Analyzer</t>
        </is>
      </c>
      <c r="F49" t="inlineStr">
        <is>
          <t>Bangalore</t>
        </is>
      </c>
      <c r="G49" t="inlineStr">
        <is>
          <t>Onsite</t>
        </is>
      </c>
      <c r="I49" t="inlineStr">
        <is>
          <t>6 months</t>
        </is>
      </c>
      <c r="J49" t="inlineStr">
        <is>
          <t>NOT_MENTIONED</t>
        </is>
      </c>
      <c r="K49" t="inlineStr">
        <is>
          <t>Artificial Intelligence</t>
        </is>
      </c>
      <c r="M49" t="inlineStr">
        <is>
          <t>&amp;nbsp;...&lt;b&gt;AI Engineer Intern &lt;/b&gt; Location: Bangalore Mode of Work: Onsite Years of Experience: 0-3 years Paid Internship Duration-6 months About Neostats Analytics : NeoStats is a new-age, Data &amp; Analytics firm offering contemporary solutions and infinite possibilities...&amp;nbsp;</t>
        </is>
      </c>
      <c r="N49" t="n">
        <v>36</v>
      </c>
      <c r="O49" t="n">
        <v>20</v>
      </c>
      <c r="P49" t="n">
        <v>60</v>
      </c>
      <c r="Q49" t="n">
        <v>40</v>
      </c>
      <c r="R49" t="n">
        <v>30</v>
      </c>
      <c r="S49" t="n">
        <v>30</v>
      </c>
      <c r="T49" t="n">
        <v>40</v>
      </c>
      <c r="U49" t="inlineStr">
        <is>
          <t>SKIP</t>
        </is>
      </c>
      <c r="V49" t="inlineStr">
        <is>
          <t>SKIP</t>
        </is>
      </c>
      <c r="W49" t="inlineStr">
        <is>
          <t>Artificial Intelligence; Machine Learning; Deep Learning</t>
        </is>
      </c>
      <c r="X49" t="inlineStr">
        <is>
          <t>Amaanuddin_Ahmed_Resume.pdf</t>
        </is>
      </c>
      <c r="Y49" t="inlineStr">
        <is>
          <t>2026-10-02</t>
        </is>
      </c>
      <c r="Z49" t="inlineStr">
        <is>
          <t>Located in Bengaluru; Internship format fits student status</t>
        </is>
      </c>
      <c r="AA49" t="inlineStr">
        <is>
          <t>ELIGIBLE</t>
        </is>
      </c>
      <c r="AB49" t="inlineStr">
        <is>
          <t>Location matches Bengaluru preference; Experience requirement (0-3 years) aligns with student/intern profile</t>
        </is>
      </c>
      <c r="AC49" t="inlineStr">
        <is>
          <t>UNKNOWN</t>
        </is>
      </c>
      <c r="AD49" t="inlineStr">
        <is>
          <t>Availability not explicitly stated in profile beyond graduation timeline 2027</t>
        </is>
      </c>
      <c r="AE49" t="inlineStr">
        <is>
          <t>UNKNOWN</t>
        </is>
      </c>
      <c r="AF49" t="n">
        <v>0</v>
      </c>
      <c r="AG49" t="inlineStr">
        <is>
          <t>No</t>
        </is>
      </c>
      <c r="AH49" t="inlineStr">
        <is>
          <t>NOT_MENTIONED</t>
        </is>
      </c>
      <c r="AI49" t="inlineStr">
        <is>
          <t>No mention of PPO or conversion in the short job description snippet.</t>
        </is>
      </c>
      <c r="AK49" t="inlineStr">
        <is>
          <t>Stipend is completely unspecified; No PPO mention</t>
        </is>
      </c>
      <c r="AL49" t="inlineStr">
        <is>
          <t>AI/ML fundamentals; Python for data science; Neural networks and model deployment</t>
        </is>
      </c>
    </row>
    <row r="50">
      <c r="A50" t="inlineStr">
        <is>
          <t>HEADS-UP-FOR-261002-49</t>
        </is>
      </c>
      <c r="B50" t="inlineStr">
        <is>
          <t>Heads Up For Tails</t>
        </is>
      </c>
      <c r="C50" t="inlineStr">
        <is>
          <t>Software Engineering Intern</t>
        </is>
      </c>
      <c r="D50" t="inlineStr">
        <is>
          <t>https://www.adzuna.in/details/5906871910?utm_medium=api&amp;utm_source=5ccdc27f</t>
        </is>
      </c>
      <c r="E50" t="inlineStr">
        <is>
          <t>AI Analyzer</t>
        </is>
      </c>
      <c r="F50" t="inlineStr">
        <is>
          <t>Gurugram, Haryana, India</t>
        </is>
      </c>
      <c r="G50" t="inlineStr">
        <is>
          <t>unknown</t>
        </is>
      </c>
      <c r="H50" t="inlineStr">
        <is>
          <t>10000 - 15000 INR per month</t>
        </is>
      </c>
      <c r="I50" t="inlineStr">
        <is>
          <t>unknown</t>
        </is>
      </c>
      <c r="J50" t="inlineStr">
        <is>
          <t>not_mentioned</t>
        </is>
      </c>
      <c r="K50" t="inlineStr">
        <is>
          <t>Node.js; MongoDB; REST APIs; MERN stack</t>
        </is>
      </c>
      <c r="L50" t="inlineStr">
        <is>
          <t>AI coding assistants</t>
        </is>
      </c>
      <c r="M50" t="inlineStr">
        <is>
          <t>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Engineering Intern
[❮ back to last search](https://www.adzuna.in/details/5906871910#)![PyjamaHR](https://zunastatic-abf.kxcdn.com/images/in/jobs/partners/logo_adzuna_network.png)
Heads Up For Tails
Gurugram, Haryana, India
10000 - 15000 INR per month
Contract
Part time
![PyjamaHR](https://zunastatic-abf.kxcdn.com/images/in/jobs/partners/logo_adzuna_network.png)
EASY APPLYNEW
[Apply for this job](https://www.adzuna.in/details/5906871910/apply?aztt=eyJhbGciOiJIUzI1NiJ9.eyJ0cyI6bnVsbCwidHQiOiJnb29nbGVfb3JnYW5pYyIsImlhdCI6MTc5MDk0MzU0NiwiZXhwIjoxNzkxNTQ4MzQ2LCJjaSI6IlVHQ29kbHUtOFJHLU1mUk1uU29rYVEifQ.49IamAB7xzI7wwFSXIrIN-m4t_DzQQjQr6rGXV_UQ3Q&amp;v=05CC9A9BA03CAC9C75F42614203A0122BAF15887&amp;se=)
**About Heads Up For Tails**
Heads Up For Tails is India's most loved pet-care brand, with 100+ stores across 20 cities and a catalog of 5,000+ India-first, category-defining products, backed by an omni-channel network of manufacturing, retail, e-commerce and distribution.
**About the Role**
We are seeking an energetic, deeply curious Software Engineering Intern to join our fast-paced, high-growth engineering team. In this role, you will have the unique opportunity to gain hands-on experience building scalable applications while working alongside established industry leaders. We are looking for someone with a strong foundation in modern web development who is eager to learn, build and take ownership of real-world features.
**Key Responsibilities**
● Build &amp; Contribute: Assist in designing and developing robust backend services and RESTful APIs using Node.js and MongoDB.
● Full-Stack Exposure: Support the team in delivering seamless user experiences across the MERN stack, bridging the gap between frontend components and backend data.
● Collaborate &amp; Learn: Partner with senior engineers, product managers and designers to translate business requirements into technical solutions.
● Write Clean Code: Participate in code reviews, write unit tests and learn best practices for maintaining a scalable, production-grade codebase.
● Automate: Help build and maintain scripts or basic CI/CD workflows to streamline daily development and testing processes.
**Requirements**
● Eligibility: Final-year student, recent graduate, or 0–1 year of experience.
● Core Foundation: Academic, bootcamp or project-based experience focused on the MERN stack.
● Backend Knowledge: Solid foundational understanding of Node.js and MongoDB, including basic schema design and routing.
● The Right Mindset: You bring high energy and relentless curiosity. You are not afraid to dive into unfamiliar code, ask hard questions and learn from mistakes.
● Problem Solver: A strong logical thinker with a bias for action and a desire to figure out how complex systems work under the hood.
● Bonus (Not Mandatory): Familiarity with using AI coding assistants (like GitHub Copilot, Cursor or ChatGPT) to accelerate personal development workflows, or a general interest in modern AI technologies.
**Why Join Us?**
● Work with the Best: Gain direct mentorship and exposure to industry leaders who are deeply invested in your growth and engineering excellence.
● High-Growth Trajectory: Work on real, impactful projects that shape our product's architecture, rather than doing busywork.
● Culture of Innovation: We provide a supportive, resource-rich environment where you have the autonomy to do your best work and learn at an exponential rate.
[Apply for this job](https://www.adzuna.in/details/5906871910/apply?aztt=eyJhbGciOiJIUzI1NiJ9.eyJ0cyI6bnVsbCwidHQiOiJnb29nbGVfb3JnYW5pYyIsImlhdCI6MTc5MDk0MzU0NiwiZXhwIjoxNzkxNTQ4MzQ2LCJjaSI6IlVHQ29kbHUtOFJHLU1mUk1uU29rYVEifQ.49IamAB7xzI7wwFSXIrIN-m4t_DzQQjQr6rGXV_UQ3Q&amp;v=05CC9A9BA03CAC9C75F42614203A0122BAF15887&amp;se=)
## Stats for this job
### Salary comparison:
| This job |  |  |
| National&lt;br&gt;average |  |  |
| IT Jobs&lt;br&gt;average |  |  |
| India&lt;br&gt;average |  |  |
### Salaries
The number of jobs in each salary range for all:
Receive similar jobs by email
Create alert
By creating an alert, you agree to our [T&amp;Cs](https://www.adzuna.in/terms-and-conditions.html) and [Privacy Notice](https://www.adzuna.in/privacy-policy.html), and Cookie Use.
## Similar jobs
[Software Engineering Intern](https://www.adzuna.in/details/5845820726)
Coderwing
Indore
[Software Engineer Intern](https://www.adzuna.in/details/5845820619)
Genrobotics
Thiruvananthapuram
[Software Engineering INTERN](https://www.adzuna.in/details/5775777688)
Microsoft Corporation
Multiple Locations
[Software Engineer Intern](htt</t>
        </is>
      </c>
      <c r="N50" t="n">
        <v>66</v>
      </c>
      <c r="O50" t="n">
        <v>90</v>
      </c>
      <c r="P50" t="n">
        <v>85</v>
      </c>
      <c r="Q50" t="n">
        <v>90</v>
      </c>
      <c r="R50" t="n">
        <v>0</v>
      </c>
      <c r="S50" t="n">
        <v>30</v>
      </c>
      <c r="T50" t="n">
        <v>60</v>
      </c>
      <c r="U50" t="inlineStr">
        <is>
          <t>STRETCH</t>
        </is>
      </c>
      <c r="V50" t="inlineStr">
        <is>
          <t>STRETCH</t>
        </is>
      </c>
      <c r="X50" t="inlineStr">
        <is>
          <t>Default Full Stack / Backend Resume</t>
        </is>
      </c>
      <c r="Y50" t="inlineStr">
        <is>
          <t>2026-10-02</t>
        </is>
      </c>
      <c r="Z50" t="inlineStr">
        <is>
          <t>Strong technical match for Node.js and MongoDB requirements.; Hands-on MERN stack experience directly maps to job responsibilities.</t>
        </is>
      </c>
      <c r="AA50" t="inlineStr">
        <is>
          <t>eligible</t>
        </is>
      </c>
      <c r="AB50" t="inlineStr">
        <is>
          <t>Candidate is a final-year student/recent student fitting the 0-1 year experience or final-year criteria.; Core foundation aligns with MERN stack requirements.</t>
        </is>
      </c>
      <c r="AC50" t="inlineStr">
        <is>
          <t>unknown</t>
        </is>
      </c>
      <c r="AD50" t="inlineStr">
        <is>
          <t>Candidate availability dates are not specified relative to the start date.</t>
        </is>
      </c>
      <c r="AE50" t="inlineStr">
        <is>
          <t>below_target</t>
        </is>
      </c>
      <c r="AF50" t="n">
        <v>10000</v>
      </c>
      <c r="AG50" t="inlineStr">
        <is>
          <t>No</t>
        </is>
      </c>
      <c r="AH50" t="inlineStr">
        <is>
          <t>not_mentioned</t>
        </is>
      </c>
      <c r="AI50" t="inlineStr">
        <is>
          <t>The job description does not mention conversion or PPO.</t>
        </is>
      </c>
      <c r="AK50" t="inlineStr">
        <is>
          <t>Stipend is below minimum target of 25,000 INR per month.; Location is Gurugram, whereas candidate prefers Bengaluru or remote.</t>
        </is>
      </c>
      <c r="AL50" t="inlineStr">
        <is>
          <t>Node.js architecture and event loop; MongoDB schema design and indexing; RESTful API design best practices; MERN stack integration experience from past projects</t>
        </is>
      </c>
    </row>
    <row r="51">
      <c r="A51" t="inlineStr">
        <is>
          <t>CODERWING-261002-50</t>
        </is>
      </c>
      <c r="B51" t="inlineStr">
        <is>
          <t>Coderwing</t>
        </is>
      </c>
      <c r="C51" t="inlineStr">
        <is>
          <t>Software Engineering Intern</t>
        </is>
      </c>
      <c r="D51" t="inlineStr">
        <is>
          <t>https://www.adzuna.in/details/5845820726?utm_medium=api&amp;utm_source=5ccdc27f</t>
        </is>
      </c>
      <c r="E51" t="inlineStr">
        <is>
          <t>AI Analyzer</t>
        </is>
      </c>
      <c r="F51" t="inlineStr">
        <is>
          <t>Indore, Madhya Pradesh</t>
        </is>
      </c>
      <c r="G51" t="inlineStr">
        <is>
          <t>On-site</t>
        </is>
      </c>
      <c r="H51" t="inlineStr">
        <is>
          <t>Not specified</t>
        </is>
      </c>
      <c r="I51" t="inlineStr">
        <is>
          <t>Not specified</t>
        </is>
      </c>
      <c r="J51" t="inlineStr">
        <is>
          <t>Not Mentioned</t>
        </is>
      </c>
      <c r="K51" t="inlineStr">
        <is>
          <t>Programming</t>
        </is>
      </c>
      <c r="M51" t="inlineStr">
        <is>
          <t>Software Engineering Intern Type Internship Location Indore Madhya Pradesh CoderWing is looking for enthusiastic and motivated Software Engineering Interns who are passionate about programming and eager to build realworld software development skills This internship is designed for students recent graduates and freshers who want handson experience by working on live projects under the guidance of experienced mentors This is an excellent opportunity to strengthen your technical skills collaborate…</t>
        </is>
      </c>
      <c r="N51" t="n">
        <v>62</v>
      </c>
      <c r="O51" t="n">
        <v>70</v>
      </c>
      <c r="P51" t="n">
        <v>75</v>
      </c>
      <c r="Q51" t="n">
        <v>80</v>
      </c>
      <c r="R51" t="n">
        <v>40</v>
      </c>
      <c r="S51" t="n">
        <v>30</v>
      </c>
      <c r="T51" t="n">
        <v>50</v>
      </c>
      <c r="U51" t="inlineStr">
        <is>
          <t>SKIP</t>
        </is>
      </c>
      <c r="V51" t="inlineStr">
        <is>
          <t>SKIP</t>
        </is>
      </c>
      <c r="X51" t="inlineStr">
        <is>
          <t>Default Full Stack Resume</t>
        </is>
      </c>
      <c r="Y51" t="inlineStr">
        <is>
          <t>2026-10-02</t>
        </is>
      </c>
      <c r="Z51" t="inlineStr">
        <is>
          <t>Matches target role of Software Engineer Intern.; Open to students and freshers.</t>
        </is>
      </c>
      <c r="AA51" t="inlineStr">
        <is>
          <t>Eligible</t>
        </is>
      </c>
      <c r="AB51" t="inlineStr">
        <is>
          <t>Open to students, recent graduates, and freshers.</t>
        </is>
      </c>
      <c r="AC51" t="inlineStr">
        <is>
          <t>Unknown</t>
        </is>
      </c>
      <c r="AD51" t="inlineStr">
        <is>
          <t>Availability not explicitly stated in JD, but candidate is an MCA student graduating in 2027.</t>
        </is>
      </c>
      <c r="AE51" t="inlineStr">
        <is>
          <t>UNKNOWN</t>
        </is>
      </c>
      <c r="AF51" t="n">
        <v>0</v>
      </c>
      <c r="AG51" t="inlineStr">
        <is>
          <t>No</t>
        </is>
      </c>
      <c r="AH51" t="inlineStr">
        <is>
          <t>Not Mentioned</t>
        </is>
      </c>
      <c r="AI51" t="inlineStr">
        <is>
          <t>No mention of PPO or conversion in the job description.</t>
        </is>
      </c>
      <c r="AJ51" t="inlineStr">
        <is>
          <t>Location requirement is Indore, Madhya Pradesh, whereas candidate prefers Bengaluru or remote.</t>
        </is>
      </c>
      <c r="AK51" t="inlineStr">
        <is>
          <t>Stipend is completely undisclosed.; Location is Indore while candidate prefers Bengaluru.</t>
        </is>
      </c>
      <c r="AL51" t="inlineStr">
        <is>
          <t>Basic programming concepts; Past project experience; Willingness to relocate to Indore</t>
        </is>
      </c>
    </row>
    <row r="52">
      <c r="A52" t="inlineStr">
        <is>
          <t>QUALCOMM-261002-51</t>
        </is>
      </c>
      <c r="B52" t="inlineStr">
        <is>
          <t>Qualcomm</t>
        </is>
      </c>
      <c r="C52" t="inlineStr">
        <is>
          <t>Software Engineering Internship</t>
        </is>
      </c>
      <c r="D52" t="inlineStr">
        <is>
          <t>https://www.adzuna.in/details/5854847522?utm_medium=api&amp;utm_source=5ccdc27f</t>
        </is>
      </c>
      <c r="E52" t="inlineStr">
        <is>
          <t>AI Analyzer</t>
        </is>
      </c>
      <c r="F52" t="inlineStr">
        <is>
          <t>Chennai, Tamil Nadu</t>
        </is>
      </c>
      <c r="G52" t="inlineStr">
        <is>
          <t>Unknown</t>
        </is>
      </c>
      <c r="I52" t="inlineStr">
        <is>
          <t>Unknown</t>
        </is>
      </c>
      <c r="J52" t="inlineStr">
        <is>
          <t>Not Mentioned</t>
        </is>
      </c>
      <c r="K52" t="inlineStr">
        <is>
          <t>C; C++; Data Structures; OS concepts; Embedded Software; Linux / UNIX</t>
        </is>
      </c>
      <c r="L52" t="inlineStr">
        <is>
          <t>Mobile SW development; Wireless network standards; Device Drivers</t>
        </is>
      </c>
      <c r="M52" t="inlineStr">
        <is>
          <t>Qualcomm is hiring for the role of Software Engineering Intern Requirements Masters Computer Science Engineering Communication Engineering ECE Development of realtime embedded software and device drivers Knowledge of Mobile SW development for Windows Mobile Android or Linux Good understanding of OS concepts Data structures etc Knowledge of C C and object oriented design Knowledge of Wireless network standards such as CDMA GSM UMTS LTE Knowledge of Linux UNIX Linux Drivers Linux Kernel Developme…</t>
        </is>
      </c>
      <c r="N52" t="n">
        <v>20</v>
      </c>
      <c r="O52" t="n">
        <v>20</v>
      </c>
      <c r="P52" t="n">
        <v>20</v>
      </c>
      <c r="Q52" t="n">
        <v>30</v>
      </c>
      <c r="R52" t="n">
        <v>0</v>
      </c>
      <c r="S52" t="n">
        <v>0</v>
      </c>
      <c r="T52" t="n">
        <v>50</v>
      </c>
      <c r="U52" t="inlineStr">
        <is>
          <t>SKIP</t>
        </is>
      </c>
      <c r="V52" t="inlineStr">
        <is>
          <t>SKIP</t>
        </is>
      </c>
      <c r="W52" t="inlineStr">
        <is>
          <t>C++; Embedded Software; Device Drivers; Linux Kernel Development; Wireless network standards</t>
        </is>
      </c>
      <c r="X52" t="inlineStr">
        <is>
          <t>Default Full Stack Resume</t>
        </is>
      </c>
      <c r="Y52" t="inlineStr">
        <is>
          <t>2026-10-02</t>
        </is>
      </c>
      <c r="Z52" t="inlineStr">
        <is>
          <t>Qualcomm is a top-tier tech company.</t>
        </is>
      </c>
      <c r="AA52" t="inlineStr">
        <is>
          <t>Eligible</t>
        </is>
      </c>
      <c r="AB52" t="inlineStr">
        <is>
          <t>Candidate is pursuing MCA at PES University (2025-2027), meeting the educational background requirements for software engineering.</t>
        </is>
      </c>
      <c r="AC52" t="inlineStr">
        <is>
          <t>Unknown</t>
        </is>
      </c>
      <c r="AD52" t="inlineStr">
        <is>
          <t>Availability dates are not specified in the job description.</t>
        </is>
      </c>
      <c r="AE52" t="inlineStr">
        <is>
          <t>UNKNOWN</t>
        </is>
      </c>
      <c r="AF52" t="n">
        <v>0</v>
      </c>
      <c r="AG52" t="inlineStr">
        <is>
          <t>No</t>
        </is>
      </c>
      <c r="AH52" t="inlineStr">
        <is>
          <t>Not Mentioned</t>
        </is>
      </c>
      <c r="AI52" t="inlineStr">
        <is>
          <t>The job description does not mention PPO or conversion opportunities.</t>
        </is>
      </c>
      <c r="AK52" t="inlineStr">
        <is>
          <t>Location is Chennai while preferred location is Bengaluru.; Role focuses heavily on embedded systems, C/C++, and device drivers, which does not align with candidate's MERN / Full Stack background.</t>
        </is>
      </c>
      <c r="AL52" t="inlineStr">
        <is>
          <t>C and C++ object-oriented design; Operating systems and data structures; Embedded software and device drivers</t>
        </is>
      </c>
    </row>
    <row r="53">
      <c r="A53" t="inlineStr">
        <is>
          <t>WEEKDAY-261002-52</t>
        </is>
      </c>
      <c r="B53" t="inlineStr">
        <is>
          <t>Weekday</t>
        </is>
      </c>
      <c r="C53" t="inlineStr">
        <is>
          <t>Software Engineer Intern</t>
        </is>
      </c>
      <c r="D53" t="inlineStr">
        <is>
          <t>https://www.adzuna.in/details/5849688632?utm_medium=api&amp;utm_source=5ccdc27f</t>
        </is>
      </c>
      <c r="E53" t="inlineStr">
        <is>
          <t>AI Analyzer</t>
        </is>
      </c>
      <c r="F53" t="inlineStr">
        <is>
          <t>Bengaluru (Remote)</t>
        </is>
      </c>
      <c r="G53" t="inlineStr">
        <is>
          <t>Remote</t>
        </is>
      </c>
      <c r="H53" t="inlineStr">
        <is>
          <t>₹30,000 – ₹50,000 per month</t>
        </is>
      </c>
      <c r="I53" t="inlineStr">
        <is>
          <t>Minimum 2 months, extendable up to 6 months</t>
        </is>
      </c>
      <c r="J53" t="inlineStr">
        <is>
          <t>UNKNOWN</t>
        </is>
      </c>
      <c r="K53" t="inlineStr">
        <is>
          <t>JavaScript; Python; Java; C++</t>
        </is>
      </c>
      <c r="L53" t="inlineStr">
        <is>
          <t>web frameworks; cloud platforms; AI/ML tools</t>
        </is>
      </c>
      <c r="M53" t="inlineStr">
        <is>
          <t>## Software Engineer Intern jobs in Bangalore
Leave us your email address and we'll send you similar new jobsCreate email alert [No, thanks](https://www.adzuna.in/details/5849688632#)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 Intern
[❮ back to last search](https://www.adzuna.in/details/5849688632#)![SourceStack](https://zunastatic-abf.kxcdn.com/images/logo/jobs_IN/partners/et17fTACZn_d7RSBLqbl6boew5M.png)
Weekday
Bengaluru
30000-50000 per month
Contract
Full time
![SourceStack](https://zunastatic-abf.kxcdn.com/images/logo/jobs_IN/partners/et17fTACZn_d7RSBLqbl6boew5M.png)
REMOTECLOSING SOON
[Apply for this job](https://www.adzuna.in/land/ad/5849688632?aztt=eyJhbGciOiJIUzI1NiJ9.eyJ0dCI6Imdvb2dsZV9vcmdhbmljIiwiZXhwIjoxNzkxNTQ4MzYxLCJjaSI6IlRoMF9mMXUtOFJHcWxzd003d3ppbUEiLCJ0cyI6bnVsbCwiaWF0IjoxNzkwOTQzNTYxfQ.KHcbfcD4OmLgy2onbtC7ZAX7UmwefHiI-1dTBUYLPO8&amp;from_adp=1&amp;v=FA038BB91244FC37EDD4C8B6A7AC9DD981892262&amp;se=) **This role is for one of our clients**
Industry: Software Development
Seniority level: Junior - Entry Level
Min Experience: 0 years
Location: Bengaluru (Remote)
JobType: full-time₹3,00,000 - ₹6,00,000 a year **About the Role**
We are looking for a motivated and curious Software Engineering Intern to join the team. This is a hands-on role where you'll work alongside experienced engineers, contribute to real projects, and grow your technical skills in a fast-paced environment.
**Details**
**Stipend:** ₹30,000 – ₹50,000 per month
**Duration:** Minimum 2 months, extendable up to 6 months
**Start Date:** Immediate / As soon as possible
**Responsibilities**
Assist in the design, development, and testing of software features
Debug issues and contribute to improving system performance
Learn and adapt quickly to new tools, technologies, and workflows
**Requirements**
Strong problem-solving skills and eagerness to learn
Good communication and teamwork skills
Currently pursuing or recently completed a degree in Computer Science, Engineering, or a related field
Basic understanding of data structures, algorithms, and software development principles
Proficiency in at least one programming language (e.g., Python, JavaScript, Java, C++)
**Nice to Have**
Familiarity with web frameworks, cloud platforms, or AI/ML tools
Prior internship experience or personal projects on GitHub
Exposure to agile development practicesWe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[Apply for this job](https://www.adzuna.in/land/ad/5849688632?aztt=eyJhbGciOiJIUzI1NiJ9.eyJ0dCI6Imdvb2dsZV9vcmdhbmljIiwiZXhwIjoxNzkxNTQ4MzYxLCJjaSI6IlRoMF9mMXUtOFJHcWxzd003d3ppbUEiLCJ0cyI6bnVsbCwiaWF0IjoxNzkwOTQzNTYxfQ.KHcbfcD4OmLgy2onbtC7ZAX7UmwefHiI-1dTBUYLPO8&amp;from_adp=1&amp;v=FA038BB91244FC37EDD4C8B6A7AC9DD981892262&amp;se=)
## Stats for this job
### Salary comparison:
| This job |  |  |
| National&lt;br&gt;average |  |  |
| IT Jobs&lt;br&gt;average |  |  |
| Karnataka&lt;br&gt;average |  |  |
### Salaries
The number of jobs in each salary range for all:
Receive similar jobs by email
Create alert
By creating an alert, you agree to our [T&amp;Cs](https://www.adzuna.in/terms-and-conditions.html) and [Privacy Notice](https://www.adzuna.in/privacy-policy.html), and Cookie Use.
## Similar jobs
[Software Engineer, Intern](https://www.adzuna.in/details/5797283415)
Stripe
Bengaluru
[Quantum Software Engineer Intern](https://www.adzuna.in/details/5854847465)
Log9 Materials
Bangalore
[Software Engineering Intern - Backend](https://www.adzuna.in/details/5889561571)
150000-300000 per year
Ainyx
Bengaluru, India
[Software Engineer Intern Paid](https://www.adzuna.in/details/5845820665)
Ecera System
Bangalore
[Software Engineer - Intern (Frontend)](https://www.adzuna.in/details/5902721160)
Merkle Science
Bangalore
## Popular searches
[Software engineer](https://www.adzuna.in/software-engineer) [Software engineer in Bangalore](https://www.adzuna.in/bangalore/software-engineer</t>
        </is>
      </c>
      <c r="N53" t="n">
        <v>84</v>
      </c>
      <c r="O53" t="n">
        <v>90</v>
      </c>
      <c r="P53" t="n">
        <v>95</v>
      </c>
      <c r="Q53" t="n">
        <v>95</v>
      </c>
      <c r="R53" t="n">
        <v>40</v>
      </c>
      <c r="S53" t="n">
        <v>100</v>
      </c>
      <c r="T53" t="n">
        <v>80</v>
      </c>
      <c r="U53" t="inlineStr">
        <is>
          <t>APPLY</t>
        </is>
      </c>
      <c r="V53" t="inlineStr">
        <is>
          <t>APPLY</t>
        </is>
      </c>
      <c r="X53" t="inlineStr">
        <is>
          <t>Standard Full Stack / Software Engineering Resume emphasizing JavaScript, Node.js, Express, and Angular experience.</t>
        </is>
      </c>
      <c r="Y53" t="inlineStr">
        <is>
          <t>2026-10-02</t>
        </is>
      </c>
      <c r="Z53" t="inlineStr">
        <is>
          <t>Stipend of ₹30,000–₹50,000/month comfortably exceeds the ₹25,000 minimum target.; Role matches target Software Engineer Intern profile perfectly.; Remote work mode and Bengaluru location perfectly align with preferences.; Strong candidate profile match with demonstrated full-stack development experience.</t>
        </is>
      </c>
      <c r="AA53" t="inlineStr">
        <is>
          <t>ELIGIBLE</t>
        </is>
      </c>
      <c r="AB53" t="inlineStr">
        <is>
          <t>Meets degree requirement (currently pursuing MCA in Computer Science related field); Meets experience requirement (0 years minimum experience required); Meets location and work mode requirements</t>
        </is>
      </c>
      <c r="AC53" t="inlineStr">
        <is>
          <t>AVAILABLE</t>
        </is>
      </c>
      <c r="AD53" t="inlineStr">
        <is>
          <t>Immediate start date matches candidate availability profile</t>
        </is>
      </c>
      <c r="AE53" t="inlineStr">
        <is>
          <t>EXPLICIT</t>
        </is>
      </c>
      <c r="AF53" t="n">
        <v>30000</v>
      </c>
      <c r="AG53" t="inlineStr">
        <is>
          <t>No</t>
        </is>
      </c>
      <c r="AH53" t="inlineStr">
        <is>
          <t>UNKNOWN</t>
        </is>
      </c>
      <c r="AI53" t="inlineStr">
        <is>
          <t>No explicit mention of PPO or conversion to full-time in the job description.</t>
        </is>
      </c>
      <c r="AL53" t="inlineStr">
        <is>
          <t>Data structures and algorithms fundamentals; Problem-solving and debugging workflows; JavaScript asynchronous programming and backend principles; Past internship project architecture and API design</t>
        </is>
      </c>
      <c r="AM53" t="inlineStr">
        <is>
          <t>E:\InternshipHunter\applications\adzuna-a9b412fb8d46</t>
        </is>
      </c>
      <c r="AN53" t="inlineStr">
        <is>
          <t>Ready for Review</t>
        </is>
      </c>
      <c r="AO53" t="inlineStr">
        <is>
          <t>Generated</t>
        </is>
      </c>
      <c r="AP53" t="inlineStr">
        <is>
          <t>Generated</t>
        </is>
      </c>
      <c r="AQ53" t="inlineStr">
        <is>
          <t>Generated</t>
        </is>
      </c>
      <c r="AR53" t="inlineStr">
        <is>
          <t>Ready to Apply</t>
        </is>
      </c>
    </row>
    <row r="54">
      <c r="A54" t="inlineStr">
        <is>
          <t>KUTUKAMAI-261002-53</t>
        </is>
      </c>
      <c r="B54" t="inlineStr">
        <is>
          <t>KutukamAI</t>
        </is>
      </c>
      <c r="C54" t="inlineStr">
        <is>
          <t>Software Engineer Intern</t>
        </is>
      </c>
      <c r="D54" t="inlineStr">
        <is>
          <t>https://www.adzuna.in/details/5854847482?utm_medium=api&amp;utm_source=5ccdc27f</t>
        </is>
      </c>
      <c r="E54" t="inlineStr">
        <is>
          <t>AI Analyzer</t>
        </is>
      </c>
      <c r="F54" t="inlineStr">
        <is>
          <t>India</t>
        </is>
      </c>
      <c r="G54" t="inlineStr">
        <is>
          <t>UNKNOWN</t>
        </is>
      </c>
      <c r="H54" t="inlineStr">
        <is>
          <t>Not specified</t>
        </is>
      </c>
      <c r="I54" t="inlineStr">
        <is>
          <t>UNKNOWN</t>
        </is>
      </c>
      <c r="J54" t="inlineStr">
        <is>
          <t>UNKNOWN</t>
        </is>
      </c>
      <c r="M54" t="inlineStr">
        <is>
          <t>Company Description Kutukam AI is an Information Technology and Artificial Intelligence firm focused on turning complex technology into practical tools for business growth The company designs accessible scalable AI and IT solutions for organizations ranging from small startups to large global enterprises Kutukam AI helps businesses integrate AI into daily operations to automate workflows extract datadriven insights and build resilient software architectures tailored to each industry The team em…</t>
        </is>
      </c>
      <c r="N54" t="n">
        <v>53</v>
      </c>
      <c r="O54" t="n">
        <v>50</v>
      </c>
      <c r="P54" t="n">
        <v>60</v>
      </c>
      <c r="Q54" t="n">
        <v>80</v>
      </c>
      <c r="R54" t="n">
        <v>40</v>
      </c>
      <c r="S54" t="n">
        <v>40</v>
      </c>
      <c r="T54" t="n">
        <v>40</v>
      </c>
      <c r="U54" t="inlineStr">
        <is>
          <t>SKIP</t>
        </is>
      </c>
      <c r="V54" t="inlineStr">
        <is>
          <t>SKIP</t>
        </is>
      </c>
      <c r="X54" t="inlineStr">
        <is>
          <t>Default Full Stack / Software Engineer Resume</t>
        </is>
      </c>
      <c r="Y54" t="inlineStr">
        <is>
          <t>2026-10-02</t>
        </is>
      </c>
      <c r="Z54" t="inlineStr">
        <is>
          <t>Matches the primary target role of Software Engineer Intern</t>
        </is>
      </c>
      <c r="AA54" t="inlineStr">
        <is>
          <t>ELIGIBLE</t>
        </is>
      </c>
      <c r="AB54" t="inlineStr">
        <is>
          <t>Target role matches candidate preference for Software Engineer Intern; No hard degree or experience blockers mentioned in the minimal JD</t>
        </is>
      </c>
      <c r="AC54" t="inlineStr">
        <is>
          <t>UNKNOWN</t>
        </is>
      </c>
      <c r="AD54" t="inlineStr">
        <is>
          <t>Availability details not specified in job description</t>
        </is>
      </c>
      <c r="AE54" t="inlineStr">
        <is>
          <t>UNKNOWN</t>
        </is>
      </c>
      <c r="AF54" t="n">
        <v>0</v>
      </c>
      <c r="AG54" t="inlineStr">
        <is>
          <t>No</t>
        </is>
      </c>
      <c r="AH54" t="inlineStr">
        <is>
          <t>UNKNOWN</t>
        </is>
      </c>
      <c r="AI54" t="inlineStr">
        <is>
          <t>No mention of PPO or conversion in the job description</t>
        </is>
      </c>
      <c r="AK54" t="inlineStr">
        <is>
          <t>Extremely vague job description with zero technical requirements, stipend details, or work mode</t>
        </is>
      </c>
      <c r="AL54" t="inlineStr">
        <is>
          <t>AI and IT solutions integration; Software architecture design; Workflow automation</t>
        </is>
      </c>
    </row>
    <row r="55">
      <c r="A55" t="inlineStr">
        <is>
          <t>GENROBOTICS-261002-54</t>
        </is>
      </c>
      <c r="B55" t="inlineStr">
        <is>
          <t>Genrobotics</t>
        </is>
      </c>
      <c r="C55" t="inlineStr">
        <is>
          <t>Software Engineer Intern</t>
        </is>
      </c>
      <c r="D55" t="inlineStr">
        <is>
          <t>https://www.adzuna.in/details/5845820619?utm_medium=api&amp;utm_source=5ccdc27f</t>
        </is>
      </c>
      <c r="E55" t="inlineStr">
        <is>
          <t>AI Analyzer</t>
        </is>
      </c>
      <c r="F55" t="inlineStr">
        <is>
          <t>Thiruvananthapuram, Kerala</t>
        </is>
      </c>
      <c r="G55" t="inlineStr">
        <is>
          <t>On-site</t>
        </is>
      </c>
      <c r="H55" t="inlineStr">
        <is>
          <t>This is a unpaid internship</t>
        </is>
      </c>
      <c r="I55" t="inlineStr">
        <is>
          <t>Not Specified</t>
        </is>
      </c>
      <c r="J55" t="inlineStr">
        <is>
          <t>None</t>
        </is>
      </c>
      <c r="K55" t="inlineStr">
        <is>
          <t>JavaScript; MySQL; C; C++; Java; Git; APIs</t>
        </is>
      </c>
      <c r="L55" t="inlineStr">
        <is>
          <t>Flutter; Web Development; Mobile Application</t>
        </is>
      </c>
      <c r="M55" t="inlineStr">
        <is>
          <t>## Software Engineer Intern jobs in Thiruvananthapuram
Leave us your email address and we'll send you similar new jobsCreate email alert [No, thanks](https://www.adzuna.in/details/5845820619#)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 Intern
[❮ back to last search](https://www.adzuna.in/details/5845820619#)![Hiree Jobs](https://zunastatic-abf.kxcdn.com/images/in/jobs/partners/logo_hireejobs.png)
Genrobotics
Thiruvananthapuram
![Hiree Jobs](https://zunastatic-abf.kxcdn.com/images/in/jobs/partners/logo_hireejobs.png)
CLOSING SOON
[Apply for this job](https://www.adzuna.in/land/ad/5845820619?aztt=eyJhbGciOiJIUzI1NiJ9.eyJpYXQiOjE3OTA5NDM1NzIsInR0IjoiZ29vZ2xlX29yZ2FuaWMiLCJjaSI6IklzUGNoVnUtOFJHcWxzd003d3ppbUEiLCJ0cyI6bnVsbCwiZXhwIjoxNzkxNTQ4MzcyfQ.acZn4TbG2Lc0xnYtCGR2A9VD9g2s-mSmFTs-htnYfVI&amp;from_adp=1&amp;v=04AA6A1870BB59EEAAA61F247AFB70FE2573F9EE&amp;se=) Brief Support the software development team in the design development testing and maintenance of software applications and system features Assist in coding debugging documentation and implementation of software solutions while gaining handson experience in realtime projects and modern technologies Collaborate with crossfunctional teams to ensure timely delivery of highquality software solutions aligned with business and project requirements Job Summary The Software Engineer Intern will work closely with the development team to support application development testing troubleshooting and deployment activities The role provides exposure to software development lifecycle processes coding standards and collaborative project execution in a professional environment Experience Freshers Responsibilities Assist in developing testing and maintaining software applications Support debugging and troubleshooting of software issues Write clean efficient and welldocumented code under guidance Participate in code reviews and team discussions Collaborate with crossfunctional teams for project execution Support integration testing and deployment activities Maintain technical documentation and project reports Learn and implement new technologies tools and frameworks Follow coding standards development processes and best practices Assist in improving application performance and user experience Participate in daily standup meetings and project review sessions Support research and development activities related to software solutions Qualifications Pursuing or completed Bachelors Degree in Computer Science Information Technology Software Engineering Electronics Communication or related engineering disciplines Candidates with relevant internship experience academic projects or certification courses in software development will have an added advantage Additional Qualifications Basic knowledge of programming languages such as My SQL C C Java or JavaScript Flutter Familiarity with web development frameworks databases and APIs is preferred Understanding of software development lifecycle SDLC and version control tools such as Git Skills Required Basic understanding of software development principles and coding standards Knowledge of debugging testing and troubleshooting techniques Familiarity with databases APIs and version control tools such as Git Understanding of web technologies frameworks or application development concepts Strong analytical and problemsolving abilities Good communication and interpersonal skills Job Location Technopark Thiruvananthapuram Note This is a unpaid internship Skills c mobile application flutter web development mysql [Apply for this job](https://www.adzuna.in/land/ad/5845820619?aztt=eyJhbGciOiJIUzI1NiJ9.eyJpYXQiOjE3OTA5NDM1NzIsInR0IjoiZ29vZ2xlX29yZ2FuaWMiLCJjaSI6IklzUGNoVnUtOFJHcWxzd003d3ppbUEiLCJ0cyI6bnVsbCwiZXhwIjoxNzkxNTQ4MzcyfQ.acZn4TbG2Lc0xnYtCGR2A9VD9g2s-mSmFTs-htnYfVI&amp;from_adp=1&amp;v=04AA6A1870BB59EEAAA61F247AFB70FE2573F9EE&amp;se=)
## Stats for this job
### Salaries
The number of jobs in each salary range for all:
Receive similar jobs by email
Create alert
By creating an alert, you agree to our [T&amp;Cs](https://www.adzuna.in/terms-and-conditions.html) and [Privacy Notice](https://www.adzuna.in/privacy-policy.html), and Cookie Use.
## Similar jobs
[Finance Intern (6-Month Internship)](https://www.adzuna.in/details/5823130066)
10000 - 15000 INR per month
Genrobotic Innovations Private Limited
Thiruvananthapuram, Kerala, Ind</t>
        </is>
      </c>
      <c r="N55" t="n">
        <v>52</v>
      </c>
      <c r="O55" t="n">
        <v>70</v>
      </c>
      <c r="P55" t="n">
        <v>75</v>
      </c>
      <c r="Q55" t="n">
        <v>80</v>
      </c>
      <c r="R55" t="n">
        <v>0</v>
      </c>
      <c r="S55" t="n">
        <v>0</v>
      </c>
      <c r="T55" t="n">
        <v>40</v>
      </c>
      <c r="U55" t="inlineStr">
        <is>
          <t>SKIP</t>
        </is>
      </c>
      <c r="V55" t="inlineStr">
        <is>
          <t>SKIP</t>
        </is>
      </c>
      <c r="W55" t="inlineStr">
        <is>
          <t>Flutter; C++</t>
        </is>
      </c>
      <c r="X55" t="inlineStr">
        <is>
          <t>Default Full Stack Resume</t>
        </is>
      </c>
      <c r="Y55" t="inlineStr">
        <is>
          <t>2026-10-02</t>
        </is>
      </c>
      <c r="Z55" t="inlineStr">
        <is>
          <t>Matches general software engineer intern role criteria.; Requires basic programming and database skills present in candidate profile.</t>
        </is>
      </c>
      <c r="AA55" t="inlineStr">
        <is>
          <t>Eligible</t>
        </is>
      </c>
      <c r="AB55" t="inlineStr">
        <is>
          <t>Candidate is pursuing a relevant Master's degree in Computer Applications (MCA) which falls under Bachelors/Masters Degree in Computer Science/IT/Software Engineering equivalent requirements.</t>
        </is>
      </c>
      <c r="AC55" t="inlineStr">
        <is>
          <t>unknown</t>
        </is>
      </c>
      <c r="AD55" t="inlineStr">
        <is>
          <t>Availability timeline relative to the company's start date is not specified in the career brain.</t>
        </is>
      </c>
      <c r="AE55" t="inlineStr">
        <is>
          <t>UNKNOWN</t>
        </is>
      </c>
      <c r="AF55" t="n">
        <v>0</v>
      </c>
      <c r="AG55" t="inlineStr">
        <is>
          <t>No</t>
        </is>
      </c>
      <c r="AH55" t="inlineStr">
        <is>
          <t>None</t>
        </is>
      </c>
      <c r="AI55" t="inlineStr">
        <is>
          <t>The job description does not mention PPO or permanent conversion opportunities.</t>
        </is>
      </c>
      <c r="AJ55" t="inlineStr">
        <is>
          <t>Unpaid internship conflicts with minimum stipend target of ₹25,000/month; Location is Thiruvananthapuram, Kerala while preferred location is Bengaluru</t>
        </is>
      </c>
      <c r="AK55" t="inlineStr">
        <is>
          <t>Unpaid internship; Location mismatch (Thiruvananthapuram vs Bengaluru preference)</t>
        </is>
      </c>
      <c r="AL55" t="inlineStr">
        <is>
          <t>Basic data structures and algorithms in Java or C/C++; Database design and SQL queries using MySQL; Version control workflows using Git; RESTful API development concepts</t>
        </is>
      </c>
    </row>
    <row r="56">
      <c r="A56" t="inlineStr">
        <is>
          <t>EDZOLA-261002-55</t>
        </is>
      </c>
      <c r="B56" t="inlineStr">
        <is>
          <t>EdZola</t>
        </is>
      </c>
      <c r="C56" t="inlineStr">
        <is>
          <t>Software Engineering Intern</t>
        </is>
      </c>
      <c r="D56" t="inlineStr">
        <is>
          <t>https://www.adzuna.in/details/5845820762?utm_medium=api&amp;utm_source=5ccdc27f</t>
        </is>
      </c>
      <c r="E56" t="inlineStr">
        <is>
          <t>AI Analyzer</t>
        </is>
      </c>
      <c r="F56" t="inlineStr">
        <is>
          <t>Coimbatore, Tamil Nadu</t>
        </is>
      </c>
      <c r="G56" t="inlineStr">
        <is>
          <t>fully inperson</t>
        </is>
      </c>
      <c r="H56" t="inlineStr">
        <is>
          <t>Not specified</t>
        </is>
      </c>
      <c r="I56" t="inlineStr">
        <is>
          <t>Not specified</t>
        </is>
      </c>
      <c r="J56" t="inlineStr">
        <is>
          <t>NOT_MENTIONED</t>
        </is>
      </c>
      <c r="K56" t="inlineStr">
        <is>
          <t>Software Engineering Fundamentals; Problem Solving; APIs; Databases</t>
        </is>
      </c>
      <c r="L56" t="inlineStr">
        <is>
          <t>AI products; Zoho applications; Integrations; Dashboards; Workflow automation</t>
        </is>
      </c>
      <c r="M56" t="inlineStr">
        <is>
          <t>## Software Engineering Intern jobs in Coimbatore
Leave us your email address and we'll send you similar new jobsCreate email alert [No, thanks](https://www.adzuna.in/details/5845820762#)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Engineering Intern
[❮ back to last search](https://www.adzuna.in/details/5845820762#)![Hiree Jobs](https://zunastatic-abf.kxcdn.com/images/in/jobs/partners/logo_hireejobs.png)
EdZola
Coimbatore
![Hiree Jobs](https://zunastatic-abf.kxcdn.com/images/in/jobs/partners/logo_hireejobs.png)
CLOSING SOON
[Apply for this job](https://www.adzuna.in/land/ad/5845820762?aztt=eyJhbGciOiJIUzI1NiJ9.eyJpYXQiOjE3OTA5NDM1ODEsImNpIjoiMm0xSGkxdS04UkdnZy1peXFWRnBvdyIsInR0IjoiZ29vZ2xlX29yZ2FuaWMiLCJ0cyI6bnVsbCwiZXhwIjoxNzkxNTQ4MzgxfQ.sdY91QzfKs7Z_xvAVEI7IGiuSocW-L7oGTa6-9iX9rs&amp;from_adp=1&amp;v=520F5A28CDD7FDC865953D78D8C888F3055C6005&amp;se=) We are hiring our next batch of fulltime Software Engineering Interns at EdZola for our Coimbatore office This hiring cycle feels particularly important to me Over the last few years I have had the opportunity to see EdZola grow from a small team taking on individual technology projects into an organisation building systems platforms and AIenabled products for nonprofits and missiondriven organisations More importantly I have witnessed the growth of people within EdZola I have seen young engineers begin by working on small clearly defined tasks and gradually learn to understand customers question requirements design complete systems handle difficult production issues and take ownership of outcomes Watching that transformation has been one of the most rewarding parts of building EdZola At the same time the role of a software engineer is evolving rapidly AI can now generate code workflows interfaces documentation and even substantial parts of a working application But the hardest part of engineering has not disappeared Someone still needs to understand the real problem Someone needs to decide how the system should work question what the AI has produced account for edge cases verify the data and ensure that the solution works reliably for the people who will actually use it That is the kind of engineer we want to hire and develop We are looking for young engineers who are deeply curious love solving difficult problems and want to use technology for social good You may be in your prefinal year or final year of engineering have recently graduated or have up to two years of experience You do not need to know every platform or framework already What matters more is whether you are willing to learn quickly reason from first principles use AI thoughtfully ask good questions and take responsibility for what you build At EdZola you may work across AI products Zoho applications APIs databases integrations dashboards workflow automation and custom software You will also have the opportunity to stay close to users and understand how technology is used in the real world This is a fulltime fully inperson role based in Coimbatore I believe some of the strongest engineers of the next decade will be those who can move comfortably between AI strong engineering fundamentals and a deep understanding of people and problems If that sounds like the kind of engineer you want to become I would love for you to apply Apply here go edzola com hiring And if someone in your network fits this description please share this with them Hiring SoftwareEngineering EngineeringInternship AINative TechForGood SocialImpactTech CoimbatoreJobs EdZola [Apply for this job](https://www.adzuna.in/land/ad/5845820762?aztt=eyJhbGciOiJIUzI1NiJ9.eyJpYXQiOjE3OTA5NDM1ODEsImNpIjoiMm0xSGkxdS04UkdnZy1peXFWRnBvdyIsInR0IjoiZ29vZ2xlX29yZ2FuaWMiLCJ0cyI6bnVsbCwiZXhwIjoxNzkxNTQ4MzgxfQ.sdY91QzfKs7Z_xvAVEI7IGiuSocW-L7oGTa6-9iX9rs&amp;from_adp=1&amp;v=520F5A28CDD7FDC865953D78D8C888F3055C6005&amp;se=)
## Stats for this job
### Salaries
The number of jobs in each salary range for all:
Receive similar jobs by email
Create alert
By creating an alert, you agree to our [T&amp;Cs](https://www.adzuna.in/terms-and-conditions.html) and [Privacy Notice](https://www.adzuna.in/privacy-policy.html), and Cookie Use.
## Similar jobs
[Cloud Software Engineering Intern at CoreStack Technologies](https://www.adzuna.in/details/5845820716)
CoreStack Technologies
Coimbatore
[Cloud Software Engineering Intern at CoreStack Technologies Coimbat</t>
        </is>
      </c>
      <c r="N56" t="n">
        <v>68</v>
      </c>
      <c r="O56" t="n">
        <v>75</v>
      </c>
      <c r="P56" t="n">
        <v>80</v>
      </c>
      <c r="Q56" t="n">
        <v>80</v>
      </c>
      <c r="R56" t="n">
        <v>40</v>
      </c>
      <c r="S56" t="n">
        <v>50</v>
      </c>
      <c r="T56" t="n">
        <v>70</v>
      </c>
      <c r="U56" t="inlineStr">
        <is>
          <t>SKIP</t>
        </is>
      </c>
      <c r="V56" t="inlineStr">
        <is>
          <t>SKIP</t>
        </is>
      </c>
      <c r="W56" t="inlineStr">
        <is>
          <t>Zoho applications</t>
        </is>
      </c>
      <c r="X56" t="inlineStr">
        <is>
          <t>Default Full Stack / Software Engineering Resume</t>
        </is>
      </c>
      <c r="Y56" t="inlineStr">
        <is>
          <t>2026-10-02</t>
        </is>
      </c>
      <c r="Z56" t="inlineStr">
        <is>
          <t>Matches software engineering intern target role.; Involves modern stack exposure including APIs, databases, and custom software.</t>
        </is>
      </c>
      <c r="AA56" t="inlineStr">
        <is>
          <t>ELIGIBLE</t>
        </is>
      </c>
      <c r="AB56" t="inlineStr">
        <is>
          <t>Candidate is in MCA (pre-final/final year or recent graduate) matching the student/graduate criteria.</t>
        </is>
      </c>
      <c r="AC56" t="inlineStr">
        <is>
          <t>UNKNOWN</t>
        </is>
      </c>
      <c r="AD56" t="inlineStr">
        <is>
          <t>Candidate availability dates are not explicitly detailed in the career brain relative to the start date.</t>
        </is>
      </c>
      <c r="AE56" t="inlineStr">
        <is>
          <t>UNKNOWN</t>
        </is>
      </c>
      <c r="AF56" t="n">
        <v>0</v>
      </c>
      <c r="AG56" t="inlineStr">
        <is>
          <t>No</t>
        </is>
      </c>
      <c r="AH56" t="inlineStr">
        <is>
          <t>NOT_MENTIONED</t>
        </is>
      </c>
      <c r="AI56" t="inlineStr">
        <is>
          <t>No explicit mention of PPO or conversion opportunities in the job description.</t>
        </is>
      </c>
      <c r="AJ56" t="inlineStr">
        <is>
          <t>Location requirement: Fully in-person in Coimbatore, Tamil Nadu (Candidate prefers Bengaluru or remote).</t>
        </is>
      </c>
      <c r="AK56" t="inlineStr">
        <is>
          <t>Fully in-person role located in Coimbatore, which contradicts candidate's location preference of Bengaluru.</t>
        </is>
      </c>
      <c r="AL56" t="inlineStr">
        <is>
          <t>First principles problem solving; API design and database management experience; Experience working with AI tools and reasoning through AI outputs; Willingness to relocate to Coimbatore for a fully in-person internship</t>
        </is>
      </c>
    </row>
    <row r="57">
      <c r="A57" t="inlineStr">
        <is>
          <t>MICROSOFT-CO-261002-56</t>
        </is>
      </c>
      <c r="B57" t="inlineStr">
        <is>
          <t>Microsoft Corporation</t>
        </is>
      </c>
      <c r="C57" t="inlineStr">
        <is>
          <t>Software Engineering INTERN</t>
        </is>
      </c>
      <c r="D57" t="inlineStr">
        <is>
          <t>https://www.adzuna.in/details/5775777688?utm_medium=api&amp;utm_source=5ccdc27f</t>
        </is>
      </c>
      <c r="E57" t="inlineStr">
        <is>
          <t>AI Analyzer</t>
        </is>
      </c>
      <c r="F57" t="inlineStr">
        <is>
          <t>India</t>
        </is>
      </c>
      <c r="G57" t="inlineStr">
        <is>
          <t>Unknown</t>
        </is>
      </c>
      <c r="H57" t="inlineStr">
        <is>
          <t>Not specified</t>
        </is>
      </c>
      <c r="I57" t="inlineStr">
        <is>
          <t>Unknown</t>
        </is>
      </c>
      <c r="J57" t="inlineStr">
        <is>
          <t>UNKNOWN</t>
        </is>
      </c>
      <c r="K57" t="inlineStr">
        <is>
          <t>Object-oriented programming language; Computer Science fundamentals; Data structures and algorithms</t>
        </is>
      </c>
      <c r="L57" t="inlineStr">
        <is>
          <t>Time management; Collaboration; Software design, development, and testing</t>
        </is>
      </c>
      <c r="M57" t="inlineStr">
        <is>
          <t>## Software Engineering INTERN jobs in India
Leave us your email address and we'll send you similar new jobsCreate email alert [No, thanks](https://www.adzuna.in/details/5775777688#)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Engineering INTERN
[❮ back to last search](https://www.adzuna.in/details/5775777688#)![Direct Employers](https://zunastatic-abf.kxcdn.com/images/shared/jobs/partners/logo_adzuna_network.png)
Microsoft Corporation
Multiple Locations
![Direct Employers](https://zunastatic-abf.kxcdn.com/images/shared/jobs/partners/logo_adzuna_network.png)
CLOSING SOON
[Apply for this job](https://www.adzuna.in/land/ad/5775777688?aztt=eyJhbGciOiJIUzI1NiJ9.eyJjaSI6ImxIRlNrRnUtOFJHZ2ctaXlxVkZwb3ciLCJpYXQiOjE3OTA5NDM1ODksInRzIjpudWxsLCJ0dCI6Imdvb2dsZV9vcmdhbmljIiwiZXhwIjoxNzkxNTQ4Mzg5fQ.JJXKconN-ibLcx-mmEM1m2YAfSI_O-U2wd8IWoOOf9I&amp;from_adp=1&amp;v=8B7D27DC4A7BE6CAD854F8EC6052D023DE8AA493&amp;se=)\*\*Overview\*\* Come build community, explore your passions and do your best work at Microsoft with thousands of University interns from every corner of the world. This opportunity will allow you to bring your aspirations, talent, potential-and excitement for the journey ahead. As a Software Engineering Intern, you will work with teammates to solve problems and build innovative software solutions. You will apply your passion for customers and product quality as you provide technical guidance to Technical Program Managers and Product Managers. You will learn and adopt relevant new technologies, tools, methods, and processes to leverage in your solutions. This opportunity will enable you to advance your career by designing, developing, and testing next-generation software that will empower every person and organization on the planet to achieve more.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Apply engineering principles to solve complex problems through sound and creative engineering. + Work with appropriate stakeholders to determine user requirements for a feature. + Quickly learns new engineering methods and incorporates them into work processes. + Seek feedback and apply internal or industry best practices to improve technical solutions. + Demonstrate skill in time management and completing software projects in a cooperative team environment. + Review current developments and proactively seek new knowledge that will improve the availability, reliability, efficiency, observability, and performance of products while also driving consistency in monitoring and operations at scale. \*\*Qualifications\*\* Required Qualifications: + Currently pursuing Bachelor's or Master's degree in Computer Science, Engineering, or related field + Must have at least 1 semester/term remaining following the completion of the internship + One year of programming experience in an object-oriented language. Preferred Qualifications: + Ability to demonstrate an understanding of computer science fundamentals, including data structures and algorithms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t>
        </is>
      </c>
      <c r="N57" t="n">
        <v>76</v>
      </c>
      <c r="O57" t="n">
        <v>75</v>
      </c>
      <c r="P57" t="n">
        <v>80</v>
      </c>
      <c r="Q57" t="n">
        <v>90</v>
      </c>
      <c r="R57" t="n">
        <v>60</v>
      </c>
      <c r="S57" t="n">
        <v>50</v>
      </c>
      <c r="T57" t="n">
        <v>95</v>
      </c>
      <c r="U57" t="inlineStr">
        <is>
          <t>CONSIDER</t>
        </is>
      </c>
      <c r="V57" t="inlineStr">
        <is>
          <t>CONSIDER</t>
        </is>
      </c>
      <c r="W57" t="inlineStr">
        <is>
          <t>Formal/explicit DSA interview preparation (though certified in DSA with Java)</t>
        </is>
      </c>
      <c r="X57" t="inlineStr">
        <is>
          <t>Standard Full Stack / Software Engineer Resume highlighting C# and Angular experience alongside MERN projects.</t>
        </is>
      </c>
      <c r="Y57" t="inlineStr">
        <is>
          <t>2026-10-02</t>
        </is>
      </c>
      <c r="Z57" t="inlineStr">
        <is>
          <t>Top-tier brand name (Microsoft) offering exceptional career value and opportunity quality.; Matches target role of Software Engineering Intern.; Candidate meets all stated hard qualifications (degree program, duration remaining, programming experience).</t>
        </is>
      </c>
      <c r="AA57" t="inlineStr">
        <is>
          <t>ELIGIBLE</t>
        </is>
      </c>
      <c r="AB57" t="inlineStr">
        <is>
          <t>Currently pursuing Master's degree in Computer Science (MCA at PES University, graduating 2027); Has remaining semesters following completion of internship; Demonstrated programming experience in object-oriented and general software engineering contexts (C#, Angular, Node.js)</t>
        </is>
      </c>
      <c r="AC57" t="inlineStr">
        <is>
          <t>UNKNOWN</t>
        </is>
      </c>
      <c r="AD57" t="inlineStr">
        <is>
          <t>Exact availability dates for internship are not specified in the candidate profile.</t>
        </is>
      </c>
      <c r="AE57" t="inlineStr">
        <is>
          <t>UNKNOWN</t>
        </is>
      </c>
      <c r="AF57" t="n">
        <v>0</v>
      </c>
      <c r="AG57" t="inlineStr">
        <is>
          <t>No</t>
        </is>
      </c>
      <c r="AH57" t="inlineStr">
        <is>
          <t>UNKNOWN</t>
        </is>
      </c>
      <c r="AI57" t="inlineStr">
        <is>
          <t>Job description mentions general university internship program overview but does not explicitly guarantee a PPO/conversion.</t>
        </is>
      </c>
      <c r="AK57" t="inlineStr">
        <is>
          <t>Stipend is completely unknown; Work mode/location specifics are vague (Multiple Locations in India)</t>
        </is>
      </c>
      <c r="AL57" t="inlineStr">
        <is>
          <t>Data structures and algorithms; Object-oriented programming concepts; System design and scalability; Past production deployment and software lifecycle experience</t>
        </is>
      </c>
    </row>
    <row r="58">
      <c r="A58" t="inlineStr">
        <is>
          <t>INDIAN-AI-RE-261002-57</t>
        </is>
      </c>
      <c r="B58" t="inlineStr">
        <is>
          <t>Indian AI Research Organisation IAIRO</t>
        </is>
      </c>
      <c r="C58" t="inlineStr">
        <is>
          <t>Software Engineer Intern</t>
        </is>
      </c>
      <c r="D58" t="inlineStr">
        <is>
          <t>https://www.adzuna.in/details/5845820622?utm_medium=api&amp;utm_source=5ccdc27f</t>
        </is>
      </c>
      <c r="E58" t="inlineStr">
        <is>
          <t>AI Analyzer</t>
        </is>
      </c>
      <c r="F58" t="inlineStr">
        <is>
          <t>Gandhinagar, Gujarat</t>
        </is>
      </c>
      <c r="G58" t="inlineStr">
        <is>
          <t>UNKNOWN</t>
        </is>
      </c>
      <c r="I58" t="inlineStr">
        <is>
          <t>UNKNOWN</t>
        </is>
      </c>
      <c r="J58" t="inlineStr">
        <is>
          <t>NOT_MENTIONED</t>
        </is>
      </c>
      <c r="K58" t="inlineStr">
        <is>
          <t>Software Engineering; Data Pipelines; AI-enabled services</t>
        </is>
      </c>
      <c r="L58" t="inlineStr">
        <is>
          <t>Python; AI/ML frameworks</t>
        </is>
      </c>
      <c r="M58" t="inlineStr">
        <is>
          <t>IAIRO is building foundational AI capability for India in the public interest Our health programme develops responsible AI systems that support clinicians researchers publichealth institutions and individuals seeking personalized daily guidance As a Software Engineer Intern you will help build data pipelines AIenabled services and lightweight MVPs inspired by AI Hospital Agent Hospital Personal Health Insights Agents Personicle and Personal Care Utility You will work with engineers and domain e…</t>
        </is>
      </c>
      <c r="N58" t="n">
        <v>56</v>
      </c>
      <c r="O58" t="n">
        <v>55</v>
      </c>
      <c r="P58" t="n">
        <v>65</v>
      </c>
      <c r="Q58" t="n">
        <v>80</v>
      </c>
      <c r="R58" t="n">
        <v>40</v>
      </c>
      <c r="S58" t="n">
        <v>30</v>
      </c>
      <c r="T58" t="n">
        <v>60</v>
      </c>
      <c r="U58" t="inlineStr">
        <is>
          <t>SKIP</t>
        </is>
      </c>
      <c r="V58" t="inlineStr">
        <is>
          <t>SKIP</t>
        </is>
      </c>
      <c r="W58" t="inlineStr">
        <is>
          <t>Foundational AI development; Data pipeline engineering</t>
        </is>
      </c>
      <c r="X58" t="inlineStr">
        <is>
          <t>Amaan_Ahmed_Resume_FullStack.pdf</t>
        </is>
      </c>
      <c r="Y58" t="inlineStr">
        <is>
          <t>2026-10-02</t>
        </is>
      </c>
      <c r="Z58" t="inlineStr">
        <is>
          <t>Role matches target Software Engineer Intern title; Opportunity to work on impactful health AI initiatives</t>
        </is>
      </c>
      <c r="AA58" t="inlineStr">
        <is>
          <t>ELIGIBLE</t>
        </is>
      </c>
      <c r="AB58" t="inlineStr">
        <is>
          <t>Target role matches Software Engineer Intern; No explicit hard blockers like degree restrictions or high experience requirements stated in the snippet</t>
        </is>
      </c>
      <c r="AC58" t="inlineStr">
        <is>
          <t>AVAILABLE</t>
        </is>
      </c>
      <c r="AD58" t="inlineStr">
        <is>
          <t>Candidate is pursuing MCA (2025-2027) and seeking internships</t>
        </is>
      </c>
      <c r="AE58" t="inlineStr">
        <is>
          <t>UNKNOWN</t>
        </is>
      </c>
      <c r="AF58" t="n">
        <v>0</v>
      </c>
      <c r="AG58" t="inlineStr">
        <is>
          <t>No</t>
        </is>
      </c>
      <c r="AH58" t="inlineStr">
        <is>
          <t>NOT_MENTIONED</t>
        </is>
      </c>
      <c r="AI58" t="inlineStr">
        <is>
          <t>No mention of conversion to full-time or PPO in the job description snippet</t>
        </is>
      </c>
      <c r="AK58" t="inlineStr">
        <is>
          <t>Location is Gandhinagar, Gujarat which does not match preferred location Bengaluru; Stipend is completely undisclosed; No mention of PPO</t>
        </is>
      </c>
      <c r="AL58" t="inlineStr">
        <is>
          <t>Building data pipelines; REST APIs and backend services; Experience with lightweight MVPs</t>
        </is>
      </c>
    </row>
    <row r="59">
      <c r="A59" t="inlineStr">
        <is>
          <t>COINBASE-261002-58</t>
        </is>
      </c>
      <c r="B59" t="inlineStr">
        <is>
          <t>Coinbase</t>
        </is>
      </c>
      <c r="C59" t="inlineStr">
        <is>
          <t>Software Engineer Intern</t>
        </is>
      </c>
      <c r="D59" t="inlineStr">
        <is>
          <t>https://www.adzuna.in/details/5878277894?utm_medium=api&amp;utm_source=5ccdc27f</t>
        </is>
      </c>
      <c r="E59" t="inlineStr">
        <is>
          <t>AI Analyzer</t>
        </is>
      </c>
      <c r="F59" t="inlineStr">
        <is>
          <t>San Francisco, CA / New York City, NY</t>
        </is>
      </c>
      <c r="G59" t="inlineStr">
        <is>
          <t>Hybrid</t>
        </is>
      </c>
      <c r="H59" t="inlineStr">
        <is>
          <t>$60 USD per hour</t>
        </is>
      </c>
      <c r="I59" t="inlineStr">
        <is>
          <t>12-week internship during summer 2027</t>
        </is>
      </c>
      <c r="J59" t="inlineStr">
        <is>
          <t>explicitly mentioned</t>
        </is>
      </c>
      <c r="K59" t="inlineStr">
        <is>
          <t>Programming experience in any language; Problem decomposition; Web development, mobile development, backend systems, or infrastructure familiarity; Responsible use of generative AI tools and copilots</t>
        </is>
      </c>
      <c r="L59" t="inlineStr">
        <is>
          <t>Crypto and blockchain domain concepts</t>
        </is>
      </c>
      <c r="M59" t="inlineStr">
        <is>
          <t>## Software Engineer Intern jobs in India
Leave us your email address and we'll send you similar new jobsCreate email alert [No, thanks](https://www.adzuna.in/details/5878277894#)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 Intern
[❮ back to last search](https://www.adzuna.in/details/5878277894#)![Hashtag Web3](https://zunastatic-abf.kxcdn.com/images/logo/jobs_IN/partners/DuJdYT7tOUoKqeu-7lznaB3IIxw.png)
Coinbase
Hybrid - San Francisco, CA
Permanent
Part time
![Hashtag Web3](https://zunastatic-abf.kxcdn.com/images/logo/jobs_IN/partners/DuJdYT7tOUoKqeu-7lznaB3IIxw.png)
[Apply for this job](https://www.adzuna.in/land/ad/5878277894?aztt=eyJhbGciOiJIUzI1NiJ9.eyJ0cyI6bnVsbCwiZXhwIjoxNzkxNTQ4NDAxLCJ0dCI6Imdvb2dsZV9vcmdhbmljIiwiY2kiOiJxSGVCbDF1LThSR1NDYWo4V1NJNkN3IiwiaWF0IjoxNzkwOTQzNjAxfQ.EwA7GlKLZPtq-wY04XEXBNFVYnjzG9sYiElMIgXhImE&amp;from_adp=1&amp;v=6AB06B8FA41626B64690239ACB9F31984E1803E8&amp;se=)
Ready to do the most impactful work of your career? At Coinbase,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This is a 12-week internship during summer 2027.
You'll join Coinbase as a software engineer intern and help build the next generation of crypto-forward products and features. You'll solve large-scale, complex technical problems at the intersection of web-scale applications and blockchain technology, shipping real code that impacts millions of users.
During the application process, you'll select your preferred team from the groups below. Your application will be primarily considered for your selected team in the specified location. Following the **hybrid internship**, any full-time return opportunity would be **remote-first.**
**Product Group Teams (internship location = San Francisco):**
- **Base**\- Scale the crypto economy by creating integrations, fiat onramps, and developer tools on Coinbase's Ethereum L2 network, connecting builders to 108M+ users and $100B+ in assets.
- **Consumer** \- Build the fastest way to access crypto through the Coinbase retail and wallet apps, advanced trade, dApps, and staking.
- **Developer** \- Help build out Coinbase Developer Platform - trusted crypto infrastructure at scale. Payments, Wallets, Trading, and Stablecoin APIs for the global financial system.
- **Institutional** \- Enable thousands of large financial institutions to securely custody digital assets, stake, and participate in the crypto economy.
- **Platform** \- Create the scalable, compliant foundational systems (Identity, FinHub, Payments, Blockchain and Infrastructure) that underpin all Coinbase products.
**Core Teams (internship location = New York City):**
- **Security** \- Build solutions for critical security, compliance, and privacy needs, including the Workforce IAM Platform and security oversight tooling.
- **Enterprise AI**\- Build AI-powered tools and platforms that boost employee productivity and collaboration, partnering with ML, IT, and HR to bring custom and third-party AI solutions into everyday workflows.
- **Enterprise Engineering (EE)** \- Develop platforms that enhance customer support, internal tools and compliance through automation and customer-first engineering.
What you'll do
- Write high-quality, well-tested code that ships to production and directly impacts Coinbase customers.
- Collaborate with engineers, designers, and product managers to turn technical and product vision into delivered features.
- Participate in code reviews, providing and receiving feedback that raises the quality bar for your team.
- Own a defined project end-to-end, from scoping through implementation and launch, within your 12-week internship.
- Learn and apply crypto and blockchain domain concepts to real engineering problems in a production environment.
**Required Skills and Experience:**
- Demonstrates the ability to responsibly use generative AI tools and copilots (e.g., LibreChat, Gemini, Glean</t>
        </is>
      </c>
      <c r="N59" t="n">
        <v>81</v>
      </c>
      <c r="O59" t="n">
        <v>70</v>
      </c>
      <c r="P59" t="n">
        <v>75</v>
      </c>
      <c r="Q59" t="n">
        <v>80</v>
      </c>
      <c r="R59" t="n">
        <v>90</v>
      </c>
      <c r="S59" t="n">
        <v>100</v>
      </c>
      <c r="T59" t="n">
        <v>95</v>
      </c>
      <c r="U59" t="inlineStr">
        <is>
          <t>SKIP</t>
        </is>
      </c>
      <c r="V59" t="inlineStr">
        <is>
          <t>SKIP</t>
        </is>
      </c>
      <c r="W59" t="inlineStr">
        <is>
          <t>Responsible use of generative AI tools in daily workflows as explicitly formulated in requirements; Crypto and blockchain domain engineering experience</t>
        </is>
      </c>
      <c r="X59" t="inlineStr">
        <is>
          <t>Standard Full Stack / Software Engineer Resume</t>
        </is>
      </c>
      <c r="Y59" t="inlineStr">
        <is>
          <t>2026-10-02</t>
        </is>
      </c>
      <c r="Z59" t="inlineStr">
        <is>
          <t>Exceptional compensation and high opportunity quality at a top-tier crypto firm; Explicit full-time return opportunity (PPO) pathway; Aligns well with target Software Engineer Intern roles</t>
        </is>
      </c>
      <c r="AA59" t="inlineStr">
        <is>
          <t>blocked</t>
        </is>
      </c>
      <c r="AB59" t="inlineStr">
        <is>
          <t>Location mismatch: The internship locations are explicitly specified as San Francisco, CA or New York City, NY, requiring presence in the US, whereas the candidate is based in Bengaluru, India.; Work authorization: The posting lists requirements and links specific to US applicants, indicating lack of international visa sponsorship for this location track.</t>
        </is>
      </c>
      <c r="AC59" t="inlineStr">
        <is>
          <t>unknown</t>
        </is>
      </c>
      <c r="AD59" t="inlineStr">
        <is>
          <t>Candidate availability for relocating to the US for a summer 2027 hybrid internship is not explicitly stated in the profile.</t>
        </is>
      </c>
      <c r="AE59" t="inlineStr">
        <is>
          <t>known</t>
        </is>
      </c>
      <c r="AF59" t="n">
        <v>420000</v>
      </c>
      <c r="AG59" t="inlineStr">
        <is>
          <t>No</t>
        </is>
      </c>
      <c r="AH59" t="inlineStr">
        <is>
          <t>explicitly mentioned</t>
        </is>
      </c>
      <c r="AI59" t="inlineStr">
        <is>
          <t>Following the hybrid internship, any full-time return opportunity would be remote-first.</t>
        </is>
      </c>
      <c r="AJ59" t="inlineStr">
        <is>
          <t>Location requirement (San Francisco, CA / New York City, NY hybrid presence)</t>
        </is>
      </c>
      <c r="AK59" t="inlineStr">
        <is>
          <t>Geographic location mismatch presenting a hard eligibility barrier</t>
        </is>
      </c>
      <c r="AL59" t="inlineStr">
        <is>
          <t>Data structures and algorithms; System design for web-scale applications; Blockchain fundamentals and decentralized applications; Past project architecture and problem-solving methodologies</t>
        </is>
      </c>
    </row>
    <row r="60">
      <c r="A60" t="inlineStr">
        <is>
          <t>ZYBISYS-CONS-261002-59</t>
        </is>
      </c>
      <c r="B60" t="inlineStr">
        <is>
          <t>Zybisys Consulting Services Llp</t>
        </is>
      </c>
      <c r="C60" t="inlineStr">
        <is>
          <t>Software Engineer Intern</t>
        </is>
      </c>
      <c r="D60" t="inlineStr">
        <is>
          <t>https://www.adzuna.in/details/5845820644?utm_medium=api&amp;utm_source=5ccdc27f</t>
        </is>
      </c>
      <c r="E60" t="inlineStr">
        <is>
          <t>AI Analyzer</t>
        </is>
      </c>
      <c r="F60" t="inlineStr">
        <is>
          <t>Tiruchirappalli, Tamil Nadu</t>
        </is>
      </c>
      <c r="G60" t="inlineStr">
        <is>
          <t>Unknown</t>
        </is>
      </c>
      <c r="H60" t="inlineStr">
        <is>
          <t>Not specified</t>
        </is>
      </c>
      <c r="I60" t="inlineStr">
        <is>
          <t>Unknown</t>
        </is>
      </c>
      <c r="J60" t="inlineStr">
        <is>
          <t>No</t>
        </is>
      </c>
      <c r="K60" t="inlineStr">
        <is>
          <t>Node.js; JavaScript; TypeScript; Python; React.js; Next.js; MongoDB; PostgreSQL; REST APIs; JSON; Microservices; Linux; Command-line tools; Networking fundamentals; Web technologies; Analytical logical reasoning; Debugging; Communication skills</t>
        </is>
      </c>
      <c r="L60" t="inlineStr">
        <is>
          <t>Cloud Platforms; AWS; Azure; OpenStack; GCP; Docker; Kubernetes; CI/CD; Jenkins; GitHub Actions; Ansible; OpenSearch; Redis; Message queue technologies; Cybersecurity; System monitoring; Observability tools; Golang; Open source contributions; Hackathons; Technical certifications</t>
        </is>
      </c>
      <c r="M60" t="inlineStr">
        <is>
          <t>## Software Engineer Intern jobs in Tiruchirappalli
Leave us your email address and we'll send you similar new jobsCreate email alert [No, thanks](https://www.adzuna.in/details/5845820644#)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 Intern
[❮ back to last search](https://www.adzuna.in/details/5845820644#)![Hiree Jobs](https://zunastatic-abf.kxcdn.com/images/in/jobs/partners/logo_hireejobs.png)
Zybisys Consulting Services Llp
Tiruchirappalli
![Hiree Jobs](https://zunastatic-abf.kxcdn.com/images/in/jobs/partners/logo_hireejobs.png)
CLOSING SOON
[Apply for this job](https://www.adzuna.in/land/ad/5845820644?aztt=eyJhbGciOiJIUzI1NiJ9.eyJjaSI6InBuYktuRnUtOFJHZ2ctaXlxVkZwb3ciLCJpYXQiOjE3OTA5NDM2MTAsInRzIjpudWxsLCJ0dCI6Imdvb2dsZV9vcmdhbmljIiwiZXhwIjoxNzkxNTQ4NDEwfQ.jN3mGEmJ__2yiUYc9FZhjiT8eaFTEWAOXvdA8c2Z-aA&amp;from_adp=1&amp;v=BCB7F459D37C7210B05B0FF4DEB28529C14615E9&amp;se=) We are looking for passionate and motivated Associate Software Engineers who are eager to work on modern technologies including Full Stack Development AI ML Cloud Automation and InfrastructureAware Applications This role is ideal for fresh graduates who enjoy problemsolving building scalable applications researching emerging technologies and working closely with development and infrastructure teams You will gain handson exposure to modern software engineering practices cloud native development AIassisted workflows DevOps culture and scalable system design Key Responsibilities Design develop test and maintain scalable web applications and APIs Work on modern fullstack development using React js Node js and Python Collaborate with Product QA DevOps Cloud and Infrastructure teams Participate in AI ML and automationdriven product development initiatives Research and evaluate emerging technologies frameworks and tools Develop clean optimized reusable and welldocumented code Troubleshoot application infrastructure and performancerelated issues Assist in building cloudnative and containerized applications Work with Linuxbased environments for deployment and debugging Contribute to CI CD automation and DevOps workflows Analyze system bottlenecks and recommend performance optimizations Document technical designs R D findings and implementation best practices Continuously improve technical analytical and communication skills RequirementsRequired Skills Qualifications Good programming knowledge in Node js JavaScript or TypeScript Python Understanding of frontend frameworks such as React js or Next js Familiarity with databases such as MongoDB or PostgreSQL Basic understanding of REST APIs JSON and microservices concepts Knowledge of Linux operating systems and commandline tools Understanding of networking fundamentals and web technologies Strong analytical logical reasoning and debugging skills Good written and verbal English communication skills Ability to learn new technologies quickly and adapt to modern development practices Awareness of AI ML concepts Generative AI tools and automation workflows Added Advantage Knowledge of Cloud Platforms AWS Azure OpenStack or GCP Exposure to Docker Kubernetes CI CD Jenkins GitHub Actions or Ansible Knowledge of OpenSearch Redis or message queue technologies Understanding of cybersecurity system monitoring or observability tools Experience with Golang or additional programming languages Contributions to GitHub opensource projects internships or hackathons Technical certifications such as RHCE AWS Azure CCNA Kubernetes etc BenefitsWhat We Offer Opportunity to work on modern AIdriven and cloudnative technologies Exposure to realworld enterprise and infrastructure projects Collaborative learning environment with mentorship from experienced engineers Career growth opportunities in Full Stack AI ML Cloud DevOps and Platform Engineering Handson experience with emerging technologies and R D initiatives [Apply for this job](https://www.adzuna.in/land/ad/5845820644?aztt=eyJhbGciOiJIUzI1NiJ9.eyJjaSI6InBuYktuRnUtOFJHZ2ctaXlxVkZwb3ciLCJpYXQiOjE3OTA5NDM2MTAsInRzIjpudWxsLCJ0dCI6Imdvb2dsZV9vcmdhbmljIiwiZXhwIjoxNzkxNTQ4NDEwfQ.jN3mGEmJ__2yiUYc9FZhjiT8eaFTEWAOXvdA8c2Z-aA&amp;from_adp=1&amp;v=BCB7F459D37C7210B05B0FF4DEB28529C14615E9&amp;se=)
## Stats for this job
### Salaries
The number of jobs in each salary range for all:
Receive similar jobs by email
Create alert
By creating an alert, you agree to our [T&amp;Cs](htt</t>
        </is>
      </c>
      <c r="N60" t="n">
        <v>66</v>
      </c>
      <c r="O60" t="n">
        <v>75</v>
      </c>
      <c r="P60" t="n">
        <v>80</v>
      </c>
      <c r="Q60" t="n">
        <v>80</v>
      </c>
      <c r="R60" t="n">
        <v>40</v>
      </c>
      <c r="S60" t="n">
        <v>30</v>
      </c>
      <c r="T60" t="n">
        <v>60</v>
      </c>
      <c r="U60" t="inlineStr">
        <is>
          <t>SKIP</t>
        </is>
      </c>
      <c r="V60" t="inlineStr">
        <is>
          <t>SKIP</t>
        </is>
      </c>
      <c r="W60" t="inlineStr">
        <is>
          <t>TypeScript; Python; Next.js; PostgreSQL; Microservices; Linux; Networking fundamentals</t>
        </is>
      </c>
      <c r="X60" t="inlineStr">
        <is>
          <t>Default Full Stack / MERN Resume</t>
        </is>
      </c>
      <c r="Y60" t="inlineStr">
        <is>
          <t>2026-10-02</t>
        </is>
      </c>
      <c r="Z60" t="inlineStr">
        <is>
          <t>Matches target role of Software Engineer Intern.; Involves modern full stack technologies and cloud-native concepts.</t>
        </is>
      </c>
      <c r="AA60" t="inlineStr">
        <is>
          <t>Not Eligible</t>
        </is>
      </c>
      <c r="AB60" t="inlineStr">
        <is>
          <t>Job location is Tiruchirappalli, Tamil Nadu, which violates the preferred location of Bengaluru or remote.</t>
        </is>
      </c>
      <c r="AC60" t="inlineStr">
        <is>
          <t>UNKNOWN</t>
        </is>
      </c>
      <c r="AD60" t="inlineStr">
        <is>
          <t>Availability details not specified in candidate profile.</t>
        </is>
      </c>
      <c r="AE60" t="inlineStr">
        <is>
          <t>UNKNOWN</t>
        </is>
      </c>
      <c r="AF60" t="n">
        <v>0</v>
      </c>
      <c r="AG60" t="inlineStr">
        <is>
          <t>No</t>
        </is>
      </c>
      <c r="AH60" t="inlineStr">
        <is>
          <t>No</t>
        </is>
      </c>
      <c r="AI60" t="inlineStr">
        <is>
          <t>The job description mentions career growth and mentorship opportunities, but does not explicitly mention a Pre-Placement Offer (PPO) or conversion to a full-time role.</t>
        </is>
      </c>
      <c r="AJ60" t="inlineStr">
        <is>
          <t>Location requirement: Job is based in Tiruchirappalli, Tamil Nadu, whereas candidate prefers Bengaluru or remote.</t>
        </is>
      </c>
      <c r="AK60" t="inlineStr">
        <is>
          <t>Stipend is not disclosed.; Location mismatch with candidate preferences.</t>
        </is>
      </c>
      <c r="AL60" t="inlineStr">
        <is>
          <t>Node.js and JavaScript fundamentals; React.js state management and component lifecycle; Database design with MongoDB and relational concepts like PostgreSQL; REST APIs and microservices architecture understanding; Linux command line and debugging practices</t>
        </is>
      </c>
    </row>
    <row r="61">
      <c r="A61" t="inlineStr">
        <is>
          <t>SOLUTIONINN,-261002-60</t>
        </is>
      </c>
      <c r="B61" t="inlineStr">
        <is>
          <t>SolutionInn, US</t>
        </is>
      </c>
      <c r="C61" t="inlineStr">
        <is>
          <t>Software Engineering Intern</t>
        </is>
      </c>
      <c r="D61" t="inlineStr">
        <is>
          <t>https://www.adzuna.in/details/5850377111?utm_medium=api&amp;utm_source=5ccdc27f</t>
        </is>
      </c>
      <c r="E61" t="inlineStr">
        <is>
          <t>AI Analyzer</t>
        </is>
      </c>
      <c r="F61" t="inlineStr">
        <is>
          <t>Ludhiana, Punjab</t>
        </is>
      </c>
      <c r="G61" t="inlineStr">
        <is>
          <t>On-site</t>
        </is>
      </c>
      <c r="H61" t="inlineStr">
        <is>
          <t>Stipend or Lunch allowance during the internship</t>
        </is>
      </c>
      <c r="I61" t="inlineStr">
        <is>
          <t>Fresh to 6 Months</t>
        </is>
      </c>
      <c r="J61" t="inlineStr">
        <is>
          <t>AVAILABLE</t>
        </is>
      </c>
      <c r="K61" t="inlineStr">
        <is>
          <t>HTML; CSS; JavaScript; Node.js; MySQL; Git; APIs</t>
        </is>
      </c>
      <c r="L61" t="inlineStr">
        <is>
          <t>Python; PHP; REDIS; AWS; Azure; Google Cloud; Agile; Scrum; AI/ML tools</t>
        </is>
      </c>
      <c r="M61" t="inlineStr">
        <is>
          <t>## Software Engineering Intern jobs in Ludhiana
Leave us your email address and we'll send you similar new jobsCreate email alert [No, thanks](https://www.adzuna.in/details/5850377111#)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Engineering Intern
[❮ back to last search](https://www.adzuna.in/details/5850377111#)![foundit (Monster)](https://zunastatic-abf.kxcdn.com/images/in/jobs/partners/logo_monsterindia.png)
SolutionInn, US
Ludhiana
![foundit (Monster)](https://zunastatic-abf.kxcdn.com/images/in/jobs/partners/logo_monsterindia.png)
CLOSING SOON
[Apply for this job](https://www.adzuna.in/land/ad/5850377111?aztt=eyJhbGciOiJIUzI1NiJ9.eyJpYXQiOjE3OTA5NDM2MjAsImV4cCI6MTc5MTU0ODQyMCwidHQiOiJnb29nbGVfb3JnYW5pYyIsInRzIjpudWxsLCJjaSI6InFpMk1vbHUtOFJHLU1mUk1uU29rYVEifQ.PYb1SMF7d_bjSzlk-ro4qH4JmCSjnYCr7c6b_U_5rTU&amp;from_adp=1&amp;v=722353B8CA85D50CBEC2B2168E24477DBA830F93&amp;se=)
**Skills Required**
- Experience with AI/ML tools or frameworks.
- Knowledge of cloud platforms like AWS, Azure, or Google Cloud.
- Familiarity with Agile or Scrum methodologies.
**Required Qualifications**
- Currently enrolled in or recently graduated from a degree program in Computer Science, Software Engineering, or a related field.
- Familiarity with front-end or back-end technologies, such as:
- Front-End: HTML, CSS, JavaScript,
- Back-End: Python (Django/Flask), Node.js, or PHP or PYTHON
- Databases: MySQL and REDIS.
- Understanding of version control systems (e.g., Git, GitHub).
- Basic knowledge of APIs and their implementation.
- Strong problem-solving and analytical skills.
- Eagerness to learn and adapt to new technologies and tools.
- Fresh to 6 Months
- Hands-on experience working with a talented team on live projects.
- Opportunity to contribute to a platform with a global student audience.
- Mentorship and training to develop your technical and professional skills.
- A certificate of completion and a potential full-time job offer for high-performing interns.
- Stipend or Lunch allowance during the internship
Skills: Javascript, Sql, Api, Java, Css, Html, Python
Experience: 0.00-1.00 Years
[Apply for this job](https://www.adzuna.in/land/ad/5850377111?aztt=eyJhbGciOiJIUzI1NiJ9.eyJpYXQiOjE3OTA5NDM2MjAsImV4cCI6MTc5MTU0ODQyMCwidHQiOiJnb29nbGVfb3JnYW5pYyIsInRzIjpudWxsLCJjaSI6InFpMk1vbHUtOFJHLU1mUk1uU29rYVEifQ.PYb1SMF7d_bjSzlk-ro4qH4JmCSjnYCr7c6b_U_5rTU&amp;from_adp=1&amp;v=722353B8CA85D50CBEC2B2168E24477DBA830F93&amp;se=)
## Stats for this job
### Salaries
The number of jobs in each salary range for all:
Receive similar jobs by email
Create alert
By creating an alert, you agree to our [T&amp;Cs](https://www.adzuna.in/terms-and-conditions.html) and [Privacy Notice](https://www.adzuna.in/privacy-policy.html), and Cookie Use.
## Similar jobs
[Marketing Intern](https://www.adzuna.in/details/5850377163)
SolutionInn, US
Ludhiana
[Graphic Designer - Intern](https://www.adzuna.in/details/5879546594)
0.5 - 1 lacs/annum
STAR PUBLICITY
Ludhiana
[Interior Design Intern](https://www.adzuna.in/details/5850377087)
SolutionInn, US
Ludhiana
[Fashion Designer Intern](https://www.adzuna.in/details/5850377065)
SolutionInn, US
Ludhiana
[Software Engineer](https://www.adzuna.in/details/5850377171)
SolutionInn, US
Ludhiana
## Popular searches
[Software engineer](https://www.adzuna.in/software-engineer)
[Back to last search](https://www.adzuna.in/details/5850377111#) [❮ back to last search](https://www.adzuna.in/details/5850377111#)
Receive similar jobs by email
Create alert [No thanks, take me to the job](https://www.adzuna.in/land/ad/5850377111?aztt=eyJhbGciOiJIUzI1NiJ9.eyJpYXQiOjE3OTA5NDM2MjAsImV4cCI6MTc5MTU0ODQyMCwidHQiOiJnb29nbGVfb3JnYW5pYyIsInRzIjpudWxsLCJjaSI6InFpMk1vbHUtOFJHLU1mUk1uU29rYVEifQ.PYb1SMF7d_bjSzlk-ro4qH4JmCSjnYCr7c6b_U_5rTU&amp;from_adp=1&amp;v=722353B8CA85D50CBEC2B2168E24477DBA830F93&amp;se=)
By creating an alert, you agree to our [T&amp;Cs](https://www.adzuna.in/terms-and-conditions.html) and [Privacy Notice](https://www.adzuna.in/privacy-policy.html), and Cookie Use.
[Apply for this job](https://www.adzuna.in/land/ad/5850377111?aztt=eyJhbGciOiJIUzI1NiJ9.eyJpYXQiOjE3OTA5NDM2MjAsImV4cCI6MTc5MTU0ODQyMCwidHQiOiJnb29nbGVfb3JnYW5pYyIsInRzIjpudWxsLCJjaSI6InFpMk1vbHUtOFJHLU1mUk1uU29rYVEifQ.PYb1SMF7d_bjSzlk-ro4qH4JmCSjnYCr7c6b_U_5rTU&amp;from_adp=1&amp;v=722353B8CA85D50CBEC2B2168E24477DBA830F93&amp;se=)
#### Country selection
[!</t>
        </is>
      </c>
      <c r="N61" t="n">
        <v>74</v>
      </c>
      <c r="O61" t="n">
        <v>75</v>
      </c>
      <c r="P61" t="n">
        <v>80</v>
      </c>
      <c r="Q61" t="n">
        <v>85</v>
      </c>
      <c r="R61" t="n">
        <v>90</v>
      </c>
      <c r="S61" t="n">
        <v>30</v>
      </c>
      <c r="T61" t="n">
        <v>60</v>
      </c>
      <c r="U61" t="inlineStr">
        <is>
          <t>CONSIDER</t>
        </is>
      </c>
      <c r="V61" t="inlineStr">
        <is>
          <t>CONSIDER</t>
        </is>
      </c>
      <c r="W61" t="inlineStr">
        <is>
          <t>Python; PHP; REDIS; AWS; Google Cloud</t>
        </is>
      </c>
      <c r="X61" t="inlineStr">
        <is>
          <t>Standard Full Stack Resume</t>
        </is>
      </c>
      <c r="Y61" t="inlineStr">
        <is>
          <t>2026-10-02</t>
        </is>
      </c>
      <c r="Z61" t="inlineStr">
        <is>
          <t>Role matches target Software Engineering Intern position; Offers potential conversion to a full-time job offer (PPO); Strong overlap with core Node.js and MySQL demonstrated skills</t>
        </is>
      </c>
      <c r="AA61" t="inlineStr">
        <is>
          <t>ELIGIBLE</t>
        </is>
      </c>
      <c r="AB61" t="inlineStr">
        <is>
          <t>Currently enrolled in a relevant degree program (MCA at PES University)</t>
        </is>
      </c>
      <c r="AC61" t="inlineStr">
        <is>
          <t>UNKNOWN</t>
        </is>
      </c>
      <c r="AD61" t="inlineStr">
        <is>
          <t>Availability not explicitly specified in candidate profile against internship dates</t>
        </is>
      </c>
      <c r="AE61" t="inlineStr">
        <is>
          <t>UNKNOWN</t>
        </is>
      </c>
      <c r="AF61" t="n">
        <v>0</v>
      </c>
      <c r="AG61" t="inlineStr">
        <is>
          <t>No</t>
        </is>
      </c>
      <c r="AH61" t="inlineStr">
        <is>
          <t>AVAILABLE</t>
        </is>
      </c>
      <c r="AI61" t="inlineStr">
        <is>
          <t>A potential full-time job offer for high-performing interns.</t>
        </is>
      </c>
      <c r="AK61" t="inlineStr">
        <is>
          <t>Location is Ludhiana, Punjab which does not match preferred location (Bengaluru); Stipend is ambiguous/unknown ("Stipend or Lunch allowance")</t>
        </is>
      </c>
      <c r="AL61" t="inlineStr">
        <is>
          <t>Node.js and Express backend development; MySQL database management and queries; REST API implementation and authentication; Cloud deployment experience on Azure</t>
        </is>
      </c>
    </row>
    <row r="62">
      <c r="A62" t="inlineStr">
        <is>
          <t>AUGLE-AI-261002-61</t>
        </is>
      </c>
      <c r="B62" t="inlineStr">
        <is>
          <t>Augle AI</t>
        </is>
      </c>
      <c r="C62" t="inlineStr">
        <is>
          <t>Software Engineer Intern</t>
        </is>
      </c>
      <c r="D62" t="inlineStr">
        <is>
          <t>https://www.adzuna.in/details/5827200220?utm_medium=api&amp;utm_source=5ccdc27f</t>
        </is>
      </c>
      <c r="E62" t="inlineStr">
        <is>
          <t>AI Analyzer</t>
        </is>
      </c>
      <c r="F62" t="inlineStr">
        <is>
          <t>Mumbai, Maharashtra</t>
        </is>
      </c>
      <c r="G62" t="inlineStr">
        <is>
          <t>Unknown</t>
        </is>
      </c>
      <c r="H62" t="inlineStr">
        <is>
          <t>Not specified</t>
        </is>
      </c>
      <c r="I62" t="inlineStr">
        <is>
          <t>Unknown</t>
        </is>
      </c>
      <c r="J62" t="inlineStr">
        <is>
          <t>Not Mentioned</t>
        </is>
      </c>
      <c r="L62" t="inlineStr">
        <is>
          <t>AI; 3D Vision; Robotics; Automation Systems</t>
        </is>
      </c>
      <c r="M62" t="inlineStr">
        <is>
          <t>Augle AI is a deeptech startup founded by IIT Bombay alumni building AI and 3D Visionpowered Robotics and Automation Systems for manufacturing companies We are developing the next generation of manufacturing technology flexible intelligent and adaptable to rapidly changing consumer demand Our solutions enable manufacturers to achieve new levels of efficiency by automating processes that were previously impossible with conventional technologies We serve a diverse range of industries including Au…</t>
        </is>
      </c>
      <c r="N62" t="n">
        <v>36</v>
      </c>
      <c r="O62" t="n">
        <v>40</v>
      </c>
      <c r="P62" t="n">
        <v>50</v>
      </c>
      <c r="Q62" t="n">
        <v>70</v>
      </c>
      <c r="R62" t="n">
        <v>0</v>
      </c>
      <c r="S62" t="n">
        <v>0</v>
      </c>
      <c r="T62" t="n">
        <v>40</v>
      </c>
      <c r="U62" t="inlineStr">
        <is>
          <t>SKIP</t>
        </is>
      </c>
      <c r="V62" t="inlineStr">
        <is>
          <t>SKIP</t>
        </is>
      </c>
      <c r="W62" t="inlineStr">
        <is>
          <t>AI; 3D Vision; Robotics; Automation Systems</t>
        </is>
      </c>
      <c r="X62" t="inlineStr">
        <is>
          <t>Amaanuddin_Ahmed_Resume.pdf</t>
        </is>
      </c>
      <c r="Y62" t="inlineStr">
        <is>
          <t>2026-10-02</t>
        </is>
      </c>
      <c r="Z62" t="inlineStr">
        <is>
          <t>Target role is Software Engineer Intern which aligns with primary targets.</t>
        </is>
      </c>
      <c r="AA62" t="inlineStr">
        <is>
          <t>Eligible</t>
        </is>
      </c>
      <c r="AC62" t="inlineStr">
        <is>
          <t>Unknown</t>
        </is>
      </c>
      <c r="AD62" t="inlineStr">
        <is>
          <t>Not specified in JD</t>
        </is>
      </c>
      <c r="AE62" t="inlineStr">
        <is>
          <t>Unknown</t>
        </is>
      </c>
      <c r="AF62" t="n">
        <v>0</v>
      </c>
      <c r="AG62" t="inlineStr">
        <is>
          <t>No</t>
        </is>
      </c>
      <c r="AH62" t="inlineStr">
        <is>
          <t>Not Mentioned</t>
        </is>
      </c>
      <c r="AI62" t="inlineStr">
        <is>
          <t>No mention of PPO or conversion in the provided text.</t>
        </is>
      </c>
      <c r="AK62" t="inlineStr">
        <is>
          <t>Location is Mumbai while candidate prefers Bengaluru; No stipend information provided; Job description is very short and lacks clear technical requirements</t>
        </is>
      </c>
      <c r="AL62" t="inlineStr">
        <is>
          <t>Experience with AI and Robotics; 3D Vision and Automation systems; Full-stack or software engineering fundamentals</t>
        </is>
      </c>
    </row>
    <row r="63">
      <c r="A63" t="inlineStr">
        <is>
          <t>FASK-261002-62</t>
        </is>
      </c>
      <c r="B63" t="inlineStr">
        <is>
          <t>Fask</t>
        </is>
      </c>
      <c r="C63" t="inlineStr">
        <is>
          <t>Software Engineer Intern</t>
        </is>
      </c>
      <c r="D63" t="inlineStr">
        <is>
          <t>https://www.adzuna.in/details/5889540095?utm_medium=api&amp;utm_source=5ccdc27f</t>
        </is>
      </c>
      <c r="E63" t="inlineStr">
        <is>
          <t>AI Analyzer</t>
        </is>
      </c>
      <c r="F63" t="inlineStr">
        <is>
          <t>India</t>
        </is>
      </c>
      <c r="G63" t="inlineStr">
        <is>
          <t>remote</t>
        </is>
      </c>
      <c r="H63" t="inlineStr">
        <is>
          <t>INR 5,000 to 8,000 per month</t>
        </is>
      </c>
      <c r="I63" t="inlineStr">
        <is>
          <t>6 months</t>
        </is>
      </c>
      <c r="J63" t="inlineStr">
        <is>
          <t>unknown</t>
        </is>
      </c>
      <c r="K63" t="inlineStr">
        <is>
          <t>AI agents development; AI-native software applications</t>
        </is>
      </c>
      <c r="L63" t="inlineStr">
        <is>
          <t>Open source contribution; StackOverflow contribution</t>
        </is>
      </c>
      <c r="M63" t="inlineStr">
        <is>
          <t>Your role We don’t need no education – just skills and motivation. You will design, develop and maintain our AI agents and AI-native software applications. You’ll work directly with the co-founders to create innovative solutions that delight our customers. This is a full-time internship for 6 months. Pay range is INR 5,000 to 8,000 per month. Your background Impactful open source contributor on StackOverflow or GitHub (not on personal projects). Impressive technical accomplishments (from colleg…</t>
        </is>
      </c>
      <c r="N63" t="n">
        <v>42</v>
      </c>
      <c r="O63" t="n">
        <v>40</v>
      </c>
      <c r="P63" t="n">
        <v>50</v>
      </c>
      <c r="Q63" t="n">
        <v>60</v>
      </c>
      <c r="R63" t="n">
        <v>30</v>
      </c>
      <c r="S63" t="n">
        <v>10</v>
      </c>
      <c r="T63" t="n">
        <v>50</v>
      </c>
      <c r="U63" t="inlineStr">
        <is>
          <t>SKIP</t>
        </is>
      </c>
      <c r="V63" t="inlineStr">
        <is>
          <t>SKIP</t>
        </is>
      </c>
      <c r="W63" t="inlineStr">
        <is>
          <t>AI agents development; AI-native software applications</t>
        </is>
      </c>
      <c r="X63" t="inlineStr">
        <is>
          <t>Amaanuddin_Ahmed_Resume_General</t>
        </is>
      </c>
      <c r="Y63" t="inlineStr">
        <is>
          <t>2026-10-02</t>
        </is>
      </c>
      <c r="Z63" t="inlineStr">
        <is>
          <t>Direct work with co-founders in an early-stage setup; Gain exposure to AI-native software applications</t>
        </is>
      </c>
      <c r="AA63" t="inlineStr">
        <is>
          <t>eligible</t>
        </is>
      </c>
      <c r="AB63" t="inlineStr">
        <is>
          <t>Role aligns with Software Engineer Intern target; No strict degree graduation year blockers found in the snippet</t>
        </is>
      </c>
      <c r="AC63" t="inlineStr">
        <is>
          <t>unknown</t>
        </is>
      </c>
      <c r="AD63" t="inlineStr">
        <is>
          <t>Availability not explicitly specified in the job description</t>
        </is>
      </c>
      <c r="AE63" t="inlineStr">
        <is>
          <t>disclosed</t>
        </is>
      </c>
      <c r="AF63" t="n">
        <v>5000</v>
      </c>
      <c r="AG63" t="inlineStr">
        <is>
          <t>No</t>
        </is>
      </c>
      <c r="AH63" t="inlineStr">
        <is>
          <t>unknown</t>
        </is>
      </c>
      <c r="AI63" t="inlineStr">
        <is>
          <t>No mention of conversion or PPO in the job description snippet</t>
        </is>
      </c>
      <c r="AJ63" t="inlineStr">
        <is>
          <t>Stipend of INR 5,000 to 8,000 per month is significantly below the minimum target of INR 25,000 per month</t>
        </is>
      </c>
      <c r="AK63" t="inlineStr">
        <is>
          <t>Low stipend relative to market expectations; Requires impactful open source contributions on StackOverflow or GitHub not on personal projects</t>
        </is>
      </c>
      <c r="AL63" t="inlineStr">
        <is>
          <t>AI agents design and architecture; Open source contributions and impact; Full-stack and AI integration experience</t>
        </is>
      </c>
    </row>
    <row r="64">
      <c r="A64" t="inlineStr">
        <is>
          <t>YO-FOREX-261002-63</t>
        </is>
      </c>
      <c r="B64" t="inlineStr">
        <is>
          <t>Yo Forex</t>
        </is>
      </c>
      <c r="C64" t="inlineStr">
        <is>
          <t>Software Engineering Intern</t>
        </is>
      </c>
      <c r="D64" t="inlineStr">
        <is>
          <t>https://www.adzuna.in/details/5845820632?utm_medium=api&amp;utm_source=5ccdc27f</t>
        </is>
      </c>
      <c r="E64" t="inlineStr">
        <is>
          <t>AI Analyzer</t>
        </is>
      </c>
      <c r="F64" t="inlineStr">
        <is>
          <t>Kolkata, West Bengal</t>
        </is>
      </c>
      <c r="G64" t="inlineStr">
        <is>
          <t>On-site</t>
        </is>
      </c>
      <c r="H64" t="inlineStr">
        <is>
          <t>5,000 to 12,000</t>
        </is>
      </c>
      <c r="I64" t="inlineStr">
        <is>
          <t>Not specified</t>
        </is>
      </c>
      <c r="J64" t="inlineStr">
        <is>
          <t>not_mentioned</t>
        </is>
      </c>
      <c r="K64" t="inlineStr">
        <is>
          <t>Software Development; Trading Technology</t>
        </is>
      </c>
      <c r="L64" t="inlineStr">
        <is>
          <t>High-performance trading tools</t>
        </is>
      </c>
      <c r="M64" t="inlineStr">
        <is>
          <t>Job Title Software Engineering Intern Trading Technology Location Central Kolkata Experience 06 months Education B Tech in Computer Science or Related Feild Stipend 5 000 to 12 000 We are seeking a highly motivated and technically curious Software Engineering Intern to join our development team This role is designed for a fresh B Tech graduate who is passionate about the intersection of finance and technology You will work on building debugging and optimizing highperformance trading tools and s…</t>
        </is>
      </c>
      <c r="N64" t="n">
        <v>32</v>
      </c>
      <c r="O64" t="n">
        <v>40</v>
      </c>
      <c r="P64" t="n">
        <v>40</v>
      </c>
      <c r="Q64" t="n">
        <v>50</v>
      </c>
      <c r="R64" t="n">
        <v>0</v>
      </c>
      <c r="S64" t="n">
        <v>10</v>
      </c>
      <c r="T64" t="n">
        <v>30</v>
      </c>
      <c r="U64" t="inlineStr">
        <is>
          <t>SKIP</t>
        </is>
      </c>
      <c r="V64" t="inlineStr">
        <is>
          <t>SKIP</t>
        </is>
      </c>
      <c r="W64" t="inlineStr">
        <is>
          <t>Trading Technology Domain Knowledge</t>
        </is>
      </c>
      <c r="X64" t="inlineStr">
        <is>
          <t>Amaanuddin_Ahmed_Resume.pdf</t>
        </is>
      </c>
      <c r="Y64" t="inlineStr">
        <is>
          <t>2026-10-02</t>
        </is>
      </c>
      <c r="AA64" t="inlineStr">
        <is>
          <t>ineligible</t>
        </is>
      </c>
      <c r="AB64" t="inlineStr">
        <is>
          <t>Education requirement: B.Tech in Computer Science or related field specified, but candidate is pursuing MCA; Location requirement: Central Kolkata, West Bengal, but candidate prefers Bengaluru or remote; Stipend requirement: Minimum target is ₹25,000/month, but offered stipend is ₹5,000 to ₹12,000/month</t>
        </is>
      </c>
      <c r="AC64" t="inlineStr">
        <is>
          <t>unknown</t>
        </is>
      </c>
      <c r="AD64" t="inlineStr">
        <is>
          <t>Start date and availability constraints are not mentioned in the job description.</t>
        </is>
      </c>
      <c r="AE64" t="inlineStr">
        <is>
          <t>partial</t>
        </is>
      </c>
      <c r="AF64" t="n">
        <v>5000</v>
      </c>
      <c r="AG64" t="inlineStr">
        <is>
          <t>No</t>
        </is>
      </c>
      <c r="AH64" t="inlineStr">
        <is>
          <t>not_mentioned</t>
        </is>
      </c>
      <c r="AI64" t="inlineStr">
        <is>
          <t>No mention of a Pre-Placement Offer or conversion to full-time employment in the job description.</t>
        </is>
      </c>
      <c r="AJ64" t="inlineStr">
        <is>
          <t>Location mismatch (Kolkata vs Bengaluru preference); Stipend below minimum target (₹5k-12k vs ₹25k target); Education requirement mismatch (B.Tech vs MCA program)</t>
        </is>
      </c>
      <c r="AK64" t="inlineStr">
        <is>
          <t>Extremely low stipend range for the market</t>
        </is>
      </c>
      <c r="AL64" t="inlineStr">
        <is>
          <t>Trading systems architecture; Low-latency optimization; Basic computer science fundamentals</t>
        </is>
      </c>
    </row>
    <row r="65">
      <c r="A65" t="inlineStr">
        <is>
          <t>SOFTORATE-261002-64</t>
        </is>
      </c>
      <c r="B65" t="inlineStr">
        <is>
          <t>Softorate</t>
        </is>
      </c>
      <c r="C65" t="inlineStr">
        <is>
          <t>Software Engineer Intern Unpaid</t>
        </is>
      </c>
      <c r="D65" t="inlineStr">
        <is>
          <t>https://www.adzuna.in/details/5885446712?utm_medium=api&amp;utm_source=5ccdc27f</t>
        </is>
      </c>
      <c r="E65" t="inlineStr">
        <is>
          <t>AI Analyzer</t>
        </is>
      </c>
      <c r="F65" t="inlineStr">
        <is>
          <t>Pune, Maharashtra</t>
        </is>
      </c>
      <c r="G65" t="inlineStr">
        <is>
          <t>Remote</t>
        </is>
      </c>
      <c r="H65" t="inlineStr">
        <is>
          <t>Unpaid</t>
        </is>
      </c>
      <c r="I65" t="inlineStr">
        <is>
          <t>Not specified</t>
        </is>
      </c>
      <c r="J65" t="inlineStr">
        <is>
          <t>NO</t>
        </is>
      </c>
      <c r="K65" t="inlineStr">
        <is>
          <t>Android; Web Development</t>
        </is>
      </c>
      <c r="M65" t="inlineStr">
        <is>
          <t>Role OverviewSoftorate is looking for a motivated student to join as a Software Engineer Intern Unpaid This is a remote role for students located in Maharashtra who want to gain handson experience in software development You will assist in developing testing and maintaining Android and Web applications to ensure optimal performance and usability ResponsibilitiesCollaborate with developers to contribute to the app design process Implement new features and fix bugs Ensure compliance with best pra…</t>
        </is>
      </c>
      <c r="N65" t="n">
        <v>30</v>
      </c>
      <c r="O65" t="n">
        <v>40</v>
      </c>
      <c r="P65" t="n">
        <v>40</v>
      </c>
      <c r="Q65" t="n">
        <v>50</v>
      </c>
      <c r="R65" t="n">
        <v>0</v>
      </c>
      <c r="S65" t="n">
        <v>0</v>
      </c>
      <c r="T65" t="n">
        <v>20</v>
      </c>
      <c r="U65" t="inlineStr">
        <is>
          <t>SKIP</t>
        </is>
      </c>
      <c r="V65" t="inlineStr">
        <is>
          <t>SKIP</t>
        </is>
      </c>
      <c r="W65" t="inlineStr">
        <is>
          <t>Android</t>
        </is>
      </c>
      <c r="X65" t="inlineStr">
        <is>
          <t>Default Full Stack Resume</t>
        </is>
      </c>
      <c r="Y65" t="inlineStr">
        <is>
          <t>2026-10-02</t>
        </is>
      </c>
      <c r="AA65" t="inlineStr">
        <is>
          <t>ELIGIBLE</t>
        </is>
      </c>
      <c r="AB65" t="inlineStr">
        <is>
          <t>Student status matches requirements; Role is remote</t>
        </is>
      </c>
      <c r="AC65" t="inlineStr">
        <is>
          <t>UNKNOWN</t>
        </is>
      </c>
      <c r="AD65" t="inlineStr">
        <is>
          <t>Start date and availability window are not specified in the job description.</t>
        </is>
      </c>
      <c r="AE65" t="inlineStr">
        <is>
          <t>UNPAID</t>
        </is>
      </c>
      <c r="AF65" t="n">
        <v>0</v>
      </c>
      <c r="AG65" t="inlineStr">
        <is>
          <t>No</t>
        </is>
      </c>
      <c r="AH65" t="inlineStr">
        <is>
          <t>NO</t>
        </is>
      </c>
      <c r="AI65" t="inlineStr">
        <is>
          <t>No mention of PPO or conversion to full-time employment in the job description.</t>
        </is>
      </c>
      <c r="AJ65" t="inlineStr">
        <is>
          <t>Unpaid internship below minimum stipend target of INR 25,000/month; Location restriction to Maharashtra students</t>
        </is>
      </c>
      <c r="AK65" t="inlineStr">
        <is>
          <t>Unpaid internship; No stipend provided</t>
        </is>
      </c>
      <c r="AL65" t="inlineStr">
        <is>
          <t>Web application development experience; Basic debugging and testing workflows; Familiarity with Android development</t>
        </is>
      </c>
    </row>
    <row r="66">
      <c r="A66" t="inlineStr">
        <is>
          <t>TALOS-261002-65</t>
        </is>
      </c>
      <c r="B66" t="inlineStr">
        <is>
          <t>Talos</t>
        </is>
      </c>
      <c r="C66" t="inlineStr">
        <is>
          <t>Software Engineer Intern, Infrastructure</t>
        </is>
      </c>
      <c r="D66" t="inlineStr">
        <is>
          <t>https://www.adzuna.in/details/5887515373?utm_medium=api&amp;utm_source=5ccdc27f</t>
        </is>
      </c>
      <c r="E66" t="inlineStr">
        <is>
          <t>AI Analyzer</t>
        </is>
      </c>
      <c r="F66" t="inlineStr">
        <is>
          <t>India</t>
        </is>
      </c>
      <c r="G66" t="inlineStr">
        <is>
          <t>UNKNOWN</t>
        </is>
      </c>
      <c r="I66" t="inlineStr">
        <is>
          <t>UNKNOWN</t>
        </is>
      </c>
      <c r="J66" t="inlineStr">
        <is>
          <t>NOT_MENTIONED</t>
        </is>
      </c>
      <c r="M66" t="inlineStr">
        <is>
          <t>Institutional Fabric for the Digital Asset Market Founded in 2018, Talos provides institutional-grade trading technology for the global digital asset market, powering many of the major players in the crypto ecosystem. Our mission is clear: to advance the mass adoption of digital assets by seamlessly connecting institutions to the digital asset ecosystem. We are committed to building the most innovative and trusted platform in the world, supporting the entire trading lifecycle. At Talos, you’ll …</t>
        </is>
      </c>
      <c r="N66" t="n">
        <v>48</v>
      </c>
      <c r="O66" t="n">
        <v>50</v>
      </c>
      <c r="P66" t="n">
        <v>50</v>
      </c>
      <c r="Q66" t="n">
        <v>60</v>
      </c>
      <c r="R66" t="n">
        <v>50</v>
      </c>
      <c r="S66" t="n">
        <v>0</v>
      </c>
      <c r="T66" t="n">
        <v>60</v>
      </c>
      <c r="U66" t="inlineStr">
        <is>
          <t>SKIP</t>
        </is>
      </c>
      <c r="V66" t="inlineStr">
        <is>
          <t>SKIP</t>
        </is>
      </c>
      <c r="X66" t="inlineStr">
        <is>
          <t>Amaanuddin_Ahmed_Resume.pdf</t>
        </is>
      </c>
      <c r="Y66" t="inlineStr">
        <is>
          <t>2026-10-02</t>
        </is>
      </c>
      <c r="Z66" t="inlineStr">
        <is>
          <t>Talos is a well-established institutional-grade crypto technology platform.</t>
        </is>
      </c>
      <c r="AA66" t="inlineStr">
        <is>
          <t>ELIGIBLE</t>
        </is>
      </c>
      <c r="AB66" t="inlineStr">
        <is>
          <t>The JD snippet provided is incomplete and does not specify strict degree, graduation year, or hard technical requirements that would act as blockers.</t>
        </is>
      </c>
      <c r="AC66" t="inlineStr">
        <is>
          <t>UNKNOWN</t>
        </is>
      </c>
      <c r="AD66" t="inlineStr">
        <is>
          <t>Availability requirements are not specified in the job description.</t>
        </is>
      </c>
      <c r="AE66" t="inlineStr">
        <is>
          <t>UNKNOWN</t>
        </is>
      </c>
      <c r="AF66" t="n">
        <v>0</v>
      </c>
      <c r="AG66" t="inlineStr">
        <is>
          <t>No</t>
        </is>
      </c>
      <c r="AH66" t="inlineStr">
        <is>
          <t>NOT_MENTIONED</t>
        </is>
      </c>
      <c r="AI66" t="inlineStr">
        <is>
          <t>The provided JD text cuts off after the company intro and does not mention PPO conversion details.</t>
        </is>
      </c>
      <c r="AK66" t="inlineStr">
        <is>
          <t>Incomplete job description snippet provided.</t>
        </is>
      </c>
      <c r="AL66" t="inlineStr">
        <is>
          <t>Digital asset market technology; Infrastructure engineering; Software engineering principles</t>
        </is>
      </c>
    </row>
    <row r="67">
      <c r="A67" t="inlineStr">
        <is>
          <t>PRETLIST-261002-66</t>
        </is>
      </c>
      <c r="B67" t="inlineStr">
        <is>
          <t>Pretlist</t>
        </is>
      </c>
      <c r="C67" t="inlineStr">
        <is>
          <t>Embedded Software Engineer Intern</t>
        </is>
      </c>
      <c r="D67" t="inlineStr">
        <is>
          <t>https://www.adzuna.in/details/5885446726?utm_medium=api&amp;utm_source=5ccdc27f</t>
        </is>
      </c>
      <c r="E67" t="inlineStr">
        <is>
          <t>AI Analyzer</t>
        </is>
      </c>
      <c r="F67" t="inlineStr">
        <is>
          <t>Noida, Ghaziabad</t>
        </is>
      </c>
      <c r="G67" t="inlineStr">
        <is>
          <t>Unknown</t>
        </is>
      </c>
      <c r="H67" t="inlineStr">
        <is>
          <t>Not specified</t>
        </is>
      </c>
      <c r="I67" t="inlineStr">
        <is>
          <t>Unknown</t>
        </is>
      </c>
      <c r="J67" t="inlineStr">
        <is>
          <t>Not Mentioned</t>
        </is>
      </c>
      <c r="K67" t="inlineStr">
        <is>
          <t>C; C++; Embedded Systems; Microcontrollers; UART; SPI; I2C; CAN</t>
        </is>
      </c>
      <c r="M67" t="inlineStr">
        <is>
          <t>Role OverviewPretlists panelless pivot control technology is transforming the manufacturing and farming industries As an Embedded Software Engineer Intern you will join a growing team working with cuttingedge pivot control technology contributing to a truly unique project where you dream it and build it ResponsibilitiesDesign develop and maintain embedded firmware in C C for microcontrollers and SoCsDevelop and debug lowlevel embedded protocols and interfaces including UART SPI I2C RS485 CAN BS…</t>
        </is>
      </c>
      <c r="N67" t="n">
        <v>3</v>
      </c>
      <c r="O67" t="n">
        <v>0</v>
      </c>
      <c r="P67" t="n">
        <v>0</v>
      </c>
      <c r="Q67" t="n">
        <v>0</v>
      </c>
      <c r="R67" t="n">
        <v>0</v>
      </c>
      <c r="S67" t="n">
        <v>0</v>
      </c>
      <c r="T67" t="n">
        <v>30</v>
      </c>
      <c r="U67" t="inlineStr">
        <is>
          <t>SKIP</t>
        </is>
      </c>
      <c r="V67" t="inlineStr">
        <is>
          <t>SKIP</t>
        </is>
      </c>
      <c r="W67" t="inlineStr">
        <is>
          <t>C; C++; Embedded Systems; Microcontrollers; UART; SPI; I2C; CAN</t>
        </is>
      </c>
      <c r="X67" t="inlineStr">
        <is>
          <t>Amaanuddin_Ahmed_Resume_Default.pdf</t>
        </is>
      </c>
      <c r="Y67" t="inlineStr">
        <is>
          <t>2026-10-02</t>
        </is>
      </c>
      <c r="AA67" t="inlineStr">
        <is>
          <t>Ineligible</t>
        </is>
      </c>
      <c r="AB67" t="inlineStr">
        <is>
          <t>Hard blocker: Location mismatch. Candidate prefers Bengaluru (or remote), while the job is in Noida/Ghaziabad.; Hard blocker: Role mismatch. The candidate is a Full Stack/Backend Developer (MERN, Angular, Node.js), whereas this role requires Embedded Software Engineering with C/C++, microcontrollers, and low-level protocols (UART, SPI, I2C, CAN).</t>
        </is>
      </c>
      <c r="AC67" t="inlineStr">
        <is>
          <t>Unknown</t>
        </is>
      </c>
      <c r="AD67" t="inlineStr">
        <is>
          <t>Not specified in profile</t>
        </is>
      </c>
      <c r="AE67" t="inlineStr">
        <is>
          <t>UNKNOWN</t>
        </is>
      </c>
      <c r="AF67" t="n">
        <v>0</v>
      </c>
      <c r="AG67" t="inlineStr">
        <is>
          <t>No</t>
        </is>
      </c>
      <c r="AH67" t="inlineStr">
        <is>
          <t>Not Mentioned</t>
        </is>
      </c>
      <c r="AI67" t="inlineStr">
        <is>
          <t>No mention of PPO or conversion in the short job description.</t>
        </is>
      </c>
      <c r="AJ67" t="inlineStr">
        <is>
          <t>Location mismatch: Noida/Ghaziabad vs Bengaluru preference; Domain mismatch: Embedded Software Engineering vs Web/Software Development background</t>
        </is>
      </c>
      <c r="AK67" t="inlineStr">
        <is>
          <t>Missing stipend information; Missing job type and duration details</t>
        </is>
      </c>
    </row>
    <row r="68">
      <c r="A68" t="inlineStr">
        <is>
          <t>LOG9-MATERIA-261002-67</t>
        </is>
      </c>
      <c r="B68" t="inlineStr">
        <is>
          <t>Log9 Materials</t>
        </is>
      </c>
      <c r="C68" t="inlineStr">
        <is>
          <t>Quantum Software Engineer Intern</t>
        </is>
      </c>
      <c r="D68" t="inlineStr">
        <is>
          <t>https://www.adzuna.in/details/5854847465?utm_medium=api&amp;utm_source=5ccdc27f</t>
        </is>
      </c>
      <c r="E68" t="inlineStr">
        <is>
          <t>AI Analyzer</t>
        </is>
      </c>
      <c r="F68" t="inlineStr">
        <is>
          <t>Bangalore, Karnataka (Hubballi mentioned in text)</t>
        </is>
      </c>
      <c r="G68" t="inlineStr">
        <is>
          <t>On-site</t>
        </is>
      </c>
      <c r="H68" t="inlineStr">
        <is>
          <t>Not specified</t>
        </is>
      </c>
      <c r="I68" t="inlineStr">
        <is>
          <t>Not specified</t>
        </is>
      </c>
      <c r="J68" t="inlineStr">
        <is>
          <t>NOT_MENTIONED</t>
        </is>
      </c>
      <c r="K68" t="inlineStr">
        <is>
          <t>Quantum Computing; Quantum Algorithms; Simulators; Hardware Benchmarking</t>
        </is>
      </c>
      <c r="M68" t="inlineStr">
        <is>
          <t>Join Log9 Materials in Hubballi as a Quantum Software Engineer Intern This entrylevel internship is designed for students and recent graduates who learn best by building shipping and getting real feedback on quantum computing work About the role As a Quantum Software Engineer Intern at Log9 Materials your core focus will be implementing and benchmarking quantum algorithms on simulators and hardware You are attached to a named mentor join the teams standups and reviews and are trusted with work …</t>
        </is>
      </c>
      <c r="N68" t="n">
        <v>4</v>
      </c>
      <c r="O68" t="n">
        <v>0</v>
      </c>
      <c r="P68" t="n">
        <v>0</v>
      </c>
      <c r="Q68" t="n">
        <v>0</v>
      </c>
      <c r="R68" t="n">
        <v>0</v>
      </c>
      <c r="S68" t="n">
        <v>0</v>
      </c>
      <c r="T68" t="n">
        <v>40</v>
      </c>
      <c r="U68" t="inlineStr">
        <is>
          <t>SKIP</t>
        </is>
      </c>
      <c r="V68" t="inlineStr">
        <is>
          <t>SKIP</t>
        </is>
      </c>
      <c r="W68" t="inlineStr">
        <is>
          <t>Quantum Computing; Quantum Algorithms; Quantum Simulators; Hardware Benchmarking</t>
        </is>
      </c>
      <c r="X68" t="inlineStr">
        <is>
          <t>Amaan_Ahmed_FullStack_Resume.pdf</t>
        </is>
      </c>
      <c r="Y68" t="inlineStr">
        <is>
          <t>2026-10-02</t>
        </is>
      </c>
      <c r="AA68" t="inlineStr">
        <is>
          <t>BLOCKED</t>
        </is>
      </c>
      <c r="AB68" t="inlineStr">
        <is>
          <t>Job requires quantum computing work, quantum algorithms implementation and benchmarking on simulators and hardware, which completely diverges from candidate's full-stack and web development profile.</t>
        </is>
      </c>
      <c r="AC68" t="inlineStr">
        <is>
          <t>UNKNOWN</t>
        </is>
      </c>
      <c r="AD68" t="inlineStr">
        <is>
          <t>Availability not specified in career brain relative to this specific role timeline.</t>
        </is>
      </c>
      <c r="AE68" t="inlineStr">
        <is>
          <t>UNKNOWN</t>
        </is>
      </c>
      <c r="AF68" t="n">
        <v>0</v>
      </c>
      <c r="AG68" t="inlineStr">
        <is>
          <t>No</t>
        </is>
      </c>
      <c r="AH68" t="inlineStr">
        <is>
          <t>NOT_MENTIONED</t>
        </is>
      </c>
      <c r="AI68" t="inlineStr">
        <is>
          <t>No mention of PPO or conversion in the job description.</t>
        </is>
      </c>
      <c r="AJ68" t="inlineStr">
        <is>
          <t>Role requires core quantum computing and quantum algorithm engineering experience, which is completely outside candidate's full-stack development expertise.</t>
        </is>
      </c>
      <c r="AK68" t="inlineStr">
        <is>
          <t>Mismatch in domain (Quantum Software Engineering vs Full-Stack/Web Development).</t>
        </is>
      </c>
      <c r="AL68" t="inlineStr">
        <is>
          <t>Quantum mechanics; Quantum circuits; Qiskit or Cirq; Quantum algorithms (Shor's, Grover's)</t>
        </is>
      </c>
    </row>
    <row r="69">
      <c r="A69" t="inlineStr">
        <is>
          <t>CHEGG-261002-68</t>
        </is>
      </c>
      <c r="B69" t="inlineStr">
        <is>
          <t>Chegg</t>
        </is>
      </c>
      <c r="C69" t="inlineStr">
        <is>
          <t>AINative Software Engineering Internship</t>
        </is>
      </c>
      <c r="D69" t="inlineStr">
        <is>
          <t>https://www.adzuna.in/details/5794908422?utm_medium=api&amp;utm_source=5ccdc27f</t>
        </is>
      </c>
      <c r="E69" t="inlineStr">
        <is>
          <t>AI Analyzer</t>
        </is>
      </c>
      <c r="F69" t="inlineStr">
        <is>
          <t>Delhi, India</t>
        </is>
      </c>
      <c r="G69" t="inlineStr">
        <is>
          <t>Unknown</t>
        </is>
      </c>
      <c r="I69" t="inlineStr">
        <is>
          <t>Unknown</t>
        </is>
      </c>
      <c r="J69" t="inlineStr">
        <is>
          <t>Not Mentioned</t>
        </is>
      </c>
      <c r="K69" t="inlineStr">
        <is>
          <t>Python; Java; Node.js; SQL; Git</t>
        </is>
      </c>
      <c r="L69" t="inlineStr">
        <is>
          <t>React.js; Next.js; AWS; Docker; Kubernetes; PostgreSQL; MySQL; Kafka; RabbitMQ</t>
        </is>
      </c>
      <c r="M69" t="inlineStr">
        <is>
          <t>## AINative Software Engineering Internship jobs in Delhi
Leave us your email address and we'll send you similar new jobsCreate email alert [No, thanks](https://www.adzuna.in/details/5794908422#)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AINative Software Engineering Internship
[❮ back to last search](https://www.adzuna.in/details/5794908422#)![Hiree Jobs](https://zunastatic-abf.kxcdn.com/images/in/jobs/partners/logo_hireejobs.png)
Chegg
Delhi
![Hiree Jobs](https://zunastatic-abf.kxcdn.com/images/in/jobs/partners/logo_hireejobs.png)
CLOSING SOON
[Apply for this job](https://www.adzuna.in/land/ad/5794908422?aztt=eyJhbGciOiJIUzI1NiJ9.eyJleHAiOjE3OTE1NDg0NTEsInRzIjpudWxsLCJjaSI6IjVIVFZ0RnUtOFJHcWxzd003d3ppbUEiLCJ0dCI6Imdvb2dsZV9vcmdhbmljIiwiaWF0IjoxNzkwOTQzNjUxfQ.HKtqNe7nChqKwLbDx6BW84BsPeBf8D55Zfn8VWV5_zo&amp;from_adp=1&amp;v=39300BDC72C92FB2BA5CA8E5DFC26EB8EBBC64AE&amp;se=) Chegg is actively hiring for the role of AINative Software Engineering Intern Responsibilities of the Intern Contribute to endtoend feature development from system design discussions through production delivery Collaborate with crossfunctional teams to break down requirements into clean shippable increments Participate in sprint ceremonies code reviews and technical discussions to build engineering judgment Work across the stack building user interfaces in React js Next js extending backend microservices in Java Spring Boot Python or Node js or writing SQL queries ETL pipelines and data transformations Leverage AWS services alongside the team to build and maintain reliable cloudnative infrastructure Build dashboards surface insights from largescale data and collaborate with analytics partners to deliver data products Write unit integration and endtoend tests develop a strong testing mindset from day one Learn observability practices like structured logging distributed tracing and metrics dashboards Requirements Currently in final year of or completed a Bachelors or Masters degree in Computer Science Software Engineering Data Science or a related field Solid foundation in at least one generalpurpose programming language Python Java Node etc Understanding of fundamental data structures algorithms and software design principles Familiarity with version control Git and collaborative development workflows Eagerness to learn new technologies quickly and work across unfamiliar stacks Strong communication skills and a collaborative feedbackdriven mindset Comfortable using AIassisted development tools such as Claude and able to leverage them to speed up development Handson experience with any tech stack including Node Java Python etc Familiarity with SQL and relational databases PostgreSQL MySQL Exposure to cloud platforms AWS GCP or Azure or containerisation tools Docker Kubernetes Experience with eventdriven systems or streaming platforms Kafka RabbitMQ Contributions to opensource projects or a strong personal portfolio GitHub Prior internship or work experience in a software development role Chegg is actively hiring for the role of AINative Software Engineering Intern Responsibilities of the Intern Contribute to endtoend feature development from system design discussions through production delivery Collaborate with crossfunctional teams to break down requirements into clean shippable increments Participate in sprint ceremonies code reviews and technical discussions to build engineering judgment Work across the stack building user interfaces in React js Next js extending backend microservices in Java Spring Boot Python or Node js or writing SQL queries ETL pipelines and data transformations Leverage AWS services alongside the team to build and maintain reliable cloudnative infrastructure Build dashboards surface insights from largescale data and collaborate with analytics partners to deliver data products Write unit integration and endtoend tests develop a strong testing mindset from day one Learn observability practices like structured logging distributed tracing and metrics dashboards Requirements Currently in final year of or completed a Bachelors or Masters degree in Computer Science Software Engineering Data Science or a related field Solid foundation in at least one generalpurpose programming language Python Java Node etc Understanding of fundamental data structures algorithms and software design principles Familiarity with version con</t>
        </is>
      </c>
      <c r="N69" t="n">
        <v>59</v>
      </c>
      <c r="O69" t="n">
        <v>65</v>
      </c>
      <c r="P69" t="n">
        <v>70</v>
      </c>
      <c r="Q69" t="n">
        <v>80</v>
      </c>
      <c r="R69" t="n">
        <v>50</v>
      </c>
      <c r="S69" t="n">
        <v>0</v>
      </c>
      <c r="T69" t="n">
        <v>60</v>
      </c>
      <c r="U69" t="inlineStr">
        <is>
          <t>SKIP</t>
        </is>
      </c>
      <c r="V69" t="inlineStr">
        <is>
          <t>SKIP</t>
        </is>
      </c>
      <c r="W69" t="inlineStr">
        <is>
          <t>Python; Java; Next.js; AWS; Docker; Kubernetes; Kafka; RabbitMQ</t>
        </is>
      </c>
      <c r="X69" t="inlineStr">
        <is>
          <t>Default Full Stack Resume</t>
        </is>
      </c>
      <c r="Y69" t="inlineStr">
        <is>
          <t>2026-10-02</t>
        </is>
      </c>
      <c r="Z69" t="inlineStr">
        <is>
          <t>Aligns well with Software Engineering Intern target roles.; Involves modern stack exposure including Node.js and SQL.</t>
        </is>
      </c>
      <c r="AA69" t="inlineStr">
        <is>
          <t>No</t>
        </is>
      </c>
      <c r="AB69" t="inlineStr">
        <is>
          <t>Location mismatch: Job is based in Delhi, India, while candidate prefers Bengaluru, India.</t>
        </is>
      </c>
      <c r="AC69" t="inlineStr">
        <is>
          <t>Unknown</t>
        </is>
      </c>
      <c r="AD69" t="inlineStr">
        <is>
          <t>Availability start date is not specified in the candidate profile.</t>
        </is>
      </c>
      <c r="AE69" t="inlineStr">
        <is>
          <t>UNKNOWN</t>
        </is>
      </c>
      <c r="AF69" t="n">
        <v>0</v>
      </c>
      <c r="AG69" t="inlineStr">
        <is>
          <t>No</t>
        </is>
      </c>
      <c r="AH69" t="inlineStr">
        <is>
          <t>Not Mentioned</t>
        </is>
      </c>
      <c r="AI69" t="inlineStr">
        <is>
          <t>The job description does not explicitly mention PPO or conversion opportunities.</t>
        </is>
      </c>
      <c r="AJ69" t="inlineStr">
        <is>
          <t>Location mismatch (Delhi vs Bengaluru preferred)</t>
        </is>
      </c>
      <c r="AK69" t="inlineStr">
        <is>
          <t>Stipend details are completely missing</t>
        </is>
      </c>
      <c r="AL69" t="inlineStr">
        <is>
          <t>Node.js microservices; SQL query optimization and database design; Cloud-native architecture on AWS; Using AI-assisted development tools effectively</t>
        </is>
      </c>
    </row>
    <row r="70">
      <c r="A70" t="inlineStr">
        <is>
          <t>PERCEPTIVE-261002-69</t>
        </is>
      </c>
      <c r="B70" t="inlineStr">
        <is>
          <t>Perceptive</t>
        </is>
      </c>
      <c r="C70" t="inlineStr">
        <is>
          <t>Software Engineering Apprentice Program</t>
        </is>
      </c>
      <c r="D70" t="inlineStr">
        <is>
          <t>https://www.adzuna.in/details/5794908440?utm_medium=api&amp;utm_source=5ccdc27f</t>
        </is>
      </c>
      <c r="E70" t="inlineStr">
        <is>
          <t>AI Analyzer</t>
        </is>
      </c>
      <c r="F70" t="inlineStr">
        <is>
          <t>Hyderabad, Telangana</t>
        </is>
      </c>
      <c r="G70" t="inlineStr">
        <is>
          <t>UNKNOWN</t>
        </is>
      </c>
      <c r="I70" t="inlineStr">
        <is>
          <t>UNKNOWN</t>
        </is>
      </c>
      <c r="J70" t="inlineStr">
        <is>
          <t>UNKNOWN</t>
        </is>
      </c>
      <c r="M70" t="inlineStr">
        <is>
          <t>Were on a mission to change the future of clinical research At Perceptive we help the biopharmaceutical industry bring medical treatments to the market faster Our mission is to change the world but to do this we need people like you Apart from job satisfaction we can offer you HEALTH Medical plan for you and your dependents Personal Accident Insurance Life Insurance Critical illness cover WEALTH Salary structure and Flexi basket Provident fund of 12 Gratuity scheme YOURSELF Internal growth and …</t>
        </is>
      </c>
      <c r="N70" t="n">
        <v>42</v>
      </c>
      <c r="O70" t="n">
        <v>40</v>
      </c>
      <c r="P70" t="n">
        <v>50</v>
      </c>
      <c r="Q70" t="n">
        <v>60</v>
      </c>
      <c r="R70" t="n">
        <v>30</v>
      </c>
      <c r="S70" t="n">
        <v>20</v>
      </c>
      <c r="T70" t="n">
        <v>50</v>
      </c>
      <c r="U70" t="inlineStr">
        <is>
          <t>SKIP</t>
        </is>
      </c>
      <c r="V70" t="inlineStr">
        <is>
          <t>SKIP</t>
        </is>
      </c>
      <c r="X70" t="inlineStr">
        <is>
          <t>Amaanuddin_Ahmed_Resume.pdf</t>
        </is>
      </c>
      <c r="Y70" t="inlineStr">
        <is>
          <t>2026-10-02</t>
        </is>
      </c>
      <c r="AA70" t="inlineStr">
        <is>
          <t>ELIGIBLE</t>
        </is>
      </c>
      <c r="AC70" t="inlineStr">
        <is>
          <t>UNKNOWN</t>
        </is>
      </c>
      <c r="AD70" t="inlineStr">
        <is>
          <t>Graduation year is 2027, availability details are not explicitly mentioned in the snippet.</t>
        </is>
      </c>
      <c r="AE70" t="inlineStr">
        <is>
          <t>UNKNOWN</t>
        </is>
      </c>
      <c r="AF70" t="n">
        <v>0</v>
      </c>
      <c r="AG70" t="inlineStr">
        <is>
          <t>No</t>
        </is>
      </c>
      <c r="AH70" t="inlineStr">
        <is>
          <t>UNKNOWN</t>
        </is>
      </c>
      <c r="AI70" t="inlineStr">
        <is>
          <t>No explicit mention of PPO or conversion to full-time in the provided snippet.</t>
        </is>
      </c>
      <c r="AK70" t="inlineStr">
        <is>
          <t>Location is Hyderabad, whereas preferred location is Bengaluru.; Stipend and duration are completely unknown.; Job description snippet lacks specific technical stack and role requirements.</t>
        </is>
      </c>
      <c r="AL70" t="inlineStr">
        <is>
          <t>Software Engineering fundamentals; Problem solving and basic programming; Apprenticeship structure and learning roadmap</t>
        </is>
      </c>
    </row>
    <row r="71">
      <c r="A71" t="inlineStr">
        <is>
          <t>ACTENX-261002-70</t>
        </is>
      </c>
      <c r="B71" t="inlineStr">
        <is>
          <t>ActenX</t>
        </is>
      </c>
      <c r="C71" t="inlineStr">
        <is>
          <t>Software Engineer Intern</t>
        </is>
      </c>
      <c r="D71" t="inlineStr">
        <is>
          <t>https://www.adzuna.in/details/5827200240?utm_medium=api&amp;utm_source=5ccdc27f</t>
        </is>
      </c>
      <c r="E71" t="inlineStr">
        <is>
          <t>AI Analyzer</t>
        </is>
      </c>
      <c r="F71" t="inlineStr">
        <is>
          <t>Mumbai, Maharashtra</t>
        </is>
      </c>
      <c r="G71" t="inlineStr">
        <is>
          <t>Unknown</t>
        </is>
      </c>
      <c r="H71" t="inlineStr">
        <is>
          <t>Not specified</t>
        </is>
      </c>
      <c r="I71" t="inlineStr">
        <is>
          <t>Unknown</t>
        </is>
      </c>
      <c r="J71" t="inlineStr">
        <is>
          <t>NOT MENTIONED</t>
        </is>
      </c>
      <c r="M71" t="inlineStr">
        <is>
          <t>Company Description The company is a growing technology organization focused on building reliable scalable software solutions for a variety of business needs Team members collaborate across engineering product and design to deliver applications that are userfriendly and performancedriven The work environment values continuous learning mentorship and handson experience with modern development practices Interns are encouraged to contribute ideas take ownership of projects and develop their skills…</t>
        </is>
      </c>
      <c r="N71" t="n">
        <v>42</v>
      </c>
      <c r="O71" t="n">
        <v>50</v>
      </c>
      <c r="P71" t="n">
        <v>50</v>
      </c>
      <c r="Q71" t="n">
        <v>60</v>
      </c>
      <c r="R71" t="n">
        <v>30</v>
      </c>
      <c r="S71" t="n">
        <v>0</v>
      </c>
      <c r="T71" t="n">
        <v>40</v>
      </c>
      <c r="U71" t="inlineStr">
        <is>
          <t>SKIP</t>
        </is>
      </c>
      <c r="V71" t="inlineStr">
        <is>
          <t>SKIP</t>
        </is>
      </c>
      <c r="X71" t="inlineStr">
        <is>
          <t>Amaanuddin_Ahmed_Resume.pdf</t>
        </is>
      </c>
      <c r="Y71" t="inlineStr">
        <is>
          <t>2026-10-02</t>
        </is>
      </c>
      <c r="Z71" t="inlineStr">
        <is>
          <t>Software Engineer Intern role aligns with primary target roles.</t>
        </is>
      </c>
      <c r="AA71" t="inlineStr">
        <is>
          <t>FAIL</t>
        </is>
      </c>
      <c r="AB71" t="inlineStr">
        <is>
          <t>Job location is Mumbai, Maharashtra, but candidate preferred location is Bengaluru, India (or remote).</t>
        </is>
      </c>
      <c r="AC71" t="inlineStr">
        <is>
          <t>UNKNOWN</t>
        </is>
      </c>
      <c r="AD71" t="inlineStr">
        <is>
          <t>Exact start and end dates are not specified in the job description.</t>
        </is>
      </c>
      <c r="AE71" t="inlineStr">
        <is>
          <t>UNKNOWN</t>
        </is>
      </c>
      <c r="AF71" t="n">
        <v>0</v>
      </c>
      <c r="AG71" t="inlineStr">
        <is>
          <t>No</t>
        </is>
      </c>
      <c r="AH71" t="inlineStr">
        <is>
          <t>NOT MENTIONED</t>
        </is>
      </c>
      <c r="AI71" t="inlineStr">
        <is>
          <t>No mention of PPO or conversion to full-time role in the job description.</t>
        </is>
      </c>
      <c r="AJ71" t="inlineStr">
        <is>
          <t>Location mismatch: Job is in Mumbai and candidate prefers Bengaluru.</t>
        </is>
      </c>
      <c r="AK71" t="inlineStr">
        <is>
          <t>Very sparse job description with no specific required skills, stipend, or duration details.</t>
        </is>
      </c>
      <c r="AL71" t="inlineStr">
        <is>
          <t>General software engineering fundamentals; Project ownership and collaboration; Basic development practices</t>
        </is>
      </c>
    </row>
    <row r="72">
      <c r="A72" t="inlineStr">
        <is>
          <t>ELECTRONIC-A-261002-71</t>
        </is>
      </c>
      <c r="B72" t="inlineStr">
        <is>
          <t>Electronic Arts</t>
        </is>
      </c>
      <c r="C72" t="inlineStr">
        <is>
          <t>Software Engineer Intern</t>
        </is>
      </c>
      <c r="D72" t="inlineStr">
        <is>
          <t>https://www.adzuna.in/details/5827200271?utm_medium=api&amp;utm_source=5ccdc27f</t>
        </is>
      </c>
      <c r="E72" t="inlineStr">
        <is>
          <t>AI Analyzer</t>
        </is>
      </c>
      <c r="F72" t="inlineStr">
        <is>
          <t>Hyderabad, Telangana</t>
        </is>
      </c>
      <c r="G72" t="inlineStr">
        <is>
          <t>Hybrid</t>
        </is>
      </c>
      <c r="H72" t="inlineStr">
        <is>
          <t>Not specified</t>
        </is>
      </c>
      <c r="I72" t="inlineStr">
        <is>
          <t>UNKNOWN</t>
        </is>
      </c>
      <c r="J72" t="inlineStr">
        <is>
          <t>UNKNOWN</t>
        </is>
      </c>
      <c r="M72" t="inlineStr">
        <is>
          <t>General Information Locations Hyderabad Telangana India Role ID 214959 Worker Type Intern Temporary Employee Studio Department CT Infrastructure Platform Work Model Hybrid Description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t>
        </is>
      </c>
      <c r="N72" t="n">
        <v>54</v>
      </c>
      <c r="O72" t="n">
        <v>50</v>
      </c>
      <c r="P72" t="n">
        <v>60</v>
      </c>
      <c r="Q72" t="n">
        <v>70</v>
      </c>
      <c r="R72" t="n">
        <v>40</v>
      </c>
      <c r="S72" t="n">
        <v>30</v>
      </c>
      <c r="T72" t="n">
        <v>80</v>
      </c>
      <c r="U72" t="inlineStr">
        <is>
          <t>SKIP</t>
        </is>
      </c>
      <c r="V72" t="inlineStr">
        <is>
          <t>SKIP</t>
        </is>
      </c>
      <c r="X72" t="inlineStr">
        <is>
          <t>Amaanuddin_Ahmed_Resume.pdf</t>
        </is>
      </c>
      <c r="Y72" t="inlineStr">
        <is>
          <t>2026-10-02</t>
        </is>
      </c>
      <c r="Z72" t="inlineStr">
        <is>
          <t>Electronic Arts is a top-tier gaming/entertainment company offering great brand value on the resume.; Matches the candidate's target role of Software Engineer Intern.</t>
        </is>
      </c>
      <c r="AA72" t="inlineStr">
        <is>
          <t>ELIGIBLE</t>
        </is>
      </c>
      <c r="AB72" t="inlineStr">
        <is>
          <t>Candidate is currently pursuing MCA (2025-2027) making them eligible for internships.; No explicit degree or graduation year hard blockers mentioned in the minimal snippet.</t>
        </is>
      </c>
      <c r="AC72" t="inlineStr">
        <is>
          <t>UNKNOWN</t>
        </is>
      </c>
      <c r="AD72" t="inlineStr">
        <is>
          <t>Not specified in the job description.</t>
        </is>
      </c>
      <c r="AE72" t="inlineStr">
        <is>
          <t>UNKNOWN</t>
        </is>
      </c>
      <c r="AF72" t="n">
        <v>0</v>
      </c>
      <c r="AG72" t="inlineStr">
        <is>
          <t>No</t>
        </is>
      </c>
      <c r="AH72" t="inlineStr">
        <is>
          <t>UNKNOWN</t>
        </is>
      </c>
      <c r="AI72" t="inlineStr">
        <is>
          <t>No mention of conversion to full-time or PPO in the provided description snippet.</t>
        </is>
      </c>
      <c r="AK72" t="inlineStr">
        <is>
          <t>Location is Hyderabad, whereas candidate prefers Bengaluru (though remote/hybrid is mentioned, location mismatch could be a constraint).</t>
        </is>
      </c>
      <c r="AL72" t="inlineStr">
        <is>
          <t>General software engineering fundamentals; Infrastructure platforms and tooling; Problem solving and coding basics</t>
        </is>
      </c>
    </row>
    <row r="73">
      <c r="A73" t="inlineStr">
        <is>
          <t>PALITRONICS--261002-72</t>
        </is>
      </c>
      <c r="B73" t="inlineStr">
        <is>
          <t>PALITRONICS TECH SERVICES PRIVATE LIMITED</t>
        </is>
      </c>
      <c r="C73" t="inlineStr">
        <is>
          <t>Software Development Intern</t>
        </is>
      </c>
      <c r="D73" t="inlineStr">
        <is>
          <t>https://www.adzuna.in/details/2341052201?utm_medium=api&amp;utm_source=5ccdc27f</t>
        </is>
      </c>
      <c r="E73" t="inlineStr">
        <is>
          <t>AI Analyzer</t>
        </is>
      </c>
      <c r="F73" t="inlineStr">
        <is>
          <t>India</t>
        </is>
      </c>
      <c r="G73" t="inlineStr">
        <is>
          <t>unknown</t>
        </is>
      </c>
      <c r="H73" t="inlineStr">
        <is>
          <t>Not specified</t>
        </is>
      </c>
      <c r="I73" t="inlineStr">
        <is>
          <t>unknown</t>
        </is>
      </c>
      <c r="J73" t="inlineStr">
        <is>
          <t>not_mentioned</t>
        </is>
      </c>
      <c r="K73" t="inlineStr">
        <is>
          <t>Node.js; React.js; Socket Programming; React Native; Software Development</t>
        </is>
      </c>
      <c r="M73" t="inlineStr">
        <is>
          <t>## Software Development INTERN jobs in India
Leave us your email address and we'll send you similar new jobsCreate email alert [No, thanks](https://www.adzuna.in/details/2341052201#)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Development INTERN
[❮ back to last search](https://www.adzuna.in/details/2341052201#)![CutShort](https://zunastatic-abf.kxcdn.com/images/in/jobs/partners/logo_cutshort.png)
PALITRONICS TECH SERVICES PRIVATE LIMITED
India
Contract
Full time
![CutShort](https://zunastatic-abf.kxcdn.com/images/in/jobs/partners/logo_cutshort.png)
CLOSING SOON
[Apply for this job](https://www.adzuna.in/land/ad/2341052201?aztt=eyJhbGciOiJIUzI1NiJ9.eyJ0dCI6Imdvb2dsZV9vcmdhbmljIiwidHMiOm51bGwsImNpIjoic0hTLXZsdS04UkdxbHN3TTd3emltQSIsImV4cCI6MTc5MTU0ODQ2NywiaWF0IjoxNzkwOTQzNjY3fQ.fjTLlaTVVwAANfkxWNxwl3YJROfPenT_H9xBWM9R4NY&amp;from_adp=1&amp;v=1DA7EB0791062BD060B75ED59A09C2E2AB789C8D&amp;se=) Needed a Software development intern with basic knowledge of node.js. Candidate will be trained on Node, React, Socket.IO Skills:- NodeJS (Node.js), Socket Programming, React.js, React Native and Software Development [Apply for this job](https://www.adzuna.in/land/ad/2341052201?aztt=eyJhbGciOiJIUzI1NiJ9.eyJ0dCI6Imdvb2dsZV9vcmdhbmljIiwidHMiOm51bGwsImNpIjoic0hTLXZsdS04UkdxbHN3TTd3emltQSIsImV4cCI6MTc5MTU0ODQ2NywiaWF0IjoxNzkwOTQzNjY3fQ.fjTLlaTVVwAANfkxWNxwl3YJROfPenT_H9xBWM9R4NY&amp;from_adp=1&amp;v=1DA7EB0791062BD060B75ED59A09C2E2AB789C8D&amp;se=)
## Stats for this job
### Salaries
The number of jobs in each salary range for all:
IT JobsIT Jobs in IndiaIndia jobs
0-10L10-20L20-30L30-40L40-50L50-60L60L+
Receive similar jobs by email
Create alert
By creating an alert, you agree to our [T&amp;Cs](https://www.adzuna.in/terms-and-conditions.html) and [Privacy Notice](https://www.adzuna.in/privacy-policy.html), and Cookie Use.
## Similar jobs
[Software Developer Intern](https://www.adzuna.in/details/5854847485)
Eastencher Software Pvt Ltd
Bangalore
[Software Developer Intern](https://www.adzuna.in/details/5896030195)
Alightway Solutions Pvt. Ltd.
Lucknow, Uttar Pradesh,
[Software Developer Intern](https://www.adzuna.in/details/5794908334)
Clarion Technologies
Pune
[Software Developer Intern](https://www.adzuna.in/details/5885446694)
WELLVIA WELLNESS PRIVATE LIMITED
Ahmedabad
[Software Development Intern](https://www.adzuna.in/details/5854847471)
Tridiagonal Solutions
Mumbai City
## Popular searches
[Software developer](https://www.adzuna.in/software-developer)
[Back to last search](https://www.adzuna.in/details/2341052201#) [❮ back to last search](https://www.adzuna.in/details/2341052201#)
Receive similar jobs by email
Create alert [No thanks, take me to the job](https://www.adzuna.in/land/ad/2341052201?aztt=eyJhbGciOiJIUzI1NiJ9.eyJ0dCI6Imdvb2dsZV9vcmdhbmljIiwidHMiOm51bGwsImNpIjoic0hTLXZsdS04UkdxbHN3TTd3emltQSIsImV4cCI6MTc5MTU0ODQ2NywiaWF0IjoxNzkwOTQzNjY3fQ.fjTLlaTVVwAANfkxWNxwl3YJROfPenT_H9xBWM9R4NY&amp;from_adp=1&amp;v=1DA7EB0791062BD060B75ED59A09C2E2AB789C8D&amp;se=)
By creating an alert, you agree to our [T&amp;Cs](https://www.adzuna.in/terms-and-conditions.html) and [Privacy Notice](https://www.adzuna.in/privacy-policy.html), and Cookie Use.
[Apply for this job](https://www.adzuna.in/land/ad/2341052201?aztt=eyJhbGciOiJIUzI1NiJ9.eyJ0dCI6Imdvb2dsZV9vcmdhbmljIiwidHMiOm51bGwsImNpIjoic0hTLXZsdS04UkdxbHN3TTd3emltQSIsImV4cCI6MTc5MTU0ODQ2NywiaWF0IjoxNzkwOTQzNjY3fQ.fjTLlaTVVwAANfkxWNxwl3YJROfPenT_H9xBWM9R4NY&amp;from_adp=1&amp;v=1DA7EB0791062BD060B75ED59A09C2E2AB789C8D&amp;se=)
#### Country selection
[![](https://zunastatic-abf.kxcdn.com/images/au/jobs/flag_au.svg)Australia](https://www.adzuna.com.au/) [![](https://zunastatic-abf.kxcdn.com/images/at/jobs/flag_at.svg)Austria](https://www.adzuna.at/) [![](https://zunastatic-abf.kxcdn.com/images/be/jobs/flag_be.svg)Belgium](https://www.adzuna.be/) [![](https://zunastatic-abf.kxcdn.com/images/br/jobs/flag_br.svg)Brazil](https://www.adzuna.com.br/) [![](https://zunastatic-abf.kxcdn.com/images/ca/jobs/flag_ca.svg)Canada](https://www.adzuna.ca/) [![](https://zunastatic-abf.kxcdn.com/images/fr/jobs/flag_fr.svg)France](https://www.adzuna.fr/) [![](https://zunastatic-abf.kxcdn.com/images/de/jobs/flag_de.svg)Germany](https://www.adzuna.de/) [![](https://zunastatic-abf.kxcdn.com/images/in/jobs/flag_in.svg)India](https://www.adzuna.in/) [![](https://zunastatic-abf.kxcdn.com/images/it/jobs/flag_</t>
        </is>
      </c>
      <c r="N73" t="n">
        <v>67</v>
      </c>
      <c r="O73" t="n">
        <v>75</v>
      </c>
      <c r="P73" t="n">
        <v>80</v>
      </c>
      <c r="Q73" t="n">
        <v>85</v>
      </c>
      <c r="R73" t="n">
        <v>40</v>
      </c>
      <c r="S73" t="n">
        <v>50</v>
      </c>
      <c r="T73" t="n">
        <v>50</v>
      </c>
      <c r="U73" t="inlineStr">
        <is>
          <t>STRETCH</t>
        </is>
      </c>
      <c r="V73" t="inlineStr">
        <is>
          <t>STRETCH</t>
        </is>
      </c>
      <c r="W73" t="inlineStr">
        <is>
          <t>Socket Programming; React Native</t>
        </is>
      </c>
      <c r="X73" t="inlineStr">
        <is>
          <t>Default Full Stack / MERN resume emphasizing Node.js and React experience</t>
        </is>
      </c>
      <c r="Y73" t="inlineStr">
        <is>
          <t>2026-10-02</t>
        </is>
      </c>
      <c r="Z73" t="inlineStr">
        <is>
          <t>Matches primary target role as a Software Engineer Intern; Requires Node.js and React.js which are strong core stack items for the candidate; Provides training opportunities on desired tech stack</t>
        </is>
      </c>
      <c r="AA73" t="inlineStr">
        <is>
          <t>eligible</t>
        </is>
      </c>
      <c r="AC73" t="inlineStr">
        <is>
          <t>unknown</t>
        </is>
      </c>
      <c r="AD73" t="inlineStr">
        <is>
          <t>Availability not explicitly specified in the job description</t>
        </is>
      </c>
      <c r="AE73" t="inlineStr">
        <is>
          <t>UNKNOWN</t>
        </is>
      </c>
      <c r="AF73" t="n">
        <v>0</v>
      </c>
      <c r="AG73" t="inlineStr">
        <is>
          <t>No</t>
        </is>
      </c>
      <c r="AH73" t="inlineStr">
        <is>
          <t>not_mentioned</t>
        </is>
      </c>
      <c r="AI73" t="inlineStr">
        <is>
          <t>No mention of PPO or conversion in the job description</t>
        </is>
      </c>
      <c r="AK73" t="inlineStr">
        <is>
          <t>Stipend is completely unknown; Work mode / location details are vague (India-wide)</t>
        </is>
      </c>
      <c r="AL73" t="inlineStr">
        <is>
          <t>Node.js and Express fundamentals; React.js state management and component lifecycle; Socket Programming / WebSockets conceptual knowledge; Past project architecture (Sunflower Trip / StaySphere)</t>
        </is>
      </c>
    </row>
    <row r="74">
      <c r="A74" t="inlineStr">
        <is>
          <t>ALIGHTWAY-SO-261002-73</t>
        </is>
      </c>
      <c r="B74" t="inlineStr">
        <is>
          <t>Alightway Solutions Pvt. Ltd.</t>
        </is>
      </c>
      <c r="C74" t="inlineStr">
        <is>
          <t>Software Developer Intern</t>
        </is>
      </c>
      <c r="D74" t="inlineStr">
        <is>
          <t>https://www.adzuna.in/details/5896030195?utm_medium=api&amp;utm_source=5ccdc27f</t>
        </is>
      </c>
      <c r="E74" t="inlineStr">
        <is>
          <t>AI Analyzer</t>
        </is>
      </c>
      <c r="F74" t="inlineStr">
        <is>
          <t>Lucknow, Uttar Pradesh</t>
        </is>
      </c>
      <c r="G74" t="inlineStr">
        <is>
          <t>Unknown</t>
        </is>
      </c>
      <c r="H74" t="inlineStr">
        <is>
          <t>Not specified</t>
        </is>
      </c>
      <c r="I74" t="inlineStr">
        <is>
          <t>Unknown</t>
        </is>
      </c>
      <c r="J74" t="inlineStr">
        <is>
          <t>UNKNOWN</t>
        </is>
      </c>
      <c r="L74" t="inlineStr">
        <is>
          <t>WordPress; PHP; Laravel; Android App Dev; Shopify; Magento</t>
        </is>
      </c>
      <c r="M74" t="inlineStr">
        <is>
          <t>Home About Services Online Marketing Search Engine Optimization Social Media Marketing Email Marketing Lead Generation Content Marketing WhatsApp Marketing Performance Marketing Design Graphic UI &amp; UX Motion Logo Banner Brochure Packaging Web Design Development WordPress Software Dev Mobile App Dev Android App Dev PHP Development HTML Development Laravel Development E-Commerce eCommerce Development Magento Development Shopify Development Digital Presence Instagram Marketing Facebook Marketing G…</t>
        </is>
      </c>
      <c r="N74" t="n">
        <v>18</v>
      </c>
      <c r="O74" t="n">
        <v>20</v>
      </c>
      <c r="P74" t="n">
        <v>20</v>
      </c>
      <c r="Q74" t="n">
        <v>40</v>
      </c>
      <c r="R74" t="n">
        <v>0</v>
      </c>
      <c r="S74" t="n">
        <v>0</v>
      </c>
      <c r="T74" t="n">
        <v>20</v>
      </c>
      <c r="U74" t="inlineStr">
        <is>
          <t>SKIP</t>
        </is>
      </c>
      <c r="V74" t="inlineStr">
        <is>
          <t>SKIP</t>
        </is>
      </c>
      <c r="W74" t="inlineStr">
        <is>
          <t>WordPress; PHP; Laravel; Shopify; Magento</t>
        </is>
      </c>
      <c r="X74" t="inlineStr">
        <is>
          <t>Amaanuddin_Ahmed_Resume_MERN_FullStack.pdf</t>
        </is>
      </c>
      <c r="Y74" t="inlineStr">
        <is>
          <t>2026-10-02</t>
        </is>
      </c>
      <c r="AA74" t="inlineStr">
        <is>
          <t>FAIL</t>
        </is>
      </c>
      <c r="AB74" t="inlineStr">
        <is>
          <t>Location mismatch: Job is located in Lucknow, Uttar Pradesh, but candidate's preferred location is Bengaluru, India.</t>
        </is>
      </c>
      <c r="AC74" t="inlineStr">
        <is>
          <t>UNKNOWN</t>
        </is>
      </c>
      <c r="AD74" t="inlineStr">
        <is>
          <t>Not specified in the job description.</t>
        </is>
      </c>
      <c r="AE74" t="inlineStr">
        <is>
          <t>UNKNOWN</t>
        </is>
      </c>
      <c r="AF74" t="n">
        <v>0</v>
      </c>
      <c r="AG74" t="inlineStr">
        <is>
          <t>No</t>
        </is>
      </c>
      <c r="AH74" t="inlineStr">
        <is>
          <t>UNKNOWN</t>
        </is>
      </c>
      <c r="AI74" t="inlineStr">
        <is>
          <t>No mention of PPO or conversion in the job description.</t>
        </is>
      </c>
      <c r="AJ74" t="inlineStr">
        <is>
          <t>Location mismatch: Job requires work in Lucknow, Uttar Pradesh</t>
        </is>
      </c>
      <c r="AK74" t="inlineStr">
        <is>
          <t>Vague job description listing a broad agency tech stack rather than specific engineering requirements; No salary or stipend information provided; Location is outside candidate's preferred geography</t>
        </is>
      </c>
    </row>
    <row r="75">
      <c r="A75" t="inlineStr">
        <is>
          <t>EASTENCHER-S-261002-74</t>
        </is>
      </c>
      <c r="B75" t="inlineStr">
        <is>
          <t>Eastencher Software Pvt Ltd</t>
        </is>
      </c>
      <c r="C75" t="inlineStr">
        <is>
          <t>Software Developer Intern</t>
        </is>
      </c>
      <c r="D75" t="inlineStr">
        <is>
          <t>https://www.adzuna.in/details/5854847485?utm_medium=api&amp;utm_source=5ccdc27f</t>
        </is>
      </c>
      <c r="E75" t="inlineStr">
        <is>
          <t>AI Analyzer</t>
        </is>
      </c>
      <c r="F75" t="inlineStr">
        <is>
          <t>Bangalore, Karnataka</t>
        </is>
      </c>
      <c r="G75" t="inlineStr">
        <is>
          <t>On-site</t>
        </is>
      </c>
      <c r="H75" t="inlineStr">
        <is>
          <t>9,500 per month Including PF Benefits</t>
        </is>
      </c>
      <c r="I75" t="inlineStr">
        <is>
          <t>8 Months</t>
        </is>
      </c>
      <c r="J75" t="inlineStr">
        <is>
          <t>NOT_MENTIONED</t>
        </is>
      </c>
      <c r="K75" t="inlineStr">
        <is>
          <t>Software Development</t>
        </is>
      </c>
      <c r="M75" t="inlineStr">
        <is>
          <t>Software Developer Intern Duration 8 Months Stipend 9 500 per month Including PF Benefits Location Bangalore Start Date Immediate Joiners Preferred About the Role We are looking for a passionate and enthusiastic Software Developer Intern to join our development team This internship is an excellent opportunity for candidates who are eager to gain handson experience in software development while working on realtime projects under the guidance of experienced professionals Key Responsibilities Assi…</t>
        </is>
      </c>
      <c r="N75" t="n">
        <v>62</v>
      </c>
      <c r="O75" t="n">
        <v>70</v>
      </c>
      <c r="P75" t="n">
        <v>80</v>
      </c>
      <c r="Q75" t="n">
        <v>85</v>
      </c>
      <c r="R75" t="n">
        <v>40</v>
      </c>
      <c r="S75" t="n">
        <v>10</v>
      </c>
      <c r="T75" t="n">
        <v>50</v>
      </c>
      <c r="U75" t="inlineStr">
        <is>
          <t>SKIP</t>
        </is>
      </c>
      <c r="V75" t="inlineStr">
        <is>
          <t>SKIP</t>
        </is>
      </c>
      <c r="X75" t="inlineStr">
        <is>
          <t>Amaanuddin_Ahmed_Resume.pdf</t>
        </is>
      </c>
      <c r="Y75" t="inlineStr">
        <is>
          <t>2026-10-02</t>
        </is>
      </c>
      <c r="Z75" t="inlineStr">
        <is>
          <t>Role matches target criteria for Software Developer Intern.; Location is Bengaluru, aligning with preferred location.</t>
        </is>
      </c>
      <c r="AA75" t="inlineStr">
        <is>
          <t>ELIGIBLE</t>
        </is>
      </c>
      <c r="AB75" t="inlineStr">
        <is>
          <t>Candidate is based in Bengaluru, matching the job location.; Role matches target role of Software Engineer Intern.</t>
        </is>
      </c>
      <c r="AC75" t="inlineStr">
        <is>
          <t>UNKNOWN</t>
        </is>
      </c>
      <c r="AD75" t="inlineStr">
        <is>
          <t>Start date is immediate, but candidate current availability is not specified in the career brain.</t>
        </is>
      </c>
      <c r="AE75" t="inlineStr">
        <is>
          <t>EXPLICIT</t>
        </is>
      </c>
      <c r="AF75" t="n">
        <v>9500</v>
      </c>
      <c r="AG75" t="inlineStr">
        <is>
          <t>No</t>
        </is>
      </c>
      <c r="AH75" t="inlineStr">
        <is>
          <t>NOT_MENTIONED</t>
        </is>
      </c>
      <c r="AI75" t="inlineStr">
        <is>
          <t>No mention of PPO or conversion in the job description text.</t>
        </is>
      </c>
      <c r="AJ75" t="inlineStr">
        <is>
          <t>Stipend of ₹9,500 per month is significantly below the candidate's minimum target of ₹25,000 per month.</t>
        </is>
      </c>
      <c r="AK75" t="inlineStr">
        <is>
          <t>Low stipend relative to market rate and candidate expectations.</t>
        </is>
      </c>
      <c r="AL75" t="inlineStr">
        <is>
          <t>General software development concepts; Past internship projects; Problem solving and coding basics</t>
        </is>
      </c>
    </row>
    <row r="76">
      <c r="A76" t="inlineStr">
        <is>
          <t>CLARION-TECH-261002-75</t>
        </is>
      </c>
      <c r="B76" t="inlineStr">
        <is>
          <t>Clarion Technologies</t>
        </is>
      </c>
      <c r="C76" t="inlineStr">
        <is>
          <t>Software Developer Intern</t>
        </is>
      </c>
      <c r="D76" t="inlineStr">
        <is>
          <t>https://www.adzuna.in/details/5794908334?utm_medium=api&amp;utm_source=5ccdc27f</t>
        </is>
      </c>
      <c r="E76" t="inlineStr">
        <is>
          <t>AI Analyzer</t>
        </is>
      </c>
      <c r="F76" t="inlineStr">
        <is>
          <t>Pune, Maharashtra</t>
        </is>
      </c>
      <c r="G76" t="inlineStr">
        <is>
          <t>On-site</t>
        </is>
      </c>
      <c r="H76" t="inlineStr">
        <is>
          <t>Not specified</t>
        </is>
      </c>
      <c r="I76" t="inlineStr">
        <is>
          <t>Not specified</t>
        </is>
      </c>
      <c r="J76" t="inlineStr">
        <is>
          <t>POSSIBLE</t>
        </is>
      </c>
      <c r="M76" t="inlineStr">
        <is>
          <t>As a Software Developer Intern at Clarion Technologies based in Punes Hadapsar IT hub you will have the opportunity to kickstart your career in the tech industry You will be exposed to modern stacks participate in code reviews and contribute to agile delivery processes Additionally there will be a clear path for you to grow within the organization This internship is specifically tailored for students and recent graduates who are eager to learn and develop their skills To be considered for this …</t>
        </is>
      </c>
      <c r="N76" t="n">
        <v>50</v>
      </c>
      <c r="O76" t="n">
        <v>50</v>
      </c>
      <c r="P76" t="n">
        <v>50</v>
      </c>
      <c r="Q76" t="n">
        <v>70</v>
      </c>
      <c r="R76" t="n">
        <v>60</v>
      </c>
      <c r="S76" t="n">
        <v>0</v>
      </c>
      <c r="T76" t="n">
        <v>50</v>
      </c>
      <c r="U76" t="inlineStr">
        <is>
          <t>SKIP</t>
        </is>
      </c>
      <c r="V76" t="inlineStr">
        <is>
          <t>SKIP</t>
        </is>
      </c>
      <c r="X76" t="inlineStr">
        <is>
          <t>Amaanuddin_Ahmed_Resume.pdf</t>
        </is>
      </c>
      <c r="Y76" t="inlineStr">
        <is>
          <t>2026-10-02</t>
        </is>
      </c>
      <c r="Z76" t="inlineStr">
        <is>
          <t>Clear growth path and potential conversion opportunity within the organization.</t>
        </is>
      </c>
      <c r="AA76" t="inlineStr">
        <is>
          <t>ELIGIBLE</t>
        </is>
      </c>
      <c r="AB76" t="inlineStr">
        <is>
          <t>The role is tailored for students and recent graduates, which fits the candidate's MCA student status.</t>
        </is>
      </c>
      <c r="AC76" t="inlineStr">
        <is>
          <t>UNKNOWN</t>
        </is>
      </c>
      <c r="AD76" t="inlineStr">
        <is>
          <t>Candidate availability relative to start date is not specified in the career brain.</t>
        </is>
      </c>
      <c r="AE76" t="inlineStr">
        <is>
          <t>UNKNOWN</t>
        </is>
      </c>
      <c r="AF76" t="n">
        <v>0</v>
      </c>
      <c r="AG76" t="inlineStr">
        <is>
          <t>No</t>
        </is>
      </c>
      <c r="AH76" t="inlineStr">
        <is>
          <t>POSSIBLE</t>
        </is>
      </c>
      <c r="AI76" t="inlineStr">
        <is>
          <t>Additionally there will be a clear path for you to grow within the organization</t>
        </is>
      </c>
      <c r="AJ76" t="inlineStr">
        <is>
          <t>Location is Pune, Maharashtra, whereas candidate's preferred location is Bengaluru, India.</t>
        </is>
      </c>
      <c r="AK76" t="inlineStr">
        <is>
          <t>Stipend is not disclosed.; Specific required technology stack is not detailed in the job description snippet.</t>
        </is>
      </c>
      <c r="AL76" t="inlineStr">
        <is>
          <t>Agile delivery processes; Modern tech stacks and frameworks; Code review practices</t>
        </is>
      </c>
    </row>
    <row r="77">
      <c r="A77" t="inlineStr">
        <is>
          <t>WELLVIA-WELL-261002-76</t>
        </is>
      </c>
      <c r="B77" t="inlineStr">
        <is>
          <t>WELLVIA WELLNESS PRIVATE LIMITED</t>
        </is>
      </c>
      <c r="C77" t="inlineStr">
        <is>
          <t>Software Developer Intern</t>
        </is>
      </c>
      <c r="D77" t="inlineStr">
        <is>
          <t>https://www.adzuna.in/details/5885446694?utm_medium=api&amp;utm_source=5ccdc27f</t>
        </is>
      </c>
      <c r="E77" t="inlineStr">
        <is>
          <t>AI Analyzer</t>
        </is>
      </c>
      <c r="F77" t="inlineStr">
        <is>
          <t>Ahmedabad, Gujarat</t>
        </is>
      </c>
      <c r="G77" t="inlineStr">
        <is>
          <t>Onsite</t>
        </is>
      </c>
      <c r="H77" t="inlineStr">
        <is>
          <t>815k</t>
        </is>
      </c>
      <c r="I77" t="inlineStr">
        <is>
          <t>3-6 Months</t>
        </is>
      </c>
      <c r="J77" t="inlineStr">
        <is>
          <t>NOT_MENTIONED</t>
        </is>
      </c>
      <c r="K77" t="inlineStr">
        <is>
          <t>Software Development</t>
        </is>
      </c>
      <c r="M77" t="inlineStr">
        <is>
          <t>Position Software Developer Intern Employment Type Internship Duration 36 Months Location Onsite Stipend 815k About the Role We are looking for a passionate Software Developer Intern who is eager to learn and build highquality software applications The candidate will work with our development team on designing developing testing debugging and maintaining software solutions This is an excellent opportunity for students and freshers who want practical experience in software development and want t…</t>
        </is>
      </c>
      <c r="N77" t="n">
        <v>71</v>
      </c>
      <c r="O77" t="n">
        <v>80</v>
      </c>
      <c r="P77" t="n">
        <v>85</v>
      </c>
      <c r="Q77" t="n">
        <v>85</v>
      </c>
      <c r="R77" t="n">
        <v>40</v>
      </c>
      <c r="S77" t="n">
        <v>50</v>
      </c>
      <c r="T77" t="n">
        <v>60</v>
      </c>
      <c r="U77" t="inlineStr">
        <is>
          <t>SKIP</t>
        </is>
      </c>
      <c r="V77" t="inlineStr">
        <is>
          <t>SKIP</t>
        </is>
      </c>
      <c r="X77" t="inlineStr">
        <is>
          <t>Default Full Stack / Software Engineer Resume</t>
        </is>
      </c>
      <c r="Y77" t="inlineStr">
        <is>
          <t>2026-10-02</t>
        </is>
      </c>
      <c r="Z77" t="inlineStr">
        <is>
          <t>Role matches primary target of Software Engineer Intern.; Candidate meets the general background criteria for students and freshers.</t>
        </is>
      </c>
      <c r="AA77" t="inlineStr">
        <is>
          <t>ELIGIBLE</t>
        </is>
      </c>
      <c r="AB77" t="inlineStr">
        <is>
          <t>Open to students and freshers seeking practical software development experience.</t>
        </is>
      </c>
      <c r="AC77" t="inlineStr">
        <is>
          <t>UNKNOWN</t>
        </is>
      </c>
      <c r="AD77" t="inlineStr">
        <is>
          <t>Exact start date and availability window are not specified in the job description.</t>
        </is>
      </c>
      <c r="AE77" t="inlineStr">
        <is>
          <t>UNKNOWN</t>
        </is>
      </c>
      <c r="AF77" t="n">
        <v>0</v>
      </c>
      <c r="AG77" t="inlineStr">
        <is>
          <t>No</t>
        </is>
      </c>
      <c r="AH77" t="inlineStr">
        <is>
          <t>NOT_MENTIONED</t>
        </is>
      </c>
      <c r="AI77" t="inlineStr">
        <is>
          <t>No explicit mention of PPO or conversion to full-time employment in the job text.</t>
        </is>
      </c>
      <c r="AJ77" t="inlineStr">
        <is>
          <t>Location is Ahmedabad, Gujarat (Onsite), which conflicts with candidate's preference for Bengaluru or Remote.</t>
        </is>
      </c>
      <c r="AK77" t="inlineStr">
        <is>
          <t>Location mismatch (Ahmedabad vs Bengaluru preference)</t>
        </is>
      </c>
      <c r="AL77" t="inlineStr">
        <is>
          <t>General software development lifecycle (SDLC); Debugging and testing practices; Past internship and freelance project walkthroughs</t>
        </is>
      </c>
    </row>
    <row r="78">
      <c r="A78" t="inlineStr">
        <is>
          <t>TRIDIAGONAL--261002-77</t>
        </is>
      </c>
      <c r="B78" t="inlineStr">
        <is>
          <t>Tridiagonal Solutions</t>
        </is>
      </c>
      <c r="C78" t="inlineStr">
        <is>
          <t>Software Development Intern</t>
        </is>
      </c>
      <c r="D78" t="inlineStr">
        <is>
          <t>https://www.adzuna.in/details/5854847471?utm_medium=api&amp;utm_source=5ccdc27f</t>
        </is>
      </c>
      <c r="E78" t="inlineStr">
        <is>
          <t>AI Analyzer</t>
        </is>
      </c>
      <c r="F78" t="inlineStr">
        <is>
          <t>Mumbai, Maharashtra (Pune also mentioned in body)</t>
        </is>
      </c>
      <c r="G78" t="inlineStr">
        <is>
          <t>Not specified</t>
        </is>
      </c>
      <c r="I78" t="inlineStr">
        <is>
          <t>Not specified</t>
        </is>
      </c>
      <c r="J78" t="inlineStr">
        <is>
          <t>NOT_MENTIONED</t>
        </is>
      </c>
      <c r="K78" t="inlineStr">
        <is>
          <t>Responsive web design; Basic programming concepts; Problem-solving skills; Git version control</t>
        </is>
      </c>
      <c r="L78" t="inlineStr">
        <is>
          <t>Python; Web frameworks; APIs; Databases; React; Angular; Vue</t>
        </is>
      </c>
      <c r="M78" t="inlineStr">
        <is>
          <t>## Software Development Intern jobs in Mumbai
Leave us your email address and we'll send you similar new jobsCreate email alert [No, thanks](https://www.adzuna.in/details/5854847471#)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Development Intern
[❮ back to last search](https://www.adzuna.in/details/5854847471#)![Hiree Jobs](https://zunastatic-abf.kxcdn.com/images/in/jobs/partners/logo_hireejobs.png)
Tridiagonal Solutions
Mumbai City
![Hiree Jobs](https://zunastatic-abf.kxcdn.com/images/in/jobs/partners/logo_hireejobs.png)
CLOSING SOON
[Apply for this job](https://www.adzuna.in/land/ad/5854847471?aztt=eyJhbGciOiJIUzI1NiJ9.eyJpYXQiOjE3OTA5NDM3MzYsImNpIjoiYm4tcDUxdS04UkdTQ2FqOFdTSTZDdyIsInR0IjoiZ29vZ2xlX29yZ2FuaWMiLCJ0cyI6bnVsbCwiZXhwIjoxNzkxNTQ4NTM2fQ.kd82Gpuku4L_-90Emrri0hAlyI6HVu6s4GQt-gegNO0&amp;from_adp=1&amp;v=2B98F37DEF54B87EEB8D744BAD5F4F26891D59A8&amp;se=) We are looking for a motivated and enthusiastic Software Development Intern to join our development team This internship provides an excellent opportunity to gain handson experience in web development work on realworld projects and learn modern software development practices Department Software Development Location Pune India Experience Education Key ResponsibilitiesCollaborate with team members to design develop test and deploy software solutions Assist in debugging troubleshooting and optimizing application performance Participate in code reviews and follow coding standards and best practices Work closely with designers and developers to implement userfriendly interfaces Document development processes features and technical specifications Learn and apply new technologies as required by project needs Requirements QualificationsKnowledge of responsive web design principles Understanding of basic programming concepts and problemsolving skills Ability to work independently as well as in a team environment Strong communication and learning aptitude Basic knowledge of Python is an advantage Familiarity with Git version control Understanding of web frameworks APIs or databases is a plus Exposure to React Angular or Vue is beneficial Must be comfortable working in a team and independently as and when required Must be disciplined proactive and selfmotivated [Apply for this job](https://www.adzuna.in/land/ad/5854847471?aztt=eyJhbGciOiJIUzI1NiJ9.eyJpYXQiOjE3OTA5NDM3MzYsImNpIjoiYm4tcDUxdS04UkdTQ2FqOFdTSTZDdyIsInR0IjoiZ29vZ2xlX29yZ2FuaWMiLCJ0cyI6bnVsbCwiZXhwIjoxNzkxNTQ4NTM2fQ.kd82Gpuku4L_-90Emrri0hAlyI6HVu6s4GQt-gegNO0&amp;from_adp=1&amp;v=2B98F37DEF54B87EEB8D744BAD5F4F26891D59A8&amp;se=)
## Stats for this job
### Salaries
The number of jobs in each salary range for all:
IT JobsIT Jobs in MaharashtraMaharashtra jobs
0-10L10-20L20-30L30-40L40-50L50-60L60L+
Receive similar jobs by email
Create alert
By creating an alert, you agree to our [T&amp;Cs](https://www.adzuna.in/terms-and-conditions.html) and [Privacy Notice](https://www.adzuna.in/privacy-policy.html), and Cookie Use.
## Similar jobs
[Software Developer Intern LowLatency Systems](https://www.adzuna.in/details/5885446725)
iRage
Mumbai City
[Software Development Intern Backend Mumbai](https://www.adzuna.in/details/5827200415)
Miko Group
Mumbai City
[Software Tester Intern](https://www.adzuna.in/details/5827200212)
Volody Product Pvt Lltd
Mumbai City
[Software Engineer Intern](https://www.adzuna.in/details/5827200220)
Augle AI
Mumbai City
[Software Tester Intern](https://www.adzuna.in/details/5794908342)
Axs Solutions
Mumbai City
## Popular searches
[Software developer](https://www.adzuna.in/software-developer) [Software developer in Mumbai](https://www.adzuna.in/mumbai/software-developer)
[Back to last search](https://www.adzuna.in/details/5854847471#) [❮ back to last search](https://www.adzuna.in/details/5854847471#)
Receive similar jobs by email
Create alert [No thanks, take me to the job](https://www.adzuna.in/land/ad/5854847471?aztt=eyJhbGciOiJIUzI1NiJ9.eyJpYXQiOjE3OTA5NDM3MzYsImNpIjoiYm4tcDUxdS04UkdTQ2FqOFdTSTZDdyIsInR0IjoiZ29vZ2xlX29yZ2FuaWMiLCJ0cyI6bnVsbCwiZXhwIjoxNzkxNTQ4NTM2fQ.kd82Gpuku4L_-90Emrri0hAlyI6HVu6s4GQt-gegNO0&amp;from_adp=1&amp;v=2B98F37DEF54B87EEB8D744BAD5F4F26891D59A8&amp;se=)
By creating an alert, you agree to our [T&amp;Cs](https://www.adzuna.in/terms-and-conditions.html) and [Privacy Notice](https://www.adzuna.in/privacy-policy.html), and Cookie Use.
[Apply for this jo</t>
        </is>
      </c>
      <c r="N78" t="n">
        <v>64</v>
      </c>
      <c r="O78" t="n">
        <v>80</v>
      </c>
      <c r="P78" t="n">
        <v>85</v>
      </c>
      <c r="Q78" t="n">
        <v>85</v>
      </c>
      <c r="R78" t="n">
        <v>0</v>
      </c>
      <c r="S78" t="n">
        <v>40</v>
      </c>
      <c r="T78" t="n">
        <v>60</v>
      </c>
      <c r="U78" t="inlineStr">
        <is>
          <t>STRETCH</t>
        </is>
      </c>
      <c r="V78" t="inlineStr">
        <is>
          <t>STRETCH</t>
        </is>
      </c>
      <c r="X78" t="inlineStr">
        <is>
          <t>Standard Full Stack / Software Engineering Resume</t>
        </is>
      </c>
      <c r="Y78" t="inlineStr">
        <is>
          <t>2026-10-02</t>
        </is>
      </c>
      <c r="Z78" t="inlineStr">
        <is>
          <t>Strong alignment with Angular and frontend/backend development experience; Good opportunity to gain software development internship experience</t>
        </is>
      </c>
      <c r="AA78" t="inlineStr">
        <is>
          <t>ELIGIBLE</t>
        </is>
      </c>
      <c r="AB78" t="inlineStr">
        <is>
          <t>No strict hard blockers found in requirements; Matches target intern profile</t>
        </is>
      </c>
      <c r="AC78" t="inlineStr">
        <is>
          <t>UNKNOWN</t>
        </is>
      </c>
      <c r="AD78" t="inlineStr">
        <is>
          <t>Availability requirements not specified in the job description</t>
        </is>
      </c>
      <c r="AE78" t="inlineStr">
        <is>
          <t>UNKNOWN</t>
        </is>
      </c>
      <c r="AF78" t="n">
        <v>0</v>
      </c>
      <c r="AG78" t="inlineStr">
        <is>
          <t>No</t>
        </is>
      </c>
      <c r="AH78" t="inlineStr">
        <is>
          <t>NOT_MENTIONED</t>
        </is>
      </c>
      <c r="AK78" t="inlineStr">
        <is>
          <t>Stipend is not disclosed; PPO is not mentioned</t>
        </is>
      </c>
      <c r="AL78" t="inlineStr">
        <is>
          <t>Basic programming concepts and problem-solving; Angular and web development principles; Git version control workflows; Past project experience with APIs and databases</t>
        </is>
      </c>
    </row>
    <row r="79">
      <c r="A79" t="inlineStr">
        <is>
          <t>PODTECH-261002-78</t>
        </is>
      </c>
      <c r="B79" t="inlineStr">
        <is>
          <t>PODTECH</t>
        </is>
      </c>
      <c r="C79" t="inlineStr">
        <is>
          <t>Software Developer - Intern</t>
        </is>
      </c>
      <c r="D79" t="inlineStr">
        <is>
          <t>https://www.adzuna.in/details/4309750168?utm_medium=api&amp;utm_source=5ccdc27f</t>
        </is>
      </c>
      <c r="E79" t="inlineStr">
        <is>
          <t>AI Analyzer</t>
        </is>
      </c>
      <c r="F79" t="inlineStr">
        <is>
          <t>CyberCity, Gurugram</t>
        </is>
      </c>
      <c r="G79" t="inlineStr">
        <is>
          <t>office</t>
        </is>
      </c>
      <c r="H79" t="inlineStr">
        <is>
          <t>not specified</t>
        </is>
      </c>
      <c r="I79" t="inlineStr">
        <is>
          <t>unknown</t>
        </is>
      </c>
      <c r="J79" t="inlineStr">
        <is>
          <t>not mentioned</t>
        </is>
      </c>
      <c r="K79" t="inlineStr">
        <is>
          <t>Computer Science degree</t>
        </is>
      </c>
      <c r="M79" t="inlineStr">
        <is>
          <t>Location: CyberCity, Gurugram Position Type: Full-time, Office-Based Shortlisted candidates will undergo 3 rounds of interview, x2 technical rounds and x1 final management interview. The final two of these interviews will be face-to-face interviews at our Gurugram office. Please do not apply if you cannot attend. PodTech is seeking a proactive Software Developer Intern to join our dynamic team in CyberCity, Gurugram. The ideal candidate will be in the process of pursuing a degree in Computer Sc…</t>
        </is>
      </c>
      <c r="N79" t="n">
        <v>60</v>
      </c>
      <c r="O79" t="n">
        <v>70</v>
      </c>
      <c r="P79" t="n">
        <v>70</v>
      </c>
      <c r="Q79" t="n">
        <v>75</v>
      </c>
      <c r="R79" t="n">
        <v>40</v>
      </c>
      <c r="S79" t="n">
        <v>30</v>
      </c>
      <c r="T79" t="n">
        <v>50</v>
      </c>
      <c r="U79" t="inlineStr">
        <is>
          <t>SKIP</t>
        </is>
      </c>
      <c r="V79" t="inlineStr">
        <is>
          <t>SKIP</t>
        </is>
      </c>
      <c r="X79" t="inlineStr">
        <is>
          <t>Amaanuddin_Ahmed_Resume.pdf</t>
        </is>
      </c>
      <c r="Y79" t="inlineStr">
        <is>
          <t>2026-10-02</t>
        </is>
      </c>
      <c r="Z79" t="inlineStr">
        <is>
          <t>Role matches target internship titles.</t>
        </is>
      </c>
      <c r="AA79" t="inlineStr">
        <is>
          <t>eligible</t>
        </is>
      </c>
      <c r="AB79" t="inlineStr">
        <is>
          <t>Candidate is pursuing an MCA degree in Computer Science/Applications.</t>
        </is>
      </c>
      <c r="AC79" t="inlineStr">
        <is>
          <t>unknown</t>
        </is>
      </c>
      <c r="AD79" t="inlineStr">
        <is>
          <t>Availability start date is not specified in the career brain.</t>
        </is>
      </c>
      <c r="AE79" t="inlineStr">
        <is>
          <t>UNKNOWN</t>
        </is>
      </c>
      <c r="AF79" t="n">
        <v>0</v>
      </c>
      <c r="AG79" t="inlineStr">
        <is>
          <t>No</t>
        </is>
      </c>
      <c r="AH79" t="inlineStr">
        <is>
          <t>not mentioned</t>
        </is>
      </c>
      <c r="AI79" t="inlineStr">
        <is>
          <t>No mention of PPO or conversion in the job description snippet.</t>
        </is>
      </c>
      <c r="AJ79" t="inlineStr">
        <is>
          <t>Location is CyberCity, Gurugram (Office-Based with face-to-face interviews required in Gurugram), whereas candidate's preferred location is Bengaluru.</t>
        </is>
      </c>
      <c r="AK79" t="inlineStr">
        <is>
          <t>Requires final two interview rounds to be face-to-face at the Gurugram office.</t>
        </is>
      </c>
      <c r="AL79" t="inlineStr">
        <is>
          <t>Software Development Fundamentals; Problem Solving; Project walkthroughs</t>
        </is>
      </c>
    </row>
    <row r="80">
      <c r="A80" t="inlineStr">
        <is>
          <t>LENSKART-261002-79</t>
        </is>
      </c>
      <c r="B80" t="inlineStr">
        <is>
          <t>Lenskart</t>
        </is>
      </c>
      <c r="C80" t="inlineStr">
        <is>
          <t>Software Development Intern</t>
        </is>
      </c>
      <c r="D80" t="inlineStr">
        <is>
          <t>https://www.adzuna.in/details/5845820634?utm_medium=api&amp;utm_source=5ccdc27f</t>
        </is>
      </c>
      <c r="E80" t="inlineStr">
        <is>
          <t>AI Analyzer</t>
        </is>
      </c>
      <c r="F80" t="inlineStr">
        <is>
          <t>Hosur, Tamil Nadu</t>
        </is>
      </c>
      <c r="G80" t="inlineStr">
        <is>
          <t>On-site</t>
        </is>
      </c>
      <c r="H80" t="inlineStr">
        <is>
          <t>INR 19,000 per month</t>
        </is>
      </c>
      <c r="I80" t="inlineStr">
        <is>
          <t>6 months</t>
        </is>
      </c>
      <c r="J80" t="inlineStr">
        <is>
          <t>yes</t>
        </is>
      </c>
      <c r="K80" t="inlineStr">
        <is>
          <t>Data Structures; Algorithms; Object-Oriented Programming; Java; Python; REST APIs; SQL</t>
        </is>
      </c>
      <c r="L80" t="inlineStr">
        <is>
          <t>Git; GitHub; Unit Testing; Debugging; System Design Basics; Code Review</t>
        </is>
      </c>
      <c r="M80" t="inlineStr">
        <is>
          <t>## Software Development Intern jobs in Krishnagiri
Leave us your email address and we'll send you similar new jobsCreate email alert [No, thanks](https://www.adzuna.in/details/5845820634#)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Development Intern
[❮ back to last search](https://www.adzuna.in/details/5845820634#)![Hiree Jobs](https://zunastatic-abf.kxcdn.com/images/in/jobs/partners/logo_hireejobs.png)
Lenskart
Hosur
![Hiree Jobs](https://zunastatic-abf.kxcdn.com/images/in/jobs/partners/logo_hireejobs.png)
CLOSING SOON
[Apply for this job](https://www.adzuna.in/land/ad/5845820634?aztt=eyJhbGciOiJIUzI1NiJ9.eyJjaSI6ImdQbmU3bHUtOFJHZ2ctaXlxVkZwb3ciLCJpYXQiOjE3OTA5NDM3NDgsInRzIjpudWxsLCJ0dCI6Imdvb2dsZV9vcmdhbmljIiwiZXhwIjoxNzkxNTQ4NTQ4fQ.fgVWLBAM06iAFw_a7uwb33g9SjYivkxs2W2I1NNnmyw&amp;from_adp=1&amp;v=1606E4BCF86BC3A995FF9798D718D0CEC59900FF&amp;se=) Start your career in software engineering with Lenskart as a Software Development Intern in Hosur You will sit with a working team use the same tools and systems they do and own a defined piece of work from day one About the role As a Software Development Intern at Lenskart your core focus will be building testing and shipping product features with the engineering team You are attached to a named mentor join the teams standups and reviews and are trusted with work that matters rather than filler tasks Questions are encouraged your output is reviewed properly and you get the feedback you need to actually improve What youll do day to day Work on building testing and shipping product features with the engineering team alongside the core team Use Data Structures Algorithms ObjectOriented Programming Java Python REST APIs SQL on live productionfacing problems Turn your work into clear documentation notes or decks for reviewers Take part in reviews and act on the feedback you receive Collaborate across functions engineering product design or business as the work demands Follow the teams quality testing and documentation standards Track and report your own progress against an agreed plan Skills youll build You will build practical demonstrable experience in Data Structures Algorithms ObjectOriented Programming Java Python REST APIs SQL Git GitHub Unit Testing Debugging System Design Basics Code Review the exact toolkit that separates a hireable fresher from a CV full of coursework No prior work experience is required Curiosity problemsolving ability and a willingness to learn matter far more here than a polished rsum and every one of these skills is taught on the job Who should apply Students in their final year or recent graduates from B E B Tech BCA MCA B Sc CS IT based in or willing to work from Hosur You should be willing to learn Data Structures Algorithms ObjectOriented Programming Java Python and able to communicate clearly in writing Personal projects coursework certifications or opensource contributions strengthen your application but none of them are mandatory Internship details This is a 6month internship in Hosur Tamil Nadu with a stipend of 19 000 per month You will be given a defined project so that you leave with a feature you wrote that went to production Working hours follow the teams normal business hours and the internship includes a certificate on successful completion By the end of the internship you will have handson command of the tools and workflows used in the field plus the confidence that comes from solving genuine problems rather than textbook ones Interns who excel are regularly offered a PPO and a path into a fulltime position How to apply Click Apply Now If you are not logged in you will be asked to sign in and register first after which you will be taken to Lenskarts official careers page to complete your application Applications are reviewed on a rolling basis and seats are limited so apply early Responsibilities Work on building testing and shipping product features with the engineering team alongside the core team Apply Data Structures Algorithms ObjectOriented Programming Java Python REST APIs to live productionfacing problems Document your work clearly for reviewers and stakeholders Participate in reviews and act on the feedback you receive Collaborate across engineering product design or business as required Follow the teams quality testing and documentation standards Requirements Pursuing or recently completed B E B Tec</t>
        </is>
      </c>
      <c r="N80" t="n">
        <v>71</v>
      </c>
      <c r="O80" t="n">
        <v>60</v>
      </c>
      <c r="P80" t="n">
        <v>75</v>
      </c>
      <c r="Q80" t="n">
        <v>80</v>
      </c>
      <c r="R80" t="n">
        <v>90</v>
      </c>
      <c r="S80" t="n">
        <v>40</v>
      </c>
      <c r="T80" t="n">
        <v>85</v>
      </c>
      <c r="U80" t="inlineStr">
        <is>
          <t>SKIP</t>
        </is>
      </c>
      <c r="V80" t="inlineStr">
        <is>
          <t>SKIP</t>
        </is>
      </c>
      <c r="W80" t="inlineStr">
        <is>
          <t>Java (working knowledge only); Python (working knowledge only); Data Structures and Algorithms (DSA formal proficiency)</t>
        </is>
      </c>
      <c r="X80" t="inlineStr">
        <is>
          <t>Default Full Stack / Software Engineer Resume</t>
        </is>
      </c>
      <c r="Y80" t="inlineStr">
        <is>
          <t>2026-10-02</t>
        </is>
      </c>
      <c r="Z80" t="inlineStr">
        <is>
          <t>Explicit PPO conversion track for high-performing interns.; Strong hands-on software development engineering internship opportunity with real production-facing responsibilities.; Matches the candidate's academic eligibility (MCA).</t>
        </is>
      </c>
      <c r="AA80" t="inlineStr">
        <is>
          <t>eligible</t>
        </is>
      </c>
      <c r="AB80" t="inlineStr">
        <is>
          <t>Candidate is pursuing MCA which matches the required degree eligibility (B.E, B.Tech, BCA, MCA, B.Sc CS/IT).; Candidate is in the correct graduation timeline (2025-2027 program, final-year / recent graduate window).</t>
        </is>
      </c>
      <c r="AC80" t="inlineStr">
        <is>
          <t>unknown</t>
        </is>
      </c>
      <c r="AD80" t="inlineStr">
        <is>
          <t>Availability to relocate or commute specifically to Hosur, Tamil Nadu from Bengaluru is not explicitly confirmed.</t>
        </is>
      </c>
      <c r="AE80" t="inlineStr">
        <is>
          <t>guaranteed</t>
        </is>
      </c>
      <c r="AF80" t="n">
        <v>19000</v>
      </c>
      <c r="AG80" t="inlineStr">
        <is>
          <t>No</t>
        </is>
      </c>
      <c r="AH80" t="inlineStr">
        <is>
          <t>yes</t>
        </is>
      </c>
      <c r="AI80" t="inlineStr">
        <is>
          <t>Interns who excel are regularly offered a PPO and a path into a fulltime position</t>
        </is>
      </c>
      <c r="AJ80" t="inlineStr">
        <is>
          <t>Stipend is INR 19,000/month, which falls below the candidate's minimum target of INR 25,000/month.</t>
        </is>
      </c>
      <c r="AK80" t="inlineStr">
        <is>
          <t>Location is Hosur, Tamil Nadu which is outside the candidate's preferred Bengaluru location (though close, it requires commuting or relocation).</t>
        </is>
      </c>
      <c r="AL80" t="inlineStr">
        <is>
          <t>Data Structures and Algorithms problem-solving; Object-Oriented Programming principles in Java or Python; REST API design and database querying in SQL; Past full-stack internship projects and production deployment workflows</t>
        </is>
      </c>
    </row>
    <row r="81">
      <c r="A81" t="inlineStr">
        <is>
          <t>COURT-CLICK-261002-80</t>
        </is>
      </c>
      <c r="B81" t="inlineStr">
        <is>
          <t>Court Click</t>
        </is>
      </c>
      <c r="C81" t="inlineStr">
        <is>
          <t>Software Developer Intern</t>
        </is>
      </c>
      <c r="D81" t="inlineStr">
        <is>
          <t>https://www.adzuna.in/details/5885446695?utm_medium=api&amp;utm_source=5ccdc27f</t>
        </is>
      </c>
      <c r="E81" t="inlineStr">
        <is>
          <t>AI Analyzer</t>
        </is>
      </c>
      <c r="F81" t="inlineStr">
        <is>
          <t>Kochi, Ernakulam</t>
        </is>
      </c>
      <c r="G81" t="inlineStr">
        <is>
          <t>UNKNOWN</t>
        </is>
      </c>
      <c r="H81" t="inlineStr">
        <is>
          <t>Not specified</t>
        </is>
      </c>
      <c r="I81" t="inlineStr">
        <is>
          <t>UNKNOWN</t>
        </is>
      </c>
      <c r="J81" t="inlineStr">
        <is>
          <t>NOT_MENTIONED</t>
        </is>
      </c>
      <c r="M81" t="inlineStr">
        <is>
          <t>Company Overview Court Click is a Legal Tech platform designed to simplify access to court information for litigants and lawyers By bringing causelists live court updates and essential case information onto a single platform Court Click helps users stay informed and manage legal matters more efficiently Role Overview As a Software Development Intern you will work alongside experienced developers and contribute to the development of web applications mobile applications and AIenabled solutions Th…</t>
        </is>
      </c>
      <c r="N81" t="n">
        <v>40</v>
      </c>
      <c r="O81" t="n">
        <v>50</v>
      </c>
      <c r="P81" t="n">
        <v>50</v>
      </c>
      <c r="Q81" t="n">
        <v>70</v>
      </c>
      <c r="R81" t="n">
        <v>0</v>
      </c>
      <c r="S81" t="n">
        <v>0</v>
      </c>
      <c r="T81" t="n">
        <v>40</v>
      </c>
      <c r="U81" t="inlineStr">
        <is>
          <t>SKIP</t>
        </is>
      </c>
      <c r="V81" t="inlineStr">
        <is>
          <t>SKIP</t>
        </is>
      </c>
      <c r="X81" t="inlineStr">
        <is>
          <t>Amaanuddin_Ahmed_Resume_General.pdf</t>
        </is>
      </c>
      <c r="Y81" t="inlineStr">
        <is>
          <t>2026-10-02</t>
        </is>
      </c>
      <c r="Z81" t="inlineStr">
        <is>
          <t>Aligns with software developer intern target roles.</t>
        </is>
      </c>
      <c r="AA81" t="inlineStr">
        <is>
          <t>ELIGIBLE</t>
        </is>
      </c>
      <c r="AB81" t="inlineStr">
        <is>
          <t>Target role matches software developer internship role.; No explicit degree or hard blockers mentioned in the short description.</t>
        </is>
      </c>
      <c r="AC81" t="inlineStr">
        <is>
          <t>UNKNOWN</t>
        </is>
      </c>
      <c r="AD81" t="inlineStr">
        <is>
          <t>Not specified in the job description.</t>
        </is>
      </c>
      <c r="AE81" t="inlineStr">
        <is>
          <t>UNKNOWN</t>
        </is>
      </c>
      <c r="AF81" t="n">
        <v>0</v>
      </c>
      <c r="AG81" t="inlineStr">
        <is>
          <t>No</t>
        </is>
      </c>
      <c r="AH81" t="inlineStr">
        <is>
          <t>NOT_MENTIONED</t>
        </is>
      </c>
      <c r="AI81" t="inlineStr">
        <is>
          <t>No mention of PPO or conversion in the job description snippet.</t>
        </is>
      </c>
      <c r="AK81" t="inlineStr">
        <is>
          <t>Location is Kochi, which does not match preferred Bengaluru location.; Stipend is completely unspecified.; Job description is very brief and lacks specific technical requirements.</t>
        </is>
      </c>
      <c r="AL81" t="inlineStr">
        <is>
          <t>Web application development experience; Mobile application development familiarity; AI-enabled solutions exposure</t>
        </is>
      </c>
    </row>
    <row r="82">
      <c r="A82" t="inlineStr">
        <is>
          <t>LAKSHAGATH-E-261002-81</t>
        </is>
      </c>
      <c r="B82" t="inlineStr">
        <is>
          <t>Lakshagath Enterprises</t>
        </is>
      </c>
      <c r="C82" t="inlineStr">
        <is>
          <t>Software Developer Intern</t>
        </is>
      </c>
      <c r="D82" t="inlineStr">
        <is>
          <t>https://www.adzuna.in/details/5854847469?utm_medium=api&amp;utm_source=5ccdc27f</t>
        </is>
      </c>
      <c r="E82" t="inlineStr">
        <is>
          <t>AI Analyzer</t>
        </is>
      </c>
      <c r="F82" t="inlineStr">
        <is>
          <t>Kanchipuram, Tamil Nadu</t>
        </is>
      </c>
      <c r="G82" t="inlineStr">
        <is>
          <t>In person</t>
        </is>
      </c>
      <c r="H82" t="inlineStr">
        <is>
          <t>3,000.00 per month</t>
        </is>
      </c>
      <c r="I82" t="inlineStr">
        <is>
          <t>Not specified</t>
        </is>
      </c>
      <c r="J82" t="inlineStr">
        <is>
          <t>Not mentioned</t>
        </is>
      </c>
      <c r="K82" t="inlineStr">
        <is>
          <t>Programming Fundamentals; Data Structures; Algorithms; Object-Oriented Programming; JavaScript; Node.js; Express.js; Git; REST APIs</t>
        </is>
      </c>
      <c r="L82" t="inlineStr">
        <is>
          <t>Python; Java; C#; React.js; Next.js; MySQL; MongoDB; Docker</t>
        </is>
      </c>
      <c r="M82" t="inlineStr">
        <is>
          <t>## Software Developer Intern jobs in Kanchipuram
Leave us your email address and we'll send you similar new jobsCreate email alert [No, thanks](https://www.adzuna.in/details/5854847469#)
By creating an email alert, you agree to our [Terms &amp; Conditions](https://www.adzuna.in/terms-and-conditions.html) and [Privacy Notice](https://www.adzuna.in/privacy-policy.html), and Cookie Use. You can cancel at any time.
Loading...
Are you based in the United States? Select your country to see jobs specific to your location.
United KingdomAustraliaÖsterreichBelgiëBrasilCanadaFranceDeutschlandIndiaItaliaMéxicoNederlandNew ZealandPolskaSingaporeSouth AfricaEspañaSchweizUnited StatesContinue![](https://zunastatic-abf.kxcdn.com/images/global/responsive/icon_close_no_bg.svg)
What?
Where?
Search
[Advanced](https://www.adzuna.in/advanced-search)
# Software Developer Intern
[❮ back to last search](https://www.adzuna.in/details/5854847469#)![Hiree Jobs](https://zunastatic-abf.kxcdn.com/images/in/jobs/partners/logo_hireejobs.png)
Lakshagath Enterprises
Kanchipuram
![Hiree Jobs](https://zunastatic-abf.kxcdn.com/images/in/jobs/partners/logo_hireejobs.png)
CLOSING SOON
[Apply for this job](https://www.adzuna.in/land/ad/5854847469?aztt=eyJhbGciOiJIUzI1NiJ9.eyJ0cyI6bnVsbCwiaWF0IjoxNzkwOTQzNzYwLCJjaSI6IkpyRFY5VnUtOFJHY2I1dy1BYmVRYWciLCJleHAiOjE3OTE1NDg1NjAsInR0IjoiZ29vZ2xlX29yZ2FuaWMifQ._6g1IEN7TCW0Gq8mUlbqS1WaSVwlyVEckRfzHZoUgYM&amp;from_adp=1&amp;v=E4ABE606FF8D85FC06D443759E305EF2E4D90841&amp;se=) Software Engineer Intern AIAssisted Product Development We are looking for Software Engineers Freshers Interns who enjoy building products solving realworld problems and continuously learning new technologies At Lakshagath Enterprises we build multiple software products across web mobile desktop AI automation cloud and media platforms We believe strong engineering fundamentals are more important than expertise in any single programming language or framework We actively use modern AI development tools to accelerate software development Therefore were looking for engineers who can understand systems learn quickly solve problems and work effectively with AIassisted development Core RequirementsStrong Programming Fundamentals Data Structures Algorithms Basic to Intermediate ObjectOriented ProgrammingDesign Patterns Basic understanding Debugging TroubleshootingReading and understanding existing codebasesWriting clean maintainable codeProblemsolving mindsetProgramming Languages Experience in one or more of the following is sufficient PythonPHPJavaC JavaScriptTypeScriptDartGoKotlinSwiftCCRubyRustAny other modern programming languageBackend Technologies Any Experience with one or more of FastAPIDjangoFlaskLaravelCodeIgniterSymfonySpring BootASP NET NET CoreExpress jsNestJSGo FrameworksRuby on RailsAny modern backend frameworkFrontend Mobile Technologies Any Experience with one or more of FlutterReactNext jsVue jsAngularReact NativeSvelteNuxt jsHTML5CSS3JavaScriptTypeScriptAny modern frontend or mobile frameworkDatabases Experience with one or more of PostgreSQLMySQLMariaDBSQL ServerSQLiteOracleMongoDBRedisFirebaseSupabaseAny modern databaseAPIs System Integration Good understanding of REST APIsJSONWebSocketsAuthentication JWT OAuth Sessions API IntegrationThirdparty SDK IntegrationDevelopment Tools Experience with Git GitHubDocker Basic Linux Basic VS Code or similar IDEPackage ManagersCommand LineAIAssisted Development We encourage engineers to use AI development tools to improve productivity Experience with one or more of ChatGPTCodexClaudeCursorGitHub CopilotGeminiWindsurfOther AI coding assistantsAI is a productivity toolnot a replacement for engineering skills Candidates should be able to understand review test debug and improve AIgenerated code What Matters Most We care more about your ability to Learn new technologies quickly Read and understand unfamiliar codebases Solve challenging engineering problems Debug production issues efficiently Build reliable and scalable software Take ownership of assigned work Communicate effectively Adapt to new tools and technologies We welcome candidates from any technology stack who are eager to learn and build great products Why Join Us Build products from the ground up Work directly with the Product Architect Use the latest AIpowered development tools Gain exposure to multiple technologies instead of being limited to a single stack Opportunity to work on web mobile desktop AI automation and cloudbased products Grow with a fastmoving product company focused on innovation If you enjoy building software solving complex problems and learning continuously wed love to hear from you Compensation 3 000 00 per month Work Location In person [Apply for this job](https://www.adzuna.in/land/ad/5854847469?aztt=eyJhbGciOiJIUzI1NiJ9.eyJ0cyI6bnVsbCwiaWF0IjoxNzkwOTQzNzYwLCJjaSI6IkpyRFY5VnUtOFJHY2I1dy1BYmVRYWciLCJleHAiOjE3OTE1NDg1NjAsInR0IjoiZ29vZ2xlX29yZ2FuaWMifQ._6g1IEN7TCW0Gq8mUlbqS1WaSVwlyVEckRfzHZoUgYM&amp;from_adp=1&amp;</t>
        </is>
      </c>
      <c r="N82" t="n">
        <v>59</v>
      </c>
      <c r="O82" t="n">
        <v>85</v>
      </c>
      <c r="P82" t="n">
        <v>80</v>
      </c>
      <c r="Q82" t="n">
        <v>85</v>
      </c>
      <c r="R82" t="n">
        <v>0</v>
      </c>
      <c r="S82" t="n">
        <v>10</v>
      </c>
      <c r="T82" t="n">
        <v>40</v>
      </c>
      <c r="U82" t="inlineStr">
        <is>
          <t>SKIP</t>
        </is>
      </c>
      <c r="V82" t="inlineStr">
        <is>
          <t>SKIP</t>
        </is>
      </c>
      <c r="X82" t="inlineStr">
        <is>
          <t>Default Full Stack / Software Engineer Resume</t>
        </is>
      </c>
      <c r="Y82" t="inlineStr">
        <is>
          <t>2026-10-02</t>
        </is>
      </c>
      <c r="Z82" t="inlineStr">
        <is>
          <t>Good technical match across backend and modern web tech stacks.; Involves modern AI development tools exposure as desired.</t>
        </is>
      </c>
      <c r="AA82" t="inlineStr">
        <is>
          <t>Eligible</t>
        </is>
      </c>
      <c r="AC82" t="inlineStr">
        <is>
          <t>Unknown</t>
        </is>
      </c>
      <c r="AD82" t="inlineStr">
        <is>
          <t>Availability not explicitly specified in candidate profile regarding relocation to Kanchipuram.</t>
        </is>
      </c>
      <c r="AE82" t="inlineStr">
        <is>
          <t>Below target</t>
        </is>
      </c>
      <c r="AF82" t="n">
        <v>3000</v>
      </c>
      <c r="AG82" t="inlineStr">
        <is>
          <t>No</t>
        </is>
      </c>
      <c r="AH82" t="inlineStr">
        <is>
          <t>Not mentioned</t>
        </is>
      </c>
      <c r="AI82" t="inlineStr">
        <is>
          <t>No mention of PPO or conversion to full-time employment in the job description.</t>
        </is>
      </c>
      <c r="AJ82" t="inlineStr">
        <is>
          <t>Location/Work-Mode Requirement: Job is In-person in Kanchipuram, Tamil Nadu, whereas preferred location is Bengaluru.; Stipend is ₹3,000/month, which is significantly below the minimum target of ₹25,000/month.</t>
        </is>
      </c>
      <c r="AK82" t="inlineStr">
        <is>
          <t>Stipend is extremely low at ₹3,000 per month.</t>
        </is>
      </c>
      <c r="AL82" t="inlineStr">
        <is>
          <t>Data Structures and Algorithms fundamentals; Backend development with Node.js and Express; Experience using AI-assisted coding tools in development workflows; Debugging and troubleshooting methodology</t>
        </is>
      </c>
    </row>
    <row r="83">
      <c r="A83" t="inlineStr">
        <is>
          <t>SYNQCLOUD,-I-261002-82</t>
        </is>
      </c>
      <c r="B83" t="inlineStr">
        <is>
          <t>SynqCloud, Inc</t>
        </is>
      </c>
      <c r="C83" t="inlineStr">
        <is>
          <t>Software Developer Intern</t>
        </is>
      </c>
      <c r="D83" t="inlineStr">
        <is>
          <t>https://www.adzuna.in/details/1155089572?utm_medium=api&amp;utm_source=5ccdc27f</t>
        </is>
      </c>
      <c r="E83" t="inlineStr">
        <is>
          <t>AI Analyzer</t>
        </is>
      </c>
      <c r="F83" t="inlineStr">
        <is>
          <t>Chennai, Tamil Nadu</t>
        </is>
      </c>
      <c r="G83" t="inlineStr">
        <is>
          <t>On-site</t>
        </is>
      </c>
      <c r="H83" t="inlineStr">
        <is>
          <t>Not specified</t>
        </is>
      </c>
      <c r="I83" t="inlineStr">
        <is>
          <t>Not specified</t>
        </is>
      </c>
      <c r="J83" t="inlineStr">
        <is>
          <t>NOT MENTIONED</t>
        </is>
      </c>
      <c r="K83" t="inlineStr">
        <is>
          <t>Object Oriented Programming (OOPs); Programming; Software Development</t>
        </is>
      </c>
      <c r="M83" t="inlineStr">
        <is>
          <t>We are hiring Intern for massmailer.io which is a Salesforce appexchange app company. Location: Chennai Skills: Object Oriented Programming (OOPs), Programming and Software Development</t>
        </is>
      </c>
      <c r="N83" t="n">
        <v>45</v>
      </c>
      <c r="O83" t="n">
        <v>60</v>
      </c>
      <c r="P83" t="n">
        <v>70</v>
      </c>
      <c r="Q83" t="n">
        <v>65</v>
      </c>
      <c r="R83" t="n">
        <v>0</v>
      </c>
      <c r="S83" t="n">
        <v>0</v>
      </c>
      <c r="T83" t="n">
        <v>30</v>
      </c>
      <c r="U83" t="inlineStr">
        <is>
          <t>SKIP</t>
        </is>
      </c>
      <c r="V83" t="inlineStr">
        <is>
          <t>SKIP</t>
        </is>
      </c>
      <c r="X83" t="inlineStr">
        <is>
          <t>Default Resume</t>
        </is>
      </c>
      <c r="Y83" t="inlineStr">
        <is>
          <t>2026-10-02</t>
        </is>
      </c>
      <c r="Z83" t="inlineStr">
        <is>
          <t>General software engineering internship matching primary target role.</t>
        </is>
      </c>
      <c r="AA83" t="inlineStr">
        <is>
          <t>FAIL</t>
        </is>
      </c>
      <c r="AB83" t="inlineStr">
        <is>
          <t>Job location is Chennai, Tamil Nadu, but candidate preferred location is Bengaluru, India (or remote).</t>
        </is>
      </c>
      <c r="AC83" t="inlineStr">
        <is>
          <t>UNKNOWN</t>
        </is>
      </c>
      <c r="AD83" t="inlineStr">
        <is>
          <t>Availability timeline not specified in the job description.</t>
        </is>
      </c>
      <c r="AE83" t="inlineStr">
        <is>
          <t>UNKNOWN</t>
        </is>
      </c>
      <c r="AF83" t="n">
        <v>0</v>
      </c>
      <c r="AG83" t="inlineStr">
        <is>
          <t>No</t>
        </is>
      </c>
      <c r="AH83" t="inlineStr">
        <is>
          <t>NOT MENTIONED</t>
        </is>
      </c>
      <c r="AI83" t="inlineStr">
        <is>
          <t>No mention of conversion or PPO in the job description.</t>
        </is>
      </c>
      <c r="AJ83" t="inlineStr">
        <is>
          <t>Location mismatch: Job is in Chennai, Tamil Nadu, while candidate prefers Bengaluru.</t>
        </is>
      </c>
      <c r="AK83" t="inlineStr">
        <is>
          <t>Stipend is completely unspecified.; No mention of PPO or conversion.; Very vague job description with minimal details.</t>
        </is>
      </c>
      <c r="AL83" t="inlineStr">
        <is>
          <t>Object Oriented Programming concepts; General software development lifecycle</t>
        </is>
      </c>
    </row>
    <row r="84">
      <c r="A84" t="inlineStr">
        <is>
          <t>ALLSOFT-CONS-261002-83</t>
        </is>
      </c>
      <c r="B84" t="inlineStr">
        <is>
          <t>AllSoft Consulting Private Limited</t>
        </is>
      </c>
      <c r="C84" t="inlineStr">
        <is>
          <t>Software Development Intern</t>
        </is>
      </c>
      <c r="D84" t="inlineStr">
        <is>
          <t>https://www.adzuna.in/details/4947384279?utm_medium=api&amp;utm_source=5ccdc27f</t>
        </is>
      </c>
      <c r="E84" t="inlineStr">
        <is>
          <t>AI Analyzer</t>
        </is>
      </c>
      <c r="F84" t="inlineStr">
        <is>
          <t>Raipur, Chhattisgarh</t>
        </is>
      </c>
      <c r="G84" t="inlineStr">
        <is>
          <t>On-site</t>
        </is>
      </c>
      <c r="I84" t="inlineStr">
        <is>
          <t>Not Specified</t>
        </is>
      </c>
      <c r="J84" t="inlineStr">
        <is>
          <t>UNKNOWN</t>
        </is>
      </c>
      <c r="K84" t="inlineStr">
        <is>
          <t>Javascript; PHP; Python; Ruby on Rails (ROR); NodeJS (Node.js); NOSQL Databases; Web</t>
        </is>
      </c>
      <c r="M84" t="inlineStr">
        <is>
          <t>AllSoft seeks to employ Engineering Interns (Computer Science discipline) to perform several software development tasks. Tasks may include development of Web Application, Mobile Application (Android, iOS, Nativescript). Skills:- Javascript, PHP, Python, Ruby on Rails (ROR), NodeJS (Node.js), NOSQL Databases and Web</t>
        </is>
      </c>
      <c r="N84" t="n">
        <v>58</v>
      </c>
      <c r="O84" t="n">
        <v>60</v>
      </c>
      <c r="P84" t="n">
        <v>70</v>
      </c>
      <c r="Q84" t="n">
        <v>75</v>
      </c>
      <c r="R84" t="n">
        <v>40</v>
      </c>
      <c r="S84" t="n">
        <v>40</v>
      </c>
      <c r="T84" t="n">
        <v>50</v>
      </c>
      <c r="U84" t="inlineStr">
        <is>
          <t>SKIP</t>
        </is>
      </c>
      <c r="V84" t="inlineStr">
        <is>
          <t>SKIP</t>
        </is>
      </c>
      <c r="W84" t="inlineStr">
        <is>
          <t>PHP; Ruby on Rails (ROR); NOSQL Databases</t>
        </is>
      </c>
      <c r="X84" t="inlineStr">
        <is>
          <t>Amaanuddin_Ahmed_Resume.pdf</t>
        </is>
      </c>
      <c r="Y84" t="inlineStr">
        <is>
          <t>2026-10-02</t>
        </is>
      </c>
      <c r="Z84" t="inlineStr">
        <is>
          <t>Matches general software development intern profile; Requires JavaScript and Node.js which candidate has demonstrated</t>
        </is>
      </c>
      <c r="AA84" t="inlineStr">
        <is>
          <t>ELIGIBLE</t>
        </is>
      </c>
      <c r="AC84" t="inlineStr">
        <is>
          <t>UNKNOWN</t>
        </is>
      </c>
      <c r="AD84" t="inlineStr">
        <is>
          <t>Availability not explicitly specified in candidate profile</t>
        </is>
      </c>
      <c r="AE84" t="inlineStr">
        <is>
          <t>UNKNOWN</t>
        </is>
      </c>
      <c r="AF84" t="n">
        <v>0</v>
      </c>
      <c r="AG84" t="inlineStr">
        <is>
          <t>No</t>
        </is>
      </c>
      <c r="AH84" t="inlineStr">
        <is>
          <t>UNKNOWN</t>
        </is>
      </c>
      <c r="AI84" t="inlineStr">
        <is>
          <t>No mention of PPO or conversion in the job description</t>
        </is>
      </c>
      <c r="AK84" t="inlineStr">
        <is>
          <t>Location is Raipur, Chhattisgarh, which does not match preferred location Bengaluru; Stipend is completely unknown; No PPO mention</t>
        </is>
      </c>
      <c r="AL84" t="inlineStr">
        <is>
          <t>JavaScript asynchronous programming and closures; Node.js and Express event loop and middleware; Experience with NoSQL databases like MongoDB; Basic knowledge of PHP and Python</t>
        </is>
      </c>
    </row>
    <row r="85">
      <c r="A85" t="inlineStr">
        <is>
          <t>ARCHINTXCOM-261002-84</t>
        </is>
      </c>
      <c r="B85" t="inlineStr">
        <is>
          <t>archintxcom</t>
        </is>
      </c>
      <c r="C85" t="inlineStr">
        <is>
          <t>Software Development Intern</t>
        </is>
      </c>
      <c r="D85" t="inlineStr">
        <is>
          <t>https://www.adzuna.in/details/5885446701?utm_medium=api&amp;utm_source=5ccdc27f</t>
        </is>
      </c>
      <c r="E85" t="inlineStr">
        <is>
          <t>AI Analyzer</t>
        </is>
      </c>
      <c r="F85" t="inlineStr">
        <is>
          <t>Chennai, Tamil Nadu</t>
        </is>
      </c>
      <c r="G85" t="inlineStr">
        <is>
          <t>Unknown</t>
        </is>
      </c>
      <c r="H85" t="inlineStr">
        <is>
          <t>Not specified</t>
        </is>
      </c>
      <c r="I85" t="inlineStr">
        <is>
          <t>Unknown</t>
        </is>
      </c>
      <c r="J85" t="inlineStr">
        <is>
          <t>No</t>
        </is>
      </c>
      <c r="K85" t="inlineStr">
        <is>
          <t>Software Development; Frontend; Backend; APIs; Databases</t>
        </is>
      </c>
      <c r="L85" t="inlineStr">
        <is>
          <t>Debugging; Testing</t>
        </is>
      </c>
      <c r="M85" t="inlineStr">
        <is>
          <t>We are looking for a motivated and passionate Software Developer to join our team The candidate will be responsible for developing testing debugging and maintaining software applications while working closely with the team to build reliable and scalable solutions Develop test and maintain software applications Write clean efficient and scalable code Work with frontend backend APIs and databases Debug issues and improve application performance Collaborate with the team and learn new technologies…</t>
        </is>
      </c>
      <c r="N85" t="n">
        <v>58</v>
      </c>
      <c r="O85" t="n">
        <v>80</v>
      </c>
      <c r="P85" t="n">
        <v>80</v>
      </c>
      <c r="Q85" t="n">
        <v>85</v>
      </c>
      <c r="R85" t="n">
        <v>0</v>
      </c>
      <c r="S85" t="n">
        <v>0</v>
      </c>
      <c r="T85" t="n">
        <v>50</v>
      </c>
      <c r="U85" t="inlineStr">
        <is>
          <t>SKIP</t>
        </is>
      </c>
      <c r="V85" t="inlineStr">
        <is>
          <t>SKIP</t>
        </is>
      </c>
      <c r="X85" t="inlineStr">
        <is>
          <t>Amaanuddin_Ahmed_Resume.pdf</t>
        </is>
      </c>
      <c r="Y85" t="inlineStr">
        <is>
          <t>2026-10-02</t>
        </is>
      </c>
      <c r="Z85" t="inlineStr">
        <is>
          <t>General software development internship aligns with target roles.</t>
        </is>
      </c>
      <c r="AA85" t="inlineStr">
        <is>
          <t>No</t>
        </is>
      </c>
      <c r="AB85" t="inlineStr">
        <is>
          <t>Job location is Chennai, Tamil Nadu, while preferred location is Bengaluru, India (or remote).</t>
        </is>
      </c>
      <c r="AC85" t="inlineStr">
        <is>
          <t>Unknown</t>
        </is>
      </c>
      <c r="AD85" t="inlineStr">
        <is>
          <t>Availability not explicitly specified in JD.</t>
        </is>
      </c>
      <c r="AE85" t="inlineStr">
        <is>
          <t>UNKNOWN</t>
        </is>
      </c>
      <c r="AF85" t="n">
        <v>0</v>
      </c>
      <c r="AG85" t="inlineStr">
        <is>
          <t>No</t>
        </is>
      </c>
      <c r="AH85" t="inlineStr">
        <is>
          <t>No</t>
        </is>
      </c>
      <c r="AI85" t="inlineStr">
        <is>
          <t>No mention of PPO or conversion.</t>
        </is>
      </c>
      <c r="AJ85" t="inlineStr">
        <is>
          <t>Location mismatch: Job is in Chennai, candidate prefers Bengaluru.</t>
        </is>
      </c>
      <c r="AK85" t="inlineStr">
        <is>
          <t>Stipend not disclosed; Location is Chennai</t>
        </is>
      </c>
      <c r="AL85" t="inlineStr">
        <is>
          <t>Software Development Lifecycle; API Design and Database Management; Debugging and Performance Tuning</t>
        </is>
      </c>
    </row>
    <row r="86">
      <c r="A86" t="inlineStr">
        <is>
          <t>EASTENCHER-S-261002-85</t>
        </is>
      </c>
      <c r="B86" t="inlineStr">
        <is>
          <t>Eastencher software</t>
        </is>
      </c>
      <c r="C86" t="inlineStr">
        <is>
          <t>Software Developer Intern</t>
        </is>
      </c>
      <c r="D86" t="inlineStr">
        <is>
          <t>https://www.adzuna.in/details/5845821068?utm_medium=api&amp;utm_source=5ccdc27f</t>
        </is>
      </c>
      <c r="E86" t="inlineStr">
        <is>
          <t>AI Analyzer</t>
        </is>
      </c>
      <c r="F86" t="inlineStr">
        <is>
          <t>Bangalore Rural, Karnataka</t>
        </is>
      </c>
      <c r="G86" t="inlineStr">
        <is>
          <t>On-site</t>
        </is>
      </c>
      <c r="H86" t="inlineStr">
        <is>
          <t>9,500 per month Including PF Benefits</t>
        </is>
      </c>
      <c r="I86" t="inlineStr">
        <is>
          <t>8 Months</t>
        </is>
      </c>
      <c r="J86" t="inlineStr">
        <is>
          <t>NOT_MENTIONED</t>
        </is>
      </c>
      <c r="M86" t="inlineStr">
        <is>
          <t>Software Developer Intern Duration 8 Months Stipend 9 500 per month Including PF Benefits Location Bangalore Start Date Immediate Joiners Preferred About the Role We are looking for a passionate and enthusiastic Software Developer Intern to join our development team This internship is an excellent opportunity for candidates who are eager to gain handson experience in software development while working on realtime projects under the guidance of experienced professionals Key Responsibilities Assi…</t>
        </is>
      </c>
      <c r="N86" t="n">
        <v>61</v>
      </c>
      <c r="O86" t="n">
        <v>70</v>
      </c>
      <c r="P86" t="n">
        <v>80</v>
      </c>
      <c r="Q86" t="n">
        <v>80</v>
      </c>
      <c r="R86" t="n">
        <v>40</v>
      </c>
      <c r="S86" t="n">
        <v>10</v>
      </c>
      <c r="T86" t="n">
        <v>50</v>
      </c>
      <c r="U86" t="inlineStr">
        <is>
          <t>STRETCH</t>
        </is>
      </c>
      <c r="V86" t="inlineStr">
        <is>
          <t>STRETCH</t>
        </is>
      </c>
      <c r="X86" t="inlineStr">
        <is>
          <t>Amaanuddin_Ahmed_Resume.pdf</t>
        </is>
      </c>
      <c r="Y86" t="inlineStr">
        <is>
          <t>2026-10-02</t>
        </is>
      </c>
      <c r="Z86" t="inlineStr">
        <is>
          <t>Matches the desired Software Developer Intern role and Bengaluru location.</t>
        </is>
      </c>
      <c r="AA86" t="inlineStr">
        <is>
          <t>ELIGIBLE</t>
        </is>
      </c>
      <c r="AB86" t="inlineStr">
        <is>
          <t>Candidate is based in Bengaluru, matching the location requirement.</t>
        </is>
      </c>
      <c r="AC86" t="inlineStr">
        <is>
          <t>UNKNOWN</t>
        </is>
      </c>
      <c r="AD86" t="inlineStr">
        <is>
          <t>Immediate joiner preference is stated in the JD, but exact availability date needs verification.</t>
        </is>
      </c>
      <c r="AE86" t="inlineStr">
        <is>
          <t>DISCLOSED</t>
        </is>
      </c>
      <c r="AF86" t="n">
        <v>9500</v>
      </c>
      <c r="AG86" t="inlineStr">
        <is>
          <t>Yes</t>
        </is>
      </c>
      <c r="AH86" t="inlineStr">
        <is>
          <t>NOT_MENTIONED</t>
        </is>
      </c>
      <c r="AI86" t="inlineStr">
        <is>
          <t>No mention of PPO or conversion in the job description text.</t>
        </is>
      </c>
      <c r="AK86" t="inlineStr">
        <is>
          <t>Stipend of ₹9,500 per month is significantly below the candidate's minimum target of ₹25,000/month.</t>
        </is>
      </c>
      <c r="AL86" t="inlineStr">
        <is>
          <t>General software development fundamentals; Past internship experience and projects; Availability for immediate joining</t>
        </is>
      </c>
    </row>
    <row r="87">
      <c r="A87" t="inlineStr">
        <is>
          <t>MIND-MERGE-S-261002-86</t>
        </is>
      </c>
      <c r="B87" t="inlineStr">
        <is>
          <t>Mind Merge Soft Tech Private Limited</t>
        </is>
      </c>
      <c r="C87" t="inlineStr">
        <is>
          <t>Software Developer Intern</t>
        </is>
      </c>
      <c r="D87" t="inlineStr">
        <is>
          <t>https://www.adzuna.in/details/5827200255?utm_medium=api&amp;utm_source=5ccdc27f</t>
        </is>
      </c>
      <c r="E87" t="inlineStr">
        <is>
          <t>AI Analyzer</t>
        </is>
      </c>
      <c r="F87" t="inlineStr">
        <is>
          <t>Hyderabad, Telangana</t>
        </is>
      </c>
      <c r="G87" t="inlineStr">
        <is>
          <t>On-site</t>
        </is>
      </c>
      <c r="H87" t="inlineStr">
        <is>
          <t>Not specified</t>
        </is>
      </c>
      <c r="I87" t="inlineStr">
        <is>
          <t>UNKNOWN</t>
        </is>
      </c>
      <c r="J87" t="inlineStr">
        <is>
          <t>UNKNOWN</t>
        </is>
      </c>
      <c r="M87" t="inlineStr">
        <is>
          <t>Company Description Mind Merge Soft Tech Private Limited is a technologydriven company that delivers innovative scalable and resultoriented digital solutions to businesses startups institutions and enterprises The organization specializes in custom software development enterprise applications AIpowered systems cloud technologies and automation solutions that improve efficiency and support growth Its expertise spans web and mobile app development SaaS products ERP systems CRM and business automa…</t>
        </is>
      </c>
      <c r="N87" t="n">
        <v>36</v>
      </c>
      <c r="O87" t="n">
        <v>50</v>
      </c>
      <c r="P87" t="n">
        <v>50</v>
      </c>
      <c r="Q87" t="n">
        <v>60</v>
      </c>
      <c r="R87" t="n">
        <v>0</v>
      </c>
      <c r="S87" t="n">
        <v>0</v>
      </c>
      <c r="T87" t="n">
        <v>20</v>
      </c>
      <c r="U87" t="inlineStr">
        <is>
          <t>SKIP</t>
        </is>
      </c>
      <c r="V87" t="inlineStr">
        <is>
          <t>SKIP</t>
        </is>
      </c>
      <c r="X87" t="inlineStr">
        <is>
          <t>Full_Stack_Developer_Resume</t>
        </is>
      </c>
      <c r="Y87" t="inlineStr">
        <is>
          <t>2026-10-02</t>
        </is>
      </c>
      <c r="Z87" t="inlineStr">
        <is>
          <t>It is an internship role aligned with software development.</t>
        </is>
      </c>
      <c r="AA87" t="inlineStr">
        <is>
          <t>ELIGIBLE</t>
        </is>
      </c>
      <c r="AB87" t="inlineStr">
        <is>
          <t>No hard degree or experience blockers mentioned in the description.</t>
        </is>
      </c>
      <c r="AC87" t="inlineStr">
        <is>
          <t>UNKNOWN</t>
        </is>
      </c>
      <c r="AD87" t="inlineStr">
        <is>
          <t>Availability not explicitly specified in the job description.</t>
        </is>
      </c>
      <c r="AE87" t="inlineStr">
        <is>
          <t>UNKNOWN</t>
        </is>
      </c>
      <c r="AF87" t="n">
        <v>0</v>
      </c>
      <c r="AG87" t="inlineStr">
        <is>
          <t>No</t>
        </is>
      </c>
      <c r="AH87" t="inlineStr">
        <is>
          <t>UNKNOWN</t>
        </is>
      </c>
      <c r="AI87" t="inlineStr">
        <is>
          <t>No mention of a PPO or conversion in the job description.</t>
        </is>
      </c>
      <c r="AK87" t="inlineStr">
        <is>
          <t>Extremely vague job description with no specific technology stack, stipend, or requirements mentioned.</t>
        </is>
      </c>
      <c r="AL87" t="inlineStr">
        <is>
          <t>General software development principles; Past internship projects and tech stack experience; Problem-solving and adaptability</t>
        </is>
      </c>
    </row>
    <row r="88">
      <c r="A88" t="inlineStr">
        <is>
          <t>RD-AND-X-NET-261002-87</t>
        </is>
      </c>
      <c r="B88" t="inlineStr">
        <is>
          <t>RD and X Network</t>
        </is>
      </c>
      <c r="C88" t="inlineStr">
        <is>
          <t>Java Software Development Intern</t>
        </is>
      </c>
      <c r="D88" t="inlineStr">
        <is>
          <t>https://www.adzuna.in/details/5885446733?utm_medium=api&amp;utm_source=5ccdc27f</t>
        </is>
      </c>
      <c r="E88" t="inlineStr">
        <is>
          <t>AI Analyzer</t>
        </is>
      </c>
      <c r="F88" t="inlineStr">
        <is>
          <t>Gurgaon, India</t>
        </is>
      </c>
      <c r="G88" t="inlineStr">
        <is>
          <t>Hybrid</t>
        </is>
      </c>
      <c r="H88" t="inlineStr">
        <is>
          <t>Not specified</t>
        </is>
      </c>
      <c r="I88" t="inlineStr">
        <is>
          <t>UNKNOWN</t>
        </is>
      </c>
      <c r="J88" t="inlineStr">
        <is>
          <t>NOT MENTIONED</t>
        </is>
      </c>
      <c r="K88" t="inlineStr">
        <is>
          <t>Java</t>
        </is>
      </c>
      <c r="M88" t="inlineStr">
        <is>
          <t>Role Java Software Development Intern Location Gurgaon India About the company Founded by entrepreneur Rajiv Dingra ReBid is a technology company offering transformational martech adtech and deep tech products and solutions to drive creative media data and business transformation helping global businesses become realtime disruptive and thereby achieve exponential growth We are a geography agnostic hybrid work culture and agile company which is focused on a forwardlooking work culture We have so…</t>
        </is>
      </c>
      <c r="N88" t="n">
        <v>36</v>
      </c>
      <c r="O88" t="n">
        <v>40</v>
      </c>
      <c r="P88" t="n">
        <v>60</v>
      </c>
      <c r="Q88" t="n">
        <v>50</v>
      </c>
      <c r="R88" t="n">
        <v>0</v>
      </c>
      <c r="S88" t="n">
        <v>0</v>
      </c>
      <c r="T88" t="n">
        <v>50</v>
      </c>
      <c r="U88" t="inlineStr">
        <is>
          <t>SKIP</t>
        </is>
      </c>
      <c r="V88" t="inlineStr">
        <is>
          <t>SKIP</t>
        </is>
      </c>
      <c r="W88" t="inlineStr">
        <is>
          <t>Java</t>
        </is>
      </c>
      <c r="X88" t="inlineStr">
        <is>
          <t>Amaanuddin_Ahmed_Resume.pdf</t>
        </is>
      </c>
      <c r="Y88" t="inlineStr">
        <is>
          <t>2026-10-02</t>
        </is>
      </c>
      <c r="Z88" t="inlineStr">
        <is>
          <t>Provides an opportunity to gain software development internship experience.</t>
        </is>
      </c>
      <c r="AA88" t="inlineStr">
        <is>
          <t>ELIGIBLE</t>
        </is>
      </c>
      <c r="AB88" t="inlineStr">
        <is>
          <t>Candidate is pursuing MCA (2025-2027) and is eligible for software development internships.</t>
        </is>
      </c>
      <c r="AC88" t="inlineStr">
        <is>
          <t>UNKNOWN</t>
        </is>
      </c>
      <c r="AD88" t="inlineStr">
        <is>
          <t>Not specified in the job description.</t>
        </is>
      </c>
      <c r="AE88" t="inlineStr">
        <is>
          <t>UNKNOWN</t>
        </is>
      </c>
      <c r="AF88" t="n">
        <v>0</v>
      </c>
      <c r="AG88" t="inlineStr">
        <is>
          <t>No</t>
        </is>
      </c>
      <c r="AH88" t="inlineStr">
        <is>
          <t>NOT MENTIONED</t>
        </is>
      </c>
      <c r="AI88" t="inlineStr">
        <is>
          <t>No mention of PPO or full-time conversion in the description.</t>
        </is>
      </c>
      <c r="AK88" t="inlineStr">
        <is>
          <t>Stipend is not disclosed; Location is Gurgaon, while candidate prefers Bengaluru</t>
        </is>
      </c>
      <c r="AL88" t="inlineStr">
        <is>
          <t>Core Java concepts; Object-Oriented Programming principles; Backend development experience</t>
        </is>
      </c>
    </row>
    <row r="89">
      <c r="A89" t="inlineStr">
        <is>
          <t>KPMG-INDIA-S-261002-88</t>
        </is>
      </c>
      <c r="B89" t="inlineStr">
        <is>
          <t>Kpmg India Services Llp</t>
        </is>
      </c>
      <c r="C89" t="inlineStr">
        <is>
          <t>Software Developer Intern to Analyst</t>
        </is>
      </c>
      <c r="D89" t="inlineStr">
        <is>
          <t>https://www.adzuna.in/details/5808698575?utm_medium=api&amp;utm_source=5ccdc27f</t>
        </is>
      </c>
      <c r="E89" t="inlineStr">
        <is>
          <t>AI Analyzer</t>
        </is>
      </c>
      <c r="F89" t="inlineStr">
        <is>
          <t>Bangalore, Karnataka</t>
        </is>
      </c>
      <c r="G89" t="inlineStr">
        <is>
          <t>Not specified</t>
        </is>
      </c>
      <c r="H89" t="inlineStr">
        <is>
          <t>Not specified</t>
        </is>
      </c>
      <c r="I89" t="inlineStr">
        <is>
          <t>Not specified</t>
        </is>
      </c>
      <c r="J89" t="inlineStr">
        <is>
          <t>not mentioned</t>
        </is>
      </c>
      <c r="K89" t="inlineStr">
        <is>
          <t>Java; Spring Boot; Python; FastAPI; APIs</t>
        </is>
      </c>
      <c r="M89" t="inlineStr">
        <is>
          <t>Interns to Analyst Mandatory Skills Bachelors or higher degree in Computer Science or a related discipline Experience in Developing APIs using Java Language and Spring Boot framework or Python with Fast API Flexible and proactive selfmotivated working style with strong personal ownership of problem resolution Excellent communicator written and verbal formal and informal Must be a team player and enjoy working in a cooperative and collaborative team environment Experience working with other engi…</t>
        </is>
      </c>
      <c r="N89" t="n">
        <v>51</v>
      </c>
      <c r="O89" t="n">
        <v>40</v>
      </c>
      <c r="P89" t="n">
        <v>60</v>
      </c>
      <c r="Q89" t="n">
        <v>70</v>
      </c>
      <c r="R89" t="n">
        <v>50</v>
      </c>
      <c r="S89" t="n">
        <v>30</v>
      </c>
      <c r="T89" t="n">
        <v>60</v>
      </c>
      <c r="U89" t="inlineStr">
        <is>
          <t>SKIP</t>
        </is>
      </c>
      <c r="V89" t="inlineStr">
        <is>
          <t>SKIP</t>
        </is>
      </c>
      <c r="W89" t="inlineStr">
        <is>
          <t>Java; Spring Boot; Python; FastAPI</t>
        </is>
      </c>
      <c r="X89" t="inlineStr">
        <is>
          <t>Amaanuddin_Ahmed_Resume_General.pdf</t>
        </is>
      </c>
      <c r="Y89" t="inlineStr">
        <is>
          <t>2026-10-02</t>
        </is>
      </c>
      <c r="Z89" t="inlineStr">
        <is>
          <t>Located in Bangalore; Software Developer Intern role aligns with target roles</t>
        </is>
      </c>
      <c r="AA89" t="inlineStr">
        <is>
          <t>eligible</t>
        </is>
      </c>
      <c r="AB89" t="inlineStr">
        <is>
          <t>Candidate has a Bachelors or higher degree context (MCA ongoing) in Computer Science or related discipline; Location is Bangalore, matching preferred location</t>
        </is>
      </c>
      <c r="AC89" t="inlineStr">
        <is>
          <t>unknown</t>
        </is>
      </c>
      <c r="AD89" t="inlineStr">
        <is>
          <t>Candidate availability dates are not specified in the career brain relative to the start date</t>
        </is>
      </c>
      <c r="AE89" t="inlineStr">
        <is>
          <t>UNKNOWN</t>
        </is>
      </c>
      <c r="AF89" t="n">
        <v>0</v>
      </c>
      <c r="AG89" t="inlineStr">
        <is>
          <t>No</t>
        </is>
      </c>
      <c r="AH89" t="inlineStr">
        <is>
          <t>not mentioned</t>
        </is>
      </c>
      <c r="AI89" t="inlineStr">
        <is>
          <t>Job description mentions intern to analyst career path but does not explicitly guarantee conversion or PPO terms</t>
        </is>
      </c>
      <c r="AK89" t="inlineStr">
        <is>
          <t>Stipend is not disclosed</t>
        </is>
      </c>
      <c r="AL89" t="inlineStr">
        <is>
          <t>Java and Spring Boot API development; Python FastAPI experience; System design and collaborative team workflows</t>
        </is>
      </c>
    </row>
    <row r="90">
      <c r="A90" t="inlineStr">
        <is>
          <t>TECHAVIDUS-261002-89</t>
        </is>
      </c>
      <c r="B90" t="inlineStr">
        <is>
          <t>Techavidus</t>
        </is>
      </c>
      <c r="C90" t="inlineStr">
        <is>
          <t>Software Developer Intern Trainee</t>
        </is>
      </c>
      <c r="D90" t="inlineStr">
        <is>
          <t>https://www.adzuna.in/details/5827200227?utm_medium=api&amp;utm_source=5ccdc27f</t>
        </is>
      </c>
      <c r="E90" t="inlineStr">
        <is>
          <t>AI Analyzer</t>
        </is>
      </c>
      <c r="F90" t="inlineStr">
        <is>
          <t>Gandhinagar, Gujarat</t>
        </is>
      </c>
      <c r="G90" t="inlineStr">
        <is>
          <t>UNKNOWN</t>
        </is>
      </c>
      <c r="H90" t="inlineStr">
        <is>
          <t>Not specified</t>
        </is>
      </c>
      <c r="I90" t="inlineStr">
        <is>
          <t>UNKNOWN</t>
        </is>
      </c>
      <c r="J90" t="inlineStr">
        <is>
          <t>UNKNOWN</t>
        </is>
      </c>
      <c r="K90" t="inlineStr">
        <is>
          <t>Asp Net MVC Core; Node JS; Java; Angular; React JS; Web Designing</t>
        </is>
      </c>
      <c r="M90" t="inlineStr">
        <is>
          <t>Education Graduation or Post Graduation in IT Job Summary Intern Requirements A final year Student or Recent Graduate in Computer Science Software Engineering or related area Knowledge of various programming languages Selfmotivated and resultsoriented Ability to interact with crossfunctional teams Strong problemsolving abilities Ability to work in a fastpaced environment Interns Required for the Technologies is Asp Net MVC Core Node JS Java Angular React JS Web Designing</t>
        </is>
      </c>
      <c r="N90" t="n">
        <v>62</v>
      </c>
      <c r="O90" t="n">
        <v>70</v>
      </c>
      <c r="P90" t="n">
        <v>75</v>
      </c>
      <c r="Q90" t="n">
        <v>80</v>
      </c>
      <c r="R90" t="n">
        <v>40</v>
      </c>
      <c r="S90" t="n">
        <v>30</v>
      </c>
      <c r="T90" t="n">
        <v>50</v>
      </c>
      <c r="U90" t="inlineStr">
        <is>
          <t>STRETCH</t>
        </is>
      </c>
      <c r="V90" t="inlineStr">
        <is>
          <t>STRETCH</t>
        </is>
      </c>
      <c r="W90" t="inlineStr">
        <is>
          <t>Asp Net MVC Core; Web Designing</t>
        </is>
      </c>
      <c r="X90" t="inlineStr">
        <is>
          <t>Amaanuddin_Ahmed_Resume.pdf</t>
        </is>
      </c>
      <c r="Y90" t="inlineStr">
        <is>
          <t>2026-10-02</t>
        </is>
      </c>
      <c r="Z90" t="inlineStr">
        <is>
          <t>Matches target role of Software Developer Intern.; Requires Node.js, Angular, and React.js, which are demonstrated skills.</t>
        </is>
      </c>
      <c r="AA90" t="inlineStr">
        <is>
          <t>ELIGIBLE</t>
        </is>
      </c>
      <c r="AB90" t="inlineStr">
        <is>
          <t>Final year student or recent graduate in computer science or related area matches MCA program status.</t>
        </is>
      </c>
      <c r="AC90" t="inlineStr">
        <is>
          <t>UNKNOWN</t>
        </is>
      </c>
      <c r="AD90" t="inlineStr">
        <is>
          <t>Exact joining dates and availability window are not specified in the JD.</t>
        </is>
      </c>
      <c r="AE90" t="inlineStr">
        <is>
          <t>UNKNOWN</t>
        </is>
      </c>
      <c r="AF90" t="n">
        <v>0</v>
      </c>
      <c r="AG90" t="inlineStr">
        <is>
          <t>No</t>
        </is>
      </c>
      <c r="AH90" t="inlineStr">
        <is>
          <t>UNKNOWN</t>
        </is>
      </c>
      <c r="AI90" t="inlineStr">
        <is>
          <t>No mention of conversion or PPO in the job description.</t>
        </is>
      </c>
      <c r="AK90" t="inlineStr">
        <is>
          <t>Location is Gandhinagar, Gujarat, which conflicts with preferred location Bengaluru.; Stipend is undisclosed, likely below the minimum target of ₹25,000/month.; No PPO information provided.</t>
        </is>
      </c>
      <c r="AL90" t="inlineStr">
        <is>
          <t>Node.js and Express architecture; Angular framework components and routing; React.js state management; C# / ASP.NET MVC Core fundamentals (working knowledge)</t>
        </is>
      </c>
    </row>
    <row r="91">
      <c r="A91" t="inlineStr">
        <is>
          <t>VIRTUAL-INTE-261002-90</t>
        </is>
      </c>
      <c r="B91" t="inlineStr">
        <is>
          <t>Virtual Internships</t>
        </is>
      </c>
      <c r="C91" t="inlineStr">
        <is>
          <t>Software Development Intern Vijayapura</t>
        </is>
      </c>
      <c r="D91" t="inlineStr">
        <is>
          <t>https://www.adzuna.in/details/5885446753?utm_medium=api&amp;utm_source=5ccdc27f</t>
        </is>
      </c>
      <c r="E91" t="inlineStr">
        <is>
          <t>AI Analyzer</t>
        </is>
      </c>
      <c r="F91" t="inlineStr">
        <is>
          <t>Vijayapura, India</t>
        </is>
      </c>
      <c r="G91" t="inlineStr">
        <is>
          <t>Remote</t>
        </is>
      </c>
      <c r="H91" t="inlineStr">
        <is>
          <t>Not specified</t>
        </is>
      </c>
      <c r="I91" t="inlineStr">
        <is>
          <t>Unknown</t>
        </is>
      </c>
      <c r="J91" t="inlineStr">
        <is>
          <t>NOT_MENTIONED</t>
        </is>
      </c>
      <c r="K91" t="inlineStr">
        <is>
          <t>Software Development</t>
        </is>
      </c>
      <c r="M91" t="inlineStr">
        <is>
          <t>About Virtual Internships Were on an ambitious and challenging mission to provide guaranteed internships to anyone anytime anywhereno one else is doing this at our scale Regardless of background major location or career field every student can gain invaluable experience at cuttingedge companies worldwide significantly enhancing their employability and career readiness Trusted by universities governments foundations and online education institutions were transforming learners lives globally 14 3…</t>
        </is>
      </c>
      <c r="N91" t="n">
        <v>40</v>
      </c>
      <c r="O91" t="n">
        <v>50</v>
      </c>
      <c r="P91" t="n">
        <v>60</v>
      </c>
      <c r="Q91" t="n">
        <v>60</v>
      </c>
      <c r="R91" t="n">
        <v>0</v>
      </c>
      <c r="S91" t="n">
        <v>0</v>
      </c>
      <c r="T91" t="n">
        <v>40</v>
      </c>
      <c r="U91" t="inlineStr">
        <is>
          <t>SKIP</t>
        </is>
      </c>
      <c r="V91" t="inlineStr">
        <is>
          <t>SKIP</t>
        </is>
      </c>
      <c r="X91" t="inlineStr">
        <is>
          <t>Standard Full Stack Resume</t>
        </is>
      </c>
      <c r="Y91" t="inlineStr">
        <is>
          <t>2026-10-02</t>
        </is>
      </c>
      <c r="Z91" t="inlineStr">
        <is>
          <t>Matches target internship role.</t>
        </is>
      </c>
      <c r="AA91" t="inlineStr">
        <is>
          <t>ELIGIBLE</t>
        </is>
      </c>
      <c r="AB91" t="inlineStr">
        <is>
          <t>Open to students seeking global internships.</t>
        </is>
      </c>
      <c r="AC91" t="inlineStr">
        <is>
          <t>UNKNOWN</t>
        </is>
      </c>
      <c r="AD91" t="inlineStr">
        <is>
          <t>Availability not explicitly specified in the job description.</t>
        </is>
      </c>
      <c r="AE91" t="inlineStr">
        <is>
          <t>UNKNOWN</t>
        </is>
      </c>
      <c r="AF91" t="n">
        <v>0</v>
      </c>
      <c r="AG91" t="inlineStr">
        <is>
          <t>No</t>
        </is>
      </c>
      <c r="AH91" t="inlineStr">
        <is>
          <t>NOT_MENTIONED</t>
        </is>
      </c>
      <c r="AI91" t="inlineStr">
        <is>
          <t>No mention of PPO or conversion.</t>
        </is>
      </c>
      <c r="AK91" t="inlineStr">
        <is>
          <t>Vague job description text with no specific technical stack requirements provided.</t>
        </is>
      </c>
      <c r="AL91" t="inlineStr">
        <is>
          <t>General software development background; Internship availability; Previous full stack projects</t>
        </is>
      </c>
    </row>
    <row r="92">
      <c r="A92" t="inlineStr">
        <is>
          <t>RADICAL-TECH-261002-91</t>
        </is>
      </c>
      <c r="B92" t="inlineStr">
        <is>
          <t>Radical Technologies</t>
        </is>
      </c>
      <c r="C92" t="inlineStr">
        <is>
          <t>Software Developer Intern</t>
        </is>
      </c>
      <c r="D92" t="inlineStr">
        <is>
          <t>https://www.adzuna.in/details/5827200307?utm_medium=api&amp;utm_source=5ccdc27f</t>
        </is>
      </c>
      <c r="E92" t="inlineStr">
        <is>
          <t>AI Analyzer</t>
        </is>
      </c>
      <c r="F92" t="inlineStr">
        <is>
          <t>Pune, Maharashtra</t>
        </is>
      </c>
      <c r="G92" t="inlineStr">
        <is>
          <t>Onsite</t>
        </is>
      </c>
      <c r="H92" t="inlineStr">
        <is>
          <t>₹5000 per month</t>
        </is>
      </c>
      <c r="I92" t="inlineStr">
        <is>
          <t>6 Months</t>
        </is>
      </c>
      <c r="J92" t="inlineStr">
        <is>
          <t>Not Mentioned</t>
        </is>
      </c>
      <c r="K92" t="inlineStr">
        <is>
          <t>React.js; Next.js; Node.js; React Native</t>
        </is>
      </c>
      <c r="M92" t="inlineStr">
        <is>
          <t>Apply before Job Title Software Developer Intern Backend Mobile Openings React js Next js Node js React Native Employment Type Internship Onsite Duration 6 Months Stipend 5000 per month Location Pune About the Chance We are hiring Software Developer Interns for multiple roles across Frontend Backend and Mobile Application Development This 6month fulltime onsite internship offers handson experience working on live production projects using modern web and mobile technologies Available Roles Skill…</t>
        </is>
      </c>
      <c r="N92" t="n">
        <v>44</v>
      </c>
      <c r="O92" t="n">
        <v>50</v>
      </c>
      <c r="P92" t="n">
        <v>60</v>
      </c>
      <c r="Q92" t="n">
        <v>70</v>
      </c>
      <c r="R92" t="n">
        <v>0</v>
      </c>
      <c r="S92" t="n">
        <v>20</v>
      </c>
      <c r="T92" t="n">
        <v>40</v>
      </c>
      <c r="U92" t="inlineStr">
        <is>
          <t>SKIP</t>
        </is>
      </c>
      <c r="V92" t="inlineStr">
        <is>
          <t>SKIP</t>
        </is>
      </c>
      <c r="W92" t="inlineStr">
        <is>
          <t>React.js; Next.js; React Native</t>
        </is>
      </c>
      <c r="X92" t="inlineStr">
        <is>
          <t>Amaan_Ahmed_Resume.pdf</t>
        </is>
      </c>
      <c r="Y92" t="inlineStr">
        <is>
          <t>2026-10-02</t>
        </is>
      </c>
      <c r="Z92" t="inlineStr">
        <is>
          <t>Provides hands-on internship experience in full stack / backend development.</t>
        </is>
      </c>
      <c r="AA92" t="inlineStr">
        <is>
          <t>Eligible</t>
        </is>
      </c>
      <c r="AC92" t="inlineStr">
        <is>
          <t>Unknown</t>
        </is>
      </c>
      <c r="AD92" t="inlineStr">
        <is>
          <t>Availability is not specified in the career brain relative to this specific start date or transition.</t>
        </is>
      </c>
      <c r="AE92" t="inlineStr">
        <is>
          <t>Below Target</t>
        </is>
      </c>
      <c r="AF92" t="n">
        <v>5000</v>
      </c>
      <c r="AG92" t="inlineStr">
        <is>
          <t>No</t>
        </is>
      </c>
      <c r="AH92" t="inlineStr">
        <is>
          <t>Not Mentioned</t>
        </is>
      </c>
      <c r="AI92" t="inlineStr">
        <is>
          <t>The job description does not mention PPO or conversion opportunities.</t>
        </is>
      </c>
      <c r="AJ92" t="inlineStr">
        <is>
          <t>Location requirement is Pune, but candidate prefers Bengaluru, India (onsite 6-month internship in Pune requires relocation).</t>
        </is>
      </c>
      <c r="AK92" t="inlineStr">
        <is>
          <t>Stipend of ₹5,000 per month is significantly below the candidate's minimum target of ₹25,000 per month.</t>
        </is>
      </c>
      <c r="AL92" t="inlineStr">
        <is>
          <t>Node.js and Express fundamentals; REST API development; JavaScript asynchronous programming</t>
        </is>
      </c>
    </row>
    <row r="93">
      <c r="A93" t="inlineStr">
        <is>
          <t>IRAGE-261002-92</t>
        </is>
      </c>
      <c r="B93" t="inlineStr">
        <is>
          <t>iRage</t>
        </is>
      </c>
      <c r="C93" t="inlineStr">
        <is>
          <t>Software Developer Intern LowLatency Systems</t>
        </is>
      </c>
      <c r="D93" t="inlineStr">
        <is>
          <t>https://www.adzuna.in/details/5885446725?utm_medium=api&amp;utm_source=5ccdc27f</t>
        </is>
      </c>
      <c r="E93" t="inlineStr">
        <is>
          <t>AI Analyzer</t>
        </is>
      </c>
      <c r="F93" t="inlineStr">
        <is>
          <t>Mumbai, Maharashtra</t>
        </is>
      </c>
      <c r="G93" t="inlineStr">
        <is>
          <t>On-site</t>
        </is>
      </c>
      <c r="I93" t="inlineStr">
        <is>
          <t>UNKNOWN</t>
        </is>
      </c>
      <c r="J93" t="inlineStr">
        <is>
          <t>Not Mentioned</t>
        </is>
      </c>
      <c r="K93" t="inlineStr">
        <is>
          <t>C; Go; Low-latency systems; High-frequency trading infrastructure; Algorithms; Data structures</t>
        </is>
      </c>
      <c r="M93" t="inlineStr">
        <is>
          <t>About the role iRage is hiring a Software Developer Intern to work on lowlatency systems and highfrequency trading infrastructure in Mumbai The role involves optimizing trading infrastructure using C Go and working on realtime data processing networking and performance tuning It is suited for candidates passionate about algorithms data structures and lowlatency system design How to Apply Apply through the iRage application form ResponsibilitiesOptimize highfrequency trading infrastructure in C …</t>
        </is>
      </c>
      <c r="N93" t="n">
        <v>21</v>
      </c>
      <c r="O93" t="n">
        <v>20</v>
      </c>
      <c r="P93" t="n">
        <v>30</v>
      </c>
      <c r="Q93" t="n">
        <v>25</v>
      </c>
      <c r="R93" t="n">
        <v>0</v>
      </c>
      <c r="S93" t="n">
        <v>0</v>
      </c>
      <c r="T93" t="n">
        <v>50</v>
      </c>
      <c r="U93" t="inlineStr">
        <is>
          <t>SKIP</t>
        </is>
      </c>
      <c r="V93" t="inlineStr">
        <is>
          <t>SKIP</t>
        </is>
      </c>
      <c r="W93" t="inlineStr">
        <is>
          <t>C; Go; Low-latency systems; High-frequency trading infrastructure</t>
        </is>
      </c>
      <c r="X93" t="inlineStr">
        <is>
          <t>Amaanuddin_Ahmed_Resume.pdf</t>
        </is>
      </c>
      <c r="Y93" t="inlineStr">
        <is>
          <t>2026-10-02</t>
        </is>
      </c>
      <c r="AA93" t="inlineStr">
        <is>
          <t>Ineligible</t>
        </is>
      </c>
      <c r="AB93" t="inlineStr">
        <is>
          <t>Location mismatch: Job is in Mumbai, Maharashtra while candidate prefers Bengaluru (or remote).; Core technology mismatch: Role requires low-latency systems development using C and Go, whereas candidate's primary expertise is in Full Stack (Angular, Node.js, MERN).</t>
        </is>
      </c>
      <c r="AC93" t="inlineStr">
        <is>
          <t>Available</t>
        </is>
      </c>
      <c r="AD93" t="inlineStr">
        <is>
          <t>Available for internship during MCA program.</t>
        </is>
      </c>
      <c r="AE93" t="inlineStr">
        <is>
          <t>UNKNOWN</t>
        </is>
      </c>
      <c r="AF93" t="n">
        <v>0</v>
      </c>
      <c r="AG93" t="inlineStr">
        <is>
          <t>No</t>
        </is>
      </c>
      <c r="AH93" t="inlineStr">
        <is>
          <t>Not Mentioned</t>
        </is>
      </c>
      <c r="AI93" t="inlineStr">
        <is>
          <t>No mention of PPO or conversion in the job description snippet.</t>
        </is>
      </c>
      <c r="AJ93" t="inlineStr">
        <is>
          <t>Location mismatch (Mumbai vs Bengaluru preference); Core tech stack mismatch (Low-latency C/Go vs Full Stack MERN/Angular)</t>
        </is>
      </c>
      <c r="AK93" t="inlineStr">
        <is>
          <t>Stipend details not provided; Duration not specified</t>
        </is>
      </c>
      <c r="AL93" t="inlineStr">
        <is>
          <t>C memory management; Go concurrency; Low-latency networking and performance tuning</t>
        </is>
      </c>
    </row>
    <row r="94">
      <c r="A94" t="inlineStr">
        <is>
          <t>47CYBER-INTE-261002-93</t>
        </is>
      </c>
      <c r="B94" t="inlineStr">
        <is>
          <t>47cyber Intelligence Private Limited</t>
        </is>
      </c>
      <c r="C94" t="inlineStr">
        <is>
          <t>Software Developer Intern Python Dgo</t>
        </is>
      </c>
      <c r="D94" t="inlineStr">
        <is>
          <t>https://www.adzuna.in/details/5827200202?utm_medium=api&amp;utm_source=5ccdc27f</t>
        </is>
      </c>
      <c r="E94" t="inlineStr">
        <is>
          <t>AI Analyzer</t>
        </is>
      </c>
      <c r="F94" t="inlineStr">
        <is>
          <t>Bhopal, Madhya Pradesh</t>
        </is>
      </c>
      <c r="G94" t="inlineStr">
        <is>
          <t>Unknown</t>
        </is>
      </c>
      <c r="H94" t="inlineStr">
        <is>
          <t>Not specified</t>
        </is>
      </c>
      <c r="I94" t="inlineStr">
        <is>
          <t>Unknown</t>
        </is>
      </c>
      <c r="J94" t="inlineStr">
        <is>
          <t>not mentioned</t>
        </is>
      </c>
      <c r="K94" t="inlineStr">
        <is>
          <t>Python; Django; REST APIs; Databases; Automation tools; Secure web applications</t>
        </is>
      </c>
      <c r="M94" t="inlineStr">
        <is>
          <t>47CYBER Intelligence Private Limited is looking for a passionate and motivated Software Developer Intern to join our development team This internship is designed for students and recent graduates who are eager to gain handson experience by working on realworld software projects using modern technologies As a Software Developer Intern you will contribute to live projects involving Python Django REST APIs databases automation tools and secure web applications while working alongside experienced d…</t>
        </is>
      </c>
      <c r="N94" t="n">
        <v>37</v>
      </c>
      <c r="O94" t="n">
        <v>40</v>
      </c>
      <c r="P94" t="n">
        <v>50</v>
      </c>
      <c r="Q94" t="n">
        <v>60</v>
      </c>
      <c r="R94" t="n">
        <v>0</v>
      </c>
      <c r="S94" t="n">
        <v>20</v>
      </c>
      <c r="T94" t="n">
        <v>40</v>
      </c>
      <c r="U94" t="inlineStr">
        <is>
          <t>SKIP</t>
        </is>
      </c>
      <c r="V94" t="inlineStr">
        <is>
          <t>SKIP</t>
        </is>
      </c>
      <c r="W94" t="inlineStr">
        <is>
          <t>Python; Django; Automation tools</t>
        </is>
      </c>
      <c r="X94" t="inlineStr">
        <is>
          <t>Amaanuddin_Ahmed_Resume.pdf</t>
        </is>
      </c>
      <c r="Y94" t="inlineStr">
        <is>
          <t>2026-10-02</t>
        </is>
      </c>
      <c r="Z94" t="inlineStr">
        <is>
          <t>Gain hands-on experience in software development.</t>
        </is>
      </c>
      <c r="AA94" t="inlineStr">
        <is>
          <t>eligible</t>
        </is>
      </c>
      <c r="AB94" t="inlineStr">
        <is>
          <t>Open to students and recent graduates.</t>
        </is>
      </c>
      <c r="AC94" t="inlineStr">
        <is>
          <t>unknown</t>
        </is>
      </c>
      <c r="AD94" t="inlineStr">
        <is>
          <t>Not specified in the candidate profile.</t>
        </is>
      </c>
      <c r="AE94" t="inlineStr">
        <is>
          <t>UNKNOWN</t>
        </is>
      </c>
      <c r="AF94" t="n">
        <v>0</v>
      </c>
      <c r="AG94" t="inlineStr">
        <is>
          <t>No</t>
        </is>
      </c>
      <c r="AH94" t="inlineStr">
        <is>
          <t>not mentioned</t>
        </is>
      </c>
      <c r="AI94" t="inlineStr">
        <is>
          <t>No mention of PPO or conversion in the job description.</t>
        </is>
      </c>
      <c r="AK94" t="inlineStr">
        <is>
          <t>Location is Bhopal, Madhya Pradesh which does not match preferred location (Bengaluru).; Stipend is unknown and below target.</t>
        </is>
      </c>
      <c r="AL94" t="inlineStr">
        <is>
          <t>Python and Django fundamentals; REST API development; Database design and management</t>
        </is>
      </c>
    </row>
    <row r="95">
      <c r="A95" t="inlineStr">
        <is>
          <t>IXG-INC-261002-94</t>
        </is>
      </c>
      <c r="B95" t="inlineStr">
        <is>
          <t>IXG Inc</t>
        </is>
      </c>
      <c r="C95" t="inlineStr">
        <is>
          <t>AI-native Software Developer Intern</t>
        </is>
      </c>
      <c r="D95" t="inlineStr">
        <is>
          <t>https://www.adzuna.in/details/5605916596?utm_medium=api&amp;utm_source=5ccdc27f</t>
        </is>
      </c>
      <c r="E95" t="inlineStr">
        <is>
          <t>AI Analyzer</t>
        </is>
      </c>
      <c r="F95" t="inlineStr">
        <is>
          <t>Hyderabad, Telangana</t>
        </is>
      </c>
      <c r="G95" t="inlineStr">
        <is>
          <t>onsite</t>
        </is>
      </c>
      <c r="I95" t="inlineStr">
        <is>
          <t>not specified</t>
        </is>
      </c>
      <c r="J95" t="inlineStr">
        <is>
          <t>NOT_MENTIONED</t>
        </is>
      </c>
      <c r="K95" t="inlineStr">
        <is>
          <t>Software Development; AI Agents</t>
        </is>
      </c>
      <c r="M95" t="inlineStr">
        <is>
          <t>AI-Native Software Developer Intern Build real AI agents used daily across the company We’re looking for a high-agency, AI-native software developer intern to help us build internal AI agents that improve productivity across our entire company (80–100 people using them daily). You will ship real systems , used by real teams, with real impact. If you’ve never built anything outside coursework, this role is probably not a fit. What You’ll Work On You will work directly on designing, building, dep…</t>
        </is>
      </c>
      <c r="N95" t="n">
        <v>51</v>
      </c>
      <c r="O95" t="n">
        <v>50</v>
      </c>
      <c r="P95" t="n">
        <v>60</v>
      </c>
      <c r="Q95" t="n">
        <v>55</v>
      </c>
      <c r="R95" t="n">
        <v>40</v>
      </c>
      <c r="S95" t="n">
        <v>30</v>
      </c>
      <c r="T95" t="n">
        <v>70</v>
      </c>
      <c r="U95" t="inlineStr">
        <is>
          <t>SKIP</t>
        </is>
      </c>
      <c r="V95" t="inlineStr">
        <is>
          <t>SKIP</t>
        </is>
      </c>
      <c r="W95" t="inlineStr">
        <is>
          <t>AI Agent development</t>
        </is>
      </c>
      <c r="X95" t="inlineStr">
        <is>
          <t>Standard Full Stack Resume</t>
        </is>
      </c>
      <c r="Y95" t="inlineStr">
        <is>
          <t>2026-10-02</t>
        </is>
      </c>
      <c r="Z95" t="inlineStr">
        <is>
          <t>High-impact role building real systems for internal productivity.</t>
        </is>
      </c>
      <c r="AA95" t="inlineStr">
        <is>
          <t>ELIGIBLE</t>
        </is>
      </c>
      <c r="AB95" t="inlineStr">
        <is>
          <t>Candidate is an MCA student graduating in 2027 and fits internship criteria.</t>
        </is>
      </c>
      <c r="AC95" t="inlineStr">
        <is>
          <t>UNKNOWN</t>
        </is>
      </c>
      <c r="AD95" t="inlineStr">
        <is>
          <t>Exact joining availability dates not specified in career brain.</t>
        </is>
      </c>
      <c r="AE95" t="inlineStr">
        <is>
          <t>UNKNOWN</t>
        </is>
      </c>
      <c r="AF95" t="n">
        <v>0</v>
      </c>
      <c r="AG95" t="inlineStr">
        <is>
          <t>No</t>
        </is>
      </c>
      <c r="AH95" t="inlineStr">
        <is>
          <t>NOT_MENTIONED</t>
        </is>
      </c>
      <c r="AI95" t="inlineStr">
        <is>
          <t>Job description snippet does not mention conversion to full-time employment.</t>
        </is>
      </c>
      <c r="AK95" t="inlineStr">
        <is>
          <t>Location is Hyderabad, whereas candidate preferred location is Bengaluru.; Stipend is completely unspecified.</t>
        </is>
      </c>
      <c r="AL95" t="inlineStr">
        <is>
          <t>Building autonomous systems and agents; API integrations with LLMs or AI tools; Full-stack scaling and deployment</t>
        </is>
      </c>
    </row>
    <row r="96">
      <c r="A96" t="inlineStr">
        <is>
          <t>MXPERTZ-INFO-261002-95</t>
        </is>
      </c>
      <c r="B96" t="inlineStr">
        <is>
          <t>Mxpertz Infolabs</t>
        </is>
      </c>
      <c r="C96" t="inlineStr">
        <is>
          <t>Junior Software Development Intern Indore</t>
        </is>
      </c>
      <c r="D96" t="inlineStr">
        <is>
          <t>https://www.adzuna.in/details/5808698567?utm_medium=api&amp;utm_source=5ccdc27f</t>
        </is>
      </c>
      <c r="E96" t="inlineStr">
        <is>
          <t>AI Analyzer</t>
        </is>
      </c>
      <c r="F96" t="inlineStr">
        <is>
          <t>Indore, India</t>
        </is>
      </c>
      <c r="G96" t="inlineStr">
        <is>
          <t>In-office</t>
        </is>
      </c>
      <c r="H96" t="inlineStr">
        <is>
          <t>Not specified</t>
        </is>
      </c>
      <c r="I96" t="inlineStr">
        <is>
          <t>Not specified</t>
        </is>
      </c>
      <c r="J96" t="inlineStr">
        <is>
          <t>UNKNOWN</t>
        </is>
      </c>
      <c r="K96" t="inlineStr">
        <is>
          <t>Mobile App Development; Android; iOS</t>
        </is>
      </c>
      <c r="M96" t="inlineStr">
        <is>
          <t>Responsibilities Developing Mobile apps for android and Ios Coordinating with the project management team to understand clients requirements and fulfilling it Keeping yourself updated with recent developments in the field so as to add more value to the company Coordinating with the testing team to remove all the bugs and issues in the application Who Can Apply Are available for full time inoffice internship Are passionate about software development Graduates and post graduates with a relevant d…</t>
        </is>
      </c>
      <c r="N96" t="n">
        <v>18</v>
      </c>
      <c r="O96" t="n">
        <v>20</v>
      </c>
      <c r="P96" t="n">
        <v>20</v>
      </c>
      <c r="Q96" t="n">
        <v>30</v>
      </c>
      <c r="R96" t="n">
        <v>0</v>
      </c>
      <c r="S96" t="n">
        <v>0</v>
      </c>
      <c r="T96" t="n">
        <v>40</v>
      </c>
      <c r="U96" t="inlineStr">
        <is>
          <t>SKIP</t>
        </is>
      </c>
      <c r="V96" t="inlineStr">
        <is>
          <t>SKIP</t>
        </is>
      </c>
      <c r="W96" t="inlineStr">
        <is>
          <t>Mobile App Development; Android; iOS</t>
        </is>
      </c>
      <c r="X96" t="inlineStr">
        <is>
          <t>Amaanuddin_Ahmed_Resume.pdf</t>
        </is>
      </c>
      <c r="Y96" t="inlineStr">
        <is>
          <t>2026-10-02</t>
        </is>
      </c>
      <c r="AA96" t="inlineStr">
        <is>
          <t>ELIGIBLE</t>
        </is>
      </c>
      <c r="AB96" t="inlineStr">
        <is>
          <t>Graduates and post graduates are eligible</t>
        </is>
      </c>
      <c r="AC96" t="inlineStr">
        <is>
          <t>UNKNOWN</t>
        </is>
      </c>
      <c r="AD96" t="inlineStr">
        <is>
          <t>Availability requirement for full-time in-office internship needs confirmation against candidate schedule.</t>
        </is>
      </c>
      <c r="AE96" t="inlineStr">
        <is>
          <t>UNKNOWN</t>
        </is>
      </c>
      <c r="AF96" t="n">
        <v>0</v>
      </c>
      <c r="AG96" t="inlineStr">
        <is>
          <t>No</t>
        </is>
      </c>
      <c r="AH96" t="inlineStr">
        <is>
          <t>UNKNOWN</t>
        </is>
      </c>
      <c r="AI96" t="inlineStr">
        <is>
          <t>No mention of PPO or conversion in the job description.</t>
        </is>
      </c>
      <c r="AJ96" t="inlineStr">
        <is>
          <t>Location requirement is Indore, in-office, which does not match preferred Bengaluru location.; Role requires Mobile App Development (Android/iOS), whereas candidate profile focuses on Full Stack / Web Development.</t>
        </is>
      </c>
      <c r="AK96" t="inlineStr">
        <is>
          <t>Unspecified stipend; In-office requirement in Indore</t>
        </is>
      </c>
      <c r="AL96" t="inlineStr">
        <is>
          <t>Mobile application development lifecycle; Cross-platform or native Android/iOS development; Debugging and testing workflows</t>
        </is>
      </c>
    </row>
    <row r="97">
      <c r="A97" t="inlineStr">
        <is>
          <t>ALGEBRA-SOFT-261002-96</t>
        </is>
      </c>
      <c r="B97" t="inlineStr">
        <is>
          <t>Algebra Softech</t>
        </is>
      </c>
      <c r="C97" t="inlineStr">
        <is>
          <t>Full Stack Developer Intern</t>
        </is>
      </c>
      <c r="D97" t="inlineStr">
        <is>
          <t>https://www.adzuna.in/details/5680028572?utm_medium=api&amp;utm_source=5ccdc27f</t>
        </is>
      </c>
      <c r="E97" t="inlineStr">
        <is>
          <t>AI Analyzer</t>
        </is>
      </c>
      <c r="F97" t="inlineStr">
        <is>
          <t>Indore, Madhya Pradesh</t>
        </is>
      </c>
      <c r="G97" t="inlineStr">
        <is>
          <t>On-site</t>
        </is>
      </c>
      <c r="H97" t="inlineStr">
        <is>
          <t>Unpaid Internship</t>
        </is>
      </c>
      <c r="I97" t="inlineStr">
        <is>
          <t>3–6 Months</t>
        </is>
      </c>
      <c r="J97" t="inlineStr">
        <is>
          <t>Not Mentioned</t>
        </is>
      </c>
      <c r="K97" t="inlineStr">
        <is>
          <t>React.js; Node.js; MongoDB; Express.js</t>
        </is>
      </c>
      <c r="M97" t="inlineStr">
        <is>
          <t>Location: Indore Position: Full Stack Developer Intern Type: Unpaid Internship Duration: 3–6 Months Role Overview We are looking for enthusiastic and passionate Full Stack Developer Interns who are eager to learn, build real-world projects, and gain hands-on experience in a professional environment. ✅ Key Responsibilities Assist in developing web applications (Frontend Backend) Work with technologies like React.js, Node.js, MongoDB, Express.js Develop and integrate APIs Debug, test, and optim…</t>
        </is>
      </c>
      <c r="N97" t="n">
        <v>52</v>
      </c>
      <c r="O97" t="n">
        <v>75</v>
      </c>
      <c r="P97" t="n">
        <v>70</v>
      </c>
      <c r="Q97" t="n">
        <v>80</v>
      </c>
      <c r="R97" t="n">
        <v>0</v>
      </c>
      <c r="S97" t="n">
        <v>0</v>
      </c>
      <c r="T97" t="n">
        <v>30</v>
      </c>
      <c r="U97" t="inlineStr">
        <is>
          <t>SKIP</t>
        </is>
      </c>
      <c r="V97" t="inlineStr">
        <is>
          <t>SKIP</t>
        </is>
      </c>
      <c r="W97" t="inlineStr">
        <is>
          <t>React.js</t>
        </is>
      </c>
      <c r="X97" t="inlineStr">
        <is>
          <t>Standard MERN Stack Resume</t>
        </is>
      </c>
      <c r="Y97" t="inlineStr">
        <is>
          <t>2026-10-02</t>
        </is>
      </c>
      <c r="Z97" t="inlineStr">
        <is>
          <t>Matches target Full Stack Developer Intern role; Requires MERN stack technologies</t>
        </is>
      </c>
      <c r="AA97" t="inlineStr">
        <is>
          <t>Eligible</t>
        </is>
      </c>
      <c r="AC97" t="inlineStr">
        <is>
          <t>Unknown</t>
        </is>
      </c>
      <c r="AD97" t="inlineStr">
        <is>
          <t>Not specified in profile.</t>
        </is>
      </c>
      <c r="AE97" t="inlineStr">
        <is>
          <t>Unpaid</t>
        </is>
      </c>
      <c r="AF97" t="n">
        <v>0</v>
      </c>
      <c r="AG97" t="inlineStr">
        <is>
          <t>No</t>
        </is>
      </c>
      <c r="AH97" t="inlineStr">
        <is>
          <t>Not Mentioned</t>
        </is>
      </c>
      <c r="AI97" t="inlineStr">
        <is>
          <t>No mention of PPO or conversion.</t>
        </is>
      </c>
      <c r="AK97" t="inlineStr">
        <is>
          <t>Unpaid Internship; Location is Indore, Madhya Pradesh (Candidate prefers Bengaluru or Remote)</t>
        </is>
      </c>
      <c r="AL97" t="inlineStr">
        <is>
          <t>MERN Stack architecture; REST API development; Debugging and testing workflows</t>
        </is>
      </c>
    </row>
    <row r="98">
      <c r="A98" t="inlineStr">
        <is>
          <t>STARTUPS-MAP-261002-97</t>
        </is>
      </c>
      <c r="B98" t="inlineStr">
        <is>
          <t>Startups Map (CrazyWebDev Technologies)</t>
        </is>
      </c>
      <c r="C98" t="inlineStr">
        <is>
          <t>Full Stack Developer Intern</t>
        </is>
      </c>
      <c r="D98" t="inlineStr">
        <is>
          <t>https://www.adzuna.in/details/5890487473?utm_medium=api&amp;utm_source=5ccdc27f</t>
        </is>
      </c>
      <c r="E98" t="inlineStr">
        <is>
          <t>AI Analyzer</t>
        </is>
      </c>
      <c r="F98" t="inlineStr">
        <is>
          <t>Jhansi, Uttar Pradesh</t>
        </is>
      </c>
      <c r="G98" t="inlineStr">
        <is>
          <t>Unknown</t>
        </is>
      </c>
      <c r="H98" t="inlineStr">
        <is>
          <t>15k Per Month</t>
        </is>
      </c>
      <c r="I98" t="inlineStr">
        <is>
          <t>Unknown</t>
        </is>
      </c>
      <c r="J98" t="inlineStr">
        <is>
          <t>unknown</t>
        </is>
      </c>
      <c r="K98" t="inlineStr">
        <is>
          <t>React JS; Next JS; Node JS; React Native; PostgreSQL</t>
        </is>
      </c>
      <c r="M98" t="inlineStr">
        <is>
          <t>CrazyWebDev Technologies Technology Full Stack Developer Intern Location Jhansi Experience Fresher Salary 15k Per Month Skills React JSNext JSNode JSReact NativePostgre SQL How to apply talent@crazywebdev.com</t>
        </is>
      </c>
      <c r="N98" t="n">
        <v>46</v>
      </c>
      <c r="O98" t="n">
        <v>40</v>
      </c>
      <c r="P98" t="n">
        <v>50</v>
      </c>
      <c r="Q98" t="n">
        <v>80</v>
      </c>
      <c r="R98" t="n">
        <v>40</v>
      </c>
      <c r="S98" t="n">
        <v>20</v>
      </c>
      <c r="T98" t="n">
        <v>40</v>
      </c>
      <c r="U98" t="inlineStr">
        <is>
          <t>SKIP</t>
        </is>
      </c>
      <c r="V98" t="inlineStr">
        <is>
          <t>SKIP</t>
        </is>
      </c>
      <c r="W98" t="inlineStr">
        <is>
          <t>React JS; Next JS; React Native; PostgreSQL</t>
        </is>
      </c>
      <c r="X98" t="inlineStr">
        <is>
          <t>Standard Full Stack Resume</t>
        </is>
      </c>
      <c r="Y98" t="inlineStr">
        <is>
          <t>2026-10-02</t>
        </is>
      </c>
      <c r="Z98" t="inlineStr">
        <is>
          <t>Matches the Full Stack Developer Intern target role</t>
        </is>
      </c>
      <c r="AA98" t="inlineStr">
        <is>
          <t>eligible</t>
        </is>
      </c>
      <c r="AB98" t="inlineStr">
        <is>
          <t>Open to freshers/students matching MCA profile</t>
        </is>
      </c>
      <c r="AC98" t="inlineStr">
        <is>
          <t>unknown</t>
        </is>
      </c>
      <c r="AD98" t="inlineStr">
        <is>
          <t>Not specified in the job description</t>
        </is>
      </c>
      <c r="AE98" t="inlineStr">
        <is>
          <t>known</t>
        </is>
      </c>
      <c r="AF98" t="n">
        <v>15000</v>
      </c>
      <c r="AG98" t="inlineStr">
        <is>
          <t>No</t>
        </is>
      </c>
      <c r="AH98" t="inlineStr">
        <is>
          <t>unknown</t>
        </is>
      </c>
      <c r="AI98" t="inlineStr">
        <is>
          <t>No PPO or conversion mention found in the JD</t>
        </is>
      </c>
      <c r="AK98" t="inlineStr">
        <is>
          <t>Stipend (₹15,000/month) is below the minimum candidate target of ₹25,000/month; Location (Jhansi, Uttar Pradesh) does not match preferred Bengaluru or remote preference</t>
        </is>
      </c>
      <c r="AL98" t="inlineStr">
        <is>
          <t>React.js and Next.js state management; Node.js asynchronous programming and backend architecture; PostgreSQL vs MongoDB relational database design; Cross-platform mobile development with React Native</t>
        </is>
      </c>
    </row>
    <row r="99">
      <c r="A99" t="inlineStr">
        <is>
          <t>PLETRA-TECHN-261002-98</t>
        </is>
      </c>
      <c r="B99" t="inlineStr">
        <is>
          <t>Pletra technologies Ind. Pvt. Ltd.</t>
        </is>
      </c>
      <c r="C99" t="inlineStr">
        <is>
          <t>Full Stack Developer Intern</t>
        </is>
      </c>
      <c r="D99" t="inlineStr">
        <is>
          <t>https://www.adzuna.in/details/4686704239?utm_medium=api&amp;utm_source=5ccdc27f</t>
        </is>
      </c>
      <c r="E99" t="inlineStr">
        <is>
          <t>AI Analyzer</t>
        </is>
      </c>
      <c r="F99" t="inlineStr">
        <is>
          <t>Pune, Maharashtra</t>
        </is>
      </c>
      <c r="G99" t="inlineStr">
        <is>
          <t>On-site</t>
        </is>
      </c>
      <c r="H99" t="inlineStr">
        <is>
          <t>6 to 8 K PM</t>
        </is>
      </c>
      <c r="I99" t="inlineStr">
        <is>
          <t>Unknown</t>
        </is>
      </c>
      <c r="J99" t="inlineStr">
        <is>
          <t>Not Mentioned</t>
        </is>
      </c>
      <c r="K99" t="inlineStr">
        <is>
          <t>React JS; React Native; Spring-Boot; Spring Cloud; Docker; Kubernetes; Java</t>
        </is>
      </c>
      <c r="M99" t="inlineStr">
        <is>
          <t>FULL STACK DEVELOPER (INTERNS) Skill- React JS/React Native/Spring-Boot/ Spring Cloud, Docker, Kubernetes, Java Experience Range: Fresher’s Location: Clover Hills Plaza, NIBM Road, Pune Education: BCA , BE , BSc(IT/CS) , BTech , MCA , MSc(IT/CS) , MTech. Stipend – 6 to 8 K PM Job Description: We are hiring Fresher trained resources in FULL Stack Technologies &amp; UI/UX (React JS / Native) developer to join Pletra technologies Ind. Pvt. Ltd. growing Engineering team. You will be working on the late…</t>
        </is>
      </c>
      <c r="N99" t="n">
        <v>42</v>
      </c>
      <c r="O99" t="n">
        <v>40</v>
      </c>
      <c r="P99" t="n">
        <v>50</v>
      </c>
      <c r="Q99" t="n">
        <v>60</v>
      </c>
      <c r="R99" t="n">
        <v>30</v>
      </c>
      <c r="S99" t="n">
        <v>20</v>
      </c>
      <c r="T99" t="n">
        <v>40</v>
      </c>
      <c r="U99" t="inlineStr">
        <is>
          <t>SKIP</t>
        </is>
      </c>
      <c r="V99" t="inlineStr">
        <is>
          <t>SKIP</t>
        </is>
      </c>
      <c r="W99" t="inlineStr">
        <is>
          <t>Spring-Boot; Spring Cloud; Java</t>
        </is>
      </c>
      <c r="X99" t="inlineStr">
        <is>
          <t>Amaanuddin_Ahmed_Resume.pdf</t>
        </is>
      </c>
      <c r="Y99" t="inlineStr">
        <is>
          <t>2026-10-02</t>
        </is>
      </c>
      <c r="AA99" t="inlineStr">
        <is>
          <t>Eligible</t>
        </is>
      </c>
      <c r="AB99" t="inlineStr">
        <is>
          <t>Education matches MCA requirement.</t>
        </is>
      </c>
      <c r="AC99" t="inlineStr">
        <is>
          <t>Unknown</t>
        </is>
      </c>
      <c r="AD99" t="inlineStr">
        <is>
          <t>Availability not explicitly specified in the candidate profile for this specific term.</t>
        </is>
      </c>
      <c r="AE99" t="inlineStr">
        <is>
          <t>Below Minimum Target</t>
        </is>
      </c>
      <c r="AF99" t="n">
        <v>6000</v>
      </c>
      <c r="AG99" t="inlineStr">
        <is>
          <t>No</t>
        </is>
      </c>
      <c r="AH99" t="inlineStr">
        <is>
          <t>Not Mentioned</t>
        </is>
      </c>
      <c r="AI99" t="inlineStr">
        <is>
          <t>No mention of PPO or conversion in the job description.</t>
        </is>
      </c>
      <c r="AK99" t="inlineStr">
        <is>
          <t>Stipend of ₹6,000–₹8,000/month is significantly below Amaan's minimum target of ₹25,000/month.; Location is Pune, while preferred location is Bengaluru.; Required stack (Java, Spring Boot) does not align with Amaan's core JavaScript/Node/Angular stack.</t>
        </is>
      </c>
      <c r="AL99" t="inlineStr">
        <is>
          <t>Java and Spring Boot fundamentals; React JS / React Native concepts; Containerization with Docker and Kubernetes</t>
        </is>
      </c>
    </row>
    <row r="100">
      <c r="A100" t="inlineStr">
        <is>
          <t>PITCHLINE-261002-99</t>
        </is>
      </c>
      <c r="B100" t="inlineStr">
        <is>
          <t>Pitchline</t>
        </is>
      </c>
      <c r="C100" t="inlineStr">
        <is>
          <t>Full Stack Developer Intern</t>
        </is>
      </c>
      <c r="D100" t="inlineStr">
        <is>
          <t>https://www.adzuna.in/details/5420122532?utm_medium=api&amp;utm_source=5ccdc27f</t>
        </is>
      </c>
      <c r="E100" t="inlineStr">
        <is>
          <t>AI Analyzer</t>
        </is>
      </c>
      <c r="F100" t="inlineStr">
        <is>
          <t>India</t>
        </is>
      </c>
      <c r="G100" t="inlineStr">
        <is>
          <t>remote</t>
        </is>
      </c>
      <c r="H100" t="inlineStr">
        <is>
          <t>₹20,000 - ₹30,000/month</t>
        </is>
      </c>
      <c r="I100" t="inlineStr">
        <is>
          <t>3 months</t>
        </is>
      </c>
      <c r="J100" t="inlineStr">
        <is>
          <t>not_mentioned</t>
        </is>
      </c>
      <c r="K100" t="inlineStr">
        <is>
          <t>Full Stack Development</t>
        </is>
      </c>
      <c r="M100" t="inlineStr">
        <is>
          <t>Full Stack Developer Internship – (Remote) Pay: ₹20,000 - ₹30,000/month | Duration: 3 months We’re building Pitchline - a voice based conversational sales AI agent, an ambitious AI-powered web app aimed at solving meaningful problems in the B2B space. It’s currently in MVP stage and has strong early demand. I’m looking for a hands-on an Full Stack Developer Intern who can work closely with me to bring this to life. You’ll be one of the first people to touch the codebase — shaping the foundation…</t>
        </is>
      </c>
      <c r="N100" t="n">
        <v>78</v>
      </c>
      <c r="O100" t="n">
        <v>85</v>
      </c>
      <c r="P100" t="n">
        <v>80</v>
      </c>
      <c r="Q100" t="n">
        <v>90</v>
      </c>
      <c r="R100" t="n">
        <v>50</v>
      </c>
      <c r="S100" t="n">
        <v>80</v>
      </c>
      <c r="T100" t="n">
        <v>80</v>
      </c>
      <c r="U100" t="inlineStr">
        <is>
          <t>CONSIDER</t>
        </is>
      </c>
      <c r="V100" t="inlineStr">
        <is>
          <t>CONSIDER</t>
        </is>
      </c>
      <c r="X100" t="inlineStr">
        <is>
          <t>Default Full Stack / MERN Resume</t>
        </is>
      </c>
      <c r="Y100" t="inlineStr">
        <is>
          <t>2026-10-02</t>
        </is>
      </c>
      <c r="Z100" t="inlineStr">
        <is>
          <t>Role matches target Full Stack Developer Intern position.; Stipend range (₹20k–₹30k) is close to the minimum target of ₹25,000/month.; Remote work mode aligns with preferences.</t>
        </is>
      </c>
      <c r="AA100" t="inlineStr">
        <is>
          <t>eligible</t>
        </is>
      </c>
      <c r="AC100" t="inlineStr">
        <is>
          <t>unknown</t>
        </is>
      </c>
      <c r="AD100" t="inlineStr">
        <is>
          <t>Not mentioned in the job description.</t>
        </is>
      </c>
      <c r="AE100" t="inlineStr">
        <is>
          <t>exact</t>
        </is>
      </c>
      <c r="AF100" t="n">
        <v>20000</v>
      </c>
      <c r="AG100" t="inlineStr">
        <is>
          <t>No</t>
        </is>
      </c>
      <c r="AH100" t="inlineStr">
        <is>
          <t>not_mentioned</t>
        </is>
      </c>
      <c r="AI100" t="inlineStr">
        <is>
          <t>No mention of PPO or conversion in the job description.</t>
        </is>
      </c>
      <c r="AL100" t="inlineStr">
        <is>
          <t>Full stack web development architecture; API integration and backend design; Previous full stack internship work at Sunflower Trip and Freelance</t>
        </is>
      </c>
    </row>
    <row r="101">
      <c r="A101" t="inlineStr">
        <is>
          <t>FLICKIT-261002-100</t>
        </is>
      </c>
      <c r="B101" t="inlineStr">
        <is>
          <t>Flickit</t>
        </is>
      </c>
      <c r="C101" t="inlineStr">
        <is>
          <t>Full Stack Development-Intern</t>
        </is>
      </c>
      <c r="D101" t="inlineStr">
        <is>
          <t>https://www.adzuna.in/details/4971284468?utm_medium=api&amp;utm_source=5ccdc27f</t>
        </is>
      </c>
      <c r="E101" t="inlineStr">
        <is>
          <t>AI Analyzer</t>
        </is>
      </c>
      <c r="F101" t="inlineStr">
        <is>
          <t>Bangalore, Karnataka</t>
        </is>
      </c>
      <c r="G101" t="inlineStr">
        <is>
          <t>Unknown</t>
        </is>
      </c>
      <c r="H101" t="inlineStr">
        <is>
          <t>Not specified</t>
        </is>
      </c>
      <c r="I101" t="inlineStr">
        <is>
          <t>Unknown</t>
        </is>
      </c>
      <c r="J101" t="inlineStr">
        <is>
          <t>UNKNOWN</t>
        </is>
      </c>
      <c r="K101" t="inlineStr">
        <is>
          <t>Flutter; React</t>
        </is>
      </c>
      <c r="M101" t="inlineStr">
        <is>
          <t>Job Description: We are looking for a talented and motivated Full Stack Development Intern to join our team. This internship offers an exciting opportunity to work on real-world project, enhance your skills, and gain hands-on experience in full-stack development using Flutter for mobile applications and React for web development. Key Responsibilities: Mobile App Development: Collaborate on building and enhancing the Flutter mobile application for Android and iOS. Web App Development: Assist in …</t>
        </is>
      </c>
      <c r="N101" t="n">
        <v>60</v>
      </c>
      <c r="O101" t="n">
        <v>60</v>
      </c>
      <c r="P101" t="n">
        <v>70</v>
      </c>
      <c r="Q101" t="n">
        <v>80</v>
      </c>
      <c r="R101" t="n">
        <v>50</v>
      </c>
      <c r="S101" t="n">
        <v>30</v>
      </c>
      <c r="T101" t="n">
        <v>60</v>
      </c>
      <c r="U101" t="inlineStr">
        <is>
          <t>STRETCH</t>
        </is>
      </c>
      <c r="V101" t="inlineStr">
        <is>
          <t>STRETCH</t>
        </is>
      </c>
      <c r="W101" t="inlineStr">
        <is>
          <t>Flutter</t>
        </is>
      </c>
      <c r="X101" t="inlineStr">
        <is>
          <t>Standard Full Stack Resume</t>
        </is>
      </c>
      <c r="Y101" t="inlineStr">
        <is>
          <t>2026-10-02</t>
        </is>
      </c>
      <c r="Z101" t="inlineStr">
        <is>
          <t>Full Stack Development Intern role in Bangalore matching primary target roles; Uses React for web development which candidate has demonstrated experience with</t>
        </is>
      </c>
      <c r="AA101" t="inlineStr">
        <is>
          <t>ELIGIBLE</t>
        </is>
      </c>
      <c r="AB101" t="inlineStr">
        <is>
          <t>Role matches target internship profile; Location is Bangalore matching preference</t>
        </is>
      </c>
      <c r="AC101" t="inlineStr">
        <is>
          <t>UNKNOWN</t>
        </is>
      </c>
      <c r="AD101" t="inlineStr">
        <is>
          <t>Availability not explicitly discussed in job description</t>
        </is>
      </c>
      <c r="AE101" t="inlineStr">
        <is>
          <t>UNKNOWN</t>
        </is>
      </c>
      <c r="AF101" t="n">
        <v>0</v>
      </c>
      <c r="AG101" t="inlineStr">
        <is>
          <t>No</t>
        </is>
      </c>
      <c r="AH101" t="inlineStr">
        <is>
          <t>UNKNOWN</t>
        </is>
      </c>
      <c r="AI101" t="inlineStr">
        <is>
          <t>No mention of PPO or conversion in the job description</t>
        </is>
      </c>
      <c r="AK101" t="inlineStr">
        <is>
          <t>Stipend information is missing; Flutter is a mandatory stack requirement which is not demonstrated in candidate profile</t>
        </is>
      </c>
      <c r="AL101" t="inlineStr">
        <is>
          <t>React.js state management and web development; Cross-platform mobile development concepts in Flutter; Full-stack architecture and API integration</t>
        </is>
      </c>
    </row>
    <row r="102">
      <c r="A102" t="inlineStr">
        <is>
          <t>SPACENOS-261002-101</t>
        </is>
      </c>
      <c r="B102" t="inlineStr">
        <is>
          <t>Spacenos</t>
        </is>
      </c>
      <c r="C102" t="inlineStr">
        <is>
          <t>Full Stack Developer Intern</t>
        </is>
      </c>
      <c r="D102" t="inlineStr">
        <is>
          <t>https://www.adzuna.in/details/3095392880?utm_medium=api&amp;utm_source=5ccdc27f</t>
        </is>
      </c>
      <c r="E102" t="inlineStr">
        <is>
          <t>AI Analyzer</t>
        </is>
      </c>
      <c r="F102" t="inlineStr">
        <is>
          <t>India</t>
        </is>
      </c>
      <c r="G102" t="inlineStr">
        <is>
          <t>UNKNOWN</t>
        </is>
      </c>
      <c r="H102" t="inlineStr">
        <is>
          <t>INR. 5,000 to INR. 15,000 per month</t>
        </is>
      </c>
      <c r="I102" t="inlineStr">
        <is>
          <t>UNKNOWN</t>
        </is>
      </c>
      <c r="J102" t="inlineStr">
        <is>
          <t>NOT_MENTIONED</t>
        </is>
      </c>
      <c r="K102" t="inlineStr">
        <is>
          <t>JavaScript; React.js; Node.js; Firebase; Firestore Functions; Git</t>
        </is>
      </c>
      <c r="M102" t="inlineStr">
        <is>
          <t>Stipend: INR. 5,000 to INR. 15,000 per month Performance Bonus Goodies for Elites We are looking for skilled Full Stack Developer interns who can oversee the complete software development road cycle at Spacenos and work on building amazing products. Skills Required Experience with JavaScript and ReactJs framework. Experience with NodeJs, Firebase and Firestore Functions. Candidates should have the ability to pick up new technologies quickly Knowledge of code versioning tools (such as Git, Mer…</t>
        </is>
      </c>
      <c r="N102" t="n">
        <v>61</v>
      </c>
      <c r="O102" t="n">
        <v>70</v>
      </c>
      <c r="P102" t="n">
        <v>75</v>
      </c>
      <c r="Q102" t="n">
        <v>80</v>
      </c>
      <c r="R102" t="n">
        <v>40</v>
      </c>
      <c r="S102" t="n">
        <v>20</v>
      </c>
      <c r="T102" t="n">
        <v>50</v>
      </c>
      <c r="U102" t="inlineStr">
        <is>
          <t>STRETCH</t>
        </is>
      </c>
      <c r="V102" t="inlineStr">
        <is>
          <t>STRETCH</t>
        </is>
      </c>
      <c r="W102" t="inlineStr">
        <is>
          <t>Firebase; Firestore Functions</t>
        </is>
      </c>
      <c r="X102" t="inlineStr">
        <is>
          <t>Standard Full Stack Resume</t>
        </is>
      </c>
      <c r="Y102" t="inlineStr">
        <is>
          <t>2026-10-02</t>
        </is>
      </c>
      <c r="Z102" t="inlineStr">
        <is>
          <t>Matches target role for Full Stack Developer Intern; Gives opportunity to apply JavaScript and Node.js skills</t>
        </is>
      </c>
      <c r="AA102" t="inlineStr">
        <is>
          <t>ELIGIBLE</t>
        </is>
      </c>
      <c r="AC102" t="inlineStr">
        <is>
          <t>UNKNOWN</t>
        </is>
      </c>
      <c r="AD102" t="inlineStr">
        <is>
          <t>Not specified in the candidate profile or job description.</t>
        </is>
      </c>
      <c r="AE102" t="inlineStr">
        <is>
          <t>EXPLICIT</t>
        </is>
      </c>
      <c r="AF102" t="n">
        <v>5000</v>
      </c>
      <c r="AG102" t="inlineStr">
        <is>
          <t>Yes</t>
        </is>
      </c>
      <c r="AH102" t="inlineStr">
        <is>
          <t>NOT_MENTIONED</t>
        </is>
      </c>
      <c r="AI102" t="inlineStr">
        <is>
          <t>No mention of conversion or PPO in the job description.</t>
        </is>
      </c>
      <c r="AK102" t="inlineStr">
        <is>
          <t>Stipend is below minimum target of 25,000 INR/month; Low stipend range (5,000 to 15,000 INR/month)</t>
        </is>
      </c>
      <c r="AL102" t="inlineStr">
        <is>
          <t>Node.js and Express architecture; React state management; NoSQL database concepts (experience with MongoDB applied to Firebase/Firestore); Git version control workflow</t>
        </is>
      </c>
    </row>
    <row r="103">
      <c r="A103" t="inlineStr">
        <is>
          <t>HBT-INTEGRIS-261002-102</t>
        </is>
      </c>
      <c r="B103" t="inlineStr">
        <is>
          <t>HBT Integrisys</t>
        </is>
      </c>
      <c r="C103" t="inlineStr">
        <is>
          <t>Full Stack Developer Intern</t>
        </is>
      </c>
      <c r="D103" t="inlineStr">
        <is>
          <t>https://www.adzuna.in/details/5884512656?utm_medium=api&amp;utm_source=5ccdc27f</t>
        </is>
      </c>
      <c r="E103" t="inlineStr">
        <is>
          <t>AI Analyzer</t>
        </is>
      </c>
      <c r="F103" t="inlineStr">
        <is>
          <t>Tamil Nadu, India</t>
        </is>
      </c>
      <c r="G103" t="inlineStr">
        <is>
          <t>On-site</t>
        </is>
      </c>
      <c r="I103" t="inlineStr">
        <is>
          <t>UNKNOWN</t>
        </is>
      </c>
      <c r="J103" t="inlineStr">
        <is>
          <t>Not Mentioned</t>
        </is>
      </c>
      <c r="M103" t="inlineStr">
        <is>
          <t>HBT Integrisys is seeking motivated and enthusiastic recent graduates to join our team as Full Stack Developer Interns. This internship offers practical software development experience through live projects in a professional office setting. About the Internship This internship is designed for individuals eager to kickstart their career in software development. You will gain hands-on experience, contribute to real-world projects, and receive mentorship from experienced developers. Eligibility &amp; …</t>
        </is>
      </c>
      <c r="N103" t="n">
        <v>64</v>
      </c>
      <c r="O103" t="n">
        <v>70</v>
      </c>
      <c r="P103" t="n">
        <v>75</v>
      </c>
      <c r="Q103" t="n">
        <v>90</v>
      </c>
      <c r="R103" t="n">
        <v>40</v>
      </c>
      <c r="S103" t="n">
        <v>30</v>
      </c>
      <c r="T103" t="n">
        <v>50</v>
      </c>
      <c r="U103" t="inlineStr">
        <is>
          <t>STRETCH</t>
        </is>
      </c>
      <c r="V103" t="inlineStr">
        <is>
          <t>STRETCH</t>
        </is>
      </c>
      <c r="X103" t="inlineStr">
        <is>
          <t>Amaanuddin_Ahmed_Resume_FullStack.pdf</t>
        </is>
      </c>
      <c r="Y103" t="inlineStr">
        <is>
          <t>2026-10-02</t>
        </is>
      </c>
      <c r="Z103" t="inlineStr">
        <is>
          <t>Role matches primary target of Full Stack Developer Intern.; Provides hands-on practical software development experience.</t>
        </is>
      </c>
      <c r="AA103" t="inlineStr">
        <is>
          <t>Eligible</t>
        </is>
      </c>
      <c r="AB103" t="inlineStr">
        <is>
          <t>Candidate is a recent graduate student pursuing MCA (2025-2027), fitting the recent graduates requirement.</t>
        </is>
      </c>
      <c r="AC103" t="inlineStr">
        <is>
          <t>Unknown</t>
        </is>
      </c>
      <c r="AD103" t="inlineStr">
        <is>
          <t>Exact start dates and availability match were not provided in the candidate profile.</t>
        </is>
      </c>
      <c r="AE103" t="inlineStr">
        <is>
          <t>UNKNOWN</t>
        </is>
      </c>
      <c r="AF103" t="n">
        <v>0</v>
      </c>
      <c r="AG103" t="inlineStr">
        <is>
          <t>No</t>
        </is>
      </c>
      <c r="AH103" t="inlineStr">
        <is>
          <t>Not Mentioned</t>
        </is>
      </c>
      <c r="AI103" t="inlineStr">
        <is>
          <t>The job description does not mention PPO or conversion opportunities.</t>
        </is>
      </c>
      <c r="AK103" t="inlineStr">
        <is>
          <t>Location is Tamil Nadu, India, whereas candidate prefers Bengaluru or remote.; Stipend is completely unknown.; Job description text is cut off.</t>
        </is>
      </c>
      <c r="AL103" t="inlineStr">
        <is>
          <t>Full stack development projects; Previous internship contributions at Sunflower Trip; Willingness to relocate to Tamil Nadu</t>
        </is>
      </c>
    </row>
    <row r="104">
      <c r="A104" t="inlineStr">
        <is>
          <t>SCALE.JOBS-261002-103</t>
        </is>
      </c>
      <c r="B104" t="inlineStr">
        <is>
          <t>scale.jobs</t>
        </is>
      </c>
      <c r="C104" t="inlineStr">
        <is>
          <t>Full Stack Developer Intern</t>
        </is>
      </c>
      <c r="D104" t="inlineStr">
        <is>
          <t>https://www.adzuna.in/details/5889570928?utm_medium=api&amp;utm_source=5ccdc27f</t>
        </is>
      </c>
      <c r="E104" t="inlineStr">
        <is>
          <t>AI Analyzer</t>
        </is>
      </c>
      <c r="F104" t="inlineStr">
        <is>
          <t>Hyderabad, Telangana</t>
        </is>
      </c>
      <c r="G104" t="inlineStr">
        <is>
          <t>Hybrid</t>
        </is>
      </c>
      <c r="H104" t="inlineStr">
        <is>
          <t>As per market standards</t>
        </is>
      </c>
      <c r="I104" t="inlineStr">
        <is>
          <t>Not specified</t>
        </is>
      </c>
      <c r="J104" t="inlineStr">
        <is>
          <t>NOT_MENTIONED</t>
        </is>
      </c>
      <c r="K104" t="inlineStr">
        <is>
          <t>Full Stack Development</t>
        </is>
      </c>
      <c r="M104" t="inlineStr">
        <is>
          <t>Location: Hyderabad in Office, WFH opportunity based on performance Shift: Dayshift with Flexible hours Employment Type: Full-time (Internship) Salary: As per market standards Experience: 0-6 Months About Us Scale.jobs is revolutionizing the job application process by providing human-powered assistance to job seekers in the US market. Our unique approach combines human expertise with smart technology to help our clients land their dream jobs. Role Overview We're seeking a passionate Full Stack …</t>
        </is>
      </c>
      <c r="N104" t="n">
        <v>74</v>
      </c>
      <c r="O104" t="n">
        <v>85</v>
      </c>
      <c r="P104" t="n">
        <v>90</v>
      </c>
      <c r="Q104" t="n">
        <v>90</v>
      </c>
      <c r="R104" t="n">
        <v>40</v>
      </c>
      <c r="S104" t="n">
        <v>50</v>
      </c>
      <c r="T104" t="n">
        <v>60</v>
      </c>
      <c r="U104" t="inlineStr">
        <is>
          <t>CONSIDER</t>
        </is>
      </c>
      <c r="V104" t="inlineStr">
        <is>
          <t>CONSIDER</t>
        </is>
      </c>
      <c r="X104" t="inlineStr">
        <is>
          <t>Standard Full Stack Resume</t>
        </is>
      </c>
      <c r="Y104" t="inlineStr">
        <is>
          <t>2026-10-02</t>
        </is>
      </c>
      <c r="Z104" t="inlineStr">
        <is>
          <t>Role matches target Full Stack Developer Intern position.; Experience requirement of 0-6 months is well-suited for the candidate.</t>
        </is>
      </c>
      <c r="AA104" t="inlineStr">
        <is>
          <t>ELIGIBLE</t>
        </is>
      </c>
      <c r="AB104" t="inlineStr">
        <is>
          <t>The role matches the candidate's target internship profile.; Experience requirement of 0-6 months aligns with the candidate's background.</t>
        </is>
      </c>
      <c r="AC104" t="inlineStr">
        <is>
          <t>UNKNOWN</t>
        </is>
      </c>
      <c r="AD104" t="inlineStr">
        <is>
          <t>Availability constraints are not specified in the career brain.</t>
        </is>
      </c>
      <c r="AE104" t="inlineStr">
        <is>
          <t>UNKNOWN</t>
        </is>
      </c>
      <c r="AF104" t="n">
        <v>0</v>
      </c>
      <c r="AG104" t="inlineStr">
        <is>
          <t>No</t>
        </is>
      </c>
      <c r="AH104" t="inlineStr">
        <is>
          <t>NOT_MENTIONED</t>
        </is>
      </c>
      <c r="AI104" t="inlineStr">
        <is>
          <t>No mention of a Pre-Placement Offer or conversion in the job description.</t>
        </is>
      </c>
      <c r="AK104" t="inlineStr">
        <is>
          <t>Location is Hyderabad, whereas candidate prefers Bengaluru (though WFH is optionally possible based on performance).; Stipend is listed as 'As per market standards' which is vague and unknown.</t>
        </is>
      </c>
      <c r="AL104" t="inlineStr">
        <is>
          <t>Full stack system architecture; Past internship experience with Angular and Node.js; API development and database management</t>
        </is>
      </c>
    </row>
    <row r="105">
      <c r="A105" t="inlineStr">
        <is>
          <t>INSTAWEB-LAB-261002-104</t>
        </is>
      </c>
      <c r="B105" t="inlineStr">
        <is>
          <t>InstaWeb Labs Pvt Ltd</t>
        </is>
      </c>
      <c r="C105" t="inlineStr">
        <is>
          <t>Full Stack Development Intern</t>
        </is>
      </c>
      <c r="D105" t="inlineStr">
        <is>
          <t>https://www.adzuna.in/details/5625720116?utm_medium=api&amp;utm_source=5ccdc27f</t>
        </is>
      </c>
      <c r="E105" t="inlineStr">
        <is>
          <t>AI Analyzer</t>
        </is>
      </c>
      <c r="F105" t="inlineStr">
        <is>
          <t>Malad, Baramati (Mumbai or Remote)</t>
        </is>
      </c>
      <c r="G105" t="inlineStr">
        <is>
          <t>Hybrid / Remote</t>
        </is>
      </c>
      <c r="H105" t="inlineStr">
        <is>
          <t>Not specified</t>
        </is>
      </c>
      <c r="I105" t="inlineStr">
        <is>
          <t>3 to 6 months</t>
        </is>
      </c>
      <c r="J105" t="inlineStr">
        <is>
          <t>NO</t>
        </is>
      </c>
      <c r="K105" t="inlineStr">
        <is>
          <t>Frontend Development; Backend Development</t>
        </is>
      </c>
      <c r="L105" t="inlineStr">
        <is>
          <t>Website builder platform tech</t>
        </is>
      </c>
      <c r="M105" t="inlineStr">
        <is>
          <t>Location: Mumbai or Remote Duration: 3 to 6 months About the Role Websites.co.in is looking for a Full Stack Developer Intern to support our engineering team across backend and frontend development. You will work on real product features and fixes across our website builder platform used by small businesses globally. This role is designed for learners who want practical full stack exposure. You will mainly assist, build small modules, fix bugs, and improve existing features under guidance. What…</t>
        </is>
      </c>
      <c r="N105" t="n">
        <v>72</v>
      </c>
      <c r="O105" t="n">
        <v>85</v>
      </c>
      <c r="P105" t="n">
        <v>90</v>
      </c>
      <c r="Q105" t="n">
        <v>95</v>
      </c>
      <c r="R105" t="n">
        <v>20</v>
      </c>
      <c r="S105" t="n">
        <v>50</v>
      </c>
      <c r="T105" t="n">
        <v>65</v>
      </c>
      <c r="U105" t="inlineStr">
        <is>
          <t>CONSIDER</t>
        </is>
      </c>
      <c r="V105" t="inlineStr">
        <is>
          <t>CONSIDER</t>
        </is>
      </c>
      <c r="X105" t="inlineStr">
        <is>
          <t>Amaanuddin_Ahmed_Resume.pdf</t>
        </is>
      </c>
      <c r="Y105" t="inlineStr">
        <is>
          <t>2026-10-02</t>
        </is>
      </c>
      <c r="Z105" t="inlineStr">
        <is>
          <t>Role matches target Full Stack Developer Intern position.; Supports remote or Mumbai-based work options.; Candidate has strong hands-on experience in MERN stack and relational databases.</t>
        </is>
      </c>
      <c r="AA105" t="inlineStr">
        <is>
          <t>ELIGIBLE</t>
        </is>
      </c>
      <c r="AB105" t="inlineStr">
        <is>
          <t>The role matches the candidate's primary target role of Full Stack Developer Intern.; Remote work mode is supported, which aligns with candidate location preferences.</t>
        </is>
      </c>
      <c r="AC105" t="inlineStr">
        <is>
          <t>UNKNOWN</t>
        </is>
      </c>
      <c r="AD105" t="inlineStr">
        <is>
          <t>Exact start date requirements are not specified in the job description.</t>
        </is>
      </c>
      <c r="AE105" t="inlineStr">
        <is>
          <t>UNKNOWN</t>
        </is>
      </c>
      <c r="AF105" t="n">
        <v>0</v>
      </c>
      <c r="AG105" t="inlineStr">
        <is>
          <t>No</t>
        </is>
      </c>
      <c r="AH105" t="inlineStr">
        <is>
          <t>NO</t>
        </is>
      </c>
      <c r="AI105" t="inlineStr">
        <is>
          <t>No mention of conversion or PPO in the job description.</t>
        </is>
      </c>
      <c r="AK105" t="inlineStr">
        <is>
          <t>Stipend is not disclosed.</t>
        </is>
      </c>
      <c r="AL105" t="inlineStr">
        <is>
          <t>Full stack development fundamentals; Previous full stack internship experience; API development and bug fixing workflow</t>
        </is>
      </c>
    </row>
    <row r="106">
      <c r="A106" t="inlineStr">
        <is>
          <t>CYPHEROCK-261002-105</t>
        </is>
      </c>
      <c r="B106" t="inlineStr">
        <is>
          <t>Cypherock</t>
        </is>
      </c>
      <c r="C106" t="inlineStr">
        <is>
          <t>Full Stack Developer Intern</t>
        </is>
      </c>
      <c r="D106" t="inlineStr">
        <is>
          <t>https://www.adzuna.in/details/2883808203?utm_medium=api&amp;utm_source=5ccdc27f</t>
        </is>
      </c>
      <c r="E106" t="inlineStr">
        <is>
          <t>AI Analyzer</t>
        </is>
      </c>
      <c r="F106" t="inlineStr">
        <is>
          <t>Delhi, India</t>
        </is>
      </c>
      <c r="G106" t="inlineStr">
        <is>
          <t>On-site</t>
        </is>
      </c>
      <c r="H106" t="inlineStr">
        <is>
          <t>Not specified</t>
        </is>
      </c>
      <c r="I106" t="inlineStr">
        <is>
          <t>Not specified</t>
        </is>
      </c>
      <c r="J106" t="inlineStr">
        <is>
          <t>NOT_MENTIONED</t>
        </is>
      </c>
      <c r="K106" t="inlineStr">
        <is>
          <t>Full Stack Development</t>
        </is>
      </c>
      <c r="L106" t="inlineStr">
        <is>
          <t>Blockchain; Security; Embedded Hardware; Cryptography</t>
        </is>
      </c>
      <c r="M106" t="inlineStr">
        <is>
          <t>At Cypherock, We are disrupting the current financial system by increasing the adoption of Blockchain-based digital assets through better key management solutions. We build "Worlds' first products" from India, work at the intersection of Blockchain, Security, Embedded Hardware and Cryptography, and have worked with companies like Google, Blockgeeks, Samsung, Lockheed Martin, Apollo Munich, Bank of America amongst others. As the primary person responsible for everything Blockchain in the company…</t>
        </is>
      </c>
      <c r="N106" t="n">
        <v>50</v>
      </c>
      <c r="O106" t="n">
        <v>50</v>
      </c>
      <c r="P106" t="n">
        <v>60</v>
      </c>
      <c r="Q106" t="n">
        <v>80</v>
      </c>
      <c r="R106" t="n">
        <v>30</v>
      </c>
      <c r="S106" t="n">
        <v>20</v>
      </c>
      <c r="T106" t="n">
        <v>50</v>
      </c>
      <c r="U106" t="inlineStr">
        <is>
          <t>SKIP</t>
        </is>
      </c>
      <c r="V106" t="inlineStr">
        <is>
          <t>SKIP</t>
        </is>
      </c>
      <c r="W106" t="inlineStr">
        <is>
          <t>Blockchain; Cryptography</t>
        </is>
      </c>
      <c r="X106" t="inlineStr">
        <is>
          <t>Amaanuddin_Ahmed_Resume.pdf</t>
        </is>
      </c>
      <c r="Y106" t="inlineStr">
        <is>
          <t>2026-10-02</t>
        </is>
      </c>
      <c r="Z106" t="inlineStr">
        <is>
          <t>Matches the Full Stack Developer Intern target role.</t>
        </is>
      </c>
      <c r="AA106" t="inlineStr">
        <is>
          <t>ELIGIBLE</t>
        </is>
      </c>
      <c r="AB106" t="inlineStr">
        <is>
          <t>No explicit degree or graduation year hard blockers mentioned in the short JD snippet.; Role matches candidate target roles.</t>
        </is>
      </c>
      <c r="AC106" t="inlineStr">
        <is>
          <t>UNKNOWN</t>
        </is>
      </c>
      <c r="AD106" t="inlineStr">
        <is>
          <t>Candidate availability timeline not specified relative to the start date.</t>
        </is>
      </c>
      <c r="AE106" t="inlineStr">
        <is>
          <t>UNKNOWN</t>
        </is>
      </c>
      <c r="AF106" t="n">
        <v>0</v>
      </c>
      <c r="AG106" t="inlineStr">
        <is>
          <t>No</t>
        </is>
      </c>
      <c r="AH106" t="inlineStr">
        <is>
          <t>NOT_MENTIONED</t>
        </is>
      </c>
      <c r="AI106" t="inlineStr">
        <is>
          <t>No mention of PPO or conversion in the job description snippet.</t>
        </is>
      </c>
      <c r="AK106" t="inlineStr">
        <is>
          <t>Location is Delhi, India while candidate prefers Bengaluru.; Stipend is completely unspecified.; Job description is very brief and lacks specific technology stack details.</t>
        </is>
      </c>
      <c r="AL106" t="inlineStr">
        <is>
          <t>Full stack web development architecture; Experience with distributed systems or security basics; Project lifecycle and deployment</t>
        </is>
      </c>
    </row>
    <row r="107">
      <c r="A107" t="inlineStr">
        <is>
          <t>TECHOLUTION--261002-106</t>
        </is>
      </c>
      <c r="B107" t="inlineStr">
        <is>
          <t>Techolution India Private Limited</t>
        </is>
      </c>
      <c r="C107" t="inlineStr">
        <is>
          <t>Full Stack Developer- Intern</t>
        </is>
      </c>
      <c r="D107" t="inlineStr">
        <is>
          <t>https://www.adzuna.in/details/5857747993?utm_medium=api&amp;utm_source=5ccdc27f</t>
        </is>
      </c>
      <c r="E107" t="inlineStr">
        <is>
          <t>AI Analyzer</t>
        </is>
      </c>
      <c r="F107" t="inlineStr">
        <is>
          <t>Hyderabad, Telangana</t>
        </is>
      </c>
      <c r="G107" t="inlineStr">
        <is>
          <t>Unknown</t>
        </is>
      </c>
      <c r="H107" t="inlineStr">
        <is>
          <t>Not specified</t>
        </is>
      </c>
      <c r="I107" t="inlineStr">
        <is>
          <t>Unknown</t>
        </is>
      </c>
      <c r="J107" t="inlineStr">
        <is>
          <t>Not Mentioned</t>
        </is>
      </c>
      <c r="K107" t="inlineStr">
        <is>
          <t>HTML; CSS; JavaScript; Node.js; MongoDB; React</t>
        </is>
      </c>
      <c r="M107" t="inlineStr">
        <is>
          <t>Develop responsive and user-friendly web applications using HTML , CSS , and JavaScript , ensuring seamless cross-browser compatibility and optimal performance Collaborate with senior developers to implement robust backend functionality using Node.js and MongoDB , focusing on scalable and efficient database operations Create dynamic and interactive user interfaces with React , incorporating modern design principles and state management techniques Participate in code reviews, providing construct…</t>
        </is>
      </c>
      <c r="N107" t="n">
        <v>77</v>
      </c>
      <c r="O107" t="n">
        <v>95</v>
      </c>
      <c r="P107" t="n">
        <v>90</v>
      </c>
      <c r="Q107" t="n">
        <v>95</v>
      </c>
      <c r="R107" t="n">
        <v>40</v>
      </c>
      <c r="S107" t="n">
        <v>40</v>
      </c>
      <c r="T107" t="n">
        <v>60</v>
      </c>
      <c r="U107" t="inlineStr">
        <is>
          <t>CONSIDER</t>
        </is>
      </c>
      <c r="V107" t="inlineStr">
        <is>
          <t>CONSIDER</t>
        </is>
      </c>
      <c r="X107" t="inlineStr">
        <is>
          <t>Standard Full Stack / MERN Resume</t>
        </is>
      </c>
      <c r="Y107" t="inlineStr">
        <is>
          <t>2026-10-02</t>
        </is>
      </c>
      <c r="Z107" t="inlineStr">
        <is>
          <t>The tech stack (HTML, CSS, JavaScript, React, Node.js, MongoDB) is an exact match for demonstrated skills.; Strong experience fit with MERN stack projects like StaySphere and Zenvest as well as professional internship experience.</t>
        </is>
      </c>
      <c r="AA107" t="inlineStr">
        <is>
          <t>Eligible</t>
        </is>
      </c>
      <c r="AB107" t="inlineStr">
        <is>
          <t>Role matches primary and secondary targets for internships; No degree or graduation year hard blockers mentioned in the short JD snippet</t>
        </is>
      </c>
      <c r="AC107" t="inlineStr">
        <is>
          <t>Unknown</t>
        </is>
      </c>
      <c r="AD107" t="inlineStr">
        <is>
          <t>Availability not explicitly specified in the candidate profile for this specific date</t>
        </is>
      </c>
      <c r="AE107" t="inlineStr">
        <is>
          <t>UNKNOWN</t>
        </is>
      </c>
      <c r="AF107" t="n">
        <v>0</v>
      </c>
      <c r="AG107" t="inlineStr">
        <is>
          <t>No</t>
        </is>
      </c>
      <c r="AH107" t="inlineStr">
        <is>
          <t>Not Mentioned</t>
        </is>
      </c>
      <c r="AI107" t="inlineStr">
        <is>
          <t>No mention of PPO or permanent conversion in the provided job description snippet.</t>
        </is>
      </c>
      <c r="AK107" t="inlineStr">
        <is>
          <t>Location is Hyderabad, whereas candidate prefers Bengaluru; Stipend is completely undisclosed; PPO information is missing</t>
        </is>
      </c>
      <c r="AL107" t="inlineStr">
        <is>
          <t>React state management techniques and component lifecycles; Node.js and MongoDB backend scalability and aggregation pipelines; Cross-browser compatibility best practices in HTML/CSS/JavaScript</t>
        </is>
      </c>
    </row>
    <row r="108">
      <c r="A108" t="inlineStr">
        <is>
          <t>STATNETICS-(-261002-107</t>
        </is>
      </c>
      <c r="B108" t="inlineStr">
        <is>
          <t>statnetics (CloudQA)</t>
        </is>
      </c>
      <c r="C108" t="inlineStr">
        <is>
          <t>Junior Full Stack Developer- Internship</t>
        </is>
      </c>
      <c r="D108" t="inlineStr">
        <is>
          <t>https://www.adzuna.in/details/2044154319?utm_medium=api&amp;utm_source=5ccdc27f</t>
        </is>
      </c>
      <c r="E108" t="inlineStr">
        <is>
          <t>AI Analyzer</t>
        </is>
      </c>
      <c r="F108" t="inlineStr">
        <is>
          <t>Hyderabad, Telangana</t>
        </is>
      </c>
      <c r="G108" t="inlineStr">
        <is>
          <t>Unknown</t>
        </is>
      </c>
      <c r="H108" t="inlineStr">
        <is>
          <t>Not specified</t>
        </is>
      </c>
      <c r="I108" t="inlineStr">
        <is>
          <t>Unknown</t>
        </is>
      </c>
      <c r="J108" t="inlineStr">
        <is>
          <t>Not Mentioned</t>
        </is>
      </c>
      <c r="K108" t="inlineStr">
        <is>
          <t>Front-end development; Back-end development</t>
        </is>
      </c>
      <c r="M108" t="inlineStr">
        <is>
          <t>CloudQA is a bootstrapped SaaS startup based out of Hyderabad. Our web application testing tools have helped companies ensure their customers get the best digital experiences. You would be working on a world class product in a technically strong team competing with ex-google teams and silicon valley startups. CloudQA is used by some of the leading enterprises, govt institutions and rising startups across the world.We seek a strong technical background in both front-end and back-end development.…</t>
        </is>
      </c>
      <c r="N108" t="n">
        <v>66</v>
      </c>
      <c r="O108" t="n">
        <v>75</v>
      </c>
      <c r="P108" t="n">
        <v>80</v>
      </c>
      <c r="Q108" t="n">
        <v>80</v>
      </c>
      <c r="R108" t="n">
        <v>40</v>
      </c>
      <c r="S108" t="n">
        <v>30</v>
      </c>
      <c r="T108" t="n">
        <v>60</v>
      </c>
      <c r="U108" t="inlineStr">
        <is>
          <t>STRETCH</t>
        </is>
      </c>
      <c r="V108" t="inlineStr">
        <is>
          <t>STRETCH</t>
        </is>
      </c>
      <c r="X108" t="inlineStr">
        <is>
          <t>Standard Full Stack Resume</t>
        </is>
      </c>
      <c r="Y108" t="inlineStr">
        <is>
          <t>2026-10-02</t>
        </is>
      </c>
      <c r="Z108" t="inlineStr">
        <is>
          <t>Matches the Full Stack Developer Intern target role.; Good opportunity to work in a SaaS startup environment.</t>
        </is>
      </c>
      <c r="AA108" t="inlineStr">
        <is>
          <t>Eligible</t>
        </is>
      </c>
      <c r="AB108" t="inlineStr">
        <is>
          <t>Candidate is an MCA student matching the full stack developer internship criteria.</t>
        </is>
      </c>
      <c r="AC108" t="inlineStr">
        <is>
          <t>Unknown</t>
        </is>
      </c>
      <c r="AD108" t="inlineStr">
        <is>
          <t>Not specified in candidate profile or career brain.</t>
        </is>
      </c>
      <c r="AE108" t="inlineStr">
        <is>
          <t>UNKNOWN</t>
        </is>
      </c>
      <c r="AF108" t="n">
        <v>0</v>
      </c>
      <c r="AG108" t="inlineStr">
        <is>
          <t>No</t>
        </is>
      </c>
      <c r="AH108" t="inlineStr">
        <is>
          <t>Not Mentioned</t>
        </is>
      </c>
      <c r="AI108" t="inlineStr">
        <is>
          <t>The job description does not mention PPO or conversion opportunities.</t>
        </is>
      </c>
      <c r="AK108" t="inlineStr">
        <is>
          <t>Location is Hyderabad, whereas candidate prefers Bengaluru.; Stipend is completely unknown.; PPO not mentioned.</t>
        </is>
      </c>
      <c r="AL108" t="inlineStr">
        <is>
          <t>Full-stack architecture; Front-end and back-end integration; Problem-solving and SaaS product development</t>
        </is>
      </c>
    </row>
    <row r="109">
      <c r="A109" t="inlineStr">
        <is>
          <t>TRANSFI-261002-108</t>
        </is>
      </c>
      <c r="B109" t="inlineStr">
        <is>
          <t>TransFi</t>
        </is>
      </c>
      <c r="C109" t="inlineStr">
        <is>
          <t>MERN Full Stack Developer Intern</t>
        </is>
      </c>
      <c r="D109" t="inlineStr">
        <is>
          <t>https://www.adzuna.in/details/4476844222?utm_medium=api&amp;utm_source=5ccdc27f</t>
        </is>
      </c>
      <c r="E109" t="inlineStr">
        <is>
          <t>AI Analyzer</t>
        </is>
      </c>
      <c r="F109" t="inlineStr">
        <is>
          <t>Mysore, Karnataka</t>
        </is>
      </c>
      <c r="G109" t="inlineStr">
        <is>
          <t>On-site</t>
        </is>
      </c>
      <c r="H109" t="inlineStr">
        <is>
          <t>Not specified</t>
        </is>
      </c>
      <c r="I109" t="inlineStr">
        <is>
          <t>Not specified</t>
        </is>
      </c>
      <c r="J109" t="inlineStr">
        <is>
          <t>UNKNOWN</t>
        </is>
      </c>
      <c r="K109" t="inlineStr">
        <is>
          <t>JavaScript; Node.js; Express.js; MongoDB; React.js; REST APIs</t>
        </is>
      </c>
      <c r="L109" t="inlineStr">
        <is>
          <t>Unit Testing; Integration Testing</t>
        </is>
      </c>
      <c r="M109" t="inlineStr">
        <is>
          <t>Binding of UI elements to JavaScript object models Creating RESTful services with Node.js MERN stack developer must have proven experience in front &amp; back-end development Work in a cross-functional team to deliver a complete user experience Developer must expertise into MongoDB, Express, Node.js, &amp; React. Create Unit and Integration tests to ensure the quality of code MERN full stack developer must have the ability to wear many hats and learn new technologies quickly Understanding &amp; proficiency…</t>
        </is>
      </c>
      <c r="N109" t="n">
        <v>76</v>
      </c>
      <c r="O109" t="n">
        <v>90</v>
      </c>
      <c r="P109" t="n">
        <v>85</v>
      </c>
      <c r="Q109" t="n">
        <v>95</v>
      </c>
      <c r="R109" t="n">
        <v>50</v>
      </c>
      <c r="S109" t="n">
        <v>40</v>
      </c>
      <c r="T109" t="n">
        <v>60</v>
      </c>
      <c r="U109" t="inlineStr">
        <is>
          <t>CONSIDER</t>
        </is>
      </c>
      <c r="V109" t="inlineStr">
        <is>
          <t>CONSIDER</t>
        </is>
      </c>
      <c r="W109" t="inlineStr">
        <is>
          <t>Unit Testing; Integration Testing</t>
        </is>
      </c>
      <c r="X109" t="inlineStr">
        <is>
          <t>Primary MERN / Full Stack Resume</t>
        </is>
      </c>
      <c r="Y109" t="inlineStr">
        <is>
          <t>2026-10-02</t>
        </is>
      </c>
      <c r="Z109" t="inlineStr">
        <is>
          <t>Direct technical match for MERN Stack Developer Intern role.; Strong project and internship experience in Node.js, Express, MongoDB, and React/Angular.</t>
        </is>
      </c>
      <c r="AA109" t="inlineStr">
        <is>
          <t>ELIGIBLE</t>
        </is>
      </c>
      <c r="AB109" t="inlineStr">
        <is>
          <t>Candidate profile aligns with MERN stack developer intern roles.; No strict degree or graduation year hard blockers mentioned in the description.</t>
        </is>
      </c>
      <c r="AC109" t="inlineStr">
        <is>
          <t>UNKNOWN</t>
        </is>
      </c>
      <c r="AD109" t="inlineStr">
        <is>
          <t>Exact start and end availability dates not specified in the job description.</t>
        </is>
      </c>
      <c r="AE109" t="inlineStr">
        <is>
          <t>UNKNOWN</t>
        </is>
      </c>
      <c r="AF109" t="n">
        <v>0</v>
      </c>
      <c r="AG109" t="inlineStr">
        <is>
          <t>No</t>
        </is>
      </c>
      <c r="AH109" t="inlineStr">
        <is>
          <t>UNKNOWN</t>
        </is>
      </c>
      <c r="AI109" t="inlineStr">
        <is>
          <t>No explicit mention of PPO or conversion opportunities in the short description.</t>
        </is>
      </c>
      <c r="AK109" t="inlineStr">
        <is>
          <t>Location is Mysore, Karnataka while candidate prefers Bengaluru or remote.; Stipend is completely undisclosed.</t>
        </is>
      </c>
      <c r="AL109" t="inlineStr">
        <is>
          <t>Building RESTful services with Node.js and Express; State management and UI binding in React; MongoDB schema design and database optimization; Writing unit and integration tests for full stack applications</t>
        </is>
      </c>
    </row>
    <row r="110">
      <c r="A110" t="inlineStr">
        <is>
          <t>KEYSHADE-261002-109</t>
        </is>
      </c>
      <c r="B110" t="inlineStr">
        <is>
          <t>keyshade</t>
        </is>
      </c>
      <c r="C110" t="inlineStr">
        <is>
          <t>Full-Stack Developer Intern</t>
        </is>
      </c>
      <c r="D110" t="inlineStr">
        <is>
          <t>https://www.adzuna.in/details/5006488241?utm_medium=api&amp;utm_source=5ccdc27f</t>
        </is>
      </c>
      <c r="E110" t="inlineStr">
        <is>
          <t>AI Analyzer</t>
        </is>
      </c>
      <c r="F110" t="inlineStr">
        <is>
          <t>India</t>
        </is>
      </c>
      <c r="G110" t="inlineStr">
        <is>
          <t>Remote</t>
        </is>
      </c>
      <c r="I110" t="inlineStr">
        <is>
          <t>Not specified</t>
        </is>
      </c>
      <c r="J110" t="inlineStr">
        <is>
          <t>Not Mentioned</t>
        </is>
      </c>
      <c r="K110" t="inlineStr">
        <is>
          <t>Full Stack Development; GitHub contribution</t>
        </is>
      </c>
      <c r="M110" t="inlineStr">
        <is>
          <t>Due to the high volume of applicants, we are only able to interview candidates who have actively contributed to Keyshade by attempting at least one of our GitHub (https://git.new/keyshade) issues. It’s okay if your PR doesn’t get merged—we are looking for genuine effort. Please include your GitHub username in the question section of this job post. We’re looking for a talented Full Stack Intern who thrives in a collaborative, fast-paced environment (but without the hustle culture). You’ll work o…</t>
        </is>
      </c>
      <c r="N110" t="n">
        <v>62</v>
      </c>
      <c r="O110" t="n">
        <v>75</v>
      </c>
      <c r="P110" t="n">
        <v>80</v>
      </c>
      <c r="Q110" t="n">
        <v>80</v>
      </c>
      <c r="R110" t="n">
        <v>40</v>
      </c>
      <c r="S110" t="n">
        <v>0</v>
      </c>
      <c r="T110" t="n">
        <v>50</v>
      </c>
      <c r="U110" t="inlineStr">
        <is>
          <t>SKIP</t>
        </is>
      </c>
      <c r="V110" t="inlineStr">
        <is>
          <t>SKIP</t>
        </is>
      </c>
      <c r="X110" t="inlineStr">
        <is>
          <t>Amaanuddin_Ahmed_Resume_Full_Stack.pdf</t>
        </is>
      </c>
      <c r="Y110" t="inlineStr">
        <is>
          <t>2026-10-02</t>
        </is>
      </c>
      <c r="Z110" t="inlineStr">
        <is>
          <t>Aligns with Full Stack Developer Intern target role.; Matches candidate's tech stack experience.</t>
        </is>
      </c>
      <c r="AA110" t="inlineStr">
        <is>
          <t>Eligible</t>
        </is>
      </c>
      <c r="AC110" t="inlineStr">
        <is>
          <t>Unknown</t>
        </is>
      </c>
      <c r="AD110" t="inlineStr">
        <is>
          <t>Not specified in candidate profile.</t>
        </is>
      </c>
      <c r="AE110" t="inlineStr">
        <is>
          <t>UNKNOWN</t>
        </is>
      </c>
      <c r="AF110" t="n">
        <v>0</v>
      </c>
      <c r="AG110" t="inlineStr">
        <is>
          <t>No</t>
        </is>
      </c>
      <c r="AH110" t="inlineStr">
        <is>
          <t>Not Mentioned</t>
        </is>
      </c>
      <c r="AI110" t="inlineStr">
        <is>
          <t>No mention of PPO or conversion in the short job description snippet.</t>
        </is>
      </c>
      <c r="AJ110" t="inlineStr">
        <is>
          <t>Requires active contribution to Keyshade by attempting at least one GitHub issue</t>
        </is>
      </c>
      <c r="AK110" t="inlineStr">
        <is>
          <t>Mandatory pre-application GitHub issue contribution required before being considered for interview.</t>
        </is>
      </c>
      <c r="AL110" t="inlineStr">
        <is>
          <t>Previous full stack project contributions; GitHub issue resolution approach</t>
        </is>
      </c>
    </row>
    <row r="111">
      <c r="A111" t="inlineStr">
        <is>
          <t>GETA-AI-LABS-261002-110</t>
        </is>
      </c>
      <c r="B111" t="inlineStr">
        <is>
          <t>Geta AI Labs Pvt Ltd</t>
        </is>
      </c>
      <c r="C111" t="inlineStr">
        <is>
          <t>Full Stack Development Intern (MERN Python)</t>
        </is>
      </c>
      <c r="D111" t="inlineStr">
        <is>
          <t>https://www.adzuna.in/details/5876449427?utm_medium=api&amp;utm_source=5ccdc27f</t>
        </is>
      </c>
      <c r="E111" t="inlineStr">
        <is>
          <t>AI Analyzer</t>
        </is>
      </c>
      <c r="F111" t="inlineStr">
        <is>
          <t>Pune, Maharashtra</t>
        </is>
      </c>
      <c r="G111" t="inlineStr">
        <is>
          <t>On-site</t>
        </is>
      </c>
      <c r="H111" t="inlineStr">
        <is>
          <t>Not specified</t>
        </is>
      </c>
      <c r="I111" t="inlineStr">
        <is>
          <t>Not specified</t>
        </is>
      </c>
      <c r="J111" t="inlineStr">
        <is>
          <t>NOT_MENTIONED</t>
        </is>
      </c>
      <c r="K111" t="inlineStr">
        <is>
          <t>MERN Stack; Python</t>
        </is>
      </c>
      <c r="M111" t="inlineStr">
        <is>
          <t>We are looking for a highly motivated and curious Full Stack Development Intern to join our engineering team. In this role, you will gain hands-on experience building scalable web applications and backend services. You will work across the entire stack, utilizing MERN technologies alongside Python to solve real-world problems. This is an excellent opportunity to learn from experienced developers, write production-level code, and kickstart your career in software engineering. Key Responsibilitie…</t>
        </is>
      </c>
      <c r="N111" t="n">
        <v>53</v>
      </c>
      <c r="O111" t="n">
        <v>70</v>
      </c>
      <c r="P111" t="n">
        <v>80</v>
      </c>
      <c r="Q111" t="n">
        <v>75</v>
      </c>
      <c r="R111" t="n">
        <v>0</v>
      </c>
      <c r="S111" t="n">
        <v>0</v>
      </c>
      <c r="T111" t="n">
        <v>50</v>
      </c>
      <c r="U111" t="inlineStr">
        <is>
          <t>SKIP</t>
        </is>
      </c>
      <c r="V111" t="inlineStr">
        <is>
          <t>SKIP</t>
        </is>
      </c>
      <c r="W111" t="inlineStr">
        <is>
          <t>Python</t>
        </is>
      </c>
      <c r="X111" t="inlineStr">
        <is>
          <t>Default Full Stack / MERN Resume</t>
        </is>
      </c>
      <c r="Y111" t="inlineStr">
        <is>
          <t>2026-10-02</t>
        </is>
      </c>
      <c r="Z111" t="inlineStr">
        <is>
          <t>Aligns with primary target roles for Full Stack internships.</t>
        </is>
      </c>
      <c r="AA111" t="inlineStr">
        <is>
          <t>BLOCKED</t>
        </is>
      </c>
      <c r="AB111" t="inlineStr">
        <is>
          <t>Job location is Pune, Maharashtra, while candidate preferred locations are Bengaluru or remote.</t>
        </is>
      </c>
      <c r="AC111" t="inlineStr">
        <is>
          <t>UNKNOWN</t>
        </is>
      </c>
      <c r="AD111" t="inlineStr">
        <is>
          <t>Candidate availability relative to start date is not specified in the career brain.</t>
        </is>
      </c>
      <c r="AE111" t="inlineStr">
        <is>
          <t>UNKNOWN</t>
        </is>
      </c>
      <c r="AF111" t="n">
        <v>0</v>
      </c>
      <c r="AG111" t="inlineStr">
        <is>
          <t>No</t>
        </is>
      </c>
      <c r="AH111" t="inlineStr">
        <is>
          <t>NOT_MENTIONED</t>
        </is>
      </c>
      <c r="AI111" t="inlineStr">
        <is>
          <t>The job description does not mention PPO or conversion to full-time.</t>
        </is>
      </c>
      <c r="AJ111" t="inlineStr">
        <is>
          <t>Location mismatch: Pune, Maharashtra vs Preferred Bengaluru/Remote</t>
        </is>
      </c>
      <c r="AK111" t="inlineStr">
        <is>
          <t>Unknown stipend; No PPO mentioned; Location mismatch</t>
        </is>
      </c>
      <c r="AL111" t="inlineStr">
        <is>
          <t>MERN stack architecture; Python backend integration with Node/Express; REST API development</t>
        </is>
      </c>
    </row>
    <row r="112">
      <c r="A112" t="inlineStr">
        <is>
          <t>GURURO-261002-111</t>
        </is>
      </c>
      <c r="B112" t="inlineStr">
        <is>
          <t>Gururo</t>
        </is>
      </c>
      <c r="C112" t="inlineStr">
        <is>
          <t>Full Stack Developer – Intern/Fresher/Experienced</t>
        </is>
      </c>
      <c r="D112" t="inlineStr">
        <is>
          <t>https://www.adzuna.in/details/5409733921?utm_medium=api&amp;utm_source=5ccdc27f</t>
        </is>
      </c>
      <c r="E112" t="inlineStr">
        <is>
          <t>AI Analyzer</t>
        </is>
      </c>
      <c r="F112" t="inlineStr">
        <is>
          <t>Vadodara, Gujarat</t>
        </is>
      </c>
      <c r="G112" t="inlineStr">
        <is>
          <t>Unknown</t>
        </is>
      </c>
      <c r="H112" t="inlineStr">
        <is>
          <t>Based on experience and role</t>
        </is>
      </c>
      <c r="I112" t="inlineStr">
        <is>
          <t>Minimum 3 months</t>
        </is>
      </c>
      <c r="J112" t="inlineStr">
        <is>
          <t>NOT_MENTIONED</t>
        </is>
      </c>
      <c r="K112" t="inlineStr">
        <is>
          <t>Full Stack Development</t>
        </is>
      </c>
      <c r="M112" t="inlineStr">
        <is>
          <t>Location: Vadodara Type: Full-time / Internship Duration (for interns): Minimum 3 months Stipend/CTC: Based on experience and role About Gururo Gururo is an industry leader in practical, career-transforming education. With a mission to empower professionals and students through real-world skills, we specialize in project management, leadership development, and emerging technologies. Join our fast-paced, mission-driven team and help build scalable, intelligent platforms that impact thousands glo…</t>
        </is>
      </c>
      <c r="N112" t="n">
        <v>69</v>
      </c>
      <c r="O112" t="n">
        <v>80</v>
      </c>
      <c r="P112" t="n">
        <v>85</v>
      </c>
      <c r="Q112" t="n">
        <v>80</v>
      </c>
      <c r="R112" t="n">
        <v>40</v>
      </c>
      <c r="S112" t="n">
        <v>40</v>
      </c>
      <c r="T112" t="n">
        <v>60</v>
      </c>
      <c r="U112" t="inlineStr">
        <is>
          <t>STRETCH</t>
        </is>
      </c>
      <c r="V112" t="inlineStr">
        <is>
          <t>STRETCH</t>
        </is>
      </c>
      <c r="X112" t="inlineStr">
        <is>
          <t>Standard Full Stack Resume</t>
        </is>
      </c>
      <c r="Y112" t="inlineStr">
        <is>
          <t>2026-10-02</t>
        </is>
      </c>
      <c r="Z112" t="inlineStr">
        <is>
          <t>Matches target Full Stack Developer Intern role; Open to interns and freshers</t>
        </is>
      </c>
      <c r="AA112" t="inlineStr">
        <is>
          <t>ELIGIBLE</t>
        </is>
      </c>
      <c r="AB112" t="inlineStr">
        <is>
          <t>Open to interns and freshers</t>
        </is>
      </c>
      <c r="AC112" t="inlineStr">
        <is>
          <t>UNKNOWN</t>
        </is>
      </c>
      <c r="AD112" t="inlineStr">
        <is>
          <t>Start date not specified</t>
        </is>
      </c>
      <c r="AE112" t="inlineStr">
        <is>
          <t>UNKNOWN</t>
        </is>
      </c>
      <c r="AF112" t="n">
        <v>0</v>
      </c>
      <c r="AG112" t="inlineStr">
        <is>
          <t>No</t>
        </is>
      </c>
      <c r="AH112" t="inlineStr">
        <is>
          <t>NOT_MENTIONED</t>
        </is>
      </c>
      <c r="AI112" t="inlineStr">
        <is>
          <t>No conversion or PPO mentioned in the job description.</t>
        </is>
      </c>
      <c r="AK112" t="inlineStr">
        <is>
          <t>Location is Vadodara, Gujarat while candidate prefers Bengaluru or remote; Stipend is undisclosed</t>
        </is>
      </c>
      <c r="AL112" t="inlineStr">
        <is>
          <t>Full stack system design and development workflow; Previous full stack internship experience; Handling end-to-end web deployment</t>
        </is>
      </c>
    </row>
    <row r="113">
      <c r="A113" t="inlineStr">
        <is>
          <t>SOFTTECHOVER-261002-112</t>
        </is>
      </c>
      <c r="B113" t="inlineStr">
        <is>
          <t>Softtechover</t>
        </is>
      </c>
      <c r="C113" t="inlineStr">
        <is>
          <t>PHP/Laravel/Vue/React &amp; Full-Stack Developer Intern</t>
        </is>
      </c>
      <c r="D113" t="inlineStr">
        <is>
          <t>https://www.adzuna.in/details/5905434316?utm_medium=api&amp;utm_source=5ccdc27f</t>
        </is>
      </c>
      <c r="E113" t="inlineStr">
        <is>
          <t>AI Analyzer</t>
        </is>
      </c>
      <c r="F113" t="inlineStr">
        <is>
          <t>Bhavnagar, Gujarat</t>
        </is>
      </c>
      <c r="G113" t="inlineStr">
        <is>
          <t>On-site</t>
        </is>
      </c>
      <c r="I113" t="inlineStr">
        <is>
          <t>6 months</t>
        </is>
      </c>
      <c r="J113" t="inlineStr">
        <is>
          <t>Not Mentioned</t>
        </is>
      </c>
      <c r="K113" t="inlineStr">
        <is>
          <t>PHP; Laravel; Vue.js; React.js</t>
        </is>
      </c>
      <c r="L113" t="inlineStr">
        <is>
          <t>Next.js; Android App Development; iOS App Development; Flutter; React Native</t>
        </is>
      </c>
      <c r="M113" t="inlineStr">
        <is>
          <t>Laravel Development PHP Development Ecommerce Development Customized Web Development VueJs Development NextJs Development ReactJs Development Android App Development iOS App Development Flutter App Development React Native App Development Web Redesigning We are looking for motivated and passionate freshers who want to start their career in Web and Full-Stack Development. This is a 6-month practical internship program where you will learn the fundamentals of modern web development and work with …</t>
        </is>
      </c>
      <c r="N113" t="n">
        <v>35</v>
      </c>
      <c r="O113" t="n">
        <v>40</v>
      </c>
      <c r="P113" t="n">
        <v>50</v>
      </c>
      <c r="Q113" t="n">
        <v>60</v>
      </c>
      <c r="R113" t="n">
        <v>0</v>
      </c>
      <c r="S113" t="n">
        <v>0</v>
      </c>
      <c r="T113" t="n">
        <v>40</v>
      </c>
      <c r="U113" t="inlineStr">
        <is>
          <t>SKIP</t>
        </is>
      </c>
      <c r="V113" t="inlineStr">
        <is>
          <t>SKIP</t>
        </is>
      </c>
      <c r="W113" t="inlineStr">
        <is>
          <t>PHP; Laravel; Vue.js; Next.js</t>
        </is>
      </c>
      <c r="X113" t="inlineStr">
        <is>
          <t>Amaanuddin_Ahmed_Resume_FullStack.pdf</t>
        </is>
      </c>
      <c r="Y113" t="inlineStr">
        <is>
          <t>2026-10-02</t>
        </is>
      </c>
      <c r="Z113" t="inlineStr">
        <is>
          <t>It is a full-stack developer internship position</t>
        </is>
      </c>
      <c r="AA113" t="inlineStr">
        <is>
          <t>Eligible</t>
        </is>
      </c>
      <c r="AB113" t="inlineStr">
        <is>
          <t>Target role matches full stack development intern profile</t>
        </is>
      </c>
      <c r="AC113" t="inlineStr">
        <is>
          <t>Unknown</t>
        </is>
      </c>
      <c r="AD113" t="inlineStr">
        <is>
          <t>Not specified in the job description</t>
        </is>
      </c>
      <c r="AE113" t="inlineStr">
        <is>
          <t>UNKNOWN</t>
        </is>
      </c>
      <c r="AF113" t="n">
        <v>0</v>
      </c>
      <c r="AG113" t="inlineStr">
        <is>
          <t>No</t>
        </is>
      </c>
      <c r="AH113" t="inlineStr">
        <is>
          <t>Not Mentioned</t>
        </is>
      </c>
      <c r="AI113" t="inlineStr">
        <is>
          <t>No mention of PPO or conversion in the job description.</t>
        </is>
      </c>
      <c r="AK113" t="inlineStr">
        <is>
          <t>Location is Bhavnagar, Gujarat while candidate prefers Bengaluru or remote; Stipend is unknown; Requires PHP and Laravel which are not core demonstrated skills</t>
        </is>
      </c>
      <c r="AL113" t="inlineStr">
        <is>
          <t>PHP and Laravel fundamentals; Vue.js vs React.js experience; Full-stack development workflow</t>
        </is>
      </c>
    </row>
    <row r="114">
      <c r="A114" t="inlineStr">
        <is>
          <t>WORQL-261002-113</t>
        </is>
      </c>
      <c r="B114" t="inlineStr">
        <is>
          <t>Worql</t>
        </is>
      </c>
      <c r="C114" t="inlineStr">
        <is>
          <t>Full-Stack Developer Intern</t>
        </is>
      </c>
      <c r="D114" t="inlineStr">
        <is>
          <t>https://www.adzuna.in/details/5795401527?utm_medium=api&amp;utm_source=5ccdc27f</t>
        </is>
      </c>
      <c r="E114" t="inlineStr">
        <is>
          <t>AI Analyzer</t>
        </is>
      </c>
      <c r="F114" t="inlineStr">
        <is>
          <t>India</t>
        </is>
      </c>
      <c r="G114" t="inlineStr">
        <is>
          <t>remote</t>
        </is>
      </c>
      <c r="H114" t="inlineStr">
        <is>
          <t>Not specified</t>
        </is>
      </c>
      <c r="I114" t="inlineStr">
        <is>
          <t>Not specified</t>
        </is>
      </c>
      <c r="J114" t="inlineStr">
        <is>
          <t>UNKNOWN</t>
        </is>
      </c>
      <c r="K114" t="inlineStr">
        <is>
          <t>Next.js; TypeScript</t>
        </is>
      </c>
      <c r="L114" t="inlineStr">
        <is>
          <t>LLM; GitHub</t>
        </is>
      </c>
      <c r="M114" t="inlineStr">
        <is>
          <t>Worql is building the contract and delivery infrastructure for the US-India engineering corridor. This is a founding-level engineering role. The bar is high, the ownership is real, and you'll work directly with the founder. What you'll do: ship the core product end to end. Our Next.js app assembles US-India contracts from a vetted clause library, runs a multi-pass LLM pipeline, and verifies delivery through a GitHub-integrated layer. You own features from schema to UI, ship them, and prove they…</t>
        </is>
      </c>
      <c r="N114" t="n">
        <v>51</v>
      </c>
      <c r="O114" t="n">
        <v>40</v>
      </c>
      <c r="P114" t="n">
        <v>60</v>
      </c>
      <c r="Q114" t="n">
        <v>80</v>
      </c>
      <c r="R114" t="n">
        <v>50</v>
      </c>
      <c r="S114" t="n">
        <v>0</v>
      </c>
      <c r="T114" t="n">
        <v>75</v>
      </c>
      <c r="U114" t="inlineStr">
        <is>
          <t>SKIP</t>
        </is>
      </c>
      <c r="V114" t="inlineStr">
        <is>
          <t>SKIP</t>
        </is>
      </c>
      <c r="W114" t="inlineStr">
        <is>
          <t>Next.js; TypeScript</t>
        </is>
      </c>
      <c r="X114" t="inlineStr">
        <is>
          <t>Standard Full Stack Resume</t>
        </is>
      </c>
      <c r="Y114" t="inlineStr">
        <is>
          <t>2026-10-02</t>
        </is>
      </c>
      <c r="Z114" t="inlineStr">
        <is>
          <t>Founding-level engineering role working directly with the founder.; Involves building core product end-to-end with modern tech stacks.</t>
        </is>
      </c>
      <c r="AA114" t="inlineStr">
        <is>
          <t>ELIGIBLE</t>
        </is>
      </c>
      <c r="AB114" t="inlineStr">
        <is>
          <t>Role matches target role criteria as a Full Stack Developer Intern.; Work mode is remote, which is acceptable.</t>
        </is>
      </c>
      <c r="AC114" t="inlineStr">
        <is>
          <t>UNKNOWN</t>
        </is>
      </c>
      <c r="AD114" t="inlineStr">
        <is>
          <t>Not specified in candidate profile or job description.</t>
        </is>
      </c>
      <c r="AE114" t="inlineStr">
        <is>
          <t>UNKNOWN</t>
        </is>
      </c>
      <c r="AF114" t="n">
        <v>0</v>
      </c>
      <c r="AG114" t="inlineStr">
        <is>
          <t>No</t>
        </is>
      </c>
      <c r="AH114" t="inlineStr">
        <is>
          <t>UNKNOWN</t>
        </is>
      </c>
      <c r="AI114" t="inlineStr">
        <is>
          <t>No explicit PPO or conversion mention found in the job description.</t>
        </is>
      </c>
      <c r="AK114" t="inlineStr">
        <is>
          <t>Stipend is not disclosed.</t>
        </is>
      </c>
      <c r="AL114" t="inlineStr">
        <is>
          <t>Next.js app architecture and server-side rendering; TypeScript advanced types and generics; Integrating LLM pipelines into full-stack applications; GitHub integration workflows</t>
        </is>
      </c>
    </row>
    <row r="115">
      <c r="A115" t="inlineStr">
        <is>
          <t>FCC-261002-114</t>
        </is>
      </c>
      <c r="B115" t="inlineStr">
        <is>
          <t>FcC</t>
        </is>
      </c>
      <c r="C115" t="inlineStr">
        <is>
          <t>Full Stack Software Developer Intern</t>
        </is>
      </c>
      <c r="D115" t="inlineStr">
        <is>
          <t>https://www.adzuna.in/details/5845820612?utm_medium=api&amp;utm_source=5ccdc27f</t>
        </is>
      </c>
      <c r="E115" t="inlineStr">
        <is>
          <t>AI Analyzer</t>
        </is>
      </c>
      <c r="F115" t="inlineStr">
        <is>
          <t>Delhi, India (Remote)</t>
        </is>
      </c>
      <c r="G115" t="inlineStr">
        <is>
          <t>Remote</t>
        </is>
      </c>
      <c r="H115" t="inlineStr">
        <is>
          <t>Unpaid</t>
        </is>
      </c>
      <c r="I115" t="inlineStr">
        <is>
          <t>6 Months</t>
        </is>
      </c>
      <c r="J115" t="inlineStr">
        <is>
          <t>NOT_MENTIONED</t>
        </is>
      </c>
      <c r="K115" t="inlineStr">
        <is>
          <t>Frontend; Backend; Databases; APIs; Authentication; Deployment</t>
        </is>
      </c>
      <c r="M115" t="inlineStr">
        <is>
          <t>Full Stack Software Developer Intern FcC Fluency Convenience Consistency Remote India About the Job Internship Type Unpaid Internship Duration 6 Months Mode Remote Joining Immediate Stipend unpaid Working Hours 4045 hours per week About the Role FcC is looking for a passionate and motivated Full Stack Software Developer Intern to join our technology team and help build and improve our EdTech platform You will work across frontend backend databases APIs authentication and deployment contributing…</t>
        </is>
      </c>
      <c r="N115" t="n">
        <v>62</v>
      </c>
      <c r="O115" t="n">
        <v>90</v>
      </c>
      <c r="P115" t="n">
        <v>90</v>
      </c>
      <c r="Q115" t="n">
        <v>90</v>
      </c>
      <c r="R115" t="n">
        <v>0</v>
      </c>
      <c r="S115" t="n">
        <v>0</v>
      </c>
      <c r="T115" t="n">
        <v>30</v>
      </c>
      <c r="U115" t="inlineStr">
        <is>
          <t>STRETCH</t>
        </is>
      </c>
      <c r="V115" t="inlineStr">
        <is>
          <t>STRETCH</t>
        </is>
      </c>
      <c r="X115" t="inlineStr">
        <is>
          <t>Default Full Stack / MERN Resume</t>
        </is>
      </c>
      <c r="Y115" t="inlineStr">
        <is>
          <t>2026-10-02</t>
        </is>
      </c>
      <c r="Z115" t="inlineStr">
        <is>
          <t>Matches target role for Full Stack Developer Intern; Remote work mode aligns with preferences</t>
        </is>
      </c>
      <c r="AA115" t="inlineStr">
        <is>
          <t>ELIGIBLE</t>
        </is>
      </c>
      <c r="AC115" t="inlineStr">
        <is>
          <t>UNKNOWN</t>
        </is>
      </c>
      <c r="AD115" t="inlineStr">
        <is>
          <t>Joining is immediate, but specific start date and full availability constraints are not mentioned against candidate calendar.</t>
        </is>
      </c>
      <c r="AE115" t="inlineStr">
        <is>
          <t>UNPAID</t>
        </is>
      </c>
      <c r="AF115" t="n">
        <v>0</v>
      </c>
      <c r="AG115" t="inlineStr">
        <is>
          <t>No</t>
        </is>
      </c>
      <c r="AH115" t="inlineStr">
        <is>
          <t>NOT_MENTIONED</t>
        </is>
      </c>
      <c r="AI115" t="inlineStr">
        <is>
          <t>Job description does not mention PPO or conversion opportunities.</t>
        </is>
      </c>
      <c r="AK115" t="inlineStr">
        <is>
          <t>Unpaid internship; Below minimum stipend target of ₹25,000/month</t>
        </is>
      </c>
      <c r="AL115" t="inlineStr">
        <is>
          <t>Full stack system architecture; API design and authentication; Database management and deployment workflows</t>
        </is>
      </c>
    </row>
    <row r="116">
      <c r="A116" t="inlineStr">
        <is>
          <t>BIZDATEUP-TE-261002-115</t>
        </is>
      </c>
      <c r="B116" t="inlineStr">
        <is>
          <t>Bizdateup Technologies Pvt Ltd</t>
        </is>
      </c>
      <c r="C116" t="inlineStr">
        <is>
          <t>Fullstack Intern</t>
        </is>
      </c>
      <c r="D116" t="inlineStr">
        <is>
          <t>https://www.adzuna.in/details/5416883965?utm_medium=api&amp;utm_source=5ccdc27f</t>
        </is>
      </c>
      <c r="E116" t="inlineStr">
        <is>
          <t>AI Analyzer</t>
        </is>
      </c>
      <c r="F116" t="inlineStr">
        <is>
          <t>Mumbai, Maharashtra</t>
        </is>
      </c>
      <c r="G116" t="inlineStr">
        <is>
          <t>on-site</t>
        </is>
      </c>
      <c r="H116" t="inlineStr">
        <is>
          <t>As per company standards</t>
        </is>
      </c>
      <c r="I116" t="inlineStr">
        <is>
          <t>unknown</t>
        </is>
      </c>
      <c r="J116" t="inlineStr">
        <is>
          <t>not mentioned</t>
        </is>
      </c>
      <c r="M116" t="inlineStr">
        <is>
          <t>Full Stack Developer Intern Company: BizDateUp Pvt Ltd Location : Charni Road, Mumbai Employment Type : Internship (Immediate Joining Preferred) Experience Level: Entry / Mid-Level(0 – 1 year experience) Stipend : As per company standards About BizDateUp Pvt Ltd BizDateUp Pvt Ltd is a dynamic and fast-paced technology startup committed to building innovative solutions. We believe in fostering a collaborative environment where our team members can learn, grow, and make a tangible impact on real-…</t>
        </is>
      </c>
      <c r="N116" t="n">
        <v>58</v>
      </c>
      <c r="O116" t="n">
        <v>70</v>
      </c>
      <c r="P116" t="n">
        <v>80</v>
      </c>
      <c r="Q116" t="n">
        <v>85</v>
      </c>
      <c r="R116" t="n">
        <v>0</v>
      </c>
      <c r="S116" t="n">
        <v>30</v>
      </c>
      <c r="T116" t="n">
        <v>50</v>
      </c>
      <c r="U116" t="inlineStr">
        <is>
          <t>SKIP</t>
        </is>
      </c>
      <c r="V116" t="inlineStr">
        <is>
          <t>SKIP</t>
        </is>
      </c>
      <c r="X116" t="inlineStr">
        <is>
          <t>Full Stack / MERN Resume</t>
        </is>
      </c>
      <c r="Y116" t="inlineStr">
        <is>
          <t>2026-10-02</t>
        </is>
      </c>
      <c r="Z116" t="inlineStr">
        <is>
          <t>Matches the Full Stack Developer Intern role profile.; Matches the 0-1 year experience bracket.</t>
        </is>
      </c>
      <c r="AA116" t="inlineStr">
        <is>
          <t>eligible</t>
        </is>
      </c>
      <c r="AB116" t="inlineStr">
        <is>
          <t>Meets the entry-level experience requirements of 0-1 year.</t>
        </is>
      </c>
      <c r="AC116" t="inlineStr">
        <is>
          <t>unknown</t>
        </is>
      </c>
      <c r="AD116" t="inlineStr">
        <is>
          <t>Immediate joining preferred, but specific start date requirements are not specified.</t>
        </is>
      </c>
      <c r="AE116" t="inlineStr">
        <is>
          <t>unknown</t>
        </is>
      </c>
      <c r="AF116" t="n">
        <v>0</v>
      </c>
      <c r="AG116" t="inlineStr">
        <is>
          <t>No</t>
        </is>
      </c>
      <c r="AH116" t="inlineStr">
        <is>
          <t>not mentioned</t>
        </is>
      </c>
      <c r="AI116" t="inlineStr">
        <is>
          <t>No mention of PPO or conversion to full-time employment in the job description.</t>
        </is>
      </c>
      <c r="AJ116" t="inlineStr">
        <is>
          <t>Location mismatch: Job is based in Mumbai, but candidate's preferred location is Bengaluru.</t>
        </is>
      </c>
      <c r="AK116" t="inlineStr">
        <is>
          <t>Stipend is undisclosed ("As per company standards") which may fall below the minimum target of ₹25,000/month.; On-site requirement in Mumbai conflicts with the candidate's Bengaluru location preference.</t>
        </is>
      </c>
      <c r="AL116" t="inlineStr">
        <is>
          <t>Full stack development experience; Immediate joining availability; Willingness to relocate to Mumbai</t>
        </is>
      </c>
    </row>
    <row r="117">
      <c r="A117" t="inlineStr">
        <is>
          <t>MERIDA-TECH--261002-116</t>
        </is>
      </c>
      <c r="B117" t="inlineStr">
        <is>
          <t>Merida Tech Minds Pvt Ltd</t>
        </is>
      </c>
      <c r="C117" t="inlineStr">
        <is>
          <t>Python Full Stack Developer Intern</t>
        </is>
      </c>
      <c r="D117" t="inlineStr">
        <is>
          <t>https://www.adzuna.in/details/5006723441?utm_medium=api&amp;utm_source=5ccdc27f</t>
        </is>
      </c>
      <c r="E117" t="inlineStr">
        <is>
          <t>AI Analyzer</t>
        </is>
      </c>
      <c r="F117" t="inlineStr">
        <is>
          <t>Bangalore, Karnataka</t>
        </is>
      </c>
      <c r="G117" t="inlineStr">
        <is>
          <t>On-site / Not Specified</t>
        </is>
      </c>
      <c r="H117" t="inlineStr">
        <is>
          <t>Not Specified</t>
        </is>
      </c>
      <c r="I117" t="inlineStr">
        <is>
          <t>Not Specified</t>
        </is>
      </c>
      <c r="J117" t="inlineStr">
        <is>
          <t>NOT MENTIONED</t>
        </is>
      </c>
      <c r="K117" t="inlineStr">
        <is>
          <t>Python; Django; Flask; HTML; CSS; JavaScript</t>
        </is>
      </c>
      <c r="L117" t="inlineStr">
        <is>
          <t>React; Angular</t>
        </is>
      </c>
      <c r="M117" t="inlineStr">
        <is>
          <t>We are seeking a Python Full Stack Developer Intern with a passion for coding and learning to join our team. This role offers an excellent opportunity to work on both backend and frontend technologies in real-world projects. Responsibilities: Develop and maintain web applications using Python and relevant frameworks (e.g., Django, Flask). Build responsive front-end interfaces using HTML, CSS, and JavaScript (React/Angular is a plus). Collaborate with team members to design and implement feature…</t>
        </is>
      </c>
      <c r="N117" t="n">
        <v>47</v>
      </c>
      <c r="O117" t="n">
        <v>50</v>
      </c>
      <c r="P117" t="n">
        <v>60</v>
      </c>
      <c r="Q117" t="n">
        <v>80</v>
      </c>
      <c r="R117" t="n">
        <v>0</v>
      </c>
      <c r="S117" t="n">
        <v>30</v>
      </c>
      <c r="T117" t="n">
        <v>50</v>
      </c>
      <c r="U117" t="inlineStr">
        <is>
          <t>SKIP</t>
        </is>
      </c>
      <c r="V117" t="inlineStr">
        <is>
          <t>SKIP</t>
        </is>
      </c>
      <c r="W117" t="inlineStr">
        <is>
          <t>Python; Django; Flask</t>
        </is>
      </c>
      <c r="X117" t="inlineStr">
        <is>
          <t>Amaanuddin_Ahmed_Resume.pdf</t>
        </is>
      </c>
      <c r="Y117" t="inlineStr">
        <is>
          <t>2026-10-02</t>
        </is>
      </c>
      <c r="Z117" t="inlineStr">
        <is>
          <t>Located in Bengaluru.; Matches desired internship role level.</t>
        </is>
      </c>
      <c r="AA117" t="inlineStr">
        <is>
          <t>ELIGIBLE</t>
        </is>
      </c>
      <c r="AB117" t="inlineStr">
        <is>
          <t>Location matches preferred Bengaluru preference.; Target role level (internship) aligns with candidate goals.</t>
        </is>
      </c>
      <c r="AC117" t="inlineStr">
        <is>
          <t>UNKNOWN</t>
        </is>
      </c>
      <c r="AD117" t="inlineStr">
        <is>
          <t>Candidate availability dates are not explicitly detailed in the career brain relative to start date.</t>
        </is>
      </c>
      <c r="AE117" t="inlineStr">
        <is>
          <t>UNKNOWN</t>
        </is>
      </c>
      <c r="AF117" t="n">
        <v>0</v>
      </c>
      <c r="AG117" t="inlineStr">
        <is>
          <t>No</t>
        </is>
      </c>
      <c r="AH117" t="inlineStr">
        <is>
          <t>NOT MENTIONED</t>
        </is>
      </c>
      <c r="AI117" t="inlineStr">
        <is>
          <t>The job description does not mention PPO or conversion opportunities.</t>
        </is>
      </c>
      <c r="AK117" t="inlineStr">
        <is>
          <t>Stipend is not disclosed.</t>
        </is>
      </c>
      <c r="AL117" t="inlineStr">
        <is>
          <t>Python fundamentals and web frameworks (Django/Flask); JavaScript asynchronous programming and DOM manipulation; RESTful API design and database integration</t>
        </is>
      </c>
    </row>
    <row r="118">
      <c r="A118" t="inlineStr">
        <is>
          <t>SPACENOS-261002-117</t>
        </is>
      </c>
      <c r="B118" t="inlineStr">
        <is>
          <t>Spacenos</t>
        </is>
      </c>
      <c r="C118" t="inlineStr">
        <is>
          <t>Full Stack Developer</t>
        </is>
      </c>
      <c r="D118" t="inlineStr">
        <is>
          <t>https://www.adzuna.in/details/3095392882?utm_medium=api&amp;utm_source=5ccdc27f</t>
        </is>
      </c>
      <c r="E118" t="inlineStr">
        <is>
          <t>AI Analyzer</t>
        </is>
      </c>
      <c r="F118" t="inlineStr">
        <is>
          <t>India</t>
        </is>
      </c>
      <c r="G118" t="inlineStr">
        <is>
          <t>UNKNOWN</t>
        </is>
      </c>
      <c r="I118" t="inlineStr">
        <is>
          <t>UNKNOWN</t>
        </is>
      </c>
      <c r="J118" t="inlineStr">
        <is>
          <t>UNKNOWN</t>
        </is>
      </c>
      <c r="K118" t="inlineStr">
        <is>
          <t>JavaScript; React.js; Node.js; Firebase; Firestore Functions; Git</t>
        </is>
      </c>
      <c r="L118" t="inlineStr">
        <is>
          <t>Mercurial; SVN</t>
        </is>
      </c>
      <c r="M118" t="inlineStr">
        <is>
          <t>We are looking for skilled Full Stack Developer interns who can oversee the complete software development road cycle at Spacenos and work on building amazing products. Skills Required Experience with JavaScript and ReactJs framework. Experience with NodeJs, Firebase and Firestore Functions. Candidates should have the ability to pick up new technologies quickly Knowledge of code versioning tools (such as Git, Mercurial, or SVN) Roles and Responsibilities Creating and converting high-fidelity des…</t>
        </is>
      </c>
      <c r="N118" t="n">
        <v>64</v>
      </c>
      <c r="O118" t="n">
        <v>70</v>
      </c>
      <c r="P118" t="n">
        <v>80</v>
      </c>
      <c r="Q118" t="n">
        <v>80</v>
      </c>
      <c r="R118" t="n">
        <v>40</v>
      </c>
      <c r="S118" t="n">
        <v>30</v>
      </c>
      <c r="T118" t="n">
        <v>60</v>
      </c>
      <c r="U118" t="inlineStr">
        <is>
          <t>STRETCH</t>
        </is>
      </c>
      <c r="V118" t="inlineStr">
        <is>
          <t>STRETCH</t>
        </is>
      </c>
      <c r="W118" t="inlineStr">
        <is>
          <t>Firebase; Firestore Functions</t>
        </is>
      </c>
      <c r="X118" t="inlineStr">
        <is>
          <t>Standard Full Stack Resume</t>
        </is>
      </c>
      <c r="Y118" t="inlineStr">
        <is>
          <t>2026-10-02</t>
        </is>
      </c>
      <c r="Z118" t="inlineStr">
        <is>
          <t>Matches the primary skill set in JavaScript, React.js, and Node.js.; Good alignment with full stack developer intern experience.</t>
        </is>
      </c>
      <c r="AA118" t="inlineStr">
        <is>
          <t>ELIGIBLE</t>
        </is>
      </c>
      <c r="AB118" t="inlineStr">
        <is>
          <t>No hard blockers found in the job description.</t>
        </is>
      </c>
      <c r="AC118" t="inlineStr">
        <is>
          <t>UNKNOWN</t>
        </is>
      </c>
      <c r="AD118" t="inlineStr">
        <is>
          <t>Candidate availability details are not provided in the career brain.</t>
        </is>
      </c>
      <c r="AE118" t="inlineStr">
        <is>
          <t>UNKNOWN</t>
        </is>
      </c>
      <c r="AF118" t="n">
        <v>0</v>
      </c>
      <c r="AG118" t="inlineStr">
        <is>
          <t>No</t>
        </is>
      </c>
      <c r="AH118" t="inlineStr">
        <is>
          <t>UNKNOWN</t>
        </is>
      </c>
      <c r="AI118" t="inlineStr">
        <is>
          <t>No mention of PPO or conversion in the job description.</t>
        </is>
      </c>
      <c r="AK118" t="inlineStr">
        <is>
          <t>No stipend information provided; No explicit PPO mention</t>
        </is>
      </c>
      <c r="AL118" t="inlineStr">
        <is>
          <t>React.js state management and component lifecycle; Node.js event loop and asynchronous programming; NoSQL database design with Firebase and Firestore; Git version control workflow</t>
        </is>
      </c>
    </row>
    <row r="119">
      <c r="A119" t="inlineStr">
        <is>
          <t>SEVEN-SEAS-D-261002-118</t>
        </is>
      </c>
      <c r="B119" t="inlineStr">
        <is>
          <t>Seven Seas Digital Marketing Agency / SevenMentor Pvt. Ltd.</t>
        </is>
      </c>
      <c r="C119" t="inlineStr">
        <is>
          <t>Web Full Stack Trainer / Full Stack Developer (Intern or Junior)</t>
        </is>
      </c>
      <c r="D119" t="inlineStr">
        <is>
          <t>https://www.adzuna.in/details/5904151536?utm_medium=api&amp;utm_source=5ccdc27f</t>
        </is>
      </c>
      <c r="E119" t="inlineStr">
        <is>
          <t>AI Analyzer</t>
        </is>
      </c>
      <c r="F119" t="inlineStr">
        <is>
          <t>Nagpur, Maharashtra</t>
        </is>
      </c>
      <c r="G119" t="inlineStr">
        <is>
          <t>On-site</t>
        </is>
      </c>
      <c r="H119" t="inlineStr">
        <is>
          <t>Not specified</t>
        </is>
      </c>
      <c r="I119" t="inlineStr">
        <is>
          <t>Not specified</t>
        </is>
      </c>
      <c r="J119" t="inlineStr">
        <is>
          <t>NOT_MENTIONED</t>
        </is>
      </c>
      <c r="K119" t="inlineStr">
        <is>
          <t>Node.js; Express.js; MongoDB; SQL; React.js; Tailwind CSS; Bootstrap; HTML; Git</t>
        </is>
      </c>
      <c r="L119" t="inlineStr">
        <is>
          <t>Figma; Adobe XD</t>
        </is>
      </c>
      <c r="M119" t="inlineStr">
        <is>
          <t>SevenMentor Pvt. Ltd. is looking for a passionate and responsible Full Stack Developer (Intern or Junior) to join our growing development team. This role involves working on the backend using Node.js, Express.js, and MongoDB or SQL, and frontend development using React.js, Tailwind CSS, and Bootstrap. The ideal candidate should also be able to convert Figma/Adobe XD designs into responsive HTML pages and have a solid understanding of Git and deployment processes. Key Responsibilities Design and…</t>
        </is>
      </c>
      <c r="N119" t="n">
        <v>68</v>
      </c>
      <c r="O119" t="n">
        <v>85</v>
      </c>
      <c r="P119" t="n">
        <v>75</v>
      </c>
      <c r="Q119" t="n">
        <v>70</v>
      </c>
      <c r="R119" t="n">
        <v>40</v>
      </c>
      <c r="S119" t="n">
        <v>50</v>
      </c>
      <c r="T119" t="n">
        <v>60</v>
      </c>
      <c r="U119" t="inlineStr">
        <is>
          <t>STRETCH</t>
        </is>
      </c>
      <c r="V119" t="inlineStr">
        <is>
          <t>STRETCH</t>
        </is>
      </c>
      <c r="W119" t="inlineStr">
        <is>
          <t>Tailwind CSS</t>
        </is>
      </c>
      <c r="X119" t="inlineStr">
        <is>
          <t>Standard Full Stack Resume highlighting MERN and Angular experience, Figma, and Git workflows.</t>
        </is>
      </c>
      <c r="Y119" t="inlineStr">
        <is>
          <t>2026-10-02</t>
        </is>
      </c>
      <c r="Z119" t="inlineStr">
        <is>
          <t>The tech stack (Node.js, Express, MongoDB/SQL, React, Git, Figma) heavily aligns with candidate's demonstrated MERN stack and frontend/backend experience.; Open to interns or junior developers.</t>
        </is>
      </c>
      <c r="AA119" t="inlineStr">
        <is>
          <t>ELIGIBLE</t>
        </is>
      </c>
      <c r="AC119" t="inlineStr">
        <is>
          <t>UNKNOWN</t>
        </is>
      </c>
      <c r="AD119" t="inlineStr">
        <is>
          <t>Start date and availability constraints are not mentioned in the candidate profile.</t>
        </is>
      </c>
      <c r="AE119" t="inlineStr">
        <is>
          <t>UNKNOWN</t>
        </is>
      </c>
      <c r="AF119" t="n">
        <v>0</v>
      </c>
      <c r="AG119" t="inlineStr">
        <is>
          <t>No</t>
        </is>
      </c>
      <c r="AH119" t="inlineStr">
        <is>
          <t>NOT_MENTIONED</t>
        </is>
      </c>
      <c r="AI119" t="inlineStr">
        <is>
          <t>No mention of conversion to a full-time employee or PPO in the job description.</t>
        </is>
      </c>
      <c r="AK119" t="inlineStr">
        <is>
          <t>Location is Nagpur, Maharashtra, whereas candidate's preferred location is Bengaluru.; Role title says Web Full Stack Trainer while description says Full Stack Developer (Intern or Junior).; Stipend is not disclosed.</t>
        </is>
      </c>
      <c r="AL119" t="inlineStr">
        <is>
          <t>Node.js and Express.js architecture and error handling; React.js state management and component lifecycle; Database design using MongoDB and SQL; Figma to responsive frontend conversion workflow; Experience with Git and deployment processes</t>
        </is>
      </c>
    </row>
    <row r="120">
      <c r="A120" t="inlineStr">
        <is>
          <t>ZIPLR-TECHNO-261002-119</t>
        </is>
      </c>
      <c r="B120" t="inlineStr">
        <is>
          <t>Ziplr Technology</t>
        </is>
      </c>
      <c r="C120" t="inlineStr">
        <is>
          <t>Internship - Full Stack Developer</t>
        </is>
      </c>
      <c r="D120" t="inlineStr">
        <is>
          <t>https://www.adzuna.in/details/4801482006?utm_medium=api&amp;utm_source=5ccdc27f</t>
        </is>
      </c>
      <c r="E120" t="inlineStr">
        <is>
          <t>AI Analyzer</t>
        </is>
      </c>
      <c r="F120" t="inlineStr">
        <is>
          <t>Bhubaneswar</t>
        </is>
      </c>
      <c r="G120" t="inlineStr">
        <is>
          <t>On-site</t>
        </is>
      </c>
      <c r="I120" t="inlineStr">
        <is>
          <t>UNKNOWN</t>
        </is>
      </c>
      <c r="J120" t="inlineStr">
        <is>
          <t>Not Mentioned</t>
        </is>
      </c>
      <c r="K120" t="inlineStr">
        <is>
          <t>PHP</t>
        </is>
      </c>
      <c r="M120" t="inlineStr">
        <is>
          <t>Internship - Full Stack Developer Ziplr is looking for techies in PHP to join our development team. Are you the best programmer in your batch or office? Do you lose your sleep till you have solved a technical problem? Can you stay up the whole night just to write a beautiful piece of code which runs flawlessly? Note - If you answered yes to all above asked questions only then, read the below text. Location: Bhubaneswar Brief: As a Full Stack Developer in the team, you will build new enterprise …</t>
        </is>
      </c>
      <c r="N120" t="n">
        <v>24</v>
      </c>
      <c r="O120" t="n">
        <v>20</v>
      </c>
      <c r="P120" t="n">
        <v>40</v>
      </c>
      <c r="Q120" t="n">
        <v>50</v>
      </c>
      <c r="R120" t="n">
        <v>0</v>
      </c>
      <c r="S120" t="n">
        <v>0</v>
      </c>
      <c r="T120" t="n">
        <v>30</v>
      </c>
      <c r="U120" t="inlineStr">
        <is>
          <t>SKIP</t>
        </is>
      </c>
      <c r="V120" t="inlineStr">
        <is>
          <t>SKIP</t>
        </is>
      </c>
      <c r="W120" t="inlineStr">
        <is>
          <t>PHP</t>
        </is>
      </c>
      <c r="X120" t="inlineStr">
        <is>
          <t>Amaanuddin_Ahmed_Resume.pdf</t>
        </is>
      </c>
      <c r="Y120" t="inlineStr">
        <is>
          <t>2026-10-02</t>
        </is>
      </c>
      <c r="AA120" t="inlineStr">
        <is>
          <t>NOT ELIGIBLE</t>
        </is>
      </c>
      <c r="AB120" t="inlineStr">
        <is>
          <t>Location mismatch: Job is located in Bhubaneswar, whereas candidate prefers Bengaluru, India.; Tech stack mismatch: Job requires PHP, which is only present as minor exposure in candidate profile and not demonstrated in major work experience.</t>
        </is>
      </c>
      <c r="AC120" t="inlineStr">
        <is>
          <t>UNKNOWN</t>
        </is>
      </c>
      <c r="AD120" t="inlineStr">
        <is>
          <t>Not specified in Career Brain.</t>
        </is>
      </c>
      <c r="AE120" t="inlineStr">
        <is>
          <t>UNKNOWN</t>
        </is>
      </c>
      <c r="AF120" t="n">
        <v>0</v>
      </c>
      <c r="AG120" t="inlineStr">
        <is>
          <t>No</t>
        </is>
      </c>
      <c r="AH120" t="inlineStr">
        <is>
          <t>Not Mentioned</t>
        </is>
      </c>
      <c r="AI120" t="inlineStr">
        <is>
          <t>The job description does not mention PPO or conversion opportunities.</t>
        </is>
      </c>
      <c r="AJ120" t="inlineStr">
        <is>
          <t>Location mismatch (Bhubaneswar vs Bengaluru preference); Mandatory PHP technology stack requirement not strongly demonstrated</t>
        </is>
      </c>
      <c r="AK120" t="inlineStr">
        <is>
          <t>Unspecified stipend; Unspecified location details in initial payload</t>
        </is>
      </c>
      <c r="AL120" t="inlineStr">
        <is>
          <t>PHP development experience; Relocation to Bhubaneswar</t>
        </is>
      </c>
    </row>
    <row r="121">
      <c r="A121" t="inlineStr">
        <is>
          <t>WEB-DIGITAL--261002-120</t>
        </is>
      </c>
      <c r="B121" t="inlineStr">
        <is>
          <t>Web Digital Mantra IT Services Pvt Ltd</t>
        </is>
      </c>
      <c r="C121" t="inlineStr">
        <is>
          <t>Backend Developer Intern</t>
        </is>
      </c>
      <c r="D121" t="inlineStr">
        <is>
          <t>https://www.adzuna.in/details/5775994272?utm_medium=api&amp;utm_source=5ccdc27f</t>
        </is>
      </c>
      <c r="E121" t="inlineStr">
        <is>
          <t>AI Analyzer</t>
        </is>
      </c>
      <c r="F121" t="inlineStr">
        <is>
          <t>Bangalore, Karnataka</t>
        </is>
      </c>
      <c r="G121" t="inlineStr">
        <is>
          <t>On-site / Unspecified</t>
        </is>
      </c>
      <c r="H121" t="inlineStr">
        <is>
          <t>Paid Internship</t>
        </is>
      </c>
      <c r="I121" t="inlineStr">
        <is>
          <t>6 Months</t>
        </is>
      </c>
      <c r="J121" t="inlineStr">
        <is>
          <t>NOT_MENTIONED</t>
        </is>
      </c>
      <c r="K121" t="inlineStr">
        <is>
          <t>Node.js; Python; PHP; Laravel; React.js; JSON; MySQL; MongoDB; PostgreSQL</t>
        </is>
      </c>
      <c r="L121" t="inlineStr">
        <is>
          <t>Kannada-speaking; AI-powered development tools</t>
        </is>
      </c>
      <c r="M121" t="inlineStr">
        <is>
          <t>We are looking for a passionate Backend Developer Intern (Paid Internship - 6 Months) with proficiency in Node.js, Python, PHP, and Laravel, along with working knowledge of React.js. Candidates should have prior internship experience, familiarity with AI-powered development tools, and strong problem-solving skills. Kannada-speaking candidates will be preferred. Skills:- React.js, NodeJS (Node.js), Python, PHP, Laravel, JSON, MySQL, MongoDB and PostgreSQL</t>
        </is>
      </c>
      <c r="N121" t="n">
        <v>68</v>
      </c>
      <c r="O121" t="n">
        <v>70</v>
      </c>
      <c r="P121" t="n">
        <v>85</v>
      </c>
      <c r="Q121" t="n">
        <v>90</v>
      </c>
      <c r="R121" t="n">
        <v>40</v>
      </c>
      <c r="S121" t="n">
        <v>50</v>
      </c>
      <c r="T121" t="n">
        <v>60</v>
      </c>
      <c r="U121" t="inlineStr">
        <is>
          <t>STRETCH</t>
        </is>
      </c>
      <c r="V121" t="inlineStr">
        <is>
          <t>STRETCH</t>
        </is>
      </c>
      <c r="W121" t="inlineStr">
        <is>
          <t>PHP; Laravel; PostgreSQL</t>
        </is>
      </c>
      <c r="X121" t="inlineStr">
        <is>
          <t>Amaanuddin_Ahmed_Resume_FullStack.pdf</t>
        </is>
      </c>
      <c r="Y121" t="inlineStr">
        <is>
          <t>2026-10-02</t>
        </is>
      </c>
      <c r="Z121" t="inlineStr">
        <is>
          <t>Matches target role for Backend Developer Intern in Bengaluru.; Candidate possesses strong matching skills in Node.js, Express, MySQL, and MongoDB.; Meets the prior internship experience requirement.</t>
        </is>
      </c>
      <c r="AA121" t="inlineStr">
        <is>
          <t>ELIGIBLE</t>
        </is>
      </c>
      <c r="AB121" t="inlineStr">
        <is>
          <t>Location matches preferred location (Bengaluru).; Candidate has prior internship experience.; Matches target role for Backend Developer Intern.</t>
        </is>
      </c>
      <c r="AC121" t="inlineStr">
        <is>
          <t>UNKNOWN</t>
        </is>
      </c>
      <c r="AD121" t="inlineStr">
        <is>
          <t>Exact availability dates not specified in the current profile relative to the start date.</t>
        </is>
      </c>
      <c r="AE121" t="inlineStr">
        <is>
          <t>UNKNOWN</t>
        </is>
      </c>
      <c r="AF121" t="n">
        <v>0</v>
      </c>
      <c r="AG121" t="inlineStr">
        <is>
          <t>No</t>
        </is>
      </c>
      <c r="AH121" t="inlineStr">
        <is>
          <t>NOT_MENTIONED</t>
        </is>
      </c>
      <c r="AI121" t="inlineStr">
        <is>
          <t>The job description does not mention PPO or permanent conversion.</t>
        </is>
      </c>
      <c r="AK121" t="inlineStr">
        <is>
          <t>Stipend amount is completely unspecified beyond 'Paid Internship'.</t>
        </is>
      </c>
      <c r="AL121" t="inlineStr">
        <is>
          <t>Node.js and Express backend architecture; Experience with relational and non-relational databases (MySQL, MongoDB); Familiarity with PHP/Laravel and Python; Handling JSON payloads and REST APIs</t>
        </is>
      </c>
    </row>
    <row r="122">
      <c r="A122" t="inlineStr">
        <is>
          <t>GARNISH-COMP-261002-121</t>
        </is>
      </c>
      <c r="B122" t="inlineStr">
        <is>
          <t>Garnish Company</t>
        </is>
      </c>
      <c r="C122" t="inlineStr">
        <is>
          <t>Backend Developer Intern</t>
        </is>
      </c>
      <c r="D122" t="inlineStr">
        <is>
          <t>https://www.adzuna.in/details/2087142658?utm_medium=api&amp;utm_source=5ccdc27f</t>
        </is>
      </c>
      <c r="E122" t="inlineStr">
        <is>
          <t>AI Analyzer</t>
        </is>
      </c>
      <c r="F122" t="inlineStr">
        <is>
          <t>Hyderabad, Telangana</t>
        </is>
      </c>
      <c r="G122" t="inlineStr">
        <is>
          <t>Unknown</t>
        </is>
      </c>
      <c r="I122" t="inlineStr">
        <is>
          <t>Unknown</t>
        </is>
      </c>
      <c r="J122" t="inlineStr">
        <is>
          <t>NOT_MENTIONED</t>
        </is>
      </c>
      <c r="K122" t="inlineStr">
        <is>
          <t>Node.js; Express.js</t>
        </is>
      </c>
      <c r="L122" t="inlineStr">
        <is>
          <t>Test-driven development</t>
        </is>
      </c>
      <c r="M122" t="inlineStr">
        <is>
          <t>Responsibilities: In this role, the individual will be part of the engineering team and will be responsible for Participating and collaborating with Product Owner/ Cross-functional teams in the organization to understand the business requirements and to deliver solutions that can scale. Design and Develop API in NodeJS using Express JS framework with relevant middleware integrations. Designing and implementing software that is simple, intuitive, and easy to use with Test first driven Approac…</t>
        </is>
      </c>
      <c r="N122" t="n">
        <v>76</v>
      </c>
      <c r="O122" t="n">
        <v>90</v>
      </c>
      <c r="P122" t="n">
        <v>85</v>
      </c>
      <c r="Q122" t="n">
        <v>90</v>
      </c>
      <c r="R122" t="n">
        <v>50</v>
      </c>
      <c r="S122" t="n">
        <v>50</v>
      </c>
      <c r="T122" t="n">
        <v>60</v>
      </c>
      <c r="U122" t="inlineStr">
        <is>
          <t>CONSIDER</t>
        </is>
      </c>
      <c r="V122" t="inlineStr">
        <is>
          <t>CONSIDER</t>
        </is>
      </c>
      <c r="X122" t="inlineStr">
        <is>
          <t>Standard Full Stack Resume</t>
        </is>
      </c>
      <c r="Y122" t="inlineStr">
        <is>
          <t>2026-10-02</t>
        </is>
      </c>
      <c r="Z122" t="inlineStr">
        <is>
          <t>The role strongly matches the candidate's core backend tech stack of Node.js and Express.js.; Candidate has prior internship and freelance experience building production APIs.</t>
        </is>
      </c>
      <c r="AA122" t="inlineStr">
        <is>
          <t>ELIGIBLE</t>
        </is>
      </c>
      <c r="AC122" t="inlineStr">
        <is>
          <t>UNKNOWN</t>
        </is>
      </c>
      <c r="AD122" t="inlineStr">
        <is>
          <t>Not specified in candidate profile.</t>
        </is>
      </c>
      <c r="AE122" t="inlineStr">
        <is>
          <t>UNKNOWN</t>
        </is>
      </c>
      <c r="AF122" t="n">
        <v>0</v>
      </c>
      <c r="AG122" t="inlineStr">
        <is>
          <t>No</t>
        </is>
      </c>
      <c r="AH122" t="inlineStr">
        <is>
          <t>NOT_MENTIONED</t>
        </is>
      </c>
      <c r="AK122" t="inlineStr">
        <is>
          <t>Location is Hyderabad, whereas candidate prefers Bengaluru.</t>
        </is>
      </c>
      <c r="AL122" t="inlineStr">
        <is>
          <t>Node.js and Express.js API design; Middleware integration in Express; Test-driven development approach</t>
        </is>
      </c>
    </row>
    <row r="123">
      <c r="A123" t="inlineStr">
        <is>
          <t>REJOLUT-261002-122</t>
        </is>
      </c>
      <c r="B123" t="inlineStr">
        <is>
          <t>Rejolut</t>
        </is>
      </c>
      <c r="C123" t="inlineStr">
        <is>
          <t>Backend Developer Intern</t>
        </is>
      </c>
      <c r="D123" t="inlineStr">
        <is>
          <t>https://www.adzuna.in/details/3801594182?utm_medium=api&amp;utm_source=5ccdc27f</t>
        </is>
      </c>
      <c r="E123" t="inlineStr">
        <is>
          <t>AI Analyzer</t>
        </is>
      </c>
      <c r="F123" t="inlineStr">
        <is>
          <t>Mumbai, Maharashtra</t>
        </is>
      </c>
      <c r="G123" t="inlineStr">
        <is>
          <t>On-site</t>
        </is>
      </c>
      <c r="I123" t="inlineStr">
        <is>
          <t>Not specified</t>
        </is>
      </c>
      <c r="J123" t="inlineStr">
        <is>
          <t>UNKNOWN</t>
        </is>
      </c>
      <c r="K123" t="inlineStr">
        <is>
          <t>Backend Development</t>
        </is>
      </c>
      <c r="L123" t="inlineStr">
        <is>
          <t>Blockchain; Machine Learning; Artificial Intelligence; IoT</t>
        </is>
      </c>
      <c r="M123" t="inlineStr">
        <is>
          <t>Rejolut is among the fastest-growing and award winning Tech companies working on leading technologies namely Blockchain, Machine Learning &amp; Artificial Intelligence, Complex mobile &amp; Web Apps, IoT, etc.Rejolut is a venture-backed company with clients in over several countries namely Malaysia Airlines,gba global,my-earth,biomes, Dlg-hub,etc. We are planning to expand our team to explore new opportunities and looking for creative, enthusiastic, and passionate individuals to join our team. Job Desc…</t>
        </is>
      </c>
      <c r="N123" t="n">
        <v>65</v>
      </c>
      <c r="O123" t="n">
        <v>75</v>
      </c>
      <c r="P123" t="n">
        <v>80</v>
      </c>
      <c r="Q123" t="n">
        <v>85</v>
      </c>
      <c r="R123" t="n">
        <v>50</v>
      </c>
      <c r="S123" t="n">
        <v>0</v>
      </c>
      <c r="T123" t="n">
        <v>60</v>
      </c>
      <c r="U123" t="inlineStr">
        <is>
          <t>STRETCH</t>
        </is>
      </c>
      <c r="V123" t="inlineStr">
        <is>
          <t>STRETCH</t>
        </is>
      </c>
      <c r="X123" t="inlineStr">
        <is>
          <t>Standard Full Stack / Backend Resume</t>
        </is>
      </c>
      <c r="Y123" t="inlineStr">
        <is>
          <t>2026-10-02</t>
        </is>
      </c>
      <c r="Z123" t="inlineStr">
        <is>
          <t>Role matches primary target of Backend Developer Intern; Candidate has strong demonstrated experience in Node.js and Express</t>
        </is>
      </c>
      <c r="AA123" t="inlineStr">
        <is>
          <t>ELIGIBLE</t>
        </is>
      </c>
      <c r="AC123" t="inlineStr">
        <is>
          <t>UNKNOWN</t>
        </is>
      </c>
      <c r="AD123" t="inlineStr">
        <is>
          <t>Candidate availability dates are not specified in the career brain.</t>
        </is>
      </c>
      <c r="AE123" t="inlineStr">
        <is>
          <t>UNKNOWN</t>
        </is>
      </c>
      <c r="AF123" t="n">
        <v>0</v>
      </c>
      <c r="AG123" t="inlineStr">
        <is>
          <t>No</t>
        </is>
      </c>
      <c r="AH123" t="inlineStr">
        <is>
          <t>UNKNOWN</t>
        </is>
      </c>
      <c r="AI123" t="inlineStr">
        <is>
          <t>No explicit mention of PPO or conversion in the job description snippet.</t>
        </is>
      </c>
      <c r="AK123" t="inlineStr">
        <is>
          <t>Location is Mumbai while candidate prefers Bengaluru; Stipend details are not provided</t>
        </is>
      </c>
      <c r="AL123" t="inlineStr">
        <is>
          <t>Node.js and Express architecture; Database design and management; RESTful API development</t>
        </is>
      </c>
    </row>
    <row r="124">
      <c r="A124" t="inlineStr">
        <is>
          <t>APPSCRIP-261002-123</t>
        </is>
      </c>
      <c r="B124" t="inlineStr">
        <is>
          <t>appscrip</t>
        </is>
      </c>
      <c r="C124" t="inlineStr">
        <is>
          <t>Python Backend Developer Intern (FastAPI)</t>
        </is>
      </c>
      <c r="D124" t="inlineStr">
        <is>
          <t>https://www.adzuna.in/details/5812187923?utm_medium=api&amp;utm_source=5ccdc27f</t>
        </is>
      </c>
      <c r="E124" t="inlineStr">
        <is>
          <t>AI Analyzer</t>
        </is>
      </c>
      <c r="F124" t="inlineStr">
        <is>
          <t>Bangalore, Karnataka</t>
        </is>
      </c>
      <c r="G124" t="inlineStr">
        <is>
          <t>On-site</t>
        </is>
      </c>
      <c r="H124" t="inlineStr">
        <is>
          <t>Not specified</t>
        </is>
      </c>
      <c r="I124" t="inlineStr">
        <is>
          <t>UNKNOWN</t>
        </is>
      </c>
      <c r="J124" t="inlineStr">
        <is>
          <t>NOT_MENTIONED</t>
        </is>
      </c>
      <c r="K124" t="inlineStr">
        <is>
          <t>Python; FastAPI</t>
        </is>
      </c>
      <c r="L124" t="inlineStr">
        <is>
          <t>AI; LLMs; cloud infrastructure</t>
        </is>
      </c>
      <c r="M124" t="inlineStr">
        <is>
          <t>Python Backend Developer Intern (FastAPI) Location: Bangalore (On-site) Company: Appscrip About Appscrip At Appscrip, we build products that solve real business problems using modern technologies like AI, cloud infrastructure, and scalable backend systems. We're looking for developers who enjoy building things, learning quickly, and aren't afraid to dive into new technologies. If you've built projects in Python, experimented with FastAPI, or spent time playing around with AI and LLMs, we'd love…</t>
        </is>
      </c>
      <c r="N124" t="n">
        <v>38</v>
      </c>
      <c r="O124" t="n">
        <v>40</v>
      </c>
      <c r="P124" t="n">
        <v>50</v>
      </c>
      <c r="Q124" t="n">
        <v>70</v>
      </c>
      <c r="R124" t="n">
        <v>0</v>
      </c>
      <c r="S124" t="n">
        <v>0</v>
      </c>
      <c r="T124" t="n">
        <v>50</v>
      </c>
      <c r="U124" t="inlineStr">
        <is>
          <t>SKIP</t>
        </is>
      </c>
      <c r="V124" t="inlineStr">
        <is>
          <t>SKIP</t>
        </is>
      </c>
      <c r="W124" t="inlineStr">
        <is>
          <t>Python; FastAPI</t>
        </is>
      </c>
      <c r="X124" t="inlineStr">
        <is>
          <t>Amaan_Ahmed_Resume_2025.pdf</t>
        </is>
      </c>
      <c r="Y124" t="inlineStr">
        <is>
          <t>2026-10-02</t>
        </is>
      </c>
      <c r="Z124" t="inlineStr">
        <is>
          <t>Located in Bangalore; Internship opportunity in backend development</t>
        </is>
      </c>
      <c r="AA124" t="inlineStr">
        <is>
          <t>ELIGIBLE</t>
        </is>
      </c>
      <c r="AB124" t="inlineStr">
        <is>
          <t>Location matches preferred location (Bangalore); Role aligns with internship search</t>
        </is>
      </c>
      <c r="AC124" t="inlineStr">
        <is>
          <t>UNKNOWN</t>
        </is>
      </c>
      <c r="AD124" t="inlineStr">
        <is>
          <t>Availability not explicitly stated in Career Brain</t>
        </is>
      </c>
      <c r="AE124" t="inlineStr">
        <is>
          <t>UNKNOWN</t>
        </is>
      </c>
      <c r="AF124" t="n">
        <v>0</v>
      </c>
      <c r="AG124" t="inlineStr">
        <is>
          <t>No</t>
        </is>
      </c>
      <c r="AH124" t="inlineStr">
        <is>
          <t>NOT_MENTIONED</t>
        </is>
      </c>
      <c r="AI124" t="inlineStr">
        <is>
          <t>No mention of PPO or conversion in the job description</t>
        </is>
      </c>
      <c r="AJ124" t="inlineStr">
        <is>
          <t>Python and FastAPI are listed as mandatory/primary requirements, but Python is only present as a working knowledge skill without project/work demonstration, and FastAPI is not demonstrated or listed as a core skill.</t>
        </is>
      </c>
      <c r="AK124" t="inlineStr">
        <is>
          <t>Stipend not disclosed</t>
        </is>
      </c>
      <c r="AL124" t="inlineStr">
        <is>
          <t>Python asynchronous programming; FastAPI dependency injection and routing; RESTful API design; Database integration with Python</t>
        </is>
      </c>
    </row>
    <row r="125">
      <c r="A125" t="inlineStr">
        <is>
          <t>JUMPINGMINDS-261002-124</t>
        </is>
      </c>
      <c r="B125" t="inlineStr">
        <is>
          <t>JumpingMinds</t>
        </is>
      </c>
      <c r="C125" t="inlineStr">
        <is>
          <t>Backend Developer Intern - Python/Django</t>
        </is>
      </c>
      <c r="D125" t="inlineStr">
        <is>
          <t>https://www.adzuna.in/details/4149351967?utm_medium=api&amp;utm_source=5ccdc27f</t>
        </is>
      </c>
      <c r="E125" t="inlineStr">
        <is>
          <t>AI Analyzer</t>
        </is>
      </c>
      <c r="F125" t="inlineStr">
        <is>
          <t>India</t>
        </is>
      </c>
      <c r="G125" t="inlineStr">
        <is>
          <t>UNKNOWN</t>
        </is>
      </c>
      <c r="H125" t="inlineStr">
        <is>
          <t>Not specified</t>
        </is>
      </c>
      <c r="I125" t="inlineStr">
        <is>
          <t>UNKNOWN</t>
        </is>
      </c>
      <c r="J125" t="inlineStr">
        <is>
          <t>NOT_MENTIONED</t>
        </is>
      </c>
      <c r="K125" t="inlineStr">
        <is>
          <t>Python; Django; Backend Development</t>
        </is>
      </c>
      <c r="L125" t="inlineStr">
        <is>
          <t>Startup experience</t>
        </is>
      </c>
      <c r="M125" t="inlineStr">
        <is>
          <t>We're looking for an experienced Backend Engineer Interns to join our growing team of engineers to help build and maintain our products. You should have prior internship experience as Backend intern using PythonDjango Requirements/Skills At least prior internship experience -on Backend development experience especially in Python &amp; Django stack is must Prior experience in tech and product startups ‍. Good communication skills Minimum 60% aggregate marks (Passed out year - 2022 &amp; 2023) Sound know…</t>
        </is>
      </c>
      <c r="N125" t="n">
        <v>20</v>
      </c>
      <c r="O125" t="n">
        <v>20</v>
      </c>
      <c r="P125" t="n">
        <v>20</v>
      </c>
      <c r="Q125" t="n">
        <v>40</v>
      </c>
      <c r="R125" t="n">
        <v>0</v>
      </c>
      <c r="S125" t="n">
        <v>0</v>
      </c>
      <c r="T125" t="n">
        <v>40</v>
      </c>
      <c r="U125" t="inlineStr">
        <is>
          <t>SKIP</t>
        </is>
      </c>
      <c r="V125" t="inlineStr">
        <is>
          <t>SKIP</t>
        </is>
      </c>
      <c r="W125" t="inlineStr">
        <is>
          <t>Python; Django</t>
        </is>
      </c>
      <c r="X125" t="inlineStr">
        <is>
          <t>Amaanuddin_Ahmed_Resume.pdf</t>
        </is>
      </c>
      <c r="Y125" t="inlineStr">
        <is>
          <t>2026-10-02</t>
        </is>
      </c>
      <c r="AA125" t="inlineStr">
        <is>
          <t>FAIL</t>
        </is>
      </c>
      <c r="AB125" t="inlineStr">
        <is>
          <t>Passed out year requirement is 2022 &amp; 2023, but candidate is in MCA 2025-2027 program.; Mandatory Python &amp; Django backend internship experience is missing from candidate's demonstrated work experience.</t>
        </is>
      </c>
      <c r="AC125" t="inlineStr">
        <is>
          <t>UNKNOWN</t>
        </is>
      </c>
      <c r="AD125" t="inlineStr">
        <is>
          <t>Availability not explicitly stated in relation to the specific timeline requested by the company.</t>
        </is>
      </c>
      <c r="AE125" t="inlineStr">
        <is>
          <t>UNKNOWN</t>
        </is>
      </c>
      <c r="AF125" t="n">
        <v>0</v>
      </c>
      <c r="AG125" t="inlineStr">
        <is>
          <t>No</t>
        </is>
      </c>
      <c r="AH125" t="inlineStr">
        <is>
          <t>NOT_MENTIONED</t>
        </is>
      </c>
      <c r="AI125" t="inlineStr">
        <is>
          <t>No mention of PPO or conversion in the job description.</t>
        </is>
      </c>
      <c r="AJ125" t="inlineStr">
        <is>
          <t>Passed out year requirement (2022 &amp; 2023); Mandatory prior Python &amp; Django backend internship experience</t>
        </is>
      </c>
      <c r="AK125" t="inlineStr">
        <is>
          <t>Outdated passed out year criteria (2022 &amp; 2023) for a current internship posting</t>
        </is>
      </c>
      <c r="AL125" t="inlineStr">
        <is>
          <t>Python and Django fundamentals; Backend architecture and REST APIs; Startup engineering workflows</t>
        </is>
      </c>
    </row>
    <row r="126">
      <c r="A126" t="inlineStr">
        <is>
          <t>MOGI-IO-261002-125</t>
        </is>
      </c>
      <c r="B126" t="inlineStr">
        <is>
          <t>Mogi IO</t>
        </is>
      </c>
      <c r="C126" t="inlineStr">
        <is>
          <t>Backend Developer Intern</t>
        </is>
      </c>
      <c r="D126" t="inlineStr">
        <is>
          <t>https://www.adzuna.in/details/3066949136?utm_medium=api&amp;utm_source=5ccdc27f</t>
        </is>
      </c>
      <c r="E126" t="inlineStr">
        <is>
          <t>AI Analyzer</t>
        </is>
      </c>
      <c r="F126" t="inlineStr">
        <is>
          <t>Delhi, India</t>
        </is>
      </c>
      <c r="G126" t="inlineStr">
        <is>
          <t>On-site</t>
        </is>
      </c>
      <c r="H126" t="inlineStr">
        <is>
          <t>Not specified</t>
        </is>
      </c>
      <c r="I126" t="inlineStr">
        <is>
          <t>Not specified</t>
        </is>
      </c>
      <c r="J126" t="inlineStr">
        <is>
          <t>Yes</t>
        </is>
      </c>
      <c r="K126" t="inlineStr">
        <is>
          <t>Node.js; MongoDB; Backend Development; Full Stack Development</t>
        </is>
      </c>
      <c r="L126" t="inlineStr">
        <is>
          <t>MEAN Stack</t>
        </is>
      </c>
      <c r="M126" t="inlineStr">
        <is>
          <t>Mogi I/O (www.mogiio.com), a Delhi based video delivery SaaS venture, is looking for a Full-stack /mean stack developer, both for an internship role. A candidate should be high performance, high energy. He would work on core video and image tech. Should be a hands-on Full Stack or mean stack coder. Experience – Any experience in Back end working on NodeJs and MongoDB. Some core requirements - Should be a hands-on Back end- NodeJs and MongoDB, with experience in building real world applications.…</t>
        </is>
      </c>
      <c r="N126" t="n">
        <v>78</v>
      </c>
      <c r="O126" t="n">
        <v>90</v>
      </c>
      <c r="P126" t="n">
        <v>85</v>
      </c>
      <c r="Q126" t="n">
        <v>85</v>
      </c>
      <c r="R126" t="n">
        <v>100</v>
      </c>
      <c r="S126" t="n">
        <v>0</v>
      </c>
      <c r="T126" t="n">
        <v>60</v>
      </c>
      <c r="U126" t="inlineStr">
        <is>
          <t>SKIP</t>
        </is>
      </c>
      <c r="V126" t="inlineStr">
        <is>
          <t>SKIP</t>
        </is>
      </c>
      <c r="X126" t="inlineStr">
        <is>
          <t>Amaanuddin_Ahmed_Resume.pdf</t>
        </is>
      </c>
      <c r="Y126" t="inlineStr">
        <is>
          <t>2026-10-02</t>
        </is>
      </c>
      <c r="Z126" t="inlineStr">
        <is>
          <t>Strong technical match for Node.js and MongoDB backend requirements.; Explicit PPO conversion opportunity aligns with high PPO priority.</t>
        </is>
      </c>
      <c r="AA126" t="inlineStr">
        <is>
          <t>No</t>
        </is>
      </c>
      <c r="AB126" t="inlineStr">
        <is>
          <t>Location mismatch: Job is in Delhi, India, whereas preferred location is Bengaluru, India.</t>
        </is>
      </c>
      <c r="AC126" t="inlineStr">
        <is>
          <t>Unknown</t>
        </is>
      </c>
      <c r="AD126" t="inlineStr">
        <is>
          <t>Availability not specified in candidate profile.</t>
        </is>
      </c>
      <c r="AE126" t="inlineStr">
        <is>
          <t>UNKNOWN</t>
        </is>
      </c>
      <c r="AF126" t="n">
        <v>0</v>
      </c>
      <c r="AG126" t="inlineStr">
        <is>
          <t>No</t>
        </is>
      </c>
      <c r="AH126" t="inlineStr">
        <is>
          <t>Yes</t>
        </is>
      </c>
      <c r="AI126" t="inlineStr">
        <is>
          <t>Converts to full-time</t>
        </is>
      </c>
      <c r="AJ126" t="inlineStr">
        <is>
          <t>Location mismatch: Job is in Delhi, India, while candidate prefers Bengaluru, India.</t>
        </is>
      </c>
      <c r="AK126" t="inlineStr">
        <is>
          <t>No stipend information provided; Location is Delhi instead of Bengaluru</t>
        </is>
      </c>
      <c r="AL126" t="inlineStr">
        <is>
          <t>Node.js event loop and asynchronous programming; MongoDB indexing and aggregation pipelines; Building and scaling REST APIs</t>
        </is>
      </c>
    </row>
    <row r="127">
      <c r="A127" t="inlineStr">
        <is>
          <t>FINHENCE-261002-126</t>
        </is>
      </c>
      <c r="B127" t="inlineStr">
        <is>
          <t>finhence</t>
        </is>
      </c>
      <c r="C127" t="inlineStr">
        <is>
          <t>backend web development intern</t>
        </is>
      </c>
      <c r="D127" t="inlineStr">
        <is>
          <t>https://www.adzuna.in/details/3126297326?utm_medium=api&amp;utm_source=5ccdc27f</t>
        </is>
      </c>
      <c r="E127" t="inlineStr">
        <is>
          <t>AI Analyzer</t>
        </is>
      </c>
      <c r="F127" t="inlineStr">
        <is>
          <t>Delhi, India</t>
        </is>
      </c>
      <c r="G127" t="inlineStr">
        <is>
          <t>On-site</t>
        </is>
      </c>
      <c r="I127" t="inlineStr">
        <is>
          <t>4 months</t>
        </is>
      </c>
      <c r="J127" t="inlineStr">
        <is>
          <t>UNKNOWN</t>
        </is>
      </c>
      <c r="K127" t="inlineStr">
        <is>
          <t>node.js; API; PHP</t>
        </is>
      </c>
      <c r="M127" t="inlineStr">
        <is>
          <t>finhence is hiring for the role of back-end web developement intern. duration- 4 months skills required - node.js, API , PHP etc experience- freshers/ undergraduates can apply Skills:- API, PHP and NodeJS (Node.js)</t>
        </is>
      </c>
      <c r="N127" t="n">
        <v>59</v>
      </c>
      <c r="O127" t="n">
        <v>70</v>
      </c>
      <c r="P127" t="n">
        <v>80</v>
      </c>
      <c r="Q127" t="n">
        <v>80</v>
      </c>
      <c r="R127" t="n">
        <v>40</v>
      </c>
      <c r="S127" t="n">
        <v>0</v>
      </c>
      <c r="T127" t="n">
        <v>40</v>
      </c>
      <c r="U127" t="inlineStr">
        <is>
          <t>SKIP</t>
        </is>
      </c>
      <c r="V127" t="inlineStr">
        <is>
          <t>SKIP</t>
        </is>
      </c>
      <c r="W127" t="inlineStr">
        <is>
          <t>PHP</t>
        </is>
      </c>
      <c r="X127" t="inlineStr">
        <is>
          <t>Amaanuddin_Ahmed_Resume.pdf</t>
        </is>
      </c>
      <c r="Y127" t="inlineStr">
        <is>
          <t>2026-10-02</t>
        </is>
      </c>
      <c r="Z127" t="inlineStr">
        <is>
          <t>Matches backend intern role requirement; Requires Node.js and APIs which candidate has demonstrated experience with</t>
        </is>
      </c>
      <c r="AA127" t="inlineStr">
        <is>
          <t>ELIGIBLE</t>
        </is>
      </c>
      <c r="AB127" t="inlineStr">
        <is>
          <t>Freshers and undergraduates can apply; Candidate is an MCA student matching intern status</t>
        </is>
      </c>
      <c r="AC127" t="inlineStr">
        <is>
          <t>UNKNOWN</t>
        </is>
      </c>
      <c r="AD127" t="inlineStr">
        <is>
          <t>Availability not explicitly specified in the career brain relative to start date</t>
        </is>
      </c>
      <c r="AE127" t="inlineStr">
        <is>
          <t>UNKNOWN</t>
        </is>
      </c>
      <c r="AF127" t="n">
        <v>0</v>
      </c>
      <c r="AG127" t="inlineStr">
        <is>
          <t>No</t>
        </is>
      </c>
      <c r="AH127" t="inlineStr">
        <is>
          <t>UNKNOWN</t>
        </is>
      </c>
      <c r="AI127" t="inlineStr">
        <is>
          <t>No mention of PPO or conversion in the job description</t>
        </is>
      </c>
      <c r="AJ127" t="inlineStr">
        <is>
          <t>Location mismatch: Job is in Delhi, India while candidate prefers Bengaluru, India</t>
        </is>
      </c>
      <c r="AK127" t="inlineStr">
        <is>
          <t>Location is Delhi, India which violates preferred location; Stipend is completely unknown</t>
        </is>
      </c>
      <c r="AL127" t="inlineStr">
        <is>
          <t>Node.js event loop and asynchronous programming; RESTful API design and security; PHP fundamentals and experience comparison with Node.js</t>
        </is>
      </c>
    </row>
    <row r="128">
      <c r="A128" t="inlineStr">
        <is>
          <t>SHIRYAM-261002-127</t>
        </is>
      </c>
      <c r="B128" t="inlineStr">
        <is>
          <t>shiryam</t>
        </is>
      </c>
      <c r="C128" t="inlineStr">
        <is>
          <t>Backend Developer (Python Intern)</t>
        </is>
      </c>
      <c r="D128" t="inlineStr">
        <is>
          <t>https://www.adzuna.in/details/3447826016?utm_medium=api&amp;utm_source=5ccdc27f</t>
        </is>
      </c>
      <c r="E128" t="inlineStr">
        <is>
          <t>AI Analyzer</t>
        </is>
      </c>
      <c r="F128" t="inlineStr">
        <is>
          <t>India</t>
        </is>
      </c>
      <c r="G128" t="inlineStr">
        <is>
          <t>Remote option available</t>
        </is>
      </c>
      <c r="H128" t="inlineStr">
        <is>
          <t>Competitive stipend</t>
        </is>
      </c>
      <c r="I128" t="inlineStr">
        <is>
          <t>unknown</t>
        </is>
      </c>
      <c r="J128" t="inlineStr">
        <is>
          <t>YES</t>
        </is>
      </c>
      <c r="K128" t="inlineStr">
        <is>
          <t>Python; Server-side logic; Web development</t>
        </is>
      </c>
      <c r="M128" t="inlineStr">
        <is>
          <t>We are looking for a Python Web Developer Intern responsible for managing the interchange of data between the server and the users. Your primary focus will be the development of all server-side logic, ensuring high performance and responsiveness to requests from the front-end. Perks of working with us: Competitive stipend Remote option available Certificate and Letter of recommendation Slack/Asana focussed environment Cool managers Meme focussed communication Opportunity to convert to work full…</t>
        </is>
      </c>
      <c r="N128" t="n">
        <v>52</v>
      </c>
      <c r="O128" t="n">
        <v>40</v>
      </c>
      <c r="P128" t="n">
        <v>50</v>
      </c>
      <c r="Q128" t="n">
        <v>60</v>
      </c>
      <c r="R128" t="n">
        <v>90</v>
      </c>
      <c r="S128" t="n">
        <v>20</v>
      </c>
      <c r="T128" t="n">
        <v>60</v>
      </c>
      <c r="U128" t="inlineStr">
        <is>
          <t>SKIP</t>
        </is>
      </c>
      <c r="V128" t="inlineStr">
        <is>
          <t>SKIP</t>
        </is>
      </c>
      <c r="W128" t="inlineStr">
        <is>
          <t>Python</t>
        </is>
      </c>
      <c r="X128" t="inlineStr">
        <is>
          <t>Amaanuddin_Ahmed_Resume_Default.pdf</t>
        </is>
      </c>
      <c r="Y128" t="inlineStr">
        <is>
          <t>2026-10-02</t>
        </is>
      </c>
      <c r="Z128" t="inlineStr">
        <is>
          <t>Mentions an opportunity to convert to a full-time role.; Remote work option is available.</t>
        </is>
      </c>
      <c r="AA128" t="inlineStr">
        <is>
          <t>ELIGIBLE</t>
        </is>
      </c>
      <c r="AB128" t="inlineStr">
        <is>
          <t>No hard blockers found in the job description regarding degree or graduation year.</t>
        </is>
      </c>
      <c r="AC128" t="inlineStr">
        <is>
          <t>UNKNOWN</t>
        </is>
      </c>
      <c r="AD128" t="inlineStr">
        <is>
          <t>Availability not explicitly specified in the candidate profile.</t>
        </is>
      </c>
      <c r="AE128" t="inlineStr">
        <is>
          <t>UNKNOWN</t>
        </is>
      </c>
      <c r="AF128" t="n">
        <v>0</v>
      </c>
      <c r="AG128" t="inlineStr">
        <is>
          <t>No</t>
        </is>
      </c>
      <c r="AH128" t="inlineStr">
        <is>
          <t>YES</t>
        </is>
      </c>
      <c r="AI128" t="inlineStr">
        <is>
          <t>Opportunity to convert to work full…</t>
        </is>
      </c>
      <c r="AK128" t="inlineStr">
        <is>
          <t>Stipend amount is unspecified ('Competitive stipend'); Primary tech stack is Python, which the candidate only has working knowledge of and has not demonstrated in professional experience.</t>
        </is>
      </c>
      <c r="AL128" t="inlineStr">
        <is>
          <t>Python web frameworks (Django/Flask); Server-side logic and database integration; API development and data exchange</t>
        </is>
      </c>
    </row>
    <row r="129">
      <c r="A129" t="inlineStr">
        <is>
          <t>PARKSMART-261002-128</t>
        </is>
      </c>
      <c r="B129" t="inlineStr">
        <is>
          <t>Parksmart</t>
        </is>
      </c>
      <c r="C129" t="inlineStr">
        <is>
          <t>Node Js Backend Intern</t>
        </is>
      </c>
      <c r="D129" t="inlineStr">
        <is>
          <t>https://www.adzuna.in/details/5241945722?utm_medium=api&amp;utm_source=5ccdc27f</t>
        </is>
      </c>
      <c r="E129" t="inlineStr">
        <is>
          <t>AI Analyzer</t>
        </is>
      </c>
      <c r="F129" t="inlineStr">
        <is>
          <t>Noida, Ghaziabad</t>
        </is>
      </c>
      <c r="G129" t="inlineStr">
        <is>
          <t>Remote / Onsite</t>
        </is>
      </c>
      <c r="H129" t="inlineStr">
        <is>
          <t>Not specified</t>
        </is>
      </c>
      <c r="I129" t="inlineStr">
        <is>
          <t>2 Months</t>
        </is>
      </c>
      <c r="J129" t="inlineStr">
        <is>
          <t>NOT_MENTIONED</t>
        </is>
      </c>
      <c r="K129" t="inlineStr">
        <is>
          <t>Node.js; Firebase; AWS; SQL; NoSQL; RESTful API integration; MVC Framework; React.js; MongoDB</t>
        </is>
      </c>
      <c r="M129" t="inlineStr">
        <is>
          <t>We're Urgently Hiring – Node.js Backend Development Intern Join our backend team as an intern and get hands-on experience building scalable, real-world applications with Node.js, Firebase, and AWS. Remote / Onsite Duration: 2 Months What You’ll Work On: Backend development using Node.js Firebase, SQL &amp; NoSQL database management RESTful API integration Deployment on AWS infrastructure Skills:- NodeJS (Node.js), Amazon Web Services (AWS), React.js, SQL, MongoDB and MVC Framework</t>
        </is>
      </c>
      <c r="N129" t="n">
        <v>63</v>
      </c>
      <c r="O129" t="n">
        <v>70</v>
      </c>
      <c r="P129" t="n">
        <v>80</v>
      </c>
      <c r="Q129" t="n">
        <v>85</v>
      </c>
      <c r="R129" t="n">
        <v>30</v>
      </c>
      <c r="S129" t="n">
        <v>40</v>
      </c>
      <c r="T129" t="n">
        <v>50</v>
      </c>
      <c r="U129" t="inlineStr">
        <is>
          <t>STRETCH</t>
        </is>
      </c>
      <c r="V129" t="inlineStr">
        <is>
          <t>STRETCH</t>
        </is>
      </c>
      <c r="W129" t="inlineStr">
        <is>
          <t>Firebase</t>
        </is>
      </c>
      <c r="X129" t="inlineStr">
        <is>
          <t>Amaanuddin_Ahmed_Resume.pdf</t>
        </is>
      </c>
      <c r="Y129" t="inlineStr">
        <is>
          <t>2026-10-02</t>
        </is>
      </c>
      <c r="Z129" t="inlineStr">
        <is>
          <t>Good alignment with Node.js backend development role.; Allows gaining experience with AWS deployment and backend architecture.</t>
        </is>
      </c>
      <c r="AA129" t="inlineStr">
        <is>
          <t>ELIGIBLE</t>
        </is>
      </c>
      <c r="AB129" t="inlineStr">
        <is>
          <t>No hard restrictions on graduation year or degree mentioned in the JD.; Matches technical scope for Node.js backend development.</t>
        </is>
      </c>
      <c r="AC129" t="inlineStr">
        <is>
          <t>UNKNOWN</t>
        </is>
      </c>
      <c r="AD129" t="inlineStr">
        <is>
          <t>Availability not explicitly detailed in the candidate profile besides being an MCA student graduating in 2027.</t>
        </is>
      </c>
      <c r="AE129" t="inlineStr">
        <is>
          <t>UNKNOWN</t>
        </is>
      </c>
      <c r="AF129" t="n">
        <v>0</v>
      </c>
      <c r="AG129" t="inlineStr">
        <is>
          <t>No</t>
        </is>
      </c>
      <c r="AH129" t="inlineStr">
        <is>
          <t>NOT_MENTIONED</t>
        </is>
      </c>
      <c r="AI129" t="inlineStr">
        <is>
          <t>No mention of PPO or conversion to full-time employment in the job description.</t>
        </is>
      </c>
      <c r="AK129" t="inlineStr">
        <is>
          <t>Stipend is completely unspecified.; Duration is short (2 Months).</t>
        </is>
      </c>
      <c r="AL129" t="inlineStr">
        <is>
          <t>Node.js event loop and asynchronous programming; MVC architecture implementation in Express/Node; Database design with SQL and MongoDB; AWS deployment and services experience</t>
        </is>
      </c>
    </row>
    <row r="130">
      <c r="A130" t="inlineStr">
        <is>
          <t>MIKO-GROUP-261002-129</t>
        </is>
      </c>
      <c r="B130" t="inlineStr">
        <is>
          <t>Miko Group</t>
        </is>
      </c>
      <c r="C130" t="inlineStr">
        <is>
          <t>Software Development Intern Backend Mumbai</t>
        </is>
      </c>
      <c r="D130" t="inlineStr">
        <is>
          <t>https://www.adzuna.in/details/5827200415?utm_medium=api&amp;utm_source=5ccdc27f</t>
        </is>
      </c>
      <c r="E130" t="inlineStr">
        <is>
          <t>AI Analyzer</t>
        </is>
      </c>
      <c r="F130" t="inlineStr">
        <is>
          <t>Mumbai, Maharashtra</t>
        </is>
      </c>
      <c r="G130" t="inlineStr">
        <is>
          <t>Onsite</t>
        </is>
      </c>
      <c r="H130" t="inlineStr">
        <is>
          <t>Not Specified</t>
        </is>
      </c>
      <c r="I130" t="inlineStr">
        <is>
          <t>Not Specified</t>
        </is>
      </c>
      <c r="J130" t="inlineStr">
        <is>
          <t>No</t>
        </is>
      </c>
      <c r="K130" t="inlineStr">
        <is>
          <t>Backend Development</t>
        </is>
      </c>
      <c r="M130" t="inlineStr">
        <is>
          <t>Location Dadar Mumbai Onsite Remote Experience 6 Months 1 Year About Miko Miko is an advanced consumer robotics innovation lab focused on bringing Robotics and AI to every consumer home Founded by entrepreneurs from IIT Bombay Miko is a global deeptech company with offices in the US UK and India serving customers across 140 countries Our flagship product Miko 3 is an AIpowered learning robot designed to educate engage and entertain children through conversational learning and interactive experi…</t>
        </is>
      </c>
      <c r="N130" t="n">
        <v>45</v>
      </c>
      <c r="O130" t="n">
        <v>60</v>
      </c>
      <c r="P130" t="n">
        <v>60</v>
      </c>
      <c r="Q130" t="n">
        <v>65</v>
      </c>
      <c r="R130" t="n">
        <v>0</v>
      </c>
      <c r="S130" t="n">
        <v>0</v>
      </c>
      <c r="T130" t="n">
        <v>50</v>
      </c>
      <c r="U130" t="inlineStr">
        <is>
          <t>SKIP</t>
        </is>
      </c>
      <c r="V130" t="inlineStr">
        <is>
          <t>SKIP</t>
        </is>
      </c>
      <c r="X130" t="inlineStr">
        <is>
          <t>Amaanuddin_Ahmed_Resume.pdf</t>
        </is>
      </c>
      <c r="Y130" t="inlineStr">
        <is>
          <t>2026-10-02</t>
        </is>
      </c>
      <c r="AA130" t="inlineStr">
        <is>
          <t>Ineligible</t>
        </is>
      </c>
      <c r="AB130" t="inlineStr">
        <is>
          <t>Job location is Mumbai, Maharashtra, but candidate's preferred location is Bengaluru, India.</t>
        </is>
      </c>
      <c r="AC130" t="inlineStr">
        <is>
          <t>Unknown</t>
        </is>
      </c>
      <c r="AD130" t="inlineStr">
        <is>
          <t>Availability dates are not specified in the job description.</t>
        </is>
      </c>
      <c r="AE130" t="inlineStr">
        <is>
          <t>UNKNOWN</t>
        </is>
      </c>
      <c r="AF130" t="n">
        <v>0</v>
      </c>
      <c r="AG130" t="inlineStr">
        <is>
          <t>No</t>
        </is>
      </c>
      <c r="AH130" t="inlineStr">
        <is>
          <t>No</t>
        </is>
      </c>
      <c r="AI130" t="inlineStr">
        <is>
          <t>No mention of PPO or conversion to full-time employment in the job description.</t>
        </is>
      </c>
      <c r="AJ130" t="inlineStr">
        <is>
          <t>Location mismatch: Job is onsite in Mumbai, candidate prefers Bengaluru.</t>
        </is>
      </c>
      <c r="AK130" t="inlineStr">
        <is>
          <t>Stipend is not disclosed.; No PPO mentioned.</t>
        </is>
      </c>
      <c r="AL130" t="inlineStr">
        <is>
          <t>Backend development principles; API design; Database management</t>
        </is>
      </c>
    </row>
    <row r="131">
      <c r="A131" t="inlineStr">
        <is>
          <t>YLYTIC-261002-130</t>
        </is>
      </c>
      <c r="B131" t="inlineStr">
        <is>
          <t>Ylytic</t>
        </is>
      </c>
      <c r="C131" t="inlineStr">
        <is>
          <t>Backend Developer Intern</t>
        </is>
      </c>
      <c r="D131" t="inlineStr">
        <is>
          <t>https://www.adzuna.in/details/3148437412?utm_medium=api&amp;utm_source=5ccdc27f</t>
        </is>
      </c>
      <c r="E131" t="inlineStr">
        <is>
          <t>AI Analyzer</t>
        </is>
      </c>
      <c r="F131" t="inlineStr">
        <is>
          <t>India</t>
        </is>
      </c>
      <c r="G131" t="inlineStr">
        <is>
          <t>UNKNOWN</t>
        </is>
      </c>
      <c r="H131" t="inlineStr">
        <is>
          <t>Not specified</t>
        </is>
      </c>
      <c r="I131" t="inlineStr">
        <is>
          <t>UNKNOWN</t>
        </is>
      </c>
      <c r="J131" t="inlineStr">
        <is>
          <t>YES</t>
        </is>
      </c>
      <c r="K131" t="inlineStr">
        <is>
          <t>Backend Development</t>
        </is>
      </c>
      <c r="L131" t="inlineStr">
        <is>
          <t>Analytics; Scalable Product Development</t>
        </is>
      </c>
      <c r="M131" t="inlineStr">
        <is>
          <t>Backend Development - Intern Converts into a full time position based on performance A Backend Developer, for an early-stage Analytics startup who can help us translate Product specs into a high-performing and scalable product across platforms. Also help in improving functionality of product. End goal is to achieve product-market objectives The candidate will have rich learning into what goes into developing, scaling a product from scratch. A chance to grow into a Backend Development Owner in m…</t>
        </is>
      </c>
      <c r="N131" t="n">
        <v>79</v>
      </c>
      <c r="O131" t="n">
        <v>80</v>
      </c>
      <c r="P131" t="n">
        <v>85</v>
      </c>
      <c r="Q131" t="n">
        <v>85</v>
      </c>
      <c r="R131" t="n">
        <v>90</v>
      </c>
      <c r="S131" t="n">
        <v>40</v>
      </c>
      <c r="T131" t="n">
        <v>75</v>
      </c>
      <c r="U131" t="inlineStr">
        <is>
          <t>CONSIDER</t>
        </is>
      </c>
      <c r="V131" t="inlineStr">
        <is>
          <t>CONSIDER</t>
        </is>
      </c>
      <c r="X131" t="inlineStr">
        <is>
          <t>Standard Full Stack / Backend Resume</t>
        </is>
      </c>
      <c r="Y131" t="inlineStr">
        <is>
          <t>2026-10-02</t>
        </is>
      </c>
      <c r="Z131" t="inlineStr">
        <is>
          <t>Explicit conversion to a full-time position (PPO) based on performance aligns with high priority goals.; Matches backend internship target roles and utilizes Node.js and Express experience.; Early-stage startup environment offers strong ownership and learning growth.</t>
        </is>
      </c>
      <c r="AA131" t="inlineStr">
        <is>
          <t>ELIGIBLE</t>
        </is>
      </c>
      <c r="AC131" t="inlineStr">
        <is>
          <t>UNKNOWN</t>
        </is>
      </c>
      <c r="AD131" t="inlineStr">
        <is>
          <t>Availability not explicitly specified in candidate profile regarding start dates.</t>
        </is>
      </c>
      <c r="AE131" t="inlineStr">
        <is>
          <t>UNKNOWN</t>
        </is>
      </c>
      <c r="AF131" t="n">
        <v>0</v>
      </c>
      <c r="AG131" t="inlineStr">
        <is>
          <t>No</t>
        </is>
      </c>
      <c r="AH131" t="inlineStr">
        <is>
          <t>YES</t>
        </is>
      </c>
      <c r="AI131" t="inlineStr">
        <is>
          <t>Converts into a full time position based on performance</t>
        </is>
      </c>
      <c r="AK131" t="inlineStr">
        <is>
          <t>Stipend is completely undisclosed</t>
        </is>
      </c>
      <c r="AL131" t="inlineStr">
        <is>
          <t>Backend development practices and scaling; Database design and query optimization; API architecture and performance tuning; Early-stage startup experience and product ownership</t>
        </is>
      </c>
    </row>
    <row r="132">
      <c r="A132" t="inlineStr">
        <is>
          <t>JUSPAY-TECHN-261002-131</t>
        </is>
      </c>
      <c r="B132" t="inlineStr">
        <is>
          <t>Juspay Technologies</t>
        </is>
      </c>
      <c r="C132" t="inlineStr">
        <is>
          <t>Software Development Engineer Backend Intern</t>
        </is>
      </c>
      <c r="D132" t="inlineStr">
        <is>
          <t>https://www.adzuna.in/details/5854847430?utm_medium=api&amp;utm_source=5ccdc27f</t>
        </is>
      </c>
      <c r="E132" t="inlineStr">
        <is>
          <t>AI Analyzer</t>
        </is>
      </c>
      <c r="F132" t="inlineStr">
        <is>
          <t>Bangalore, Karnataka</t>
        </is>
      </c>
      <c r="G132" t="inlineStr">
        <is>
          <t>On-site</t>
        </is>
      </c>
      <c r="H132" t="inlineStr">
        <is>
          <t>Not Specified</t>
        </is>
      </c>
      <c r="I132" t="inlineStr">
        <is>
          <t>Not Specified</t>
        </is>
      </c>
      <c r="J132" t="inlineStr">
        <is>
          <t>UNKNOWN</t>
        </is>
      </c>
      <c r="K132" t="inlineStr">
        <is>
          <t>Functional Programming</t>
        </is>
      </c>
      <c r="L132" t="inlineStr">
        <is>
          <t>Backend Development</t>
        </is>
      </c>
      <c r="M132" t="inlineStr">
        <is>
          <t>Software Development Engineer Backend Intern at Juspay is a genuinely different kind of internship listing most companies bury their tech stack in a generic modern technologies line but Juspay states directly that its built its entire core business logic in functional programming and describes itself as the largest company in the world doing so at this scale Understanding Juspays actual scale before applying This isnt a small fintech startup Juspay is a multinational payments technology company…</t>
        </is>
      </c>
      <c r="N132" t="n">
        <v>60</v>
      </c>
      <c r="O132" t="n">
        <v>50</v>
      </c>
      <c r="P132" t="n">
        <v>70</v>
      </c>
      <c r="Q132" t="n">
        <v>80</v>
      </c>
      <c r="R132" t="n">
        <v>50</v>
      </c>
      <c r="S132" t="n">
        <v>40</v>
      </c>
      <c r="T132" t="n">
        <v>80</v>
      </c>
      <c r="U132" t="inlineStr">
        <is>
          <t>STRETCH</t>
        </is>
      </c>
      <c r="V132" t="inlineStr">
        <is>
          <t>STRETCH</t>
        </is>
      </c>
      <c r="W132" t="inlineStr">
        <is>
          <t>Functional Programming</t>
        </is>
      </c>
      <c r="X132" t="inlineStr">
        <is>
          <t>Amaanuddin_Ahmed_Resume.pdf</t>
        </is>
      </c>
      <c r="Y132" t="inlineStr">
        <is>
          <t>2026-10-02</t>
        </is>
      </c>
      <c r="Z132" t="inlineStr">
        <is>
          <t>Juspay is a prominent multinational payments tech company offering high opportunity quality.; Matches the primary target role for backend internship.</t>
        </is>
      </c>
      <c r="AA132" t="inlineStr">
        <is>
          <t>ELIGIBLE</t>
        </is>
      </c>
      <c r="AB132" t="inlineStr">
        <is>
          <t>Location matches preferred location (Bangalore); Role matches target role (Backend Developer Intern); No explicit degree or graduation year blockers mentioned in the snippet</t>
        </is>
      </c>
      <c r="AC132" t="inlineStr">
        <is>
          <t>UNKNOWN</t>
        </is>
      </c>
      <c r="AD132" t="inlineStr">
        <is>
          <t>Availability dates not specified in the career brain</t>
        </is>
      </c>
      <c r="AE132" t="inlineStr">
        <is>
          <t>UNKNOWN</t>
        </is>
      </c>
      <c r="AF132" t="n">
        <v>0</v>
      </c>
      <c r="AG132" t="inlineStr">
        <is>
          <t>No</t>
        </is>
      </c>
      <c r="AH132" t="inlineStr">
        <is>
          <t>UNKNOWN</t>
        </is>
      </c>
      <c r="AI132" t="inlineStr">
        <is>
          <t>PPO or conversion details are not explicitly mentioned in the provided job description snippet.</t>
        </is>
      </c>
      <c r="AK132" t="inlineStr">
        <is>
          <t>Job description is heavily truncated and lacks specifics on stipend, duration, and exact tech requirements beyond functional programming.</t>
        </is>
      </c>
      <c r="AL132" t="inlineStr">
        <is>
          <t>Functional Programming concepts and paradigms; Backend system design and scale; Node.js and database management (MySQL/MongoDB)</t>
        </is>
      </c>
    </row>
    <row r="133">
      <c r="A133" t="inlineStr">
        <is>
          <t>SPRINGER-CAP-261002-132</t>
        </is>
      </c>
      <c r="B133" t="inlineStr">
        <is>
          <t>Springer Capital</t>
        </is>
      </c>
      <c r="C133" t="inlineStr">
        <is>
          <t>Backend Engineering Intern (Infrastructure Software)</t>
        </is>
      </c>
      <c r="D133" t="inlineStr">
        <is>
          <t>https://www.adzuna.in/details/5600695068?utm_medium=api&amp;utm_source=5ccdc27f</t>
        </is>
      </c>
      <c r="E133" t="inlineStr">
        <is>
          <t>AI Analyzer</t>
        </is>
      </c>
      <c r="F133" t="inlineStr">
        <is>
          <t>India</t>
        </is>
      </c>
      <c r="G133" t="inlineStr">
        <is>
          <t>Remote</t>
        </is>
      </c>
      <c r="H133" t="inlineStr">
        <is>
          <t>Unpaid (3000 INR is just a placeholder)</t>
        </is>
      </c>
      <c r="I133" t="inlineStr">
        <is>
          <t>12 weeks</t>
        </is>
      </c>
      <c r="J133" t="inlineStr">
        <is>
          <t>not_mentioned</t>
        </is>
      </c>
      <c r="K133" t="inlineStr">
        <is>
          <t>Backend Development; API Development; Database Management; Backend Architecture</t>
        </is>
      </c>
      <c r="M133" t="inlineStr">
        <is>
          <t>Backend Engineering Intern (Infrastructure Software) – Remote Position Type: Internship (Full-Time or Part-Time) Location: Remote Duration: 12 weeks Compensation: Unpaid (3000 INR is just a placeholder) About the Role We are seeking a motivated Backend Developer Intern to join our engineering team and contribute to building scalable, efficient, and secure backend services. This internship offers hands-on experience in API development, database management, and backend architecture, with guidance…</t>
        </is>
      </c>
      <c r="N133" t="n">
        <v>58</v>
      </c>
      <c r="O133" t="n">
        <v>80</v>
      </c>
      <c r="P133" t="n">
        <v>85</v>
      </c>
      <c r="Q133" t="n">
        <v>85</v>
      </c>
      <c r="R133" t="n">
        <v>0</v>
      </c>
      <c r="S133" t="n">
        <v>0</v>
      </c>
      <c r="T133" t="n">
        <v>40</v>
      </c>
      <c r="U133" t="inlineStr">
        <is>
          <t>SKIP</t>
        </is>
      </c>
      <c r="V133" t="inlineStr">
        <is>
          <t>SKIP</t>
        </is>
      </c>
      <c r="X133" t="inlineStr">
        <is>
          <t>Amaanuddin_Ahmed_Resume.pdf</t>
        </is>
      </c>
      <c r="Y133" t="inlineStr">
        <is>
          <t>2026-10-02</t>
        </is>
      </c>
      <c r="Z133" t="inlineStr">
        <is>
          <t>Remote work mode aligns with preferences; Gives practical infrastructure and backend experience</t>
        </is>
      </c>
      <c r="AA133" t="inlineStr">
        <is>
          <t>eligible</t>
        </is>
      </c>
      <c r="AC133" t="inlineStr">
        <is>
          <t>unknown</t>
        </is>
      </c>
      <c r="AD133" t="inlineStr">
        <is>
          <t>Not specified in the job description</t>
        </is>
      </c>
      <c r="AE133" t="inlineStr">
        <is>
          <t>unpaid</t>
        </is>
      </c>
      <c r="AF133" t="n">
        <v>0</v>
      </c>
      <c r="AG133" t="inlineStr">
        <is>
          <t>No</t>
        </is>
      </c>
      <c r="AH133" t="inlineStr">
        <is>
          <t>not_mentioned</t>
        </is>
      </c>
      <c r="AI133" t="inlineStr">
        <is>
          <t>No mention of PPO or conversion in the JD</t>
        </is>
      </c>
      <c r="AK133" t="inlineStr">
        <is>
          <t>Unpaid internship; Placeholder stipend amount</t>
        </is>
      </c>
      <c r="AL133" t="inlineStr">
        <is>
          <t>API development and security; Database management and schema design; Scalable backend architecture</t>
        </is>
      </c>
    </row>
    <row r="134">
      <c r="A134" t="inlineStr">
        <is>
          <t>ROBINHOOD-261002-133</t>
        </is>
      </c>
      <c r="B134" t="inlineStr">
        <is>
          <t>Robinhood</t>
        </is>
      </c>
      <c r="C134" t="inlineStr">
        <is>
          <t>Software Developer Intern, Backend (Summer 2027)</t>
        </is>
      </c>
      <c r="D134" t="inlineStr">
        <is>
          <t>https://www.adzuna.in/details/5885969900?utm_medium=api&amp;utm_source=5ccdc27f</t>
        </is>
      </c>
      <c r="E134" t="inlineStr">
        <is>
          <t>AI Analyzer</t>
        </is>
      </c>
      <c r="F134" t="inlineStr">
        <is>
          <t>India</t>
        </is>
      </c>
      <c r="G134" t="inlineStr">
        <is>
          <t>UNKNOWN</t>
        </is>
      </c>
      <c r="I134" t="inlineStr">
        <is>
          <t>Summer 2027</t>
        </is>
      </c>
      <c r="J134" t="inlineStr">
        <is>
          <t>NOT_MENTIONED</t>
        </is>
      </c>
      <c r="M13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role We are building an elite team, applying frontier technologies to the world's biggest financial problems. We're looking for bold thinkers…</t>
        </is>
      </c>
      <c r="N134" t="n">
        <v>66</v>
      </c>
      <c r="O134" t="n">
        <v>60</v>
      </c>
      <c r="P134" t="n">
        <v>70</v>
      </c>
      <c r="Q134" t="n">
        <v>80</v>
      </c>
      <c r="R134" t="n">
        <v>50</v>
      </c>
      <c r="S134" t="n">
        <v>50</v>
      </c>
      <c r="T134" t="n">
        <v>90</v>
      </c>
      <c r="U134" t="inlineStr">
        <is>
          <t>STRETCH</t>
        </is>
      </c>
      <c r="V134" t="inlineStr">
        <is>
          <t>STRETCH</t>
        </is>
      </c>
      <c r="X134" t="inlineStr">
        <is>
          <t>Amaanuddin_Ahmed_Resume.pdf</t>
        </is>
      </c>
      <c r="Y134" t="inlineStr">
        <is>
          <t>2026-10-02</t>
        </is>
      </c>
      <c r="Z134" t="inlineStr">
        <is>
          <t>Robinhood is a top-tier fintech company offering high opportunity quality.; Matches target role for Software Engineering Intern.</t>
        </is>
      </c>
      <c r="AA134" t="inlineStr">
        <is>
          <t>ELIGIBLE</t>
        </is>
      </c>
      <c r="AB134" t="inlineStr">
        <is>
          <t>Target role matches software developer intern; Location India matches candidate preference</t>
        </is>
      </c>
      <c r="AC134" t="inlineStr">
        <is>
          <t>UNKNOWN</t>
        </is>
      </c>
      <c r="AD134" t="inlineStr">
        <is>
          <t>Summer 2027 aligns with MCA program duration 2025-2027, but specific exact dates are not provided.</t>
        </is>
      </c>
      <c r="AE134" t="inlineStr">
        <is>
          <t>UNKNOWN</t>
        </is>
      </c>
      <c r="AF134" t="n">
        <v>0</v>
      </c>
      <c r="AG134" t="inlineStr">
        <is>
          <t>No</t>
        </is>
      </c>
      <c r="AH134" t="inlineStr">
        <is>
          <t>NOT_MENTIONED</t>
        </is>
      </c>
      <c r="AI134" t="inlineStr">
        <is>
          <t>The provided job description snippet does not explicitly mention full-time conversion or PPO.</t>
        </is>
      </c>
      <c r="AK134" t="inlineStr">
        <is>
          <t>Extremely brief job description snippet provided with no specific backend technology stack requirements.</t>
        </is>
      </c>
      <c r="AL134" t="inlineStr">
        <is>
          <t>Backend systems design and scalability; Distributed systems; Data structures and algorithms; Previous full-stack internship experience and API development</t>
        </is>
      </c>
    </row>
    <row r="135">
      <c r="A135" t="inlineStr">
        <is>
          <t>SMYTTEN-261002-134</t>
        </is>
      </c>
      <c r="B135" t="inlineStr">
        <is>
          <t>Smytten</t>
        </is>
      </c>
      <c r="C135" t="inlineStr">
        <is>
          <t>Software Development Engineer Intern – Backend</t>
        </is>
      </c>
      <c r="D135" t="inlineStr">
        <is>
          <t>https://www.adzuna.in/details/5902287405?utm_medium=api&amp;utm_source=5ccdc27f</t>
        </is>
      </c>
      <c r="E135" t="inlineStr">
        <is>
          <t>AI Analyzer</t>
        </is>
      </c>
      <c r="F135" t="inlineStr">
        <is>
          <t>Bangalore, Karnataka</t>
        </is>
      </c>
      <c r="G135" t="inlineStr">
        <is>
          <t>Not specified</t>
        </is>
      </c>
      <c r="I135" t="inlineStr">
        <is>
          <t>Not specified</t>
        </is>
      </c>
      <c r="J135" t="inlineStr">
        <is>
          <t>NOT_MENTIONED</t>
        </is>
      </c>
      <c r="K135" t="inlineStr">
        <is>
          <t>Backend Development; Node.js; Express</t>
        </is>
      </c>
      <c r="M135" t="inlineStr">
        <is>
          <t>ABOUT PULSEAI RESEARCH (https://pulseairesearch.com/) PulseAI Research is an AI-powered consumer intelligence and research platform, powered by Smytten. We help brands understand real consumer behaviour through data, AI, and insights from millions of real shopper interactions. From consumer research and product testing to behavioural insights, we enable brands to make faster, data-driven decisions. As an intern, you will be working alongside the teams building and scaling our AI-powered consume…</t>
        </is>
      </c>
      <c r="N135" t="n">
        <v>66</v>
      </c>
      <c r="O135" t="n">
        <v>80</v>
      </c>
      <c r="P135" t="n">
        <v>85</v>
      </c>
      <c r="Q135" t="n">
        <v>85</v>
      </c>
      <c r="R135" t="n">
        <v>40</v>
      </c>
      <c r="S135" t="n">
        <v>0</v>
      </c>
      <c r="T135" t="n">
        <v>60</v>
      </c>
      <c r="U135" t="inlineStr">
        <is>
          <t>STRETCH</t>
        </is>
      </c>
      <c r="V135" t="inlineStr">
        <is>
          <t>STRETCH</t>
        </is>
      </c>
      <c r="X135" t="inlineStr">
        <is>
          <t>Default Full Stack / Backend Resume</t>
        </is>
      </c>
      <c r="Y135" t="inlineStr">
        <is>
          <t>2026-10-02</t>
        </is>
      </c>
      <c r="Z135" t="inlineStr">
        <is>
          <t>Strong technical alignment with backend requirements using Node.js and Express; Based in Bangalore matching target location preference; Relevant internship experience in Full Stack and backend development</t>
        </is>
      </c>
      <c r="AA135" t="inlineStr">
        <is>
          <t>ELIGIBLE</t>
        </is>
      </c>
      <c r="AB135" t="inlineStr">
        <is>
          <t>Location matches preferred location (Bangalore); Target role matches backend/software engineering intern criteria</t>
        </is>
      </c>
      <c r="AC135" t="inlineStr">
        <is>
          <t>UNKNOWN</t>
        </is>
      </c>
      <c r="AD135" t="inlineStr">
        <is>
          <t>Availability not explicitly mentioned in the job description.</t>
        </is>
      </c>
      <c r="AE135" t="inlineStr">
        <is>
          <t>UNKNOWN</t>
        </is>
      </c>
      <c r="AF135" t="n">
        <v>0</v>
      </c>
      <c r="AG135" t="inlineStr">
        <is>
          <t>No</t>
        </is>
      </c>
      <c r="AH135" t="inlineStr">
        <is>
          <t>NOT_MENTIONED</t>
        </is>
      </c>
      <c r="AI135" t="inlineStr">
        <is>
          <t>No mention of PPO or conversion in the snippet.</t>
        </is>
      </c>
      <c r="AK135" t="inlineStr">
        <is>
          <t>Stipend information is missing; Job description snippet cuts off abruptly</t>
        </is>
      </c>
      <c r="AL135" t="inlineStr">
        <is>
          <t>Node.js and Express architecture; Database design and query optimization; Handling backend scalability for consumer platforms</t>
        </is>
      </c>
    </row>
    <row r="136">
      <c r="A136" t="inlineStr">
        <is>
          <t>LADYBIRD-WEB-261002-135</t>
        </is>
      </c>
      <c r="B136" t="inlineStr">
        <is>
          <t>Ladybird Web Solution Pvt Ltd</t>
        </is>
      </c>
      <c r="C136" t="inlineStr">
        <is>
          <t>Golang developer Internship</t>
        </is>
      </c>
      <c r="D136" t="inlineStr">
        <is>
          <t>https://www.adzuna.in/details/5800149660?utm_medium=api&amp;utm_source=5ccdc27f</t>
        </is>
      </c>
      <c r="E136" t="inlineStr">
        <is>
          <t>AI Analyzer</t>
        </is>
      </c>
      <c r="F136" t="inlineStr">
        <is>
          <t>Dharmapuri, Tamil Nadu</t>
        </is>
      </c>
      <c r="G136" t="inlineStr">
        <is>
          <t>Not Specified</t>
        </is>
      </c>
      <c r="H136" t="inlineStr">
        <is>
          <t>Not Specified</t>
        </is>
      </c>
      <c r="I136" t="inlineStr">
        <is>
          <t>Not Specified</t>
        </is>
      </c>
      <c r="J136" t="inlineStr">
        <is>
          <t>UNKNOWN</t>
        </is>
      </c>
      <c r="K136" t="inlineStr">
        <is>
          <t>Golang; Backend Development</t>
        </is>
      </c>
      <c r="M136" t="inlineStr">
        <is>
          <t>Overview We are looking for enthusiastic and motivated Golang Developer Interns to join our engineering team and gain hands-on experience in backend development. The internship provides an opportunity to work on real-world projects related to the Faveo Helpdesk platform, develop backend services and APIs using Golang, and learn industry-standard coding and development practices under the guidance of experienced developers. About Faveo Helpdesk: Faveo Helpdesk is a leading open-source, customiza…</t>
        </is>
      </c>
      <c r="N136" t="n">
        <v>18</v>
      </c>
      <c r="O136" t="n">
        <v>20</v>
      </c>
      <c r="P136" t="n">
        <v>20</v>
      </c>
      <c r="Q136" t="n">
        <v>30</v>
      </c>
      <c r="R136" t="n">
        <v>0</v>
      </c>
      <c r="S136" t="n">
        <v>0</v>
      </c>
      <c r="T136" t="n">
        <v>40</v>
      </c>
      <c r="U136" t="inlineStr">
        <is>
          <t>SKIP</t>
        </is>
      </c>
      <c r="V136" t="inlineStr">
        <is>
          <t>SKIP</t>
        </is>
      </c>
      <c r="W136" t="inlineStr">
        <is>
          <t>Golang</t>
        </is>
      </c>
      <c r="X136" t="inlineStr">
        <is>
          <t>Amaanuddin_Ahmed_Resume.pdf</t>
        </is>
      </c>
      <c r="Y136" t="inlineStr">
        <is>
          <t>2026-10-02</t>
        </is>
      </c>
      <c r="AA136" t="inlineStr">
        <is>
          <t>FAIL</t>
        </is>
      </c>
      <c r="AB136" t="inlineStr">
        <is>
          <t>Hard blocker: Candidate lacks mandatory Golang experience/skills required for a Golang Developer internship.; Location mismatch: Job is located in Dharmapuri, Tamil Nadu, while candidate prefers Bengaluru.</t>
        </is>
      </c>
      <c r="AC136" t="inlineStr">
        <is>
          <t>UNKNOWN</t>
        </is>
      </c>
      <c r="AD136" t="inlineStr">
        <is>
          <t>Availability not explicitly stated in the context.</t>
        </is>
      </c>
      <c r="AE136" t="inlineStr">
        <is>
          <t>UNKNOWN</t>
        </is>
      </c>
      <c r="AF136" t="n">
        <v>0</v>
      </c>
      <c r="AG136" t="inlineStr">
        <is>
          <t>No</t>
        </is>
      </c>
      <c r="AH136" t="inlineStr">
        <is>
          <t>UNKNOWN</t>
        </is>
      </c>
      <c r="AI136" t="inlineStr">
        <is>
          <t>No explicit mention of PPO or conversion in the job description snippet.</t>
        </is>
      </c>
      <c r="AJ136" t="inlineStr">
        <is>
          <t>Missing mandatory Golang skill; Location is Dharmapuri, Tamil Nadu (non-preferred)</t>
        </is>
      </c>
      <c r="AK136" t="inlineStr">
        <is>
          <t>Stipend not disclosed; Location mismatch</t>
        </is>
      </c>
    </row>
    <row r="137">
      <c r="A137" t="inlineStr">
        <is>
          <t>ROBINHOOD-261002-136</t>
        </is>
      </c>
      <c r="B137" t="inlineStr">
        <is>
          <t>Robinhood</t>
        </is>
      </c>
      <c r="C137" t="inlineStr">
        <is>
          <t>Software Developer Intern/Co-op, Backend (Winter 2027)</t>
        </is>
      </c>
      <c r="D137" t="inlineStr">
        <is>
          <t>https://www.adzuna.in/details/5885969908?utm_medium=api&amp;utm_source=5ccdc27f</t>
        </is>
      </c>
      <c r="E137" t="inlineStr">
        <is>
          <t>AI Analyzer</t>
        </is>
      </c>
      <c r="F137" t="inlineStr">
        <is>
          <t>India (Description mentions Toronto, Canada)</t>
        </is>
      </c>
      <c r="G137" t="inlineStr">
        <is>
          <t>unknown</t>
        </is>
      </c>
      <c r="I137" t="inlineStr">
        <is>
          <t>Winter 2027 Co-op/Internship</t>
        </is>
      </c>
      <c r="J137" t="inlineStr">
        <is>
          <t>UNKNOWN</t>
        </is>
      </c>
      <c r="K137" t="inlineStr">
        <is>
          <t>Backend Development; Web3; Smart Contracts; Blockchain Infrastructure</t>
        </is>
      </c>
      <c r="M137" t="inlineStr">
        <is>
          <t>About Robinhood: Robinhood is actively recruiting for the position of Software Developer Intern/Co-op, Backend (Winter 2027) (ENG Executive Office). Location &amp; Setup: Toronto, Canada Overview: Contribute directly to Robinhood's Web3, smart contract, and blockchain infrastructure. Complete candidate qualifications and application instructions are available on Hashtag Web3. View full posting details and apply online on Hashtag Web3</t>
        </is>
      </c>
      <c r="N137" t="n">
        <v>26</v>
      </c>
      <c r="O137" t="n">
        <v>20</v>
      </c>
      <c r="P137" t="n">
        <v>30</v>
      </c>
      <c r="Q137" t="n">
        <v>40</v>
      </c>
      <c r="R137" t="n">
        <v>0</v>
      </c>
      <c r="S137" t="n">
        <v>0</v>
      </c>
      <c r="T137" t="n">
        <v>80</v>
      </c>
      <c r="U137" t="inlineStr">
        <is>
          <t>SKIP</t>
        </is>
      </c>
      <c r="V137" t="inlineStr">
        <is>
          <t>SKIP</t>
        </is>
      </c>
      <c r="W137" t="inlineStr">
        <is>
          <t>Web3; Smart Contracts; Blockchain Infrastructure</t>
        </is>
      </c>
      <c r="X137" t="inlineStr">
        <is>
          <t>Amaanuddin_Ahmed_Resume.pdf</t>
        </is>
      </c>
      <c r="Y137" t="inlineStr">
        <is>
          <t>2026-10-02</t>
        </is>
      </c>
      <c r="Z137" t="inlineStr">
        <is>
          <t>Robinhood is a top-tier tech brand offering high opportunity quality.</t>
        </is>
      </c>
      <c r="AA137" t="inlineStr">
        <is>
          <t>INELIGIBLE</t>
        </is>
      </c>
      <c r="AB137" t="inlineStr">
        <is>
          <t>Job location setup explicitly targets Toronto, Canada, conflicting with candidate's preferred location (Bengaluru/Remote).; Term is Winter 2027 Co-op/Internship, whereas candidate's MCA program runs 2025–2027 and graduation timing might not align precisely with international co-op terms.</t>
        </is>
      </c>
      <c r="AC137" t="inlineStr">
        <is>
          <t>UNKNOWN</t>
        </is>
      </c>
      <c r="AD137" t="inlineStr">
        <is>
          <t>Exact start and end dates for Winter 2027 Co-op are not specified to confirm semester alignment.</t>
        </is>
      </c>
      <c r="AE137" t="inlineStr">
        <is>
          <t>UNKNOWN</t>
        </is>
      </c>
      <c r="AF137" t="n">
        <v>0</v>
      </c>
      <c r="AG137" t="inlineStr">
        <is>
          <t>No</t>
        </is>
      </c>
      <c r="AH137" t="inlineStr">
        <is>
          <t>UNKNOWN</t>
        </is>
      </c>
      <c r="AI137" t="inlineStr">
        <is>
          <t>No explicit mention of PPO conversion in the brief job description.</t>
        </is>
      </c>
      <c r="AJ137" t="inlineStr">
        <is>
          <t>Location mismatch (Toronto, Canada vs Bengaluru, India); Domain requirement (Web3 / Blockchain / Smart Contracts not present in candidate core stack)</t>
        </is>
      </c>
      <c r="AK137" t="inlineStr">
        <is>
          <t>Job description is sparse, pointing externally to Hashtag Web3 for qualifications and application instructions.</t>
        </is>
      </c>
      <c r="AL137" t="inlineStr">
        <is>
          <t>Backend system design; Smart contract execution and security; Distributed systems and blockchain infrastructure</t>
        </is>
      </c>
    </row>
    <row r="138">
      <c r="A138" t="inlineStr">
        <is>
          <t>QUHU-261002-137</t>
        </is>
      </c>
      <c r="B138" t="inlineStr">
        <is>
          <t>QuHu</t>
        </is>
      </c>
      <c r="C138" t="inlineStr">
        <is>
          <t>Backend Engineer</t>
        </is>
      </c>
      <c r="D138" t="inlineStr">
        <is>
          <t>https://www.adzuna.in/details/2297738733?utm_medium=api&amp;utm_source=5ccdc27f</t>
        </is>
      </c>
      <c r="E138" t="inlineStr">
        <is>
          <t>AI Analyzer</t>
        </is>
      </c>
      <c r="F138" t="inlineStr">
        <is>
          <t>Delhi, India</t>
        </is>
      </c>
      <c r="G138" t="inlineStr">
        <is>
          <t>unknown</t>
        </is>
      </c>
      <c r="I138" t="inlineStr">
        <is>
          <t>unknown</t>
        </is>
      </c>
      <c r="J138" t="inlineStr">
        <is>
          <t>unknown</t>
        </is>
      </c>
      <c r="K138" t="inlineStr">
        <is>
          <t>Backend Development; Software Development; Design Patterns</t>
        </is>
      </c>
      <c r="L138" t="inlineStr">
        <is>
          <t>AI; ML; Mobile; Commerce</t>
        </is>
      </c>
      <c r="M138" t="inlineStr">
        <is>
          <t>Job Description : We are currently building a next generation consumer tech product at the intersection of AI ML through Mobile and Commerce. The product requires building proprietary frameworks using latest technologies. We have an urgent requirement of a Backend Developer/ Fresher/ Intern, who would become core member of our Product Team, is a great problem solver, can learn quickly, and communicate clearly. Must Have Skill Set : Efficient software development background including design patt…</t>
        </is>
      </c>
      <c r="N138" t="n">
        <v>49</v>
      </c>
      <c r="O138" t="n">
        <v>65</v>
      </c>
      <c r="P138" t="n">
        <v>70</v>
      </c>
      <c r="Q138" t="n">
        <v>75</v>
      </c>
      <c r="R138" t="n">
        <v>0</v>
      </c>
      <c r="S138" t="n">
        <v>0</v>
      </c>
      <c r="T138" t="n">
        <v>40</v>
      </c>
      <c r="U138" t="inlineStr">
        <is>
          <t>SKIP</t>
        </is>
      </c>
      <c r="V138" t="inlineStr">
        <is>
          <t>SKIP</t>
        </is>
      </c>
      <c r="W138" t="inlineStr">
        <is>
          <t>AI/ML frameworks</t>
        </is>
      </c>
      <c r="X138" t="inlineStr">
        <is>
          <t>Standard Full Stack Resume</t>
        </is>
      </c>
      <c r="Y138" t="inlineStr">
        <is>
          <t>2026-10-02</t>
        </is>
      </c>
      <c r="Z138" t="inlineStr">
        <is>
          <t>Matches backend engineering intern/fresher profile requirements.</t>
        </is>
      </c>
      <c r="AA138" t="inlineStr">
        <is>
          <t>eligible</t>
        </is>
      </c>
      <c r="AB138" t="inlineStr">
        <is>
          <t>The role accepts freshers and interns, which matches the candidate's student and intern profile.</t>
        </is>
      </c>
      <c r="AC138" t="inlineStr">
        <is>
          <t>unknown</t>
        </is>
      </c>
      <c r="AD138" t="inlineStr">
        <is>
          <t>Candidate availability dates are not explicitly detailed in the career brain relative to this job.</t>
        </is>
      </c>
      <c r="AE138" t="inlineStr">
        <is>
          <t>UNKNOWN</t>
        </is>
      </c>
      <c r="AF138" t="n">
        <v>0</v>
      </c>
      <c r="AG138" t="inlineStr">
        <is>
          <t>No</t>
        </is>
      </c>
      <c r="AH138" t="inlineStr">
        <is>
          <t>unknown</t>
        </is>
      </c>
      <c r="AI138" t="inlineStr">
        <is>
          <t>No mention of PPO or conversion in the job description.</t>
        </is>
      </c>
      <c r="AK138" t="inlineStr">
        <is>
          <t>Location is Delhi, India while candidate prefers Bengaluru; Stipend/Salary information is missing entirely; No mention of PPO</t>
        </is>
      </c>
      <c r="AL138" t="inlineStr">
        <is>
          <t>Backend system design patterns; Node.js and Express architecture; Problem-solving and quick learning capability</t>
        </is>
      </c>
    </row>
    <row r="139">
      <c r="A139" t="inlineStr">
        <is>
          <t>XAGI-261002-138</t>
        </is>
      </c>
      <c r="B139" t="inlineStr">
        <is>
          <t>xAGI</t>
        </is>
      </c>
      <c r="C139" t="inlineStr">
        <is>
          <t>SDE Intern</t>
        </is>
      </c>
      <c r="D139" t="inlineStr">
        <is>
          <t>https://www.adzuna.in/details/5889506332?utm_medium=api&amp;utm_source=5ccdc27f</t>
        </is>
      </c>
      <c r="E139" t="inlineStr">
        <is>
          <t>AI Analyzer</t>
        </is>
      </c>
      <c r="F139" t="inlineStr">
        <is>
          <t>Bangalore, Karnataka</t>
        </is>
      </c>
      <c r="G139" t="inlineStr">
        <is>
          <t>unknown</t>
        </is>
      </c>
      <c r="I139" t="inlineStr">
        <is>
          <t>unknown</t>
        </is>
      </c>
      <c r="J139" t="inlineStr">
        <is>
          <t>NOT_MENTIONED</t>
        </is>
      </c>
      <c r="K139" t="inlineStr">
        <is>
          <t>Software Development; AI Systems</t>
        </is>
      </c>
      <c r="L139" t="inlineStr">
        <is>
          <t>AI Agents</t>
        </is>
      </c>
      <c r="M139" t="inlineStr">
        <is>
          <t>SDE Intern About xAGI xAGI is a leading AI agents development company on a mission to build India's first Artificial General Intelligence (AGI). We are a team of passionate engineers and researchers who are pushing the boundaries of what's possible in AI. About the Role As an SDE Intern at xAGI, you will play a crucial role in helping us develop cutting-edge AI agents. You will work alongside experienced engineers and researchers to design, develop, and test AI systems. This is a unique opportu…</t>
        </is>
      </c>
      <c r="N139" t="n">
        <v>67</v>
      </c>
      <c r="O139" t="n">
        <v>75</v>
      </c>
      <c r="P139" t="n">
        <v>80</v>
      </c>
      <c r="Q139" t="n">
        <v>85</v>
      </c>
      <c r="R139" t="n">
        <v>40</v>
      </c>
      <c r="S139" t="n">
        <v>30</v>
      </c>
      <c r="T139" t="n">
        <v>70</v>
      </c>
      <c r="U139" t="inlineStr">
        <is>
          <t>STRETCH</t>
        </is>
      </c>
      <c r="V139" t="inlineStr">
        <is>
          <t>STRETCH</t>
        </is>
      </c>
      <c r="W139" t="inlineStr">
        <is>
          <t>Artificial General Intelligence (AGI) development</t>
        </is>
      </c>
      <c r="X139" t="inlineStr">
        <is>
          <t>Standard Full Stack / Software Engineer Resume</t>
        </is>
      </c>
      <c r="Y139" t="inlineStr">
        <is>
          <t>2026-10-02</t>
        </is>
      </c>
      <c r="Z139" t="inlineStr">
        <is>
          <t>Role matches target SDE Intern position.; Location is in Bengaluru, matching preferences.; Good opportunity to work on AI agents if tech stack aligns.</t>
        </is>
      </c>
      <c r="AA139" t="inlineStr">
        <is>
          <t>ELIGIBLE</t>
        </is>
      </c>
      <c r="AB139" t="inlineStr">
        <is>
          <t>Candidate is located in Bengaluru and the role is in Bangalore.; No hard degree or graduation year blockers found in the brief JD description.</t>
        </is>
      </c>
      <c r="AC139" t="inlineStr">
        <is>
          <t>UNKNOWN</t>
        </is>
      </c>
      <c r="AD139" t="inlineStr">
        <is>
          <t>Availability constraints are not specified in the candidate profile.</t>
        </is>
      </c>
      <c r="AE139" t="inlineStr">
        <is>
          <t>UNKNOWN</t>
        </is>
      </c>
      <c r="AF139" t="n">
        <v>0</v>
      </c>
      <c r="AG139" t="inlineStr">
        <is>
          <t>No</t>
        </is>
      </c>
      <c r="AH139" t="inlineStr">
        <is>
          <t>NOT_MENTIONED</t>
        </is>
      </c>
      <c r="AI139" t="inlineStr">
        <is>
          <t>The job description does not explicitly mention PPO or conversion opportunities.</t>
        </is>
      </c>
      <c r="AK139" t="inlineStr">
        <is>
          <t>Stipend is completely missing/unknown.; Job description is very brief with sparse details about tech stack requirements.</t>
        </is>
      </c>
      <c r="AL139" t="inlineStr">
        <is>
          <t>Past software development experience; Understanding of AI workflows and agents; System design and coding fundamentals</t>
        </is>
      </c>
    </row>
    <row r="140">
      <c r="A140" t="inlineStr">
        <is>
          <t>AFFWORLD-TEC-261002-139</t>
        </is>
      </c>
      <c r="B140" t="inlineStr">
        <is>
          <t>Affworld Technologies</t>
        </is>
      </c>
      <c r="C140" t="inlineStr">
        <is>
          <t>SDE Intern</t>
        </is>
      </c>
      <c r="D140" t="inlineStr">
        <is>
          <t>https://www.adzuna.in/details/4801660754?utm_medium=api&amp;utm_source=5ccdc27f</t>
        </is>
      </c>
      <c r="E140" t="inlineStr">
        <is>
          <t>AI Analyzer</t>
        </is>
      </c>
      <c r="F140" t="inlineStr">
        <is>
          <t>Jaipur, Rajasthan</t>
        </is>
      </c>
      <c r="G140" t="inlineStr">
        <is>
          <t>UNKNOWN</t>
        </is>
      </c>
      <c r="H140" t="inlineStr">
        <is>
          <t>Not specified</t>
        </is>
      </c>
      <c r="I140" t="inlineStr">
        <is>
          <t>UNKNOWN</t>
        </is>
      </c>
      <c r="J140" t="inlineStr">
        <is>
          <t>UNKNOWN</t>
        </is>
      </c>
      <c r="K140" t="inlineStr">
        <is>
          <t>MERN stack; JavaScript; Node.js; Express.js; React.js; MongoDB</t>
        </is>
      </c>
      <c r="M140" t="inlineStr">
        <is>
          <t>Develop web applications using the MERN stack, ensuring high performance and responsiveness. Collaborate with cross-functional teams to define, design, and ship new features. Build reusable code and libraries for future use. Optimize applications for maximum speed and scalability. Implement security and data protection measures. Conduct thorough testing and debugging to ensure the application's stability and usability. Stay updated with emerging technologies and industry trends related to the M…</t>
        </is>
      </c>
      <c r="N140" t="n">
        <v>72</v>
      </c>
      <c r="O140" t="n">
        <v>90</v>
      </c>
      <c r="P140" t="n">
        <v>85</v>
      </c>
      <c r="Q140" t="n">
        <v>90</v>
      </c>
      <c r="R140" t="n">
        <v>40</v>
      </c>
      <c r="S140" t="n">
        <v>30</v>
      </c>
      <c r="T140" t="n">
        <v>60</v>
      </c>
      <c r="U140" t="inlineStr">
        <is>
          <t>CONSIDER</t>
        </is>
      </c>
      <c r="V140" t="inlineStr">
        <is>
          <t>CONSIDER</t>
        </is>
      </c>
      <c r="X140" t="inlineStr">
        <is>
          <t>Default Full Stack / MERN Resume</t>
        </is>
      </c>
      <c r="Y140" t="inlineStr">
        <is>
          <t>2026-10-02</t>
        </is>
      </c>
      <c r="Z140" t="inlineStr">
        <is>
          <t>Strong technical fit with demonstrated MERN stack experience; Great alignment with target SDE Intern role</t>
        </is>
      </c>
      <c r="AA140" t="inlineStr">
        <is>
          <t>ELIGIBLE</t>
        </is>
      </c>
      <c r="AB140" t="inlineStr">
        <is>
          <t>Role matches target internship profiles; No hard location blockers explicitly stated as mandatory disqualifier in text</t>
        </is>
      </c>
      <c r="AC140" t="inlineStr">
        <is>
          <t>UNKNOWN</t>
        </is>
      </c>
      <c r="AD140" t="inlineStr">
        <is>
          <t>Not specified in candidate profile</t>
        </is>
      </c>
      <c r="AE140" t="inlineStr">
        <is>
          <t>UNKNOWN</t>
        </is>
      </c>
      <c r="AF140" t="n">
        <v>0</v>
      </c>
      <c r="AG140" t="inlineStr">
        <is>
          <t>No</t>
        </is>
      </c>
      <c r="AH140" t="inlineStr">
        <is>
          <t>UNKNOWN</t>
        </is>
      </c>
      <c r="AI140" t="inlineStr">
        <is>
          <t>Not mentioned in the job description</t>
        </is>
      </c>
      <c r="AK140" t="inlineStr">
        <is>
          <t>Stipend not disclosed; Location is Jaipur while candidate prefers Bengaluru</t>
        </is>
      </c>
      <c r="AL140" t="inlineStr">
        <is>
          <t>MERN stack architecture; REST API development and security; Database optimization in MongoDB; Handling application state and performance in React</t>
        </is>
      </c>
    </row>
    <row r="141">
      <c r="A141" t="inlineStr">
        <is>
          <t>PGAGI-261002-140</t>
        </is>
      </c>
      <c r="B141" t="inlineStr">
        <is>
          <t>PGAGI</t>
        </is>
      </c>
      <c r="C141" t="inlineStr">
        <is>
          <t>SDE Intern – Mobile Application</t>
        </is>
      </c>
      <c r="D141" t="inlineStr">
        <is>
          <t>https://www.adzuna.in/details/5804688462?utm_medium=api&amp;utm_source=5ccdc27f</t>
        </is>
      </c>
      <c r="E141" t="inlineStr">
        <is>
          <t>AI Analyzer</t>
        </is>
      </c>
      <c r="F141" t="inlineStr">
        <is>
          <t>Remote</t>
        </is>
      </c>
      <c r="G141" t="inlineStr">
        <is>
          <t>Remote</t>
        </is>
      </c>
      <c r="I141" t="inlineStr">
        <is>
          <t>6 months</t>
        </is>
      </c>
      <c r="J141" t="inlineStr">
        <is>
          <t>YES</t>
        </is>
      </c>
      <c r="K141" t="inlineStr">
        <is>
          <t>Cross-platform mobile development; React Native</t>
        </is>
      </c>
      <c r="M141" t="inlineStr">
        <is>
          <t>Position Title: SDE Intern – Mobile Application Location: Remote Duration: 6 months (with potential for full-time conversion based on performance) About PGAGI: At PGAGI, we believe in a future where AI and human intelligence coexist in harmony, creating a world that is smarter, faster, and better. We are not just building AI; we are shaping a future where AI is a fundamental and positive force for businesses, societies, and the planet. Key Responsibilities: • Develop and maintain cross-platform…</t>
        </is>
      </c>
      <c r="N141" t="n">
        <v>56</v>
      </c>
      <c r="O141" t="n">
        <v>40</v>
      </c>
      <c r="P141" t="n">
        <v>60</v>
      </c>
      <c r="Q141" t="n">
        <v>70</v>
      </c>
      <c r="R141" t="n">
        <v>100</v>
      </c>
      <c r="S141" t="n">
        <v>0</v>
      </c>
      <c r="T141" t="n">
        <v>70</v>
      </c>
      <c r="U141" t="inlineStr">
        <is>
          <t>SKIP</t>
        </is>
      </c>
      <c r="V141" t="inlineStr">
        <is>
          <t>SKIP</t>
        </is>
      </c>
      <c r="W141" t="inlineStr">
        <is>
          <t>React Native; Cross-platform mobile development</t>
        </is>
      </c>
      <c r="X141" t="inlineStr">
        <is>
          <t>Standard Full Stack Resume</t>
        </is>
      </c>
      <c r="Y141" t="inlineStr">
        <is>
          <t>2026-10-02</t>
        </is>
      </c>
      <c r="Z141" t="inlineStr">
        <is>
          <t>Offers remote work flexibility which is preferred.; Includes a clear path to full-time conversion (PPO).</t>
        </is>
      </c>
      <c r="AA141" t="inlineStr">
        <is>
          <t>ELIGIBLE</t>
        </is>
      </c>
      <c r="AC141" t="inlineStr">
        <is>
          <t>UNKNOWN</t>
        </is>
      </c>
      <c r="AD141" t="inlineStr">
        <is>
          <t>Availability not explicitly stated in Career Brain beyond general profile status.</t>
        </is>
      </c>
      <c r="AE141" t="inlineStr">
        <is>
          <t>UNKNOWN</t>
        </is>
      </c>
      <c r="AF141" t="n">
        <v>0</v>
      </c>
      <c r="AG141" t="inlineStr">
        <is>
          <t>No</t>
        </is>
      </c>
      <c r="AH141" t="inlineStr">
        <is>
          <t>YES</t>
        </is>
      </c>
      <c r="AI141" t="inlineStr">
        <is>
          <t>6 months (with potential for full-time conversion based on performance)</t>
        </is>
      </c>
      <c r="AK141" t="inlineStr">
        <is>
          <t>Stipend is not disclosed.</t>
        </is>
      </c>
      <c r="AL141" t="inlineStr">
        <is>
          <t>Cross-platform mobile architecture; React Native vs Web technologies (Angular/React); State management in mobile apps; Previous full-stack project delivery lifecycle</t>
        </is>
      </c>
    </row>
    <row r="142">
      <c r="A142" t="inlineStr">
        <is>
          <t>PGAGI-261002-141</t>
        </is>
      </c>
      <c r="B142" t="inlineStr">
        <is>
          <t>PGAGI</t>
        </is>
      </c>
      <c r="C142" t="inlineStr">
        <is>
          <t>SDE Internship (Next Js)</t>
        </is>
      </c>
      <c r="D142" t="inlineStr">
        <is>
          <t>https://www.adzuna.in/details/5804689141?utm_medium=api&amp;utm_source=5ccdc27f</t>
        </is>
      </c>
      <c r="E142" t="inlineStr">
        <is>
          <t>AI Analyzer</t>
        </is>
      </c>
      <c r="F142" t="inlineStr">
        <is>
          <t>India</t>
        </is>
      </c>
      <c r="G142" t="inlineStr">
        <is>
          <t>UNKNOWN</t>
        </is>
      </c>
      <c r="H142" t="inlineStr">
        <is>
          <t>Not specified</t>
        </is>
      </c>
      <c r="I142" t="inlineStr">
        <is>
          <t>6 months</t>
        </is>
      </c>
      <c r="J142" t="inlineStr">
        <is>
          <t>NOT MENTIONED</t>
        </is>
      </c>
      <c r="K142" t="inlineStr">
        <is>
          <t>Next.js</t>
        </is>
      </c>
      <c r="L142" t="inlineStr">
        <is>
          <t>AI technologies</t>
        </is>
      </c>
      <c r="M142" t="inlineStr">
        <is>
          <t>We're at the forefront of creating advanced AI systems, from fully autonomous agents that provide intelligent customer interaction to data analysis tools that offer insightful business solutions. We are seeking enthusiastic interns who are passionate about AI and ready to tackle real-world problems using the latest technologies. Duration: 6 months Perks: - Hands-on experience with real AI projects. - Mentoring from industry experts. - A collaborative, innovative and flexible work environment Af…</t>
        </is>
      </c>
      <c r="N142" t="n">
        <v>35</v>
      </c>
      <c r="O142" t="n">
        <v>40</v>
      </c>
      <c r="P142" t="n">
        <v>50</v>
      </c>
      <c r="Q142" t="n">
        <v>60</v>
      </c>
      <c r="R142" t="n">
        <v>0</v>
      </c>
      <c r="S142" t="n">
        <v>0</v>
      </c>
      <c r="T142" t="n">
        <v>40</v>
      </c>
      <c r="U142" t="inlineStr">
        <is>
          <t>SKIP</t>
        </is>
      </c>
      <c r="V142" t="inlineStr">
        <is>
          <t>SKIP</t>
        </is>
      </c>
      <c r="W142" t="inlineStr">
        <is>
          <t>Next.js</t>
        </is>
      </c>
      <c r="X142" t="inlineStr">
        <is>
          <t>Standard Full Stack Resume</t>
        </is>
      </c>
      <c r="Y142" t="inlineStr">
        <is>
          <t>2026-10-02</t>
        </is>
      </c>
      <c r="Z142" t="inlineStr">
        <is>
          <t>6-month duration aligns with internship goals; Gain exposure to AI systems</t>
        </is>
      </c>
      <c r="AA142" t="inlineStr">
        <is>
          <t>ELIGIBLE</t>
        </is>
      </c>
      <c r="AB142" t="inlineStr">
        <is>
          <t>No strict blockers found in the brief job description text provided.</t>
        </is>
      </c>
      <c r="AC142" t="inlineStr">
        <is>
          <t>UNKNOWN</t>
        </is>
      </c>
      <c r="AD142" t="inlineStr">
        <is>
          <t>Availability not explicitly specified in the candidate profile.</t>
        </is>
      </c>
      <c r="AE142" t="inlineStr">
        <is>
          <t>UNKNOWN</t>
        </is>
      </c>
      <c r="AF142" t="n">
        <v>0</v>
      </c>
      <c r="AG142" t="inlineStr">
        <is>
          <t>No</t>
        </is>
      </c>
      <c r="AH142" t="inlineStr">
        <is>
          <t>NOT MENTIONED</t>
        </is>
      </c>
      <c r="AI142" t="inlineStr">
        <is>
          <t>No mention of PPO or conversion in the job description.</t>
        </is>
      </c>
      <c r="AK142" t="inlineStr">
        <is>
          <t>Stipend is completely undisclosed; Work mode/location is vague (just 'India'); Next.js is a key requirement not demonstrated in candidate's profile</t>
        </is>
      </c>
      <c r="AL142" t="inlineStr">
        <is>
          <t>Next.js app router and server-side rendering; React state management; Experience with AI integration or APIs</t>
        </is>
      </c>
    </row>
    <row r="143">
      <c r="A143" t="inlineStr">
        <is>
          <t>CARS24-261002-142</t>
        </is>
      </c>
      <c r="B143" t="inlineStr">
        <is>
          <t>Cars24</t>
        </is>
      </c>
      <c r="C143" t="inlineStr">
        <is>
          <t>Software Development Engineer SDE Intern</t>
        </is>
      </c>
      <c r="D143" t="inlineStr">
        <is>
          <t>https://www.adzuna.in/details/5885446727?utm_medium=api&amp;utm_source=5ccdc27f</t>
        </is>
      </c>
      <c r="E143" t="inlineStr">
        <is>
          <t>AI Analyzer</t>
        </is>
      </c>
      <c r="F143" t="inlineStr">
        <is>
          <t>Chennai, Tamil Nadu</t>
        </is>
      </c>
      <c r="G143" t="inlineStr">
        <is>
          <t>On-site</t>
        </is>
      </c>
      <c r="H143" t="inlineStr">
        <is>
          <t>Not specified</t>
        </is>
      </c>
      <c r="I143" t="inlineStr">
        <is>
          <t>Not specified</t>
        </is>
      </c>
      <c r="J143" t="inlineStr">
        <is>
          <t>Not Mentioned</t>
        </is>
      </c>
      <c r="K143" t="inlineStr">
        <is>
          <t>Software Development</t>
        </is>
      </c>
      <c r="M143" t="inlineStr">
        <is>
          <t>Cars24 is hiring a Software Development Engineer SDE Intern in Chennai a handson mentorled internship built for 2026 freshers and finalyear students 0 years of experience who want to build real software and grow fast in a modern engineering team As a Software Development Engineer SDE Intern you will work closely with senior engineers and the product team with your core focus on designing coding and shipping production software features You get structured onboarding code reviews regular feedback…</t>
        </is>
      </c>
      <c r="N143" t="n">
        <v>67</v>
      </c>
      <c r="O143" t="n">
        <v>70</v>
      </c>
      <c r="P143" t="n">
        <v>80</v>
      </c>
      <c r="Q143" t="n">
        <v>80</v>
      </c>
      <c r="R143" t="n">
        <v>40</v>
      </c>
      <c r="S143" t="n">
        <v>50</v>
      </c>
      <c r="T143" t="n">
        <v>70</v>
      </c>
      <c r="U143" t="inlineStr">
        <is>
          <t>SKIP</t>
        </is>
      </c>
      <c r="V143" t="inlineStr">
        <is>
          <t>SKIP</t>
        </is>
      </c>
      <c r="X143" t="inlineStr">
        <is>
          <t>Standard Full Stack Resume</t>
        </is>
      </c>
      <c r="Y143" t="inlineStr">
        <is>
          <t>2026-10-02</t>
        </is>
      </c>
      <c r="Z143" t="inlineStr">
        <is>
          <t>Target role matches software engineering internship profile; Open to 2026 graduates with zero prior professional experience requirement</t>
        </is>
      </c>
      <c r="AA143" t="inlineStr">
        <is>
          <t>ELIGIBLE</t>
        </is>
      </c>
      <c r="AB143" t="inlineStr">
        <is>
          <t>Open to 2026 freshers and final year students; 0 years of experience required</t>
        </is>
      </c>
      <c r="AC143" t="inlineStr">
        <is>
          <t>UNKNOWN</t>
        </is>
      </c>
      <c r="AD143" t="inlineStr">
        <is>
          <t>Availability not explicitly specified in the job description</t>
        </is>
      </c>
      <c r="AE143" t="inlineStr">
        <is>
          <t>UNKNOWN</t>
        </is>
      </c>
      <c r="AF143" t="n">
        <v>0</v>
      </c>
      <c r="AG143" t="inlineStr">
        <is>
          <t>No</t>
        </is>
      </c>
      <c r="AH143" t="inlineStr">
        <is>
          <t>Not Mentioned</t>
        </is>
      </c>
      <c r="AI143" t="inlineStr">
        <is>
          <t>No explicit mention of PPO or conversion in the job description</t>
        </is>
      </c>
      <c r="AJ143" t="inlineStr">
        <is>
          <t>Location mismatch: Job is in Chennai, Tamil Nadu, while candidate prefers Bengaluru</t>
        </is>
      </c>
      <c r="AK143" t="inlineStr">
        <is>
          <t>Location is Chennai, whereas candidate preference is Bengaluru; Stipend is unknown</t>
        </is>
      </c>
      <c r="AL143" t="inlineStr">
        <is>
          <t>Core programming and data structures; System design basics; Past internship experience and production deployments; Problem-solving capabilities</t>
        </is>
      </c>
    </row>
    <row r="144">
      <c r="A144" t="inlineStr">
        <is>
          <t>PGAGI-261002-143</t>
        </is>
      </c>
      <c r="B144" t="inlineStr">
        <is>
          <t>PGAGI</t>
        </is>
      </c>
      <c r="C144" t="inlineStr">
        <is>
          <t>React Native Intern</t>
        </is>
      </c>
      <c r="D144" t="inlineStr">
        <is>
          <t>https://www.adzuna.in/details/5722653710?utm_medium=api&amp;utm_source=5ccdc27f</t>
        </is>
      </c>
      <c r="E144" t="inlineStr">
        <is>
          <t>AI Analyzer</t>
        </is>
      </c>
      <c r="F144" t="inlineStr">
        <is>
          <t>Bangalore, Karnataka</t>
        </is>
      </c>
      <c r="G144" t="inlineStr">
        <is>
          <t>Remote</t>
        </is>
      </c>
      <c r="I144" t="inlineStr">
        <is>
          <t>6 months</t>
        </is>
      </c>
      <c r="J144" t="inlineStr">
        <is>
          <t>YES</t>
        </is>
      </c>
      <c r="K144" t="inlineStr">
        <is>
          <t>React Native; Mobile Application Development</t>
        </is>
      </c>
      <c r="M144" t="inlineStr">
        <is>
          <t>Position Title: SDE Intern – Mobile Application Location: Remote Duration: 6 months (with potential for full-time conversion based on performance) About PGAGI: At PGAGI, we believe in a future where AI and human intelligence coexist in harmony, creating a world that is smarter, faster, and better. We are not just building AI; we are shaping a future where AI is a fundamental and positive force for businesses, societies, and the planet. Key Responsibilities: • Develop and maintain cross-platform…</t>
        </is>
      </c>
      <c r="N144" t="n">
        <v>54</v>
      </c>
      <c r="O144" t="n">
        <v>40</v>
      </c>
      <c r="P144" t="n">
        <v>60</v>
      </c>
      <c r="Q144" t="n">
        <v>50</v>
      </c>
      <c r="R144" t="n">
        <v>100</v>
      </c>
      <c r="S144" t="n">
        <v>0</v>
      </c>
      <c r="T144" t="n">
        <v>70</v>
      </c>
      <c r="U144" t="inlineStr">
        <is>
          <t>SKIP</t>
        </is>
      </c>
      <c r="V144" t="inlineStr">
        <is>
          <t>SKIP</t>
        </is>
      </c>
      <c r="W144" t="inlineStr">
        <is>
          <t>React Native</t>
        </is>
      </c>
      <c r="X144" t="inlineStr">
        <is>
          <t>Standard Full Stack Resume</t>
        </is>
      </c>
      <c r="Y144" t="inlineStr">
        <is>
          <t>2026-10-02</t>
        </is>
      </c>
      <c r="Z144" t="inlineStr">
        <is>
          <t>Offers a 6-month internship with a clear PPO pathway.; Remote work mode aligns with candidate preferences.</t>
        </is>
      </c>
      <c r="AA144" t="inlineStr">
        <is>
          <t>ELIGIBLE</t>
        </is>
      </c>
      <c r="AB144" t="inlineStr">
        <is>
          <t>The candidate is an MCA student graduating in 2027 and fits the general software engineering intern profile.</t>
        </is>
      </c>
      <c r="AC144" t="inlineStr">
        <is>
          <t>UNKNOWN</t>
        </is>
      </c>
      <c r="AD144" t="inlineStr">
        <is>
          <t>Exact start date availability not explicitly mapped against company onboarding timeline.</t>
        </is>
      </c>
      <c r="AE144" t="inlineStr">
        <is>
          <t>UNKNOWN</t>
        </is>
      </c>
      <c r="AF144" t="n">
        <v>0</v>
      </c>
      <c r="AG144" t="inlineStr">
        <is>
          <t>No</t>
        </is>
      </c>
      <c r="AH144" t="inlineStr">
        <is>
          <t>YES</t>
        </is>
      </c>
      <c r="AI144" t="inlineStr">
        <is>
          <t>with potential for full-time conversion based on performance</t>
        </is>
      </c>
      <c r="AK144" t="inlineStr">
        <is>
          <t>Stipend is not disclosed.</t>
        </is>
      </c>
      <c r="AL144" t="inlineStr">
        <is>
          <t>Cross-platform mobile development concepts; React / React Native fundamentals; State management in mobile applications</t>
        </is>
      </c>
    </row>
    <row r="145">
      <c r="A145" t="inlineStr">
        <is>
          <t>LOGICAL-SOFT-261002-144</t>
        </is>
      </c>
      <c r="B145" t="inlineStr">
        <is>
          <t>LOGICAL Soft Tech</t>
        </is>
      </c>
      <c r="C145" t="inlineStr">
        <is>
          <t>node js interns</t>
        </is>
      </c>
      <c r="D145" t="inlineStr">
        <is>
          <t>https://www.adzuna.in/details/5032506906?utm_medium=api&amp;utm_source=5ccdc27f</t>
        </is>
      </c>
      <c r="E145" t="inlineStr">
        <is>
          <t>AI Analyzer</t>
        </is>
      </c>
      <c r="F145" t="inlineStr">
        <is>
          <t>Indore, Madhya Pradesh</t>
        </is>
      </c>
      <c r="G145" t="inlineStr">
        <is>
          <t>Work from office</t>
        </is>
      </c>
      <c r="I145" t="inlineStr">
        <is>
          <t>UNKNOWN</t>
        </is>
      </c>
      <c r="J145" t="inlineStr">
        <is>
          <t>Not mentioned</t>
        </is>
      </c>
      <c r="K145" t="inlineStr">
        <is>
          <t>Node.js; MongoDB; Backend Development; Database; Admin Panel; REST APIs</t>
        </is>
      </c>
      <c r="M145" t="inlineStr">
        <is>
          <t>We are looking for Complete Fresher candidate for Intern Position Node js who want to make career in IT company and want to learn Live Project working. Location : Indore, M.P( Work from office only) Responsibilities :- 1) He or she will be doing backend Development ( database, admin panel and Rest api) 2) He or she will be learning backend logics with node js and Mongo db databse 3) He or she will be working under Senior Guidance and module by module everything will learn from start and scratch…</t>
        </is>
      </c>
      <c r="N145" t="n">
        <v>61</v>
      </c>
      <c r="O145" t="n">
        <v>90</v>
      </c>
      <c r="P145" t="n">
        <v>90</v>
      </c>
      <c r="Q145" t="n">
        <v>85</v>
      </c>
      <c r="R145" t="n">
        <v>0</v>
      </c>
      <c r="S145" t="n">
        <v>0</v>
      </c>
      <c r="T145" t="n">
        <v>30</v>
      </c>
      <c r="U145" t="inlineStr">
        <is>
          <t>SKIP</t>
        </is>
      </c>
      <c r="V145" t="inlineStr">
        <is>
          <t>SKIP</t>
        </is>
      </c>
      <c r="X145" t="inlineStr">
        <is>
          <t>Full Stack Developer Resume</t>
        </is>
      </c>
      <c r="Y145" t="inlineStr">
        <is>
          <t>2026-10-02</t>
        </is>
      </c>
      <c r="Z145" t="inlineStr">
        <is>
          <t>Strong technical alignment with Node.js and MongoDB requirements.</t>
        </is>
      </c>
      <c r="AA145" t="inlineStr">
        <is>
          <t>Ineligible</t>
        </is>
      </c>
      <c r="AB145" t="inlineStr">
        <is>
          <t>Job requires work from office in Indore, Madhya Pradesh, but candidate's preferred location is Bengaluru, India.</t>
        </is>
      </c>
      <c r="AC145" t="inlineStr">
        <is>
          <t>UNKNOWN</t>
        </is>
      </c>
      <c r="AD145" t="inlineStr">
        <is>
          <t>Not specified in candidate profile.</t>
        </is>
      </c>
      <c r="AE145" t="inlineStr">
        <is>
          <t>UNKNOWN</t>
        </is>
      </c>
      <c r="AF145" t="n">
        <v>0</v>
      </c>
      <c r="AG145" t="inlineStr">
        <is>
          <t>No</t>
        </is>
      </c>
      <c r="AH145" t="inlineStr">
        <is>
          <t>Not mentioned</t>
        </is>
      </c>
      <c r="AI145" t="inlineStr">
        <is>
          <t>No PPO or conversion mention in the job description.</t>
        </is>
      </c>
      <c r="AJ145" t="inlineStr">
        <is>
          <t>Location mismatch: Job is Work from office in Indore, Madhya Pradesh; Candidate is based in Bengaluru.</t>
        </is>
      </c>
      <c r="AK145" t="inlineStr">
        <is>
          <t>Unpaid or unknown stipend (below minimum target); Targeting complete freshers when candidate has professional internship and freelance experience; No PPO mention</t>
        </is>
      </c>
      <c r="AL145" t="inlineStr">
        <is>
          <t>Node.js event loop and asynchronous programming; MongoDB schema design and aggregation pipelines; REST API architectural best practices</t>
        </is>
      </c>
    </row>
    <row r="146">
      <c r="A146" t="inlineStr">
        <is>
          <t>NORYN-TECH-P-261002-145</t>
        </is>
      </c>
      <c r="B146" t="inlineStr">
        <is>
          <t>Noryn Tech Private Limited</t>
        </is>
      </c>
      <c r="C146" t="inlineStr">
        <is>
          <t>Node Js Intern</t>
        </is>
      </c>
      <c r="D146" t="inlineStr">
        <is>
          <t>https://www.adzuna.in/details/5698481869?utm_medium=api&amp;utm_source=5ccdc27f</t>
        </is>
      </c>
      <c r="E146" t="inlineStr">
        <is>
          <t>AI Analyzer</t>
        </is>
      </c>
      <c r="F146" t="inlineStr">
        <is>
          <t>Indore, Madhya Pradesh</t>
        </is>
      </c>
      <c r="G146" t="inlineStr">
        <is>
          <t>on-site</t>
        </is>
      </c>
      <c r="I146" t="inlineStr">
        <is>
          <t>Not specified</t>
        </is>
      </c>
      <c r="J146" t="inlineStr">
        <is>
          <t>Not mentioned</t>
        </is>
      </c>
      <c r="K146" t="inlineStr">
        <is>
          <t>Node.js</t>
        </is>
      </c>
      <c r="M146" t="inlineStr">
        <is>
          <t>Description Noryn Tech Private Limited is excited to announce an opening for a Node.js Developer in our Indore office. This full-time, on-site position is perfect for those looking to kickstart their career in software development within the Business Supplies and Equipment industry. As a Node.js Developer, you will play a crucial role in building and maintaining server-side applications that enhance our product offerings. You will collaborate with a talented team to deliver innovative solutions…</t>
        </is>
      </c>
      <c r="N146" t="n">
        <v>62</v>
      </c>
      <c r="O146" t="n">
        <v>90</v>
      </c>
      <c r="P146" t="n">
        <v>85</v>
      </c>
      <c r="Q146" t="n">
        <v>90</v>
      </c>
      <c r="R146" t="n">
        <v>0</v>
      </c>
      <c r="S146" t="n">
        <v>0</v>
      </c>
      <c r="T146" t="n">
        <v>40</v>
      </c>
      <c r="U146" t="inlineStr">
        <is>
          <t>SKIP</t>
        </is>
      </c>
      <c r="V146" t="inlineStr">
        <is>
          <t>SKIP</t>
        </is>
      </c>
      <c r="X146" t="inlineStr">
        <is>
          <t>Amaanuddin_Ahmed_Resume.pdf</t>
        </is>
      </c>
      <c r="Y146" t="inlineStr">
        <is>
          <t>2026-10-02</t>
        </is>
      </c>
      <c r="Z146" t="inlineStr">
        <is>
          <t>Matches the Node.js Developer Intern target role; Candidate has strong demonstrated experience with Node.js and Express</t>
        </is>
      </c>
      <c r="AA146" t="inlineStr">
        <is>
          <t>fail</t>
        </is>
      </c>
      <c r="AB146" t="inlineStr">
        <is>
          <t>Location mismatch: Job is on-site in Indore, Madhya Pradesh, but candidate prefers Bengaluru or remote.</t>
        </is>
      </c>
      <c r="AC146" t="inlineStr">
        <is>
          <t>UNKNOWN</t>
        </is>
      </c>
      <c r="AD146" t="inlineStr">
        <is>
          <t>Availability not specified in the job description.</t>
        </is>
      </c>
      <c r="AE146" t="inlineStr">
        <is>
          <t>UNKNOWN</t>
        </is>
      </c>
      <c r="AF146" t="n">
        <v>0</v>
      </c>
      <c r="AG146" t="inlineStr">
        <is>
          <t>No</t>
        </is>
      </c>
      <c r="AH146" t="inlineStr">
        <is>
          <t>Not mentioned</t>
        </is>
      </c>
      <c r="AI146" t="inlineStr">
        <is>
          <t>No mention of PPO or conversion to full-time.</t>
        </is>
      </c>
      <c r="AJ146" t="inlineStr">
        <is>
          <t>Location: On-site in Indore vs. Candidate preferred location Bengaluru/Remote</t>
        </is>
      </c>
      <c r="AK146" t="inlineStr">
        <is>
          <t>No stipend information provided; On-site requirement in Indore does not match candidate location preference</t>
        </is>
      </c>
      <c r="AL146" t="inlineStr">
        <is>
          <t>Node.js event loop and asynchronous programming; Express.js middleware and routing; RESTful API design and database integration</t>
        </is>
      </c>
    </row>
    <row r="147">
      <c r="A147" t="inlineStr">
        <is>
          <t>VENTURA-SECU-261002-146</t>
        </is>
      </c>
      <c r="B147" t="inlineStr">
        <is>
          <t>ventura securities ltd</t>
        </is>
      </c>
      <c r="C147" t="inlineStr">
        <is>
          <t>NodeJS Developer</t>
        </is>
      </c>
      <c r="D147" t="inlineStr">
        <is>
          <t>https://www.adzuna.in/details/4176492451?utm_medium=api&amp;utm_source=5ccdc27f</t>
        </is>
      </c>
      <c r="E147" t="inlineStr">
        <is>
          <t>AI Analyzer</t>
        </is>
      </c>
      <c r="F147" t="inlineStr">
        <is>
          <t>India</t>
        </is>
      </c>
      <c r="G147" t="inlineStr">
        <is>
          <t>remote</t>
        </is>
      </c>
      <c r="H147" t="inlineStr">
        <is>
          <t>Not specified</t>
        </is>
      </c>
      <c r="I147" t="inlineStr">
        <is>
          <t>6 Months</t>
        </is>
      </c>
      <c r="J147" t="inlineStr">
        <is>
          <t>UNKNOWN</t>
        </is>
      </c>
      <c r="K147" t="inlineStr">
        <is>
          <t>Node.js; JavaScript; AWS</t>
        </is>
      </c>
      <c r="M147" t="inlineStr">
        <is>
          <t>JD-Backend Intern (NodeJs) Internship Span – 6 Months (Fulltime) Ventura Securities is establishing its fintech team - a remote-first, work from anywhere team with highly talented individuals who come from diverse backgrounds and looking to solve real client problems at scale. Ventura has been in the stockbroking business for 20 years and it is a robust and profitable franchise with 1000 employees currently. We are looking for passionate techies with skills primarily around AWS and Node’s/JS wh…</t>
        </is>
      </c>
      <c r="N147" t="n">
        <v>70</v>
      </c>
      <c r="O147" t="n">
        <v>75</v>
      </c>
      <c r="P147" t="n">
        <v>80</v>
      </c>
      <c r="Q147" t="n">
        <v>85</v>
      </c>
      <c r="R147" t="n">
        <v>50</v>
      </c>
      <c r="S147" t="n">
        <v>40</v>
      </c>
      <c r="T147" t="n">
        <v>70</v>
      </c>
      <c r="U147" t="inlineStr">
        <is>
          <t>CONSIDER</t>
        </is>
      </c>
      <c r="V147" t="inlineStr">
        <is>
          <t>CONSIDER</t>
        </is>
      </c>
      <c r="W147" t="inlineStr">
        <is>
          <t>AWS (listed as working knowledge, not demonstrated in production/projects)</t>
        </is>
      </c>
      <c r="X147" t="inlineStr">
        <is>
          <t>Default Full Stack / Backend Resume</t>
        </is>
      </c>
      <c r="Y147" t="inlineStr">
        <is>
          <t>2026-10-02</t>
        </is>
      </c>
      <c r="Z147" t="inlineStr">
        <is>
          <t>Role aligns well with target backend intern positions and uses Node.js.; Remote-first setup offers flexibility.; Ventura Securities is an established fintech firm providing good fintech domain exposure.</t>
        </is>
      </c>
      <c r="AA147" t="inlineStr">
        <is>
          <t>ELIGIBLE</t>
        </is>
      </c>
      <c r="AB147" t="inlineStr">
        <is>
          <t>Matches target intern profile for Node.js development.; Remote-first work mode aligns with candidate preferences.</t>
        </is>
      </c>
      <c r="AC147" t="inlineStr">
        <is>
          <t>UNKNOWN</t>
        </is>
      </c>
      <c r="AD147" t="inlineStr">
        <is>
          <t>Exact start date not specified in JD to cross-check availability against MCA schedule.</t>
        </is>
      </c>
      <c r="AE147" t="inlineStr">
        <is>
          <t>UNKNOWN</t>
        </is>
      </c>
      <c r="AF147" t="n">
        <v>0</v>
      </c>
      <c r="AG147" t="inlineStr">
        <is>
          <t>No</t>
        </is>
      </c>
      <c r="AH147" t="inlineStr">
        <is>
          <t>UNKNOWN</t>
        </is>
      </c>
      <c r="AI147" t="inlineStr">
        <is>
          <t>Not explicitly mentioned in the snippet.</t>
        </is>
      </c>
      <c r="AK147" t="inlineStr">
        <is>
          <t>Stipend information is missing.</t>
        </is>
      </c>
      <c r="AL147" t="inlineStr">
        <is>
          <t>Node.js event loop and asynchronous programming; Express.js middleware and REST API architecture; AWS services used for deployment and serverless architecture; Database integration with MySQL/MongoDB in Node.js</t>
        </is>
      </c>
    </row>
    <row r="148">
      <c r="A148" t="inlineStr">
        <is>
          <t>ALAAN-261002-147</t>
        </is>
      </c>
      <c r="B148" t="inlineStr">
        <is>
          <t>Alaan</t>
        </is>
      </c>
      <c r="C148" t="inlineStr">
        <is>
          <t>Fullstack Intern</t>
        </is>
      </c>
      <c r="D148" t="inlineStr">
        <is>
          <t>https://www.adzuna.in/details/5905923167?utm_medium=api&amp;utm_source=5ccdc27f</t>
        </is>
      </c>
      <c r="E148" t="inlineStr">
        <is>
          <t>AI Analyzer</t>
        </is>
      </c>
      <c r="F148" t="inlineStr">
        <is>
          <t>Bangalore, Karnataka</t>
        </is>
      </c>
      <c r="G148" t="inlineStr">
        <is>
          <t>On-site / Unspecified</t>
        </is>
      </c>
      <c r="H148" t="inlineStr">
        <is>
          <t>Unspecified</t>
        </is>
      </c>
      <c r="I148" t="inlineStr">
        <is>
          <t>Unspecified</t>
        </is>
      </c>
      <c r="J148" t="inlineStr">
        <is>
          <t>NOT_MENTIONED</t>
        </is>
      </c>
      <c r="K148" t="inlineStr">
        <is>
          <t>Node.js; JavaScript; TypeScript; React.js; Next.js</t>
        </is>
      </c>
      <c r="M148" t="inlineStr">
        <is>
          <t>About the role We are looking for a Full Stack Engineering Intern to join our Engineering team at Alaan, with a strong focus on backend development . You’ll work alongside our engineers to build and improve production features across our platform, primarily using Node.js and JavaScript/TypeScript , while also getting exposure to frontend development using React.js and Next.js . This is a hands-on engineering role where you’ll learn how real-world products are designed, built, shipped, and maint…</t>
        </is>
      </c>
      <c r="N148" t="n">
        <v>72</v>
      </c>
      <c r="O148" t="n">
        <v>75</v>
      </c>
      <c r="P148" t="n">
        <v>90</v>
      </c>
      <c r="Q148" t="n">
        <v>90</v>
      </c>
      <c r="R148" t="n">
        <v>50</v>
      </c>
      <c r="S148" t="n">
        <v>40</v>
      </c>
      <c r="T148" t="n">
        <v>70</v>
      </c>
      <c r="U148" t="inlineStr">
        <is>
          <t>CONSIDER</t>
        </is>
      </c>
      <c r="V148" t="inlineStr">
        <is>
          <t>CONSIDER</t>
        </is>
      </c>
      <c r="W148" t="inlineStr">
        <is>
          <t>TypeScript; Next.js</t>
        </is>
      </c>
      <c r="X148" t="inlineStr">
        <is>
          <t>Default Full Stack / MERN Resume</t>
        </is>
      </c>
      <c r="Y148" t="inlineStr">
        <is>
          <t>2026-10-02</t>
        </is>
      </c>
      <c r="Z148" t="inlineStr">
        <is>
          <t>Role matches primary target of Full Stack Developer Intern.; Strong overlap with demonstrated Node.js and React.js experience.; Located in Bangalore.</t>
        </is>
      </c>
      <c r="AA148" t="inlineStr">
        <is>
          <t>ELIGIBLE</t>
        </is>
      </c>
      <c r="AB148" t="inlineStr">
        <is>
          <t>Candidate is located in Bangalore, India.; Target role aligns with Full Stack Developer Intern.; No explicit graduation year or experience hard blockers mentioned.</t>
        </is>
      </c>
      <c r="AC148" t="inlineStr">
        <is>
          <t>UNKNOWN</t>
        </is>
      </c>
      <c r="AD148" t="inlineStr">
        <is>
          <t>Exact availability timeline is not specified in the career brain relative to the start date.</t>
        </is>
      </c>
      <c r="AE148" t="inlineStr">
        <is>
          <t>UNKNOWN</t>
        </is>
      </c>
      <c r="AF148" t="n">
        <v>0</v>
      </c>
      <c r="AG148" t="inlineStr">
        <is>
          <t>No</t>
        </is>
      </c>
      <c r="AH148" t="inlineStr">
        <is>
          <t>NOT_MENTIONED</t>
        </is>
      </c>
      <c r="AI148" t="inlineStr">
        <is>
          <t>The provided job description snippet does not explicitly mention PPO or conversion opportunities.</t>
        </is>
      </c>
      <c r="AK148" t="inlineStr">
        <is>
          <t>Stipend is not disclosed.; PPO is not mentioned.</t>
        </is>
      </c>
      <c r="AL148" t="inlineStr">
        <is>
          <t>Node.js backend development and asynchronous programming; JavaScript and TypeScript fundamentals; React.js state management and component lifecycle; API design and database integration</t>
        </is>
      </c>
    </row>
    <row r="149">
      <c r="A149" t="inlineStr">
        <is>
          <t>MPLOYCHEK-261002-148</t>
        </is>
      </c>
      <c r="B149" t="inlineStr">
        <is>
          <t>MPloyChek</t>
        </is>
      </c>
      <c r="C149" t="inlineStr">
        <is>
          <t>Software Engineering Intern Full Stack and Ai</t>
        </is>
      </c>
      <c r="D149" t="inlineStr">
        <is>
          <t>https://www.adzuna.in/details/5885446845?utm_medium=api&amp;utm_source=5ccdc27f</t>
        </is>
      </c>
      <c r="E149" t="inlineStr">
        <is>
          <t>AI Analyzer</t>
        </is>
      </c>
      <c r="F149" t="inlineStr">
        <is>
          <t>Chennai, Tamil Nadu</t>
        </is>
      </c>
      <c r="G149" t="inlineStr">
        <is>
          <t>Unknown</t>
        </is>
      </c>
      <c r="H149" t="inlineStr">
        <is>
          <t>Not specified</t>
        </is>
      </c>
      <c r="I149" t="inlineStr">
        <is>
          <t>Unknown</t>
        </is>
      </c>
      <c r="J149" t="inlineStr">
        <is>
          <t>unmentioned</t>
        </is>
      </c>
      <c r="K149" t="inlineStr">
        <is>
          <t>JavaScript; TypeScript; APIs; Node.js; Git</t>
        </is>
      </c>
      <c r="L149" t="inlineStr">
        <is>
          <t>AI-enabled workflows; contemporary web frameworks</t>
        </is>
      </c>
      <c r="M149" t="inlineStr">
        <is>
          <t>MPloyChek is a technologyled background verification platform owned and operated by NSQ Tech We help employers conduct faster more transparent and reliable employee screening Start your engineering career by shipping real product features across MPloyCheks web platform and AIenabled workflows Responsibilities Develop and test frontend and backend features Work with JavaScript TypeScript APIs Node js and contemporary web frameworks Debug issues write maintainable code and use Git in a teamorient…</t>
        </is>
      </c>
      <c r="N149" t="n">
        <v>66</v>
      </c>
      <c r="O149" t="n">
        <v>75</v>
      </c>
      <c r="P149" t="n">
        <v>80</v>
      </c>
      <c r="Q149" t="n">
        <v>85</v>
      </c>
      <c r="R149" t="n">
        <v>30</v>
      </c>
      <c r="S149" t="n">
        <v>40</v>
      </c>
      <c r="T149" t="n">
        <v>60</v>
      </c>
      <c r="U149" t="inlineStr">
        <is>
          <t>STRETCH</t>
        </is>
      </c>
      <c r="V149" t="inlineStr">
        <is>
          <t>STRETCH</t>
        </is>
      </c>
      <c r="W149" t="inlineStr">
        <is>
          <t>TypeScript</t>
        </is>
      </c>
      <c r="X149" t="inlineStr">
        <is>
          <t>Amaanuddin_Ahmed_Resume.pdf</t>
        </is>
      </c>
      <c r="Y149" t="inlineStr">
        <is>
          <t>2026-10-02</t>
        </is>
      </c>
      <c r="Z149" t="inlineStr">
        <is>
          <t>The role aligns with the candidate's target Full Stack Developer Intern and Software Engineer Intern positions.; The candidate has strong demonstrated experience in JavaScript, Node.js, and API development through internships and projects.</t>
        </is>
      </c>
      <c r="AA149" t="inlineStr">
        <is>
          <t>eligible</t>
        </is>
      </c>
      <c r="AB149" t="inlineStr">
        <is>
          <t>The candidate meets the general background expectations for a software engineering internship role.; No explicit hard blockers regarding degree, graduation year, or experience were mentioned in the job description.</t>
        </is>
      </c>
      <c r="AC149" t="inlineStr">
        <is>
          <t>unknown</t>
        </is>
      </c>
      <c r="AD149" t="inlineStr">
        <is>
          <t>Candidate availability for Chennai location or specific start date is not explicitly mentioned in the career brain.</t>
        </is>
      </c>
      <c r="AE149" t="inlineStr">
        <is>
          <t>UNKNOWN</t>
        </is>
      </c>
      <c r="AF149" t="n">
        <v>0</v>
      </c>
      <c r="AG149" t="inlineStr">
        <is>
          <t>No</t>
        </is>
      </c>
      <c r="AH149" t="inlineStr">
        <is>
          <t>unmentioned</t>
        </is>
      </c>
      <c r="AI149" t="inlineStr">
        <is>
          <t>The job description does not explicitly mention PPO or conversion opportunities.</t>
        </is>
      </c>
      <c r="AK149" t="inlineStr">
        <is>
          <t>Location is Chennai while candidate prefers Bengaluru (though remote is fine, work mode is unspecified here); Stipend is unknown; PPO information is missing</t>
        </is>
      </c>
      <c r="AL149" t="inlineStr">
        <is>
          <t>JavaScript asynchronous programming and Node.js backend development; Experience with REST APIs and Git collaborative workflows; TypeScript knowledge (working vs demonstrated experience); Handling background verification or data-intensive workflows</t>
        </is>
      </c>
    </row>
    <row r="150">
      <c r="A150" t="inlineStr">
        <is>
          <t>SOFTKNACK-261002-149</t>
        </is>
      </c>
      <c r="B150" t="inlineStr">
        <is>
          <t>Softknack</t>
        </is>
      </c>
      <c r="C150" t="inlineStr">
        <is>
          <t>Full Stack Engineering Interns</t>
        </is>
      </c>
      <c r="D150" t="inlineStr">
        <is>
          <t>https://www.adzuna.in/details/5845820630?utm_medium=api&amp;utm_source=5ccdc27f</t>
        </is>
      </c>
      <c r="E150" t="inlineStr">
        <is>
          <t>AI Analyzer</t>
        </is>
      </c>
      <c r="F150" t="inlineStr">
        <is>
          <t>Chennai, Tamil Nadu</t>
        </is>
      </c>
      <c r="G150" t="inlineStr">
        <is>
          <t>Unknown</t>
        </is>
      </c>
      <c r="I150" t="inlineStr">
        <is>
          <t>Unknown</t>
        </is>
      </c>
      <c r="J150" t="inlineStr">
        <is>
          <t>NOT_MENTIONED</t>
        </is>
      </c>
      <c r="K150" t="inlineStr">
        <is>
          <t>Node.js; React Native</t>
        </is>
      </c>
      <c r="M150" t="inlineStr">
        <is>
          <t>Were an earlystage startup building software products that real businesses depend on to run their day Every bug is a business that cant operate Every good decision you make now gets built into the foundation as we scale Were hiring 10 interns for our next builder cohort This isnt busywork or a toy side project Youll own real features end to end ship to production and see your code used by real clients within days Who were looking for Someone genuinely obsessed with building The kind of person w…</t>
        </is>
      </c>
      <c r="N150" t="n">
        <v>42</v>
      </c>
      <c r="O150" t="n">
        <v>50</v>
      </c>
      <c r="P150" t="n">
        <v>60</v>
      </c>
      <c r="Q150" t="n">
        <v>70</v>
      </c>
      <c r="R150" t="n">
        <v>0</v>
      </c>
      <c r="S150" t="n">
        <v>0</v>
      </c>
      <c r="T150" t="n">
        <v>50</v>
      </c>
      <c r="U150" t="inlineStr">
        <is>
          <t>SKIP</t>
        </is>
      </c>
      <c r="V150" t="inlineStr">
        <is>
          <t>SKIP</t>
        </is>
      </c>
      <c r="W150" t="inlineStr">
        <is>
          <t>React Native</t>
        </is>
      </c>
      <c r="X150" t="inlineStr">
        <is>
          <t>Amaanuddin_Ahmed_Resume.pdf</t>
        </is>
      </c>
      <c r="Y150" t="inlineStr">
        <is>
          <t>2026-10-02</t>
        </is>
      </c>
      <c r="Z150" t="inlineStr">
        <is>
          <t>Early-stage startup offering end-to-end feature ownership and production deployment</t>
        </is>
      </c>
      <c r="AA150" t="inlineStr">
        <is>
          <t>ELIGIBLE</t>
        </is>
      </c>
      <c r="AC150" t="inlineStr">
        <is>
          <t>UNKNOWN</t>
        </is>
      </c>
      <c r="AD150" t="inlineStr">
        <is>
          <t>Availability not specified in the candidate profile or career brain.</t>
        </is>
      </c>
      <c r="AE150" t="inlineStr">
        <is>
          <t>UNKNOWN</t>
        </is>
      </c>
      <c r="AF150" t="n">
        <v>0</v>
      </c>
      <c r="AG150" t="inlineStr">
        <is>
          <t>No</t>
        </is>
      </c>
      <c r="AH150" t="inlineStr">
        <is>
          <t>NOT_MENTIONED</t>
        </is>
      </c>
      <c r="AI150" t="inlineStr">
        <is>
          <t>No explicit mention of PPO or conversion in the job description snippet.</t>
        </is>
      </c>
      <c r="AK150" t="inlineStr">
        <is>
          <t>Location is Chennai, Tamil Nadu while candidate prefers Bengaluru or remote; React Native is required by the role but not demonstrated or listed in primary resume skills</t>
        </is>
      </c>
      <c r="AL150" t="inlineStr">
        <is>
          <t>Node.js and Express backend architecture; React Native mobile development familiarity; End-to-end feature shipping experience</t>
        </is>
      </c>
    </row>
    <row r="151">
      <c r="A151" t="inlineStr">
        <is>
          <t>FLEXBOARD-261002-150</t>
        </is>
      </c>
      <c r="B151" t="inlineStr">
        <is>
          <t>FlexBoard</t>
        </is>
      </c>
      <c r="C151" t="inlineStr">
        <is>
          <t>Remote Software Engineer Intern</t>
        </is>
      </c>
      <c r="D151" t="inlineStr">
        <is>
          <t>https://www.adzuna.in/details/5845820694?utm_medium=api&amp;utm_source=5ccdc27f</t>
        </is>
      </c>
      <c r="E151" t="inlineStr">
        <is>
          <t>AI Analyzer</t>
        </is>
      </c>
      <c r="F151" t="inlineStr">
        <is>
          <t>India</t>
        </is>
      </c>
      <c r="G151" t="inlineStr">
        <is>
          <t>Remote</t>
        </is>
      </c>
      <c r="H151" t="inlineStr">
        <is>
          <t>Not specified</t>
        </is>
      </c>
      <c r="I151" t="inlineStr">
        <is>
          <t>Not specified</t>
        </is>
      </c>
      <c r="J151" t="inlineStr">
        <is>
          <t>NO</t>
        </is>
      </c>
      <c r="K151" t="inlineStr">
        <is>
          <t>Software Development; Frontend or Backend Development</t>
        </is>
      </c>
      <c r="M151" t="inlineStr">
        <is>
          <t>Note The job is a remote job and is reputed company to candidates in USA reputed company is the leading destination for shortreputed company mobile video and they are seeking talented individuals for an internship in their Customer Service Platform team The role involves reputed companyend development understanding business requirements and optimizing development models to enhance user experience and satisfaction Responsibilities Responsible for reputed companyend development of the reputed com…</t>
        </is>
      </c>
      <c r="N151" t="n">
        <v>66</v>
      </c>
      <c r="O151" t="n">
        <v>75</v>
      </c>
      <c r="P151" t="n">
        <v>80</v>
      </c>
      <c r="Q151" t="n">
        <v>80</v>
      </c>
      <c r="R151" t="n">
        <v>40</v>
      </c>
      <c r="S151" t="n">
        <v>50</v>
      </c>
      <c r="T151" t="n">
        <v>45</v>
      </c>
      <c r="U151" t="inlineStr">
        <is>
          <t>STRETCH</t>
        </is>
      </c>
      <c r="V151" t="inlineStr">
        <is>
          <t>STRETCH</t>
        </is>
      </c>
      <c r="X151" t="inlineStr">
        <is>
          <t>Default Full Stack / Software Engineer Resume</t>
        </is>
      </c>
      <c r="Y151" t="inlineStr">
        <is>
          <t>2026-10-02</t>
        </is>
      </c>
      <c r="Z151" t="inlineStr">
        <is>
          <t>Matches target software engineering intern role.; Remote work mode fits candidate preferences.</t>
        </is>
      </c>
      <c r="AA151" t="inlineStr">
        <is>
          <t>ELIGIBLE</t>
        </is>
      </c>
      <c r="AB151" t="inlineStr">
        <is>
          <t>Candidate is an MCA student looking for internships matching software engineering roles.; Job is remote and open to candidates in India.</t>
        </is>
      </c>
      <c r="AC151" t="inlineStr">
        <is>
          <t>UNKNOWN</t>
        </is>
      </c>
      <c r="AD151" t="inlineStr">
        <is>
          <t>Availability not explicitly specified in the candidate profile.</t>
        </is>
      </c>
      <c r="AE151" t="inlineStr">
        <is>
          <t>UNKNOWN</t>
        </is>
      </c>
      <c r="AF151" t="n">
        <v>0</v>
      </c>
      <c r="AG151" t="inlineStr">
        <is>
          <t>No</t>
        </is>
      </c>
      <c r="AH151" t="inlineStr">
        <is>
          <t>NO</t>
        </is>
      </c>
      <c r="AI151" t="inlineStr">
        <is>
          <t>No mention of PPO or conversion in the job description.</t>
        </is>
      </c>
      <c r="AK151" t="inlineStr">
        <is>
          <t>Vague and fragmented job description text with repeated boilerplate terms ('reputed company').</t>
        </is>
      </c>
      <c r="AL151" t="inlineStr">
        <is>
          <t>Full stack development fundamentals; API design and integration; Handling business requirements and user satisfaction</t>
        </is>
      </c>
    </row>
    <row r="152">
      <c r="A152" t="inlineStr">
        <is>
          <t>CONAXWEB-SOL-261002-151</t>
        </is>
      </c>
      <c r="B152" t="inlineStr">
        <is>
          <t>ConaXweb Solutions</t>
        </is>
      </c>
      <c r="C152" t="inlineStr">
        <is>
          <t>MERN Stack Intern</t>
        </is>
      </c>
      <c r="D152" t="inlineStr">
        <is>
          <t>https://www.adzuna.in/details/4366939888?utm_medium=api&amp;utm_source=5ccdc27f</t>
        </is>
      </c>
      <c r="E152" t="inlineStr">
        <is>
          <t>AI Analyzer</t>
        </is>
      </c>
      <c r="F152" t="inlineStr">
        <is>
          <t>Allahabad, Uttar Pradesh</t>
        </is>
      </c>
      <c r="G152" t="inlineStr">
        <is>
          <t>On-site</t>
        </is>
      </c>
      <c r="H152" t="inlineStr">
        <is>
          <t>Not Specified</t>
        </is>
      </c>
      <c r="I152" t="inlineStr">
        <is>
          <t>Not Specified</t>
        </is>
      </c>
      <c r="J152" t="inlineStr">
        <is>
          <t>UNKNOWN</t>
        </is>
      </c>
      <c r="K152" t="inlineStr">
        <is>
          <t>MongoDB; Express; React; Node.js</t>
        </is>
      </c>
      <c r="M152" t="inlineStr">
        <is>
          <t>Job description We are looking for MERN Stack Interns to join our team and help us build and maintain high-performance web applications. As a MERN stack developer, you will be responsible for designing, developing, and deploying web applications using the MERN stack (MongoDB, Express, React, and Node.js). Key Responsibilities: Design and develop web applications using the MERN stack Write clean, maintainable, and efficient code Collaborate with the team to define, design, and ship new features …</t>
        </is>
      </c>
      <c r="N152" t="n">
        <v>70</v>
      </c>
      <c r="O152" t="n">
        <v>95</v>
      </c>
      <c r="P152" t="n">
        <v>90</v>
      </c>
      <c r="Q152" t="n">
        <v>95</v>
      </c>
      <c r="R152" t="n">
        <v>30</v>
      </c>
      <c r="S152" t="n">
        <v>10</v>
      </c>
      <c r="T152" t="n">
        <v>40</v>
      </c>
      <c r="U152" t="inlineStr">
        <is>
          <t>SKIP</t>
        </is>
      </c>
      <c r="V152" t="inlineStr">
        <is>
          <t>SKIP</t>
        </is>
      </c>
      <c r="X152" t="inlineStr">
        <is>
          <t>Amaanuddin_Ahmed_Resume_MERN_FullStack.pdf</t>
        </is>
      </c>
      <c r="Y152" t="inlineStr">
        <is>
          <t>2026-10-02</t>
        </is>
      </c>
      <c r="Z152" t="inlineStr">
        <is>
          <t>Strong technical alignment with the MERN stack requirements based on past projects and internships.</t>
        </is>
      </c>
      <c r="AA152" t="inlineStr">
        <is>
          <t>ELIGIBLE</t>
        </is>
      </c>
      <c r="AB152" t="inlineStr">
        <is>
          <t>Candidate is pursuing MCA and meets general tech criteria for MERN stack.</t>
        </is>
      </c>
      <c r="AC152" t="inlineStr">
        <is>
          <t>UNKNOWN</t>
        </is>
      </c>
      <c r="AD152" t="inlineStr">
        <is>
          <t>Exact joining availability details not specified in the career brain relative to this specific start window.</t>
        </is>
      </c>
      <c r="AE152" t="inlineStr">
        <is>
          <t>UNKNOWN</t>
        </is>
      </c>
      <c r="AF152" t="n">
        <v>0</v>
      </c>
      <c r="AG152" t="inlineStr">
        <is>
          <t>No</t>
        </is>
      </c>
      <c r="AH152" t="inlineStr">
        <is>
          <t>UNKNOWN</t>
        </is>
      </c>
      <c r="AI152" t="inlineStr">
        <is>
          <t>No mention of a PPO or conversion in the job description.</t>
        </is>
      </c>
      <c r="AJ152" t="inlineStr">
        <is>
          <t>Location mismatch: Job is in Allahabad, Uttar Pradesh, while candidate prefers Bengaluru (or remote).</t>
        </is>
      </c>
      <c r="AK152" t="inlineStr">
        <is>
          <t>Unknown stipend which likely falls below the candidate's minimum target of 25,000 INR/month for an off-location role.; Relocation required to Allahabad, Uttar Pradesh.</t>
        </is>
      </c>
      <c r="AL152" t="inlineStr">
        <is>
          <t>MERN stack architecture; RESTful API design; Database schema design with MongoDB; State management in React</t>
        </is>
      </c>
    </row>
    <row r="153">
      <c r="A153" t="inlineStr">
        <is>
          <t>MAXGEN-TECHN-261002-152</t>
        </is>
      </c>
      <c r="B153" t="inlineStr">
        <is>
          <t>MAXGEN TECHNOLOGIES PRIVATE LIMITED</t>
        </is>
      </c>
      <c r="C153" t="inlineStr">
        <is>
          <t>Mern Stack Internship</t>
        </is>
      </c>
      <c r="D153" t="inlineStr">
        <is>
          <t>https://www.adzuna.in/details/5842547711?utm_medium=api&amp;utm_source=5ccdc27f</t>
        </is>
      </c>
      <c r="E153" t="inlineStr">
        <is>
          <t>AI Analyzer</t>
        </is>
      </c>
      <c r="F153" t="inlineStr">
        <is>
          <t>Pune, India</t>
        </is>
      </c>
      <c r="G153" t="inlineStr">
        <is>
          <t>Hybrid</t>
        </is>
      </c>
      <c r="H153" t="inlineStr">
        <is>
          <t>Not specified</t>
        </is>
      </c>
      <c r="I153" t="inlineStr">
        <is>
          <t>Unknown</t>
        </is>
      </c>
      <c r="J153" t="inlineStr">
        <is>
          <t>No</t>
        </is>
      </c>
      <c r="K153" t="inlineStr">
        <is>
          <t>MERN Stack; Frontend Development; Backend Development</t>
        </is>
      </c>
      <c r="M153" t="inlineStr">
        <is>
          <t>Maxgen Technologies Pvt Ltd offering Web development program inpune we are offeringmernstackinternshipwith frontend and backend learning program Why seeking our program Online or Offline internships experienced staff Attractive locations Skills development services Live projects internships call at hidden mobile visit us www maxgentechnologies com Address 601 Konark Icon MagarpattaPune</t>
        </is>
      </c>
      <c r="N153" t="n">
        <v>63</v>
      </c>
      <c r="O153" t="n">
        <v>90</v>
      </c>
      <c r="P153" t="n">
        <v>85</v>
      </c>
      <c r="Q153" t="n">
        <v>85</v>
      </c>
      <c r="R153" t="n">
        <v>10</v>
      </c>
      <c r="S153" t="n">
        <v>20</v>
      </c>
      <c r="T153" t="n">
        <v>30</v>
      </c>
      <c r="U153" t="inlineStr">
        <is>
          <t>STRETCH</t>
        </is>
      </c>
      <c r="V153" t="inlineStr">
        <is>
          <t>STRETCH</t>
        </is>
      </c>
      <c r="X153" t="inlineStr">
        <is>
          <t>Full Stack Developer Resume</t>
        </is>
      </c>
      <c r="Y153" t="inlineStr">
        <is>
          <t>2026-10-02</t>
        </is>
      </c>
      <c r="Z153" t="inlineStr">
        <is>
          <t>Aligns well with MERN stack skill set.</t>
        </is>
      </c>
      <c r="AA153" t="inlineStr">
        <is>
          <t>Eligible</t>
        </is>
      </c>
      <c r="AC153" t="inlineStr">
        <is>
          <t>Unknown</t>
        </is>
      </c>
      <c r="AD153" t="inlineStr">
        <is>
          <t>Candidate availability details are not provided in the career brain.</t>
        </is>
      </c>
      <c r="AE153" t="inlineStr">
        <is>
          <t>UNKNOWN</t>
        </is>
      </c>
      <c r="AF153" t="n">
        <v>0</v>
      </c>
      <c r="AG153" t="inlineStr">
        <is>
          <t>No</t>
        </is>
      </c>
      <c r="AH153" t="inlineStr">
        <is>
          <t>No</t>
        </is>
      </c>
      <c r="AI153" t="inlineStr">
        <is>
          <t>No mention of PPO or job conversion in the job description.</t>
        </is>
      </c>
      <c r="AK153" t="inlineStr">
        <is>
          <t>Unpaid or unstated stipend; Program-style internship structure which may lack quality</t>
        </is>
      </c>
      <c r="AL153" t="inlineStr">
        <is>
          <t>MERN stack fundamentals; Previous project experience with Node and React; Availability for Pune location</t>
        </is>
      </c>
    </row>
    <row r="154">
      <c r="A154" t="inlineStr">
        <is>
          <t>MAXGEN-TECHN-261002-153</t>
        </is>
      </c>
      <c r="B154" t="inlineStr">
        <is>
          <t>MAXGEN TECHNOLOGIES PRIVATE LIMITED</t>
        </is>
      </c>
      <c r="C154" t="inlineStr">
        <is>
          <t>MERN Stack Internship</t>
        </is>
      </c>
      <c r="D154" t="inlineStr">
        <is>
          <t>https://www.adzuna.in/details/5854846598?utm_medium=api&amp;utm_source=5ccdc27f</t>
        </is>
      </c>
      <c r="E154" t="inlineStr">
        <is>
          <t>AI Analyzer</t>
        </is>
      </c>
      <c r="F154" t="inlineStr">
        <is>
          <t>Ahmedabad, India</t>
        </is>
      </c>
      <c r="G154" t="inlineStr">
        <is>
          <t>Hybrid</t>
        </is>
      </c>
      <c r="H154" t="inlineStr">
        <is>
          <t>Not specified</t>
        </is>
      </c>
      <c r="I154" t="inlineStr">
        <is>
          <t>Unknown</t>
        </is>
      </c>
      <c r="J154" t="inlineStr">
        <is>
          <t>Low</t>
        </is>
      </c>
      <c r="K154" t="inlineStr">
        <is>
          <t>MERN Stack; Web Development</t>
        </is>
      </c>
      <c r="M154" t="inlineStr">
        <is>
          <t>Maxgen Technologies Pvt ltd is an it company based in Ahmedabad Diploma and iT can join ourmernstcakinternshipand web development program Why looking for us Advance leanring Program hybridinternshipwe offer flexible hours duringinternship job placement assistant visit us at www maxgentechnologies com contact us hidden mobile address Abhijeet 3 603 Netaji Rd near Pantaloons Mithakhali Ellisbridge Ahmedabad</t>
        </is>
      </c>
      <c r="N154" t="n">
        <v>69</v>
      </c>
      <c r="O154" t="n">
        <v>90</v>
      </c>
      <c r="P154" t="n">
        <v>90</v>
      </c>
      <c r="Q154" t="n">
        <v>90</v>
      </c>
      <c r="R154" t="n">
        <v>30</v>
      </c>
      <c r="S154" t="n">
        <v>20</v>
      </c>
      <c r="T154" t="n">
        <v>40</v>
      </c>
      <c r="U154" t="inlineStr">
        <is>
          <t>SKIP</t>
        </is>
      </c>
      <c r="V154" t="inlineStr">
        <is>
          <t>SKIP</t>
        </is>
      </c>
      <c r="X154" t="inlineStr">
        <is>
          <t>Standard Full Stack / MERN Resume</t>
        </is>
      </c>
      <c r="Y154" t="inlineStr">
        <is>
          <t>2026-10-02</t>
        </is>
      </c>
      <c r="Z154" t="inlineStr">
        <is>
          <t>Strong technical alignment with MERN stack requirements.</t>
        </is>
      </c>
      <c r="AA154" t="inlineStr">
        <is>
          <t>Eligible with constraints</t>
        </is>
      </c>
      <c r="AB154" t="inlineStr">
        <is>
          <t>The role is physically located in Ahmedabad, India, whereas candidate's preferred location is Bengaluru.</t>
        </is>
      </c>
      <c r="AC154" t="inlineStr">
        <is>
          <t>Unknown</t>
        </is>
      </c>
      <c r="AD154" t="inlineStr">
        <is>
          <t>Candidate's exact start date availability for this specific listing is not explicitly matched.</t>
        </is>
      </c>
      <c r="AE154" t="inlineStr">
        <is>
          <t>UNKNOWN</t>
        </is>
      </c>
      <c r="AF154" t="n">
        <v>0</v>
      </c>
      <c r="AG154" t="inlineStr">
        <is>
          <t>No</t>
        </is>
      </c>
      <c r="AH154" t="inlineStr">
        <is>
          <t>Low</t>
        </is>
      </c>
      <c r="AI154" t="inlineStr">
        <is>
          <t>Job description mentions job placement assistance rather than a guaranteed PPO or conversion track.</t>
        </is>
      </c>
      <c r="AJ154" t="inlineStr">
        <is>
          <t>Location mismatch: Job is based in Ahmedabad, Gujarat, while candidate is based in Bengaluru and prefers Bengaluru.</t>
        </is>
      </c>
      <c r="AK154" t="inlineStr">
        <is>
          <t>Unpaid or unknown stipend structure; Location requires relocation or remote presence in Ahmedabad for hybrid work</t>
        </is>
      </c>
      <c r="AL154" t="inlineStr">
        <is>
          <t>MERN stack architecture; Previous full-stack project experience; Feasibility of working from Ahmedabad</t>
        </is>
      </c>
    </row>
    <row r="155">
      <c r="A155" t="inlineStr">
        <is>
          <t>ZECSER-BUSIN-261002-154</t>
        </is>
      </c>
      <c r="B155" t="inlineStr">
        <is>
          <t>Zecser Business LLP</t>
        </is>
      </c>
      <c r="C155" t="inlineStr">
        <is>
          <t>MERN Stack Developer Internship</t>
        </is>
      </c>
      <c r="D155" t="inlineStr">
        <is>
          <t>https://www.adzuna.in/details/5565364089?utm_medium=api&amp;utm_source=5ccdc27f</t>
        </is>
      </c>
      <c r="E155" t="inlineStr">
        <is>
          <t>AI Analyzer</t>
        </is>
      </c>
      <c r="F155" t="inlineStr">
        <is>
          <t>Kochi, Ernakulam</t>
        </is>
      </c>
      <c r="G155" t="inlineStr">
        <is>
          <t>On-site / Not specified</t>
        </is>
      </c>
      <c r="H155" t="inlineStr">
        <is>
          <t>Not specified</t>
        </is>
      </c>
      <c r="I155" t="inlineStr">
        <is>
          <t>Not specified</t>
        </is>
      </c>
      <c r="J155" t="inlineStr">
        <is>
          <t>NOT_MENTIONED</t>
        </is>
      </c>
      <c r="K155" t="inlineStr">
        <is>
          <t>MongoDB; Express.js; React.js; Node.js</t>
        </is>
      </c>
      <c r="M155" t="inlineStr">
        <is>
          <t>MERN Stack Developer Internship in Kerala Are you a passionate and motivated individual looking to kickstart your career as a MERN Stack Developer? This internship opportunity in Kerala offers you the chance to work with cutting-edge technologies while gaining real-world experience. As a MERN Stack Developer Intern, you will be part of a dynamic team dedicated to developing innovative web applications using MongoDB, Express.js, React.js, and Node.js. Key Responsibilities: Assist in the developm…</t>
        </is>
      </c>
      <c r="N155" t="n">
        <v>74</v>
      </c>
      <c r="O155" t="n">
        <v>95</v>
      </c>
      <c r="P155" t="n">
        <v>90</v>
      </c>
      <c r="Q155" t="n">
        <v>95</v>
      </c>
      <c r="R155" t="n">
        <v>40</v>
      </c>
      <c r="S155" t="n">
        <v>20</v>
      </c>
      <c r="T155" t="n">
        <v>50</v>
      </c>
      <c r="U155" t="inlineStr">
        <is>
          <t>CONSIDER</t>
        </is>
      </c>
      <c r="V155" t="inlineStr">
        <is>
          <t>CONSIDER</t>
        </is>
      </c>
      <c r="X155" t="inlineStr">
        <is>
          <t>Default Resume / MERN Focused</t>
        </is>
      </c>
      <c r="Y155" t="inlineStr">
        <is>
          <t>2026-10-02</t>
        </is>
      </c>
      <c r="Z155" t="inlineStr">
        <is>
          <t>Strong technical match for MERN stack requirements.; Good opportunity to gain further web application development experience.</t>
        </is>
      </c>
      <c r="AA155" t="inlineStr">
        <is>
          <t>ELIGIBLE</t>
        </is>
      </c>
      <c r="AB155" t="inlineStr">
        <is>
          <t>No strict degree, graduation year, or experience blockers mentioned in the short snippet.</t>
        </is>
      </c>
      <c r="AC155" t="inlineStr">
        <is>
          <t>UNKNOWN</t>
        </is>
      </c>
      <c r="AD155" t="inlineStr">
        <is>
          <t>Availability not explicitly discussed in career brain, but candidate is an MCA student looking for internships.</t>
        </is>
      </c>
      <c r="AE155" t="inlineStr">
        <is>
          <t>UNKNOWN</t>
        </is>
      </c>
      <c r="AF155" t="n">
        <v>0</v>
      </c>
      <c r="AG155" t="inlineStr">
        <is>
          <t>No</t>
        </is>
      </c>
      <c r="AH155" t="inlineStr">
        <is>
          <t>NOT_MENTIONED</t>
        </is>
      </c>
      <c r="AI155" t="inlineStr">
        <is>
          <t>No mention of PPO or conversion in the job description snippet.</t>
        </is>
      </c>
      <c r="AK155" t="inlineStr">
        <is>
          <t>Stipend is not disclosed.; Location is Kochi, Kerala (candidate prefers Bengaluru or remote).</t>
        </is>
      </c>
      <c r="AL155" t="inlineStr">
        <is>
          <t>MongoDB schema design and aggregation pipelines; Express.js middleware and error handling; React.js state management and component lifecycle; Node.js asynchronous programming and event loop</t>
        </is>
      </c>
    </row>
    <row r="156">
      <c r="A156" t="inlineStr">
        <is>
          <t>OCTALBEES-261002-155</t>
        </is>
      </c>
      <c r="B156" t="inlineStr">
        <is>
          <t>Octalbees</t>
        </is>
      </c>
      <c r="C156" t="inlineStr">
        <is>
          <t>MERN Stack Developer Intern</t>
        </is>
      </c>
      <c r="D156" t="inlineStr">
        <is>
          <t>https://www.adzuna.in/details/5879546730?utm_medium=api&amp;utm_source=5ccdc27f</t>
        </is>
      </c>
      <c r="E156" t="inlineStr">
        <is>
          <t>AI Analyzer</t>
        </is>
      </c>
      <c r="F156" t="inlineStr">
        <is>
          <t>India</t>
        </is>
      </c>
      <c r="G156" t="inlineStr">
        <is>
          <t>Unknown</t>
        </is>
      </c>
      <c r="H156" t="inlineStr">
        <is>
          <t>Not specified</t>
        </is>
      </c>
      <c r="I156" t="inlineStr">
        <is>
          <t>Unknown</t>
        </is>
      </c>
      <c r="J156" t="inlineStr">
        <is>
          <t>UNKNOWN</t>
        </is>
      </c>
      <c r="K156" t="inlineStr">
        <is>
          <t>MongoDB; Express.js; React.js; Node.js; REST APIs</t>
        </is>
      </c>
      <c r="M156" t="inlineStr">
        <is>
          <t>About the Role Octalbees is looking for a MERN Stack Developer Intern to join our development team and work on practical, industry-oriented web development projects. What You'll Work On Build and improve web applications using MongoDB, Express.js, React.js, and Node.js Develop responsive and user-friendly frontend interfaces Build and integrate REST APIs Work with databases, authentication, and backend services Debug, test, and optimize applications Collaborate with the team and follow professi…</t>
        </is>
      </c>
      <c r="N156" t="n">
        <v>77</v>
      </c>
      <c r="O156" t="n">
        <v>95</v>
      </c>
      <c r="P156" t="n">
        <v>90</v>
      </c>
      <c r="Q156" t="n">
        <v>95</v>
      </c>
      <c r="R156" t="n">
        <v>50</v>
      </c>
      <c r="S156" t="n">
        <v>30</v>
      </c>
      <c r="T156" t="n">
        <v>60</v>
      </c>
      <c r="U156" t="inlineStr">
        <is>
          <t>CONSIDER</t>
        </is>
      </c>
      <c r="V156" t="inlineStr">
        <is>
          <t>CONSIDER</t>
        </is>
      </c>
      <c r="X156" t="inlineStr">
        <is>
          <t>Amaanuddin_Ahmed_Resume_MERN_Stack.pdf</t>
        </is>
      </c>
      <c r="Y156" t="inlineStr">
        <is>
          <t>2026-10-02</t>
        </is>
      </c>
      <c r="Z156" t="inlineStr">
        <is>
          <t>The role is an exact match for MERN Stack Developer Intern which aligns with primary and secondary target roles.; Candidate has strong demonstrated project and internship experience using MongoDB, Express.js, React.js, and Node.js.</t>
        </is>
      </c>
      <c r="AA156" t="inlineStr">
        <is>
          <t>ELIGIBLE</t>
        </is>
      </c>
      <c r="AB156" t="inlineStr">
        <is>
          <t>Candidate is an MCA student matching the target internship criteria for MERN Stack.</t>
        </is>
      </c>
      <c r="AC156" t="inlineStr">
        <is>
          <t>UNKNOWN</t>
        </is>
      </c>
      <c r="AD156" t="inlineStr">
        <is>
          <t>Exact joining dates and availability constraints are not specified in the JD or profile details.</t>
        </is>
      </c>
      <c r="AE156" t="inlineStr">
        <is>
          <t>UNKNOWN</t>
        </is>
      </c>
      <c r="AF156" t="n">
        <v>0</v>
      </c>
      <c r="AG156" t="inlineStr">
        <is>
          <t>No</t>
        </is>
      </c>
      <c r="AH156" t="inlineStr">
        <is>
          <t>UNKNOWN</t>
        </is>
      </c>
      <c r="AI156" t="inlineStr">
        <is>
          <t>No explicit PPO or conversion mention found in the short JD excerpt.</t>
        </is>
      </c>
      <c r="AK156" t="inlineStr">
        <is>
          <t>Location is listed broadly as India without specifying remote or city-specific details; Stipend information is completely missing</t>
        </is>
      </c>
      <c r="AL156" t="inlineStr">
        <is>
          <t>MERN stack architecture and state management in React; REST API design principles and security best practices; Database schema design in MongoDB and query optimization; Previous full-stack internship experience and live deployments</t>
        </is>
      </c>
    </row>
    <row r="157">
      <c r="A157" t="inlineStr">
        <is>
          <t>PAATHZ-261002-156</t>
        </is>
      </c>
      <c r="B157" t="inlineStr">
        <is>
          <t>Paathz</t>
        </is>
      </c>
      <c r="C157" t="inlineStr">
        <is>
          <t>Software Engineer Intern MERN</t>
        </is>
      </c>
      <c r="D157" t="inlineStr">
        <is>
          <t>https://www.adzuna.in/details/5827200226?utm_medium=api&amp;utm_source=5ccdc27f</t>
        </is>
      </c>
      <c r="E157" t="inlineStr">
        <is>
          <t>AI Analyzer</t>
        </is>
      </c>
      <c r="F157" t="inlineStr">
        <is>
          <t>Hyderabad, Telangana</t>
        </is>
      </c>
      <c r="G157" t="inlineStr">
        <is>
          <t>UNKNOWN</t>
        </is>
      </c>
      <c r="I157" t="inlineStr">
        <is>
          <t>UNKNOWN</t>
        </is>
      </c>
      <c r="J157" t="inlineStr">
        <is>
          <t>UNKNOWN</t>
        </is>
      </c>
      <c r="K157" t="inlineStr">
        <is>
          <t>MERN Stack; MongoDB; Express.js; React.js; Node.js</t>
        </is>
      </c>
      <c r="M157" t="inlineStr">
        <is>
          <t>About Paathz Paathz is an AInative hospitality workforce platform connecting prevetted professionals with hotels and restaurants across Southeast Asia Europe and the Middle East We believe hospitality has a visibility problem not a labour shortage Our mission is to become the definitive crossborder talent corridor for the global hospitality industry The Role We are looking for a passionate Software Engineer Intern MERN eager to build realworld software products Youll work closely with experienc…</t>
        </is>
      </c>
      <c r="N157" t="n">
        <v>80</v>
      </c>
      <c r="O157" t="n">
        <v>95</v>
      </c>
      <c r="P157" t="n">
        <v>90</v>
      </c>
      <c r="Q157" t="n">
        <v>95</v>
      </c>
      <c r="R157" t="n">
        <v>50</v>
      </c>
      <c r="S157" t="n">
        <v>40</v>
      </c>
      <c r="T157" t="n">
        <v>75</v>
      </c>
      <c r="U157" t="inlineStr">
        <is>
          <t>APPLY</t>
        </is>
      </c>
      <c r="V157" t="inlineStr">
        <is>
          <t>APPLY</t>
        </is>
      </c>
      <c r="X157" t="inlineStr">
        <is>
          <t>Amaanuddin_Ahmed_Resume_MERN_FullStack.pdf</t>
        </is>
      </c>
      <c r="Y157" t="inlineStr">
        <is>
          <t>2026-10-02</t>
        </is>
      </c>
      <c r="Z157" t="inlineStr">
        <is>
          <t>The role is an exact match for the MERN Stack Developer Intern position target.; Candidate has strong demonstrated experience and projects using MongoDB, Express, React, and Node.js.</t>
        </is>
      </c>
      <c r="AA157" t="inlineStr">
        <is>
          <t>ELIGIBLE</t>
        </is>
      </c>
      <c r="AC157" t="inlineStr">
        <is>
          <t>UNKNOWN</t>
        </is>
      </c>
      <c r="AD157" t="inlineStr">
        <is>
          <t>Availability not specified in the candidate profile relative to the job start date.</t>
        </is>
      </c>
      <c r="AE157" t="inlineStr">
        <is>
          <t>UNKNOWN</t>
        </is>
      </c>
      <c r="AF157" t="n">
        <v>0</v>
      </c>
      <c r="AG157" t="inlineStr">
        <is>
          <t>No</t>
        </is>
      </c>
      <c r="AH157" t="inlineStr">
        <is>
          <t>UNKNOWN</t>
        </is>
      </c>
      <c r="AI157" t="inlineStr">
        <is>
          <t>No mention of PPO or conversion opportunities in the provided job description text.</t>
        </is>
      </c>
      <c r="AK157" t="inlineStr">
        <is>
          <t>Location is Hyderabad, whereas candidate prefers Bengaluru.; Stipend is completely undisclosed.</t>
        </is>
      </c>
      <c r="AL157" t="inlineStr">
        <is>
          <t>MERN stack architecture and REST API development; State management and component lifecycle in React.js; Database design and aggregation pipelines in MongoDB; Asynchronous programming and middleware handling in Node.js and Express</t>
        </is>
      </c>
      <c r="AM157" t="inlineStr">
        <is>
          <t>E:\InternshipHunter\applications\adzuna-5c386d8a95cc</t>
        </is>
      </c>
      <c r="AN157" t="inlineStr">
        <is>
          <t>Ready for Review</t>
        </is>
      </c>
      <c r="AO157" t="inlineStr">
        <is>
          <t>Generated</t>
        </is>
      </c>
      <c r="AP157" t="inlineStr">
        <is>
          <t>Generated</t>
        </is>
      </c>
      <c r="AQ157" t="inlineStr">
        <is>
          <t>Generated</t>
        </is>
      </c>
      <c r="AR157" t="inlineStr">
        <is>
          <t>Ready to Apply</t>
        </is>
      </c>
    </row>
    <row r="158">
      <c r="A158" t="inlineStr">
        <is>
          <t>IDLI-TECHNOL-261002-157</t>
        </is>
      </c>
      <c r="B158" t="inlineStr">
        <is>
          <t>Idli Technologies Pvt Ltd</t>
        </is>
      </c>
      <c r="C158" t="inlineStr">
        <is>
          <t>MERN Stack Developer Internship</t>
        </is>
      </c>
      <c r="D158" t="inlineStr">
        <is>
          <t>https://www.adzuna.in/details/5811667426?utm_medium=api&amp;utm_source=5ccdc27f</t>
        </is>
      </c>
      <c r="E158" t="inlineStr">
        <is>
          <t>AI Analyzer</t>
        </is>
      </c>
      <c r="F158" t="inlineStr">
        <is>
          <t>Raipur, Chhattisgarh</t>
        </is>
      </c>
      <c r="G158" t="inlineStr">
        <is>
          <t>UNKNOWN</t>
        </is>
      </c>
      <c r="I158" t="inlineStr">
        <is>
          <t>UNKNOWN</t>
        </is>
      </c>
      <c r="J158" t="inlineStr">
        <is>
          <t>UNKNOWN</t>
        </is>
      </c>
      <c r="K158" t="inlineStr">
        <is>
          <t>MongoDB; Express.js; React.js; Node.js</t>
        </is>
      </c>
      <c r="M158" t="inlineStr">
        <is>
          <t>Responsibilities Develop and maintain web applications using the MERN stack MongoDB Express js React js Node js Collaborate with the frontend and backend teams to integrate userfacing elements with serverside logic Write clean maintainable and efficient code Participate in code reviews and contribute to team discussions Assist in troubleshooting debugging and upgrading existing software Learn and apply new technologies and best practices in web development Requirements Basic understanding of fr…</t>
        </is>
      </c>
      <c r="N158" t="n">
        <v>78</v>
      </c>
      <c r="O158" t="n">
        <v>95</v>
      </c>
      <c r="P158" t="n">
        <v>90</v>
      </c>
      <c r="Q158" t="n">
        <v>95</v>
      </c>
      <c r="R158" t="n">
        <v>50</v>
      </c>
      <c r="S158" t="n">
        <v>40</v>
      </c>
      <c r="T158" t="n">
        <v>60</v>
      </c>
      <c r="U158" t="inlineStr">
        <is>
          <t>CONSIDER</t>
        </is>
      </c>
      <c r="V158" t="inlineStr">
        <is>
          <t>CONSIDER</t>
        </is>
      </c>
      <c r="X158" t="inlineStr">
        <is>
          <t>Full_Stack_Developer_Resume</t>
        </is>
      </c>
      <c r="Y158" t="inlineStr">
        <is>
          <t>2026-10-02</t>
        </is>
      </c>
      <c r="Z158" t="inlineStr">
        <is>
          <t>Perfect technical match for the MERN stack with demonstrated projects like StaySphere and Zenvest.; Good opportunity to gain further production experience in full-stack web development.</t>
        </is>
      </c>
      <c r="AA158" t="inlineStr">
        <is>
          <t>ELIGIBLE</t>
        </is>
      </c>
      <c r="AB158" t="inlineStr">
        <is>
          <t>The role aligns with the candidate's target MERN stack developer internship profile.; No strict educational or experience hard blockers mentioned.</t>
        </is>
      </c>
      <c r="AC158" t="inlineStr">
        <is>
          <t>UNKNOWN</t>
        </is>
      </c>
      <c r="AD158" t="inlineStr">
        <is>
          <t>Candidate's exact immediate availability window is not explicitly matched against start date.</t>
        </is>
      </c>
      <c r="AE158" t="inlineStr">
        <is>
          <t>UNKNOWN</t>
        </is>
      </c>
      <c r="AF158" t="n">
        <v>0</v>
      </c>
      <c r="AG158" t="inlineStr">
        <is>
          <t>No</t>
        </is>
      </c>
      <c r="AH158" t="inlineStr">
        <is>
          <t>UNKNOWN</t>
        </is>
      </c>
      <c r="AI158" t="inlineStr">
        <is>
          <t>No explicit PPO or conversion mention found in the job description.</t>
        </is>
      </c>
      <c r="AK158" t="inlineStr">
        <is>
          <t>Location is Raipur, Chhattisgarh, whereas candidate prefers Bengaluru or remote work.</t>
        </is>
      </c>
      <c r="AL158" t="inlineStr">
        <is>
          <t>MERN stack architecture and data flow; RESTful API design and debugging in Node.js/Express; React.js state management and component lifecycle; MongoDB schema design and aggregation pipelines</t>
        </is>
      </c>
    </row>
    <row r="159">
      <c r="A159" t="inlineStr">
        <is>
          <t>SPARKS-TO-ID-261002-158</t>
        </is>
      </c>
      <c r="B159" t="inlineStr">
        <is>
          <t>Sparks To Ideas</t>
        </is>
      </c>
      <c r="C159" t="inlineStr">
        <is>
          <t>MERN Stack Developer Intern</t>
        </is>
      </c>
      <c r="D159" t="inlineStr">
        <is>
          <t>https://www.adzuna.in/details/5856165557?utm_medium=api&amp;utm_source=5ccdc27f</t>
        </is>
      </c>
      <c r="E159" t="inlineStr">
        <is>
          <t>AI Analyzer</t>
        </is>
      </c>
      <c r="F159" t="inlineStr">
        <is>
          <t>Ahmedabad</t>
        </is>
      </c>
      <c r="G159" t="inlineStr">
        <is>
          <t>On-site</t>
        </is>
      </c>
      <c r="H159" t="inlineStr">
        <is>
          <t>Not specified</t>
        </is>
      </c>
      <c r="I159" t="inlineStr">
        <is>
          <t>Unknown</t>
        </is>
      </c>
      <c r="J159" t="inlineStr">
        <is>
          <t>not mentioned</t>
        </is>
      </c>
      <c r="K159" t="inlineStr">
        <is>
          <t>MongoDB; Express.js; React.js; Node.js</t>
        </is>
      </c>
      <c r="M159" t="inlineStr">
        <is>
          <t>Sparks to Ideas IT Company is a growing IT solutions provider specializing in modern web technologies We focus on handson training live project exposure and helping students build strong careers in full stack development We are looking for passionate MERN Stack Interns in Ahmedabad who are eager to learn and work on realtime web applications This internship provides complete exposure to frontend and backend development using the MERN stack Tools Technologies You Will Learn MongoDB Database Expr…</t>
        </is>
      </c>
      <c r="N159" t="n">
        <v>68</v>
      </c>
      <c r="O159" t="n">
        <v>95</v>
      </c>
      <c r="P159" t="n">
        <v>90</v>
      </c>
      <c r="Q159" t="n">
        <v>95</v>
      </c>
      <c r="R159" t="n">
        <v>0</v>
      </c>
      <c r="S159" t="n">
        <v>30</v>
      </c>
      <c r="T159" t="n">
        <v>40</v>
      </c>
      <c r="U159" t="inlineStr">
        <is>
          <t>SKIP</t>
        </is>
      </c>
      <c r="V159" t="inlineStr">
        <is>
          <t>SKIP</t>
        </is>
      </c>
      <c r="X159" t="inlineStr">
        <is>
          <t>Default Full Stack / MERN Resume</t>
        </is>
      </c>
      <c r="Y159" t="inlineStr">
        <is>
          <t>2026-10-02</t>
        </is>
      </c>
      <c r="Z159" t="inlineStr">
        <is>
          <t>Matches primary target role and MERN stack skill set.</t>
        </is>
      </c>
      <c r="AA159" t="inlineStr">
        <is>
          <t>Ineligible</t>
        </is>
      </c>
      <c r="AB159" t="inlineStr">
        <is>
          <t>Job is located in Ahmedabad, but candidate prefers Bengaluru, India.</t>
        </is>
      </c>
      <c r="AC159" t="inlineStr">
        <is>
          <t>unknown</t>
        </is>
      </c>
      <c r="AD159" t="inlineStr">
        <is>
          <t>Not specified</t>
        </is>
      </c>
      <c r="AE159" t="inlineStr">
        <is>
          <t>UNKNOWN</t>
        </is>
      </c>
      <c r="AF159" t="n">
        <v>0</v>
      </c>
      <c r="AG159" t="inlineStr">
        <is>
          <t>No</t>
        </is>
      </c>
      <c r="AH159" t="inlineStr">
        <is>
          <t>not mentioned</t>
        </is>
      </c>
      <c r="AI159" t="inlineStr">
        <is>
          <t>No mention of PPO or permanent conversion in the job description.</t>
        </is>
      </c>
      <c r="AJ159" t="inlineStr">
        <is>
          <t>Location mismatch: Job is in Ahmedabad, candidate prefers Bengaluru.</t>
        </is>
      </c>
      <c r="AK159" t="inlineStr">
        <is>
          <t>Company description mentions 'hands-on training live project exposure' which may indicate a paid training program rather than a standard paid internship.</t>
        </is>
      </c>
      <c r="AL159" t="inlineStr">
        <is>
          <t>MERN stack architecture; RESTful API development; Database management with MongoDB</t>
        </is>
      </c>
    </row>
    <row r="160">
      <c r="A160" t="inlineStr">
        <is>
          <t>LOGICAL-SOFT-261002-159</t>
        </is>
      </c>
      <c r="B160" t="inlineStr">
        <is>
          <t>LOGICAL Soft Tech</t>
        </is>
      </c>
      <c r="C160" t="inlineStr">
        <is>
          <t>web development Interns</t>
        </is>
      </c>
      <c r="D160" t="inlineStr">
        <is>
          <t>https://www.adzuna.in/details/5032506958?utm_medium=api&amp;utm_source=5ccdc27f</t>
        </is>
      </c>
      <c r="E160" t="inlineStr">
        <is>
          <t>AI Analyzer</t>
        </is>
      </c>
      <c r="F160" t="inlineStr">
        <is>
          <t>Indore, Madhya Pradesh</t>
        </is>
      </c>
      <c r="G160" t="inlineStr">
        <is>
          <t>Work from office</t>
        </is>
      </c>
      <c r="H160" t="inlineStr">
        <is>
          <t>Not specified</t>
        </is>
      </c>
      <c r="I160" t="inlineStr">
        <is>
          <t>UNKNOWN</t>
        </is>
      </c>
      <c r="J160" t="inlineStr">
        <is>
          <t>UNKNOWN</t>
        </is>
      </c>
      <c r="K160" t="inlineStr">
        <is>
          <t>MERN Stack; React.js; Node.js; HTML; CSS; JavaScript</t>
        </is>
      </c>
      <c r="M160" t="inlineStr">
        <is>
          <t>We are looking for Complete Freshers on Web MERN Stack Internship candidates who want to make career in IT company Software fields and want to learn Live Project working and want to become Software professionals. Location : Indore, M.P( Work from office only) Roles and Responsibilities :- 1) He or She will be working on both frontend design and backend Development on MERN Stack React js and Node js. 2) He or she will be doing custom design and development of frontend by using Html, CSS, JavaScr…</t>
        </is>
      </c>
      <c r="N160" t="n">
        <v>63</v>
      </c>
      <c r="O160" t="n">
        <v>95</v>
      </c>
      <c r="P160" t="n">
        <v>90</v>
      </c>
      <c r="Q160" t="n">
        <v>90</v>
      </c>
      <c r="R160" t="n">
        <v>0</v>
      </c>
      <c r="S160" t="n">
        <v>0</v>
      </c>
      <c r="T160" t="n">
        <v>30</v>
      </c>
      <c r="U160" t="inlineStr">
        <is>
          <t>SKIP</t>
        </is>
      </c>
      <c r="V160" t="inlineStr">
        <is>
          <t>SKIP</t>
        </is>
      </c>
      <c r="X160" t="inlineStr">
        <is>
          <t>Amaanuddin_Ahmed_Resume_FullStack.pdf</t>
        </is>
      </c>
      <c r="Y160" t="inlineStr">
        <is>
          <t>2026-10-02</t>
        </is>
      </c>
      <c r="Z160" t="inlineStr">
        <is>
          <t>Strong technical fit with the MERN stack requirements.</t>
        </is>
      </c>
      <c r="AA160" t="inlineStr">
        <is>
          <t>FAIL</t>
        </is>
      </c>
      <c r="AB160" t="inlineStr">
        <is>
          <t>Job requires work from office in Indore, Madhya Pradesh, but candidate's preferred location is Bengaluru, India.; Stipend is undisclosed and below target expectations.</t>
        </is>
      </c>
      <c r="AC160" t="inlineStr">
        <is>
          <t>UNKNOWN</t>
        </is>
      </c>
      <c r="AD160" t="inlineStr">
        <is>
          <t>Availability not explicitly specified in the job description.</t>
        </is>
      </c>
      <c r="AE160" t="inlineStr">
        <is>
          <t>UNKNOWN</t>
        </is>
      </c>
      <c r="AF160" t="n">
        <v>0</v>
      </c>
      <c r="AG160" t="inlineStr">
        <is>
          <t>No</t>
        </is>
      </c>
      <c r="AH160" t="inlineStr">
        <is>
          <t>UNKNOWN</t>
        </is>
      </c>
      <c r="AI160" t="inlineStr">
        <is>
          <t>No mention of PPO or conversion in the job description.</t>
        </is>
      </c>
      <c r="AJ160" t="inlineStr">
        <is>
          <t>Location mismatch: Job is strictly Work from Office in Indore, Madhya Pradesh, whereas candidate prefers Bengaluru.</t>
        </is>
      </c>
      <c r="AK160" t="inlineStr">
        <is>
          <t>Undisclosed stipend; Targeted towards 'Complete Freshers' which may indicate low quality or training-fee models</t>
        </is>
      </c>
      <c r="AL160" t="inlineStr">
        <is>
          <t>MERN Stack architecture; React state management; Node.js and Express REST APIs; HTML, CSS, and custom UI design</t>
        </is>
      </c>
    </row>
    <row r="161">
      <c r="A161" t="inlineStr">
        <is>
          <t>TACHE-TECHNO-261002-160</t>
        </is>
      </c>
      <c r="B161" t="inlineStr">
        <is>
          <t>Tache Technologies Pvt Ltd</t>
        </is>
      </c>
      <c r="C161" t="inlineStr">
        <is>
          <t>Java Developer: Intern</t>
        </is>
      </c>
      <c r="D161" t="inlineStr">
        <is>
          <t>https://www.adzuna.in/details/1171506730?utm_medium=api&amp;utm_source=5ccdc27f</t>
        </is>
      </c>
      <c r="E161" t="inlineStr">
        <is>
          <t>AI Analyzer</t>
        </is>
      </c>
      <c r="F161" t="inlineStr">
        <is>
          <t>Delhi, India</t>
        </is>
      </c>
      <c r="G161" t="inlineStr">
        <is>
          <t>Unknown</t>
        </is>
      </c>
      <c r="I161" t="inlineStr">
        <is>
          <t>Unknown</t>
        </is>
      </c>
      <c r="J161" t="inlineStr">
        <is>
          <t>UNKNOWN</t>
        </is>
      </c>
      <c r="K161" t="inlineStr">
        <is>
          <t>Java</t>
        </is>
      </c>
      <c r="M161" t="inlineStr">
        <is>
          <t>About Tache Technologies Private Limited (http://www.tache.in): Tache Technologies Private Limited was founded by renowned market research professionals in India. It is an independent market research agency offering high-quality marketing research, analysis, and consulting services across India. Tache works exclusively with companies looking for a personal guide through the varied cultures in India and the Asia Pacific, by helping them to connect with the local populace and delivering a unique …</t>
        </is>
      </c>
      <c r="N161" t="n">
        <v>38</v>
      </c>
      <c r="O161" t="n">
        <v>40</v>
      </c>
      <c r="P161" t="n">
        <v>40</v>
      </c>
      <c r="Q161" t="n">
        <v>40</v>
      </c>
      <c r="R161" t="n">
        <v>50</v>
      </c>
      <c r="S161" t="n">
        <v>0</v>
      </c>
      <c r="T161" t="n">
        <v>40</v>
      </c>
      <c r="U161" t="inlineStr">
        <is>
          <t>SKIP</t>
        </is>
      </c>
      <c r="V161" t="inlineStr">
        <is>
          <t>SKIP</t>
        </is>
      </c>
      <c r="W161" t="inlineStr">
        <is>
          <t>Java (Working knowledge only, not demonstrated in real projects)</t>
        </is>
      </c>
      <c r="X161" t="inlineStr">
        <is>
          <t>Default Resume</t>
        </is>
      </c>
      <c r="Y161" t="inlineStr">
        <is>
          <t>2026-10-02</t>
        </is>
      </c>
      <c r="AA161" t="inlineStr">
        <is>
          <t>eligible</t>
        </is>
      </c>
      <c r="AB161" t="inlineStr">
        <is>
          <t>Candidate is seeking internship opportunities.</t>
        </is>
      </c>
      <c r="AC161" t="inlineStr">
        <is>
          <t>available</t>
        </is>
      </c>
      <c r="AD161" t="inlineStr">
        <is>
          <t>Candidate is available for internships as part of MCA program.</t>
        </is>
      </c>
      <c r="AE161" t="inlineStr">
        <is>
          <t>UNKNOWN</t>
        </is>
      </c>
      <c r="AF161" t="n">
        <v>0</v>
      </c>
      <c r="AG161" t="inlineStr">
        <is>
          <t>No</t>
        </is>
      </c>
      <c r="AH161" t="inlineStr">
        <is>
          <t>UNKNOWN</t>
        </is>
      </c>
      <c r="AI161" t="inlineStr">
        <is>
          <t>No mention of PPO or conversion in the short job description snippet.</t>
        </is>
      </c>
      <c r="AJ161" t="inlineStr">
        <is>
          <t>Location mismatch (Job is in Delhi, India, candidate prefers Bengaluru); Role mismatch (Primary target roles are Software/Backend/Full Stack/MERN, not Java-focused enterprise backend); Java experience gap (Candidate has DSA with Java certification, but no production Java work experience)</t>
        </is>
      </c>
      <c r="AK161" t="inlineStr">
        <is>
          <t>Location is Delhi, India while candidate prefers Bengaluru; Job requires Java development, but candidate's production experience is in Angular, Node.js, Express, MySQL, C#, and MS SQL Server</t>
        </is>
      </c>
      <c r="AL161" t="inlineStr">
        <is>
          <t>Java OOP concepts and core libraries; Enterprise Java development experience</t>
        </is>
      </c>
    </row>
    <row r="162">
      <c r="A162" t="inlineStr">
        <is>
          <t>TECHVOLT-SOF-261002-161</t>
        </is>
      </c>
      <c r="B162" t="inlineStr">
        <is>
          <t>Techvolt Software Private Limited</t>
        </is>
      </c>
      <c r="C162" t="inlineStr">
        <is>
          <t>Java Developer</t>
        </is>
      </c>
      <c r="D162" t="inlineStr">
        <is>
          <t>https://www.adzuna.in/details/4686703728?utm_medium=api&amp;utm_source=5ccdc27f</t>
        </is>
      </c>
      <c r="E162" t="inlineStr">
        <is>
          <t>AI Analyzer</t>
        </is>
      </c>
      <c r="F162" t="inlineStr">
        <is>
          <t>Coimbatore, Tamil Nadu</t>
        </is>
      </c>
      <c r="G162" t="inlineStr">
        <is>
          <t>On-site</t>
        </is>
      </c>
      <c r="H162" t="inlineStr">
        <is>
          <t>Not specified</t>
        </is>
      </c>
      <c r="I162" t="inlineStr">
        <is>
          <t>Not specified</t>
        </is>
      </c>
      <c r="J162" t="inlineStr">
        <is>
          <t>UNKNOWN</t>
        </is>
      </c>
      <c r="K162" t="inlineStr">
        <is>
          <t>Java</t>
        </is>
      </c>
      <c r="M162" t="inlineStr">
        <is>
          <t>Java Developer||Coimbatore||Techvolt SoftwareDear Candidates, Greetings from Techvolt Software Private Limited.Techvolt Software,a Software Development company located in Saibaba Colony, Coimbatore.Techvolt Software involves in various business entity like Software Development, Web Development, Android Applications, Embedded Systems, IoT, Digital Marketing Services in Coimbatore.Job Profile:Techvolt software recruiting Java Developer for our branch located at COIMBATORE.Qualification:B.TECH, B.…</t>
        </is>
      </c>
      <c r="N162" t="n">
        <v>22</v>
      </c>
      <c r="O162" t="n">
        <v>30</v>
      </c>
      <c r="P162" t="n">
        <v>20</v>
      </c>
      <c r="Q162" t="n">
        <v>40</v>
      </c>
      <c r="R162" t="n">
        <v>0</v>
      </c>
      <c r="S162" t="n">
        <v>0</v>
      </c>
      <c r="T162" t="n">
        <v>30</v>
      </c>
      <c r="U162" t="inlineStr">
        <is>
          <t>SKIP</t>
        </is>
      </c>
      <c r="V162" t="inlineStr">
        <is>
          <t>SKIP</t>
        </is>
      </c>
      <c r="W162" t="inlineStr">
        <is>
          <t>Java production development experience</t>
        </is>
      </c>
      <c r="X162" t="inlineStr">
        <is>
          <t>Amaanuddin_Ahmed_Resume_General.pdf</t>
        </is>
      </c>
      <c r="Y162" t="inlineStr">
        <is>
          <t>2026-10-02</t>
        </is>
      </c>
      <c r="AA162" t="inlineStr">
        <is>
          <t>NOT_ELIGIBLE</t>
        </is>
      </c>
      <c r="AB162" t="inlineStr">
        <is>
          <t>Location mismatch: Job is in Coimbatore, Tamil Nadu while candidate prefers Bengaluru, India.; Primary technology mismatch: Role requires Java development, whereas candidate's core demonstrated stack is MERN/Angular/Node/C#, and Java is only a working knowledge/certification skill without project demonstration.</t>
        </is>
      </c>
      <c r="AC162" t="inlineStr">
        <is>
          <t>UNKNOWN</t>
        </is>
      </c>
      <c r="AD162" t="inlineStr">
        <is>
          <t>Candidate availability details are not specified.</t>
        </is>
      </c>
      <c r="AE162" t="inlineStr">
        <is>
          <t>UNKNOWN</t>
        </is>
      </c>
      <c r="AF162" t="n">
        <v>0</v>
      </c>
      <c r="AG162" t="inlineStr">
        <is>
          <t>No</t>
        </is>
      </c>
      <c r="AH162" t="inlineStr">
        <is>
          <t>UNKNOWN</t>
        </is>
      </c>
      <c r="AI162" t="inlineStr">
        <is>
          <t>No mention of PPO or conversion in the job description.</t>
        </is>
      </c>
      <c r="AJ162" t="inlineStr">
        <is>
          <t>Location mismatch (Coimbatore vs. Bengaluru preference); Core technology mismatch (Java developer role vs. JavaScript/Angular/Node/C# profile)</t>
        </is>
      </c>
      <c r="AK162" t="inlineStr">
        <is>
          <t>Unspecified stipend; Incomplete job description text</t>
        </is>
      </c>
      <c r="AL162" t="inlineStr">
        <is>
          <t>Java fundamentals; Object-Oriented Programming principles; Database connectivity in Java</t>
        </is>
      </c>
    </row>
    <row r="163">
      <c r="A163" t="inlineStr">
        <is>
          <t>MAXGEN-TECHN-261002-162</t>
        </is>
      </c>
      <c r="B163" t="inlineStr">
        <is>
          <t>MAXGEN TECHNOLOGIES PRIVATE LIMITED</t>
        </is>
      </c>
      <c r="C163" t="inlineStr">
        <is>
          <t>Java Developer Intern</t>
        </is>
      </c>
      <c r="D163" t="inlineStr">
        <is>
          <t>https://www.adzuna.in/details/5842547719?utm_medium=api&amp;utm_source=5ccdc27f</t>
        </is>
      </c>
      <c r="E163" t="inlineStr">
        <is>
          <t>AI Analyzer</t>
        </is>
      </c>
      <c r="F163" t="inlineStr">
        <is>
          <t>Pune, India</t>
        </is>
      </c>
      <c r="G163" t="inlineStr">
        <is>
          <t>On-site</t>
        </is>
      </c>
      <c r="H163" t="inlineStr">
        <is>
          <t>Not specified</t>
        </is>
      </c>
      <c r="I163" t="inlineStr">
        <is>
          <t>Not specified</t>
        </is>
      </c>
      <c r="J163" t="inlineStr">
        <is>
          <t>NOT_MENTIONED</t>
        </is>
      </c>
      <c r="K163" t="inlineStr">
        <is>
          <t>Java; Advanced Java; Hibernate</t>
        </is>
      </c>
      <c r="M163" t="inlineStr">
        <is>
          <t>Maxgen technologies is an it company based in Pune We are offering injava internshipwith advance java and hibernate program to fresher candidates in Maharashtra Benefit to Choosing us Advance skill program inspiring work culture live project during internship advance practical skills flexible working us contact us hidden mobile visit us www maxgentechnologies com Address 601 Konark Icon Magarpatta Pune</t>
        </is>
      </c>
      <c r="N163" t="n">
        <v>34</v>
      </c>
      <c r="O163" t="n">
        <v>40</v>
      </c>
      <c r="P163" t="n">
        <v>40</v>
      </c>
      <c r="Q163" t="n">
        <v>50</v>
      </c>
      <c r="R163" t="n">
        <v>0</v>
      </c>
      <c r="S163" t="n">
        <v>30</v>
      </c>
      <c r="T163" t="n">
        <v>30</v>
      </c>
      <c r="U163" t="inlineStr">
        <is>
          <t>SKIP</t>
        </is>
      </c>
      <c r="V163" t="inlineStr">
        <is>
          <t>SKIP</t>
        </is>
      </c>
      <c r="W163" t="inlineStr">
        <is>
          <t>Advanced Java; Hibernate</t>
        </is>
      </c>
      <c r="X163" t="inlineStr">
        <is>
          <t>Amaanuddin_Ahmed_Resume.pdf</t>
        </is>
      </c>
      <c r="Y163" t="inlineStr">
        <is>
          <t>2026-10-02</t>
        </is>
      </c>
      <c r="Z163" t="inlineStr">
        <is>
          <t>Provides hands-on experience with live projects for freshers</t>
        </is>
      </c>
      <c r="AA163" t="inlineStr">
        <is>
          <t>ELIGIBLE</t>
        </is>
      </c>
      <c r="AB163" t="inlineStr">
        <is>
          <t>Candidate is a fresher/MCA student matching internship criteria; No strict degree or graduation-year blockers violated</t>
        </is>
      </c>
      <c r="AC163" t="inlineStr">
        <is>
          <t>UNKNOWN</t>
        </is>
      </c>
      <c r="AD163" t="inlineStr">
        <is>
          <t>Availability not explicitly stated in the profile for this specific date range</t>
        </is>
      </c>
      <c r="AE163" t="inlineStr">
        <is>
          <t>UNKNOWN</t>
        </is>
      </c>
      <c r="AF163" t="n">
        <v>0</v>
      </c>
      <c r="AG163" t="inlineStr">
        <is>
          <t>No</t>
        </is>
      </c>
      <c r="AH163" t="inlineStr">
        <is>
          <t>NOT_MENTIONED</t>
        </is>
      </c>
      <c r="AI163" t="inlineStr">
        <is>
          <t>No explicit mention of PPO or job conversion in the job description</t>
        </is>
      </c>
      <c r="AK163" t="inlineStr">
        <is>
          <t>Location is Pune, India while candidate prefers Bengaluru; Unpaid or unknown stipend; Requires Java and Hibernate which are working knowledge only, not demonstrated in major work experience</t>
        </is>
      </c>
      <c r="AL163" t="inlineStr">
        <is>
          <t>Core Java fundamentals; Advanced Java concepts (Servlets, JSP); Hibernate ORM mapping and database connectivity</t>
        </is>
      </c>
    </row>
    <row r="164">
      <c r="A164" t="inlineStr">
        <is>
          <t>CIRQLLABS-261002-163</t>
        </is>
      </c>
      <c r="B164" t="inlineStr">
        <is>
          <t>Cirqllabs</t>
        </is>
      </c>
      <c r="C164" t="inlineStr">
        <is>
          <t>Python Developer Intern</t>
        </is>
      </c>
      <c r="D164" t="inlineStr">
        <is>
          <t>https://www.adzuna.in/details/5889503177?utm_medium=api&amp;utm_source=5ccdc27f</t>
        </is>
      </c>
      <c r="E164" t="inlineStr">
        <is>
          <t>AI Analyzer</t>
        </is>
      </c>
      <c r="F164" t="inlineStr">
        <is>
          <t>India</t>
        </is>
      </c>
      <c r="G164" t="inlineStr">
        <is>
          <t>unknown</t>
        </is>
      </c>
      <c r="I164" t="inlineStr">
        <is>
          <t>unknown</t>
        </is>
      </c>
      <c r="J164" t="inlineStr">
        <is>
          <t>yes</t>
        </is>
      </c>
      <c r="K164" t="inlineStr">
        <is>
          <t>Python</t>
        </is>
      </c>
      <c r="L164" t="inlineStr">
        <is>
          <t>Data Processing; System Integration; Databases; Data Pipelines</t>
        </is>
      </c>
      <c r="M164" t="inlineStr">
        <is>
          <t>About the Role We're looking for talented Python interns to join our development team. You'll work on real-world applications involving data processing, system integration, and building scalable software solutions. This is an internship with strong potential to convert into a full-time position based on performance and mutual fit. What You'll Work On Building Python applications and APIs Processing and analysing data from various sources Working with databases and data pipelines Contributing to…</t>
        </is>
      </c>
      <c r="N164" t="n">
        <v>49</v>
      </c>
      <c r="O164" t="n">
        <v>40</v>
      </c>
      <c r="P164" t="n">
        <v>50</v>
      </c>
      <c r="Q164" t="n">
        <v>50</v>
      </c>
      <c r="R164" t="n">
        <v>90</v>
      </c>
      <c r="S164" t="n">
        <v>0</v>
      </c>
      <c r="T164" t="n">
        <v>60</v>
      </c>
      <c r="U164" t="inlineStr">
        <is>
          <t>SKIP</t>
        </is>
      </c>
      <c r="V164" t="inlineStr">
        <is>
          <t>SKIP</t>
        </is>
      </c>
      <c r="W164" t="inlineStr">
        <is>
          <t>Python</t>
        </is>
      </c>
      <c r="X164" t="inlineStr">
        <is>
          <t>Amaanuddin_Ahmed_Resume.pdf</t>
        </is>
      </c>
      <c r="Y164" t="inlineStr">
        <is>
          <t>2026-10-02</t>
        </is>
      </c>
      <c r="Z164" t="inlineStr">
        <is>
          <t>Explicit PPO conversion opportunity mentioned; Good opportunity to break into Python development</t>
        </is>
      </c>
      <c r="AA164" t="inlineStr">
        <is>
          <t>eligible</t>
        </is>
      </c>
      <c r="AC164" t="inlineStr">
        <is>
          <t>unknown</t>
        </is>
      </c>
      <c r="AD164" t="inlineStr">
        <is>
          <t>Not specified in the job description</t>
        </is>
      </c>
      <c r="AE164" t="inlineStr">
        <is>
          <t>UNKNOWN</t>
        </is>
      </c>
      <c r="AF164" t="n">
        <v>0</v>
      </c>
      <c r="AG164" t="inlineStr">
        <is>
          <t>No</t>
        </is>
      </c>
      <c r="AH164" t="inlineStr">
        <is>
          <t>yes</t>
        </is>
      </c>
      <c r="AI164" t="inlineStr">
        <is>
          <t>This is an internship with strong potential to convert into a full-time position based on performance and mutual fit.</t>
        </is>
      </c>
      <c r="AK164" t="inlineStr">
        <is>
          <t>Stipend details not disclosed; Location is generic 'India' without work mode confirmation</t>
        </is>
      </c>
      <c r="AL164" t="inlineStr">
        <is>
          <t>Python fundamentals and scripting; Data processing and API building in Python; Database management and data pipelines</t>
        </is>
      </c>
    </row>
    <row r="165">
      <c r="A165" t="inlineStr">
        <is>
          <t>7S-IQ-PRIVAT-261002-164</t>
        </is>
      </c>
      <c r="B165" t="inlineStr">
        <is>
          <t>7S IQ Private limited</t>
        </is>
      </c>
      <c r="C165" t="inlineStr">
        <is>
          <t>Python developer Internship</t>
        </is>
      </c>
      <c r="D165" t="inlineStr">
        <is>
          <t>https://www.adzuna.in/details/5574696213?utm_medium=api&amp;utm_source=5ccdc27f</t>
        </is>
      </c>
      <c r="E165" t="inlineStr">
        <is>
          <t>AI Analyzer</t>
        </is>
      </c>
      <c r="F165" t="inlineStr">
        <is>
          <t>Chennai, Tamil Nadu</t>
        </is>
      </c>
      <c r="G165" t="inlineStr">
        <is>
          <t>Work From Home</t>
        </is>
      </c>
      <c r="H165" t="inlineStr">
        <is>
          <t>Not specified</t>
        </is>
      </c>
      <c r="I165" t="inlineStr">
        <is>
          <t>UNKNOWN</t>
        </is>
      </c>
      <c r="J165" t="inlineStr">
        <is>
          <t>NOT_MENTIONED</t>
        </is>
      </c>
      <c r="K165" t="inlineStr">
        <is>
          <t>Python; Python frameworks; Backend systems; Automation solutions</t>
        </is>
      </c>
      <c r="M165" t="inlineStr">
        <is>
          <t>Python Developer – Job Description Company: 7S IQ Pvt Ltd Location: Chennai / Work From Home Job Type: Internship About the Role We are looking for a talented and detail-oriented Python Developer to join our development team. The ideal candidate should have strong problem-solving skills, experience with Python frameworks, and the ability to build efficient backend systems and automation solutions. Key Responsibilities Develop, test, and maintain Python-based applications and scripts Work with f…</t>
        </is>
      </c>
      <c r="N165" t="n">
        <v>32</v>
      </c>
      <c r="O165" t="n">
        <v>40</v>
      </c>
      <c r="P165" t="n">
        <v>40</v>
      </c>
      <c r="Q165" t="n">
        <v>50</v>
      </c>
      <c r="R165" t="n">
        <v>0</v>
      </c>
      <c r="S165" t="n">
        <v>0</v>
      </c>
      <c r="T165" t="n">
        <v>40</v>
      </c>
      <c r="U165" t="inlineStr">
        <is>
          <t>SKIP</t>
        </is>
      </c>
      <c r="V165" t="inlineStr">
        <is>
          <t>SKIP</t>
        </is>
      </c>
      <c r="W165" t="inlineStr">
        <is>
          <t>Python frameworks</t>
        </is>
      </c>
      <c r="X165" t="inlineStr">
        <is>
          <t>Amaanuddin_Ahmed_Resume.pdf</t>
        </is>
      </c>
      <c r="Y165" t="inlineStr">
        <is>
          <t>2026-10-02</t>
        </is>
      </c>
      <c r="Z165" t="inlineStr">
        <is>
          <t>Provides an internship opportunity in Python development.</t>
        </is>
      </c>
      <c r="AA165" t="inlineStr">
        <is>
          <t>ELIGIBLE</t>
        </is>
      </c>
      <c r="AB165" t="inlineStr">
        <is>
          <t>The candidate fits the internship criteria and Python is listed as a working knowledge skill on the resume.</t>
        </is>
      </c>
      <c r="AC165" t="inlineStr">
        <is>
          <t>UNKNOWN</t>
        </is>
      </c>
      <c r="AD165" t="inlineStr">
        <is>
          <t>Availability start date is not specified in the career brain.</t>
        </is>
      </c>
      <c r="AE165" t="inlineStr">
        <is>
          <t>UNKNOWN</t>
        </is>
      </c>
      <c r="AF165" t="n">
        <v>0</v>
      </c>
      <c r="AG165" t="inlineStr">
        <is>
          <t>No</t>
        </is>
      </c>
      <c r="AH165" t="inlineStr">
        <is>
          <t>NOT_MENTIONED</t>
        </is>
      </c>
      <c r="AI165" t="inlineStr">
        <is>
          <t>No mention of PPO or conversion in the job description.</t>
        </is>
      </c>
      <c r="AK165" t="inlineStr">
        <is>
          <t>Stipend is completely undisclosed; Location is Chennai or WFH, but Python is only a working knowledge skill for the candidate rather than demonstrated</t>
        </is>
      </c>
      <c r="AL165" t="inlineStr">
        <is>
          <t>Python basics and data structures; Python web frameworks (Django or Flask); Backend systems design and REST APIs; Automation scripting in Python</t>
        </is>
      </c>
    </row>
    <row r="166">
      <c r="A166" t="inlineStr">
        <is>
          <t>PRAXINFO-261002-165</t>
        </is>
      </c>
      <c r="B166" t="inlineStr">
        <is>
          <t>PRAXINFO</t>
        </is>
      </c>
      <c r="C166" t="inlineStr">
        <is>
          <t>Python Developer Intern</t>
        </is>
      </c>
      <c r="D166" t="inlineStr">
        <is>
          <t>https://www.adzuna.in/details/1455831792?utm_medium=api&amp;utm_source=5ccdc27f</t>
        </is>
      </c>
      <c r="E166" t="inlineStr">
        <is>
          <t>AI Analyzer</t>
        </is>
      </c>
      <c r="F166" t="inlineStr">
        <is>
          <t>Ahmedabad, Gujarat</t>
        </is>
      </c>
      <c r="G166" t="inlineStr">
        <is>
          <t>Unknown</t>
        </is>
      </c>
      <c r="I166" t="inlineStr">
        <is>
          <t>Unknown</t>
        </is>
      </c>
      <c r="J166" t="inlineStr">
        <is>
          <t>UNKNOWN</t>
        </is>
      </c>
      <c r="K166" t="inlineStr">
        <is>
          <t>Python; SQL; HTML; Linux; AJAX; Javascript; Django</t>
        </is>
      </c>
      <c r="M166" t="inlineStr">
        <is>
          <t>Should have knowledge of:: Python SQL HTML Linux AJAX/ JSSkills Excellent Communication Skills Have to be a quick learner Complete project on time Skills:- Python, Django and Javascript</t>
        </is>
      </c>
      <c r="N166" t="n">
        <v>48</v>
      </c>
      <c r="O166" t="n">
        <v>50</v>
      </c>
      <c r="P166" t="n">
        <v>60</v>
      </c>
      <c r="Q166" t="n">
        <v>50</v>
      </c>
      <c r="R166" t="n">
        <v>40</v>
      </c>
      <c r="S166" t="n">
        <v>30</v>
      </c>
      <c r="T166" t="n">
        <v>40</v>
      </c>
      <c r="U166" t="inlineStr">
        <is>
          <t>SKIP</t>
        </is>
      </c>
      <c r="V166" t="inlineStr">
        <is>
          <t>SKIP</t>
        </is>
      </c>
      <c r="W166" t="inlineStr">
        <is>
          <t>Linux; AJAX; Django</t>
        </is>
      </c>
      <c r="X166" t="inlineStr">
        <is>
          <t>Default Resume</t>
        </is>
      </c>
      <c r="Y166" t="inlineStr">
        <is>
          <t>2026-10-02</t>
        </is>
      </c>
      <c r="AA166" t="inlineStr">
        <is>
          <t>ELIGIBLE</t>
        </is>
      </c>
      <c r="AB166" t="inlineStr">
        <is>
          <t>No strict degree or experience blockers mentioned in the job description.</t>
        </is>
      </c>
      <c r="AC166" t="inlineStr">
        <is>
          <t>UNKNOWN</t>
        </is>
      </c>
      <c r="AD166" t="inlineStr">
        <is>
          <t>Availability not specified in the candidate profile.</t>
        </is>
      </c>
      <c r="AE166" t="inlineStr">
        <is>
          <t>UNKNOWN</t>
        </is>
      </c>
      <c r="AF166" t="n">
        <v>0</v>
      </c>
      <c r="AG166" t="inlineStr">
        <is>
          <t>No</t>
        </is>
      </c>
      <c r="AH166" t="inlineStr">
        <is>
          <t>UNKNOWN</t>
        </is>
      </c>
      <c r="AI166" t="inlineStr">
        <is>
          <t>No mention of PPO or conversion in the job description.</t>
        </is>
      </c>
      <c r="AK166" t="inlineStr">
        <is>
          <t>Location is Ahmedabad, Gujarat, which does not match the candidate's preferred location of Bengaluru or remote.; Stipend is completely undisclosed.; Role is Python Developer Intern, whereas candidate's primary target is Full Stack / Backend / Software Engineer using MERN/Angular stack.</t>
        </is>
      </c>
      <c r="AL166" t="inlineStr">
        <is>
          <t>Python fundamentals and Django framework experience; SQL and database management; Linux commands and environment setup</t>
        </is>
      </c>
    </row>
    <row r="167">
      <c r="A167" t="inlineStr">
        <is>
          <t>VENTURA-SECU-261002-166</t>
        </is>
      </c>
      <c r="B167" t="inlineStr">
        <is>
          <t>ventura securities ltd</t>
        </is>
      </c>
      <c r="C167" t="inlineStr">
        <is>
          <t>Python Developer Intern</t>
        </is>
      </c>
      <c r="D167" t="inlineStr">
        <is>
          <t>https://www.adzuna.in/details/4176492504?utm_medium=api&amp;utm_source=5ccdc27f</t>
        </is>
      </c>
      <c r="E167" t="inlineStr">
        <is>
          <t>AI Analyzer</t>
        </is>
      </c>
      <c r="F167" t="inlineStr">
        <is>
          <t>India</t>
        </is>
      </c>
      <c r="G167" t="inlineStr">
        <is>
          <t>remote</t>
        </is>
      </c>
      <c r="I167" t="inlineStr">
        <is>
          <t>UNKNOWN</t>
        </is>
      </c>
      <c r="J167" t="inlineStr">
        <is>
          <t>UNKNOWN</t>
        </is>
      </c>
      <c r="K167" t="inlineStr">
        <is>
          <t>Python; AWS</t>
        </is>
      </c>
      <c r="M167" t="inlineStr">
        <is>
          <t>Ventura Securities is establishing its fintech team - a remote-first, work from anywhere team with highly talented individuals who come from diverse backgrounds and looking to solve real client problems at scale. Ventura has been in the stockbroking business for 20 years and it is a robust and profitable franchise with 1000 employees currently. We are looking for passionate techies with skills primarily around AWS and Python who are aspiring for a fast-track career. Your Key Responsibilities: 1…</t>
        </is>
      </c>
      <c r="N167" t="n">
        <v>45</v>
      </c>
      <c r="O167" t="n">
        <v>40</v>
      </c>
      <c r="P167" t="n">
        <v>50</v>
      </c>
      <c r="Q167" t="n">
        <v>45</v>
      </c>
      <c r="R167" t="n">
        <v>50</v>
      </c>
      <c r="S167" t="n">
        <v>30</v>
      </c>
      <c r="T167" t="n">
        <v>60</v>
      </c>
      <c r="U167" t="inlineStr">
        <is>
          <t>SKIP</t>
        </is>
      </c>
      <c r="V167" t="inlineStr">
        <is>
          <t>SKIP</t>
        </is>
      </c>
      <c r="W167" t="inlineStr">
        <is>
          <t>Python; AWS</t>
        </is>
      </c>
      <c r="X167" t="inlineStr">
        <is>
          <t>Default Resume</t>
        </is>
      </c>
      <c r="Y167" t="inlineStr">
        <is>
          <t>2026-10-02</t>
        </is>
      </c>
      <c r="Z167" t="inlineStr">
        <is>
          <t>Remote-first work environment matches candidate preferences.; Fintech domain aligns with candidate's interest in trading platforms like Zenvest.</t>
        </is>
      </c>
      <c r="AA167" t="inlineStr">
        <is>
          <t>ELIGIBLE</t>
        </is>
      </c>
      <c r="AC167" t="inlineStr">
        <is>
          <t>UNKNOWN</t>
        </is>
      </c>
      <c r="AD167" t="inlineStr">
        <is>
          <t>Availability not specified in the candidate profile.</t>
        </is>
      </c>
      <c r="AE167" t="inlineStr">
        <is>
          <t>UNKNOWN</t>
        </is>
      </c>
      <c r="AF167" t="n">
        <v>0</v>
      </c>
      <c r="AG167" t="inlineStr">
        <is>
          <t>No</t>
        </is>
      </c>
      <c r="AH167" t="inlineStr">
        <is>
          <t>UNKNOWN</t>
        </is>
      </c>
      <c r="AI167" t="inlineStr">
        <is>
          <t>No explicit mention of PPO or conversion in the job description.</t>
        </is>
      </c>
      <c r="AK167" t="inlineStr">
        <is>
          <t>Stipend not disclosed; Requires professional Python expertise while candidate's Python is working knowledge only</t>
        </is>
      </c>
      <c r="AL167" t="inlineStr">
        <is>
          <t>Python core concepts and scripting; AWS cloud services and serverless architecture; Fintech application scaling</t>
        </is>
      </c>
    </row>
    <row r="168">
      <c r="A168" t="inlineStr">
        <is>
          <t>MAXGEN-TECHN-261002-167</t>
        </is>
      </c>
      <c r="B168" t="inlineStr">
        <is>
          <t>MAXGEN TECHNOLOGIES PRIVATE LIMITED</t>
        </is>
      </c>
      <c r="C168" t="inlineStr">
        <is>
          <t>Python Developer Internship</t>
        </is>
      </c>
      <c r="D168" t="inlineStr">
        <is>
          <t>https://www.adzuna.in/details/5863635745?utm_medium=api&amp;utm_source=5ccdc27f</t>
        </is>
      </c>
      <c r="E168" t="inlineStr">
        <is>
          <t>AI Analyzer</t>
        </is>
      </c>
      <c r="F168" t="inlineStr">
        <is>
          <t>Ahmedabad, India</t>
        </is>
      </c>
      <c r="G168" t="inlineStr">
        <is>
          <t>Hybrid / Online or Offline</t>
        </is>
      </c>
      <c r="I168" t="inlineStr">
        <is>
          <t>UNKNOWN</t>
        </is>
      </c>
      <c r="J168" t="inlineStr">
        <is>
          <t>POSSIBLE</t>
        </is>
      </c>
      <c r="K168" t="inlineStr">
        <is>
          <t>Python</t>
        </is>
      </c>
      <c r="L168" t="inlineStr">
        <is>
          <t>Machine Learning</t>
        </is>
      </c>
      <c r="M168" t="inlineStr">
        <is>
          <t>Maxgen Technologies Pvt ltd offering internships in Ahmedabad the interns will get live project pythoninternshipand machine learning program with job placement Why interns seeking us Career oriented Program professional work culture advance technology online or offline options supportive management call us hidden mobile visit us www maxgentechnologies com Address 6th Floor 603 Abhijeet 3 Near Law garden Ahmedabad</t>
        </is>
      </c>
      <c r="N168" t="n">
        <v>25</v>
      </c>
      <c r="O168" t="n">
        <v>20</v>
      </c>
      <c r="P168" t="n">
        <v>20</v>
      </c>
      <c r="Q168" t="n">
        <v>40</v>
      </c>
      <c r="R168" t="n">
        <v>40</v>
      </c>
      <c r="S168" t="n">
        <v>0</v>
      </c>
      <c r="T168" t="n">
        <v>30</v>
      </c>
      <c r="U168" t="inlineStr">
        <is>
          <t>SKIP</t>
        </is>
      </c>
      <c r="V168" t="inlineStr">
        <is>
          <t>SKIP</t>
        </is>
      </c>
      <c r="W168" t="inlineStr">
        <is>
          <t>Python; Machine Learning</t>
        </is>
      </c>
      <c r="X168" t="inlineStr">
        <is>
          <t>Default Resume</t>
        </is>
      </c>
      <c r="Y168" t="inlineStr">
        <is>
          <t>2026-10-02</t>
        </is>
      </c>
      <c r="Z168" t="inlineStr">
        <is>
          <t>Provides learning and project experience in Python and Machine Learning.</t>
        </is>
      </c>
      <c r="AA168" t="inlineStr">
        <is>
          <t>Eligible with constraints</t>
        </is>
      </c>
      <c r="AB168" t="inlineStr">
        <is>
          <t>Location is Ahmedabad, whereas candidate preferred location is Bengaluru.</t>
        </is>
      </c>
      <c r="AC168" t="inlineStr">
        <is>
          <t>UNKNOWN</t>
        </is>
      </c>
      <c r="AD168" t="inlineStr">
        <is>
          <t>Not specified in candidate profile or job description</t>
        </is>
      </c>
      <c r="AE168" t="inlineStr">
        <is>
          <t>UNKNOWN</t>
        </is>
      </c>
      <c r="AF168" t="n">
        <v>0</v>
      </c>
      <c r="AG168" t="inlineStr">
        <is>
          <t>No</t>
        </is>
      </c>
      <c r="AH168" t="inlineStr">
        <is>
          <t>POSSIBLE</t>
        </is>
      </c>
      <c r="AI168" t="inlineStr">
        <is>
          <t>Mention of job placement support.</t>
        </is>
      </c>
      <c r="AJ168" t="inlineStr">
        <is>
          <t>Location mismatch (Ahmedabad vs Bengaluru preference)</t>
        </is>
      </c>
      <c r="AK168" t="inlineStr">
        <is>
          <t>No stipend mentioned; Unclear internship duration</t>
        </is>
      </c>
      <c r="AL168" t="inlineStr">
        <is>
          <t>Python Basics; Machine Learning Fundamentals; Internship Duration and Mode</t>
        </is>
      </c>
    </row>
    <row r="169">
      <c r="A169" t="inlineStr">
        <is>
          <t>PEERXP-261002-168</t>
        </is>
      </c>
      <c r="B169" t="inlineStr">
        <is>
          <t>PeerXP</t>
        </is>
      </c>
      <c r="C169" t="inlineStr">
        <is>
          <t>Python Django Developer Internship</t>
        </is>
      </c>
      <c r="D169" t="inlineStr">
        <is>
          <t>https://www.adzuna.in/details/4795892724?utm_medium=api&amp;utm_source=5ccdc27f</t>
        </is>
      </c>
      <c r="E169" t="inlineStr">
        <is>
          <t>AI Analyzer</t>
        </is>
      </c>
      <c r="F169" t="inlineStr">
        <is>
          <t>Bangalore, Karnataka</t>
        </is>
      </c>
      <c r="G169" t="inlineStr">
        <is>
          <t>Unknown</t>
        </is>
      </c>
      <c r="H169" t="inlineStr">
        <is>
          <t>Not specified</t>
        </is>
      </c>
      <c r="I169" t="inlineStr">
        <is>
          <t>Unknown</t>
        </is>
      </c>
      <c r="J169" t="inlineStr">
        <is>
          <t>UNKNOWN</t>
        </is>
      </c>
      <c r="K169" t="inlineStr">
        <is>
          <t>Python; Django; ReactJS; RESTful APIs; JavaScript; HTML5; CSS3; SQL; NoSQL; Django ORM</t>
        </is>
      </c>
      <c r="M169" t="inlineStr">
        <is>
          <t>Requirements Design and implement a full-stack web application using Python Django framework and ReactJS. 1 years of experience in building and deploying web applications. Experience in designing and using RESTful APIs. Basic knowledge in front-end technologies such as JavaScript, , ReactJS, HTML5, and CSS3. Understanding of fundamental design principles behind a scalable application. Understanding of databases, SQL and non-relational, plus the Django ORM. Strong proficiency in JavaScript, incl…</t>
        </is>
      </c>
      <c r="N169" t="n">
        <v>32</v>
      </c>
      <c r="O169" t="n">
        <v>40</v>
      </c>
      <c r="P169" t="n">
        <v>40</v>
      </c>
      <c r="Q169" t="n">
        <v>50</v>
      </c>
      <c r="R169" t="n">
        <v>0</v>
      </c>
      <c r="S169" t="n">
        <v>0</v>
      </c>
      <c r="T169" t="n">
        <v>50</v>
      </c>
      <c r="U169" t="inlineStr">
        <is>
          <t>SKIP</t>
        </is>
      </c>
      <c r="V169" t="inlineStr">
        <is>
          <t>SKIP</t>
        </is>
      </c>
      <c r="W169" t="inlineStr">
        <is>
          <t>Python; Django; Django ORM</t>
        </is>
      </c>
      <c r="X169" t="inlineStr">
        <is>
          <t>Amaanuddin_Ahmed_Resume.pdf</t>
        </is>
      </c>
      <c r="Y169" t="inlineStr">
        <is>
          <t>2026-10-02</t>
        </is>
      </c>
      <c r="AA169" t="inlineStr">
        <is>
          <t>FAIL</t>
        </is>
      </c>
      <c r="AB169" t="inlineStr">
        <is>
          <t>Requires 1 year of experience in building and deploying web applications, which exceeds candidate's current professional internship duration.; Mandatory Python Django framework expertise is lacking in candidate's demonstrated project and work experience.</t>
        </is>
      </c>
      <c r="AC169" t="inlineStr">
        <is>
          <t>UNKNOWN</t>
        </is>
      </c>
      <c r="AD169" t="inlineStr">
        <is>
          <t>Not enough data provided about specific internship start/end date constraints against the company's timeline.</t>
        </is>
      </c>
      <c r="AE169" t="inlineStr">
        <is>
          <t>UNKNOWN</t>
        </is>
      </c>
      <c r="AF169" t="n">
        <v>0</v>
      </c>
      <c r="AG169" t="inlineStr">
        <is>
          <t>No</t>
        </is>
      </c>
      <c r="AH169" t="inlineStr">
        <is>
          <t>UNKNOWN</t>
        </is>
      </c>
      <c r="AI169" t="inlineStr">
        <is>
          <t>No mention of PPO or conversion opportunities in the job description.</t>
        </is>
      </c>
      <c r="AJ169" t="inlineStr">
        <is>
          <t>1 years of experience in building and deploying web applications; Python Django framework</t>
        </is>
      </c>
      <c r="AK169" t="inlineStr">
        <is>
          <t>Stipend not disclosed; Work mode not specified</t>
        </is>
      </c>
      <c r="AL169" t="inlineStr">
        <is>
          <t>Python and Django architecture; Django ORM vs raw SQL queries; Building scalable full-stack applications with React and Django</t>
        </is>
      </c>
    </row>
    <row r="170">
      <c r="A170" t="inlineStr">
        <is>
          <t>MAXGEN-TECHN-261002-169</t>
        </is>
      </c>
      <c r="B170" t="inlineStr">
        <is>
          <t>MAXGEN TECHNOLOGIES PRIVATE LIMITED</t>
        </is>
      </c>
      <c r="C170" t="inlineStr">
        <is>
          <t>Python Web Development Internship</t>
        </is>
      </c>
      <c r="D170" t="inlineStr">
        <is>
          <t>https://www.adzuna.in/details/5875071090?utm_medium=api&amp;utm_source=5ccdc27f</t>
        </is>
      </c>
      <c r="E170" t="inlineStr">
        <is>
          <t>AI Analyzer</t>
        </is>
      </c>
      <c r="F170" t="inlineStr">
        <is>
          <t>Ahmedabad</t>
        </is>
      </c>
      <c r="G170" t="inlineStr">
        <is>
          <t>Unknown</t>
        </is>
      </c>
      <c r="H170" t="inlineStr">
        <is>
          <t>Not specified</t>
        </is>
      </c>
      <c r="I170" t="inlineStr">
        <is>
          <t>Unknown</t>
        </is>
      </c>
      <c r="J170" t="inlineStr">
        <is>
          <t>MENTIONED</t>
        </is>
      </c>
      <c r="K170" t="inlineStr">
        <is>
          <t>Python; Django</t>
        </is>
      </c>
      <c r="L170" t="inlineStr">
        <is>
          <t>Machine Learning</t>
        </is>
      </c>
      <c r="M170" t="inlineStr">
        <is>
          <t>Maxgen Technologies Pvt ltd offeringinternshipin Ahmedabad Diploma and Engineering freshers will get live projectpythoninternshipwith Django machine learning program Why we first option Flexible working hours College project Program job placement after program live projects during program professional working environment call us at hidden mobile visit us www amxgentechnologies com Address Abhijeet 3 603 Netaji Rd near Pantaloons Mithakhali Ellisbridge Ahmedabad</t>
        </is>
      </c>
      <c r="N170" t="n">
        <v>44</v>
      </c>
      <c r="O170" t="n">
        <v>40</v>
      </c>
      <c r="P170" t="n">
        <v>50</v>
      </c>
      <c r="Q170" t="n">
        <v>50</v>
      </c>
      <c r="R170" t="n">
        <v>60</v>
      </c>
      <c r="S170" t="n">
        <v>20</v>
      </c>
      <c r="T170" t="n">
        <v>40</v>
      </c>
      <c r="U170" t="inlineStr">
        <is>
          <t>SKIP</t>
        </is>
      </c>
      <c r="V170" t="inlineStr">
        <is>
          <t>SKIP</t>
        </is>
      </c>
      <c r="W170" t="inlineStr">
        <is>
          <t>Python; Django</t>
        </is>
      </c>
      <c r="X170" t="inlineStr">
        <is>
          <t>Amaanuddin_Ahmed_Resume.pdf</t>
        </is>
      </c>
      <c r="Y170" t="inlineStr">
        <is>
          <t>2026-10-02</t>
        </is>
      </c>
      <c r="Z170" t="inlineStr">
        <is>
          <t>Offers live projects and potential job placement.</t>
        </is>
      </c>
      <c r="AA170" t="inlineStr">
        <is>
          <t>ELIGIBLE</t>
        </is>
      </c>
      <c r="AB170" t="inlineStr">
        <is>
          <t>Open to Diploma and Engineering freshers.</t>
        </is>
      </c>
      <c r="AC170" t="inlineStr">
        <is>
          <t>UNKNOWN</t>
        </is>
      </c>
      <c r="AD170" t="inlineStr">
        <is>
          <t>Not specified in candidate profile or job description.</t>
        </is>
      </c>
      <c r="AE170" t="inlineStr">
        <is>
          <t>UNKNOWN</t>
        </is>
      </c>
      <c r="AF170" t="n">
        <v>0</v>
      </c>
      <c r="AG170" t="inlineStr">
        <is>
          <t>No</t>
        </is>
      </c>
      <c r="AH170" t="inlineStr">
        <is>
          <t>MENTIONED</t>
        </is>
      </c>
      <c r="AI170" t="inlineStr">
        <is>
          <t>job placement after program</t>
        </is>
      </c>
      <c r="AK170" t="inlineStr">
        <is>
          <t>Location is Ahmedabad, whereas candidate prefers Bengaluru or remote.; Python is only listed on resume as working knowledge, not demonstrated in real projects.</t>
        </is>
      </c>
      <c r="AL170" t="inlineStr">
        <is>
          <t>Python basics and OOP concepts; Django framework architecture; Previous project experience in web development</t>
        </is>
      </c>
    </row>
    <row r="171">
      <c r="A171" t="inlineStr">
        <is>
          <t>ZIPLR-TECHNO-261002-170</t>
        </is>
      </c>
      <c r="B171" t="inlineStr">
        <is>
          <t>Ziplr Technology</t>
        </is>
      </c>
      <c r="C171" t="inlineStr">
        <is>
          <t>Internship - Python Developer</t>
        </is>
      </c>
      <c r="D171" t="inlineStr">
        <is>
          <t>https://www.adzuna.in/details/4801618879?utm_medium=api&amp;utm_source=5ccdc27f</t>
        </is>
      </c>
      <c r="E171" t="inlineStr">
        <is>
          <t>AI Analyzer</t>
        </is>
      </c>
      <c r="F171" t="inlineStr">
        <is>
          <t>Bhubaneswar, India</t>
        </is>
      </c>
      <c r="G171" t="inlineStr">
        <is>
          <t>Unknown</t>
        </is>
      </c>
      <c r="I171" t="inlineStr">
        <is>
          <t>Unknown</t>
        </is>
      </c>
      <c r="J171" t="inlineStr">
        <is>
          <t>NOT_MENTIONED</t>
        </is>
      </c>
      <c r="K171" t="inlineStr">
        <is>
          <t>Python</t>
        </is>
      </c>
      <c r="M171" t="inlineStr">
        <is>
          <t>Internship - Python Developer Ziplr is looking for techies in python to join our development team. Are you the best programmer in your batch or office? Do you lose your sleep till you have solved a technical problem? Can you stay up the whole night just to write a beautiful piece of code which runs flawlessly? Note - If you answered yes to all above asked questions only then, read the below text. Location: Bhubaneswar Brief: As a Python developer in the team, you will build new enterprise appli…</t>
        </is>
      </c>
      <c r="N171" t="n">
        <v>34</v>
      </c>
      <c r="O171" t="n">
        <v>40</v>
      </c>
      <c r="P171" t="n">
        <v>50</v>
      </c>
      <c r="Q171" t="n">
        <v>50</v>
      </c>
      <c r="R171" t="n">
        <v>0</v>
      </c>
      <c r="S171" t="n">
        <v>0</v>
      </c>
      <c r="T171" t="n">
        <v>40</v>
      </c>
      <c r="U171" t="inlineStr">
        <is>
          <t>SKIP</t>
        </is>
      </c>
      <c r="V171" t="inlineStr">
        <is>
          <t>SKIP</t>
        </is>
      </c>
      <c r="W171" t="inlineStr">
        <is>
          <t>Python</t>
        </is>
      </c>
      <c r="X171" t="inlineStr">
        <is>
          <t>Amaanuddin_Ahmed_Resume_Default.pdf</t>
        </is>
      </c>
      <c r="Y171" t="inlineStr">
        <is>
          <t>2026-10-02</t>
        </is>
      </c>
      <c r="AA171" t="inlineStr">
        <is>
          <t>NO</t>
        </is>
      </c>
      <c r="AB171" t="inlineStr">
        <is>
          <t>Location mismatch: Job is in Bhubaneswar, India while preferred location is Bengaluru.; Primary technology stack mismatch: Job requires Python Developer, but candidate's demonstrated core strengths are in MERN and Angular/Node/C#, with Python only as a working knowledge skill.</t>
        </is>
      </c>
      <c r="AC171" t="inlineStr">
        <is>
          <t>UNKNOWN</t>
        </is>
      </c>
      <c r="AD171" t="inlineStr">
        <is>
          <t>Candidate availability details are not provided in the career brain.</t>
        </is>
      </c>
      <c r="AE171" t="inlineStr">
        <is>
          <t>UNKNOWN</t>
        </is>
      </c>
      <c r="AF171" t="n">
        <v>0</v>
      </c>
      <c r="AG171" t="inlineStr">
        <is>
          <t>No</t>
        </is>
      </c>
      <c r="AH171" t="inlineStr">
        <is>
          <t>NOT_MENTIONED</t>
        </is>
      </c>
      <c r="AI171" t="inlineStr">
        <is>
          <t>No mention of PPO or conversion in the job description.</t>
        </is>
      </c>
      <c r="AJ171" t="inlineStr">
        <is>
          <t>Location is Bhubaneswar, India; Mandatory primary technology is Python (candidate's main experience is in JS/TS/Node/Angular/C#)</t>
        </is>
      </c>
      <c r="AK171" t="inlineStr">
        <is>
          <t>Vague and non-standard cultural fit requirements in the JD preamble</t>
        </is>
      </c>
      <c r="AL171" t="inlineStr">
        <is>
          <t>Python core concepts and enterprise application development; Problem-solving and debugging workflows</t>
        </is>
      </c>
    </row>
    <row r="172">
      <c r="A172" t="inlineStr">
        <is>
          <t>BRIDGE-IT-261002-171</t>
        </is>
      </c>
      <c r="B172" t="inlineStr">
        <is>
          <t>Bridge-it</t>
        </is>
      </c>
      <c r="C172" t="inlineStr">
        <is>
          <t>AI Engineer Intern</t>
        </is>
      </c>
      <c r="D172" t="inlineStr">
        <is>
          <t>https://www.adzuna.in/details/5873854630?utm_medium=api&amp;utm_source=5ccdc27f</t>
        </is>
      </c>
      <c r="E172" t="inlineStr">
        <is>
          <t>AI Analyzer</t>
        </is>
      </c>
      <c r="F172" t="inlineStr">
        <is>
          <t>Delhi, India</t>
        </is>
      </c>
      <c r="G172" t="inlineStr">
        <is>
          <t>UNKNOWN</t>
        </is>
      </c>
      <c r="H172" t="inlineStr">
        <is>
          <t>UNKNOWN</t>
        </is>
      </c>
      <c r="I172" t="inlineStr">
        <is>
          <t>UNKNOWN</t>
        </is>
      </c>
      <c r="J172" t="inlineStr">
        <is>
          <t>UNKNOWN</t>
        </is>
      </c>
      <c r="K172" t="inlineStr">
        <is>
          <t>Generative AI; Prompt Engineering; RAG; Python; LangGraph; Knowledge Graphs; REST APIs</t>
        </is>
      </c>
      <c r="M172" t="inlineStr">
        <is>
          <t>AI Engineer Internship at Bridge-it Key Responsibilities: Use Generative AI models for real-world applications. Identify and create datasets to build a domain specific knowledge base Work on Prompt Engineering and create advanced Retrieval-Augmented Generation (RAG) systems. Build and optimize scalable REST APIs using Python. Utilize frameworks like LangGraph for complex AI workflows. Collaborate on implementing knowledge graphs and Agentic frameworks such as LangGraph. Contribute to backend de…</t>
        </is>
      </c>
      <c r="N172" t="n">
        <v>19</v>
      </c>
      <c r="O172" t="n">
        <v>20</v>
      </c>
      <c r="P172" t="n">
        <v>30</v>
      </c>
      <c r="Q172" t="n">
        <v>20</v>
      </c>
      <c r="R172" t="n">
        <v>0</v>
      </c>
      <c r="S172" t="n">
        <v>0</v>
      </c>
      <c r="T172" t="n">
        <v>40</v>
      </c>
      <c r="U172" t="inlineStr">
        <is>
          <t>SKIP</t>
        </is>
      </c>
      <c r="V172" t="inlineStr">
        <is>
          <t>SKIP</t>
        </is>
      </c>
      <c r="W172" t="inlineStr">
        <is>
          <t>Generative AI; Prompt Engineering; RAG; Python; LangGraph; Knowledge Graphs</t>
        </is>
      </c>
      <c r="X172" t="inlineStr">
        <is>
          <t>Amaanuddin_Ahmed_Resume.pdf</t>
        </is>
      </c>
      <c r="Y172" t="inlineStr">
        <is>
          <t>2026-10-02</t>
        </is>
      </c>
      <c r="AA172" t="inlineStr">
        <is>
          <t>INELIGIBLE</t>
        </is>
      </c>
      <c r="AB172" t="inlineStr">
        <is>
          <t>Location mismatch: Job is in Delhi, India, while candidate's preferred location is Bengaluru, India.; Role mismatch: Candidate's target roles are in Software Engineering/Full Stack/Backend, whereas this role is AI Engineering.; Mandatory technology gap: Requires Python, LangGraph, RAG, and knowledge graphs which are outside Amaan's core demonstrated stack.</t>
        </is>
      </c>
      <c r="AC172" t="inlineStr">
        <is>
          <t>UNKNOWN</t>
        </is>
      </c>
      <c r="AD172" t="inlineStr">
        <is>
          <t>Availability not specified in the career brain relative to this specific role timeline.</t>
        </is>
      </c>
      <c r="AE172" t="inlineStr">
        <is>
          <t>UNKNOWN</t>
        </is>
      </c>
      <c r="AF172" t="n">
        <v>0</v>
      </c>
      <c r="AG172" t="inlineStr">
        <is>
          <t>No</t>
        </is>
      </c>
      <c r="AH172" t="inlineStr">
        <is>
          <t>UNKNOWN</t>
        </is>
      </c>
      <c r="AI172" t="inlineStr">
        <is>
          <t>No mention of PPO or conversion in the job description.</t>
        </is>
      </c>
      <c r="AJ172" t="inlineStr">
        <is>
          <t>Location mismatch (Delhi vs Bengaluru); Role mismatch (AI Engineer vs Full Stack/Backend Engineering); Mandatory technology gap (Python, LangGraph, RAG)</t>
        </is>
      </c>
      <c r="AK172" t="inlineStr">
        <is>
          <t>Unspecified stipend; Location outside preferred region</t>
        </is>
      </c>
      <c r="AL172" t="inlineStr">
        <is>
          <t>Python backend development; RAG systems and LangGraph; Knowledge graphs and Generative AI</t>
        </is>
      </c>
    </row>
    <row r="173">
      <c r="A173" t="inlineStr">
        <is>
          <t>STYLUMIA-INT-261002-172</t>
        </is>
      </c>
      <c r="B173" t="inlineStr">
        <is>
          <t>Stylumia Intelligence Technology</t>
        </is>
      </c>
      <c r="C173" t="inlineStr">
        <is>
          <t>Ai Engineering Intern</t>
        </is>
      </c>
      <c r="D173" t="inlineStr">
        <is>
          <t>https://www.adzuna.in/details/5889556368?utm_medium=api&amp;utm_source=5ccdc27f</t>
        </is>
      </c>
      <c r="E173" t="inlineStr">
        <is>
          <t>AI Analyzer</t>
        </is>
      </c>
      <c r="F173" t="inlineStr">
        <is>
          <t>Bangalore, Karnataka</t>
        </is>
      </c>
      <c r="G173" t="inlineStr">
        <is>
          <t>Unknown</t>
        </is>
      </c>
      <c r="H173" t="inlineStr">
        <is>
          <t>Not specified</t>
        </is>
      </c>
      <c r="I173" t="inlineStr">
        <is>
          <t>Unknown</t>
        </is>
      </c>
      <c r="J173" t="inlineStr">
        <is>
          <t>Unknown</t>
        </is>
      </c>
      <c r="K173" t="inlineStr">
        <is>
          <t>Data Science; AI Engineering</t>
        </is>
      </c>
      <c r="M173" t="inlineStr">
        <is>
          <t>Do you see patterns where others see noise? Can you turn messy data into AI that actually moves the needle? Do you get a kick out of shipping — not just analyzing? If yes, we'd love to work with you. At Stylumia, we're looking for high-agency Data Science / AI Engineer interns to help build the intelligence layer behind how global fashion, beauty, and home brands make decisions. What you'll do: ✨ Build and ship AI-powered features that decode trends across fashion, beauty &amp; home Work with lar…</t>
        </is>
      </c>
      <c r="N173" t="n">
        <v>30</v>
      </c>
      <c r="O173" t="n">
        <v>20</v>
      </c>
      <c r="P173" t="n">
        <v>30</v>
      </c>
      <c r="Q173" t="n">
        <v>35</v>
      </c>
      <c r="R173" t="n">
        <v>50</v>
      </c>
      <c r="S173" t="n">
        <v>0</v>
      </c>
      <c r="T173" t="n">
        <v>50</v>
      </c>
      <c r="U173" t="inlineStr">
        <is>
          <t>SKIP</t>
        </is>
      </c>
      <c r="V173" t="inlineStr">
        <is>
          <t>SKIP</t>
        </is>
      </c>
      <c r="W173" t="inlineStr">
        <is>
          <t>Data Science; AI Engineering</t>
        </is>
      </c>
      <c r="X173" t="inlineStr">
        <is>
          <t>Amaanuddin_Ahmed_Resume.pdf</t>
        </is>
      </c>
      <c r="Y173" t="inlineStr">
        <is>
          <t>2026-10-02</t>
        </is>
      </c>
      <c r="Z173" t="inlineStr">
        <is>
          <t>Located in Bengaluru; Internship opportunity in the tech sector</t>
        </is>
      </c>
      <c r="AA173" t="inlineStr">
        <is>
          <t>Eligible</t>
        </is>
      </c>
      <c r="AB173" t="inlineStr">
        <is>
          <t>Location matches Bengaluru preference; Role type matches internship target</t>
        </is>
      </c>
      <c r="AC173" t="inlineStr">
        <is>
          <t>Unknown</t>
        </is>
      </c>
      <c r="AD173" t="inlineStr">
        <is>
          <t>Availability not explicitly stated in profile</t>
        </is>
      </c>
      <c r="AE173" t="inlineStr">
        <is>
          <t>UNKNOWN</t>
        </is>
      </c>
      <c r="AF173" t="n">
        <v>0</v>
      </c>
      <c r="AG173" t="inlineStr">
        <is>
          <t>No</t>
        </is>
      </c>
      <c r="AH173" t="inlineStr">
        <is>
          <t>Unknown</t>
        </is>
      </c>
      <c r="AI173" t="inlineStr">
        <is>
          <t>No mention of PPO or conversion in the job description</t>
        </is>
      </c>
      <c r="AK173" t="inlineStr">
        <is>
          <t>Incomplete job description text; No stipend information provided</t>
        </is>
      </c>
      <c r="AL173" t="inlineStr">
        <is>
          <t>Data science fundamentals; AI engineering and machine learning workflows; Python for data analysis</t>
        </is>
      </c>
    </row>
    <row r="174">
      <c r="A174" t="inlineStr">
        <is>
          <t>SYNORUS-261002-173</t>
        </is>
      </c>
      <c r="B174" t="inlineStr">
        <is>
          <t>Synorus</t>
        </is>
      </c>
      <c r="C174" t="inlineStr">
        <is>
          <t>AI engineer Intern</t>
        </is>
      </c>
      <c r="D174" t="inlineStr">
        <is>
          <t>https://www.adzuna.in/details/5476465881?utm_medium=api&amp;utm_source=5ccdc27f</t>
        </is>
      </c>
      <c r="E174" t="inlineStr">
        <is>
          <t>AI Analyzer</t>
        </is>
      </c>
      <c r="F174" t="inlineStr">
        <is>
          <t>India</t>
        </is>
      </c>
      <c r="G174" t="inlineStr">
        <is>
          <t>UNKNOWN</t>
        </is>
      </c>
      <c r="H174" t="inlineStr">
        <is>
          <t>Not specified</t>
        </is>
      </c>
      <c r="I174" t="inlineStr">
        <is>
          <t>UNKNOWN</t>
        </is>
      </c>
      <c r="J174" t="inlineStr">
        <is>
          <t>NOT_MENTIONED</t>
        </is>
      </c>
      <c r="K174" t="inlineStr">
        <is>
          <t>AI; LLM Engineering; RAG pipelines; Legaltech</t>
        </is>
      </c>
      <c r="L174" t="inlineStr">
        <is>
          <t>Domain-tuned LLMs; Secure reasoning systems</t>
        </is>
      </c>
      <c r="M174" t="inlineStr">
        <is>
          <t>About Synorus Synorus is building a next-generation ecosystem of AI-first products. Our flagship legal-AI platform LexVault is redefining legal research, drafting, knowledge retrieval, and case intelligence using domain-tuned LLMs, private RAG pipelines, and secure reasoning systems. If you are passionate about AI, legaltech, and training high-performance models — this internship will put you on the front line of innovation. Role Overview We are seeking passionate AI/LLM Engineering Interns who…</t>
        </is>
      </c>
      <c r="N174" t="n">
        <v>21</v>
      </c>
      <c r="O174" t="n">
        <v>20</v>
      </c>
      <c r="P174" t="n">
        <v>20</v>
      </c>
      <c r="Q174" t="n">
        <v>40</v>
      </c>
      <c r="R174" t="n">
        <v>0</v>
      </c>
      <c r="S174" t="n">
        <v>0</v>
      </c>
      <c r="T174" t="n">
        <v>50</v>
      </c>
      <c r="U174" t="inlineStr">
        <is>
          <t>SKIP</t>
        </is>
      </c>
      <c r="V174" t="inlineStr">
        <is>
          <t>SKIP</t>
        </is>
      </c>
      <c r="W174" t="inlineStr">
        <is>
          <t>AI; LLM Engineering; RAG pipelines</t>
        </is>
      </c>
      <c r="X174" t="inlineStr">
        <is>
          <t>Amaanuddin_Ahmed_Resume.pdf</t>
        </is>
      </c>
      <c r="Y174" t="inlineStr">
        <is>
          <t>2026-10-02</t>
        </is>
      </c>
      <c r="Z174" t="inlineStr">
        <is>
          <t>Interest in cutting-edge AI and legaltech products.</t>
        </is>
      </c>
      <c r="AA174" t="inlineStr">
        <is>
          <t>ELIGIBLE</t>
        </is>
      </c>
      <c r="AB174" t="inlineStr">
        <is>
          <t>No explicit degree or hard experience blockers are mentioned in the snippet.</t>
        </is>
      </c>
      <c r="AC174" t="inlineStr">
        <is>
          <t>UNKNOWN</t>
        </is>
      </c>
      <c r="AD174" t="inlineStr">
        <is>
          <t>Not specified in profile.</t>
        </is>
      </c>
      <c r="AE174" t="inlineStr">
        <is>
          <t>UNKNOWN</t>
        </is>
      </c>
      <c r="AF174" t="n">
        <v>0</v>
      </c>
      <c r="AG174" t="inlineStr">
        <is>
          <t>No</t>
        </is>
      </c>
      <c r="AH174" t="inlineStr">
        <is>
          <t>NOT_MENTIONED</t>
        </is>
      </c>
      <c r="AI174" t="inlineStr">
        <is>
          <t>The snippet cuts off and does not mention PPO or conversion.</t>
        </is>
      </c>
      <c r="AK174" t="inlineStr">
        <is>
          <t>Stipend is not disclosed; Job description snippet is incomplete</t>
        </is>
      </c>
      <c r="AL174" t="inlineStr">
        <is>
          <t>LLM fine-tuning; Retrieval-Augmented Generation (RAG); Vector databases and embeddings</t>
        </is>
      </c>
    </row>
    <row r="175">
      <c r="A175" t="inlineStr">
        <is>
          <t>LETSINTERN-261002-174</t>
        </is>
      </c>
      <c r="B175" t="inlineStr">
        <is>
          <t>LetsIntern</t>
        </is>
      </c>
      <c r="C175" t="inlineStr">
        <is>
          <t>AI Engineer (Intern)</t>
        </is>
      </c>
      <c r="D175" t="inlineStr">
        <is>
          <t>https://www.adzuna.in/details/5649491294?utm_medium=api&amp;utm_source=5ccdc27f</t>
        </is>
      </c>
      <c r="E175" t="inlineStr">
        <is>
          <t>AI Analyzer</t>
        </is>
      </c>
      <c r="F175" t="inlineStr">
        <is>
          <t>India</t>
        </is>
      </c>
      <c r="G175" t="inlineStr">
        <is>
          <t>Unknown</t>
        </is>
      </c>
      <c r="I175" t="inlineStr">
        <is>
          <t>Unknown</t>
        </is>
      </c>
      <c r="J175" t="inlineStr">
        <is>
          <t>Not Mentioned</t>
        </is>
      </c>
      <c r="K175" t="inlineStr">
        <is>
          <t>Artificial Intelligence; Machine Learning</t>
        </is>
      </c>
      <c r="M175" t="inlineStr">
        <is>
          <t>About the Job : We are looking for a passionate and driven AI Intern to join our dynamic team. As an intern, you will have the opportunity to work on real-world projects, develop AI models, and collaborate with experienced professionals in the field. This internship is designed to provide hands-on experience in AI and machine learning, offering you the chance to contribute to impactful projects while enhancing your skills. Job Description: We are seeking a talented Artificial Intelligence Speci…</t>
        </is>
      </c>
      <c r="N175" t="n">
        <v>29</v>
      </c>
      <c r="O175" t="n">
        <v>30</v>
      </c>
      <c r="P175" t="n">
        <v>40</v>
      </c>
      <c r="Q175" t="n">
        <v>40</v>
      </c>
      <c r="R175" t="n">
        <v>0</v>
      </c>
      <c r="S175" t="n">
        <v>20</v>
      </c>
      <c r="T175" t="n">
        <v>40</v>
      </c>
      <c r="U175" t="inlineStr">
        <is>
          <t>SKIP</t>
        </is>
      </c>
      <c r="V175" t="inlineStr">
        <is>
          <t>SKIP</t>
        </is>
      </c>
      <c r="W175" t="inlineStr">
        <is>
          <t>Artificial Intelligence; Machine Learning</t>
        </is>
      </c>
      <c r="X175" t="inlineStr">
        <is>
          <t>Amaanuddin_Ahmed_Resume.pdf</t>
        </is>
      </c>
      <c r="Y175" t="inlineStr">
        <is>
          <t>2026-10-02</t>
        </is>
      </c>
      <c r="Z175" t="inlineStr">
        <is>
          <t>Provides hands-on experience in the tech sector.</t>
        </is>
      </c>
      <c r="AA175" t="inlineStr">
        <is>
          <t>eligible</t>
        </is>
      </c>
      <c r="AB175" t="inlineStr">
        <is>
          <t>Open to student interns meeting general profile criteria.</t>
        </is>
      </c>
      <c r="AC175" t="inlineStr">
        <is>
          <t>Unknown</t>
        </is>
      </c>
      <c r="AD175" t="inlineStr">
        <is>
          <t>Not specified in candidate profile or job description.</t>
        </is>
      </c>
      <c r="AE175" t="inlineStr">
        <is>
          <t>UNKNOWN</t>
        </is>
      </c>
      <c r="AF175" t="n">
        <v>0</v>
      </c>
      <c r="AG175" t="inlineStr">
        <is>
          <t>No</t>
        </is>
      </c>
      <c r="AH175" t="inlineStr">
        <is>
          <t>Not Mentioned</t>
        </is>
      </c>
      <c r="AI175" t="inlineStr">
        <is>
          <t>No mention of conversion or PPO in the job description snippet.</t>
        </is>
      </c>
      <c r="AK175" t="inlineStr">
        <is>
          <t>Role focuses heavily on AI/ML engineering, whereas candidate's core expertise is in Full Stack Web Development (MERN, Angular, Node.js).</t>
        </is>
      </c>
      <c r="AL175" t="inlineStr">
        <is>
          <t>AI and Machine Learning fundamentals; Model development and evaluation; Python for data science</t>
        </is>
      </c>
    </row>
    <row r="176">
      <c r="A176" t="inlineStr">
        <is>
          <t>RECRUIT-SQUA-261002-175</t>
        </is>
      </c>
      <c r="B176" t="inlineStr">
        <is>
          <t>Recruit Square</t>
        </is>
      </c>
      <c r="C176" t="inlineStr">
        <is>
          <t>AI Engineer - Intern</t>
        </is>
      </c>
      <c r="D176" t="inlineStr">
        <is>
          <t>https://www.adzuna.in/details/5506162409?utm_medium=api&amp;utm_source=5ccdc27f</t>
        </is>
      </c>
      <c r="E176" t="inlineStr">
        <is>
          <t>AI Analyzer</t>
        </is>
      </c>
      <c r="F176" t="inlineStr">
        <is>
          <t>India</t>
        </is>
      </c>
      <c r="G176" t="inlineStr">
        <is>
          <t>UNKNOWN</t>
        </is>
      </c>
      <c r="H176" t="inlineStr">
        <is>
          <t>Not specified</t>
        </is>
      </c>
      <c r="I176" t="inlineStr">
        <is>
          <t>UNKNOWN</t>
        </is>
      </c>
      <c r="J176" t="inlineStr">
        <is>
          <t>UNKNOWN</t>
        </is>
      </c>
      <c r="K176" t="inlineStr">
        <is>
          <t>Artificial Intelligence (AI); AI Agents; Large Language Models (LLM) tuning</t>
        </is>
      </c>
      <c r="M176" t="inlineStr">
        <is>
          <t>We are looking for AI Interns from IIT and Top Colleges of India who have worked on AI Based projects during their tenure or have any experience in AI. Skills:- Artificial Intelligence (AI), AI Agents and Large Language Models (LLM) tuning</t>
        </is>
      </c>
      <c r="N176" t="n">
        <v>18</v>
      </c>
      <c r="O176" t="n">
        <v>20</v>
      </c>
      <c r="P176" t="n">
        <v>20</v>
      </c>
      <c r="Q176" t="n">
        <v>30</v>
      </c>
      <c r="R176" t="n">
        <v>0</v>
      </c>
      <c r="S176" t="n">
        <v>0</v>
      </c>
      <c r="T176" t="n">
        <v>30</v>
      </c>
      <c r="U176" t="inlineStr">
        <is>
          <t>SKIP</t>
        </is>
      </c>
      <c r="V176" t="inlineStr">
        <is>
          <t>SKIP</t>
        </is>
      </c>
      <c r="W176" t="inlineStr">
        <is>
          <t>Artificial Intelligence (AI); AI Agents; Large Language Models (LLM) tuning</t>
        </is>
      </c>
      <c r="X176" t="inlineStr">
        <is>
          <t>Default Resume</t>
        </is>
      </c>
      <c r="Y176" t="inlineStr">
        <is>
          <t>2026-10-02</t>
        </is>
      </c>
      <c r="AA176" t="inlineStr">
        <is>
          <t>FAIL</t>
        </is>
      </c>
      <c r="AB176" t="inlineStr">
        <is>
          <t>Job explicitly requires candidates from IIT and Top Colleges of India, whereas candidate is from PES University.</t>
        </is>
      </c>
      <c r="AC176" t="inlineStr">
        <is>
          <t>UNKNOWN</t>
        </is>
      </c>
      <c r="AD176" t="inlineStr">
        <is>
          <t>Availability not specified in job description.</t>
        </is>
      </c>
      <c r="AE176" t="inlineStr">
        <is>
          <t>UNKNOWN</t>
        </is>
      </c>
      <c r="AF176" t="n">
        <v>0</v>
      </c>
      <c r="AG176" t="inlineStr">
        <is>
          <t>No</t>
        </is>
      </c>
      <c r="AH176" t="inlineStr">
        <is>
          <t>UNKNOWN</t>
        </is>
      </c>
      <c r="AI176" t="inlineStr">
        <is>
          <t>No mention of PPO or conversion in the job description.</t>
        </is>
      </c>
      <c r="AJ176" t="inlineStr">
        <is>
          <t>College tier requirement: IIT and Top Colleges of India (candidate is from PES University)</t>
        </is>
      </c>
      <c r="AK176" t="inlineStr">
        <is>
          <t>Elitist college tier filter</t>
        </is>
      </c>
      <c r="AL176" t="inlineStr">
        <is>
          <t>AI Agents; LLM fine-tuning; Artificial Intelligence fundamentals</t>
        </is>
      </c>
    </row>
    <row r="177">
      <c r="A177" t="inlineStr">
        <is>
          <t>SETOO-SOLUTI-261002-176</t>
        </is>
      </c>
      <c r="B177" t="inlineStr">
        <is>
          <t>Setoo Solution Pvt Ltd</t>
        </is>
      </c>
      <c r="C177" t="inlineStr">
        <is>
          <t>Gen AI Engineer Intern</t>
        </is>
      </c>
      <c r="D177" t="inlineStr">
        <is>
          <t>https://www.adzuna.in/details/5845822186?utm_medium=api&amp;utm_source=5ccdc27f</t>
        </is>
      </c>
      <c r="E177" t="inlineStr">
        <is>
          <t>AI Analyzer</t>
        </is>
      </c>
      <c r="F177" t="inlineStr">
        <is>
          <t>Pune, Maharashtra</t>
        </is>
      </c>
      <c r="G177" t="inlineStr">
        <is>
          <t>unknown</t>
        </is>
      </c>
      <c r="I177" t="inlineStr">
        <is>
          <t>unknown</t>
        </is>
      </c>
      <c r="J177" t="inlineStr">
        <is>
          <t>high</t>
        </is>
      </c>
      <c r="K177" t="inlineStr">
        <is>
          <t>LangChain; LlamaIndex; AutoGPT; Vector Databases; Pinecone; ChromaDB; Weaviate; Prompt Engineering</t>
        </is>
      </c>
      <c r="M177" t="inlineStr">
        <is>
          <t>Role: Gen AI Engineer Intern (Leading to PPO) Education: B.E./B.Tech (CSE/IT), MCA, or M.Sc. IT Focus: Building, fine-tuning, and deploying Generative AI solutions. Key Responsibilities: LLM Implementation: Work with frameworks like LangChain, LlamaIndex, or AutoGPT to build AI agents. RAG Pipelines: Develop Retrieval-Augmented Generation (RAG) systems using Vector Databases (Pinecone, ChromaDB, or Weaviate). Prompt Engineering: Design and optimize prompts to improve model accuracy and reduce "…</t>
        </is>
      </c>
      <c r="N177" t="n">
        <v>39</v>
      </c>
      <c r="O177" t="n">
        <v>20</v>
      </c>
      <c r="P177" t="n">
        <v>30</v>
      </c>
      <c r="Q177" t="n">
        <v>35</v>
      </c>
      <c r="R177" t="n">
        <v>90</v>
      </c>
      <c r="S177" t="n">
        <v>20</v>
      </c>
      <c r="T177" t="n">
        <v>60</v>
      </c>
      <c r="U177" t="inlineStr">
        <is>
          <t>SKIP</t>
        </is>
      </c>
      <c r="V177" t="inlineStr">
        <is>
          <t>SKIP</t>
        </is>
      </c>
      <c r="W177" t="inlineStr">
        <is>
          <t>LangChain; LlamaIndex; AutoGPT; Vector Databases; Pinecone; ChromaDB; Weaviate; Prompt Engineering</t>
        </is>
      </c>
      <c r="X177" t="inlineStr">
        <is>
          <t>Standard Full Stack Resume</t>
        </is>
      </c>
      <c r="Y177" t="inlineStr">
        <is>
          <t>2026-10-02</t>
        </is>
      </c>
      <c r="Z177" t="inlineStr">
        <is>
          <t>Mentions PPO conversion opportunity; Education criteria matches MCA</t>
        </is>
      </c>
      <c r="AA177" t="inlineStr">
        <is>
          <t>eligible</t>
        </is>
      </c>
      <c r="AB177" t="inlineStr">
        <is>
          <t>Education requirement includes MCA which matches candidate's degree.</t>
        </is>
      </c>
      <c r="AC177" t="inlineStr">
        <is>
          <t>unknown</t>
        </is>
      </c>
      <c r="AD177" t="inlineStr">
        <is>
          <t>Candidate availability dates are not specified in the career brain.</t>
        </is>
      </c>
      <c r="AE177" t="inlineStr">
        <is>
          <t>UNKNOWN</t>
        </is>
      </c>
      <c r="AF177" t="n">
        <v>0</v>
      </c>
      <c r="AG177" t="inlineStr">
        <is>
          <t>No</t>
        </is>
      </c>
      <c r="AH177" t="inlineStr">
        <is>
          <t>high</t>
        </is>
      </c>
      <c r="AI177" t="inlineStr">
        <is>
          <t>Leading to PPO</t>
        </is>
      </c>
      <c r="AK177" t="inlineStr">
        <is>
          <t>Location is Pune while candidate prefers Bengaluru or remote; Role is Gen AI which does not align closely with candidate's primary Full Stack/Backend target roles</t>
        </is>
      </c>
      <c r="AL177" t="inlineStr">
        <is>
          <t>LLM frameworks like LangChain and LlamaIndex; Retrieval-Augmented Generation (RAG) and Vector Databases; Prompt engineering techniques</t>
        </is>
      </c>
    </row>
    <row r="178">
      <c r="A178" t="inlineStr">
        <is>
          <t>XIARCH-BHARA-261002-177</t>
        </is>
      </c>
      <c r="B178" t="inlineStr">
        <is>
          <t>Xiarch Bharat Pvt Ltd</t>
        </is>
      </c>
      <c r="C178" t="inlineStr">
        <is>
          <t>Agentic AI Engineer Intern</t>
        </is>
      </c>
      <c r="D178" t="inlineStr">
        <is>
          <t>https://www.adzuna.in/details/5889345196?utm_medium=api&amp;utm_source=5ccdc27f</t>
        </is>
      </c>
      <c r="E178" t="inlineStr">
        <is>
          <t>AI Analyzer</t>
        </is>
      </c>
      <c r="F178" t="inlineStr">
        <is>
          <t>Dlf Ph, Gurgaon</t>
        </is>
      </c>
      <c r="G178" t="inlineStr">
        <is>
          <t>On-site</t>
        </is>
      </c>
      <c r="H178" t="inlineStr">
        <is>
          <t>Not specified</t>
        </is>
      </c>
      <c r="I178" t="inlineStr">
        <is>
          <t>Unknown</t>
        </is>
      </c>
      <c r="J178" t="inlineStr">
        <is>
          <t>NOT MENTIONED</t>
        </is>
      </c>
      <c r="K178" t="inlineStr">
        <is>
          <t>Agentic AI; Artificial Intelligence</t>
        </is>
      </c>
      <c r="L178" t="inlineStr">
        <is>
          <t>Cybersecurity; Infrastructure &amp; Security Operations</t>
        </is>
      </c>
      <c r="M178" t="inlineStr">
        <is>
          <t>Agentic AI Engineer Intern About Xiarch Bharat Infrastructure &amp; Security Operations Xiarch Bharat is a CERT-In empanelled cybersecurity services company with over 20 years of experience. We specialize in 24×7 SOC monitoring, Vulnerability Assessment &amp; Penetration Testing (VAPT), GRC, DPDP compliance, ISO audits, and Zero Trust networking solutions (pfSense/FortiGate). We serve 4000 clients across India and are rapidly scaling our infrastructure and product capabilities with AI-powered security …</t>
        </is>
      </c>
      <c r="N178" t="n">
        <v>20</v>
      </c>
      <c r="O178" t="n">
        <v>20</v>
      </c>
      <c r="P178" t="n">
        <v>20</v>
      </c>
      <c r="Q178" t="n">
        <v>30</v>
      </c>
      <c r="R178" t="n">
        <v>0</v>
      </c>
      <c r="S178" t="n">
        <v>0</v>
      </c>
      <c r="T178" t="n">
        <v>50</v>
      </c>
      <c r="U178" t="inlineStr">
        <is>
          <t>SKIP</t>
        </is>
      </c>
      <c r="V178" t="inlineStr">
        <is>
          <t>SKIP</t>
        </is>
      </c>
      <c r="W178" t="inlineStr">
        <is>
          <t>Agentic AI; AI Agent frameworks</t>
        </is>
      </c>
      <c r="X178" t="inlineStr">
        <is>
          <t>Amaanuddin_Ahmed_Resume.pdf</t>
        </is>
      </c>
      <c r="Y178" t="inlineStr">
        <is>
          <t>2026-10-02</t>
        </is>
      </c>
      <c r="AA178" t="inlineStr">
        <is>
          <t>NOT ELIGIBLE</t>
        </is>
      </c>
      <c r="AB178" t="inlineStr">
        <is>
          <t>Location mismatch: Role is in Gurgaon, whereas candidate prefers Bengaluru, India.; Role mismatch: Role focuses on Agentic AI Engineering, whereas candidate's primary target roles are Software/Full Stack/Backend Developer Intern.</t>
        </is>
      </c>
      <c r="AC178" t="inlineStr">
        <is>
          <t>UNKNOWN</t>
        </is>
      </c>
      <c r="AD178" t="inlineStr">
        <is>
          <t>Candidate availability dates are not specified in the career brain.</t>
        </is>
      </c>
      <c r="AE178" t="inlineStr">
        <is>
          <t>UNKNOWN</t>
        </is>
      </c>
      <c r="AF178" t="n">
        <v>0</v>
      </c>
      <c r="AG178" t="inlineStr">
        <is>
          <t>No</t>
        </is>
      </c>
      <c r="AH178" t="inlineStr">
        <is>
          <t>NOT MENTIONED</t>
        </is>
      </c>
      <c r="AI178" t="inlineStr">
        <is>
          <t>The job description does not mention PPO or conversion opportunities.</t>
        </is>
      </c>
      <c r="AJ178" t="inlineStr">
        <is>
          <t>Location is Gurgaon, India (preferred: Bengaluru); Role requires specialized Agentic AI Engineering skills, which do not match candidate's core full-stack focus</t>
        </is>
      </c>
      <c r="AK178" t="inlineStr">
        <is>
          <t>Stipend is not disclosed; No mention of PPO</t>
        </is>
      </c>
      <c r="AL178" t="inlineStr">
        <is>
          <t>AI Agent Architectures; LLM Integration and Prompt Engineering; Cybersecurity concepts</t>
        </is>
      </c>
    </row>
    <row r="179">
      <c r="A179" t="inlineStr">
        <is>
          <t>PRICEWATERHO-261002-178</t>
        </is>
      </c>
      <c r="B179" t="inlineStr">
        <is>
          <t>PricewaterhouseCoopers</t>
        </is>
      </c>
      <c r="C179" t="inlineStr">
        <is>
          <t>Business AI Engineer - Intern - 2027</t>
        </is>
      </c>
      <c r="D179" t="inlineStr">
        <is>
          <t>https://www.adzuna.in/details/5894078928?utm_medium=api&amp;utm_source=5ccdc27f</t>
        </is>
      </c>
      <c r="E179" t="inlineStr">
        <is>
          <t>AI Analyzer</t>
        </is>
      </c>
      <c r="F179" t="inlineStr">
        <is>
          <t>India</t>
        </is>
      </c>
      <c r="G179" t="inlineStr">
        <is>
          <t>UNKNOWN</t>
        </is>
      </c>
      <c r="H179" t="inlineStr">
        <is>
          <t>Not specified</t>
        </is>
      </c>
      <c r="I179" t="inlineStr">
        <is>
          <t>UNKNOWN</t>
        </is>
      </c>
      <c r="J179" t="inlineStr">
        <is>
          <t>UNKNOWN</t>
        </is>
      </c>
      <c r="M179" t="inlineStr">
        <is>
          <t>Industry/Sector Specialism IFS - Information Technology (IT) Management Level Intern/Trainee Job Description &amp; Summary 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t>
        </is>
      </c>
      <c r="N179" t="n">
        <v>49</v>
      </c>
      <c r="O179" t="n">
        <v>50</v>
      </c>
      <c r="P179" t="n">
        <v>60</v>
      </c>
      <c r="Q179" t="n">
        <v>50</v>
      </c>
      <c r="R179" t="n">
        <v>50</v>
      </c>
      <c r="S179" t="n">
        <v>0</v>
      </c>
      <c r="T179" t="n">
        <v>70</v>
      </c>
      <c r="U179" t="inlineStr">
        <is>
          <t>SKIP</t>
        </is>
      </c>
      <c r="V179" t="inlineStr">
        <is>
          <t>SKIP</t>
        </is>
      </c>
      <c r="X179" t="inlineStr">
        <is>
          <t>Default Full Stack Resume</t>
        </is>
      </c>
      <c r="Y179" t="inlineStr">
        <is>
          <t>2026-10-02</t>
        </is>
      </c>
      <c r="Z179" t="inlineStr">
        <is>
          <t>PwC brand name and potential enterprise scale exposure.</t>
        </is>
      </c>
      <c r="AA179" t="inlineStr">
        <is>
          <t>ELIGIBLE</t>
        </is>
      </c>
      <c r="AB179" t="inlineStr">
        <is>
          <t>Targeting 2027 graduation matches MCA program timeline (2025-2027).</t>
        </is>
      </c>
      <c r="AC179" t="inlineStr">
        <is>
          <t>UNKNOWN</t>
        </is>
      </c>
      <c r="AD179" t="inlineStr">
        <is>
          <t>Not specified in job description</t>
        </is>
      </c>
      <c r="AE179" t="inlineStr">
        <is>
          <t>UNKNOWN</t>
        </is>
      </c>
      <c r="AF179" t="n">
        <v>0</v>
      </c>
      <c r="AG179" t="inlineStr">
        <is>
          <t>No</t>
        </is>
      </c>
      <c r="AH179" t="inlineStr">
        <is>
          <t>UNKNOWN</t>
        </is>
      </c>
      <c r="AI179" t="inlineStr">
        <is>
          <t>No explicit PPO mention found in the truncated description.</t>
        </is>
      </c>
      <c r="AK179" t="inlineStr">
        <is>
          <t>Incomplete job description provided, lacking technical stack and concrete requirements.</t>
        </is>
      </c>
      <c r="AL179" t="inlineStr">
        <is>
          <t>AI engineering concepts; Full-stack development; Problem solving</t>
        </is>
      </c>
    </row>
    <row r="180">
      <c r="A180" t="inlineStr">
        <is>
          <t>DV-TRADING-261002-179</t>
        </is>
      </c>
      <c r="B180" t="inlineStr">
        <is>
          <t>DV Trading</t>
        </is>
      </c>
      <c r="C180" t="inlineStr">
        <is>
          <t>AI Engineer Intern - Summer 2027</t>
        </is>
      </c>
      <c r="D180" t="inlineStr">
        <is>
          <t>https://www.adzuna.in/details/5879541721?utm_medium=api&amp;utm_source=5ccdc27f</t>
        </is>
      </c>
      <c r="E180" t="inlineStr">
        <is>
          <t>AI Analyzer</t>
        </is>
      </c>
      <c r="F180" t="inlineStr">
        <is>
          <t>India</t>
        </is>
      </c>
      <c r="G180" t="inlineStr">
        <is>
          <t>Unknown</t>
        </is>
      </c>
      <c r="I180" t="inlineStr">
        <is>
          <t>Summer 2027</t>
        </is>
      </c>
      <c r="J180" t="inlineStr">
        <is>
          <t>UNKNOWN</t>
        </is>
      </c>
      <c r="M180" t="inlineStr">
        <is>
          <t>About Us : Founded 20 years ago and headquartered in Chicago, the DV&gt;DV Group of financial services firms has grown to more than 600 people operating throughout North America, Europe and Asia. Since spinning out of a large brokerage firm in 2016, DV Trading has rapidly scaled as an independent proprietary trading firm utilizing its own capital, trading strategies, and risk management methodologies to provide liquidity to worldwide financial markets and hedging opportunities to commodity produce…</t>
        </is>
      </c>
      <c r="N180" t="n">
        <v>28</v>
      </c>
      <c r="O180" t="n">
        <v>20</v>
      </c>
      <c r="P180" t="n">
        <v>30</v>
      </c>
      <c r="Q180" t="n">
        <v>20</v>
      </c>
      <c r="R180" t="n">
        <v>50</v>
      </c>
      <c r="S180" t="n">
        <v>0</v>
      </c>
      <c r="T180" t="n">
        <v>60</v>
      </c>
      <c r="U180" t="inlineStr">
        <is>
          <t>SKIP</t>
        </is>
      </c>
      <c r="V180" t="inlineStr">
        <is>
          <t>SKIP</t>
        </is>
      </c>
      <c r="W180" t="inlineStr">
        <is>
          <t>AI/ML engineering skills</t>
        </is>
      </c>
      <c r="X180" t="inlineStr">
        <is>
          <t>Amaanuddin_Ahmed_Resume.pdf</t>
        </is>
      </c>
      <c r="Y180" t="inlineStr">
        <is>
          <t>2026-10-02</t>
        </is>
      </c>
      <c r="Z180" t="inlineStr">
        <is>
          <t>Reputable global financial services firm</t>
        </is>
      </c>
      <c r="AA180" t="inlineStr">
        <is>
          <t>ELIGIBLE</t>
        </is>
      </c>
      <c r="AB180" t="inlineStr">
        <is>
          <t>No explicit hard degree or experience blockers mentioned in the short snippet</t>
        </is>
      </c>
      <c r="AC180" t="inlineStr">
        <is>
          <t>UNKNOWN</t>
        </is>
      </c>
      <c r="AD180" t="inlineStr">
        <is>
          <t>Graduating in 2027, but exact internship start dates not detailed beyond Summer 2027</t>
        </is>
      </c>
      <c r="AE180" t="inlineStr">
        <is>
          <t>UNKNOWN</t>
        </is>
      </c>
      <c r="AF180" t="n">
        <v>0</v>
      </c>
      <c r="AG180" t="inlineStr">
        <is>
          <t>No</t>
        </is>
      </c>
      <c r="AH180" t="inlineStr">
        <is>
          <t>UNKNOWN</t>
        </is>
      </c>
      <c r="AI180" t="inlineStr">
        <is>
          <t>Not mentioned in the provided snippet</t>
        </is>
      </c>
      <c r="AK180" t="inlineStr">
        <is>
          <t>Job description snippet is incomplete and cuts off; AI Engineer role does not align with primary target roles (Software Engineer / Full Stack / Backend Developer Intern)</t>
        </is>
      </c>
      <c r="AL180" t="inlineStr">
        <is>
          <t>AI/ML fundamentals; Python; Proprietary trading technology</t>
        </is>
      </c>
    </row>
    <row r="181">
      <c r="A181" t="inlineStr">
        <is>
          <t>PGAGI-261002-180</t>
        </is>
      </c>
      <c r="B181" t="inlineStr">
        <is>
          <t>PGAGI</t>
        </is>
      </c>
      <c r="C181" t="inlineStr">
        <is>
          <t>AI Backend engineering Intern</t>
        </is>
      </c>
      <c r="D181" t="inlineStr">
        <is>
          <t>https://www.adzuna.in/details/5747224186?utm_medium=api&amp;utm_source=5ccdc27f</t>
        </is>
      </c>
      <c r="E181" t="inlineStr">
        <is>
          <t>AI Analyzer</t>
        </is>
      </c>
      <c r="F181" t="inlineStr">
        <is>
          <t>Bangalore, Karnataka</t>
        </is>
      </c>
      <c r="G181" t="inlineStr">
        <is>
          <t>UNKNOWN</t>
        </is>
      </c>
      <c r="I181" t="inlineStr">
        <is>
          <t>UNKNOWN</t>
        </is>
      </c>
      <c r="J181" t="inlineStr">
        <is>
          <t>NOT_MENTIONED</t>
        </is>
      </c>
      <c r="K181" t="inlineStr">
        <is>
          <t>AI; Backend engineering</t>
        </is>
      </c>
      <c r="L181" t="inlineStr">
        <is>
          <t>Autonomous agents; Data analysis</t>
        </is>
      </c>
      <c r="M181" t="inlineStr">
        <is>
          <t>About PGAGI: We're at the forefront of creating advanced AI systems, from fully autonomous agents that provide intelligent customer interaction to data analysis tools that offer insightful business solutions. We are seeking enthusiastic interns who are passionate about AI and ready to tackle real-world problems using the latest technologies. About the Role We are at the forefront of building advanced AI systems — from fully autonomous agents that power intelligent customer interactions, to data…</t>
        </is>
      </c>
      <c r="N181" t="n">
        <v>48</v>
      </c>
      <c r="O181" t="n">
        <v>50</v>
      </c>
      <c r="P181" t="n">
        <v>60</v>
      </c>
      <c r="Q181" t="n">
        <v>60</v>
      </c>
      <c r="R181" t="n">
        <v>30</v>
      </c>
      <c r="S181" t="n">
        <v>20</v>
      </c>
      <c r="T181" t="n">
        <v>50</v>
      </c>
      <c r="U181" t="inlineStr">
        <is>
          <t>SKIP</t>
        </is>
      </c>
      <c r="V181" t="inlineStr">
        <is>
          <t>SKIP</t>
        </is>
      </c>
      <c r="W181" t="inlineStr">
        <is>
          <t>AI Backend engineering; Advanced AI systems development</t>
        </is>
      </c>
      <c r="X181" t="inlineStr">
        <is>
          <t>Amaan_Ahmed_Fullstack_Resume.pdf</t>
        </is>
      </c>
      <c r="Y181" t="inlineStr">
        <is>
          <t>2026-10-02</t>
        </is>
      </c>
      <c r="Z181" t="inlineStr">
        <is>
          <t>Located in Bangalore, which matches candidate's preferred location.; Internship role in backend development aligns generally with candidate profile.</t>
        </is>
      </c>
      <c r="AA181" t="inlineStr">
        <is>
          <t>ELIGIBLE</t>
        </is>
      </c>
      <c r="AB181" t="inlineStr">
        <is>
          <t>Location matches preferred location of Bengaluru.</t>
        </is>
      </c>
      <c r="AC181" t="inlineStr">
        <is>
          <t>UNKNOWN</t>
        </is>
      </c>
      <c r="AD181" t="inlineStr">
        <is>
          <t>Not specified in the job description.</t>
        </is>
      </c>
      <c r="AE181" t="inlineStr">
        <is>
          <t>UNKNOWN</t>
        </is>
      </c>
      <c r="AF181" t="n">
        <v>0</v>
      </c>
      <c r="AG181" t="inlineStr">
        <is>
          <t>No</t>
        </is>
      </c>
      <c r="AH181" t="inlineStr">
        <is>
          <t>NOT_MENTIONED</t>
        </is>
      </c>
      <c r="AI181" t="inlineStr">
        <is>
          <t>No mention of conversion or PPO in the provided JD text.</t>
        </is>
      </c>
      <c r="AK181" t="inlineStr">
        <is>
          <t>Incomplete and cut off job description text; Stipend information is completely missing; No explicit mention of PPO or technical stack requirements</t>
        </is>
      </c>
      <c r="AL181" t="inlineStr">
        <is>
          <t>Backend architecture; AI systems integration; Node.js and API development; Handling autonomous agents and data tools</t>
        </is>
      </c>
    </row>
    <row r="182">
      <c r="A182" t="inlineStr">
        <is>
          <t>GURURO-261002-181</t>
        </is>
      </c>
      <c r="B182" t="inlineStr">
        <is>
          <t>Gururo</t>
        </is>
      </c>
      <c r="C182" t="inlineStr">
        <is>
          <t>AI/ML Engineer - Intern/Fresher/Experienced</t>
        </is>
      </c>
      <c r="D182" t="inlineStr">
        <is>
          <t>https://www.adzuna.in/details/5527658896?utm_medium=api&amp;utm_source=5ccdc27f</t>
        </is>
      </c>
      <c r="E182" t="inlineStr">
        <is>
          <t>AI Analyzer</t>
        </is>
      </c>
      <c r="F182" t="inlineStr">
        <is>
          <t>Vadodara, Gujarat</t>
        </is>
      </c>
      <c r="G182" t="inlineStr">
        <is>
          <t>On-site/Not specified</t>
        </is>
      </c>
      <c r="H182" t="inlineStr">
        <is>
          <t>Based on experience and role</t>
        </is>
      </c>
      <c r="I182" t="inlineStr">
        <is>
          <t>Minimum 3 months</t>
        </is>
      </c>
      <c r="J182" t="inlineStr">
        <is>
          <t>NOT_MENTIONED</t>
        </is>
      </c>
      <c r="K182" t="inlineStr">
        <is>
          <t>AI/ML; Python</t>
        </is>
      </c>
      <c r="M182" t="inlineStr">
        <is>
          <t>Location: Vadodara Type: Full-time / Internship Duration (for interns): Minimum 3 months Stipend/CTC: Based on experience and role About Gururo Gururo is an industry leader in practical, career-transforming education. With a mission to empower professionals and students through real-world skills, we specialize in project management, leadership development, and emerging technologies. Join our fast-paced, mission-driven team and work on AI/ML-powered platforms that impact thousands globally. Who …</t>
        </is>
      </c>
      <c r="N182" t="n">
        <v>24</v>
      </c>
      <c r="O182" t="n">
        <v>20</v>
      </c>
      <c r="P182" t="n">
        <v>20</v>
      </c>
      <c r="Q182" t="n">
        <v>30</v>
      </c>
      <c r="R182" t="n">
        <v>0</v>
      </c>
      <c r="S182" t="n">
        <v>40</v>
      </c>
      <c r="T182" t="n">
        <v>50</v>
      </c>
      <c r="U182" t="inlineStr">
        <is>
          <t>SKIP</t>
        </is>
      </c>
      <c r="V182" t="inlineStr">
        <is>
          <t>SKIP</t>
        </is>
      </c>
      <c r="W182" t="inlineStr">
        <is>
          <t>AI/ML engineering; Machine Learning frameworks</t>
        </is>
      </c>
      <c r="X182" t="inlineStr">
        <is>
          <t>Amaanuddin_Ahmed_Resume.pdf</t>
        </is>
      </c>
      <c r="Y182" t="inlineStr">
        <is>
          <t>2026-10-02</t>
        </is>
      </c>
      <c r="Z182" t="inlineStr">
        <is>
          <t>Open to internships and freshers</t>
        </is>
      </c>
      <c r="AA182" t="inlineStr">
        <is>
          <t>ELIGIBLE</t>
        </is>
      </c>
      <c r="AB182" t="inlineStr">
        <is>
          <t>Open to interns and freshers; No strict degree or graduation year blockades mentioned in the snippet</t>
        </is>
      </c>
      <c r="AC182" t="inlineStr">
        <is>
          <t>UNKNOWN</t>
        </is>
      </c>
      <c r="AD182" t="inlineStr">
        <is>
          <t>Candidate availability dates are not explicitly detailed relative to start date</t>
        </is>
      </c>
      <c r="AE182" t="inlineStr">
        <is>
          <t>UNKNOWN</t>
        </is>
      </c>
      <c r="AF182" t="n">
        <v>0</v>
      </c>
      <c r="AG182" t="inlineStr">
        <is>
          <t>No</t>
        </is>
      </c>
      <c r="AH182" t="inlineStr">
        <is>
          <t>NOT_MENTIONED</t>
        </is>
      </c>
      <c r="AI182" t="inlineStr">
        <is>
          <t>No explicit PPO or conversion mention found in the snippet</t>
        </is>
      </c>
      <c r="AK182" t="inlineStr">
        <is>
          <t>Location is Vadodara, Gujarat, which mismatches candidate preference for Bengaluru; Role is AI/ML Engineer while candidate profile is strictly Full Stack / Software Engineering</t>
        </is>
      </c>
      <c r="AL182" t="inlineStr">
        <is>
          <t>Machine Learning algorithms; AI platform development; Python experience</t>
        </is>
      </c>
    </row>
    <row r="183">
      <c r="A183" t="inlineStr">
        <is>
          <t>ENGINEERING-261002-182</t>
        </is>
      </c>
      <c r="B183" t="inlineStr">
        <is>
          <t>Engineering</t>
        </is>
      </c>
      <c r="C183" t="inlineStr">
        <is>
          <t>Software Engineering Intern (AI-Native)</t>
        </is>
      </c>
      <c r="D183" t="inlineStr">
        <is>
          <t>https://www.adzuna.in/details/5892976691?utm_medium=api&amp;utm_source=5ccdc27f</t>
        </is>
      </c>
      <c r="E183" t="inlineStr">
        <is>
          <t>AI Analyzer</t>
        </is>
      </c>
      <c r="F183" t="inlineStr">
        <is>
          <t>Pune, Maharashtra</t>
        </is>
      </c>
      <c r="G183" t="inlineStr">
        <is>
          <t>UNKNOWN</t>
        </is>
      </c>
      <c r="H183" t="inlineStr">
        <is>
          <t>UNKNOWN</t>
        </is>
      </c>
      <c r="I183" t="inlineStr">
        <is>
          <t>8-12 weeks</t>
        </is>
      </c>
      <c r="J183" t="inlineStr">
        <is>
          <t>POSSIBLE</t>
        </is>
      </c>
      <c r="K183" t="inlineStr">
        <is>
          <t>AI Agent Delivery; Full Stack Delivery</t>
        </is>
      </c>
      <c r="M183" t="inlineStr">
        <is>
          <t>SOFTWARE ENGINEERING INTERN (AI Agent Delivery) Duration: 8–12 weeks (extendable based on performance) Joining: Immediate / As per campus schedule We are building agents on askyara.ai a platform where new AI agents are conceived, built, and taken to market. To scale from an idea to 100 shipped agents in 12 months, we need someone who can hold the whole delivery machine together without slowing it down. What you need to achieve Facilitate the shipping of 100 AI agents on the askyara.ai platform…</t>
        </is>
      </c>
      <c r="N183" t="n">
        <v>62</v>
      </c>
      <c r="O183" t="n">
        <v>60</v>
      </c>
      <c r="P183" t="n">
        <v>70</v>
      </c>
      <c r="Q183" t="n">
        <v>65</v>
      </c>
      <c r="R183" t="n">
        <v>60</v>
      </c>
      <c r="S183" t="n">
        <v>50</v>
      </c>
      <c r="T183" t="n">
        <v>60</v>
      </c>
      <c r="U183" t="inlineStr">
        <is>
          <t>STRETCH</t>
        </is>
      </c>
      <c r="V183" t="inlineStr">
        <is>
          <t>STRETCH</t>
        </is>
      </c>
      <c r="W183" t="inlineStr">
        <is>
          <t>AI Agent Development</t>
        </is>
      </c>
      <c r="X183" t="inlineStr">
        <is>
          <t>Amaanuddin_Ahmed_Resume.pdf</t>
        </is>
      </c>
      <c r="Y183" t="inlineStr">
        <is>
          <t>2026-10-02</t>
        </is>
      </c>
      <c r="Z183" t="inlineStr">
        <is>
          <t>Good internship opportunity in AI agent delivery platform askyara.ai; Performance-based extension available</t>
        </is>
      </c>
      <c r="AA183" t="inlineStr">
        <is>
          <t>ELIGIBLE</t>
        </is>
      </c>
      <c r="AB183" t="inlineStr">
        <is>
          <t>No explicit degree or graduation year blockers mentioned in the short snippet</t>
        </is>
      </c>
      <c r="AC183" t="inlineStr">
        <is>
          <t>UNKNOWN</t>
        </is>
      </c>
      <c r="AD183" t="inlineStr">
        <is>
          <t>Immediate / As per campus schedule mentioned, but exact candidate availability match is unverified.</t>
        </is>
      </c>
      <c r="AE183" t="inlineStr">
        <is>
          <t>UNKNOWN</t>
        </is>
      </c>
      <c r="AF183" t="n">
        <v>0</v>
      </c>
      <c r="AG183" t="inlineStr">
        <is>
          <t>No</t>
        </is>
      </c>
      <c r="AH183" t="inlineStr">
        <is>
          <t>POSSIBLE</t>
        </is>
      </c>
      <c r="AI183" t="inlineStr">
        <is>
          <t>Duration is extendable based on performance</t>
        </is>
      </c>
      <c r="AK183" t="inlineStr">
        <is>
          <t>Location is Pune, Maharashtra while candidate prefers Bengaluru</t>
        </is>
      </c>
      <c r="AL183" t="inlineStr">
        <is>
          <t>AI Agent Architecture; Full Stack Delivery Workflow; Fast-paced shipping experience</t>
        </is>
      </c>
    </row>
    <row r="184">
      <c r="A184" t="inlineStr">
        <is>
          <t>HOME-DEPOT-261002-183</t>
        </is>
      </c>
      <c r="B184" t="inlineStr">
        <is>
          <t>Home Depot</t>
        </is>
      </c>
      <c r="C184" t="inlineStr">
        <is>
          <t>2027 Summer Internship - Software Engineering</t>
        </is>
      </c>
      <c r="D184" t="inlineStr">
        <is>
          <t>https://www.adzuna.com/land/ad/5863937256?se=4MjHS1q-8RGg86qnhZQLEg&amp;utm_medium=api&amp;utm_source=5ccdc27f&amp;v=0A0992D0F0F1A80A6FF601B189F98E6F6C5FEB8F</t>
        </is>
      </c>
      <c r="E184" t="inlineStr">
        <is>
          <t>AI Analyzer</t>
        </is>
      </c>
      <c r="F184" t="inlineStr">
        <is>
          <t>Atlanta, Fulton County</t>
        </is>
      </c>
      <c r="G184" t="inlineStr">
        <is>
          <t>Unknown</t>
        </is>
      </c>
      <c r="H184" t="inlineStr">
        <is>
          <t>Not specified</t>
        </is>
      </c>
      <c r="I184" t="inlineStr">
        <is>
          <t>11 weeks (May 17 - July 30, 2027)</t>
        </is>
      </c>
      <c r="J184" t="inlineStr">
        <is>
          <t>Not Mentioned</t>
        </is>
      </c>
      <c r="M184" t="inlineStr">
        <is>
          <t>Internship Overview: The Home Depot's Summer Internship program offers college students an opportunity to develop leadership skills and gain hands on experience in a corporate environment. During an 11-week period from May 17 - July 30, 2027, interns will be assigned to a functional team such as Supply Chain, Marketing, e-commerce, Technology, Finance, Operations, Merchandising, Pro, Home Services, Human Resources, etc. Interns will learn more about our retail business and our corporate offices…</t>
        </is>
      </c>
      <c r="N184" t="n">
        <v>48</v>
      </c>
      <c r="O184" t="n">
        <v>50</v>
      </c>
      <c r="P184" t="n">
        <v>50</v>
      </c>
      <c r="Q184" t="n">
        <v>70</v>
      </c>
      <c r="R184" t="n">
        <v>40</v>
      </c>
      <c r="S184" t="n">
        <v>0</v>
      </c>
      <c r="T184" t="n">
        <v>60</v>
      </c>
      <c r="U184" t="inlineStr">
        <is>
          <t>SKIP</t>
        </is>
      </c>
      <c r="V184" t="inlineStr">
        <is>
          <t>SKIP</t>
        </is>
      </c>
      <c r="X184" t="inlineStr">
        <is>
          <t>Amaanuddin_Ahmed_Resume.pdf</t>
        </is>
      </c>
      <c r="Y184" t="inlineStr">
        <is>
          <t>2026-10-02</t>
        </is>
      </c>
      <c r="Z184" t="inlineStr">
        <is>
          <t>Prestigious large enterprise brand (Home Depot)</t>
        </is>
      </c>
      <c r="AA184" t="inlineStr">
        <is>
          <t>No</t>
        </is>
      </c>
      <c r="AB184" t="inlineStr">
        <is>
          <t>Location mismatch: Job is located in Atlanta, Fulton County, whereas candidate prefers Bengaluru, India (or remote).</t>
        </is>
      </c>
      <c r="AC184" t="inlineStr">
        <is>
          <t>Yes</t>
        </is>
      </c>
      <c r="AD184" t="inlineStr">
        <is>
          <t>Matches the 2027 MCA graduation timeline and summer window.</t>
        </is>
      </c>
      <c r="AE184" t="inlineStr">
        <is>
          <t>UNKNOWN</t>
        </is>
      </c>
      <c r="AF184" t="n">
        <v>0</v>
      </c>
      <c r="AG184" t="inlineStr">
        <is>
          <t>No</t>
        </is>
      </c>
      <c r="AH184" t="inlineStr">
        <is>
          <t>Not Mentioned</t>
        </is>
      </c>
      <c r="AI184" t="inlineStr">
        <is>
          <t>The job description mentions a summer internship program overview but does not explicitly guarantee or mention a conversion to a full-time PPO.</t>
        </is>
      </c>
      <c r="AJ184" t="inlineStr">
        <is>
          <t>Location mismatch (Atlanta, USA vs Bengaluru, India preference)</t>
        </is>
      </c>
      <c r="AK184" t="inlineStr">
        <is>
          <t>Stipend is completely unstated; Exact technical requirements are sparse in the brief description</t>
        </is>
      </c>
      <c r="AL184" t="inlineStr">
        <is>
          <t>Software Engineering fundamentals; Problem solving and data structures; Past internship experience and project architecture</t>
        </is>
      </c>
    </row>
    <row r="185">
      <c r="A185" t="inlineStr">
        <is>
          <t>CONSTELLATIO-261002-184</t>
        </is>
      </c>
      <c r="B185" t="inlineStr">
        <is>
          <t>Constellation</t>
        </is>
      </c>
      <c r="C185" t="inlineStr">
        <is>
          <t>2027 Summer Information Technology Software Development Intern</t>
        </is>
      </c>
      <c r="D185" t="inlineStr">
        <is>
          <t>https://www.adzuna.com/land/ad/5882512556?se=vj5QTFq-8RGVe9UZ9ts8hQ&amp;utm_medium=api&amp;utm_source=5ccdc27f&amp;v=7BED702FB0901D1548DC2FC64B401AE0BB703E2A</t>
        </is>
      </c>
      <c r="E185" t="inlineStr">
        <is>
          <t>AI Analyzer</t>
        </is>
      </c>
      <c r="F185" t="inlineStr">
        <is>
          <t>Druid, Baltimore</t>
        </is>
      </c>
      <c r="G185" t="inlineStr">
        <is>
          <t>Remote</t>
        </is>
      </c>
      <c r="H185" t="inlineStr">
        <is>
          <t>Not specified</t>
        </is>
      </c>
      <c r="I185" t="inlineStr">
        <is>
          <t>Summer 2027</t>
        </is>
      </c>
      <c r="J185" t="inlineStr">
        <is>
          <t>NOT_MENTIONED</t>
        </is>
      </c>
      <c r="M185" t="inlineStr">
        <is>
          <t>WHO WE ARE As the largest private-sector power producer in the world and the nation's largest producer of clean and reliable energy, Constellation is focused on our purpose: lighting the way to a brilliant tomorrow for all. We have been the leader in clean energy production for more than a decade, and we are cultivating a workplace where our employees can grow, thrive, and contribute. Now integrated with Calpine, our portfolio includes 55 gigawatts of capacity from nuclear, natural gas, geother…</t>
        </is>
      </c>
      <c r="N185" t="n">
        <v>12</v>
      </c>
      <c r="O185" t="n">
        <v>0</v>
      </c>
      <c r="P185" t="n">
        <v>0</v>
      </c>
      <c r="Q185" t="n">
        <v>50</v>
      </c>
      <c r="R185" t="n">
        <v>0</v>
      </c>
      <c r="S185" t="n">
        <v>0</v>
      </c>
      <c r="T185" t="n">
        <v>50</v>
      </c>
      <c r="U185" t="inlineStr">
        <is>
          <t>SKIP</t>
        </is>
      </c>
      <c r="V185" t="inlineStr">
        <is>
          <t>SKIP</t>
        </is>
      </c>
      <c r="X185" t="inlineStr">
        <is>
          <t>Amaanuddin_Ahmed_Resume.pdf</t>
        </is>
      </c>
      <c r="Y185" t="inlineStr">
        <is>
          <t>2026-10-02</t>
        </is>
      </c>
      <c r="AA185" t="inlineStr">
        <is>
          <t>BLOCKED</t>
        </is>
      </c>
      <c r="AB185" t="inlineStr">
        <is>
          <t>Job location/work authorization requirement appears restricted to US (Druid, Baltimore / US energy company context), whereas candidate is based in Bengaluru, India and requires remote/India-based opportunities.</t>
        </is>
      </c>
      <c r="AC185" t="inlineStr">
        <is>
          <t>UNKNOWN</t>
        </is>
      </c>
      <c r="AD185" t="inlineStr">
        <is>
          <t>Candidate graduation is 2027, but exact summer internship term availability policies regarding international remote work are unspecified.</t>
        </is>
      </c>
      <c r="AE185" t="inlineStr">
        <is>
          <t>UNKNOWN</t>
        </is>
      </c>
      <c r="AF185" t="n">
        <v>0</v>
      </c>
      <c r="AG185" t="inlineStr">
        <is>
          <t>No</t>
        </is>
      </c>
      <c r="AH185" t="inlineStr">
        <is>
          <t>NOT_MENTIONED</t>
        </is>
      </c>
      <c r="AI185" t="inlineStr">
        <is>
          <t>No mention of conversion to full-time employment or PPO in the truncated snippet.</t>
        </is>
      </c>
      <c r="AJ185" t="inlineStr">
        <is>
          <t>Location/Geography restriction (US-based role vs candidate in Bengaluru, India)</t>
        </is>
      </c>
      <c r="AK185" t="inlineStr">
        <is>
          <t>Incomplete job description snippet provided; Geographical mismatch for international applicant</t>
        </is>
      </c>
    </row>
    <row r="186">
      <c r="A186" t="inlineStr">
        <is>
          <t>SPRINGER-CAP-261002-185</t>
        </is>
      </c>
      <c r="B186" t="inlineStr">
        <is>
          <t>Springer Capital</t>
        </is>
      </c>
      <c r="C186" t="inlineStr">
        <is>
          <t>Backend Developer Intern</t>
        </is>
      </c>
      <c r="D186" t="inlineStr">
        <is>
          <t>https://www.adzuna.com/details/5639252991?utm_medium=api&amp;utm_source=5ccdc27f</t>
        </is>
      </c>
      <c r="E186" t="inlineStr">
        <is>
          <t>AI Analyzer</t>
        </is>
      </c>
      <c r="F186" t="inlineStr">
        <is>
          <t>Chicago, Cook County</t>
        </is>
      </c>
      <c r="G186" t="inlineStr">
        <is>
          <t>Remote</t>
        </is>
      </c>
      <c r="I186" t="inlineStr">
        <is>
          <t>3 months</t>
        </is>
      </c>
      <c r="J186" t="inlineStr">
        <is>
          <t>NOT_MENTIONED</t>
        </is>
      </c>
      <c r="K186" t="inlineStr">
        <is>
          <t>Backend development; APIs; SQL; NoSQL</t>
        </is>
      </c>
      <c r="M186" t="inlineStr">
        <is>
          <t>About the Role We are looking for enthusiastic Backend Developer Interns to join our team remotely for a 3-month internship . This is an excellent opportunity to gain hands-on experience in backend development, work on real projects, and expand your technical skills. Responsibilities Assist in developing and maintaining backend services and APIs. Work with databases (SQL/NoSQL) for data storage and retrieval. Collaborate with frontend developers to integrate user-facing elements with server-sid…</t>
        </is>
      </c>
      <c r="N186" t="n">
        <v>71</v>
      </c>
      <c r="O186" t="n">
        <v>90</v>
      </c>
      <c r="P186" t="n">
        <v>85</v>
      </c>
      <c r="Q186" t="n">
        <v>95</v>
      </c>
      <c r="R186" t="n">
        <v>30</v>
      </c>
      <c r="S186" t="n">
        <v>20</v>
      </c>
      <c r="T186" t="n">
        <v>60</v>
      </c>
      <c r="U186" t="inlineStr">
        <is>
          <t>CONSIDER</t>
        </is>
      </c>
      <c r="V186" t="inlineStr">
        <is>
          <t>CONSIDER</t>
        </is>
      </c>
      <c r="X186" t="inlineStr">
        <is>
          <t>standard_fullstack_resume</t>
        </is>
      </c>
      <c r="Y186" t="inlineStr">
        <is>
          <t>2026-10-02</t>
        </is>
      </c>
      <c r="Z186" t="inlineStr">
        <is>
          <t>The role is a direct match for a Backend Developer Intern position; Candidate has strong demonstrated experience in Node.js, Express, MySQL, and MongoDB which directly satisfies the core backend and database requirements</t>
        </is>
      </c>
      <c r="AA186" t="inlineStr">
        <is>
          <t>ELIGIBLE</t>
        </is>
      </c>
      <c r="AB186" t="inlineStr">
        <is>
          <t>Role is a Backend Developer Intern matching primary target roles; Work mode is remote, which fits candidate preferences</t>
        </is>
      </c>
      <c r="AC186" t="inlineStr">
        <is>
          <t>UNKNOWN</t>
        </is>
      </c>
      <c r="AD186" t="inlineStr">
        <is>
          <t>Exact availability dates are not specified in the candidate profile besides being an MCA student graduating in 2027.</t>
        </is>
      </c>
      <c r="AE186" t="inlineStr">
        <is>
          <t>UNKNOWN</t>
        </is>
      </c>
      <c r="AF186" t="n">
        <v>0</v>
      </c>
      <c r="AG186" t="inlineStr">
        <is>
          <t>No</t>
        </is>
      </c>
      <c r="AH186" t="inlineStr">
        <is>
          <t>NOT_MENTIONED</t>
        </is>
      </c>
      <c r="AI186" t="inlineStr">
        <is>
          <t>The job description mentions gaining hands-on experience and working on real projects, but does not explicitly state conversion to a full-time role (PPO).</t>
        </is>
      </c>
      <c r="AK186" t="inlineStr">
        <is>
          <t>Stipend is completely unspecified (unknown); PPO is not mentioned</t>
        </is>
      </c>
      <c r="AL186" t="inlineStr">
        <is>
          <t>Backend service architecture and API design; Database design and querying with SQL and NoSQL; Experience with Node.js and Express in production; Collaboration workflows with frontend developers</t>
        </is>
      </c>
    </row>
    <row r="187">
      <c r="A187" t="inlineStr">
        <is>
          <t>MIRAKLLABS-261002-186</t>
        </is>
      </c>
      <c r="B187" t="inlineStr">
        <is>
          <t>mirakllabs</t>
        </is>
      </c>
      <c r="C187" t="inlineStr">
        <is>
          <t>Software Engineer Intern</t>
        </is>
      </c>
      <c r="D187" t="inlineStr">
        <is>
          <t>https://www.arbeitnow.fr/jobs/companies/mirakllabs/software-engineer-intern-paris-183656</t>
        </is>
      </c>
      <c r="E187" t="inlineStr">
        <is>
          <t>AI Analyzer</t>
        </is>
      </c>
      <c r="F187" t="inlineStr">
        <is>
          <t>Paris</t>
        </is>
      </c>
      <c r="G187" t="inlineStr">
        <is>
          <t>On-site</t>
        </is>
      </c>
      <c r="H187" t="inlineStr">
        <is>
          <t>€1,200 – €1,400 per month</t>
        </is>
      </c>
      <c r="I187" t="inlineStr">
        <is>
          <t>6 months</t>
        </is>
      </c>
      <c r="J187" t="inlineStr">
        <is>
          <t>none mentioned</t>
        </is>
      </c>
      <c r="K187" t="inlineStr">
        <is>
          <t>Master's degree; Frontend development; Object-oriented programming; React; Angular; JavaScript; TypeScript; Java; French</t>
        </is>
      </c>
      <c r="L187" t="inlineStr">
        <is>
          <t>Spring Boot; Kafka; ElasticSearch; PostgreSQL; CI/CD; Docker</t>
        </is>
      </c>
      <c r="M187" t="inlineStr">
        <is>
          <t>&lt;div class="content-intro"&gt;&lt;p&gt;&lt;strong&gt;About Mirakl:&lt;/strong&gt;&lt;/p&gt; &lt;p&gt;Founded in 2012, Mirakl has been at the forefront of marketplace innovation, empowering every business to compete in the platform economy.&lt;br&gt;&lt;br&gt;Today,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Nexus).&lt;br&gt;&lt;br&gt;With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ways.&lt;/p&gt; &lt;p&gt;For more information: &lt;a href="http://www.mirakl.com"&gt;www.mirakl.com&lt;/a&gt;.&lt;/p&gt; &lt;p&gt;&lt;strong&gt;Mirakl in Numbers:&lt;/strong&gt;&lt;/p&gt; &lt;ul&gt; &lt;li&gt;🗓️ Founded in 2012 | Member of French Tech Next40&lt;/li&gt; &lt;li&gt;👥 750+ employees in 9 offices worldwide: Paris, Barcelona, Bordeaux, Boston, London, Munich, New York, Sydney, Tokyo&lt;/li&gt; &lt;li&gt;🇫🇷 350+ Mirakl Tech teams members mainly based in France&lt;/li&gt; &lt;li&gt;⚙️ 5 Saas Solutions&lt;/li&gt; &lt;/ul&gt; &lt;p&gt;&lt;strong&gt;Our Values:&lt;/strong&gt;&lt;/p&gt; &lt;p&gt;Working at Mirakl means accelerating your career alongside ambitious, passionate, and supportive colleagues. We're proud of the diversity of backgrounds, perspectives, and experiences that make our teams unique.&lt;/p&gt; &lt;p&gt;Our 5 values guide how we collaborate:&lt;/p&gt; &lt;ul&gt; &lt;li&gt;💡&lt;strong&gt; Work Hard Together:&lt;/strong&gt; Teamwork and collaboration are the foundation of our success&lt;/li&gt; &lt;li&gt;🏆 &lt;strong&gt;Get Things Done: &lt;/strong&gt;&amp;nbsp;We prioritize action and efficiency for impactful results&lt;/li&gt; &lt;li&gt;🚀 &lt;strong&gt;Go Above &amp;amp; Beyond:&lt;/strong&gt;&amp;nbsp; We tackle challenges proactively and always aim for excellence&lt;/li&gt; &lt;li&gt;🎓 &lt;strong&gt;Succeed Through Expertise:&lt;/strong&gt; Knowledge sharing and continuous learning are core to our culture&lt;/li&gt; &lt;li&gt;🤝 &lt;strong&gt;Satisfy &amp;amp; Empower Clients:&lt;/strong&gt; We're committed to our clients' success&lt;/li&gt; &lt;/ul&gt;&lt;/div&gt;&lt;h3&gt;&lt;strong&gt;1. The Team You'll Join&lt;/strong&gt;&lt;/h3&gt; &lt;p&gt;You'll be part of our Mirakl Labs Financial Services squad, based in Paris. The team is structured as a cross-functional Squad composed of a Senior Engineering Manager, a Product Manager, Software Engineers&amp;nbsp; and a QA engineer. You'll be mentored by &lt;strong&gt;Wael Osmani, Software Engineer&lt;/strong&gt;. &lt;span class="font-semibold text-foreground"&gt;You’ll join a team that builds and ships the core product features powering some of the world’s most ambitious marketplace platforms, with a particular focus on financial services capabilities.&lt;/span&gt;&lt;/p&gt; &lt;h3&gt;&lt;br&gt;&lt;strong&gt;2. Your Impact&lt;/strong&gt;&lt;/h3&gt; &lt;ul&gt; &lt;li class="break-words text-foreground text-base leading-relaxed"&gt;Contribute to the development and evolution of a production application, primarily on the frontend — from UI implementation to user experience improvements&lt;/li&gt; &lt;li class="break-words text-foreground text-base leading-relaxed"&gt;Support backend work by participating in API design and development, collaborating closely with the engineering team&lt;/li&gt; &lt;li class="break-words text-foreground text-base leading-relaxed"&gt;Work hand-in-hand with UX/UI designers to deliver features that are both technically solid and user-centric&lt;/li&gt; &lt;li class="break-words text-foreground text-base leading-relaxed"&gt;Take part in agile rituals — stand-ups, sprint reviews, and retrospectives — and contribute actively to the team's roadmap&lt;/li&gt; &lt;li class="break-words text-foreground text-base leading-relaxed"&gt;Monitor and take ownership of your contributions in production, following a &lt;em&gt;you build it, you run it&lt;/em&gt; mindset&lt;/li&gt; &lt;/ul&gt; &lt;h3&gt;&lt;strong&gt;&lt;br&gt;3. What You'll Bring to the Role&lt;/strong&gt;&lt;/h3&gt; &lt;div class="whitespace-pre-wrap break-words font-normal first:pt-0 last:pb-0 py-1 @sm:pt-2 @sm:pb-[10px] @sm:leading-relaxed text-base leading-relaxed text-foreground"&gt;&lt;strong class="font-semibold text-foreground"&gt;Experience:&lt;/strong&gt;&lt;/div&gt; &lt;ul class="pb-2 flex flex-col gap-1 list-disc pl-6 text-foreground text-base leading-relaxed"&gt; &lt;li class="break-words text-foreground text-base leading-relaxed"&gt;Currently pursuing a Master's degree (M1 or M2) in software engineering, computer science, or a related field, and looking for a 6-month internship&lt;/li&gt; &lt;li class="break-words text-foreground text-base leading-relaxed"&gt;First hands-on development experience through an internship, academic project, apprenticeship, or personal project&lt;/li&gt; &lt;li class="break-words text-foreground text-base leading-relaxed"&gt;Solid understanding of frontend development and object-oriented programming principles&lt;/li&gt; &lt;/ul&gt; &lt;div class="whitespace-pre-wrap break-words font-normal first:pt-0 last:pb-0 py-1 @sm:pt-2 @sm:pb-[10px] @sm:leading-relaxed text-base leading-relaxed text-foreground"&gt;&lt;strong class="font-semibold text-foreground"&gt;Skills:&lt;/strong&gt;&lt;/div&gt; &lt;ul clas</t>
        </is>
      </c>
      <c r="N187" t="n">
        <v>44</v>
      </c>
      <c r="O187" t="n">
        <v>50</v>
      </c>
      <c r="P187" t="n">
        <v>40</v>
      </c>
      <c r="Q187" t="n">
        <v>60</v>
      </c>
      <c r="R187" t="n">
        <v>0</v>
      </c>
      <c r="S187" t="n">
        <v>50</v>
      </c>
      <c r="T187" t="n">
        <v>70</v>
      </c>
      <c r="U187" t="inlineStr">
        <is>
          <t>SKIP</t>
        </is>
      </c>
      <c r="V187" t="inlineStr">
        <is>
          <t>SKIP</t>
        </is>
      </c>
      <c r="W187" t="inlineStr">
        <is>
          <t>French (fluent); Java (demonstrated); TypeScript; React (demonstrated)</t>
        </is>
      </c>
      <c r="X187" t="inlineStr">
        <is>
          <t>Amaanuddin_Ahmed_Resume.pdf</t>
        </is>
      </c>
      <c r="Y187" t="inlineStr">
        <is>
          <t>2026-10-02</t>
        </is>
      </c>
      <c r="Z187" t="inlineStr">
        <is>
          <t>Good technical learning opportunity in a well-known company squad.</t>
        </is>
      </c>
      <c r="AA187" t="inlineStr">
        <is>
          <t>not eligible</t>
        </is>
      </c>
      <c r="AB187" t="inlineStr">
        <is>
          <t>Location mismatch: Job is based in Paris, France while candidate prefers Bengaluru, India.; Language blocker: Role requires fluent French, which is not present in the candidate profile.</t>
        </is>
      </c>
      <c r="AC187" t="inlineStr">
        <is>
          <t>unknown</t>
        </is>
      </c>
      <c r="AD187" t="inlineStr">
        <is>
          <t>Candidate availability dates are not explicitly detailed relative to the specific start window required.</t>
        </is>
      </c>
      <c r="AE187" t="inlineStr">
        <is>
          <t>known</t>
        </is>
      </c>
      <c r="AF187" t="n">
        <v>108000</v>
      </c>
      <c r="AG187" t="inlineStr">
        <is>
          <t>No</t>
        </is>
      </c>
      <c r="AH187" t="inlineStr">
        <is>
          <t>none mentioned</t>
        </is>
      </c>
      <c r="AI187" t="inlineStr">
        <is>
          <t>No explicit mention of permanent conversion or PPO in the job description.</t>
        </is>
      </c>
      <c r="AJ187" t="inlineStr">
        <is>
          <t>Location in Paris, France; Fluent French language requirement</t>
        </is>
      </c>
      <c r="AK187" t="inlineStr">
        <is>
          <t>Requires relocation to Paris; Requires fluent French</t>
        </is>
      </c>
      <c r="AL187" t="inlineStr">
        <is>
          <t>Frontend development principles with Angular/React; Java and Spring Boot fundamentals; API design and development; Production monitoring and debugging</t>
        </is>
      </c>
    </row>
    <row r="188">
      <c r="A188" t="inlineStr">
        <is>
          <t>MIRAKL---LAB-261002-187</t>
        </is>
      </c>
      <c r="B188" t="inlineStr">
        <is>
          <t>Mirakl - Labs</t>
        </is>
      </c>
      <c r="C188" t="inlineStr">
        <is>
          <t>Software Engineer Intern</t>
        </is>
      </c>
      <c r="D188" t="inlineStr">
        <is>
          <t>https://www.arbeitnow.fr/jobs/companies/mirakl-labs/software-engineer-intern-bordeaux-188781</t>
        </is>
      </c>
      <c r="E188" t="inlineStr">
        <is>
          <t>AI Analyzer</t>
        </is>
      </c>
      <c r="F188" t="inlineStr">
        <is>
          <t>Bordeaux, France</t>
        </is>
      </c>
      <c r="G188" t="inlineStr">
        <is>
          <t>On-site / Hybrid</t>
        </is>
      </c>
      <c r="H188" t="inlineStr">
        <is>
          <t>€1,200 – €1,400 per month</t>
        </is>
      </c>
      <c r="I188" t="inlineStr">
        <is>
          <t>6 months</t>
        </is>
      </c>
      <c r="J188" t="inlineStr">
        <is>
          <t>none</t>
        </is>
      </c>
      <c r="K188" t="inlineStr">
        <is>
          <t>Java; Spring Boot; ReactJS; Kafka; ElasticSearch; PostgreSQL; CI/CD; Git; Docker</t>
        </is>
      </c>
      <c r="L188" t="inlineStr">
        <is>
          <t>LLMs; AI agents; Testing best practices</t>
        </is>
      </c>
      <c r="M188"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1. The Team You'll Join You'll join one of the Mirakl Labs Ads teams for a six-month internship starting in January or February 2027 , based in Paris or Bordeaux . You'll be part of a cross-functional Squad made up of a Senior Engineering Manager, a Product Manager, Software Engineers, and a QA Engineer. 2. Your Impact Contribute to the development and enhancement of an AI agent that autonomously generates and executes test scenarios, covering new feature validation, regression testing, and exploratory testing. Help design, write, and run test cases to evaluate the agent's performance. Explore different technical approaches and contribute to benchmarking their results. Work under the guidance of experienced engineers and QA team members Contribute to the project using existing programming skills 3. What You'll Bring to the Role Experience: Currently pursuing a degree in software engineering, computer science, or a related field (engineering school, university, or career change), and looking for a 6-month internship First hands-on development experience through an internship, academic project, apprenticeship, or personal project Good understanding of a programming language Proficient in working with LLMs and developing skills and/or agents Appreciation for software quality best practices: testing, clean code, design patterns Strong team player with a genuine enthusiasm for knowledge sharing and problem-solving 4. Tech Stack Back-end: Java 21, Spring Boot Front-end: ReactJS Data &amp; Messaging: Kafka, ElasticSearch, PostgreSQL Tooling &amp; Practices: CI/CD, Git, Docker, Monitoring 5. Languages French: Fluent English: Professional proficiency (written and spoken) Compensation, Perks &amp; Benefits Pay Range: €1,200 – €1,400 per month Our Hiring Process We warmly encourage you to apply to any of our roles, even if you think you're not an exact match. Please click the "Apply" button to submit your application — this helps us make the best possible assessment and get back to you as quickly as possible. Manual screening of your CV by a recruiter , then an AI-powered screening conversation (10 min) with Emma , Mirakl's AI Talent Ambassador, to explore your background and motivation for the role. You will need to complete this step within 3 days, otherwise we won't be able to move forward with your application. Recruiter interview (30 min) — conversation about your background, motivations, and an introduction to Mirakl Hiring Manager interview (45 min) — technical discussion STAR interview (1h) — exchange with one or two team members exploring Mirakl's values and culture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t>
        </is>
      </c>
      <c r="N188" t="n">
        <v>46</v>
      </c>
      <c r="O188" t="n">
        <v>40</v>
      </c>
      <c r="P188" t="n">
        <v>60</v>
      </c>
      <c r="Q188" t="n">
        <v>50</v>
      </c>
      <c r="R188" t="n">
        <v>0</v>
      </c>
      <c r="S188" t="n">
        <v>70</v>
      </c>
      <c r="T188" t="n">
        <v>80</v>
      </c>
      <c r="U188" t="inlineStr">
        <is>
          <t>SKIP</t>
        </is>
      </c>
      <c r="V188" t="inlineStr">
        <is>
          <t>SKIP</t>
        </is>
      </c>
      <c r="W188" t="inlineStr">
        <is>
          <t>Java; Spring Boot; Kafka; ElasticSearch; PostgreSQL; LLM and AI agent development</t>
        </is>
      </c>
      <c r="X188" t="inlineStr">
        <is>
          <t>Default Full Stack / MERN Resume</t>
        </is>
      </c>
      <c r="Y188" t="inlineStr">
        <is>
          <t>2026-10-02</t>
        </is>
      </c>
      <c r="Z188" t="inlineStr">
        <is>
          <t>Great brand and exciting AI agent test automation project.; Six-month structured internship program.</t>
        </is>
      </c>
      <c r="AA188" t="inlineStr">
        <is>
          <t>eligible</t>
        </is>
      </c>
      <c r="AB188" t="inlineStr">
        <is>
          <t>Candidate is pursuing a relevant MCA degree matching the academic requirements.; Candidate has hands-on full-stack development experience from multiple internships.</t>
        </is>
      </c>
      <c r="AC188" t="inlineStr">
        <is>
          <t>unknown</t>
        </is>
      </c>
      <c r="AD188" t="inlineStr">
        <is>
          <t>Candidate availability for relocating to France or exact start date in early 2027 is unconfirmed.</t>
        </is>
      </c>
      <c r="AE188" t="inlineStr">
        <is>
          <t>known</t>
        </is>
      </c>
      <c r="AF188" t="n">
        <v>108000</v>
      </c>
      <c r="AG188" t="inlineStr">
        <is>
          <t>No</t>
        </is>
      </c>
      <c r="AH188" t="inlineStr">
        <is>
          <t>none</t>
        </is>
      </c>
      <c r="AI188" t="inlineStr">
        <is>
          <t>No explicit mention of a permanent retention offer (PPO) upon internship completion in the job description.</t>
        </is>
      </c>
      <c r="AJ188" t="inlineStr">
        <is>
          <t>Location requirement: Based in Paris or Bordeaux, France (Candidate is in Bengaluru, India and preferred location is Bengaluru/Remote).</t>
        </is>
      </c>
      <c r="AK188" t="inlineStr">
        <is>
          <t>Geographic relocation required to France.; French language proficiency required (Fluent French, though not strictly marked as an absolute blocker in text, it is listed under Languages).</t>
        </is>
      </c>
      <c r="AL188" t="inlineStr">
        <is>
          <t>Experience with React and modern frontend state management; Understanding of LLMs and AI agent workflows; Testing frameworks, clean code, and design patterns</t>
        </is>
      </c>
    </row>
    <row r="189">
      <c r="A189" t="inlineStr">
        <is>
          <t>LAELAPS-261002-188</t>
        </is>
      </c>
      <c r="B189" t="inlineStr">
        <is>
          <t>Laelaps</t>
        </is>
      </c>
      <c r="C189" t="inlineStr">
        <is>
          <t>Software Engineer, Robot Autonomy (Actuator Control &amp; Locomotion), Intern</t>
        </is>
      </c>
      <c r="D189" t="inlineStr">
        <is>
          <t>https://www.arbeitnow.ch/jobs/companies/laelaps/software-engineer-robot-autonomy-actuator-control-locomotion-intern-zurich-419100</t>
        </is>
      </c>
      <c r="E189" t="inlineStr">
        <is>
          <t>AI Analyzer</t>
        </is>
      </c>
      <c r="F189" t="inlineStr">
        <is>
          <t>Zürich, Switzerland</t>
        </is>
      </c>
      <c r="G189" t="inlineStr">
        <is>
          <t>On-site</t>
        </is>
      </c>
      <c r="I189" t="inlineStr">
        <is>
          <t>Not specified</t>
        </is>
      </c>
      <c r="J189" t="inlineStr">
        <is>
          <t>UNKNOWN</t>
        </is>
      </c>
      <c r="K189" t="inlineStr">
        <is>
          <t>Python; PyTorch; Docker; Git; Reinforcement Learning; Robot Dynamics; Robot Control; Robotics Simulators (Isaac Sim, MuJoCo, or Gazebo)</t>
        </is>
      </c>
      <c r="L189" t="inlineStr">
        <is>
          <t>C++; ROS 2; Legged robots deployment; Actuator control</t>
        </is>
      </c>
      <c r="M189" t="inlineStr">
        <is>
          <t>Our Mission At Laelaps AI, we believe robotics is entering a transformative decade, much like the arrival of the internet. Advances in AI, cloud computing, and hardware are reshaping what autonomous systems can do. Our mission is to build the intelligent software that powers physical security in the real world - enabling robots and sensors to handle dangerous and critical tasks that humans shouldn't have to. By engineering the orchestration layer for intelligent security, we aim to create a world that is safer, more secure, and more resilient. We're a strong founding team based in Zurich, backed by visionary investors and advisors. We are engineering the future of security today! THE ROLE As a Reinforcement Learning Intern on Robot Autonomy, you'll train locomotion and low-level control policies for our legged security robots and help take them from simulation to real hardware. You'll work close to the actuators, from joint-level behavior through coordinated locomotion, on robots that patrol outdoor sites across varied terrain and challenging weather. This role is highly practical: you'll design training setups, run experiments in simulation, transfer policies to physical robots, and measure how they hold up. You'll get hands-on experience with the gap between a policy that works in simulation and one that keeps a robot on its feet on wet ground at night. WHAT YOU'LL WORK ON Train and evaluate reinforcement learning policies for locomotion and low-level control in simulation. Apply sim-to-real techniques such as domain randomization, reward design, and policy robustness methods, and test the results on physical robots. Make policies robust to varied terrain, challenging weather, and noisy, delayed, or missing sensor data. Explore control approaches that transfer across robot embodiments with different actuators and dynamics. Build evaluation workflows with clear metrics and repeatable experiments, in simulation and on hardware. Apply solid engineering practices: experiment tracking, version control, reproducible training runs. WHO WE'RE LOOKING FOR We're looking for a motivated robotics or machine learning student excited to apply academic training in a fast-moving startup. You'll be surrounded by a team that values learning, experimentation, and building things that actually work in the real world. YOUR BACKGROUND: Currently pursuing a PhD or recently completed a Master's degree in Robotics, Machine Learning, Computer Science, or a closely related field. Hands-on experience training reinforcement learning policies for robot control, in simulation or on hardware. Experience with robotics simulators such as Isaac Sim, MuJoCo, or Gazebo. Solid grounding in robot dynamics and control. Good coding skills in Python, with PyTorch (or JAX). Comfortable using Docker and Git in your workflows. NICE TO HAVE: Experience deploying learned policies on physical robots, ideally legged. Experience with low-level actuator, motor, or joint control. C++ and ROS 2 experience. Publications at top robotics or ML venues (CoRL, RSS, ICRA, NeurIPS). What We Offer Ownership: you are able to ship products and deliver project end-to-end. Mission: autonomous security that keeps people and critical sites safe, including in defence. Career path: a ground-floor seat with real runway. Prove your value and you will not have barriers to grow. Team: work directly with PhD-level co-founders in AI, Robotics, and Physics, alongside a strong (and fun) founding team. Compensation: Competitive equity/salary package Culture: International founding team that is serious about building but does not take itself too seriously. Find Jobs in Switzerland on Arbeitnow</t>
        </is>
      </c>
      <c r="N189" t="n">
        <v>18</v>
      </c>
      <c r="O189" t="n">
        <v>5</v>
      </c>
      <c r="P189" t="n">
        <v>10</v>
      </c>
      <c r="Q189" t="n">
        <v>5</v>
      </c>
      <c r="R189" t="n">
        <v>40</v>
      </c>
      <c r="S189" t="n">
        <v>0</v>
      </c>
      <c r="T189" t="n">
        <v>80</v>
      </c>
      <c r="U189" t="inlineStr">
        <is>
          <t>SKIP</t>
        </is>
      </c>
      <c r="V189" t="inlineStr">
        <is>
          <t>SKIP</t>
        </is>
      </c>
      <c r="W189" t="inlineStr">
        <is>
          <t>Reinforcement Learning; Robot Dynamics; Robot Control; Robotics Simulators (Isaac Sim, MuJoCo, Gazebo); PyTorch; Python (working knowledge only, not demonstrated in projects)</t>
        </is>
      </c>
      <c r="X189" t="inlineStr">
        <is>
          <t>Amaanuddin_Ahmed_Resume.pdf</t>
        </is>
      </c>
      <c r="Y189" t="inlineStr">
        <is>
          <t>2026-10-02</t>
        </is>
      </c>
      <c r="AA189" t="inlineStr">
        <is>
          <t>INELIGIBLE</t>
        </is>
      </c>
      <c r="AB189" t="inlineStr">
        <is>
          <t>The role requires currently pursuing a PhD or recently completed a Master's degree in Robotics, Machine Learning, Computer Science, or a closely related field, whereas the candidate is currently pursuing an MCA.; The location is Zürich, Switzerland, requiring relocation or international presence, whereas the candidate's preferred location is Bengaluru, India.; The role requires hands-on experience training reinforcement learning policies for robot control in simulation or on hardware, which the candidate does not possess.</t>
        </is>
      </c>
      <c r="AC189" t="inlineStr">
        <is>
          <t>UNKNOWN</t>
        </is>
      </c>
      <c r="AD189" t="inlineStr">
        <is>
          <t>Availability not explicitly specified in the candidate profile.</t>
        </is>
      </c>
      <c r="AE189" t="inlineStr">
        <is>
          <t>UNKNOWN</t>
        </is>
      </c>
      <c r="AF189" t="n">
        <v>0</v>
      </c>
      <c r="AG189" t="inlineStr">
        <is>
          <t>No</t>
        </is>
      </c>
      <c r="AH189" t="inlineStr">
        <is>
          <t>UNKNOWN</t>
        </is>
      </c>
      <c r="AI189" t="inlineStr">
        <is>
          <t>No explicit conversion or PPO mention in the JD, though a career path is suggested.</t>
        </is>
      </c>
      <c r="AJ189" t="inlineStr">
        <is>
          <t>Degree requirement: Role requires pursuing PhD or recently completed Master's degree in Robotics/ML/CS; candidate is in MCA.; Technical requirement: Extensive reinforcement learning and robot control simulation experience required.; Location requirement: Zürich, Switzerland.</t>
        </is>
      </c>
      <c r="AK189" t="inlineStr">
        <is>
          <t>Complete mismatch in technical domain (Web Development vs. Robot Autonomy &amp; Reinforcement Learning).</t>
        </is>
      </c>
    </row>
    <row r="190">
      <c r="A190" t="inlineStr">
        <is>
          <t>GARDACP-261002-189</t>
        </is>
      </c>
      <c r="B190" t="inlineStr">
        <is>
          <t>Gardacp</t>
        </is>
      </c>
      <c r="C190" t="inlineStr">
        <is>
          <t>Software Engineer Intern (AI Internal Tools)</t>
        </is>
      </c>
      <c r="D190" t="inlineStr">
        <is>
          <t>https://www.arbeitnow.ch/jobs/companies/gardacp/software-engineer-intern-ai-internal-tools-geneva-geneva-zug-zug-95006</t>
        </is>
      </c>
      <c r="E190" t="inlineStr">
        <is>
          <t>AI Analyzer</t>
        </is>
      </c>
      <c r="F190" t="inlineStr">
        <is>
          <t>Geneva, Switzerland; Zug, Switzerland</t>
        </is>
      </c>
      <c r="G190" t="inlineStr">
        <is>
          <t>On-site</t>
        </is>
      </c>
      <c r="I190" t="inlineStr">
        <is>
          <t>6 months</t>
        </is>
      </c>
      <c r="J190" t="inlineStr">
        <is>
          <t>None</t>
        </is>
      </c>
      <c r="K190" t="inlineStr">
        <is>
          <t>Programming proficiency; Software engineering fundamentals; Backend services/APIs; Version control; Testing and debugging</t>
        </is>
      </c>
      <c r="L190" t="inlineStr">
        <is>
          <t>AI platform experience; Cloud technology; Financial markets interest</t>
        </is>
      </c>
      <c r="M190" t="inlineStr">
        <is>
          <t>&lt;div class="content-intro"&gt;&lt;p&gt;Garda Capital Partners (Garda) is a multi-billion dollar alternative investment firm with over 22 years of experience deploying relative value strategies across fixed income markets for institutional investors. We hire, grow, and mentor great talent and remain steadfast in our commitment to building a culture that helps them succeed. Garda is more than a workplace. We are built on trust, integrity, and a shared vision for how we work together, the enduring relationships we build, and the consistency of our results. Garda's primary offices are located in Wayzata, New York City, West Palm Beach, Geneva, Zug, Copenhagen, Singapore, and Scottsdale.&amp;nbsp;&lt;/p&gt;&lt;/div&gt;&lt;p&gt;Garda is seeking a&amp;nbsp;&lt;strong&gt;Software Engineer Intern (AI Internal Tools)&lt;/strong&gt; for a 6-month internship, who will report to the AI Lead. The role focuses on building and improving internal systems, tools, and engineering infrastructure that let teams across Garda use AI effectively, safely, and reliably.&lt;/p&gt; &lt;p&gt;This is a hands-on engineering position spanning internal applications, integrations, shared AI platform components, evaluation tooling, observability, and developer workflows — contributing to both new features and existing production systems. It is not model training, quant research, or one-off prototyping; the focus is on maintainable, reusable systems for broad internal use.&lt;/p&gt; &lt;p&gt;Ideal candidates are strong technical students who thrive on ambiguity, pick up new technologies quickly, and take ownership of code quality. While AI-assisted development tools are used, the intern is expected to apply solid engineering judgment, test rigorously, and deliver secure, maintainable work.&lt;/p&gt; &lt;p&gt;&lt;span style="text-decoration: underline;"&gt;&lt;strong&gt;Position Responsibilities&lt;/strong&gt;&lt;/span&gt;&lt;/p&gt; &lt;ul&gt; &lt;li&gt;Build and improve internal applications, backend services, APIs, and integrations that bring AI capabilities into firm workflows.&lt;/li&gt; &lt;li&gt;Contribute to shared AI platform capabilities, such as gateway services, access and identity integrations, monitoring, observability, and support tooling.&lt;/li&gt; &lt;li&gt;Deliver small, production-minded features and services, including design, implementation, testing, documentation, deployment support, and iterative improvement after release.&lt;/li&gt; &lt;li&gt;Help evaluate AI models, tools, and internal AI applications; contribute to practical evaluation methods, benchmarks, monitoring, and feedback loops.&lt;/li&gt; &lt;li&gt;Identify recurring needs and generalizable patterns in work across teams, then help turn them into reusable components, standards, or automation rather than one-off solutions.&lt;/li&gt; &lt;li&gt;Work with engineers, infrastructure, security, compliance, and internal users to understand requirements, navigate dependencies, and incorporate feedback into robust solutions.&lt;/li&gt; &lt;li&gt;Use AI-assisted development tools effectively while maintaining ownership of code quality, correctness, security, reliability, and maintainability.&lt;/li&gt; &lt;li&gt;Support and improve existing systems by investigating issues, improving documentation, and helping make services easier to operate and support.&lt;/li&gt; &lt;/ul&gt; &lt;p&gt;&lt;span style="text-decoration: underline;"&gt;&lt;strong&gt;Qualifications &amp;amp; Desired Skills&lt;/strong&gt;&lt;/span&gt;&lt;/p&gt; &lt;ul&gt; &lt;li&gt;Pursuing a Bachelor's in Computer Science, Engineering, Mathematics, or Quantitative Finance&lt;/li&gt; &lt;li&gt;Demonstrated software-development experience through coursework, internships, personal projects, open-source work, or similar practical experience.&lt;/li&gt; &lt;li&gt;Proficiency in at least one programming language and the ability and interest to learn the languages, frameworks, and tools required for the work.&lt;/li&gt; &lt;li&gt;Strong software-engineering fundamentals, including data structures, algorithms, debugging, testing, version control, and clear code design.&lt;/li&gt; &lt;li&gt;Interest in building backend services, APIs, internal applications, integrations, or developer/infrastructure tooling.&lt;/li&gt; &lt;li&gt;Sound problem-solving skills and good judgment about trade-offs among speed, quality, reliability, and maintainability.&lt;/li&gt; &lt;li&gt;Comfort working in a changing environment, clarifying ambiguous requirements, and iterating constructively with stakeholders.&lt;/li&gt; &lt;li&gt;Clear written and verbal communication skills; able to collaborate with both technical and non-technical colleagues.&lt;/li&gt; &lt;li&gt;Interest in practical AI systems and AI-enabled development. Prior experience with a particular AI platform, programming language, or cloud technology is welcome but not required.&lt;/li&gt; &lt;li&gt;Interest in financial markets or investment management is a plus, but is not required.&lt;/li&gt; &lt;/ul&gt; &lt;p&gt;&amp;nbsp;&lt;/p&gt; &lt;p&gt;&lt;a href="https://www.gardacp.com/wp-content/uploads/2025/06/Candidate_Privacy_Notice.pdf"&gt;Candidate Privacy Policy&lt;/a&gt;&lt;/p&gt; Find more English Speaking Jobs in Switzerland on Arbeitnow</t>
        </is>
      </c>
      <c r="N190" t="n">
        <v>60</v>
      </c>
      <c r="O190" t="n">
        <v>70</v>
      </c>
      <c r="P190" t="n">
        <v>75</v>
      </c>
      <c r="Q190" t="n">
        <v>70</v>
      </c>
      <c r="R190" t="n">
        <v>0</v>
      </c>
      <c r="S190" t="n">
        <v>50</v>
      </c>
      <c r="T190" t="n">
        <v>85</v>
      </c>
      <c r="U190" t="inlineStr">
        <is>
          <t>SKIP</t>
        </is>
      </c>
      <c r="V190" t="inlineStr">
        <is>
          <t>SKIP</t>
        </is>
      </c>
      <c r="W190" t="inlineStr">
        <is>
          <t>AI internal tool frameworks; Advanced evaluation tooling for AI</t>
        </is>
      </c>
      <c r="X190" t="inlineStr">
        <is>
          <t>Amaanuddin_Ahmed_Resume.pdf</t>
        </is>
      </c>
      <c r="Y190" t="inlineStr">
        <is>
          <t>2026-10-02</t>
        </is>
      </c>
      <c r="Z190" t="inlineStr">
        <is>
          <t>Interesting infrastructure and internal tooling role involving backend services and AI systems.</t>
        </is>
      </c>
      <c r="AA190" t="inlineStr">
        <is>
          <t>Ineligible</t>
        </is>
      </c>
      <c r="AB190" t="inlineStr">
        <is>
          <t>Location mismatch: Candidate is in Bengaluru, India, while the role requires working on-site in Geneva or Zug, Switzerland.; Degree requirement mismatch: Role specifies Bachelor's in Computer Science, Engineering, Mathematics, or Quantitative Finance, whereas the candidate is pursuing an MCA.</t>
        </is>
      </c>
      <c r="AC190" t="inlineStr">
        <is>
          <t>UNKNOWN</t>
        </is>
      </c>
      <c r="AD190" t="inlineStr">
        <is>
          <t>Availability relative to Swiss internship timelines and on-site relocation constraints is not specified.</t>
        </is>
      </c>
      <c r="AE190" t="inlineStr">
        <is>
          <t>UNKNOWN</t>
        </is>
      </c>
      <c r="AF190" t="n">
        <v>0</v>
      </c>
      <c r="AG190" t="inlineStr">
        <is>
          <t>No</t>
        </is>
      </c>
      <c r="AH190" t="inlineStr">
        <is>
          <t>None</t>
        </is>
      </c>
      <c r="AI190" t="inlineStr">
        <is>
          <t>No explicit conversion or PPO mention found in the job description.</t>
        </is>
      </c>
      <c r="AJ190" t="inlineStr">
        <is>
          <t>Location: On-site in Switzerland (Geneva/Zug); Degree specification: Bachelor's degree required (Candidate has MCA)</t>
        </is>
      </c>
      <c r="AK190" t="inlineStr">
        <is>
          <t>Geographic restriction to Switzerland without sponsorship details</t>
        </is>
      </c>
      <c r="AL190" t="inlineStr">
        <is>
          <t>Backend systems and API design; Experience with AI or integration tools; Debugging and testing workflows</t>
        </is>
      </c>
    </row>
    <row r="191">
      <c r="A191" t="inlineStr">
        <is>
          <t>STARK-261002-190</t>
        </is>
      </c>
      <c r="B191" t="inlineStr">
        <is>
          <t>Stark</t>
        </is>
      </c>
      <c r="C191" t="inlineStr">
        <is>
          <t>Working Student – Flight Software Engineering (PX4 / Autopilot)</t>
        </is>
      </c>
      <c r="D191" t="inlineStr">
        <is>
          <t>https://www.arbeitnow.com/jobs/companies/stark/working-student-flight-software-engineering-px4-autopilot-all-genders-berlin-248712</t>
        </is>
      </c>
      <c r="E191" t="inlineStr">
        <is>
          <t>AI Analyzer</t>
        </is>
      </c>
      <c r="F191" t="inlineStr">
        <is>
          <t>Berlin</t>
        </is>
      </c>
      <c r="G191" t="inlineStr">
        <is>
          <t>On-site</t>
        </is>
      </c>
      <c r="I191" t="inlineStr">
        <is>
          <t>Not specified</t>
        </is>
      </c>
      <c r="J191" t="inlineStr">
        <is>
          <t>No</t>
        </is>
      </c>
      <c r="K191" t="inlineStr">
        <is>
          <t>Python; PX4 / ArduPilot / Flight control systems; Citizenship of a NATO member state</t>
        </is>
      </c>
      <c r="L191" t="inlineStr">
        <is>
          <t>SITL / HITL simulation environments; Flight-log analysis; Telemetry data; Automated testing frameworks; Drones; Robotics; Embedded systems</t>
        </is>
      </c>
      <c r="M191" t="inlineStr">
        <is>
          <t>About Us STARK is a European defence technology company building the next generation of unmanned systems. We design, develop and manufacture software-defined, mass-scalable and cost-effective platforms that give NATO operators a decisive edge in highly contested environments. We are focused on delivering deployable, high-performance capability — not future promises. In a time of rising threats, our work strengthens the technological edge of NATO Allies and their Partners. Your mission Your mission is to work hands-on with the software that flies our aircraft. You support the flight software team on the PX4 / autopilot stack — writing and testing Python tooling, wrangling flight logs, and helping turn what happens in the air into something the engineers can act on. You aren't just running scripts on the side; you are contributing to the autopilot layer that every other capability on the aircraft depends on — and learning how real flight software is built, tested, and flown Responsibilities You support the development and testing of PX4 / autopilot software, from configuration to log analysis. You write and maintain Python tooling for test automation, data processing, and flight-log analysis. You help reproduce, isolate, and document software issues found in simulation and flight test. You process and visualise flight and telemetry data to make system behaviour observable to the engineering team. You support the loop between test results and software changes, so findings actually drive the next iteration. You keep tooling, scripts, and documentation clean and reusable. Qualifications You are currently enrolled in a Bachelor's or Master's in Computer Science, Software Engineering, Aerospace, or a comparable technical field. You have hands-on experience with Python, ideally including data processing or automation. You are familiar with PX4, ArduPilot, or comparable autopilot / flight control systems. You must be a citizen of a NATO member state due to export control and security regulations. You are available 20 hours per week during the semester, with flexibility around your studies. You have good written and verbal communication skills in English; German is a plus. Nice to have You have experience working with SITL / HITL simulation environments. You have worked with flight-log analysis, telemetry data, or automated testing frameworks. You have personal or university projects involving drones, robotics, embedded systems, or autonomous vehicles. Find more English Speaking Jobs in Germany on Arbeitnow</t>
        </is>
      </c>
      <c r="N191" t="n">
        <v>14</v>
      </c>
      <c r="O191" t="n">
        <v>20</v>
      </c>
      <c r="P191" t="n">
        <v>10</v>
      </c>
      <c r="Q191" t="n">
        <v>10</v>
      </c>
      <c r="R191" t="n">
        <v>0</v>
      </c>
      <c r="S191" t="n">
        <v>0</v>
      </c>
      <c r="T191" t="n">
        <v>40</v>
      </c>
      <c r="U191" t="inlineStr">
        <is>
          <t>SKIP</t>
        </is>
      </c>
      <c r="V191" t="inlineStr">
        <is>
          <t>SKIP</t>
        </is>
      </c>
      <c r="W191" t="inlineStr">
        <is>
          <t>Python (working knowledge only, not demonstrated in production); PX4 / ArduPilot / Flight control systems; NATO citizenship</t>
        </is>
      </c>
      <c r="X191" t="inlineStr">
        <is>
          <t>Amaanuddin_Ahmed_Resume.pdf</t>
        </is>
      </c>
      <c r="Y191" t="inlineStr">
        <is>
          <t>2026-10-02</t>
        </is>
      </c>
      <c r="AA191" t="inlineStr">
        <is>
          <t>Not Eligible</t>
        </is>
      </c>
      <c r="AB191" t="inlineStr">
        <is>
          <t>Must be a citizen of a NATO member state due to export control and security regulations.; Location is Berlin, Germany, whereas candidate prefers Bengaluru, India.; Missing mandatory experience/familiarity with PX4, ArduPilot, or comparable autopilot / flight control systems.</t>
        </is>
      </c>
      <c r="AC191" t="inlineStr">
        <is>
          <t>Unknown</t>
        </is>
      </c>
      <c r="AD191" t="inlineStr">
        <is>
          <t>Availability for part-time working student hours in Berlin while enrolled in MCA in Bengaluru is not specified.</t>
        </is>
      </c>
      <c r="AE191" t="inlineStr">
        <is>
          <t>UNKNOWN</t>
        </is>
      </c>
      <c r="AF191" t="n">
        <v>0</v>
      </c>
      <c r="AG191" t="inlineStr">
        <is>
          <t>No</t>
        </is>
      </c>
      <c r="AH191" t="inlineStr">
        <is>
          <t>No</t>
        </is>
      </c>
      <c r="AI191" t="inlineStr">
        <is>
          <t>No conversion or PPO is mentioned in the job description.</t>
        </is>
      </c>
      <c r="AJ191" t="inlineStr">
        <is>
          <t>Must be a citizen of a NATO member state due to export control and security regulations.; Location is Berlin, Germany (requires relocation / local presence).</t>
        </is>
      </c>
      <c r="AK191" t="inlineStr">
        <is>
          <t>Location mismatch (Berlin vs Bengaluru); Citizenship requirement violation</t>
        </is>
      </c>
    </row>
    <row r="192">
      <c r="A192" t="inlineStr">
        <is>
          <t>TIKTOK-261002-191</t>
        </is>
      </c>
      <c r="B192" t="inlineStr">
        <is>
          <t>TikTok</t>
        </is>
      </c>
      <c r="C192" t="inlineStr">
        <is>
          <t>Machine Learning Ops Engineer Intern (Ads Infra)</t>
        </is>
      </c>
      <c r="D192" t="inlineStr">
        <is>
          <t>https://www.themuse.com/jobs/tiktok/machine-learning-ops-engineer-intern-ads-infra-2027-start</t>
        </is>
      </c>
      <c r="E192" t="inlineStr">
        <is>
          <t>AI Analyzer</t>
        </is>
      </c>
      <c r="F192" t="inlineStr">
        <is>
          <t>Singapore</t>
        </is>
      </c>
      <c r="G192" t="inlineStr">
        <is>
          <t>onsite</t>
        </is>
      </c>
      <c r="H192" t="inlineStr">
        <is>
          <t>Not specified</t>
        </is>
      </c>
      <c r="I192" t="inlineStr">
        <is>
          <t>Not specified</t>
        </is>
      </c>
      <c r="J192" t="inlineStr">
        <is>
          <t>UNKNOWN</t>
        </is>
      </c>
      <c r="K192" t="inlineStr">
        <is>
          <t>Linux; Networking; Storage; Python; Go; C; C++; Java; Production Operations</t>
        </is>
      </c>
      <c r="L192" t="inlineStr">
        <is>
          <t>SRE internship of machine learning systems; SRE internship of ads/recommendation/search systems</t>
        </is>
      </c>
      <c r="M192" t="inlineStr">
        <is>
          <t>Responsibilities Team Introduction MLOps - Global SRE team is responsible for the reliability of the machine learning infrastructure powering ByteDance's global advertising systems. We ensure the stability, scalability, and operational efficiency of the entire machine learning lifecycle, including data pipelines, model development, training, deployment, inference, monitoring, and continuous optimization.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Responsibilities - Define and drive Service Level Objectives (SLOs) for online machine learning inference systems, ensuring the reliability, availability, and performance of large-scale production inference services; - Ensure the reliability and operational excellence of offline machine learning training pipelines, continuously improving training job success rates; - Drive infrastructure capacity planning and resource management for machine learning workloads, ensuring compute resources meet evolving business demands while continuously improving GPU and CPU utilization through performance optimization; - Lead the enablement of new machine learning frameworks and GPU platforms, driving large-scale production deployment while maintaining model quality and business performance; - Design, build, and maintain MLOps platforms and automation tools, including quota management, job diagnostics, monitoring and observability, resource management, and operational tooling. Qualifications Minimum Qualifications - Currently pursuing a Undergraduate/ Master's in Computer Science or Software Engineering or a related discipline. - Expertise in Linux operating systems, networking, storage. - Experience programming in at least one of the following programming languages: Python, Go, C, C++, or Java. - Experience in troubleshooting application issues, or production operations. - Effective communication skills and a sense of ownership and drive. Preferred Qualifications - Experience in SRE internship of machine learning systems. - Experience in SRE internship of ads/recommendation/search systems.</t>
        </is>
      </c>
      <c r="N192" t="n">
        <v>21</v>
      </c>
      <c r="O192" t="n">
        <v>20</v>
      </c>
      <c r="P192" t="n">
        <v>20</v>
      </c>
      <c r="Q192" t="n">
        <v>20</v>
      </c>
      <c r="R192" t="n">
        <v>0</v>
      </c>
      <c r="S192" t="n">
        <v>0</v>
      </c>
      <c r="T192" t="n">
        <v>80</v>
      </c>
      <c r="U192" t="inlineStr">
        <is>
          <t>SKIP</t>
        </is>
      </c>
      <c r="V192" t="inlineStr">
        <is>
          <t>SKIP</t>
        </is>
      </c>
      <c r="W192" t="inlineStr">
        <is>
          <t>Linux system administration; Networking and storage infrastructure; SRE and MLOps production systems; Python, Go, C, or C++ production experience</t>
        </is>
      </c>
      <c r="X192" t="inlineStr">
        <is>
          <t>Amaanuddin_Ahmed_Resume.pdf</t>
        </is>
      </c>
      <c r="Y192" t="inlineStr">
        <is>
          <t>2026-10-02</t>
        </is>
      </c>
      <c r="AA192" t="inlineStr">
        <is>
          <t>Ineligible</t>
        </is>
      </c>
      <c r="AB192" t="inlineStr">
        <is>
          <t>Job location is Singapore, but candidate's preferred location is Bengaluru, India.; Role requires MLOps, SRE, Linux, networking, and storage expertise, which is outside candidate's core Full Stack / Backend / MERN profile.</t>
        </is>
      </c>
      <c r="AC192" t="inlineStr">
        <is>
          <t>UNKNOWN</t>
        </is>
      </c>
      <c r="AD192" t="inlineStr">
        <is>
          <t>Availability and exact start dates are not specified in the candidate profile.</t>
        </is>
      </c>
      <c r="AE192" t="inlineStr">
        <is>
          <t>UNKNOWN</t>
        </is>
      </c>
      <c r="AF192" t="n">
        <v>0</v>
      </c>
      <c r="AG192" t="inlineStr">
        <is>
          <t>No</t>
        </is>
      </c>
      <c r="AH192" t="inlineStr">
        <is>
          <t>UNKNOWN</t>
        </is>
      </c>
      <c r="AI192" t="inlineStr">
        <is>
          <t>No explicit PPO or conversion mention found in the job description.</t>
        </is>
      </c>
      <c r="AJ192" t="inlineStr">
        <is>
          <t>Location mismatch: Role is in Singapore, candidate prefers Bengaluru (or remote).; Domain mismatch: Role is heavily focused on MLOps, SRE, and infrastructure, whereas candidate profile is focused on Full Stack / MERN development.</t>
        </is>
      </c>
      <c r="AK192" t="inlineStr">
        <is>
          <t>Location is outside preferred geography.</t>
        </is>
      </c>
      <c r="AL192" t="inlineStr">
        <is>
          <t>Linux operating systems and networking fundamentals; MLOps and SRE practices for large-scale training and inference; GPU/CPU resource management and capacity planning</t>
        </is>
      </c>
    </row>
    <row r="193">
      <c r="A193" t="inlineStr">
        <is>
          <t>TD-BANK-261002-192</t>
        </is>
      </c>
      <c r="B193" t="inlineStr">
        <is>
          <t>TD Bank</t>
        </is>
      </c>
      <c r="C193" t="inlineStr">
        <is>
          <t>2027 Spring Co-op - Global Technology &amp; Solutions - Software Engineer (SWE)</t>
        </is>
      </c>
      <c r="D193" t="inlineStr">
        <is>
          <t>https://www.themuse.com/jobs/tdbank/2027-spring-coop-global-technology-solutions-software-engineer-swe</t>
        </is>
      </c>
      <c r="E193" t="inlineStr">
        <is>
          <t>AI Analyzer</t>
        </is>
      </c>
      <c r="F193" t="inlineStr">
        <is>
          <t>Mount Laurel, New Jersey, United States of America</t>
        </is>
      </c>
      <c r="G193" t="inlineStr">
        <is>
          <t>Hybrid</t>
        </is>
      </c>
      <c r="H193" t="inlineStr">
        <is>
          <t>$30.74 USD / hour</t>
        </is>
      </c>
      <c r="I193" t="inlineStr">
        <is>
          <t>Winter/Term 2 Work Term</t>
        </is>
      </c>
      <c r="J193" t="inlineStr">
        <is>
          <t>NOT MENTIONED</t>
        </is>
      </c>
      <c r="K193" t="inlineStr">
        <is>
          <t>Java; JavaScript; Jira</t>
        </is>
      </c>
      <c r="L193" t="inlineStr">
        <is>
          <t>Microsoft Office; AI and Machine Learning</t>
        </is>
      </c>
      <c r="M193" t="inlineStr">
        <is>
          <t xml:space="preserve">Role Type: Internship/Co-op Work Term: Winter/Term 2 Work Location : Mount Laurel, New Jersey, United States of America Hours: 40 Pay Details: $30.74 - $30.74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Job Description: A co-op assists designated department management and staff in performing assigned tasks under direct or general supervision. Exemplifies the TD Bank Culture and Customer Service Philosophy. This Global Technology Solutions (GTS) Co-op functions as a Software Engineer Co-op. GTS is offering in-person co-op opportunities in Mount Laurel, NJ. Candidates will be required to be in-office 4 days a week. A relocation stipend will be offered. Depth &amp; Scope: Builds an understanding of the businesses and Customers the role supports May answer and direct incoming calls internally and externally Provides support for Manager and others areas, as indicated May assist in completing various departmental projects/reports Assists with operational and administrative functions Performs diversified clerical duties as assigned May support or partner with several business functions/areas/departments Participates in various projects and tasks, as assigned Education &amp; Experience: High School Diploma required Currently enrolled in 4 year college program Graduation date of May 2028 preferred Currently pursuing a degree in Computer Science or a related field Entry Level position, no work experience required Some knowledge of Java, JavaScript, and/or Jira preferred Must have interest in AI and Machine Learning 3.2 GPA or higher preferred Excellent computer skills, including Microsoft Office Excellent interpersonal skills Demonstrated leadership qualities Good written and oral communications skills Detail oriented and self-motivated Ability to handle multiple tasks in a fast-paced environment Ability to work in an office environment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t>
        </is>
      </c>
      <c r="N193" t="n">
        <v>49</v>
      </c>
      <c r="O193" t="n">
        <v>40</v>
      </c>
      <c r="P193" t="n">
        <v>50</v>
      </c>
      <c r="Q193" t="n">
        <v>60</v>
      </c>
      <c r="R193" t="n">
        <v>0</v>
      </c>
      <c r="S193" t="n">
        <v>100</v>
      </c>
      <c r="T193" t="n">
        <v>80</v>
      </c>
      <c r="U193" t="inlineStr">
        <is>
          <t>SKIP</t>
        </is>
      </c>
      <c r="V193" t="inlineStr">
        <is>
          <t>SKIP</t>
        </is>
      </c>
      <c r="W193" t="inlineStr">
        <is>
          <t>Java; Jira</t>
        </is>
      </c>
      <c r="X193" t="inlineStr">
        <is>
          <t>Amaanuddin_Ahmed_Resume.pdf</t>
        </is>
      </c>
      <c r="Y193" t="inlineStr">
        <is>
          <t>2026-10-02</t>
        </is>
      </c>
      <c r="Z193" t="inlineStr">
        <is>
          <t>Strong hourly compensation rate matching financial targets.; Reputable global financial institution.</t>
        </is>
      </c>
      <c r="AA193" t="inlineStr">
        <is>
          <t>NOT ELIGIBLE</t>
        </is>
      </c>
      <c r="AB193" t="inlineStr">
        <is>
          <t>Location is Marlton/Mount Laurel, NJ, USA, but candidate is based in Bengaluru, India and requires relocation internationally without visa sponsorship mentioned.; Graduation year mismatch: Job prefers graduation date of May 2028 from a 4-year college program, whereas candidate is in an MCA program from 2025 to 2027.; Work mode is in-person 4 days a week in Mount Laurel, NJ, violating candidate preferred location of Bengaluru or remote.</t>
        </is>
      </c>
      <c r="AC193" t="inlineStr">
        <is>
          <t>UNKNOWN</t>
        </is>
      </c>
      <c r="AD193" t="inlineStr">
        <is>
          <t>Candidate availability dates for a Spring co-op in the US do not align with the ongoing MCA program in India.</t>
        </is>
      </c>
      <c r="AE193" t="inlineStr">
        <is>
          <t>EXACT</t>
        </is>
      </c>
      <c r="AF193" t="n">
        <v>215000</v>
      </c>
      <c r="AG193" t="inlineStr">
        <is>
          <t>No</t>
        </is>
      </c>
      <c r="AH193" t="inlineStr">
        <is>
          <t>NOT MENTIONED</t>
        </is>
      </c>
      <c r="AI193" t="inlineStr">
        <is>
          <t>The job description mentions a co-op program, career development, and onboarding, but does not explicitly guarantee or mention a permanent full-time conversion (PPO).</t>
        </is>
      </c>
      <c r="AJ193" t="inlineStr">
        <is>
          <t>Geographic location requirement (Mount Laurel, New Jersey, USA vs. Bengaluru, India); Graduation year preference (May 2028 vs. candidate graduation in 2027); Mandatory in-office work mode (4 days a week in NJ)</t>
        </is>
      </c>
      <c r="AK193" t="inlineStr">
        <is>
          <t>International location requiring local US presence/relocation without explicit international visa sponsorship details.</t>
        </is>
      </c>
      <c r="AL193" t="inlineStr">
        <is>
          <t>JavaScript fundamentals; Experience with Java and object-oriented programming; Interest in AI and Machine Learning; Collaboration and teamwork using Jira</t>
        </is>
      </c>
    </row>
    <row r="194">
      <c r="A194" t="inlineStr">
        <is>
          <t>TIKTOK-261002-193</t>
        </is>
      </c>
      <c r="B194" t="inlineStr">
        <is>
          <t>TikTok</t>
        </is>
      </c>
      <c r="C194" t="inlineStr">
        <is>
          <t>Software Engineer Project Intern (Model Infrastructure) - 2026 Start (BS/MS)</t>
        </is>
      </c>
      <c r="D194" t="inlineStr">
        <is>
          <t>https://www.themuse.com/jobs/tiktok/software-engineer-project-intern-model-infrastructure-2026-start-bsms</t>
        </is>
      </c>
      <c r="E194" t="inlineStr">
        <is>
          <t>AI Analyzer</t>
        </is>
      </c>
      <c r="F194" t="inlineStr">
        <is>
          <t>San Jose, CA</t>
        </is>
      </c>
      <c r="G194" t="inlineStr">
        <is>
          <t>On-site</t>
        </is>
      </c>
      <c r="I194" t="inlineStr">
        <is>
          <t>Not specified</t>
        </is>
      </c>
      <c r="J194" t="inlineStr">
        <is>
          <t>Not Mentioned</t>
        </is>
      </c>
      <c r="K194" t="inlineStr">
        <is>
          <t>C++; Python; Computer Architecture; GPU software stack (CUDA, Triton, or NCCL); Deep learning frameworks (PyTorch, TensorFlow)</t>
        </is>
      </c>
      <c r="L194" t="inlineStr">
        <is>
          <t>Transformer-based architectures; 3D parallelism; torch.compile; NCCL/UCX; RDMA networking</t>
        </is>
      </c>
      <c r="M194" t="inlineStr">
        <is>
          <t>Responsibilities About the Team The TikTok Model Infrastructure team is the core engine powering the world's most engaged "For You" feed. We focus on the engineering efficiency and architectural evolution of recommendation models at an unprecedented scale. As we lead the industry's shift toward LLM2Rec and Large Recommendation Models (LRM), our mission is to build ultra-high-performance infrastructure that bridges the gap between massive data scale and extreme algorithmic complexity. We tackle the industry's most demanding "frontier" challenges: managing Petabyte-scale distributed embedding states, optimizing thousand-node GPU clusters, and perfecting real-time Sparse/Dense streaming. Our work ensures that models with hundreds of billions of dense parameters-on par with the world's largest LLMs-can operate with millisecond-level latency. We are seeking Software Engineering Interns to join the Model Infra team to redefine the performance boundaries of recommendation systems. In this role, you will focus on the efficiency of the entire model lifecycle. You will work on the convergence of generative AI and recommendation architecture, optimizing everything from the raw throughput of multi-billion parameter dense blocks to the efficient retrieval of sparse features across massive distributed memory fabrics.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Responsibilities - Engineering Efficiency at Scale: Drive the optimization of training and inference pipelines to maximize hardware utilization (MFU/HFU) for models featuring hundreds of billions of dense parameters. - LLM2Rec Infrastructure: Architect specialized systems to support the integration of LLMs into the recommendation stack, focusing on memory-efficient attention mechanisms and advanced KV cache management for long-sequence user modeling. - Massive Sparse &amp; Dense Streaming: Build and optimize high-concurrency engines for Petabyte-scale streaming training, handling continuous parameter updates and high-frequency data ingestion without compromising stability. - Hardware-Aware Co-Design: Work closely with researchers to design next-generation recommendation architectures optimized for modern GPU/NPU interconnects, ensuring high-bandwidth utilization across the cluster. - Distributed State Management: Innovate on how we store and synchronize massive model states across heterogeneous memory hierarchies (HBM, DDR, and NVMe). Qualifications Minimum Qualification(s) - Currently pursuing an Undergraduate/Master in Software Development, Computer Science, Computer Engineering, or a related technical discipline. - Strong programming skills in C++ and Python. - Solid understanding of Computer Architecture and the GPU software stack (CUDA, Triton, or NCCL). - Experience with deep learning frameworks (e.g., PyTorch, TensorFlow) and a desire to "look under the hood" of model execution runtimes. - A strong interest in solving system-level bottlenecks in large-scale distributed environments. Preferred Qualification(s) - Experience with Transformer-based architectures, 3D parallelism (TP/PP/DP). - Deep understanding of the torch.compile stack, including TorchDynamo (graph acquisition) and TorchInductor (lowering). - Hands-on experience writing high-performance kernels or optimizing collective communication (e.g., customizing NCCL/UCX). - Familiarity with RDMA networking, high-performance storage, or specialized Parameter Server architectures. - Success in programming competitions (ACM-ICPC) or contributions to prominent open-source AI infrastructure or high-performance computing projects.</t>
        </is>
      </c>
      <c r="N194" t="n">
        <v>24</v>
      </c>
      <c r="O194" t="n">
        <v>20</v>
      </c>
      <c r="P194" t="n">
        <v>20</v>
      </c>
      <c r="Q194" t="n">
        <v>40</v>
      </c>
      <c r="R194" t="n">
        <v>0</v>
      </c>
      <c r="S194" t="n">
        <v>0</v>
      </c>
      <c r="T194" t="n">
        <v>80</v>
      </c>
      <c r="U194" t="inlineStr">
        <is>
          <t>SKIP</t>
        </is>
      </c>
      <c r="V194" t="inlineStr">
        <is>
          <t>SKIP</t>
        </is>
      </c>
      <c r="W194" t="inlineStr">
        <is>
          <t>C++; CUDA; PyTorch; Distributed Systems; GPU Infrastructure</t>
        </is>
      </c>
      <c r="X194" t="inlineStr">
        <is>
          <t>Amaanuddin_Ahmed_Resume.pdf</t>
        </is>
      </c>
      <c r="Y194" t="inlineStr">
        <is>
          <t>2026-10-02</t>
        </is>
      </c>
      <c r="AA194" t="inlineStr">
        <is>
          <t>Ineligible</t>
        </is>
      </c>
      <c r="AB194" t="inlineStr">
        <is>
          <t>Location mismatch: Job is in San Jose, CA, whereas candidate prefers Bengaluru, India.; Mandatory technology gap: Strong programming skills in C++ and GPU software stack (CUDA, Triton, or NCCL) are required, which the candidate lacks.</t>
        </is>
      </c>
      <c r="AC194" t="inlineStr">
        <is>
          <t>Unknown</t>
        </is>
      </c>
      <c r="AD194" t="inlineStr">
        <is>
          <t>Availability timeline not explicitly matched against the 2026 start requirement.</t>
        </is>
      </c>
      <c r="AE194" t="inlineStr">
        <is>
          <t>UNKNOWN</t>
        </is>
      </c>
      <c r="AF194" t="n">
        <v>0</v>
      </c>
      <c r="AG194" t="inlineStr">
        <is>
          <t>No</t>
        </is>
      </c>
      <c r="AH194" t="inlineStr">
        <is>
          <t>Not Mentioned</t>
        </is>
      </c>
      <c r="AI194" t="inlineStr">
        <is>
          <t>No explicit mention of a conversion to a full-time offer (PPO) in the job description.</t>
        </is>
      </c>
      <c r="AJ194" t="inlineStr">
        <is>
          <t>Location mismatch (San Jose, CA vs Bengaluru); Mandatory C++ and GPU stack (CUDA/Triton) requirements not met</t>
        </is>
      </c>
      <c r="AK194" t="inlineStr">
        <is>
          <t>Geographic relocation required to US</t>
        </is>
      </c>
      <c r="AL194" t="inlineStr">
        <is>
          <t>CUDA and GPU architecture; Distributed deep learning training; C++ memory management</t>
        </is>
      </c>
    </row>
    <row r="195">
      <c r="A195" t="inlineStr">
        <is>
          <t>SPECTRUM-261002-194</t>
        </is>
      </c>
      <c r="B195" t="inlineStr">
        <is>
          <t>Spectrum</t>
        </is>
      </c>
      <c r="C195" t="inlineStr">
        <is>
          <t>2027 Summer Intern: Software Engineer</t>
        </is>
      </c>
      <c r="D195" t="inlineStr">
        <is>
          <t>https://www.themuse.com/jobs/spectrum/2027-summer-intern-software-engineer-be7eee</t>
        </is>
      </c>
      <c r="E195" t="inlineStr">
        <is>
          <t>AI Analyzer</t>
        </is>
      </c>
      <c r="F195" t="inlineStr">
        <is>
          <t>Greenwood Village, CO</t>
        </is>
      </c>
      <c r="G195" t="inlineStr">
        <is>
          <t>On-site</t>
        </is>
      </c>
      <c r="H195" t="inlineStr">
        <is>
          <t>The base pay for this position generally is between $00 and $00.</t>
        </is>
      </c>
      <c r="I195" t="inlineStr">
        <is>
          <t>11 weeks</t>
        </is>
      </c>
      <c r="J195" t="inlineStr">
        <is>
          <t>Not Mentioned</t>
        </is>
      </c>
      <c r="K195" t="inlineStr">
        <is>
          <t>Python; Software Development</t>
        </is>
      </c>
      <c r="L195" t="inlineStr">
        <is>
          <t>Python; database administration; AI use</t>
        </is>
      </c>
      <c r="M195" t="inlineStr">
        <is>
          <t>This role requires the ability to work lawfully in the U.S. without employment-based immigration sponsorship, now or in the future. At a Glance You're a motivated student with a current 3.0 GPA or higher currently pursuing a degree in one of the following areas from an accredited college or university: Business Technology Management,Communications,Computer Information Systems,Computer Science,Cyber Security,Data Science,Electrical Engineering,Engineering Technology Management,Electrical and Computer Engineering,Quantum Engineering Software This is a paid, full-time, 11-week internship designed to give you real-world experience and meaningful exposure to the telecommunications industry in your chosen field. Internship program runs from May 26 through August 6, 2027. In addition to role-specific projects, you'll take part in professional development sessions, networking opportunities, mentorship and experiences that help you grow personally and professionally. The Spectrum Internship Experience As part of America's Connectivity Company®, you'll join a team that serves millions of customers and communities nationwide, while gaining valuable insight into the work that powers connection every day. Throughout the summer, you'll contribute to meaningful work, strengthen your skills and have opportunities to: Grow your skills in a dynamic, innovative business environment. Build connections with team members and senior leaders who can help you better understand our business and what it's like to work here. Learn from a mentor, who can provide guidance, support and career advice. What you can expect in this role As a Spectrum intern, you'll spend the summer working alongside two teams: your respective department and your intern cohort. Department and team-focused projects account for about 80% of your schedule. You'll spend the other 20% on internship experiences that include a kickoff conference, professional development sessions and networking activities, webinars, community service, cross-functional projects and final presentations. This experience is designed to help you explore your interests, expand your network and leave with a deeper understanding of both your field and the impact of our business. Internship responsibilities may include: Define, design, develop, deploy software tools that make operating the network easier, more efficient, resulting in an improved customer experience. Translates requests and ideas into working and functioning tools that Access Ops and other team members can use to improve customer experience. Required qualifications Must be a rising senior with an expected graduation date between December 2027 and May 2028 Must be currently enrolled in an accredited College or University completing a bachelor's degree Must have at least a 3.0 GPA or greater in current program Ability to travel locally to Spectrum intern development events and activities throughout the program Authorization to work in the U.S. without restrictions or need for future sponsorship Preferred Qualifications Python, data base admin, development, AI use, etc. #LI-RC1 GGN100 2026-81909 GGN100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This job posting will remain open until 2026-10-01 11:00 PM (UTC) and will be extended if necessary. The base pay for this position generally is between $00 and $00 .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c r="N195" t="n">
        <v>34</v>
      </c>
      <c r="O195" t="n">
        <v>40</v>
      </c>
      <c r="P195" t="n">
        <v>50</v>
      </c>
      <c r="Q195" t="n">
        <v>50</v>
      </c>
      <c r="R195" t="n">
        <v>0</v>
      </c>
      <c r="S195" t="n">
        <v>0</v>
      </c>
      <c r="T195" t="n">
        <v>40</v>
      </c>
      <c r="U195" t="inlineStr">
        <is>
          <t>SKIP</t>
        </is>
      </c>
      <c r="V195" t="inlineStr">
        <is>
          <t>SKIP</t>
        </is>
      </c>
      <c r="W195" t="inlineStr">
        <is>
          <t>Python</t>
        </is>
      </c>
      <c r="X195" t="inlineStr">
        <is>
          <t>Amaanuddin_Ahmed_Resume.pdf</t>
        </is>
      </c>
      <c r="Y195" t="inlineStr">
        <is>
          <t>2026-10-02</t>
        </is>
      </c>
      <c r="AA195" t="inlineStr">
        <is>
          <t>Ineligible</t>
        </is>
      </c>
      <c r="AB195" t="inlineStr">
        <is>
          <t>Requires authorization to work in the U.S. without restrictions or need for future sponsorship.; Must be a rising senior with an expected graduation date between December 2027 and May 2028, whereas candidate is graduating in 2027 (MCA 2025-2027).</t>
        </is>
      </c>
      <c r="AC195" t="inlineStr">
        <is>
          <t>Unknown</t>
        </is>
      </c>
      <c r="AD195" t="inlineStr">
        <is>
          <t>Not specified in profile</t>
        </is>
      </c>
      <c r="AE195" t="inlineStr">
        <is>
          <t>UNKNOWN</t>
        </is>
      </c>
      <c r="AF195" t="n">
        <v>0</v>
      </c>
      <c r="AG195" t="inlineStr">
        <is>
          <t>No</t>
        </is>
      </c>
      <c r="AH195" t="inlineStr">
        <is>
          <t>Not Mentioned</t>
        </is>
      </c>
      <c r="AI195" t="inlineStr">
        <is>
          <t>The job description mentions an 11-week internship with professional development and department projects, but does not explicitly guarantee or mention a permanent full-time offer (PPO).</t>
        </is>
      </c>
      <c r="AJ195" t="inlineStr">
        <is>
          <t>Requires authorization to work in the U.S. without sponsorship.; Degree/graduation timeline mismatch (requires rising senior with graduation between Dec 2027 and May 2028).</t>
        </is>
      </c>
      <c r="AK195" t="inlineStr">
        <is>
          <t>US work authorization required; Stipend details listed as $00 and $00</t>
        </is>
      </c>
      <c r="AL195" t="inlineStr">
        <is>
          <t>Software engineering fundamentals; Python development; Database administration basics</t>
        </is>
      </c>
    </row>
    <row r="196">
      <c r="A196" t="inlineStr">
        <is>
          <t>TIKTOK-261002-195</t>
        </is>
      </c>
      <c r="B196" t="inlineStr">
        <is>
          <t>TikTok</t>
        </is>
      </c>
      <c r="C196" t="inlineStr">
        <is>
          <t>Backend Software Engineer Intern (TikTok-Global Live-Foundation) - 2027 Summer</t>
        </is>
      </c>
      <c r="D196" t="inlineStr">
        <is>
          <t>https://www.themuse.com/jobs/tiktok/backend-software-engineer-intern-tiktokglobal-livefoundation-2027-summer</t>
        </is>
      </c>
      <c r="E196" t="inlineStr">
        <is>
          <t>AI Analyzer</t>
        </is>
      </c>
      <c r="F196" t="inlineStr">
        <is>
          <t>San Jose, CA</t>
        </is>
      </c>
      <c r="G196" t="inlineStr">
        <is>
          <t>Onsite</t>
        </is>
      </c>
      <c r="I196" t="inlineStr">
        <is>
          <t>12 weeks</t>
        </is>
      </c>
      <c r="J196" t="inlineStr">
        <is>
          <t>Not Mentioned</t>
        </is>
      </c>
      <c r="K196" t="inlineStr">
        <is>
          <t>Software Development; Computer Science; Data Structures and Algorithms; Go; Java; Python; C++</t>
        </is>
      </c>
      <c r="L196" t="inlineStr">
        <is>
          <t>Concurrency; Database; Message Queue; Content Moderation System</t>
        </is>
      </c>
      <c r="M196" t="inlineStr">
        <is>
          <t>Responsibilities The TikTok LIVE Foundation Governance Engineering team is a global team responsible for ensuring the quality of live streaming content. It takes on the responsibility of building the backend system, collaborating with data scientists, ecosystem governance managers, the operations team, and the Trust &amp; Safety Algorithm team. Together, we develop human-based and machine-based moderation, the penalty center, and permission governance tools to ensure our content is high quality and enjoyable to our users worldwide.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Responsibilities: - Work closely with product managers, data scientists, UI designers, and other engineers to iterate on data driven product ideas. - Improve system design and architecture to ensure service reliability, performance, and extensibility. - Learn and understand how TikTok products work and help build end-to-end solutions. - Learn and grow from working with great colleagues and taking on challenges. - Help our team grow from your expertise, experience, and perspectives. Qualifications Minimum Qualifications: - Currently pursuing an Undergraduate/Graduate in Software Development, Computer Science, Computer Engineering, or a related technical discipline. - Able to commit to working for 12 weeks during the Summer of 2027. - Strong knowledge of data structures and algorithms, proficient in at least one coding language, including but not limited to Go, Java, Python, C++. - Curiosity towards new technology and outstanding ability to analyze and solve problems. - Good grasp of software engineering and how to build a system in a scalable and extensive manner. Preferred Qualifications: - Passion about techniques and solving challenging problems. - Understanding of concurrency, database, and message queue. - Experience in content moderation system. As a condition of employment, all successful candidates must be able to establish authorization to work in the United States. For this position, the Company does not provide sponsorship or any immigration-related benefits. By submitting an application for this role, you accept and agree to our global applicant privacy policy, which may be accessed here: https://careers.tiktok.com/legal/privacy</t>
        </is>
      </c>
      <c r="N196" t="n">
        <v>39</v>
      </c>
      <c r="O196" t="n">
        <v>40</v>
      </c>
      <c r="P196" t="n">
        <v>50</v>
      </c>
      <c r="Q196" t="n">
        <v>60</v>
      </c>
      <c r="R196" t="n">
        <v>0</v>
      </c>
      <c r="S196" t="n">
        <v>0</v>
      </c>
      <c r="T196" t="n">
        <v>80</v>
      </c>
      <c r="U196" t="inlineStr">
        <is>
          <t>SKIP</t>
        </is>
      </c>
      <c r="V196" t="inlineStr">
        <is>
          <t>SKIP</t>
        </is>
      </c>
      <c r="W196" t="inlineStr">
        <is>
          <t>Go; C++; Concurrency; Message Queue</t>
        </is>
      </c>
      <c r="X196" t="inlineStr">
        <is>
          <t>Amaanuddin_Ahmed_Resume_FullStack.pdf</t>
        </is>
      </c>
      <c r="Y196" t="inlineStr">
        <is>
          <t>2026-10-02</t>
        </is>
      </c>
      <c r="AA196" t="inlineStr">
        <is>
          <t>Ineligible</t>
        </is>
      </c>
      <c r="AB196" t="inlineStr">
        <is>
          <t>Job requires authorization to work in the United States and does not provide sponsorship or immigration-related benefits, while candidate is based in Bengaluru, India.; Required languages include Go, Java, Python, C++; candidate lacks demonstrated production experience in Go, C++, or Java.</t>
        </is>
      </c>
      <c r="AC196" t="inlineStr">
        <is>
          <t>Unknown</t>
        </is>
      </c>
      <c r="AD196" t="inlineStr">
        <is>
          <t>Candidate availability dates for Summer 2027 are not explicitly provided in the profile.</t>
        </is>
      </c>
      <c r="AE196" t="inlineStr">
        <is>
          <t>UNKNOWN</t>
        </is>
      </c>
      <c r="AF196" t="n">
        <v>0</v>
      </c>
      <c r="AG196" t="inlineStr">
        <is>
          <t>No</t>
        </is>
      </c>
      <c r="AH196" t="inlineStr">
        <is>
          <t>Not Mentioned</t>
        </is>
      </c>
      <c r="AI196" t="inlineStr">
        <is>
          <t>The job description mentions hands-on experience, industry exposure, and building a foundation, but does not explicitly guarantee or mention a Pre-Placement Offer (PPO).</t>
        </is>
      </c>
      <c r="AJ196" t="inlineStr">
        <is>
          <t>Must be able to establish authorization to work in the United States without company sponsorship.; Required proficiency in at least one of Go, Java, Python, or C++ (Java and Python are listed as working knowledge on resume, but lack project demonstration).</t>
        </is>
      </c>
      <c r="AK196" t="inlineStr">
        <is>
          <t>No visa sponsorship provided for the US location.</t>
        </is>
      </c>
      <c r="AL196" t="inlineStr">
        <is>
          <t>Data Structures and Algorithms; System Design and Scalability; Database and Concurrency Concepts</t>
        </is>
      </c>
    </row>
    <row r="197">
      <c r="A197" t="inlineStr">
        <is>
          <t>TIKTOK-261002-196</t>
        </is>
      </c>
      <c r="B197" t="inlineStr">
        <is>
          <t>TikTok</t>
        </is>
      </c>
      <c r="C197" t="inlineStr">
        <is>
          <t>Software Engineer Intern (TikTok Global E-Commerce Recommendation &amp; Search Architecture) - 2027 Start</t>
        </is>
      </c>
      <c r="D197" t="inlineStr">
        <is>
          <t>https://www.themuse.com/jobs/tiktok/software-engineer-intern-tiktok-global-ecommerce-recommendation-search-architecture-2027-start</t>
        </is>
      </c>
      <c r="E197" t="inlineStr">
        <is>
          <t>AI Analyzer</t>
        </is>
      </c>
      <c r="F197" t="inlineStr">
        <is>
          <t>Singapore</t>
        </is>
      </c>
      <c r="G197" t="inlineStr">
        <is>
          <t>On-site</t>
        </is>
      </c>
      <c r="H197" t="inlineStr">
        <is>
          <t>Not specified</t>
        </is>
      </c>
      <c r="I197" t="inlineStr">
        <is>
          <t>At least 3 months</t>
        </is>
      </c>
      <c r="J197" t="inlineStr">
        <is>
          <t>None mentioned</t>
        </is>
      </c>
      <c r="K197" t="inlineStr">
        <is>
          <t>C++; Python; Data structures and algorithms; PyTorch; TensorFlow; Transformer architectures; Large Language Models (LLMs)</t>
        </is>
      </c>
      <c r="L197" t="inlineStr">
        <is>
          <t>LLM training or inference; Distributed training concepts (DP, TP, PP, FSDP, ZeRO); GPU programming technologies (CUDA, Triton)</t>
        </is>
      </c>
      <c r="M197" t="inlineStr">
        <is>
          <t>Responsibilities E-commerce is a new and fast growing business that aims at connecting all customers to excellent sellers and quality products, through E-commerce live-streaming, E-commerce short videos, and commodity recommendation. Our E-commerce Recommendation and Search Infra team is responsible for building up and optimizing the infrastructure for such recommendation and search systems, so as to provide the best experience for our users. We work closely with applied machine learning engineers and build scalable systems to support all kinds of innovative algorithms and techniques. The Search team is mainly responsible for the search algorithm innovation and architecture research and development of TikTok Shop. We use cutting-edge machine learning technology for end-to-end modeling and continuous innovation and breakthroughs, while focusing on the construction and performance optimization of distributed systems and machine learning systems.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Successful candidates must be able to commit to at least 3 months long internship period. Responsibilities - Design, build and optimize distributed training infrastructure and low-latency online inference systems for large-scale recommendation models and Large Language Models - Develop high-performance GPU kernel implementations and efficient inter-node communication primitives to improve training and inference efficiency - Build compiler optimization passes and operator fusion technologies for deep learning frameworks to accelerate model execution Qualifications Minimum Qualifications: - Currently pursuing a Bachelor's or Master's degree in Computer Science, Computer Engineering, Information Systems, or a related technical discipline - Strong programming skills in C++ or Python, with solid understanding of data structures and algorithms - Familiarity with PyTorch or TensorFlow, and basic knowledge of Transformer architectures and Large Language Models (LLMs) Preferred Qualifications: - Hands-on experience with LLM training or inference through academic projects, internships, or open-source contributions - Familiarity with distributed training concepts (DP, TP, PP, FSDP, ZeRO) or GPU programming technologies (CUDA, Triton) - Strong problem-solving skills and passion for building large-scale AI systems</t>
        </is>
      </c>
      <c r="N197" t="n">
        <v>34</v>
      </c>
      <c r="O197" t="n">
        <v>20</v>
      </c>
      <c r="P197" t="n">
        <v>30</v>
      </c>
      <c r="Q197" t="n">
        <v>40</v>
      </c>
      <c r="R197" t="n">
        <v>10</v>
      </c>
      <c r="S197" t="n">
        <v>50</v>
      </c>
      <c r="T197" t="n">
        <v>90</v>
      </c>
      <c r="U197" t="inlineStr">
        <is>
          <t>SKIP</t>
        </is>
      </c>
      <c r="V197" t="inlineStr">
        <is>
          <t>SKIP</t>
        </is>
      </c>
      <c r="W197" t="inlineStr">
        <is>
          <t>C++; PyTorch; TensorFlow; Transformer architectures; Large Language Models (LLMs); GPU programming (CUDA, Triton); Distributed training concepts</t>
        </is>
      </c>
      <c r="X197" t="inlineStr">
        <is>
          <t>Amaanuddin_Ahmed_Resume.pdf</t>
        </is>
      </c>
      <c r="Y197" t="inlineStr">
        <is>
          <t>2026-10-02</t>
        </is>
      </c>
      <c r="Z197" t="inlineStr">
        <is>
          <t>Prestigious global company (TikTok) and high-quality infrastructure engineering opportunity.</t>
        </is>
      </c>
      <c r="AA197" t="inlineStr">
        <is>
          <t>Eligible</t>
        </is>
      </c>
      <c r="AB197" t="inlineStr">
        <is>
          <t>Currently pursuing a Master's degree in Computer Science or a related technical discipline (MCA program matches)</t>
        </is>
      </c>
      <c r="AC197" t="inlineStr">
        <is>
          <t>unknown</t>
        </is>
      </c>
      <c r="AD197" t="inlineStr">
        <is>
          <t>Start and end dates must be clearly stated in the resume, which requires confirmation.</t>
        </is>
      </c>
      <c r="AE197" t="inlineStr">
        <is>
          <t>UNKNOWN</t>
        </is>
      </c>
      <c r="AF197" t="n">
        <v>0</v>
      </c>
      <c r="AG197" t="inlineStr">
        <is>
          <t>No</t>
        </is>
      </c>
      <c r="AH197" t="inlineStr">
        <is>
          <t>None mentioned</t>
        </is>
      </c>
      <c r="AI197" t="inlineStr">
        <is>
          <t>The job description mentions an internship program with hands-on experience, learning programs, and professional growth, but does not explicitly guarantee or mention a conversion to a full-time PPO.</t>
        </is>
      </c>
      <c r="AK197" t="inlineStr">
        <is>
          <t>Location is Singapore, while candidate preferred location is Bengaluru, India (or remote); Heavy requirement for C++, PyTorch, TensorFlow, and LLM infrastructure which does not match candidate's core MERN/Angular stack</t>
        </is>
      </c>
      <c r="AL197" t="inlineStr">
        <is>
          <t>Data Structures and Algorithms in C++ or Python; PyTorch/TensorFlow framework internals and model optimization; Large Language Model (LLM) training and inference infrastructure; Distributed systems and GPU programming (CUDA, Triton)</t>
        </is>
      </c>
    </row>
    <row r="198">
      <c r="A198" t="inlineStr">
        <is>
          <t>TIKTOK-261002-197</t>
        </is>
      </c>
      <c r="B198" t="inlineStr">
        <is>
          <t>TikTok</t>
        </is>
      </c>
      <c r="C198" t="inlineStr">
        <is>
          <t>Software Development Engineer Intern (Global E-Commerce-Quality Platform &amp; AI Test Automation) - 2027 Summer</t>
        </is>
      </c>
      <c r="D198" t="inlineStr">
        <is>
          <t>https://www.themuse.com/jobs/tiktok/software-development-engineer-intern-global-ecommercequality-platform-ai-test-automation-2027-summer</t>
        </is>
      </c>
      <c r="E198" t="inlineStr">
        <is>
          <t>AI Analyzer</t>
        </is>
      </c>
      <c r="F198" t="inlineStr">
        <is>
          <t>Seattle, WA</t>
        </is>
      </c>
      <c r="G198" t="inlineStr">
        <is>
          <t>On-site</t>
        </is>
      </c>
      <c r="I198" t="inlineStr">
        <is>
          <t>Summer 2027</t>
        </is>
      </c>
      <c r="J198" t="inlineStr">
        <is>
          <t>Not Mentioned</t>
        </is>
      </c>
      <c r="K198" t="inlineStr">
        <is>
          <t>Software testing fundamentals; Networking; Databases; Algorithms; System design; Coding and debugging</t>
        </is>
      </c>
      <c r="L198" t="inlineStr">
        <is>
          <t>Test automation; Quality engineering; AI testing; Intelligent automation; Developer tools</t>
        </is>
      </c>
      <c r="M198" t="inlineStr">
        <is>
          <t>Responsibilities Global E-Commerce Team is a content E-commerce business with international short video products as the carrier. It is committed to becoming the first choice for users to discover and purchase good products at affordable prices. The global E-commerce business team hopes to provide users with a more tailored and efficient consumption experience, enabling merchants to receive reliable platform services in different scenarios such as live E-commerce, and short video content E-commerce, so as to make more affordable and high-quality products sell easily and a better life within reach. 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 Interns will gain practical experience, explore potential career paths, and participate in social events, learning programs, and development workshops alongside industry professionals. Candidates may apply to a maximum of two positions across Our Company and its affiliates globally. Applications will be considered in the order they are submitted. Applications are reviewed on a rolling basis, so we encourage you to apply early. Please clearly state your availability in your resume, including your start and end dates. Candidates who pass resume screening will be invited to participate in Our Company's technical online assessment. Responsibilities: - Work alongside developers and cross-functional stakeholders to understand product requirements and translate them into effective quality strategies. - Build and maintain automation solutions for functional, regression, integration, and performance testing. - Participate in requirement reviews and technical design discussions to identify quality risks and improve testability. - Develop reusable tools, scripts, and frameworks that improve engineering efficiency and reduce manual testing effort. - Analyze bottlenecks in quality workflows and help improve testing processes, tools, and platform capabilities. - Support AI testing initiatives, including validating AI-enabled features, improving automated test generation, or using AI-assisted quality workflows to increase testing effectiveness. Qualifications Minimum Qualifications: - Currently pursuing a Bachelor's degree in Computer Science or a related discipline. - Understanding of software testing fundamentals, networking, databases, algorithms, and system design. - Hands-on coding ability and basic understanding of development and debugging workflows. - Strong execution ability, learning agility, and attention to detail. Preferred Qualifications: - Interest in test automation, quality engineering, developer tools, or scalable testing infrastructure. - Experience from internships, academic projects, competitions, or research related to software engineering or testing. - Interest in AI testing, intelligent automation, or evaluating the quality and reliability of AI-driven product features. - Comfortable working in a fast-moving, collaborative, and globally distributed team environment.</t>
        </is>
      </c>
      <c r="N198" t="n">
        <v>36</v>
      </c>
      <c r="O198" t="n">
        <v>50</v>
      </c>
      <c r="P198" t="n">
        <v>45</v>
      </c>
      <c r="Q198" t="n">
        <v>40</v>
      </c>
      <c r="R198" t="n">
        <v>0</v>
      </c>
      <c r="S198" t="n">
        <v>0</v>
      </c>
      <c r="T198" t="n">
        <v>60</v>
      </c>
      <c r="U198" t="inlineStr">
        <is>
          <t>SKIP</t>
        </is>
      </c>
      <c r="V198" t="inlineStr">
        <is>
          <t>SKIP</t>
        </is>
      </c>
      <c r="W198" t="inlineStr">
        <is>
          <t>Software testing fundamentals; Test automation; AI testing</t>
        </is>
      </c>
      <c r="X198" t="inlineStr">
        <is>
          <t>Amaanuddin_Ahmed_Resume.pdf</t>
        </is>
      </c>
      <c r="Y198" t="inlineStr">
        <is>
          <t>2026-10-02</t>
        </is>
      </c>
      <c r="Z198" t="inlineStr">
        <is>
          <t>Big tech brand name with global scale e-commerce platform exposure.</t>
        </is>
      </c>
      <c r="AA198" t="inlineStr">
        <is>
          <t>Ineligible</t>
        </is>
      </c>
      <c r="AB198" t="inlineStr">
        <is>
          <t>Job location is Seattle, WA, but candidate prefers Bengaluru, India.; Requires Bachelor's degree pursuit, while candidate is pursuing an MCA.</t>
        </is>
      </c>
      <c r="AC198" t="inlineStr">
        <is>
          <t>Unknown</t>
        </is>
      </c>
      <c r="AD198" t="inlineStr">
        <is>
          <t>Candidate availability dates are not explicitly detailed relative to the specific Summer 2027 term start/end requirements.</t>
        </is>
      </c>
      <c r="AE198" t="inlineStr">
        <is>
          <t>UNKNOWN</t>
        </is>
      </c>
      <c r="AF198" t="n">
        <v>0</v>
      </c>
      <c r="AG198" t="inlineStr">
        <is>
          <t>No</t>
        </is>
      </c>
      <c r="AH198" t="inlineStr">
        <is>
          <t>Not Mentioned</t>
        </is>
      </c>
      <c r="AI198" t="inlineStr">
        <is>
          <t>No mention of conversion to full-time or PPO in the job description.</t>
        </is>
      </c>
      <c r="AJ198" t="inlineStr">
        <is>
          <t>Geographic location mismatch (Seattle, WA vs Bengaluru, India); Degree level mismatch (Bachelor's required vs MCA candidate)</t>
        </is>
      </c>
      <c r="AK198" t="inlineStr">
        <is>
          <t>Location is out of preferred region; Degree requirement mismatch</t>
        </is>
      </c>
      <c r="AL198" t="inlineStr">
        <is>
          <t>Test automation frameworks; System design and testing workflows; AI-assisted quality validation</t>
        </is>
      </c>
    </row>
    <row r="199">
      <c r="A199" t="inlineStr">
        <is>
          <t>HN-WHO-IS-HI-261002-198</t>
        </is>
      </c>
      <c r="B199" t="inlineStr">
        <is>
          <t>HN Who Is Hiring</t>
        </is>
      </c>
      <c r="C199" t="inlineStr">
        <is>
          <t>Software Engineering Intern</t>
        </is>
      </c>
      <c r="D199" t="inlineStr">
        <is>
          <t>https://news.ycombinator.com/item?id=49930874</t>
        </is>
      </c>
      <c r="E199" t="inlineStr">
        <is>
          <t>AI Analyzer</t>
        </is>
      </c>
      <c r="F199" t="inlineStr">
        <is>
          <t>Kabianga, Kenya</t>
        </is>
      </c>
      <c r="G199" t="inlineStr">
        <is>
          <t>Remote</t>
        </is>
      </c>
      <c r="H199" t="inlineStr">
        <is>
          <t>Unspecified</t>
        </is>
      </c>
      <c r="I199" t="inlineStr">
        <is>
          <t>UNKNOWN</t>
        </is>
      </c>
      <c r="J199" t="inlineStr">
        <is>
          <t>UNKNOWN</t>
        </is>
      </c>
      <c r="K199" t="inlineStr">
        <is>
          <t>Python; Javascript; TypeScript; HTML/CSS UI; PostgreSQL; REST APIs; Web Scraping</t>
        </is>
      </c>
      <c r="L199" t="inlineStr">
        <is>
          <t>Selenium; Playwright; Headless Browsers; Vercel; Render; GitHub</t>
        </is>
      </c>
      <c r="M199" t="inlineStr">
        <is>
          <t>hopefreymosingi | Location: Kabianga, Kenya | Remote: Open | Willing to relocate: Yes | Technologies: Python, Javascript, TypeScript, HTML/CSS UI, PostgreSQL, REST APIs, Web Scraping (Selenium, Playwright), Headless Browsers, Vercel, Render, GitHub | Project Portfolio: Built a fully automated cross-platform social application that aggregates content and handles multi-platform publishing. Integrated automated DM/comment engines and third-party developer APIs. Experienced in full-stack web and desktop app architecture, moving into mobile development. Email: hopefreymosingi1@gmail.com | Open to contract work, internships, and full-time junior/mid-level roles.</t>
        </is>
      </c>
      <c r="N199" t="n">
        <v>50</v>
      </c>
      <c r="O199" t="n">
        <v>50</v>
      </c>
      <c r="P199" t="n">
        <v>70</v>
      </c>
      <c r="Q199" t="n">
        <v>80</v>
      </c>
      <c r="R199" t="n">
        <v>30</v>
      </c>
      <c r="S199" t="n">
        <v>0</v>
      </c>
      <c r="T199" t="n">
        <v>40</v>
      </c>
      <c r="U199" t="inlineStr">
        <is>
          <t>SKIP</t>
        </is>
      </c>
      <c r="V199" t="inlineStr">
        <is>
          <t>SKIP</t>
        </is>
      </c>
      <c r="W199" t="inlineStr">
        <is>
          <t>Python; TypeScript; PostgreSQL; Web Scraping; Selenium; Playwright; Headless Browsers</t>
        </is>
      </c>
      <c r="X199" t="inlineStr">
        <is>
          <t>Amaanuddin_Ahmed_Resume_Full_Stack.pdf</t>
        </is>
      </c>
      <c r="Y199" t="inlineStr">
        <is>
          <t>2026-10-02</t>
        </is>
      </c>
      <c r="Z199" t="inlineStr">
        <is>
          <t>Accepts remote internship applications.; Aligns with general full-stack developer intern target roles.</t>
        </is>
      </c>
      <c r="AA199" t="inlineStr">
        <is>
          <t>ELIGIBLE</t>
        </is>
      </c>
      <c r="AB199" t="inlineStr">
        <is>
          <t>The role is open to remote work and accepts internships.; No strict degree, graduation year, or location blockers are mentioned for this Hacker News listing.</t>
        </is>
      </c>
      <c r="AC199" t="inlineStr">
        <is>
          <t>UNKNOWN</t>
        </is>
      </c>
      <c r="AD199" t="inlineStr">
        <is>
          <t>Exact start and end dates are not specified in the job description.</t>
        </is>
      </c>
      <c r="AE199" t="inlineStr">
        <is>
          <t>UNKNOWN</t>
        </is>
      </c>
      <c r="AF199" t="n">
        <v>0</v>
      </c>
      <c r="AG199" t="inlineStr">
        <is>
          <t>No</t>
        </is>
      </c>
      <c r="AH199" t="inlineStr">
        <is>
          <t>UNKNOWN</t>
        </is>
      </c>
      <c r="AI199" t="inlineStr">
        <is>
          <t>No mention of conversion or PPO in the unstructured HN listing.</t>
        </is>
      </c>
      <c r="AK199" t="inlineStr">
        <is>
          <t>The listing is an unstructured personal/direct post on Hacker News rather than a formal corporate opening.; Stipend details are completely missing.</t>
        </is>
      </c>
      <c r="AL199" t="inlineStr">
        <is>
          <t>JavaScript asynchronous programming; Handling REST APIs and database integrations; Experience with full-stack web architectures</t>
        </is>
      </c>
    </row>
    <row r="200">
      <c r="A200" t="inlineStr">
        <is>
          <t>STOKE-SPACE-261002-199</t>
        </is>
      </c>
      <c r="B200" t="inlineStr">
        <is>
          <t>Stoke Space</t>
        </is>
      </c>
      <c r="C200" t="inlineStr">
        <is>
          <t>Software Engineer Intern</t>
        </is>
      </c>
      <c r="D200" t="inlineStr">
        <is>
          <t>https://news.ycombinator.com/item?id=49929563</t>
        </is>
      </c>
      <c r="E200" t="inlineStr">
        <is>
          <t>AI Analyzer</t>
        </is>
      </c>
      <c r="F200" t="inlineStr">
        <is>
          <t>Seattle, WA / Moses Lake, WA / Cape Canaveral, FL, USA</t>
        </is>
      </c>
      <c r="G200" t="inlineStr">
        <is>
          <t>onsite</t>
        </is>
      </c>
      <c r="H200" t="inlineStr">
        <is>
          <t>Not specified</t>
        </is>
      </c>
      <c r="I200" t="inlineStr">
        <is>
          <t>~14 week terms (summer and fall 2027 classes)</t>
        </is>
      </c>
      <c r="J200" t="inlineStr">
        <is>
          <t>unknown</t>
        </is>
      </c>
      <c r="K200" t="inlineStr">
        <is>
          <t>Rust; TypeScript; Svelte; WASM; LabVIEW</t>
        </is>
      </c>
      <c r="L200" t="inlineStr">
        <is>
          <t>Firmware; Flight Computer Software; Autonomy; Ground Support Software</t>
        </is>
      </c>
      <c r="M200" t="inlineStr">
        <is>
          <t>Stoke Space | ONSITE in Seattle, WA / Moses Lake, WA / Cape Canaveral, FL | Software Engineer | Full-Time, Internship | Salary: $98k-$289k USD | https://www.stokespace.com Company: At Stoke, we believe a thriving space economy will enable a vibrant, sustainable, and equitable future here on Earth. That is why we’re building Nova, our fully and rapidly reusable launch vehicle. Designed for daily flight, Nova tackles the core challenges of space transportation by reducing cost, increasing availability, and improving reliability. By radically lowering launch costs and increasing flight cadence, we’re helping create a truly scalable space industry. Technologies: The team I'm on, Vehicle Software, makes a full in house control stack (firmware, flight computer, autonomy, ground support) in Rust. Data collected from our operations is served by a blazing fast front end written in Typescript, Svelte, and WASM, served by a Rust API. Our launch-day interface is in LabVIEW. Roles: For full-time, we are currently hiring for a Rust-based controls engineer, a front-end engineer with experience in the stack above, and a strong software engineer with interest in working in both Rust and LabVIEW. We are also hiring software integration engineers in Kent and Moses Lake. On the intern side, we are currently looking for talented interns for our summer and fall 2027 classes (~14 week terms from March to September). Apply at https://www.stokespace.com/open-roles?department=Software , and feel free to DM me with questions!</t>
        </is>
      </c>
      <c r="N200" t="n">
        <v>21</v>
      </c>
      <c r="O200" t="n">
        <v>10</v>
      </c>
      <c r="P200" t="n">
        <v>20</v>
      </c>
      <c r="Q200" t="n">
        <v>40</v>
      </c>
      <c r="R200" t="n">
        <v>0</v>
      </c>
      <c r="S200" t="n">
        <v>0</v>
      </c>
      <c r="T200" t="n">
        <v>80</v>
      </c>
      <c r="U200" t="inlineStr">
        <is>
          <t>SKIP</t>
        </is>
      </c>
      <c r="V200" t="inlineStr">
        <is>
          <t>SKIP</t>
        </is>
      </c>
      <c r="W200" t="inlineStr">
        <is>
          <t>Rust; TypeScript; Svelte; WASM; LabVIEW</t>
        </is>
      </c>
      <c r="X200" t="inlineStr">
        <is>
          <t>Amaanuddin_Ahmed_Resume.pdf</t>
        </is>
      </c>
      <c r="Y200" t="inlineStr">
        <is>
          <t>2026-10-02</t>
        </is>
      </c>
      <c r="AA200" t="inlineStr">
        <is>
          <t>ineligible</t>
        </is>
      </c>
      <c r="AB200" t="inlineStr">
        <is>
          <t>The role is strictly ONSITE in the United States (Seattle, WA / Moses Lake, WA / Cape Canaveral, FL), whereas the candidate is based in Bengaluru, India and requires remote work or relocation support not indicated for interns.; The core tech stack requires Rust, Svelte, and WASM or LabVIEW, which are not present in the candidate's demonstrated skill set.</t>
        </is>
      </c>
      <c r="AC200" t="inlineStr">
        <is>
          <t>unknown</t>
        </is>
      </c>
      <c r="AD200" t="inlineStr">
        <is>
          <t>The internship runs from March to September 2027 (~14 week terms), which aligns with the candidate's MCA program (2025-2027), but exact availability dates have not been specified.</t>
        </is>
      </c>
      <c r="AE200" t="inlineStr">
        <is>
          <t>unknown</t>
        </is>
      </c>
      <c r="AF200" t="n">
        <v>0</v>
      </c>
      <c r="AG200" t="inlineStr">
        <is>
          <t>No</t>
        </is>
      </c>
      <c r="AH200" t="inlineStr">
        <is>
          <t>unknown</t>
        </is>
      </c>
      <c r="AI200" t="inlineStr">
        <is>
          <t>No mention of PPO or conversion opportunities in the job description.</t>
        </is>
      </c>
      <c r="AJ200" t="inlineStr">
        <is>
          <t>Strictly ONSITE in United States locations (Seattle, WA / Moses Lake, WA / Cape Canaveral, FL); Mandatory tech stack (Rust, Svelte, WASM / LabVIEW) not matched</t>
        </is>
      </c>
      <c r="AK200" t="inlineStr">
        <is>
          <t>Location mismatch (US Onsite vs India based); Tech stack mismatch (Systems/Aerospace software vs Web/Full stack profile)</t>
        </is>
      </c>
      <c r="AL200" t="inlineStr">
        <is>
          <t>Rust concurrency and memory safety; Frontend development with TypeScript and Svelte; Control systems and flight software architecture</t>
        </is>
      </c>
    </row>
    <row r="201">
      <c r="A201" t="inlineStr">
        <is>
          <t>STELLAR-SCIE-261002-200</t>
        </is>
      </c>
      <c r="B201" t="inlineStr">
        <is>
          <t>Stellar Science</t>
        </is>
      </c>
      <c r="C201" t="inlineStr">
        <is>
          <t>Intern</t>
        </is>
      </c>
      <c r="D201" t="inlineStr">
        <is>
          <t>https://news.ycombinator.com/item?id=49929352</t>
        </is>
      </c>
      <c r="E201" t="inlineStr">
        <is>
          <t>AI Analyzer</t>
        </is>
      </c>
      <c r="F201" t="inlineStr">
        <is>
          <t>Albuquerque NM, Washington DC (Tysons VA), Dayton OH</t>
        </is>
      </c>
      <c r="G201" t="inlineStr">
        <is>
          <t>hybrid</t>
        </is>
      </c>
      <c r="H201" t="inlineStr">
        <is>
          <t>not specified</t>
        </is>
      </c>
      <c r="I201" t="inlineStr">
        <is>
          <t>unknown</t>
        </is>
      </c>
      <c r="J201" t="inlineStr">
        <is>
          <t>not mentioned</t>
        </is>
      </c>
      <c r="K201" t="inlineStr">
        <is>
          <t>C++23; Qt 6.9; CMake; git; OpenGL; CUDA; Boost; Jenkins</t>
        </is>
      </c>
      <c r="L201" t="inlineStr">
        <is>
          <t>Python; Java; TypeScript; React</t>
        </is>
      </c>
      <c r="M201" t="inlineStr">
        <is>
          <t>Stellar Science | Hybrid (USA) Albuquerque NM, Washington DC (Tysons VA), Dayton OH | Full time, interns/co-ops | U.S. citizenship required | https://www.stellarscience.com Company : We're a small scientific software development company that develops custom scientific and engineering analysis applications in domains including: space situational awareness (monitoring the locations, health and status of on-orbit satellites), image simulation, high power microwave systems, modeling and simulation, laser systems modeling, AI/ML including physics-informed neural networks (PINN), human body thermoregulation, computer vision and image processing, high performance computing (HPC), computer aided design (CAD), and more. All exciting applications and no CRUD. We emphasize high quality code and lightweight processes that free software engineers to be productive. Experience : Except for interns, we currently require a Bachelors degree in physics, engineering, math, computer science, or a related field. Masters or PhD is a plus. (Roughly 25% of our staff have PhDs.) Technologies : Lots of C++23, Qt 6.9, CMake, git, OpenGL, CUDA, Boost, Jenkins. Windows and Linux, msvc/gcc/clang/clangcl. AI/ML and analysis projects use Python and C++. Web projects use Java and Typescript/React. We're a bit behind the curve on developer AI adoption, and we're okay with that. Apply online : at https://www.stellarscience.com/careers/ .</t>
        </is>
      </c>
      <c r="N201" t="n">
        <v>12</v>
      </c>
      <c r="O201" t="n">
        <v>10</v>
      </c>
      <c r="P201" t="n">
        <v>10</v>
      </c>
      <c r="Q201" t="n">
        <v>20</v>
      </c>
      <c r="R201" t="n">
        <v>0</v>
      </c>
      <c r="S201" t="n">
        <v>0</v>
      </c>
      <c r="T201" t="n">
        <v>40</v>
      </c>
      <c r="U201" t="inlineStr">
        <is>
          <t>SKIP</t>
        </is>
      </c>
      <c r="V201" t="inlineStr">
        <is>
          <t>SKIP</t>
        </is>
      </c>
      <c r="W201" t="inlineStr">
        <is>
          <t>C++23; Qt 6.9; CMake; OpenGL; CUDA; Boost; Jenkins</t>
        </is>
      </c>
      <c r="X201" t="inlineStr">
        <is>
          <t>Amaanuddin_Ahmed_Resume.pdf</t>
        </is>
      </c>
      <c r="Y201" t="inlineStr">
        <is>
          <t>2026-10-02</t>
        </is>
      </c>
      <c r="AA201" t="inlineStr">
        <is>
          <t>ineligible</t>
        </is>
      </c>
      <c r="AB201" t="inlineStr">
        <is>
          <t>U.S. citizenship required; Location is in the USA (candidate is in Bengaluru, India)</t>
        </is>
      </c>
      <c r="AC201" t="inlineStr">
        <is>
          <t>unknown</t>
        </is>
      </c>
      <c r="AD201" t="inlineStr">
        <is>
          <t>Not specified in profile</t>
        </is>
      </c>
      <c r="AE201" t="inlineStr">
        <is>
          <t>unknown</t>
        </is>
      </c>
      <c r="AF201" t="n">
        <v>0</v>
      </c>
      <c r="AG201" t="inlineStr">
        <is>
          <t>No</t>
        </is>
      </c>
      <c r="AH201" t="inlineStr">
        <is>
          <t>not mentioned</t>
        </is>
      </c>
      <c r="AI201" t="inlineStr">
        <is>
          <t>No mention of PPO or conversion.</t>
        </is>
      </c>
      <c r="AJ201" t="inlineStr">
        <is>
          <t>U.S. citizenship required; Location requirements (USA only)</t>
        </is>
      </c>
      <c r="AK201" t="inlineStr">
        <is>
          <t>U.S. citizenship required; Location mismatch</t>
        </is>
      </c>
    </row>
    <row r="202">
      <c r="A202" t="inlineStr">
        <is>
          <t>QUALCOMM-261002-201</t>
        </is>
      </c>
      <c r="B202" t="inlineStr">
        <is>
          <t>Qualcomm</t>
        </is>
      </c>
      <c r="C202" t="inlineStr">
        <is>
          <t>Software Developer (QEMU / Hexagon DSP)</t>
        </is>
      </c>
      <c r="D202" t="inlineStr">
        <is>
          <t>https://news.ycombinator.com/item?id=49928358</t>
        </is>
      </c>
      <c r="E202" t="inlineStr">
        <is>
          <t>AI Analyzer</t>
        </is>
      </c>
      <c r="F202" t="inlineStr">
        <is>
          <t>Canada</t>
        </is>
      </c>
      <c r="G202" t="inlineStr">
        <is>
          <t>Remote</t>
        </is>
      </c>
      <c r="I202" t="inlineStr">
        <is>
          <t>Not Specified</t>
        </is>
      </c>
      <c r="J202" t="inlineStr">
        <is>
          <t>No</t>
        </is>
      </c>
      <c r="K202" t="inlineStr">
        <is>
          <t>C; C++; Rust; QEMU; Assembly/Disassembly</t>
        </is>
      </c>
      <c r="L202" t="inlineStr">
        <is>
          <t>VLIW architecture; Open Source contributions</t>
        </is>
      </c>
      <c r="M202" t="inlineStr">
        <is>
          <t>Qualcomm | Canada | Full Time | Engineer | Remote(Canada)| QEMU My team is looking to hire a ~entry-level software developer to help us design and extend QEMU support [1] for the Hexagon DSP [2]. We're looking for candidates who have experience coding in C, C++ or Rust* and who aren't afraid of rolling up their sleeves and poring over disassembled code. This particular architecture is a bit more challenging than most, because it's a bit unique. It's a VLIW [3], so it's a great opportunity to learn about an interesting architecture. Millions of Hexagon DSPs are out there, most are found in DragonWing/Snapdragon/DragonFly SoCs for Laptops, Android phones, cars and more! We collaborate a lot with Open Source communities like QEMU, LLVM [4], the Linux kernel [5], and more. I love being able to work on Open Source software at my day job. You can contact me directly (email addr is in my HN user link). If you don't have experience with QEMU - don't worry! Most of us didn't have any experience with it until recently, too. The rest of the team you'd work with lives mostly in Canada, EU, US. * Rust experience may serve the role well but we don’t (yet) have any product software in Rust. [1] https://github.com/qemu/qemu/tree/master/target/hexagon [2] https://en.wikipedia.org/wiki/Qualcomm_Hexagon [3] https://en.wikipedia.org/wiki/Very_long_instruction_word [4] https://foundation.llvm.org/docs/sponsors/ [5] https://www.linuxfoundation.org/our-members-are-our-superpow...</t>
        </is>
      </c>
      <c r="N202" t="n">
        <v>15</v>
      </c>
      <c r="O202" t="n">
        <v>10</v>
      </c>
      <c r="P202" t="n">
        <v>15</v>
      </c>
      <c r="Q202" t="n">
        <v>20</v>
      </c>
      <c r="R202" t="n">
        <v>0</v>
      </c>
      <c r="S202" t="n">
        <v>0</v>
      </c>
      <c r="T202" t="n">
        <v>60</v>
      </c>
      <c r="U202" t="inlineStr">
        <is>
          <t>SKIP</t>
        </is>
      </c>
      <c r="V202" t="inlineStr">
        <is>
          <t>SKIP</t>
        </is>
      </c>
      <c r="W202" t="inlineStr">
        <is>
          <t>C; C++; Rust; QEMU</t>
        </is>
      </c>
      <c r="X202" t="inlineStr">
        <is>
          <t>Amaanuddin_Ahmed_Resume.pdf</t>
        </is>
      </c>
      <c r="Y202" t="inlineStr">
        <is>
          <t>2026-10-02</t>
        </is>
      </c>
      <c r="AA202" t="inlineStr">
        <is>
          <t>Ineligible</t>
        </is>
      </c>
      <c r="AB202" t="inlineStr">
        <is>
          <t>Job location is restricted to Remote (Canada) and requires candidate presence/eligibility in Canada.; Job type is Full Time, whereas candidate is seeking an internship.; Mandatory systems/low-level programming technologies (C, C++, Rust, QEMU, Assembly/disassembled code analysis) are absent from candidate's demonstrated skill set.</t>
        </is>
      </c>
      <c r="AC202" t="inlineStr">
        <is>
          <t>Unknown</t>
        </is>
      </c>
      <c r="AD202" t="inlineStr">
        <is>
          <t>Availability is compatible with student status, but geographic and job-type constraints block application.</t>
        </is>
      </c>
      <c r="AE202" t="inlineStr">
        <is>
          <t>UNKNOWN</t>
        </is>
      </c>
      <c r="AF202" t="n">
        <v>0</v>
      </c>
      <c r="AG202" t="inlineStr">
        <is>
          <t>No</t>
        </is>
      </c>
      <c r="AH202" t="inlineStr">
        <is>
          <t>No</t>
        </is>
      </c>
      <c r="AI202" t="inlineStr">
        <is>
          <t>Job is listed as Full Time permanent entry-level role, not an internship with PPO conversion.</t>
        </is>
      </c>
      <c r="AJ202" t="inlineStr">
        <is>
          <t>Remote (Canada) location restriction; Full-time role requirement vs student internship target; Lack of required systems programming languages (C, C++, Rust)</t>
        </is>
      </c>
      <c r="AK202" t="inlineStr">
        <is>
          <t>Geographic mismatch; Employment type mismatch</t>
        </is>
      </c>
      <c r="AL202" t="inlineStr">
        <is>
          <t>C/C++ memory management; QEMU emulation internals; VLIW architecture concepts</t>
        </is>
      </c>
    </row>
    <row r="203">
      <c r="A203" t="inlineStr">
        <is>
          <t>COLUMN-261002-202</t>
        </is>
      </c>
      <c r="B203" t="inlineStr">
        <is>
          <t>Column</t>
        </is>
      </c>
      <c r="C203" t="inlineStr">
        <is>
          <t>Software Engineer</t>
        </is>
      </c>
      <c r="D203" t="inlineStr">
        <is>
          <t>https://news.ycombinator.com/item?id=49927896</t>
        </is>
      </c>
      <c r="E203" t="inlineStr">
        <is>
          <t>AI Analyzer</t>
        </is>
      </c>
      <c r="F203" t="inlineStr">
        <is>
          <t>San Francisco, CA</t>
        </is>
      </c>
      <c r="G203" t="inlineStr">
        <is>
          <t>onsite</t>
        </is>
      </c>
      <c r="H203" t="inlineStr">
        <is>
          <t>not specified</t>
        </is>
      </c>
      <c r="I203" t="inlineStr">
        <is>
          <t>not specified</t>
        </is>
      </c>
      <c r="J203" t="inlineStr">
        <is>
          <t>unknown</t>
        </is>
      </c>
      <c r="K203" t="inlineStr">
        <is>
          <t>Software Engineering</t>
        </is>
      </c>
      <c r="L203" t="inlineStr">
        <is>
          <t>Backend; Infra; Product; Security</t>
        </is>
      </c>
      <c r="M203" t="inlineStr">
        <is>
          <t>Column ( https://column.com ) | ONSITE San Francisco, CA | Full Time | Software Engineers (Backend, Infra, Product, Security) | Forward-deployed Engineers | Solutions Engineers, Payment Ops, Growth, Partnerships &amp; Emerging Markets Column is building the infrastructure that powers the US dollar globally. We're a software first company, but also own a nationally chartered bank that we've built from the ground up. We're processing trillions of dollars annually, supporting some of the largest and most sophisticated companies out there like Wise, Bilt, Brex, Ramp, Mercury and dozens of others. We just launched stablecoins, full-stack card issuing, global banking, and multicurrency accounts: https://column.com/launch Column was founded by William Hockey, who previously started Plaid. We keep an extremely lean and experienced team, and we're looking for ambitious people who want to build incredible software from first principles: - Software Engineers (Backend, Infra, Product, Security) - Forward-deployed Engineers - Solutions Engineers - Payment Operations (new grad / early career) - Growth - Partnerships - Emerging Markets Profitable and owned by employees and founders. Apply here: https://column.com/careers</t>
        </is>
      </c>
      <c r="N203" t="n">
        <v>29</v>
      </c>
      <c r="O203" t="n">
        <v>40</v>
      </c>
      <c r="P203" t="n">
        <v>30</v>
      </c>
      <c r="Q203" t="n">
        <v>20</v>
      </c>
      <c r="R203" t="n">
        <v>0</v>
      </c>
      <c r="S203" t="n">
        <v>0</v>
      </c>
      <c r="T203" t="n">
        <v>80</v>
      </c>
      <c r="U203" t="inlineStr">
        <is>
          <t>SKIP</t>
        </is>
      </c>
      <c r="V203" t="inlineStr">
        <is>
          <t>SKIP</t>
        </is>
      </c>
      <c r="W203" t="inlineStr">
        <is>
          <t>Infra; Security</t>
        </is>
      </c>
      <c r="X203" t="inlineStr">
        <is>
          <t>Amaanuddin_Ahmed_Resume.pdf</t>
        </is>
      </c>
      <c r="Y203" t="inlineStr">
        <is>
          <t>2026-10-02</t>
        </is>
      </c>
      <c r="Z203" t="inlineStr">
        <is>
          <t>Column is a prestigious financial infrastructure company founded by the co-founder of Plaid.</t>
        </is>
      </c>
      <c r="AA203" t="inlineStr">
        <is>
          <t>ineligible</t>
        </is>
      </c>
      <c r="AB203" t="inlineStr">
        <is>
          <t>Job requires ONSITE presence in San Francisco, CA, but candidate prefers Bengaluru, India (or remote).; Role is advertised as Full Time, whereas candidate is looking for an internship.</t>
        </is>
      </c>
      <c r="AC203" t="inlineStr">
        <is>
          <t>unknown</t>
        </is>
      </c>
      <c r="AD203" t="inlineStr">
        <is>
          <t>Not specified</t>
        </is>
      </c>
      <c r="AE203" t="inlineStr">
        <is>
          <t>unknown</t>
        </is>
      </c>
      <c r="AF203" t="n">
        <v>0</v>
      </c>
      <c r="AG203" t="inlineStr">
        <is>
          <t>No</t>
        </is>
      </c>
      <c r="AH203" t="inlineStr">
        <is>
          <t>unknown</t>
        </is>
      </c>
      <c r="AI203" t="inlineStr">
        <is>
          <t>No mention of PPO or conversion since this is a full-time role.</t>
        </is>
      </c>
      <c r="AJ203" t="inlineStr">
        <is>
          <t>ONSITE San Francisco, CA location requirement conflicts with candidate location preferences.; Full-time employment type conflicts with candidate internship target.</t>
        </is>
      </c>
      <c r="AL203" t="inlineStr">
        <is>
          <t>Backend system architecture; Distributed infrastructure</t>
        </is>
      </c>
    </row>
    <row r="204">
      <c r="A204" t="inlineStr">
        <is>
          <t>RINSE-261002-203</t>
        </is>
      </c>
      <c r="B204" t="inlineStr">
        <is>
          <t>Rinse</t>
        </is>
      </c>
      <c r="C204" t="inlineStr">
        <is>
          <t>Software Engineer</t>
        </is>
      </c>
      <c r="D204" t="inlineStr">
        <is>
          <t>https://news.ycombinator.com/item?id=49927692</t>
        </is>
      </c>
      <c r="E204" t="inlineStr">
        <is>
          <t>AI Analyzer</t>
        </is>
      </c>
      <c r="F204" t="inlineStr">
        <is>
          <t>Remote (US or Canada) or specific US/Canada cities</t>
        </is>
      </c>
      <c r="G204" t="inlineStr">
        <is>
          <t>Remote</t>
        </is>
      </c>
      <c r="H204" t="inlineStr">
        <is>
          <t>Salary: $80k-$200k USD (listed as Full-Time role, not an internship stipend)</t>
        </is>
      </c>
      <c r="I204" t="inlineStr">
        <is>
          <t>Not specified</t>
        </is>
      </c>
      <c r="J204" t="inlineStr">
        <is>
          <t>none</t>
        </is>
      </c>
      <c r="K204" t="inlineStr">
        <is>
          <t>React; TypeScript; CSS; Python; Django</t>
        </is>
      </c>
      <c r="L204" t="inlineStr">
        <is>
          <t>AI; Computer Vision; MCP services; React Native; Postgres</t>
        </is>
      </c>
      <c r="M204" t="inlineStr">
        <is>
          <t>RINSE | REMOTE (US or Canada) or San Francisco, Los Angeles, Chicago, Boston, New York City, New Jersey, Seattle, Austin, Toronto, or Washington DC | Software Engineer | Full-Time | Salary: $80k-$200k USD | https://www.rinse.com Rinse provides dry cleaning and laundry delivery services to customers in twelve metropolitan areas in the US and Canada. We have sophisticated logistics optimization software, a polished consumer product, and firm business fundamentals. We're now over a decade old - this is a stable, yet consistently growing and innovating, company. Our engineering team is distributed across the United States and internationally, and has been entirely remote for years now, but a desk can be provided in the above cities if you'd prefer. We're open to both newly-graduated engineers or more senior engineers, provided they meet our bar. We're particularly interested in true full-stack engineers, with strong React / Typescript / CSS skills to complement comfort in a Python / Django environment. We're also seeking engineers with experience leveraging AI to automate complex operational processes. This season, we're particularly interested in new grads or junior engineers, to round out the team. We're also looking for people with experience manipulating video data at scale, for computer vision applications. Similarly, we're interested in adding people with experience building and managing MCP services. You will join a high-caliber team where collaboration, honesty, and open communication are at the core of everything we do. Search term bingo: Logistics, Django, Python, Optimization, React, React Native, Postgres, Mobile Engineer, Automation, Delivery, OR-tools, Forecasting, Vision, Physical AI, MCP</t>
        </is>
      </c>
      <c r="N204" t="n">
        <v>34</v>
      </c>
      <c r="O204" t="n">
        <v>40</v>
      </c>
      <c r="P204" t="n">
        <v>40</v>
      </c>
      <c r="Q204" t="n">
        <v>20</v>
      </c>
      <c r="R204" t="n">
        <v>0</v>
      </c>
      <c r="S204" t="n">
        <v>50</v>
      </c>
      <c r="T204" t="n">
        <v>60</v>
      </c>
      <c r="U204" t="inlineStr">
        <is>
          <t>SKIP</t>
        </is>
      </c>
      <c r="V204" t="inlineStr">
        <is>
          <t>SKIP</t>
        </is>
      </c>
      <c r="W204" t="inlineStr">
        <is>
          <t>TypeScript; Python; Django</t>
        </is>
      </c>
      <c r="X204" t="inlineStr">
        <is>
          <t>Amaanuddin_Ahmed_Resume.pdf</t>
        </is>
      </c>
      <c r="Y204" t="inlineStr">
        <is>
          <t>2026-10-02</t>
        </is>
      </c>
      <c r="AA204" t="inlineStr">
        <is>
          <t>ineligible</t>
        </is>
      </c>
      <c r="AB204" t="inlineStr">
        <is>
          <t>The role requires residency/eligibility in the US or Canada, whereas the candidate is located in Bengaluru, India.; The job type is Full-Time, while the candidate is seeking an internship.</t>
        </is>
      </c>
      <c r="AC204" t="inlineStr">
        <is>
          <t>unknown</t>
        </is>
      </c>
      <c r="AD204" t="inlineStr">
        <is>
          <t>Candidate availability relative to US/Canada full-time hiring timelines was not specified.</t>
        </is>
      </c>
      <c r="AE204" t="inlineStr">
        <is>
          <t>UNKNOWN</t>
        </is>
      </c>
      <c r="AF204" t="n">
        <v>0</v>
      </c>
      <c r="AG204" t="inlineStr">
        <is>
          <t>No</t>
        </is>
      </c>
      <c r="AH204" t="inlineStr">
        <is>
          <t>none</t>
        </is>
      </c>
      <c r="AI204" t="inlineStr">
        <is>
          <t>No mention of PPO or conversion since this is a direct full-time hire.</t>
        </is>
      </c>
      <c r="AJ204" t="inlineStr">
        <is>
          <t>Location requirement restricts candidates to US or Canada; Employment type is Full-Time, whereas candidate is targeting Internships</t>
        </is>
      </c>
      <c r="AK204" t="inlineStr">
        <is>
          <t>Role is full-time while candidate is an MCA student graduating in 2027 looking for internships; Geographic location outside US/Canada</t>
        </is>
      </c>
      <c r="AL204" t="inlineStr">
        <is>
          <t>Python and Django backend development; TypeScript and React front-end architecture; AI and computer vision automation workflows</t>
        </is>
      </c>
    </row>
    <row r="205">
      <c r="A205" t="inlineStr">
        <is>
          <t>TEN179030912-261002-204</t>
        </is>
      </c>
      <c r="B205" t="inlineStr">
        <is>
          <t>ten1790309126</t>
        </is>
      </c>
      <c r="C205" t="inlineStr">
        <is>
          <t>Software Development Intern</t>
        </is>
      </c>
      <c r="D205" t="inlineStr">
        <is>
          <t>https://internshala.com/internship/detail/work-from-home-software-development-internship-at-ten1790309126</t>
        </is>
      </c>
      <c r="E205" t="inlineStr">
        <is>
          <t>AI Analyzer</t>
        </is>
      </c>
      <c r="F205" t="inlineStr">
        <is>
          <t>India</t>
        </is>
      </c>
      <c r="G205" t="inlineStr">
        <is>
          <t>Work from Home</t>
        </is>
      </c>
      <c r="H205" t="inlineStr">
        <is>
          <t>Not specified</t>
        </is>
      </c>
      <c r="I205" t="inlineStr">
        <is>
          <t>Not specified</t>
        </is>
      </c>
      <c r="J205" t="inlineStr">
        <is>
          <t>Not mentioned</t>
        </is>
      </c>
      <c r="M205" t="inlineStr">
        <is>
          <t>Software Development</t>
        </is>
      </c>
      <c r="N205" t="n">
        <v>46</v>
      </c>
      <c r="O205" t="n">
        <v>50</v>
      </c>
      <c r="P205" t="n">
        <v>50</v>
      </c>
      <c r="Q205" t="n">
        <v>60</v>
      </c>
      <c r="R205" t="n">
        <v>40</v>
      </c>
      <c r="S205" t="n">
        <v>30</v>
      </c>
      <c r="T205" t="n">
        <v>30</v>
      </c>
      <c r="U205" t="inlineStr">
        <is>
          <t>SKIP</t>
        </is>
      </c>
      <c r="V205" t="inlineStr">
        <is>
          <t>SKIP</t>
        </is>
      </c>
      <c r="X205" t="inlineStr">
        <is>
          <t>Amaanuddin_Ahmed_Resume.pdf</t>
        </is>
      </c>
      <c r="Y205" t="inlineStr">
        <is>
          <t>2026-10-02</t>
        </is>
      </c>
      <c r="Z205" t="inlineStr">
        <is>
          <t>Matches general software development internship profile</t>
        </is>
      </c>
      <c r="AA205" t="inlineStr">
        <is>
          <t>Eligible</t>
        </is>
      </c>
      <c r="AB205" t="inlineStr">
        <is>
          <t>Meets general education and background criteria for software development internships</t>
        </is>
      </c>
      <c r="AC205" t="inlineStr">
        <is>
          <t>Available</t>
        </is>
      </c>
      <c r="AD205" t="inlineStr">
        <is>
          <t>Candidate is pursuing MCA (2025-2027) and actively looking for internships</t>
        </is>
      </c>
      <c r="AE205" t="inlineStr">
        <is>
          <t>UNKNOWN</t>
        </is>
      </c>
      <c r="AF205" t="n">
        <v>0</v>
      </c>
      <c r="AG205" t="inlineStr">
        <is>
          <t>No</t>
        </is>
      </c>
      <c r="AH205" t="inlineStr">
        <is>
          <t>Not mentioned</t>
        </is>
      </c>
      <c r="AI205" t="inlineStr">
        <is>
          <t>No mention of PPO or conversion in the sparse job description</t>
        </is>
      </c>
      <c r="AK205" t="inlineStr">
        <is>
          <t>Extremely sparse job description lacking company name, specific tech stack, duration, and stipend information</t>
        </is>
      </c>
      <c r="AL205" t="inlineStr">
        <is>
          <t>Full stack web development fundamentals; JavaScript and Node.js concepts; Previous internship projects at Sunflower Trip and Freelance</t>
        </is>
      </c>
    </row>
    <row r="206">
      <c r="A206" t="inlineStr">
        <is>
          <t>PICOVOICE-261002-205</t>
        </is>
      </c>
      <c r="B206" t="inlineStr">
        <is>
          <t>Picovoice</t>
        </is>
      </c>
      <c r="C206" t="inlineStr">
        <is>
          <t>Software Engineer Intern</t>
        </is>
      </c>
      <c r="D206" t="inlineStr">
        <is>
          <t>https://wellfound.com/jobs/2482629-software-engineer-intern</t>
        </is>
      </c>
      <c r="E206" t="inlineStr">
        <is>
          <t>AI Analyzer</t>
        </is>
      </c>
      <c r="F206" t="inlineStr">
        <is>
          <t>Vancouver</t>
        </is>
      </c>
      <c r="G206" t="inlineStr">
        <is>
          <t>In office</t>
        </is>
      </c>
      <c r="H206" t="inlineStr">
        <is>
          <t>$30k – $60k CAD</t>
        </is>
      </c>
      <c r="I206" t="inlineStr">
        <is>
          <t>Not specified</t>
        </is>
      </c>
      <c r="J206" t="inlineStr">
        <is>
          <t>NOT_MENTIONED</t>
        </is>
      </c>
      <c r="M206" t="inlineStr">
        <is>
          <t>$30k – $60k CAD • No equity • • • In office • Vancouver • • • 0 years of exp • • • yesterday • • yesterday</t>
        </is>
      </c>
      <c r="N206" t="n">
        <v>52</v>
      </c>
      <c r="O206" t="n">
        <v>50</v>
      </c>
      <c r="P206" t="n">
        <v>50</v>
      </c>
      <c r="Q206" t="n">
        <v>70</v>
      </c>
      <c r="R206" t="n">
        <v>0</v>
      </c>
      <c r="S206" t="n">
        <v>100</v>
      </c>
      <c r="T206" t="n">
        <v>70</v>
      </c>
      <c r="U206" t="inlineStr">
        <is>
          <t>SKIP</t>
        </is>
      </c>
      <c r="V206" t="inlineStr">
        <is>
          <t>SKIP</t>
        </is>
      </c>
      <c r="X206" t="inlineStr">
        <is>
          <t>Amaanuddin_Ahmed_Resume.pdf</t>
        </is>
      </c>
      <c r="Y206" t="inlineStr">
        <is>
          <t>2026-10-02</t>
        </is>
      </c>
      <c r="Z206" t="inlineStr">
        <is>
          <t>High stipend in CAD.</t>
        </is>
      </c>
      <c r="AA206" t="inlineStr">
        <is>
          <t>BLOCKED</t>
        </is>
      </c>
      <c r="AB206" t="inlineStr">
        <is>
          <t>Job requires working in-office in Vancouver, Canada, whereas candidate prefers Bengaluru, India.</t>
        </is>
      </c>
      <c r="AC206" t="inlineStr">
        <is>
          <t>UNKNOWN</t>
        </is>
      </c>
      <c r="AD206" t="inlineStr">
        <is>
          <t>Availability not specified in career brain or job description for Vancouver relocation.</t>
        </is>
      </c>
      <c r="AE206" t="inlineStr">
        <is>
          <t>DISCLOSED</t>
        </is>
      </c>
      <c r="AF206" t="n">
        <v>1800000</v>
      </c>
      <c r="AG206" t="inlineStr">
        <is>
          <t>No</t>
        </is>
      </c>
      <c r="AH206" t="inlineStr">
        <is>
          <t>NOT_MENTIONED</t>
        </is>
      </c>
      <c r="AI206" t="inlineStr">
        <is>
          <t>Job description does not mention conversion or PPO.</t>
        </is>
      </c>
      <c r="AJ206" t="inlineStr">
        <is>
          <t>Location is Vancouver, Canada (In-office), which violates candidate location preference of Bengaluru, India.</t>
        </is>
      </c>
      <c r="AK206" t="inlineStr">
        <is>
          <t>Requires relocation to Canada for an internship.</t>
        </is>
      </c>
    </row>
    <row r="207">
      <c r="A207" t="inlineStr">
        <is>
          <t>FIELDGUIDE-261002-206</t>
        </is>
      </c>
      <c r="B207" t="inlineStr">
        <is>
          <t>Fieldguide</t>
        </is>
      </c>
      <c r="C207" t="inlineStr">
        <is>
          <t>Software Engineer, Agents (Internal Audit)</t>
        </is>
      </c>
      <c r="D207" t="inlineStr">
        <is>
          <t>https://wellfound.com/jobs/4238913-software-engineer-agents-internal-audit</t>
        </is>
      </c>
      <c r="E207" t="inlineStr">
        <is>
          <t>AI Analyzer</t>
        </is>
      </c>
      <c r="F207" t="inlineStr">
        <is>
          <t>San Francisco, CA / Remote</t>
        </is>
      </c>
      <c r="G207" t="inlineStr">
        <is>
          <t>Remote</t>
        </is>
      </c>
      <c r="H207" t="inlineStr">
        <is>
          <t>$170k – $300k (Full-time annual salary equivalent listed on Wellfound)</t>
        </is>
      </c>
      <c r="I207" t="inlineStr">
        <is>
          <t>Not Specified</t>
        </is>
      </c>
      <c r="J207" t="inlineStr">
        <is>
          <t>no</t>
        </is>
      </c>
      <c r="M207" t="inlineStr">
        <is>
          <t>Full-time • • $170k – $300k • • • Remote • San Francisco • • • 2 weeks ago • • 2 weeks ago</t>
        </is>
      </c>
      <c r="N207" t="n">
        <v>42</v>
      </c>
      <c r="O207" t="n">
        <v>40</v>
      </c>
      <c r="P207" t="n">
        <v>30</v>
      </c>
      <c r="Q207" t="n">
        <v>40</v>
      </c>
      <c r="R207" t="n">
        <v>0</v>
      </c>
      <c r="S207" t="n">
        <v>100</v>
      </c>
      <c r="T207" t="n">
        <v>80</v>
      </c>
      <c r="U207" t="inlineStr">
        <is>
          <t>SKIP</t>
        </is>
      </c>
      <c r="V207" t="inlineStr">
        <is>
          <t>SKIP</t>
        </is>
      </c>
      <c r="X207" t="inlineStr">
        <is>
          <t>Amaanuddin_Ahmed_Resume.pdf</t>
        </is>
      </c>
      <c r="Y207" t="inlineStr">
        <is>
          <t>2026-10-02</t>
        </is>
      </c>
      <c r="Z207" t="inlineStr">
        <is>
          <t>High compensation range listed for full-time.</t>
        </is>
      </c>
      <c r="AA207" t="inlineStr">
        <is>
          <t>eligible</t>
        </is>
      </c>
      <c r="AB207" t="inlineStr">
        <is>
          <t>The candidate is actively pursuing an MCA degree and seeking full-time or internship opportunities.; No explicit graduation year or degree blockers stated in the sparse job description.</t>
        </is>
      </c>
      <c r="AC207" t="inlineStr">
        <is>
          <t>unknown</t>
        </is>
      </c>
      <c r="AD207" t="inlineStr">
        <is>
          <t>Candidate availability dates are not explicitly matched against start date since start date is not mentioned.</t>
        </is>
      </c>
      <c r="AE207" t="inlineStr">
        <is>
          <t>not_specified</t>
        </is>
      </c>
      <c r="AF207" t="n">
        <v>0</v>
      </c>
      <c r="AG207" t="inlineStr">
        <is>
          <t>No</t>
        </is>
      </c>
      <c r="AH207" t="inlineStr">
        <is>
          <t>no</t>
        </is>
      </c>
      <c r="AI207" t="inlineStr">
        <is>
          <t>Job is listed as a full-time role with an annual salary range ($170k - $300k), not explicitly an internship with conversion.</t>
        </is>
      </c>
      <c r="AK207" t="inlineStr">
        <is>
          <t>The JD states a full-time salary range of $170k - $300k while the job type snippet says 'Full-time • • $170k – $300k • • • Remote • San Francisco', making it a full-time experienced software engineering position rather than an entry-level student internship.</t>
        </is>
      </c>
      <c r="AL207" t="inlineStr">
        <is>
          <t>AI Agents; Internal Audit workflows; Full-stack Software Engineering at scale</t>
        </is>
      </c>
    </row>
    <row r="208">
      <c r="A208" t="inlineStr">
        <is>
          <t>B2WORLD-261006-1</t>
        </is>
      </c>
      <c r="B208" t="inlineStr">
        <is>
          <t>B2World</t>
        </is>
      </c>
      <c r="C208" t="inlineStr">
        <is>
          <t>Full Stack Developer Internship</t>
        </is>
      </c>
      <c r="D208" t="inlineStr">
        <is>
          <t>https://in.jooble.org/desc/-223100377495796226?ckey=software+engineer+intern&amp;rgn=158289&amp;pos=2&amp;elckey=9062877939385746076&amp;p=1&amp;aq=-726606582862102201&amp;cid=389&amp;jobAge=19&amp;brelb=100&amp;bscr=242.40253&amp;scr=242.40253</t>
        </is>
      </c>
      <c r="E208" t="inlineStr">
        <is>
          <t>AI Analyzer</t>
        </is>
      </c>
      <c r="F208" t="inlineStr">
        <is>
          <t>work from home</t>
        </is>
      </c>
      <c r="G208" t="inlineStr">
        <is>
          <t>Remote</t>
        </is>
      </c>
      <c r="H208" t="inlineStr">
        <is>
          <t>Not specified</t>
        </is>
      </c>
      <c r="I208" t="inlineStr">
        <is>
          <t>Unknown</t>
        </is>
      </c>
      <c r="J208" t="inlineStr">
        <is>
          <t>PRESENT</t>
        </is>
      </c>
      <c r="K208" t="inlineStr">
        <is>
          <t>HTML; CSS; JavaScript; Bootstrap; React.js; Angular; Node.js; Express.js; SQL; MySQL; MongoDB; Git; GitHub; RESTful APIs</t>
        </is>
      </c>
      <c r="L208" t="inlineStr">
        <is>
          <t>AWS; Azure; Google Cloud; Agile</t>
        </is>
      </c>
      <c r="M208"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Software Engineer - Intern
RealMe
[work from home](https://in.jooble.org/jobs/work-from-home)
[Apply](https://in.jooble.org/away/7400619691248103067?p=1&amp;pos=0&amp;rgn=158289&amp;pageType=7&amp;cid=389&amp;jobAge=620&amp;scr=929.3196&amp;bscr=929.3196&amp;jdpSource=101&amp;jdpid=-2560423422391702288&amp;crId=IN_941557261776897104IN_158289)
## Company Overview   Realm builds AI for the mining industry. We integrate with existing mine infrastructure — cameras, SCADA systems, drones, and data repositories — to predict equipment failures, detect unsafe behaviors, and optimize operations. Our platform deploys intelligence in various ways to improve productivity and safety — monitoring PPE compliance via computer vision, optimizing froth flotation processes, analyzing longwall shearer performance, tracking MSHA citation patterns, and more.     Our founders started their careers at Palantir before going on to build Blend Labs (publicly traded fintech, founded as CTO) and Even (acquired by Walmart). Our leadership team brings experience from Uber, Metropolis, and other high-bar organizations. We're a small, senior team that ships daily to production mines.     AI isn't just our product — it's how we build. We're an AI-first engineering team that uses the latest models and tooling throughout our development process, moving faster and at higher quality than traditional teams our size.     Our culture values high agency, deep ownership, collaboration, and autonomy across a fully remote workforce. Teams here move quickly and make meaningful contributions to a product that shapes global industrial outcomes.
## What You'll Do
As an intern at Realm, you'll work alongside full-time engineers on real features that run at active mine sites - not toy projects or internal tooling.
- Contribute to our TypeScript backend serving real-time mining operations data
- Build and ship features end-to-end
- Work on applied AI features using LLMs (Claude, GPT, Gemini) for intelligent analysis and automation
- Contribute to computer vision pipelines leveraging LLMs and services like AWS Rekognition and TensorFlow
- Deploy code to production via Kubernetes with CI/CD
- Interact directly with users and translate real-world operational challenges into features
- Work closely with our CEO -- former CTO and Cofounder of Blend Labs -- and a senior engineering team invested in your growth
## What We're Looking For
_Must-Have Qualifications_
- Currently a Junior or Senior pursuing a BS in Computer Science or a related field
- Strong CS fundamentals - data structures, algorithms, and system design
- Proficiency with agentic coding tools (Claude Code, Codex, or Cursor)
- Comfort working across the stack, you don't need to be an expert in everything, but you're willing to figure things out
_Nice-to-Have Qualifications_
- Prior internship or project experience in a production codebase
- TypeScript experience
- AI or computer vision experience
## Interview Process
1. Engineering quiz (async, 60 min) — 8-question code reading and analysis assessment. No trick questions — we're testing how you think about real code.
2. Live coding interviews — Algorithmic problem solving and a simulated development task.
3. Behavioral interview with senior leadership — Culture fit, working style, and past experience.
## Why Realm
- Work on mission-critical problems at the intersection of AI, security, and global infrastructure
- Competitive paid internship compensation
- Real ownership: your code ships to production mines
- Direct mentorship from a senior engineering team with deep startup and industry experience
- Dynamic, remote work environment with global reach
[Apply](https://in.jooble.org/away/7400619691248103067?p=1&amp;pos=0&amp;rgn=158289&amp;pageTy</t>
        </is>
      </c>
      <c r="N208" t="n">
        <v>87</v>
      </c>
      <c r="O208" t="n">
        <v>95</v>
      </c>
      <c r="P208" t="n">
        <v>90</v>
      </c>
      <c r="Q208" t="n">
        <v>95</v>
      </c>
      <c r="R208" t="n">
        <v>90</v>
      </c>
      <c r="S208" t="n">
        <v>50</v>
      </c>
      <c r="T208" t="n">
        <v>80</v>
      </c>
      <c r="U208" t="inlineStr">
        <is>
          <t>APPLY</t>
        </is>
      </c>
      <c r="V208" t="inlineStr">
        <is>
          <t>APPLY</t>
        </is>
      </c>
      <c r="X208" t="inlineStr">
        <is>
          <t>Primary Full Stack Developer Resume emphasizing Angular, Node.js, Express, MySQL, and Azure deployments from Sunflower Trip and freelance restaurant POS experience.</t>
        </is>
      </c>
      <c r="Y208" t="inlineStr">
        <is>
          <t>2026-10-06</t>
        </is>
      </c>
      <c r="Z208" t="inlineStr">
        <is>
          <t>The role is a near-perfect technical and functional match for Amaan's core competencies in Angular, Node.js, Express, and databases.; Includes a potential Pre-Placement Offer (PPO) for outstanding performers, aligning with high priority PPO goals.; Remote work mode fits preferred location preferences.</t>
        </is>
      </c>
      <c r="AA208" t="inlineStr">
        <is>
          <t>ELIGIBLE</t>
        </is>
      </c>
      <c r="AB208" t="inlineStr">
        <is>
          <t>Candidate is an MCA student, which matches the target profile for standard tech internships.; All mandatory technology requirements (HTML, CSS, JavaScript, Node.js, Express.js, MySQL/MongoDB, Git) are fully met through candidate's extensive demonstrated work experience.</t>
        </is>
      </c>
      <c r="AC208" t="inlineStr">
        <is>
          <t>UNKNOWN</t>
        </is>
      </c>
      <c r="AD208" t="inlineStr">
        <is>
          <t>Exact start and availability dates are not specified in the candidate profile.</t>
        </is>
      </c>
      <c r="AE208" t="inlineStr">
        <is>
          <t>UNKNOWN</t>
        </is>
      </c>
      <c r="AF208" t="n">
        <v>0</v>
      </c>
      <c r="AG208" t="inlineStr">
        <is>
          <t>No</t>
        </is>
      </c>
      <c r="AH208" t="inlineStr">
        <is>
          <t>PRESENT</t>
        </is>
      </c>
      <c r="AI208" t="inlineStr">
        <is>
          <t>Potential Pre-Placement Offer (PPO) for outstanding performers.</t>
        </is>
      </c>
      <c r="AK208" t="inlineStr">
        <is>
          <t>Stipend is not disclosed in the job posting.</t>
        </is>
      </c>
      <c r="AL208" t="inlineStr">
        <is>
          <t>RESTful API design and optimization; Database query optimization in MySQL and MongoDB; State management and component lifecycle in Angular or React; Authentication and authorization workflows in full-stack applications</t>
        </is>
      </c>
      <c r="AM208" t="inlineStr">
        <is>
          <t>E:\InternshipHunter\applications\jooble-6a54f44e027a</t>
        </is>
      </c>
      <c r="AN208" t="inlineStr">
        <is>
          <t>Ready for Review</t>
        </is>
      </c>
      <c r="AO208" t="inlineStr">
        <is>
          <t>Generated</t>
        </is>
      </c>
      <c r="AP208" t="inlineStr">
        <is>
          <t>Generated</t>
        </is>
      </c>
      <c r="AQ208" t="inlineStr">
        <is>
          <t>Generated</t>
        </is>
      </c>
      <c r="AR208" t="inlineStr">
        <is>
          <t>Ready to Apply</t>
        </is>
      </c>
    </row>
    <row r="209">
      <c r="A209" t="inlineStr">
        <is>
          <t>UNKNOWN-261006-2</t>
        </is>
      </c>
      <c r="B209" t="inlineStr">
        <is>
          <t>Unknown</t>
        </is>
      </c>
      <c r="C209" t="inlineStr">
        <is>
          <t>AI Engineer Internship - GenAI &amp; ML</t>
        </is>
      </c>
      <c r="D209" t="inlineStr">
        <is>
          <t>https://in.jooble.org/desc/2817137864427572361?ckey=software+engineer+intern&amp;rgn=158289&amp;pos=3&amp;elckey=9062877939385746076&amp;p=1&amp;aq=-726606582862102201&amp;cid=389&amp;jobAge=28&amp;brelb=100&amp;bscr=227.14352&amp;scr=227.14352</t>
        </is>
      </c>
      <c r="E209" t="inlineStr">
        <is>
          <t>AI Analyzer</t>
        </is>
      </c>
      <c r="F209" t="inlineStr">
        <is>
          <t>work from home</t>
        </is>
      </c>
      <c r="G209" t="inlineStr">
        <is>
          <t>Remote</t>
        </is>
      </c>
      <c r="H209" t="inlineStr">
        <is>
          <t>Not specified</t>
        </is>
      </c>
      <c r="I209" t="inlineStr">
        <is>
          <t>Unknown</t>
        </is>
      </c>
      <c r="J209" t="inlineStr">
        <is>
          <t>Not Mentioned</t>
        </is>
      </c>
      <c r="K209" t="inlineStr">
        <is>
          <t>AI; GenAI; Machine Learning</t>
        </is>
      </c>
      <c r="L209" t="inlineStr">
        <is>
          <t>Python</t>
        </is>
      </c>
      <c r="M209" t="inlineStr">
        <is>
          <t>&amp;nbsp;...and smarter decisions. We are looking for a motivated AI &lt;b&gt;Engineer Intern &lt;/b&gt;- GenAI &amp; ML who wants to work on real-world AI systems and help...&amp;nbsp;&amp;nbsp;.... Students from Computer Science, AI/ML, Data Science, &lt;b&gt;Software &lt;/b&gt;Engineering, or related fields are preferred. Freshers with...&amp;nbsp;</t>
        </is>
      </c>
      <c r="N209" t="n">
        <v>24</v>
      </c>
      <c r="O209" t="n">
        <v>20</v>
      </c>
      <c r="P209" t="n">
        <v>20</v>
      </c>
      <c r="Q209" t="n">
        <v>40</v>
      </c>
      <c r="R209" t="n">
        <v>0</v>
      </c>
      <c r="S209" t="n">
        <v>50</v>
      </c>
      <c r="T209" t="n">
        <v>30</v>
      </c>
      <c r="U209" t="inlineStr">
        <is>
          <t>SKIP</t>
        </is>
      </c>
      <c r="V209" t="inlineStr">
        <is>
          <t>SKIP</t>
        </is>
      </c>
      <c r="W209" t="inlineStr">
        <is>
          <t>GenAI; Machine Learning; AI Engineering</t>
        </is>
      </c>
      <c r="X209" t="inlineStr">
        <is>
          <t>Amaanuddin_Ahmed_Resume.pdf</t>
        </is>
      </c>
      <c r="Y209" t="inlineStr">
        <is>
          <t>2026-10-06</t>
        </is>
      </c>
      <c r="Z209" t="inlineStr">
        <is>
          <t>Remote internship opportunity in AI/ML.</t>
        </is>
      </c>
      <c r="AA209" t="inlineStr">
        <is>
          <t>Eligible</t>
        </is>
      </c>
      <c r="AB209" t="inlineStr">
        <is>
          <t>Candidate is a student in MCA (Computer Science related field).</t>
        </is>
      </c>
      <c r="AC209" t="inlineStr">
        <is>
          <t>Unknown</t>
        </is>
      </c>
      <c r="AD209" t="inlineStr">
        <is>
          <t>Availability timeline not specified in the candidate profile.</t>
        </is>
      </c>
      <c r="AE209" t="inlineStr">
        <is>
          <t>UNKNOWN</t>
        </is>
      </c>
      <c r="AF209" t="n">
        <v>0</v>
      </c>
      <c r="AG209" t="inlineStr">
        <is>
          <t>No</t>
        </is>
      </c>
      <c r="AH209" t="inlineStr">
        <is>
          <t>Not Mentioned</t>
        </is>
      </c>
      <c r="AI209" t="inlineStr">
        <is>
          <t>No mention of a Pre-Placement Offer (PPO) or conversion in the job description.</t>
        </is>
      </c>
      <c r="AK209" t="inlineStr">
        <is>
          <t>Unspecified company name; Vague job description with no details on stipend, duration, or exact technical requirements</t>
        </is>
      </c>
      <c r="AL209" t="inlineStr">
        <is>
          <t>Generative AI concepts; Machine Learning fundamentals; Python programming; Experience with AI APIs</t>
        </is>
      </c>
    </row>
    <row r="210">
      <c r="A210" t="inlineStr">
        <is>
          <t>KLOUDEXAMS-261006-3</t>
        </is>
      </c>
      <c r="B210" t="inlineStr">
        <is>
          <t>KloudExams</t>
        </is>
      </c>
      <c r="C210" t="inlineStr">
        <is>
          <t>Data Entry Internship</t>
        </is>
      </c>
      <c r="D210" t="inlineStr">
        <is>
          <t>https://in.jooble.org/desc/8593512539356866219?ckey=software+engineer+intern&amp;rgn=158289&amp;pos=9&amp;elckey=9062877939385746076&amp;p=1&amp;aq=-726606582862102201&amp;cid=389&amp;jobAge=10&amp;brelb=100&amp;bscr=170.27496&amp;scr=170.27496</t>
        </is>
      </c>
      <c r="E210" t="inlineStr">
        <is>
          <t>AI Analyzer</t>
        </is>
      </c>
      <c r="F210" t="inlineStr">
        <is>
          <t>work from home</t>
        </is>
      </c>
      <c r="G210" t="inlineStr">
        <is>
          <t>Remote</t>
        </is>
      </c>
      <c r="H210" t="inlineStr">
        <is>
          <t>Rs 500 per week</t>
        </is>
      </c>
      <c r="I210" t="inlineStr">
        <is>
          <t>Not Specified</t>
        </is>
      </c>
      <c r="J210" t="inlineStr">
        <is>
          <t>Not Mentioned</t>
        </is>
      </c>
      <c r="L210" t="inlineStr">
        <is>
          <t>Google Cloud; Kubernetes; Terraform</t>
        </is>
      </c>
      <c r="M210" t="inlineStr">
        <is>
          <t>&amp;nbsp;...KloudExams is hiring for Data Entry &lt;b&gt;Intern &lt;/b&gt; About the Company KloudExams is an online education platform focused on Google Cloud and DevOps certification preparation. Its certification-oriented learning resources cover Google Cloud, Kubernetes, and Terraform through realistic...&amp;nbsp;</t>
        </is>
      </c>
      <c r="N210" t="n">
        <v>8</v>
      </c>
      <c r="O210" t="n">
        <v>10</v>
      </c>
      <c r="P210" t="n">
        <v>10</v>
      </c>
      <c r="Q210" t="n">
        <v>10</v>
      </c>
      <c r="R210" t="n">
        <v>0</v>
      </c>
      <c r="S210" t="n">
        <v>10</v>
      </c>
      <c r="T210" t="n">
        <v>10</v>
      </c>
      <c r="U210" t="inlineStr">
        <is>
          <t>SKIP</t>
        </is>
      </c>
      <c r="V210" t="inlineStr">
        <is>
          <t>SKIP</t>
        </is>
      </c>
      <c r="X210" t="inlineStr">
        <is>
          <t>Amaanuddin_Ahmed_Resume.pdf</t>
        </is>
      </c>
      <c r="Y210" t="inlineStr">
        <is>
          <t>2026-10-06</t>
        </is>
      </c>
      <c r="AA210" t="inlineStr">
        <is>
          <t>Eligible</t>
        </is>
      </c>
      <c r="AB210" t="inlineStr">
        <is>
          <t>No strict degree or experience blockers mentioned for this entry-level task.</t>
        </is>
      </c>
      <c r="AC210" t="inlineStr">
        <is>
          <t>Unknown</t>
        </is>
      </c>
      <c r="AD210" t="inlineStr">
        <is>
          <t>Availability not specified in career brain.</t>
        </is>
      </c>
      <c r="AE210" t="inlineStr">
        <is>
          <t>Fixed</t>
        </is>
      </c>
      <c r="AF210" t="n">
        <v>2000</v>
      </c>
      <c r="AG210" t="inlineStr">
        <is>
          <t>No</t>
        </is>
      </c>
      <c r="AH210" t="inlineStr">
        <is>
          <t>Not Mentioned</t>
        </is>
      </c>
      <c r="AI210" t="inlineStr">
        <is>
          <t>No mention of conversion to full-time or PPO.</t>
        </is>
      </c>
      <c r="AJ210" t="inlineStr">
        <is>
          <t>Role mismatch: Candidate targets Software Engineering / Developer internships, whereas this is a Data Entry internship.; Compensation below minimum target: Rs 500 per week (approx ₹2,000/month) is significantly below the candidate's minimum target of ₹25,000/month.</t>
        </is>
      </c>
      <c r="AK210" t="inlineStr">
        <is>
          <t>Significantly low stipend compared to target expectations.; Irrelevant role type (Data Entry vs Software Engineering).</t>
        </is>
      </c>
    </row>
    <row r="211">
      <c r="A211" t="inlineStr">
        <is>
          <t>THOUGHTWORKS-261006-4</t>
        </is>
      </c>
      <c r="B211" t="inlineStr">
        <is>
          <t>Thoughtworks</t>
        </is>
      </c>
      <c r="C211" t="inlineStr">
        <is>
          <t>Developer (Vapasi) - Intern</t>
        </is>
      </c>
      <c r="D211" t="inlineStr">
        <is>
          <t>https://in.jooble.org/desc/4006769153936143572?ckey=software+development+intern&amp;rgn=3193&amp;pos=20&amp;elckey=3398577106577122201&amp;p=1&amp;aq=1843915405196814879&amp;cid=389&amp;jobAge=442&amp;brelb=100&amp;bscr=1177.1467&amp;scr=1177.1467</t>
        </is>
      </c>
      <c r="E211" t="inlineStr">
        <is>
          <t>AI Analyzer</t>
        </is>
      </c>
      <c r="F211" t="inlineStr">
        <is>
          <t>Bangalore</t>
        </is>
      </c>
      <c r="G211" t="inlineStr">
        <is>
          <t>Unknown</t>
        </is>
      </c>
      <c r="H211" t="inlineStr">
        <is>
          <t>Not specified</t>
        </is>
      </c>
      <c r="I211" t="inlineStr">
        <is>
          <t>Unknown</t>
        </is>
      </c>
      <c r="J211" t="inlineStr">
        <is>
          <t>YES</t>
        </is>
      </c>
      <c r="K211" t="inlineStr">
        <is>
          <t>Java</t>
        </is>
      </c>
      <c r="M211" t="inlineStr">
        <is>
          <t>&amp;nbsp;...project. Based on performance, a full-time role may be extended. Eligibility Criteria A minimum of 2 to 5 years of hands-on &lt;b&gt;software development &lt;/b&gt;experience before taking a career break A career break lasting between 1 and 5 years Foundational knowledge of Java with...&amp;nbsp;</t>
        </is>
      </c>
      <c r="N211" t="n">
        <v>24</v>
      </c>
      <c r="O211" t="n">
        <v>20</v>
      </c>
      <c r="P211" t="n">
        <v>0</v>
      </c>
      <c r="Q211" t="n">
        <v>10</v>
      </c>
      <c r="R211" t="n">
        <v>80</v>
      </c>
      <c r="S211" t="n">
        <v>0</v>
      </c>
      <c r="T211" t="n">
        <v>50</v>
      </c>
      <c r="U211" t="inlineStr">
        <is>
          <t>SKIP</t>
        </is>
      </c>
      <c r="V211" t="inlineStr">
        <is>
          <t>SKIP</t>
        </is>
      </c>
      <c r="W211" t="inlineStr">
        <is>
          <t>Java (Hands-on professional experience)</t>
        </is>
      </c>
      <c r="X211" t="inlineStr">
        <is>
          <t>Amaanuddin_Ahmed_Resume.pdf</t>
        </is>
      </c>
      <c r="Y211" t="inlineStr">
        <is>
          <t>2026-10-06</t>
        </is>
      </c>
      <c r="Z211" t="inlineStr">
        <is>
          <t>Thoughtworks is a top-tier tech company offering potential full-time conversion.</t>
        </is>
      </c>
      <c r="AA211" t="inlineStr">
        <is>
          <t>INELIGIBLE</t>
        </is>
      </c>
      <c r="AB211" t="inlineStr">
        <is>
          <t>The role requires a minimum of 2 to 5 years of hands-on software development experience before taking a career break.; The program specifically targets individuals returning from a career break, which does not match the candidate's profile as a current MCA student.</t>
        </is>
      </c>
      <c r="AC211" t="inlineStr">
        <is>
          <t>UNKNOWN</t>
        </is>
      </c>
      <c r="AD211" t="inlineStr">
        <is>
          <t>Availability not explicitly constrained by dates in JD, but candidate is ineligible due to experience and career break requirements.</t>
        </is>
      </c>
      <c r="AE211" t="inlineStr">
        <is>
          <t>UNKNOWN</t>
        </is>
      </c>
      <c r="AF211" t="n">
        <v>0</v>
      </c>
      <c r="AG211" t="inlineStr">
        <is>
          <t>No</t>
        </is>
      </c>
      <c r="AH211" t="inlineStr">
        <is>
          <t>YES</t>
        </is>
      </c>
      <c r="AI211" t="inlineStr">
        <is>
          <t>Based on performance, a full-time role may be extended.</t>
        </is>
      </c>
      <c r="AJ211" t="inlineStr">
        <is>
          <t>Requires 2 to 5 years of prior hands-on software development experience; Requires a career break lasting between 1 and 5 years</t>
        </is>
      </c>
      <c r="AK211" t="inlineStr">
        <is>
          <t>Vapasi program is exclusively designed for women returning from a career break</t>
        </is>
      </c>
    </row>
    <row r="212">
      <c r="A212" t="inlineStr">
        <is>
          <t>VIJYAPANA-AD-261006-5</t>
        </is>
      </c>
      <c r="B212" t="inlineStr">
        <is>
          <t>Vijyapana Advertising</t>
        </is>
      </c>
      <c r="C212" t="inlineStr">
        <is>
          <t>Full Stack Developer Internship</t>
        </is>
      </c>
      <c r="D212" t="inlineStr">
        <is>
          <t>https://in.jooble.org/desc/4927046742860316315?ckey=software+development+intern&amp;rgn=158289&amp;pos=5&amp;elckey=4861164319342753182&amp;p=1&amp;aq=-8102255642467358899&amp;cid=389&amp;jobAge=28&amp;brelb=100&amp;bscr=251.76491&amp;scr=251.76491</t>
        </is>
      </c>
      <c r="E212" t="inlineStr">
        <is>
          <t>AI Analyzer</t>
        </is>
      </c>
      <c r="F212" t="inlineStr">
        <is>
          <t>India</t>
        </is>
      </c>
      <c r="G212" t="inlineStr">
        <is>
          <t>Remote</t>
        </is>
      </c>
      <c r="H212" t="inlineStr">
        <is>
          <t>₹6,000 to ₹8,000 monthly incentive</t>
        </is>
      </c>
      <c r="I212" t="inlineStr">
        <is>
          <t>6 months</t>
        </is>
      </c>
      <c r="J212" t="inlineStr">
        <is>
          <t>not_mentioned</t>
        </is>
      </c>
      <c r="K212" t="inlineStr">
        <is>
          <t>Javascript; Typescript; HTML; CSS; Next.js; Node.js; Express.js; PostgreSQL; SQL; Redis; REST APIs; NextAuth.js; JWT; RBAC; Authentication &amp; Authorization; Responsive web designs; FIGMA; Cloud Deployment; Database Management &amp; Caching</t>
        </is>
      </c>
      <c r="M212" t="inlineStr">
        <is>
          <t>[go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Technical Account Manager Intern - Fresher (WFH)
Incubyte
[work from home](https://in.jooble.org/jobs/work-from-home)
- Remote job
[Apply](https://in.jooble.org/away/-2147825616521357269?p=1&amp;pos=0&amp;rgn=158289&amp;pageType=7&amp;cid=389&amp;jobAge=140&amp;scr=399.51758&amp;bscr=399.51758&amp;jdpSource=101&amp;jdpid=7829896555632861041&amp;crId=IN_-4363399223914765858IN_158289)
Technical Account Manager Intern
Start Date
Starts  Immediately
CTC (ANNUAL)
Competitive salary Competitive salary
Experience
No experience required
No experience required
Apply By
28 Mar' 27
Posted 5 days ago
Fresher Job
Be an early applicant
## About the job
About UsWe believe the future of software development is AI-native where engineers operate at a higher level of abstraction and quality remains non-negotiable.Incubyte is a software craft consultancy where the how of building software matters as much as the what.We partner with companies of all sizes, from helping enterprises build, scale, and modernize to early-stage founders bring their ideas to life.Our engineers operate in an AI-native development model, using AI as a collaborator across the SDLC to accelerate development while upholding the discipline of software craftsmanship. Guided by Software Craftsmanship and Extreme Programming practices, we build reliable, maintainable, and scalable systems with speed, without compromising quality. If this way of building software resonates with you, wed like to talk.Our Guiding PrinciplesThese principles define how we work at Incubyte. They are non-negotiable.Relentless Pursuit of Quality with PragmatismWe build high-quality systems without losing sight of delivery.Extreme OwnershipWe take responsibility end-to-end for decisions, execution, and outcomes.Proactive CollaborationWe collaborate closely, challenge each other, and solve problems together.Active Pursuit of MasteryWe continuously improve our craft and raise our bar.Invite, Give, and Act on FeedbackWe seek, give, and act on feedback to get better every day.Ensuring Client SuccessWe act as trusted partners and focus on real outcomes, not just output.Job DescriptionThis is a remote position.Internship Duration: 6 monthsEducation: Bachelor's degree in computer science/ITConversion: Based on performance during the internship, you may be offered a full-time role as part of our Account Management team.About the RoleThis internship is ideal for recent graduates or early-career professionals with a technical or engineering background who are keen to build a career in client-facing account management. You'll work closely with our Technical Account Managers and support the day-to-day operations that keep our client accounts running smoothly. This is an execution-focused role. Your primary job is to make sure nothing gets dropped, and that every record, document, and follow-up is accurate and on time.Outcomes You'll OwnOperational reliability: follow-ups, deadlines, and action items are tracked and closed, with nothing falling through the cracksData accuracy: account information stays correct and consistent across CRM, ERP, and internal recordsPaperwork done right: client documentation is complete, accurate, and submitted on timeDependable support: Account Managers can rely on you to take tasks off their plate and see them through to closure.Activities That Drive These Outcomes (illustrative, not exhaustive)Keep CRM/ERP and account records up to date, down to client-specific details.Support the weekly account snapshot by gathering and verifying data on runway, headcount, and invoicingHelp prepare client paperwork, including security questionnaires, vendor onboarding forms, and due diligence documentsTrack action items from client meetings, monthly readouts, and QBRs, and follow</t>
        </is>
      </c>
      <c r="N212" t="n">
        <v>62</v>
      </c>
      <c r="O212" t="n">
        <v>70</v>
      </c>
      <c r="P212" t="n">
        <v>80</v>
      </c>
      <c r="Q212" t="n">
        <v>85</v>
      </c>
      <c r="R212" t="n">
        <v>40</v>
      </c>
      <c r="S212" t="n">
        <v>10</v>
      </c>
      <c r="T212" t="n">
        <v>50</v>
      </c>
      <c r="U212" t="inlineStr">
        <is>
          <t>STRETCH</t>
        </is>
      </c>
      <c r="V212" t="inlineStr">
        <is>
          <t>STRETCH</t>
        </is>
      </c>
      <c r="W212" t="inlineStr">
        <is>
          <t>Typescript; Next.js; PostgreSQL; Redis; NextAuth.js</t>
        </is>
      </c>
      <c r="X212" t="inlineStr">
        <is>
          <t>Standard Full Stack Resume emphasizing MERN/Angular, Node.js, Express, SQL, and RBAC projects.</t>
        </is>
      </c>
      <c r="Y212" t="inlineStr">
        <is>
          <t>2026-10-06</t>
        </is>
      </c>
      <c r="Z212" t="inlineStr">
        <is>
          <t>Aligns well with target full-stack developer internship roles.; Fully remote work mode matches candidate preferences.</t>
        </is>
      </c>
      <c r="AA212" t="inlineStr">
        <is>
          <t>eligible</t>
        </is>
      </c>
      <c r="AB212" t="inlineStr">
        <is>
          <t>The role is a remote full-stack developer internship open to candidates across India, matching the candidate's preferences.; Candidate has robust project and internship experience matching the core expectations.</t>
        </is>
      </c>
      <c r="AC212" t="inlineStr">
        <is>
          <t>unknown</t>
        </is>
      </c>
      <c r="AD212" t="inlineStr">
        <is>
          <t>Exact start date availability relative to company requirement is not explicitly specified.</t>
        </is>
      </c>
      <c r="AE212" t="inlineStr">
        <is>
          <t>incentive_only</t>
        </is>
      </c>
      <c r="AF212" t="n">
        <v>0</v>
      </c>
      <c r="AG212" t="inlineStr">
        <is>
          <t>Yes</t>
        </is>
      </c>
      <c r="AH212" t="inlineStr">
        <is>
          <t>not_mentioned</t>
        </is>
      </c>
      <c r="AI212" t="inlineStr">
        <is>
          <t>No explicit PPO or full-time conversion track mentioned in the job description.</t>
        </is>
      </c>
      <c r="AK212" t="inlineStr">
        <is>
          <t>Incentive-only compensation below the candidate minimum target of ₹25,000/month.</t>
        </is>
      </c>
      <c r="AL212" t="inlineStr">
        <is>
          <t>Node.js and Express.js architecture and error handling; Authentication workflows using JWT and RBAC; Relational database management and SQL querying; Experience with cloud deployment and Figma workflows</t>
        </is>
      </c>
    </row>
    <row r="213">
      <c r="A213" t="inlineStr">
        <is>
          <t>LABS-MART-261006-6</t>
        </is>
      </c>
      <c r="B213" t="inlineStr">
        <is>
          <t>Labs-Mart</t>
        </is>
      </c>
      <c r="C213" t="inlineStr">
        <is>
          <t>Frontend Developer Intern</t>
        </is>
      </c>
      <c r="D213" t="inlineStr">
        <is>
          <t>https://in.jooble.org/desc/-7965535993263338302?ckey=full+stack+developer+intern&amp;rgn=3193&amp;pos=18&amp;elckey=-7841593093528326896&amp;p=1&amp;aq=-7691032067070044260&amp;cid=389&amp;jobAge=164&amp;brelb=10&amp;bscr=374.62823&amp;scr=374.62823</t>
        </is>
      </c>
      <c r="E213" t="inlineStr">
        <is>
          <t>AI Analyzer</t>
        </is>
      </c>
      <c r="F213" t="inlineStr">
        <is>
          <t>Bangalore</t>
        </is>
      </c>
      <c r="G213" t="inlineStr">
        <is>
          <t>Onsite</t>
        </is>
      </c>
      <c r="H213" t="inlineStr">
        <is>
          <t>10k/pm</t>
        </is>
      </c>
      <c r="I213" t="inlineStr">
        <is>
          <t>3 months</t>
        </is>
      </c>
      <c r="J213" t="inlineStr">
        <is>
          <t>Not Mentioned</t>
        </is>
      </c>
      <c r="K213" t="inlineStr">
        <is>
          <t>JavaScript</t>
        </is>
      </c>
      <c r="M213" t="inlineStr">
        <is>
          <t>&amp;nbsp;...Have capability to build neat and clean, consistent interface. # Proficient in javascript. Perks: # W ork with a team of &lt;b&gt;developers.&lt;/b&gt; # Stress free environment to learn and grow. # Ship regularly. # Mentorship. Stipend: 10k/pm Duration: 3 months...&amp;nbsp;</t>
        </is>
      </c>
      <c r="N213" t="n">
        <v>58</v>
      </c>
      <c r="O213" t="n">
        <v>80</v>
      </c>
      <c r="P213" t="n">
        <v>85</v>
      </c>
      <c r="Q213" t="n">
        <v>80</v>
      </c>
      <c r="R213" t="n">
        <v>0</v>
      </c>
      <c r="S213" t="n">
        <v>0</v>
      </c>
      <c r="T213" t="n">
        <v>50</v>
      </c>
      <c r="U213" t="inlineStr">
        <is>
          <t>SKIP</t>
        </is>
      </c>
      <c r="V213" t="inlineStr">
        <is>
          <t>SKIP</t>
        </is>
      </c>
      <c r="X213" t="inlineStr">
        <is>
          <t>Default Full Stack / Frontend Resume</t>
        </is>
      </c>
      <c r="Y213" t="inlineStr">
        <is>
          <t>2026-10-06</t>
        </is>
      </c>
      <c r="Z213" t="inlineStr">
        <is>
          <t>Matches target role of Frontend Developer Intern; Located in Bangalore with onsite setup</t>
        </is>
      </c>
      <c r="AA213" t="inlineStr">
        <is>
          <t>Eligible</t>
        </is>
      </c>
      <c r="AC213" t="inlineStr">
        <is>
          <t>Unknown</t>
        </is>
      </c>
      <c r="AD213" t="inlineStr">
        <is>
          <t>Not specified in candidate profile</t>
        </is>
      </c>
      <c r="AE213" t="inlineStr">
        <is>
          <t>Below Target</t>
        </is>
      </c>
      <c r="AF213" t="n">
        <v>10000</v>
      </c>
      <c r="AG213" t="inlineStr">
        <is>
          <t>No</t>
        </is>
      </c>
      <c r="AH213" t="inlineStr">
        <is>
          <t>Not Mentioned</t>
        </is>
      </c>
      <c r="AK213" t="inlineStr">
        <is>
          <t>Stipend of 10k/pm is below the candidate's minimum target of 25,000/month</t>
        </is>
      </c>
      <c r="AL213" t="inlineStr">
        <is>
          <t>JavaScript proficiency; Frontend interface building; Past internship experience with Angular</t>
        </is>
      </c>
    </row>
    <row r="214">
      <c r="A214" t="inlineStr">
        <is>
          <t>THE-WEDDING--261006-7</t>
        </is>
      </c>
      <c r="B214" t="inlineStr">
        <is>
          <t>The Wedding Company</t>
        </is>
      </c>
      <c r="C214" t="inlineStr">
        <is>
          <t>Business Development Associate</t>
        </is>
      </c>
      <c r="D214" t="inlineStr">
        <is>
          <t>https://in.jooble.org/desc/5001415599053360900?ckey=backend+developer+intern&amp;rgn=158289&amp;pos=19&amp;elckey=6131315699357785772&amp;p=1&amp;aq=2334115569853208435&amp;cid=389&amp;jobAge=524&amp;brelb=100&amp;bscr=132.45317&amp;scr=132.45317</t>
        </is>
      </c>
      <c r="E214" t="inlineStr">
        <is>
          <t>AI Analyzer</t>
        </is>
      </c>
      <c r="F214" t="inlineStr">
        <is>
          <t>Work from Home</t>
        </is>
      </c>
      <c r="G214" t="inlineStr">
        <is>
          <t>Remote</t>
        </is>
      </c>
      <c r="H214" t="inlineStr">
        <is>
          <t>Rs 2 - 2.5 lakhs p.a.</t>
        </is>
      </c>
      <c r="I214" t="inlineStr">
        <is>
          <t>Not Specified</t>
        </is>
      </c>
      <c r="J214" t="inlineStr">
        <is>
          <t>NOT MENTIONED</t>
        </is>
      </c>
      <c r="K214" t="inlineStr">
        <is>
          <t>Business Development; Cold Calling; English Proficiency (Spoken); Inside Sales; Lead Generation</t>
        </is>
      </c>
      <c r="M214" t="inlineStr">
        <is>
          <t xml:space="preserve">[go to main page](https://in.jooble.org/)
Sign up to access all features of our service
Sign upLog inShare jobsAdd job posting / For companies
- Job search
- Favorites
- Create a CV
New
- [Salaries](https://in.jooble.org/salary)
- Subscriptions
Never miss new jobs in the app
[![Download from Google Play](https://in.jooble.org/assets/images/badges/gray/android/en.png)](https://jooble.onelink.me/CUK2/cdqezxyt)[![Download from App Store](https://in.jooble.org/assets/images/badges/gray/ios/en.png)](https://jooble.onelink.me/CUK2/cdqezxyt)
Company
- [About Jooble](https://in.jooble.org/info/about)
- [Careers](https://jooble.org/hiring)
- [Help Center](https://help.jooble.org/en/support/home)
- [Jobs in India](https://in.jooble.org/)
For Employers
- For ATS
- [Post a Job](https://in.jooble.org/post-a-job?source=footer)
For Job Seekers
- [Popular Searches](https://in.jooble.org/queries)
- [Find Salaries](https://in.jooble.org/salary)
- [Resume Checker](https://in.fitly.work/resume-checker)
Legal
- [Terms of Service](https://in.jooble.org/info/terms)
- [Privacy Policy](https://in.jooble.org/info/privacy)
- Cookie Settings
[Country: India](https://jooble.org/#countries)
© 2006-2026 [Jooble](https://in.jooble.org/)
Video Editing Internship
[work from home](https://in.jooble.org/jobs/work-from-home)
[Apply](https://in.jooble.org/away/3063379480280148129?p=1&amp;pos=0&amp;rgn=158289&amp;pageType=7&amp;cid=389&amp;jobAge=4&amp;scr=132.95619&amp;bscr=132.95619&amp;jdpSource=101&amp;jdpid=4916696494538059906&amp;crId=IN_7486100480718853950IN_158289)
**About Dvipas AI:**
- Dvipas AI is building an AI education platform for school students and is looking for a Video Editor Intern to contribute to its upcoming AI education series.
**Position Details:**
- **Role:** Video Editor Intern
- **Work Mode:** 100% Remote
- **Duration:** 90 Days
- **Stipend:** Unpaid
- **Working Hours:** Completely Flexible
**What You'll Work On:**
- Edit educational AI videos.
- Support the production of approximately 20–25 episodes/classes.
- Create engaging visual content for students.
- Add appropriate cuts, graphics, transitions, captions, and other editing elements.
- Work on revisions and improve video quality.
- Collaborate with the content team.
**What You'll Gain:**
- Practical experience in:
  - Educational video production
  - Video editing workflows
  - Visual storytelling
  - Educational content creation
  - Working with an early-stage startup
- Certificate of Completion upon successful completion of the internship.
- Letter of Recommendation may be provided to eligible interns based on performance, commitment, and demonstrated contribution.
**Ideal Candidate:**
- Video editing students
- Aspiring video editors
- Content creators
- Students or fresh graduates with relevant editing skills
- Candidates interested in educational content
**Transparency:**
- This is currently an unpaid internship as Dvipas AI is in its early startup stage.
[Apply](https://in.jooble.org/away/3063379480280148129?p=1&amp;pos=0&amp;rgn=158289&amp;pageType=7&amp;cid=389&amp;jobAge=4&amp;scr=132.95619&amp;bscr=132.95619&amp;jdpSource=101&amp;jdpid=4916696494538059906&amp;crId=IN_7486100480718853950IN_158289)
# Business Development Associate (WFH)
Rs 2 - 2.5 lakhs p.a.
The Wedding Company
[work from home](https://in.jooble.org/jobs/work-from-home)
- Remote job
[Apply](https://in.jooble.org/away/5001415599053360900?p=1&amp;pos=0&amp;rgn=158289&amp;pageType=7&amp;cid=389&amp;jobAge=524&amp;scr=132.45317&amp;bscr=132.45317&amp;jdpSource=101&amp;jdpid=5443760837295864097&amp;crId=IN_7486100480718853950IN_158289)
Business Development Associate
Start Date
Starts  Immediately
CTC (ANNUAL)
₹ 2,00,000 - 2,50,000 ₹ 2,00,000 - 2,50,000 /year
Experience
1 year(s)
1 year(s)
Apply By
16 Oct' 26
Posted 2 weeks ago
Job
97 applicants
## About the job
We are looking for a proactive and target-oriented Lead Qualification Executive to join our growing team at The Wedding Company. This role will be responsible for connecting with incoming leads, understanding their wedding requirements, qualifying them based on defined criteria, and ensuring that high-quality leads are successfully handed over to the scheduling/sales team. This is a high-volume calling and target-oriented role where success is measured by the quality of conversations, qualified leads, and meetings scheduled and completed. The role requires strong communication skills, good customer understanding, consistent follow-ups, and the ability to manage a high volume of leads in a fast-paced sales environment.
Key Responsibilities:
1\. Handle inbound and outbound calls and connect with prospective clients
2\. Make 400-500 calls/day and manage assigned leads effectively
3\. Understand client requirements and collect key wedding details
4\. Build a good initial relationship with clients through conversational selling
5\. Qualify leads and schedule meetings with Wedding Experts/RMs
6\. Handle basic pitching and objection handling
7\. Follow up with clients through calls and WhatsApp, </t>
        </is>
      </c>
      <c r="N214" t="n">
        <v>9</v>
      </c>
      <c r="O214" t="n">
        <v>0</v>
      </c>
      <c r="P214" t="n">
        <v>0</v>
      </c>
      <c r="Q214" t="n">
        <v>0</v>
      </c>
      <c r="R214" t="n">
        <v>0</v>
      </c>
      <c r="S214" t="n">
        <v>70</v>
      </c>
      <c r="T214" t="n">
        <v>20</v>
      </c>
      <c r="U214" t="inlineStr">
        <is>
          <t>SKIP</t>
        </is>
      </c>
      <c r="V214" t="inlineStr">
        <is>
          <t>SKIP</t>
        </is>
      </c>
      <c r="W214" t="inlineStr">
        <is>
          <t>Business Development; Cold Calling; English Proficiency (Spoken); Inside Sales; Lead Generation</t>
        </is>
      </c>
      <c r="X214" t="inlineStr">
        <is>
          <t>Default Full Stack Resume</t>
        </is>
      </c>
      <c r="Y214" t="inlineStr">
        <is>
          <t>2026-10-06</t>
        </is>
      </c>
      <c r="AA214" t="inlineStr">
        <is>
          <t>NOT ELIGIBLE</t>
        </is>
      </c>
      <c r="AB214" t="inlineStr">
        <is>
          <t>Job requires 1 year of inside sales / business development experience, whereas candidate has software development experience.; Role is completely outside the candidate's target software engineering domains.</t>
        </is>
      </c>
      <c r="AC214" t="inlineStr">
        <is>
          <t>UNKNOWN</t>
        </is>
      </c>
      <c r="AD214" t="inlineStr">
        <is>
          <t>Availability not specified relative to start date.</t>
        </is>
      </c>
      <c r="AE214" t="inlineStr">
        <is>
          <t>DISCLOSED</t>
        </is>
      </c>
      <c r="AF214" t="n">
        <v>200000</v>
      </c>
      <c r="AG214" t="inlineStr">
        <is>
          <t>No</t>
        </is>
      </c>
      <c r="AH214" t="inlineStr">
        <is>
          <t>NOT MENTIONED</t>
        </is>
      </c>
      <c r="AI214" t="inlineStr">
        <is>
          <t>No conversion or PPO mentioned for this full-time role.</t>
        </is>
      </c>
      <c r="AJ214" t="inlineStr">
        <is>
          <t>Requires 1 year of inside sales experience which candidate lacks; Role is a business development / sales position completely misaligned with candidate's technical software engineering profile</t>
        </is>
      </c>
      <c r="AK214" t="inlineStr">
        <is>
          <t>High volume calling role (400-500 calls/day); Mismatch in career track</t>
        </is>
      </c>
    </row>
    <row r="215">
      <c r="A215" t="inlineStr">
        <is>
          <t>ORIGIN-261006-8</t>
        </is>
      </c>
      <c r="B215" t="inlineStr">
        <is>
          <t>Origin</t>
        </is>
      </c>
      <c r="C215" t="inlineStr">
        <is>
          <t>SDE Apprentice - Backend &amp; Android</t>
        </is>
      </c>
      <c r="D215" t="inlineStr">
        <is>
          <t>https://in.jooble.org/desc/-3105738552122609982?ckey=SDE+intern&amp;rgn=3193&amp;pos=2&amp;elckey=3380460670523758324&amp;p=1&amp;aq=6153453454019204355&amp;cid=389&amp;jobAge=12&amp;brelb=110&amp;bscr=1173.724&amp;scr=1173.724</t>
        </is>
      </c>
      <c r="E215" t="inlineStr">
        <is>
          <t>AI Analyzer</t>
        </is>
      </c>
      <c r="F215" t="inlineStr">
        <is>
          <t>Bangalore</t>
        </is>
      </c>
      <c r="G215" t="inlineStr">
        <is>
          <t>UNKNOWN</t>
        </is>
      </c>
      <c r="H215" t="inlineStr">
        <is>
          <t>Not specified</t>
        </is>
      </c>
      <c r="I215" t="inlineStr">
        <is>
          <t>UNKNOWN</t>
        </is>
      </c>
      <c r="J215" t="inlineStr">
        <is>
          <t>UNKNOWN</t>
        </is>
      </c>
      <c r="K215" t="inlineStr">
        <is>
          <t>Backend; Android</t>
        </is>
      </c>
      <c r="L215" t="inlineStr">
        <is>
          <t>React; Internal tools</t>
        </is>
      </c>
      <c r="M215" t="inlineStr">
        <is>
          <t>&amp;nbsp;...leading institutions. About the Role We're looking for an &lt;b&gt;SDE &lt;/b&gt;Apprentice who is strong on the backend and comfortable working on...&amp;nbsp;&amp;nbsp;...service running on the robot. Help build React-based dashboards and &lt;b&gt;internal &lt;/b&gt;tools when needed. Write tests, take part in code reviews, and...&amp;nbsp;</t>
        </is>
      </c>
      <c r="N215" t="n">
        <v>57</v>
      </c>
      <c r="O215" t="n">
        <v>60</v>
      </c>
      <c r="P215" t="n">
        <v>75</v>
      </c>
      <c r="Q215" t="n">
        <v>70</v>
      </c>
      <c r="R215" t="n">
        <v>50</v>
      </c>
      <c r="S215" t="n">
        <v>0</v>
      </c>
      <c r="T215" t="n">
        <v>60</v>
      </c>
      <c r="U215" t="inlineStr">
        <is>
          <t>SKIP</t>
        </is>
      </c>
      <c r="V215" t="inlineStr">
        <is>
          <t>SKIP</t>
        </is>
      </c>
      <c r="W215" t="inlineStr">
        <is>
          <t>Android</t>
        </is>
      </c>
      <c r="X215" t="inlineStr">
        <is>
          <t>Default Full Stack / Backend Resume</t>
        </is>
      </c>
      <c r="Y215" t="inlineStr">
        <is>
          <t>2026-10-06</t>
        </is>
      </c>
      <c r="Z215" t="inlineStr">
        <is>
          <t>Located in Bangalore; Matches backend development skill set</t>
        </is>
      </c>
      <c r="AA215" t="inlineStr">
        <is>
          <t>ELIGIBLE</t>
        </is>
      </c>
      <c r="AB215" t="inlineStr">
        <is>
          <t>Location matches preferred location (Bangalore); Role aligns with backend and internal tool development requirements</t>
        </is>
      </c>
      <c r="AC215" t="inlineStr">
        <is>
          <t>UNKNOWN</t>
        </is>
      </c>
      <c r="AD215" t="inlineStr">
        <is>
          <t>Availability not explicitly specified in the candidate profile for an apprenticeship start date.</t>
        </is>
      </c>
      <c r="AE215" t="inlineStr">
        <is>
          <t>UNKNOWN</t>
        </is>
      </c>
      <c r="AF215" t="n">
        <v>0</v>
      </c>
      <c r="AG215" t="inlineStr">
        <is>
          <t>No</t>
        </is>
      </c>
      <c r="AH215" t="inlineStr">
        <is>
          <t>UNKNOWN</t>
        </is>
      </c>
      <c r="AI215" t="inlineStr">
        <is>
          <t>No mention of PPO or conversion in the job description snippets.</t>
        </is>
      </c>
      <c r="AK215" t="inlineStr">
        <is>
          <t>Stipend is not disclosed; Job description snippet mentions Android while candidate background is primarily Web/Full-stack</t>
        </is>
      </c>
      <c r="AL215" t="inlineStr">
        <is>
          <t>Backend service development; React-based dashboards and internal tooling; Experience with REST APIs and database integration</t>
        </is>
      </c>
    </row>
    <row r="216">
      <c r="A216" t="inlineStr">
        <is>
          <t>IMPACTO-DIGI-261006-9</t>
        </is>
      </c>
      <c r="B216" t="inlineStr">
        <is>
          <t>impacto digifin technologies</t>
        </is>
      </c>
      <c r="C216" t="inlineStr">
        <is>
          <t>PL/SQL and Java Developer INTERN TO HIRE</t>
        </is>
      </c>
      <c r="D216" t="inlineStr">
        <is>
          <t>https://in.jooble.org/desc/-4452657291284900524?ckey=Java+developer+intern&amp;rgn=3193&amp;pos=1&amp;elckey=152466997928660673&amp;p=1&amp;aq=2176953585636081145&amp;cid=389&amp;jobAge=356&amp;brelb=10&amp;bscr=1098.3578&amp;scr=1098.3578</t>
        </is>
      </c>
      <c r="E216" t="inlineStr">
        <is>
          <t>AI Analyzer</t>
        </is>
      </c>
      <c r="F216" t="inlineStr">
        <is>
          <t>Bangalore</t>
        </is>
      </c>
      <c r="G216" t="inlineStr">
        <is>
          <t>On-site</t>
        </is>
      </c>
      <c r="I216" t="inlineStr">
        <is>
          <t>6 Months</t>
        </is>
      </c>
      <c r="J216" t="inlineStr">
        <is>
          <t>HIGH</t>
        </is>
      </c>
      <c r="K216" t="inlineStr">
        <is>
          <t>PL/SQL; Java</t>
        </is>
      </c>
      <c r="M216" t="inlineStr">
        <is>
          <t>&amp;nbsp;...Job Title: &lt;b&gt;Intern &lt;/b&gt;to Hire – PL/SQL &amp; &lt;b&gt;Java Developer &lt;/b&gt; Department: Technology / Product Engineering Location: Bangalore (On-site) Reporting To: Senior Backend Developer / Technical Lead Duration: 6 Months Internship (Intern-to-Hire based on performance) Type:...&amp;nbsp;</t>
        </is>
      </c>
      <c r="N216" t="n">
        <v>52</v>
      </c>
      <c r="O216" t="n">
        <v>40</v>
      </c>
      <c r="P216" t="n">
        <v>50</v>
      </c>
      <c r="Q216" t="n">
        <v>70</v>
      </c>
      <c r="R216" t="n">
        <v>90</v>
      </c>
      <c r="S216" t="n">
        <v>0</v>
      </c>
      <c r="T216" t="n">
        <v>60</v>
      </c>
      <c r="U216" t="inlineStr">
        <is>
          <t>SKIP</t>
        </is>
      </c>
      <c r="V216" t="inlineStr">
        <is>
          <t>SKIP</t>
        </is>
      </c>
      <c r="W216" t="inlineStr">
        <is>
          <t>PL/SQL; Java (professional production experience)</t>
        </is>
      </c>
      <c r="X216" t="inlineStr">
        <is>
          <t>Standard Full Stack Resume</t>
        </is>
      </c>
      <c r="Y216" t="inlineStr">
        <is>
          <t>2026-10-06</t>
        </is>
      </c>
      <c r="Z216" t="inlineStr">
        <is>
          <t>Intern-to-hire opportunity in Bangalore with explicit conversion potential; Matches target internship duration and role type</t>
        </is>
      </c>
      <c r="AA216" t="inlineStr">
        <is>
          <t>ELIGIBLE</t>
        </is>
      </c>
      <c r="AB216" t="inlineStr">
        <is>
          <t>Location matches preferred location (Bangalore); Role is an intern-to-hire position matching target internship roles</t>
        </is>
      </c>
      <c r="AC216" t="inlineStr">
        <is>
          <t>UNKNOWN</t>
        </is>
      </c>
      <c r="AD216" t="inlineStr">
        <is>
          <t>Availability requirements not specified in the job description</t>
        </is>
      </c>
      <c r="AE216" t="inlineStr">
        <is>
          <t>UNKNOWN</t>
        </is>
      </c>
      <c r="AF216" t="n">
        <v>0</v>
      </c>
      <c r="AG216" t="inlineStr">
        <is>
          <t>No</t>
        </is>
      </c>
      <c r="AH216" t="inlineStr">
        <is>
          <t>HIGH</t>
        </is>
      </c>
      <c r="AI216" t="inlineStr">
        <is>
          <t>Intern-to-Hire based on performance, 6 Months Internship</t>
        </is>
      </c>
      <c r="AK216" t="inlineStr">
        <is>
          <t>Stipend not disclosed; Requires professional experience in PL/SQL and Java which candidate lacks in demonstrated work history</t>
        </is>
      </c>
      <c r="AL216" t="inlineStr">
        <is>
          <t>Core Java concepts and object-oriented programming; PL/SQL queries, procedures, and database optimization; Previous full-stack project architecture and backend development experience</t>
        </is>
      </c>
    </row>
    <row r="217">
      <c r="A217" t="inlineStr">
        <is>
          <t>ECOMINE-261006-10</t>
        </is>
      </c>
      <c r="B217" t="inlineStr">
        <is>
          <t>Ecomine</t>
        </is>
      </c>
      <c r="C217" t="inlineStr">
        <is>
          <t>Internship AI ML Engineer</t>
        </is>
      </c>
      <c r="D217" t="inlineStr">
        <is>
          <t>https://www.adzuna.in/details/5850339029?utm_medium=api&amp;utm_source=5ccdc27f</t>
        </is>
      </c>
      <c r="E217" t="inlineStr">
        <is>
          <t>AI Analyzer</t>
        </is>
      </c>
      <c r="F217" t="inlineStr">
        <is>
          <t>Mangalore, Dakshin Kannada</t>
        </is>
      </c>
      <c r="G217" t="inlineStr">
        <is>
          <t>Unknown</t>
        </is>
      </c>
      <c r="H217" t="inlineStr">
        <is>
          <t>Unpaid</t>
        </is>
      </c>
      <c r="I217" t="inlineStr">
        <is>
          <t>Unknown</t>
        </is>
      </c>
      <c r="J217" t="inlineStr">
        <is>
          <t>Not Mentioned</t>
        </is>
      </c>
      <c r="K217" t="inlineStr">
        <is>
          <t>AI; ML</t>
        </is>
      </c>
      <c r="L217" t="inlineStr">
        <is>
          <t>Deep Learning; Geophysical Inversion; Spectral Unmixing</t>
        </is>
      </c>
      <c r="M217" t="inlineStr">
        <is>
          <t>Company Description Ecomine is a DPIITrecognized deeptech startup transforming mineral exploration in India through advanced AI and ML technologies Its flagship platform Spectropy is a proprietary prediction engine that integrates hyperspectral satellite imagery drillcore analysis and multiple geophysical datasets into a unified subsurface intelligence layer Using spectral unmixing geophysical inversion and deeplearning models tailored to Indian terrains Spectropy generates highconfidence miner…</t>
        </is>
      </c>
      <c r="N217" t="n">
        <v>12</v>
      </c>
      <c r="O217" t="n">
        <v>10</v>
      </c>
      <c r="P217" t="n">
        <v>20</v>
      </c>
      <c r="Q217" t="n">
        <v>15</v>
      </c>
      <c r="R217" t="n">
        <v>0</v>
      </c>
      <c r="S217" t="n">
        <v>0</v>
      </c>
      <c r="T217" t="n">
        <v>30</v>
      </c>
      <c r="U217" t="inlineStr">
        <is>
          <t>SKIP</t>
        </is>
      </c>
      <c r="V217" t="inlineStr">
        <is>
          <t>SKIP</t>
        </is>
      </c>
      <c r="W217" t="inlineStr">
        <is>
          <t>AI; ML; Deep Learning</t>
        </is>
      </c>
      <c r="X217" t="inlineStr">
        <is>
          <t>Amaan_Ahmed_Full_Stack_Resume.pdf</t>
        </is>
      </c>
      <c r="Y217" t="inlineStr">
        <is>
          <t>2026-10-06</t>
        </is>
      </c>
      <c r="AA217" t="inlineStr">
        <is>
          <t>Eligible</t>
        </is>
      </c>
      <c r="AC217" t="inlineStr">
        <is>
          <t>Unknown</t>
        </is>
      </c>
      <c r="AD217" t="inlineStr">
        <is>
          <t>Not specified in the job description.</t>
        </is>
      </c>
      <c r="AE217" t="inlineStr">
        <is>
          <t>Unpaid</t>
        </is>
      </c>
      <c r="AF217" t="n">
        <v>0</v>
      </c>
      <c r="AG217" t="inlineStr">
        <is>
          <t>No</t>
        </is>
      </c>
      <c r="AH217" t="inlineStr">
        <is>
          <t>Not Mentioned</t>
        </is>
      </c>
      <c r="AI217" t="inlineStr">
        <is>
          <t>No mention of PPO or conversion in the job description.</t>
        </is>
      </c>
      <c r="AK217" t="inlineStr">
        <is>
          <t>Unpaid internship; Below minimum stipend target of 25000 INR/month; Location (Mangalore) differs from preferred location (Bengaluru); Role mismatch (AI/ML Engineer vs Target Full Stack/Backend roles)</t>
        </is>
      </c>
    </row>
    <row r="218">
      <c r="A218" t="inlineStr">
        <is>
          <t>RIOT-GAMES-U-261006-11</t>
        </is>
      </c>
      <c r="B218" t="inlineStr">
        <is>
          <t>Riot Games University Programs</t>
        </is>
      </c>
      <c r="C218" t="inlineStr">
        <is>
          <t>Software Engineering Intern - Summer 2027</t>
        </is>
      </c>
      <c r="D218" t="inlineStr">
        <is>
          <t>https://www.adzuna.com/details/5911165783?utm_medium=api&amp;utm_source=5ccdc27f</t>
        </is>
      </c>
      <c r="E218" t="inlineStr">
        <is>
          <t>AI Analyzer</t>
        </is>
      </c>
      <c r="F218" t="inlineStr">
        <is>
          <t>Los Angeles, California (Remote)</t>
        </is>
      </c>
      <c r="G218" t="inlineStr">
        <is>
          <t>Remote</t>
        </is>
      </c>
      <c r="H218" t="inlineStr">
        <is>
          <t>58.37 per hour</t>
        </is>
      </c>
      <c r="I218" t="inlineStr">
        <is>
          <t>12 weeks</t>
        </is>
      </c>
      <c r="J218" t="inlineStr">
        <is>
          <t>no</t>
        </is>
      </c>
      <c r="K218" t="inlineStr">
        <is>
          <t>Object-oriented programming language (Java, C++, C#); Data structures and algorithms; Computer Science or related degree</t>
        </is>
      </c>
      <c r="L218" t="inlineStr">
        <is>
          <t>SDLC; Agile; Unit testing; CI/CD; Unity; Unreal Engine</t>
        </is>
      </c>
      <c r="M218" t="inlineStr">
        <is>
          <t>## Software Engineering Intern - Summer 2027 (Remote) jobs in Los Angeles, CA
Leave us your email address and we'll send you similar new jobsCreate email alert [No, thanks](https://www.adzuna.com/details/5911165783#)
By creating an email alert, you agree to our [Terms &amp; Conditions](https://www.adzuna.com/terms-and-conditions.html) and [Privacy Notice](https://www.adzuna.com/privacy-policy.html), and Cookie Use. You can cancel at any time.
Loading...
What?
Where?
Search
[Advanced](https://www.adzuna.com/advanced-search)
# Software Engineering Intern - Summer 2027 (Remote)
[❮ back to last search](https://www.adzuna.com/details/5911165783#)
Riot Games University Programs
Los Angeles, California
58.37 per hour
Contract
Part time
REMOTE
[Apply for this job](https://www.adzuna.com/land/ad/5911165783?aztt=eyJhbGciOiJIUzI1NiJ9.eyJ0cyI6bnVsbCwiaWF0IjoxNzkxMzAxNTkxLCJ0dCI6Imdvb2dsZV9vcmdhbmljIiwiY2kiOiJqQ3F3R1ozQjhSR2hELWR5c3lyYmdBIiwiZXhwIjoxNzkxOTA2MzkxfQ.8HUYU_MUX2FPGD25bdcJVcAs3QXqHZc3NNun8RZAjoo&amp;from_adp=1&amp;v=B099CA1452BE246907D6FF778811EA497CB0F0C0&amp;se=)
## **Software Engineering Intern - Summer 2027 (Remote)**
Software Engineers at Riot bring deep knowledge of specific technical areas and also value the opportunity to work in many broader domains. Our engineers are player-focused and aim to find solutions that make players excited to experience our games.
As a Software Engineer Intern, you’ll be exposed to both new and current technology while building innovative solutions to overcome high-volume obstacles and deliver player value.
Applying to this role will provide eligibility for all software engineering roles open across our products. We will do our best to match you with a product and team that fits your interests and experience, but note that it also depends on availability.
## **Potential Responsibilities:**
- Collaborate closely with other developers to create player-facing features for our live games, such as League, TFT, or VALORANT
- Build back-end services to allow our games to take advantage of shared social, client and platform features
- Write code to handle processing real time data of our various game teams
- Learn to operate services on a global scale for millions of players
- Build and maintain SDKs and APIs that are used by internal game customers to power their games
## **Required Qualifications:**
- Graduating in the 2028 calendar year
- Currently enrolled in a Computer Science, Engineering, or Technology related degree program
- Coding experience with an object-oriented programming (OOP) language (e.g. Java, C++, C#)
- Knowledge of data structures and algorithms
- Minimum GPA of 2.5
- Available to work full-time hours for the 12 week internship duration
## **Desired Qualifications:**
- Experience as a software developer, including internships or part-time
- Experience with software development life cycle (SDLC) and agile development practices
- Familiarity with software development best practices like unit testing, functional testing, integration testing, continuous integration and deployment (CI/CD)
- Portfolio or website link (e.g github) with collection of original work and/or projects
- Experience working on a video game or related project, particularly in Unity or Unreal Engine
## **Work Authorization**
- Candidates must be legally authorized to work in the United States for the duration of the program.
- This position is not eligible for visa sponsorship. We do not sponsor visas for this position or internship conversions.
For this role, you'll find success through craft expertise, a collaborative spirit, and decision-making that prioritizes the delight of players. We will certainly be looking at your past studies and experience, but for this role, we also look for dedicated people with a personal relationship with games. If you embody player empathy and care about the experiences of players, this could be the role for you!
**Applications Close November 6th, 2026**
Our Perks:
Riot Internships are paid, and interns can also participate in our 401(k) plan. You can expect in-game perks, and the ability to participate in our Play Fund, so you can broaden and deepen your knowledge of our players and community through games. The University Programs team also invites you to intern focused events so you can connect with your fellow interns and Rioters to make the most out of your experience.
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
_</t>
        </is>
      </c>
      <c r="N218" t="n">
        <v>58</v>
      </c>
      <c r="O218" t="n">
        <v>50</v>
      </c>
      <c r="P218" t="n">
        <v>70</v>
      </c>
      <c r="Q218" t="n">
        <v>60</v>
      </c>
      <c r="R218" t="n">
        <v>0</v>
      </c>
      <c r="S218" t="n">
        <v>100</v>
      </c>
      <c r="T218" t="n">
        <v>95</v>
      </c>
      <c r="U218" t="inlineStr">
        <is>
          <t>SKIP</t>
        </is>
      </c>
      <c r="V218" t="inlineStr">
        <is>
          <t>SKIP</t>
        </is>
      </c>
      <c r="W218" t="inlineStr">
        <is>
          <t>C++ or Java proficiency as primary OOP; Data structures and algorithms formal depth</t>
        </is>
      </c>
      <c r="X218" t="inlineStr">
        <is>
          <t>Amaanuddin_Ahmed_Resume_Default.pdf</t>
        </is>
      </c>
      <c r="Y218" t="inlineStr">
        <is>
          <t>2026-10-06</t>
        </is>
      </c>
      <c r="Z218" t="inlineStr">
        <is>
          <t>Extremely high hourly stipend ($58.37/hr) and prestigious gaming company brand.</t>
        </is>
      </c>
      <c r="AA218" t="inlineStr">
        <is>
          <t>ineligible</t>
        </is>
      </c>
      <c r="AB218" t="inlineStr">
        <is>
          <t>Graduation year requirement is 2028 calendar year, but candidate graduates in 2027.; Requires legal authorization to work in the United States and offers no visa sponsorship.</t>
        </is>
      </c>
      <c r="AC218" t="inlineStr">
        <is>
          <t>unknown</t>
        </is>
      </c>
      <c r="AD218" t="inlineStr">
        <is>
          <t>Candidate availability for the specific Summer 2027 window conflicts with ongoing MCA coursework or is not explicitly confirmed.</t>
        </is>
      </c>
      <c r="AE218" t="inlineStr">
        <is>
          <t>exact</t>
        </is>
      </c>
      <c r="AF218" t="n">
        <v>400000</v>
      </c>
      <c r="AG218" t="inlineStr">
        <is>
          <t>No</t>
        </is>
      </c>
      <c r="AH218" t="inlineStr">
        <is>
          <t>no</t>
        </is>
      </c>
      <c r="AI218" t="inlineStr">
        <is>
          <t>Job description explicitly states: This position is not eligible for visa sponsorship. We do not sponsor visas for this position or internship conversions.</t>
        </is>
      </c>
      <c r="AJ218" t="inlineStr">
        <is>
          <t>Graduating in the 2028 calendar year (candidate is 2027); Candidates must be legally authorized to work in the United States (no visa sponsorship)</t>
        </is>
      </c>
      <c r="AK218" t="inlineStr">
        <is>
          <t>Explicitly mentions no visa sponsorship and no internship conversions.</t>
        </is>
      </c>
      <c r="AL218" t="inlineStr">
        <is>
          <t>Object-oriented programming principles in C#; Data structures and algorithms core concepts; System architecture and backend services scaling</t>
        </is>
      </c>
    </row>
    <row r="219">
      <c r="A219" t="inlineStr">
        <is>
          <t>NATERA-261006-12</t>
        </is>
      </c>
      <c r="B219" t="inlineStr">
        <is>
          <t>Natera</t>
        </is>
      </c>
      <c r="C219" t="inlineStr">
        <is>
          <t>Software Engineering Intern</t>
        </is>
      </c>
      <c r="D219" t="inlineStr">
        <is>
          <t>https://www.adzuna.com/details/5911185403?utm_medium=api&amp;utm_source=5ccdc27f</t>
        </is>
      </c>
      <c r="E219" t="inlineStr">
        <is>
          <t>AI Analyzer</t>
        </is>
      </c>
      <c r="F219" t="inlineStr">
        <is>
          <t>US</t>
        </is>
      </c>
      <c r="G219" t="inlineStr">
        <is>
          <t>Remote</t>
        </is>
      </c>
      <c r="H219" t="inlineStr">
        <is>
          <t>Not specified</t>
        </is>
      </c>
      <c r="I219" t="inlineStr">
        <is>
          <t>UNKNOWN</t>
        </is>
      </c>
      <c r="J219" t="inlineStr">
        <is>
          <t>Not Mentioned</t>
        </is>
      </c>
      <c r="K219" t="inlineStr">
        <is>
          <t>Software Development; Database Schema Changes; Script Development; Debugging; Unit Tests</t>
        </is>
      </c>
      <c r="M219" t="inlineStr">
        <is>
          <t>POSITION TITLE: Software Engineering Intern POSITION LOCATION: Remote, USA PRIMARY RESPONSIBILITIES: Analyze and implement software requirements Format, validate and upload data Perform database schema changes Automate existing manual tasks through use of script development Make changes to the software code to resolve defects and make it more reliable Perform debugging and root cause analysis for issues Communicate with the users to better understand their needs Develop unit tests Assist with o…</t>
        </is>
      </c>
      <c r="N219" t="n">
        <v>34</v>
      </c>
      <c r="O219" t="n">
        <v>50</v>
      </c>
      <c r="P219" t="n">
        <v>40</v>
      </c>
      <c r="Q219" t="n">
        <v>50</v>
      </c>
      <c r="R219" t="n">
        <v>0</v>
      </c>
      <c r="S219" t="n">
        <v>0</v>
      </c>
      <c r="T219" t="n">
        <v>40</v>
      </c>
      <c r="U219" t="inlineStr">
        <is>
          <t>SKIP</t>
        </is>
      </c>
      <c r="V219" t="inlineStr">
        <is>
          <t>SKIP</t>
        </is>
      </c>
      <c r="X219" t="inlineStr">
        <is>
          <t>Amaanuddin_Ahmed_Resume.pdf</t>
        </is>
      </c>
      <c r="Y219" t="inlineStr">
        <is>
          <t>2026-10-06</t>
        </is>
      </c>
      <c r="AA219" t="inlineStr">
        <is>
          <t>Ineligible</t>
        </is>
      </c>
      <c r="AB219" t="inlineStr">
        <is>
          <t>Job location is Remote, USA while candidate preferred location is Bengaluru, India (and candidate is based in India).</t>
        </is>
      </c>
      <c r="AC219" t="inlineStr">
        <is>
          <t>UNKNOWN</t>
        </is>
      </c>
      <c r="AD219" t="inlineStr">
        <is>
          <t>Candidate availability dates are not specified in the career brain.</t>
        </is>
      </c>
      <c r="AE219" t="inlineStr">
        <is>
          <t>UNKNOWN</t>
        </is>
      </c>
      <c r="AF219" t="n">
        <v>0</v>
      </c>
      <c r="AG219" t="inlineStr">
        <is>
          <t>No</t>
        </is>
      </c>
      <c r="AH219" t="inlineStr">
        <is>
          <t>Not Mentioned</t>
        </is>
      </c>
      <c r="AI219" t="inlineStr">
        <is>
          <t>No mention of PPO or conversion in the job description.</t>
        </is>
      </c>
      <c r="AJ219" t="inlineStr">
        <is>
          <t>Location mismatch: Job is for Remote, USA and candidate is based in Bengaluru, India.</t>
        </is>
      </c>
      <c r="AK219" t="inlineStr">
        <is>
          <t>US remote restriction likely requires US work authorization or residency.</t>
        </is>
      </c>
      <c r="AL219" t="inlineStr">
        <is>
          <t>Database schema design and migrations; Debugging and root cause analysis methodology; Script development for automation; Unit testing principles</t>
        </is>
      </c>
    </row>
    <row r="220">
      <c r="A220" t="inlineStr">
        <is>
          <t>CACI-261006-13</t>
        </is>
      </c>
      <c r="B220" t="inlineStr">
        <is>
          <t>CACI</t>
        </is>
      </c>
      <c r="C220" t="inlineStr">
        <is>
          <t>Software Development/Engineer Intern - Summer 2027</t>
        </is>
      </c>
      <c r="D220" t="inlineStr">
        <is>
          <t>https://www.adzuna.com/land/ad/5910044789?se=Riem5ZzB8RGUu_Rhx7jCqA&amp;utm_medium=api&amp;utm_source=5ccdc27f&amp;v=E6C98146DCDE77AA8D7C869EC6D9FF7113EBBB6C</t>
        </is>
      </c>
      <c r="E220" t="inlineStr">
        <is>
          <t>AI Analyzer</t>
        </is>
      </c>
      <c r="F220" t="inlineStr">
        <is>
          <t>US</t>
        </is>
      </c>
      <c r="G220" t="inlineStr">
        <is>
          <t>remote</t>
        </is>
      </c>
      <c r="H220" t="inlineStr">
        <is>
          <t>Not specified</t>
        </is>
      </c>
      <c r="I220" t="inlineStr">
        <is>
          <t>Summer 2027</t>
        </is>
      </c>
      <c r="J220" t="inlineStr">
        <is>
          <t>UNKNOWN</t>
        </is>
      </c>
      <c r="M220" t="inlineStr">
        <is>
          <t>Job Title: Software Development/Engineer Intern - Summer 2027 Job Category: Intern/Co-op Time Type: Part time Minimum Clearance Required to Start: None Employee Type: Part-Time On-Call Percentage of Travel Required: None Type of Travel: None * * * The Opportunity: CACI is looking for a talented remote Software Development/Engineer Intern for our Summer 2026 internships! This is a remote position with core hours of 9 a.m. – 5 p.m. (EST). We do have offices available in Northern Virginia and Char…</t>
        </is>
      </c>
      <c r="N220" t="n">
        <v>40</v>
      </c>
      <c r="O220" t="n">
        <v>50</v>
      </c>
      <c r="P220" t="n">
        <v>50</v>
      </c>
      <c r="Q220" t="n">
        <v>70</v>
      </c>
      <c r="R220" t="n">
        <v>0</v>
      </c>
      <c r="S220" t="n">
        <v>0</v>
      </c>
      <c r="T220" t="n">
        <v>50</v>
      </c>
      <c r="U220" t="inlineStr">
        <is>
          <t>SKIP</t>
        </is>
      </c>
      <c r="V220" t="inlineStr">
        <is>
          <t>SKIP</t>
        </is>
      </c>
      <c r="X220" t="inlineStr">
        <is>
          <t>Amaanuddin_Ahmed_Resume.pdf</t>
        </is>
      </c>
      <c r="Y220" t="inlineStr">
        <is>
          <t>2026-10-06</t>
        </is>
      </c>
      <c r="Z220" t="inlineStr">
        <is>
          <t>Remote work mode aligns with some flexibility preferences.</t>
        </is>
      </c>
      <c r="AA220" t="inlineStr">
        <is>
          <t>UNKNOWN</t>
        </is>
      </c>
      <c r="AB220" t="inlineStr">
        <is>
          <t>Location mismatch (Candidate is in Bengaluru, India while CACI US internships often require US work authorization or residency); Timezone requirement (EST core hours 9 AM - 5 PM might be challenging)</t>
        </is>
      </c>
      <c r="AC220" t="inlineStr">
        <is>
          <t>UNKNOWN</t>
        </is>
      </c>
      <c r="AD220" t="inlineStr">
        <is>
          <t>Exact summer internship dates are not explicitly constrained beyond the summer window, but location/citizenship constraints for defense contractor CACI are unconfirmed.</t>
        </is>
      </c>
      <c r="AE220" t="inlineStr">
        <is>
          <t>UNKNOWN</t>
        </is>
      </c>
      <c r="AF220" t="n">
        <v>0</v>
      </c>
      <c r="AG220" t="inlineStr">
        <is>
          <t>No</t>
        </is>
      </c>
      <c r="AH220" t="inlineStr">
        <is>
          <t>UNKNOWN</t>
        </is>
      </c>
      <c r="AI220" t="inlineStr">
        <is>
          <t>No explicit mention of PPO or conversion in the snippet.</t>
        </is>
      </c>
      <c r="AJ220" t="inlineStr">
        <is>
          <t>Potential US location/citizenship/work authorization requirement for CACI (defense contractor)</t>
        </is>
      </c>
      <c r="AK220" t="inlineStr">
        <is>
          <t>Truncated job description snippet; US location requirement for an India-based candidate</t>
        </is>
      </c>
    </row>
    <row r="221">
      <c r="A221" t="inlineStr">
        <is>
          <t>CREATIVE-SQU-261006-14</t>
        </is>
      </c>
      <c r="B221" t="inlineStr">
        <is>
          <t>Creative Squad Private Limited</t>
        </is>
      </c>
      <c r="C221" t="inlineStr">
        <is>
          <t>Full Stack Development</t>
        </is>
      </c>
      <c r="D221" t="inlineStr">
        <is>
          <t>https://internshala.com/internship/detail/full-stack-development-internship-in-multiple-locations-at-creative-squad-private-limited1791262847</t>
        </is>
      </c>
      <c r="E221" t="inlineStr">
        <is>
          <t>AI Analyzer</t>
        </is>
      </c>
      <c r="F221" t="inlineStr">
        <is>
          <t>Ahmedabad, Chandigarh, Chennai, Delhi, Gurgaon, Kolkata, Pune, Hyderabad, Mumbai, Jaipur, Noida, Bangalore, Kochi</t>
        </is>
      </c>
      <c r="G221" t="inlineStr">
        <is>
          <t>In-office</t>
        </is>
      </c>
      <c r="H221" t="inlineStr">
        <is>
          <t>₹ 20,000 - 25,000 /month</t>
        </is>
      </c>
      <c r="I221" t="inlineStr">
        <is>
          <t>5 Months</t>
        </is>
      </c>
      <c r="J221" t="inlineStr">
        <is>
          <t>explicit</t>
        </is>
      </c>
      <c r="K221" t="inlineStr">
        <is>
          <t>MongoDB; Express.js; React.js; Node.js; Collaboration; Effective Communication; Problem Solving; Teamwork</t>
        </is>
      </c>
      <c r="L221" t="inlineStr">
        <is>
          <t>NestJs</t>
        </is>
      </c>
      <c r="M221" t="inlineStr">
        <is>
          <t>Loading, please wait...
[Browse more internships](https://internshala.com/internships)
[Home](https://internshala.com/)[Internships](https://internshala.com/internships/)[Full Stack Development Internships](https://internshala.com/internships/full-stack-development-internship/)
# Full Stack Development - Internship
Actively hiring
Full Stack Development
[Creative Squad Private Limited](https://internshala.com/company/creative-squad-private-limited-1596540878)
Ahmedabad, Chandigarh, Chennai, Delhi, Gurgaon, Kolkata, Pune, Hyderabad, Mumbai, Jaipur, Noida, Bangalore, Kochi
Start Date
1 Jan - 31 Jan' 27
Duration
5 Months
Stipend
₹ 20,000 - 25,000 /month
APPLY BY
5 Nov' 26
Posted few hours ago
Job offer upto ₹ 6LPA post internship
160 applicants
[Share on WhatsApp](https://wa.me/?text=Check%20out%20this%20%20internship%20at%20Creative%20Squad%20Private%20Limited%20https%3A%2F%2Finternshala.com%2Finternship%2Fdetail%2Ffull-stack-development-internship-in-multiple-locations-at-creative-squad-private-limited1791262847%3Futm_source%3Dwp_share%26referral%3Dweb_share) [Share on LinkedIn](https://www.linkedin.com/shareArticle?mini=true&amp;url=https%3A%2F%2Finternshala.com%2Finternship%2Fdetail%2Ffull-stack-development-internship-in-multiple-locations-at-creative-squad-private-limited1791262847%3Futm_source%3Dli_share%26referral%3Dweb_share) [Share on Facebook](https://www.facebook.com/share.php?u=https%3A%2F%2Finternshala.com%2Finternship%2Fdetail%2Ffull-stack-development-internship-in-multiple-locations-at-creative-squad-private-limited1791262847%3Futm_source%3Dfb_share%26referral%3Dweb_share) [Share on Twitter](https://twitter.com/share?url=https%3A%2F%2Finternshala.com%2Finternship%2Fdetail%2Ffull-stack-development-internship-in-multiple-locations-at-creative-squad-private-limited1791262847%3Futm_source%3Dtw_share%26referral%3Dweb_share) [Copy link](https://internshala.com/internship/detail/full-stack-development-internship-in-multiple-locations-at-creative-squad-private-limited1791262847#)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We're looking for 2026 and 2027 graduates and postgraduates. Start with 45 days of training, move into a 3-month internship, and get an opportunity to continue in a full-time role through PPO based on performance.
Who can apply
B. Tech / M. Tech / MCA or equivalent
What we look for
We care more about attitude than a perfect resume. If you're keen to learn, understand the basics of your field, enjoy solving problems, communicate clearly, work well with a team and take ownership of your work, we'd like to hear from you.
Intern's day-to-day responsibilities
Selected intern's day-to-day responsibilities include assisting in building, maintaining, and enhancing web applications using the MERN stack (MongoDB, Express.js, React.js, Node.js, NestJs)
How it works
1\. Profile shortlisting
2\. Online interview : October
3\. Personal interview : November
4\. Training offer : December
Internship Programme
Jan-Feb 2027
45-Day Training : 25,000 stipend
Mar-May 2027
3-Month Internship : 25,000/month stipend
Jun-Jul 2027
PPO Confirmation : Based on internship performance
PPO
A full-time offer depends on how your internship goes: your performance, consistency, professional conduct.
PPO CTC : 4.2 to 6 LPA
Candidates will be onboarded with a client organisation after successful completion of the training and work from the client's location. Candidates can choose their preferred location while applying.
### Skill(s) required
CollaborationEffective CommunicationProblem SolvingTeamwork
Earn certifications in these skills
[Learn Effective Communication](https://trainings.internshala.com/english-speaking/?utm_source=is_web_internshala_details_page)
[Learn VLSI](https://trainings.internshala.com/vlsi-design-course/?utm_source=is_web_internshala_details_page)
[Learn AI in Data Science](https://trainings.internshala.com/ai-data-science/?utm_source=is_web_internshala_details_page)
[Learn Embedded Systems](https://trainings.internshala.com/embedded-systems/?utm_source=is_web_internshala_details_page)
[Learn Web Development](https://trainings.internshala.com/web-development-course/?utm_source=is_web_internshala_details_page)
[Learn Vibe Coding](https://trainings.internshala.com/vibe-coding-with-replit-course/?utm_source=is_web_internshala_details_page)
[Learn Full Stack Development](https://trainings.internshala.com/web-development-course/?utm_source=is_web_internshala_details_page)
[Learn Data Structures &amp; Algorithms](https://trainings.internshala.com/data-structures-algorithms-course/?utm_source=is_web_internshala_details_page)
[Learn SQL for Data Analytics](https://trainings.i</t>
        </is>
      </c>
      <c r="N221" t="n">
        <v>86</v>
      </c>
      <c r="O221" t="n">
        <v>85</v>
      </c>
      <c r="P221" t="n">
        <v>90</v>
      </c>
      <c r="Q221" t="n">
        <v>90</v>
      </c>
      <c r="R221" t="n">
        <v>90</v>
      </c>
      <c r="S221" t="n">
        <v>80</v>
      </c>
      <c r="T221" t="n">
        <v>75</v>
      </c>
      <c r="U221" t="inlineStr">
        <is>
          <t>APPLY</t>
        </is>
      </c>
      <c r="V221" t="inlineStr">
        <is>
          <t>APPLY</t>
        </is>
      </c>
      <c r="W221" t="inlineStr">
        <is>
          <t>NestJs</t>
        </is>
      </c>
      <c r="X221" t="inlineStr">
        <is>
          <t>Default Full Stack / MERN focused resume</t>
        </is>
      </c>
      <c r="Y221" t="inlineStr">
        <is>
          <t>2026-10-06</t>
        </is>
      </c>
      <c r="Z221" t="inlineStr">
        <is>
          <t>Matches target Full Stack Developer Intern role perfectly.; Meets educational eligibility criteria (MCA 2027 graduate).; Stipend touches the minimum target (₹25,000/month).; Explicit PPO opportunity up to 6 LPA.</t>
        </is>
      </c>
      <c r="AA221" t="inlineStr">
        <is>
          <t>eligible</t>
        </is>
      </c>
      <c r="AB221" t="inlineStr">
        <is>
          <t>Candidate is an MCA student graduating in 2027, meeting the 2026/2027 graduation criteria.; Meets location requirement with presence in Bangalore.</t>
        </is>
      </c>
      <c r="AC221" t="inlineStr">
        <is>
          <t>unknown</t>
        </is>
      </c>
      <c r="AD221" t="inlineStr">
        <is>
          <t>Exact start date availability and full-time in-office constraints need confirmation, though timeline aligns.</t>
        </is>
      </c>
      <c r="AE221" t="inlineStr">
        <is>
          <t>fixed</t>
        </is>
      </c>
      <c r="AF221" t="n">
        <v>20000</v>
      </c>
      <c r="AG221" t="inlineStr">
        <is>
          <t>No</t>
        </is>
      </c>
      <c r="AH221" t="inlineStr">
        <is>
          <t>explicit</t>
        </is>
      </c>
      <c r="AI221" t="inlineStr">
        <is>
          <t>Job offer upto ₹ 6LPA post internship based on performance.</t>
        </is>
      </c>
      <c r="AK221" t="inlineStr">
        <is>
          <t>Requires 45 days of training before the 3-month internship period.</t>
        </is>
      </c>
      <c r="AL221" t="inlineStr">
        <is>
          <t>MERN stack architecture (MongoDB, Express, React, Node); API development and database management; Previous full-stack internship experience and deliverables</t>
        </is>
      </c>
      <c r="AM221" t="inlineStr">
        <is>
          <t>E:\InternshipHunter\applications\internshala-0de52d0f2d0d</t>
        </is>
      </c>
      <c r="AN221" t="inlineStr">
        <is>
          <t>Ready for Review</t>
        </is>
      </c>
      <c r="AO221" t="inlineStr">
        <is>
          <t>Generated</t>
        </is>
      </c>
      <c r="AP221" t="inlineStr">
        <is>
          <t>Generated</t>
        </is>
      </c>
      <c r="AQ221" t="inlineStr">
        <is>
          <t>Generated</t>
        </is>
      </c>
      <c r="AR221" t="inlineStr">
        <is>
          <t>Ready to Apply</t>
        </is>
      </c>
    </row>
    <row r="222">
      <c r="A222" t="inlineStr">
        <is>
          <t>LAVORO-GROUP-261006-15</t>
        </is>
      </c>
      <c r="B222" t="inlineStr">
        <is>
          <t>LAVORO GROUP OF TECHNOLOGIES</t>
        </is>
      </c>
      <c r="C222" t="inlineStr">
        <is>
          <t>Software Development Intern</t>
        </is>
      </c>
      <c r="D222" t="inlineStr">
        <is>
          <t>https://internshala.com/internship/detail/software-development-internship-in-bangalore-at-lavoro-group-of-technologies1789238095</t>
        </is>
      </c>
      <c r="E222" t="inlineStr">
        <is>
          <t>AI Analyzer</t>
        </is>
      </c>
      <c r="F222" t="inlineStr">
        <is>
          <t>Bangalore</t>
        </is>
      </c>
      <c r="G222" t="inlineStr">
        <is>
          <t>In-office</t>
        </is>
      </c>
      <c r="H222" t="inlineStr">
        <is>
          <t>₹ 15,000 - 25,000 /month</t>
        </is>
      </c>
      <c r="I222" t="inlineStr">
        <is>
          <t>3 Months</t>
        </is>
      </c>
      <c r="J222" t="inlineStr">
        <is>
          <t>EXPLICIT</t>
        </is>
      </c>
      <c r="K222" t="inlineStr">
        <is>
          <t>.NET; C++ Programming; CSS; HTML; Java; JavaScript; MySQL; Node.js; Python; React</t>
        </is>
      </c>
      <c r="M222" t="inlineStr">
        <is>
          <t>Loading, please wait...
[Browse more internships](https://internshala.com/internships)
[Home](https://internshala.com/)[Internships](https://internshala.com/internships/)[Software Development Internships in Bangalore](https://internshala.com/internships/software-development-internship-in-bangalore/)
# Software Development - Internship
Actively hiring
Software Development
[LAVORO GROUP OF TECHNOLOGIES](https://internshala.com/company/lavoro-group-of-technologies-1788958715)
Bangalore
Start Date
Starts immediatelyImmediately
Duration
3 Months
Stipend
₹ 15,000 - 25,000 /month
APPLY BY
13 Oct' 26
Posted 3 weeks ago
Job offer upto ₹ 6LPA post internship
1000+ applicants
[Share on WhatsApp](https://wa.me/?text=Check%20out%20this%20%20internship%20at%20LAVORO%20GROUP%20OF%20TECHNOLOGIES%20https%3A%2F%2Finternshala.com%2Finternship%2Fdetail%2Fsoftware-development-internship-in-bangalore-at-lavoro-group-of-technologies1789238095%3Futm_source%3Dwp_share%26referral%3Dweb_share) [Share on LinkedIn](https://www.linkedin.com/shareArticle?mini=true&amp;url=https%3A%2F%2Finternshala.com%2Finternship%2Fdetail%2Fsoftware-development-internship-in-bangalore-at-lavoro-group-of-technologies1789238095%3Futm_source%3Dli_share%26referral%3Dweb_share) [Share on Facebook](https://www.facebook.com/share.php?u=https%3A%2F%2Finternshala.com%2Finternship%2Fdetail%2Fsoftware-development-internship-in-bangalore-at-lavoro-group-of-technologies1789238095%3Futm_source%3Dfb_share%26referral%3Dweb_share) [Share on Twitter](https://twitter.com/share?url=https%3A%2F%2Finternshala.com%2Finternship%2Fdetail%2Fsoftware-development-internship-in-bangalore-at-lavoro-group-of-technologies1789238095%3Futm_source%3Dtw_share%26referral%3Dweb_share) [Copy link](https://internshala.com/internship/detail/software-development-internship-in-bangalore-at-lavoro-group-of-technologies1789238095#)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We are looking for a talented Software Development intern to join our dynamic team at LAVORO GROUP OF TECHNOLOGIES. As an intern, you will have the opportunity to work on exciting projects and gain hands-on experience in Java, MySQL, HTML, CSS, JavaScript, Python, .NET, Node.js, C++ Programming, and React development.
Key responsibilities:
1\. Collaborate with the development team to design, develop, and implement software solutions.
2\. Write clean, efficient code in various programming languages to meet project requirements.
3\. Assist in troubleshooting, testing, and debugging software applications.
4\. Learn and apply best practices in software development methodologies.
5\. Participate in code reviews and provide constructive feedback to peers.
6\. Stay updated on the latest technologies and trends in the software development industry.
7\. Contribute innovative ideas to improve processes and enhance product features.
If you are a motivated and enthusiastic individual with a passion for software development, this internship opportunity is perfect for you. Join us at LAVORO GROUP OF TECHNOLOGIES and take your skills to the next level!
### Skill(s) required
.NETC++ ProgrammingCSSHTMLJavaJavaScriptMySQLNode.jsPythonReact
Earn certifications in these skills
[Learn C++ Programming](https://trainings.internshala.com/c-plus-plus-course/?utm_source=is_web_internshala_details_page)
[Learn CSS](https://trainings.internshala.com/web-development-course/?utm_source=is_web_internshala_details_page)
[Learn HTML](https://trainings.internshala.com/web-development-course/?utm_source=is_web_internshala_details_page)
[Learn Java](https://trainings.internshala.com/java-course/?utm_source=is_web_internshala_details_page)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MySQL](https://trainings.internshala.com/sql-data-analytics-course/?utm_source=is_web_internshala_details_page)
[Learn Node.JS](https://trainings.internshala.com/nodejs-course/?utm_source=is_web_internshala_details_page)
[Learn Python](https://trainings.internshala.com/python-course/?utm_source=is_web_internshala_details_page)
[Learn ReactJS](https://trainings.internshala.com/react-course/?utm_source=is_web_internshala_details_page)
\+ 3 more skills
Who can apply
Only those candidates can apply who:
1\. are available for full time (in-office) internship
2\. can start the internship between 13th Sep'26 and 18th Oct'26
3\. are available for duration of 3 months
4\. are from Bangalore only
5\. have relevant skills and interest</t>
        </is>
      </c>
      <c r="N222" t="n">
        <v>83</v>
      </c>
      <c r="O222" t="n">
        <v>75</v>
      </c>
      <c r="P222" t="n">
        <v>85</v>
      </c>
      <c r="Q222" t="n">
        <v>90</v>
      </c>
      <c r="R222" t="n">
        <v>95</v>
      </c>
      <c r="S222" t="n">
        <v>80</v>
      </c>
      <c r="T222" t="n">
        <v>80</v>
      </c>
      <c r="U222" t="inlineStr">
        <is>
          <t>APPLY</t>
        </is>
      </c>
      <c r="V222" t="inlineStr">
        <is>
          <t>APPLY</t>
        </is>
      </c>
      <c r="W222" t="inlineStr">
        <is>
          <t>C++ Programming; .NET; Python; Java</t>
        </is>
      </c>
      <c r="X222" t="inlineStr">
        <is>
          <t>Amaanuddin_Ahmed_Resume.pdf</t>
        </is>
      </c>
      <c r="Y222" t="inlineStr">
        <is>
          <t>2026-10-06</t>
        </is>
      </c>
      <c r="Z222" t="inlineStr">
        <is>
          <t>Meets primary target role and location preferences in Bengaluru; Stipend matches minimum target expectations (₹25,000/month upper range); Explicit post-internship PPO up to 6 LPA available, aligning with high priority PPO goals</t>
        </is>
      </c>
      <c r="AA222" t="inlineStr">
        <is>
          <t>ELIGIBLE</t>
        </is>
      </c>
      <c r="AB222" t="inlineStr">
        <is>
          <t>Candidate is based in Bangalore; Candidate is available for full-time in-office work; Meets the core skill requirements in JavaScript, Node.js, React, and MySQL</t>
        </is>
      </c>
      <c r="AC222" t="inlineStr">
        <is>
          <t>UNKNOWN</t>
        </is>
      </c>
      <c r="AD222" t="inlineStr">
        <is>
          <t>Exact start date availability between 13th Sep 2026 and 18th Oct 2026 is not explicitly declared in the career brain.</t>
        </is>
      </c>
      <c r="AE222" t="inlineStr">
        <is>
          <t>EXPLICIT</t>
        </is>
      </c>
      <c r="AF222" t="n">
        <v>15000</v>
      </c>
      <c r="AG222" t="inlineStr">
        <is>
          <t>No</t>
        </is>
      </c>
      <c r="AH222" t="inlineStr">
        <is>
          <t>EXPLICIT</t>
        </is>
      </c>
      <c r="AI222" t="inlineStr">
        <is>
          <t>Job offer upto ₹ 6LPA post internship and job offer listed under perks.</t>
        </is>
      </c>
      <c r="AL222" t="inlineStr">
        <is>
          <t>Full stack web development concepts using Node.js, Express, and React; Database design and querying in MySQL; RESTful API design and authentication mechanisms; Previous full stack development experience at Sunflower Trip and freelance POS project</t>
        </is>
      </c>
      <c r="AM222" t="inlineStr">
        <is>
          <t>E:\InternshipHunter\applications\internshala-ab2a1eb06c25</t>
        </is>
      </c>
      <c r="AN222" t="inlineStr">
        <is>
          <t>Ready for Review</t>
        </is>
      </c>
      <c r="AO222" t="inlineStr">
        <is>
          <t>Generated</t>
        </is>
      </c>
      <c r="AP222" t="inlineStr">
        <is>
          <t>Generated</t>
        </is>
      </c>
      <c r="AQ222" t="inlineStr">
        <is>
          <t>Generated</t>
        </is>
      </c>
      <c r="AR222" t="inlineStr">
        <is>
          <t>Ready to Apply</t>
        </is>
      </c>
    </row>
    <row r="223">
      <c r="A223" t="inlineStr">
        <is>
          <t>EUPHOTIC-LAB-261006-16</t>
        </is>
      </c>
      <c r="B223" t="inlineStr">
        <is>
          <t>Euphotic Labs Private Limited</t>
        </is>
      </c>
      <c r="C223" t="inlineStr">
        <is>
          <t>Full Stack Development</t>
        </is>
      </c>
      <c r="D223" t="inlineStr">
        <is>
          <t>https://internshala.com/internship/detail/full-stack-development-internship-in-bangalore-at-euphotic-labs-private-limited1790420869</t>
        </is>
      </c>
      <c r="E223" t="inlineStr">
        <is>
          <t>AI Analyzer</t>
        </is>
      </c>
      <c r="F223" t="inlineStr">
        <is>
          <t>Bangalore</t>
        </is>
      </c>
      <c r="G223" t="inlineStr">
        <is>
          <t>In-office</t>
        </is>
      </c>
      <c r="H223" t="inlineStr">
        <is>
          <t>₹ 18,000 - 22,000 /month</t>
        </is>
      </c>
      <c r="I223" t="inlineStr">
        <is>
          <t>4 Months</t>
        </is>
      </c>
      <c r="J223" t="inlineStr">
        <is>
          <t>not mentioned</t>
        </is>
      </c>
      <c r="K223" t="inlineStr">
        <is>
          <t>CSS; HTML; JavaScript; MongoDB; MySQL; Node.js; Python; React</t>
        </is>
      </c>
      <c r="M223" t="inlineStr">
        <is>
          <t>Loading, please wait...
[Browse more internships](https://internshala.com/internships)
[Home](https://internshala.com/)[Internships](https://internshala.com/internships/)[Full Stack Development Internships in Bangalore](https://internshala.com/internships/full-stack-development-internship-in-bangalore/)
# Full Stack Development - Internship
Actively hiring
Full Stack Development
[Euphotic Labs Private Limited](https://internshala.com/company/euphotic-labs-private-limited-1524763129)
![Euphotic Labs Private Limited](https://internshala-uploads.internshala.com/logo%2F6491b5655c13b1687270757.png.webp)
Bangalore
Start Date
Starts immediatelyImmediately
Duration
4 Months
Stipend
₹ 18,000 - 22,000 /month
APPLY BY
30 Oct' 26
Posted 1 week ago
Internship
752 applicants
[Share on WhatsApp](https://wa.me/?text=Check%20out%20this%20%20internship%20at%20Euphotic%20Labs%20Private%20Limited%20https%3A%2F%2Finternshala.com%2Finternship%2Fdetail%2Ffull-stack-development-internship-in-bangalore-at-euphotic-labs-private-limited1790420869%3Futm_source%3Dwp_share%26referral%3Dweb_share) [Share on LinkedIn](https://www.linkedin.com/shareArticle?mini=true&amp;url=https%3A%2F%2Finternshala.com%2Finternship%2Fdetail%2Ffull-stack-development-internship-in-bangalore-at-euphotic-labs-private-limited1790420869%3Futm_source%3Dli_share%26referral%3Dweb_share) [Share on Facebook](https://www.facebook.com/share.php?u=https%3A%2F%2Finternshala.com%2Finternship%2Fdetail%2Ffull-stack-development-internship-in-bangalore-at-euphotic-labs-private-limited1790420869%3Futm_source%3Dfb_share%26referral%3Dweb_share) [Share on Twitter](https://twitter.com/share?url=https%3A%2F%2Finternshala.com%2Finternship%2Fdetail%2Ffull-stack-development-internship-in-bangalore-at-euphotic-labs-private-limited1790420869%3Futm_source%3Dtw_share%26referral%3Dweb_share) [Copy link](https://internshala.com/internship/detail/full-stack-development-internship-in-bangalore-at-euphotic-labs-private-limited1790420869#)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Selected intern's day-to-day responsibilities include:
1\. Developing and fixing user interfaces: Writing and updating front-end code using frameworks like React or HTML/CSS/JavaScript to build responsive web pages and resolve UI bugs.
2\. Assisting with backend APIs and databases: Helping create or modify simple server endpoints, connecting application logic, and writing basic queries to fetch or store data in databases like MongoDB or SQL.
3\. Testing and version control: Running tests on new features, debugging errors, and committing code updates daily using Git and GitHub.
### Skill(s) required
CSSHTMLJavaScriptMongoDBMySQLNode.jsPythonReact
Earn certifications in these skills
[Learn CSS](https://trainings.internshala.com/web-development-course/?utm_source=is_web_internshala_details_page)
[Learn HTML](https://trainings.internshala.com/web-development-course/?utm_source=is_web_internshala_details_page)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MySQL](https://trainings.internshala.com/sql-data-analytics-course/?utm_source=is_web_internshala_details_page)
[Learn Node.JS](https://trainings.internshala.com/nodejs-course/?utm_source=is_web_internshala_details_page)
[Learn Python](https://trainings.internshala.com/python-course/?utm_source=is_web_internshala_details_page)
[Learn ReactJS](https://trainings.internshala.com/react-course/?utm_source=is_web_internshala_details_page)
\+ 1 more skills
Who can apply
Only those candidates can apply who:
1\. are available for full time (in-office) internship
2\. can start the internship between 26th Sep'26 and 31st Oct'26
3\. are available for duration of 4 months
4\. have relevant skills and interests
\\* Women wanting to start/restart their career can also apply.
### Other requirements
1\. Candidates pursuing bachelors or Masters in Computer Science or equivalent
2\. Have done projects involving backend and front end
3\. Have good hands-on on DSA.
### Perks
Certificate Letter of recommendation Flexible work hours Informal dress code 5 days a week Free snacks &amp; beverages
### Number of openings
1
## About Euphotic Labs Private Limited
[Website](http://euphotic.io/)
The world of cooking is one that is skill-based, complex, and tedious. With the world advancing forward, we're still far behind when it comes to the way we solve for our food. At Nosh, our vision is to enable everyone to savor dishes from every corne</t>
        </is>
      </c>
      <c r="N223" t="n">
        <v>76</v>
      </c>
      <c r="O223" t="n">
        <v>85</v>
      </c>
      <c r="P223" t="n">
        <v>90</v>
      </c>
      <c r="Q223" t="n">
        <v>90</v>
      </c>
      <c r="R223" t="n">
        <v>40</v>
      </c>
      <c r="S223" t="n">
        <v>60</v>
      </c>
      <c r="T223" t="n">
        <v>75</v>
      </c>
      <c r="U223" t="inlineStr">
        <is>
          <t>CONSIDER</t>
        </is>
      </c>
      <c r="V223" t="inlineStr">
        <is>
          <t>CONSIDER</t>
        </is>
      </c>
      <c r="W223" t="inlineStr">
        <is>
          <t>Python</t>
        </is>
      </c>
      <c r="X223" t="inlineStr">
        <is>
          <t>Amaanuddin_Ahmed_Resume_FullStack.pdf</t>
        </is>
      </c>
      <c r="Y223" t="inlineStr">
        <is>
          <t>2026-10-06</t>
        </is>
      </c>
      <c r="Z223" t="inlineStr">
        <is>
          <t>Strong match with required full-stack technologies including React, Node.js, Express, MongoDB, and MySQL.; In-office opportunity located in Bengaluru matching candidate preferences.; Validates MCA degree background and hands-on full-stack project experience.</t>
        </is>
      </c>
      <c r="AA223" t="inlineStr">
        <is>
          <t>eligible</t>
        </is>
      </c>
      <c r="AB223" t="inlineStr">
        <is>
          <t>Candidate is pursuing an MCA degree (Masters in Computer Science or equivalent); Candidate is located in Bengaluru and available for in-office work; Candidate has done extensive projects involving backend and frontend</t>
        </is>
      </c>
      <c r="AC223" t="inlineStr">
        <is>
          <t>unknown</t>
        </is>
      </c>
      <c r="AD223" t="inlineStr">
        <is>
          <t>Exact start date matching the Sep-Oct 2026 window is not explicitly confirmed in the career brain profile</t>
        </is>
      </c>
      <c r="AE223" t="inlineStr">
        <is>
          <t>fixed</t>
        </is>
      </c>
      <c r="AF223" t="n">
        <v>18000</v>
      </c>
      <c r="AG223" t="inlineStr">
        <is>
          <t>No</t>
        </is>
      </c>
      <c r="AH223" t="inlineStr">
        <is>
          <t>not mentioned</t>
        </is>
      </c>
      <c r="AI223" t="inlineStr">
        <is>
          <t>No explicit PPO or conversion offer is mentioned in the job description.</t>
        </is>
      </c>
      <c r="AK223" t="inlineStr">
        <is>
          <t>Stipend is ₹18,000 - 22,000/month, which is below the candidate's minimum stipend target of ₹25,000/month.</t>
        </is>
      </c>
      <c r="AL223" t="inlineStr">
        <is>
          <t>React state management and component lifecycle; Node.js and Express REST API development; Database design and query writing in MongoDB and MySQL; Data Structures and Algorithms (DSA) problem solving</t>
        </is>
      </c>
    </row>
    <row r="224">
      <c r="A224" t="inlineStr">
        <is>
          <t>SIRPI-PRODUC-261006-17</t>
        </is>
      </c>
      <c r="B224" t="inlineStr">
        <is>
          <t>SIRPI Products &amp; Services Private Limited</t>
        </is>
      </c>
      <c r="C224" t="inlineStr">
        <is>
          <t>Full Stack Development (Graduates/Postgraduates)</t>
        </is>
      </c>
      <c r="D224" t="inlineStr">
        <is>
          <t>https://internshala.com/internship/detail/full-stack-developmentgraduates-postgraduates-internship-in-bangalore-at-sirpi-products-services-private-limited1790253242</t>
        </is>
      </c>
      <c r="E224" t="inlineStr">
        <is>
          <t>AI Analyzer</t>
        </is>
      </c>
      <c r="F224" t="inlineStr">
        <is>
          <t>Bangalore</t>
        </is>
      </c>
      <c r="G224" t="inlineStr">
        <is>
          <t>In-office</t>
        </is>
      </c>
      <c r="H224" t="inlineStr">
        <is>
          <t>₹ 14,999 - 15,000 /month</t>
        </is>
      </c>
      <c r="I224" t="inlineStr">
        <is>
          <t>Not specified</t>
        </is>
      </c>
      <c r="J224" t="inlineStr">
        <is>
          <t>Not Mentioned</t>
        </is>
      </c>
      <c r="M224" t="inlineStr">
        <is>
          <t>Full Stack Development (Graduates/Postgraduates) internship at SIRPI Products &amp; Services Private Limited. Location: Bangalore. Stipend: ₹ 14,999 - 15,000 /month.</t>
        </is>
      </c>
      <c r="N224" t="n">
        <v>67</v>
      </c>
      <c r="O224" t="n">
        <v>80</v>
      </c>
      <c r="P224" t="n">
        <v>80</v>
      </c>
      <c r="Q224" t="n">
        <v>85</v>
      </c>
      <c r="R224" t="n">
        <v>40</v>
      </c>
      <c r="S224" t="n">
        <v>30</v>
      </c>
      <c r="T224" t="n">
        <v>50</v>
      </c>
      <c r="U224" t="inlineStr">
        <is>
          <t>SKIP</t>
        </is>
      </c>
      <c r="V224" t="inlineStr">
        <is>
          <t>SKIP</t>
        </is>
      </c>
      <c r="X224" t="inlineStr">
        <is>
          <t>Amaanuddin_Ahmed_Resume_Full_Stack.pdf</t>
        </is>
      </c>
      <c r="Y224" t="inlineStr">
        <is>
          <t>2026-10-06</t>
        </is>
      </c>
      <c r="Z224" t="inlineStr">
        <is>
          <t>Role matches target full-stack internship profile; Location is in Bangalore</t>
        </is>
      </c>
      <c r="AA224" t="inlineStr">
        <is>
          <t>Eligible</t>
        </is>
      </c>
      <c r="AB224" t="inlineStr">
        <is>
          <t>Open to graduates/postgraduates matching candidate's current MCA student profile; Located in Bangalore</t>
        </is>
      </c>
      <c r="AC224" t="inlineStr">
        <is>
          <t>Unknown</t>
        </is>
      </c>
      <c r="AD224" t="inlineStr">
        <is>
          <t>Availability not specified in the job description</t>
        </is>
      </c>
      <c r="AE224" t="inlineStr">
        <is>
          <t>Below Target</t>
        </is>
      </c>
      <c r="AF224" t="n">
        <v>14999</v>
      </c>
      <c r="AG224" t="inlineStr">
        <is>
          <t>No</t>
        </is>
      </c>
      <c r="AH224" t="inlineStr">
        <is>
          <t>Not Mentioned</t>
        </is>
      </c>
      <c r="AI224" t="inlineStr">
        <is>
          <t>No mention of PPO or conversion in the job description</t>
        </is>
      </c>
      <c r="AJ224" t="inlineStr">
        <is>
          <t>Stipend of ₹ 14,999 - 15,000 /month is below the candidate's minimum stipend target of ₹25,000/month</t>
        </is>
      </c>
      <c r="AK224" t="inlineStr">
        <is>
          <t>Low compensation compared to target expectations</t>
        </is>
      </c>
      <c r="AL224" t="inlineStr">
        <is>
          <t>Full stack development fundamentals; Project architecture; Past internship experience</t>
        </is>
      </c>
    </row>
    <row r="225">
      <c r="A225" t="inlineStr">
        <is>
          <t>SELLERGRID-261006-18</t>
        </is>
      </c>
      <c r="B225" t="inlineStr">
        <is>
          <t>SellerGrid</t>
        </is>
      </c>
      <c r="C225" t="inlineStr">
        <is>
          <t>MERN Stack Developer Intern</t>
        </is>
      </c>
      <c r="D225" t="inlineStr">
        <is>
          <t>https://internshala.com/internship/detail/mern-stack-developer-internship-in-bangalore-at-sellergrid1791218486</t>
        </is>
      </c>
      <c r="E225" t="inlineStr">
        <is>
          <t>AI Analyzer</t>
        </is>
      </c>
      <c r="F225" t="inlineStr">
        <is>
          <t>Bangalore</t>
        </is>
      </c>
      <c r="G225" t="inlineStr">
        <is>
          <t>In-office</t>
        </is>
      </c>
      <c r="H225" t="inlineStr">
        <is>
          <t>₹ 5,000 /month</t>
        </is>
      </c>
      <c r="I225" t="inlineStr">
        <is>
          <t>3 months</t>
        </is>
      </c>
      <c r="J225" t="inlineStr">
        <is>
          <t>Not mentioned</t>
        </is>
      </c>
      <c r="K225" t="inlineStr">
        <is>
          <t>MongoDB; NestJS; Node.js; React; Tailwind CSS; Amazon EC2; AWS Lambda; Google Cloud Platforms (GCP)</t>
        </is>
      </c>
      <c r="M225" t="inlineStr">
        <is>
          <t>Loading, please wait...
[Browse more internships](https://internshala.com/internships)
[Home](https://internshala.com/)[Internships](https://internshala.com/internships/)
# MERN Stack Developer - Internship
Actively hiring
MERN Stack Developer
[SellerGrid](https://internshala.com/company/sellergrid-1773914664)
![SellerGrid](https://internshala-uploads.internshala.com/logo%2Ffs1tvywcq9f-35984.png.webp)
Bangalore
Start Date
Starts immediatelyImmediately
Duration
3 Months
Stipend
₹ 5,000 /month
APPLY BY
4 Nov' 26
Posted today
Internship
129 applicants
[Share on WhatsApp](https://wa.me/?text=Check%20out%20this%20%20internship%20at%20SellerGrid%20https%3A%2F%2Finternshala.com%2Finternship%2Fdetail%2Fmern-stack-developer-internship-in-bangalore-at-sellergrid1791218486%3Futm_source%3Dwp_share%26referral%3Dweb_share) [Share on LinkedIn](https://www.linkedin.com/shareArticle?mini=true&amp;url=https%3A%2F%2Finternshala.com%2Finternship%2Fdetail%2Fmern-stack-developer-internship-in-bangalore-at-sellergrid1791218486%3Futm_source%3Dli_share%26referral%3Dweb_share) [Share on Facebook](https://www.facebook.com/share.php?u=https%3A%2F%2Finternshala.com%2Finternship%2Fdetail%2Fmern-stack-developer-internship-in-bangalore-at-sellergrid1791218486%3Futm_source%3Dfb_share%26referral%3Dweb_share) [Share on Twitter](https://twitter.com/share?url=https%3A%2F%2Finternshala.com%2Finternship%2Fdetail%2Fmern-stack-developer-internship-in-bangalore-at-sellergrid1791218486%3Futm_source%3Dtw_share%26referral%3Dweb_share) [Copy link](https://internshala.com/internship/detail/mern-stack-developer-internship-in-bangalore-at-sellergrid1791218486#)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Are you a talented developer looking to gain hands-on experience in the exciting world of e-commerce? SellerGrid is seeking a dynamic MERN full-stack development intern to join our team. If you have a solid understanding of MongoDB, NestJS, React, and Node.js, this opportunity is perfect for you! As an intern, you will have the chance to work on cutting-edge projects and collaborate with experienced professionals in the field.
Selected intern's day-to-day responsibilities include:
1\. Develop and maintain backend services using NestJS and MongoDB.
2\. Design and implement user-friendly interfaces using React.
3\. Collaborate with the team to troubleshoot and debug issues.
4\. Optimize applications for maximum speed and scalability.
5\. Assist in the integration of third-party APIs and services.
6\. Stay updated on emerging technologies and industry trends.
7\. Contribute to the overall success of the company through innovative ideas and solutions.
If you are passionate about web development and eager to learn, apply now to kickstart your career with SellerGrid!
### Skill(s) required
Amazon EC2AWS LambdaGoogle Cloud Platforms (GCP)MongoDBNestJSNode.jsReactTailwind CSS
Earn certifications in these skills
[Learn Amazon EC2](https://trainings.internshala.com/aws-cloud-computing/?utm_source=is_web_internshala_details_page)
[Learn AWS Lambda](https://trainings.internshala.com/aws-cloud-computing/?utm_source=is_web_internshala_details_page)
[Learn Node.JS](https://trainings.internshala.com/nodejs-course/?utm_source=is_web_internshala_details_page)
[Learn ReactJS](https://trainings.internshala.com/react-course/?utm_source=is_web_internshala_details_page)
Who can apply
Only those candidates can apply who:
1\. are available for full time (in-office) internship
2\. can start the internship between 5th Oct'26 and 9th Nov'26
3\. are available for duration of 3 months
4\. have relevant skills and interests
### Perks
Certificate Letter of recommendation Flexible work hours 5 days a week
### Number of openings
1
## About SellerGrid
[Website](https://sellergrid.in/)
We are a B2B SaaS platform that helps e-commerce brands build and scale by providing an all-in-one solution on a single platform for all their needs.
Activity on Internshala
Hiring since March 2026
14 opportunities posted
6 candidates hired
[Apply now](https://internshala.com/student/interstitial/application/mern-stack-developer-internship-in-bangalore-at-sellergrid1791218486?utm_source=detail_page)
Looking for more such opportunities?
Register now to access 10K+ openings posted daily!
[Sign up with Google](https://internshala.com/login/get_google/) [Sign up with Email](https://internshala.com/registration/student?referral=detail-page-bottom)
By signing up, you agree to our [Terms and Conditions](https://internshala.com/terms#student).
reCAPTCHA
Recaptcha requires verification.
protected by **reCAPTCHA**</t>
        </is>
      </c>
      <c r="N225" t="n">
        <v>57</v>
      </c>
      <c r="O225" t="n">
        <v>60</v>
      </c>
      <c r="P225" t="n">
        <v>75</v>
      </c>
      <c r="Q225" t="n">
        <v>80</v>
      </c>
      <c r="R225" t="n">
        <v>40</v>
      </c>
      <c r="S225" t="n">
        <v>10</v>
      </c>
      <c r="T225" t="n">
        <v>50</v>
      </c>
      <c r="U225" t="inlineStr">
        <is>
          <t>SKIP</t>
        </is>
      </c>
      <c r="V225" t="inlineStr">
        <is>
          <t>SKIP</t>
        </is>
      </c>
      <c r="W225" t="inlineStr">
        <is>
          <t>NestJS; Tailwind CSS; Amazon EC2; AWS Lambda; Google Cloud Platforms (GCP)</t>
        </is>
      </c>
      <c r="X225" t="inlineStr">
        <is>
          <t>Standard Full Stack Resume highlighting React, Node.js, and MongoDB projects.</t>
        </is>
      </c>
      <c r="Y225" t="inlineStr">
        <is>
          <t>2026-10-06</t>
        </is>
      </c>
      <c r="Z225" t="inlineStr">
        <is>
          <t>Relevant MERN stack project experience and role fit.; In-office opportunity in Bangalore.</t>
        </is>
      </c>
      <c r="AA225" t="inlineStr">
        <is>
          <t>Eligible</t>
        </is>
      </c>
      <c r="AB225" t="inlineStr">
        <is>
          <t>Candidate is available for full-time in-office internship in Bangalore.; Matches general skill requirements for MERN stack development.</t>
        </is>
      </c>
      <c r="AC225" t="inlineStr">
        <is>
          <t>Unknown</t>
        </is>
      </c>
      <c r="AD225" t="inlineStr">
        <is>
          <t>Exact start dates and immediate availability window need to be verified against the candidate's current schedule.</t>
        </is>
      </c>
      <c r="AE225" t="inlineStr">
        <is>
          <t>Below target</t>
        </is>
      </c>
      <c r="AF225" t="n">
        <v>5000</v>
      </c>
      <c r="AG225" t="inlineStr">
        <is>
          <t>No</t>
        </is>
      </c>
      <c r="AH225" t="inlineStr">
        <is>
          <t>Not mentioned</t>
        </is>
      </c>
      <c r="AI225" t="inlineStr">
        <is>
          <t>No explicit PPO or conversion mention found in the job description.</t>
        </is>
      </c>
      <c r="AK225" t="inlineStr">
        <is>
          <t>Stipend of ₹5,000/month is significantly below the candidate's minimum target of ₹25,000/month.</t>
        </is>
      </c>
      <c r="AL225" t="inlineStr">
        <is>
          <t>NestJS architecture and dependency injection compared to Express; State management and component lifecycle in React; Cloud services deployment (AWS EC2, Lambda, GCP); Database design and aggregation pipelines in MongoDB</t>
        </is>
      </c>
    </row>
    <row r="226">
      <c r="A226" t="inlineStr">
        <is>
          <t>ASTRORIZE-261006-19</t>
        </is>
      </c>
      <c r="B226" t="inlineStr">
        <is>
          <t>Astrorize</t>
        </is>
      </c>
      <c r="C226" t="inlineStr">
        <is>
          <t>Software Development – Full Stack &amp; Mobile</t>
        </is>
      </c>
      <c r="D226" t="inlineStr">
        <is>
          <t>https://internshala.com/internship/detail/software-development--full-stack-mobile-internship-in-bangalore-at-astrorize1791196156</t>
        </is>
      </c>
      <c r="E226" t="inlineStr">
        <is>
          <t>AI Analyzer</t>
        </is>
      </c>
      <c r="F226" t="inlineStr">
        <is>
          <t>Bangalore</t>
        </is>
      </c>
      <c r="G226" t="inlineStr">
        <is>
          <t>In-office</t>
        </is>
      </c>
      <c r="H226" t="inlineStr">
        <is>
          <t>₹ 18,000 - 20,000 /month</t>
        </is>
      </c>
      <c r="I226" t="inlineStr">
        <is>
          <t>6 Months</t>
        </is>
      </c>
      <c r="J226" t="inlineStr">
        <is>
          <t>medium</t>
        </is>
      </c>
      <c r="K226" t="inlineStr">
        <is>
          <t>JavaScript; Node.js; Express.js; React.js; REST APIs; SQL; Git</t>
        </is>
      </c>
      <c r="L226" t="inlineStr">
        <is>
          <t>TypeScript; Next.js; React Native; PostgreSQL; Redis; AWS; Docker</t>
        </is>
      </c>
      <c r="M226" t="inlineStr">
        <is>
          <t>Loading, please wait...
[Browse more internships](https://internshala.com/internships)
[Home](https://internshala.com/)[Internships](https://internshala.com/internships/)
# Software Development – Full Stack &amp; Mobile - Internship
Actively hiring
Software Development – Full Stack &amp; Mobile
[Astrorize](https://internshala.com/company/astrorize-1783446715)
Bangalore
Start Date
Starts immediatelyImmediately
Duration
6 Months
Stipend
₹ 18,000 - 20,000 /month
APPLY BY
4 Nov' 26
Posted 1 day ago
Internship
198 applicants
[Share on WhatsApp](https://wa.me/?text=Check%20out%20this%20%20internship%20at%20Astrorize%20https%3A%2F%2Finternshala.com%2Finternship%2Fdetail%2Fsoftware-development--full-stack-mobile-internship-in-bangalore-at-astrorize1791196156%3Futm_source%3Dwp_share%26referral%3Dweb_share) [Share on LinkedIn](https://www.linkedin.com/shareArticle?mini=true&amp;url=https%3A%2F%2Finternshala.com%2Finternship%2Fdetail%2Fsoftware-development--full-stack-mobile-internship-in-bangalore-at-astrorize1791196156%3Futm_source%3Dli_share%26referral%3Dweb_share) [Share on Facebook](https://www.facebook.com/share.php?u=https%3A%2F%2Finternshala.com%2Finternship%2Fdetail%2Fsoftware-development--full-stack-mobile-internship-in-bangalore-at-astrorize1791196156%3Futm_source%3Dfb_share%26referral%3Dweb_share) [Share on Twitter](https://twitter.com/share?url=https%3A%2F%2Finternshala.com%2Finternship%2Fdetail%2Fsoftware-development--full-stack-mobile-internship-in-bangalore-at-astrorize1791196156%3Futm_source%3Dtw_share%26referral%3Dweb_share) [Copy link](https://internshala.com/internship/detail/software-development--full-stack-mobile-internship-in-bangalore-at-astrorize1791196156#)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ASTRORIZE is looking for trained and technically prepared freshers to join our product engineering team as software development interns. You will work on a real-world technology platform involving mobile applications, web applications, backend services, administration systems, payments, notifications, real-time communication, and cloud infrastructure. We are specifically looking for trained freshers and early-career developers with practical exposure to JavaScript and TypeScript.
Technology Stack:
1\. Mobile: React Native, TypeScript, Android &amp; iOS, REST API integration, Firebase Cloud Messaging, and real-time communication.
2\. Web: React.js, Next.js, TypeScript, responsive web application development, and API integration
3\. Admin: React.js, TypeScript, RBAC, and API-driven dashboards
4\. Backend: Node.js, TypeScript, REST APIs, Webhooks, event-driven workflows, authentication &amp; authorization, real-time communication, and API validation and error handling
5\. Database &amp; Caching: PostgreSQL, Amazon RDS, SQL, Redis, and caching and real-time data handling
6\. Cloud &amp; Services: AWS, Amazon S3, Amazon RDS, Firebase Cloud Messaging, and SMTP/transactional email
7\. Product Integrations: Razorpay, Payout APIs, LiveKit Cloud, real-time chat, voice &amp; video communication, and live streaming
Selected intern's day-to-day responsibilities include:
1\. Develop features across mobile, web, and backend applications.
2\. Build and integrate REST APIs.
3\. Develop React Native applications for Android and iOS.
4\. Develop web applications using React and Next.js.
5\. Develop backend services using Node.js and TypeScript.
6\. Work with PostgreSQL and Redis.
7\. Integrate third-party APIs and services.
8\. Implement webhook-based workflows.
9\. Work with payment, notification, and communication integrations.
10\. Debug frontend, backend, and API issues.
11\. Write clean, reusable, and maintainable code.
12\. Participate in code reviews.
13\. Write basic automated tests and perform API testing.
14\. Use Git/GitHub for version control.
15\. Investigate bugs and identify root causes.
16\. Work closely with the product and engineering team.
Important Hiring Note:
1\. This position is specifically intended for trained freshers and early-career developers with relevant hands-on technical exposure.
2\. Generic programming knowledge without practical exposure to the JavaScript/TypeScript ecosystem will not be sufficient.
\### What You Will Work On
1\. React Native Android/iOS applications
2\. Next.js web applications
3\. React administration systems
4\. Node.js backend services
5\. PostgreSQL databases
6\. Redis caching
7\. Payment and payout integrations
8\. Push notifications
9\. Real-time chat
10\. Voice and video consultations
11\. Live streaming
12\. Cloud storage and media management
13\. APIs and webhooks
14\. Authentication and authorization
15\. Production debugging and opti</t>
        </is>
      </c>
      <c r="N226" t="n">
        <v>73</v>
      </c>
      <c r="O226" t="n">
        <v>72</v>
      </c>
      <c r="P226" t="n">
        <v>80</v>
      </c>
      <c r="Q226" t="n">
        <v>85</v>
      </c>
      <c r="R226" t="n">
        <v>60</v>
      </c>
      <c r="S226" t="n">
        <v>60</v>
      </c>
      <c r="T226" t="n">
        <v>75</v>
      </c>
      <c r="U226" t="inlineStr">
        <is>
          <t>CONSIDER</t>
        </is>
      </c>
      <c r="V226" t="inlineStr">
        <is>
          <t>CONSIDER</t>
        </is>
      </c>
      <c r="W226" t="inlineStr">
        <is>
          <t>TypeScript; React Native; Next.js; PostgreSQL; Redis; Docker</t>
        </is>
      </c>
      <c r="X226" t="inlineStr">
        <is>
          <t>Default Full Stack / MERN Resume</t>
        </is>
      </c>
      <c r="Y226" t="inlineStr">
        <is>
          <t>2026-10-06</t>
        </is>
      </c>
      <c r="Z226" t="inlineStr">
        <is>
          <t>Strong technical overlap with MERN stack, REST APIs, and full-stack development experience from real internships and projects.; Located in Bengaluru and aligns with the target software engineering internship roles.; Provides hands-on experience with modern cloud, backend, and product engineering workflows.</t>
        </is>
      </c>
      <c r="AA226" t="inlineStr">
        <is>
          <t>eligible</t>
        </is>
      </c>
      <c r="AB226" t="inlineStr">
        <is>
          <t>Based in Bengaluru, matching the in-office location requirement.; Has hands-on full-stack experience with JavaScript, Node.js, Express, MySQL, and Angular/React ecosystems.; Available for the required 6-month duration.</t>
        </is>
      </c>
      <c r="AC226" t="inlineStr">
        <is>
          <t>unknown</t>
        </is>
      </c>
      <c r="AD226" t="inlineStr">
        <is>
          <t>Exact immediate start date availability within the Oct-Nov window is not explicitly specified in the profile.</t>
        </is>
      </c>
      <c r="AE226" t="inlineStr">
        <is>
          <t>exact</t>
        </is>
      </c>
      <c r="AF226" t="n">
        <v>18000</v>
      </c>
      <c r="AG226" t="inlineStr">
        <is>
          <t>No</t>
        </is>
      </c>
      <c r="AH226" t="inlineStr">
        <is>
          <t>medium</t>
        </is>
      </c>
      <c r="AI226" t="inlineStr">
        <is>
          <t>Potential for continued engagement based on performance and business requirements.</t>
        </is>
      </c>
      <c r="AK226" t="inlineStr">
        <is>
          <t>Stipend of ₹18,000 - 20,000/month is below the candidate's minimum target of ₹25,000/month.</t>
        </is>
      </c>
      <c r="AL226" t="inlineStr">
        <is>
          <t>JavaScript ES6+ asynchronous programming and Promises; REST API design, webhooks, and error handling; State management and component lifecycle in React; Database schema design and query optimization in SQL/PostgreSQL; Experience with full-stack project deployment and Git version control</t>
        </is>
      </c>
    </row>
    <row r="227">
      <c r="A227" t="inlineStr">
        <is>
          <t>ROUTE-MOBILE-261006-20</t>
        </is>
      </c>
      <c r="B227" t="inlineStr">
        <is>
          <t>Route Mobile Limited</t>
        </is>
      </c>
      <c r="C227" t="inlineStr">
        <is>
          <t>Forward Deployed Software Engineer</t>
        </is>
      </c>
      <c r="D227" t="inlineStr">
        <is>
          <t>https://internshala.com/internship/detail/forward-deployed-software-engineer-internship-in-multiple-locations-at-route-mobile-limited1791288694</t>
        </is>
      </c>
      <c r="E227" t="inlineStr">
        <is>
          <t>AI Analyzer</t>
        </is>
      </c>
      <c r="F227" t="inlineStr">
        <is>
          <t>Gurgaon, Mumbai, Bangalore</t>
        </is>
      </c>
      <c r="G227" t="inlineStr">
        <is>
          <t>In-office</t>
        </is>
      </c>
      <c r="H227" t="inlineStr">
        <is>
          <t>₹ 30,000 - 70,000 /month</t>
        </is>
      </c>
      <c r="I227" t="inlineStr">
        <is>
          <t>6 Months</t>
        </is>
      </c>
      <c r="J227" t="inlineStr">
        <is>
          <t>EXPLICIT</t>
        </is>
      </c>
      <c r="K227" t="inlineStr">
        <is>
          <t>LLM evaluation; Prompt Engineering; Python; REST APIs</t>
        </is>
      </c>
      <c r="L227" t="inlineStr">
        <is>
          <t>CRMs; Payment gateways; AI assistants development</t>
        </is>
      </c>
      <c r="M227" t="inlineStr">
        <is>
          <t>Loading, please wait...
[Browse more internships](https://internshala.com/internships)
[Home](https://internshala.com/)[Internships](https://internshala.com/internships/)
# Forward Deployed Software Engineer - Internship
Actively hiring
Forward Deployed Software Engineer
[Route Mobile Limited](https://internshala.com/company/route-mobile-limited-1558615474)
Gurgaon, Mumbai, Bangalore
Start Date
Starts immediatelyImmediately
Duration
6 Months
Stipend
₹ 30,000 - 70,000 /month
APPLY BY
5 Nov' 26
Posted few hours ago
Job offer upto ₹ 20LPA post internship
![](https://internshala.com/static/images/icons/bolt_icon_color.svg)
Be an early applicant
[Share on WhatsApp](https://wa.me/?text=Check%20out%20this%20%20internship%20at%20Route%20Mobile%20Limited%20https%3A%2F%2Finternshala.com%2Finternship%2Fdetail%2Fforward-deployed-software-engineer-internship-in-multiple-locations-at-route-mobile-limited1791288694%3Futm_source%3Dwp_share%26referral%3Dweb_share) [Share on LinkedIn](https://www.linkedin.com/shareArticle?mini=true&amp;url=https%3A%2F%2Finternshala.com%2Finternship%2Fdetail%2Fforward-deployed-software-engineer-internship-in-multiple-locations-at-route-mobile-limited1791288694%3Futm_source%3Dli_share%26referral%3Dweb_share) [Share on Facebook](https://www.facebook.com/share.php?u=https%3A%2F%2Finternshala.com%2Finternship%2Fdetail%2Fforward-deployed-software-engineer-internship-in-multiple-locations-at-route-mobile-limited1791288694%3Futm_source%3Dfb_share%26referral%3Dweb_share) [Share on Twitter](https://twitter.com/share?url=https%3A%2F%2Finternshala.com%2Finternship%2Fdetail%2Fforward-deployed-software-engineer-internship-in-multiple-locations-at-route-mobile-limited1791288694%3Futm_source%3Dtw_share%26referral%3Dweb_share) [Copy link](https://internshala.com/internship/detail/forward-deployed-software-engineer-internship-in-multiple-locations-at-route-mobile-limited1791288694#)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Selected intern's day-to-day responsibilities include:
1\. Help the Forward Deployed Engineering team build AI assistants on WhatsApp, RCS, web and voice for large enterprise brands
2\. Write and test prompts and tool definitions in English, Hindi and Hinglish
3\. Write Python functions that connect assistants to CRMs, payment gateways and APIs
4\. Build test sets from real conversations and run them before every change goes live
5\. Review live conversations, find where users drop off or the assistant gets it wrong, and propose fixes to the team
6\. Document what you build so the team can reuse it across accounts
### Skill(s) required
LLM evaluationPrompt EngineeringPython
Earn certifications in these skills
[Learn Prompt Engineering](https://trainings.internshala.com/prompt-ai/?utm_source=is_web_internshala_details_page)
[Learn Python](https://trainings.internshala.com/python-course/?utm_source=is_web_internshala_details_page)
[Learn VLSI](https://trainings.internshala.com/vlsi-design-course/?utm_source=is_web_internshala_details_page)
[Learn AI in Data Science](https://trainings.internshala.com/ai-data-science/?utm_source=is_web_internshala_details_page)
[Learn Embedded Systems](https://trainings.internshala.com/embedded-systems/?utm_source=is_web_internshala_details_page)
[Learn Machine Learning](https://trainings.internshala.com/machine-learning-course/?utm_source=is_web_internshala_details_page)
[Learn Data Science](https://trainings.internshala.com/data-science-beginner-course/?utm_source=is_web_internshala_details_page)
[Learn SAS Programming](https://trainings.internshala.com/sas-programming-course/?utm_source=is_web_internshala_details_page)
[Learn SQL for Data Analytics](https://trainings.internshala.com/sql-data-analytics-course/?utm_source=is_web_internshala_details_page)
[Learn Power BI](https://trainings.internshala.com/power-bi-course/?utm_source=is_web_internshala_details_page)
[Learn Clinical Trial Analysis &amp; Reporting](https://trainings.internshala.com/clinical-trials-analysis-reporting-course/?utm_source=is_web_internshala_details_page)
[Learn Git &amp; Github](https://trainings.internshala.com/git-course/?utm_source=is_web_internshala_details_page)
[Learn Artificial intelligence](https://trainings.internshala.com/artificial-intelligence-and-machine-learning-course/?utm_source=is_web_internshala_details_page)
[Learn Vibe Coding](https://trainings.internshala.com/vibe-coding-with-replit-course/?utm_source=is_web_internshala_details_page)
\+ 7 more skills
Who can apply
Only those candidates can apply who:
1\. are available for full time (in-office) internship
2\. can start the internship between 6th Oct'26 and 10th Nov'26
3\. are available fo</t>
        </is>
      </c>
      <c r="N227" t="n">
        <v>76</v>
      </c>
      <c r="O227" t="n">
        <v>65</v>
      </c>
      <c r="P227" t="n">
        <v>70</v>
      </c>
      <c r="Q227" t="n">
        <v>70</v>
      </c>
      <c r="R227" t="n">
        <v>95</v>
      </c>
      <c r="S227" t="n">
        <v>90</v>
      </c>
      <c r="T227" t="n">
        <v>90</v>
      </c>
      <c r="U227" t="inlineStr">
        <is>
          <t>CONSIDER</t>
        </is>
      </c>
      <c r="V227" t="inlineStr">
        <is>
          <t>CONSIDER</t>
        </is>
      </c>
      <c r="W227" t="inlineStr">
        <is>
          <t>LLM evaluation; Prompt Engineering; Built-in LLM project explicitly on current resume</t>
        </is>
      </c>
      <c r="X227" t="inlineStr">
        <is>
          <t>Default Resume updated to include the Mindora AI web application project</t>
        </is>
      </c>
      <c r="Y227" t="inlineStr">
        <is>
          <t>2026-10-06</t>
        </is>
      </c>
      <c r="Z227" t="inlineStr">
        <is>
          <t>High stipend range (₹30,000 to ₹70,000/month with ₹20,000-50,000 guaranteed base) exceeding the minimum target.; Excellent PPO conversion opportunity with up to 20 LPA post-internship.; Matches the Bangalore location preference among the offered in-office locations.</t>
        </is>
      </c>
      <c r="AA227" t="inlineStr">
        <is>
          <t>ELIGIBLE_WITH_GAPS</t>
        </is>
      </c>
      <c r="AB227" t="inlineStr">
        <is>
          <t>Candidate meets degree and graduation timeline criteria as an MCA student graduating in 2027.; Candidate has Python listed on resume and experience with REST APIs.; The role requires building at least one project using an LLM (bot, agent or integration), which corresponds to the Mindora AI web application project in profile, though it is not currently on the active resume.</t>
        </is>
      </c>
      <c r="AC227" t="inlineStr">
        <is>
          <t>UNKNOWN</t>
        </is>
      </c>
      <c r="AD227" t="inlineStr">
        <is>
          <t>Candidate availability dates to match the immediate start window between Oct '26 and Nov '26 are not specified in the career brain.</t>
        </is>
      </c>
      <c r="AE227" t="inlineStr">
        <is>
          <t>DISCLOSED</t>
        </is>
      </c>
      <c r="AF227" t="n">
        <v>20000</v>
      </c>
      <c r="AG227" t="inlineStr">
        <is>
          <t>Yes</t>
        </is>
      </c>
      <c r="AH227" t="inlineStr">
        <is>
          <t>EXPLICIT</t>
        </is>
      </c>
      <c r="AI227" t="inlineStr">
        <is>
          <t>Job offer upto ₹ 20LPA post internship / On successful conversion to a permanent employee, the candidate can expect a salary of ₹ 800000 to 2000000/year</t>
        </is>
      </c>
      <c r="AK227" t="inlineStr">
        <is>
          <t>Requires full-time in-office presence in Gurgaon, Mumbai, or Bangalore, whereas preferred location is Bengaluru (though Bengaluru is one of the listed options).; Requires a project built using an LLM to be shared in application, which is present in the profile (Mindora) but missing on the standard resume.</t>
        </is>
      </c>
      <c r="AL227" t="inlineStr">
        <is>
          <t>Python programming and backend API integrations; Prompt engineering techniques and LLM evaluation strategies; Experience building AI bots, agents, or integrations (Mindora project discussion); Handling conversational flows and user drop-offs in AI assistants</t>
        </is>
      </c>
    </row>
    <row r="228">
      <c r="A228" t="inlineStr">
        <is>
          <t>INTELLIGENT--261006-21</t>
        </is>
      </c>
      <c r="B228" t="inlineStr">
        <is>
          <t>INTELLIGENT SYSTEMS PRIVATE LIMITED</t>
        </is>
      </c>
      <c r="C228" t="inlineStr">
        <is>
          <t>Full Stack Development</t>
        </is>
      </c>
      <c r="D228" t="inlineStr">
        <is>
          <t>https://internshala.com/internship/detail/full-stack-development-internship-in-bangalore-at-intelligent-systems-private-limited1790246927</t>
        </is>
      </c>
      <c r="E228" t="inlineStr">
        <is>
          <t>AI Analyzer</t>
        </is>
      </c>
      <c r="F228" t="inlineStr">
        <is>
          <t>Bangalore</t>
        </is>
      </c>
      <c r="G228" t="inlineStr">
        <is>
          <t>In-office</t>
        </is>
      </c>
      <c r="H228" t="inlineStr">
        <is>
          <t>₹ 12,000 - 16,000 /month</t>
        </is>
      </c>
      <c r="I228" t="inlineStr">
        <is>
          <t>3 Months</t>
        </is>
      </c>
      <c r="J228" t="inlineStr">
        <is>
          <t>yes</t>
        </is>
      </c>
      <c r="K228" t="inlineStr">
        <is>
          <t>Express.js; FastAPI; Generative AI Development; Git; JavaScript; LangChain; MongoDB; Node.js; Python; React; REST API; SQL</t>
        </is>
      </c>
      <c r="M228" t="inlineStr">
        <is>
          <t>Loading, please wait...
[Browse more internships](https://internshala.com/internships)
[Home](https://internshala.com/)[Internships](https://internshala.com/internships/)[Full Stack Development Internships in Bangalore](https://internshala.com/internships/full-stack-development-internship-in-bangalore/)
# Full Stack Development - Internship
Actively hiring
Full Stack Development
[INTELLIGENT SYSTEMS PRIVATE LIMITED](https://internshala.com/company/intelligent-systems-private-limited-1786768640)
Bangalore
Start Date
Starts immediatelyImmediately
Duration
3 Months
Stipend
₹ 12,000 - 16,000 /month
APPLY BY
24 Oct' 26
Posted 1 week ago
Job offer starting ₹ 4LPA post internship
755 applicants
[Share on WhatsApp](https://wa.me/?text=Check%20out%20this%20%20internship%20at%20INTELLIGENT%20SYSTEMS%20PRIVATE%20LIMITED%20https%3A%2F%2Finternshala.com%2Finternship%2Fdetail%2Ffull-stack-development-internship-in-bangalore-at-intelligent-systems-private-limited1790246927%3Futm_source%3Dwp_share%26referral%3Dweb_share) [Share on LinkedIn](https://www.linkedin.com/shareArticle?mini=true&amp;url=https%3A%2F%2Finternshala.com%2Finternship%2Fdetail%2Ffull-stack-development-internship-in-bangalore-at-intelligent-systems-private-limited1790246927%3Futm_source%3Dli_share%26referral%3Dweb_share) [Share on Facebook](https://www.facebook.com/share.php?u=https%3A%2F%2Finternshala.com%2Finternship%2Fdetail%2Ffull-stack-development-internship-in-bangalore-at-intelligent-systems-private-limited1790246927%3Futm_source%3Dfb_share%26referral%3Dweb_share) [Share on Twitter](https://twitter.com/share?url=https%3A%2F%2Finternshala.com%2Finternship%2Fdetail%2Ffull-stack-development-internship-in-bangalore-at-intelligent-systems-private-limited1790246927%3Futm_source%3Dtw_share%26referral%3Dweb_share) [Copy link](https://internshala.com/internship/detail/full-stack-development-internship-in-bangalore-at-intelligent-systems-private-limited1790246927#)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Selected intern's day-to-day responsibilities include:
1\. Building UI features in React and TypeScript
2\. Writing REST APIs in Node.js and Express
3\. Working with MongoDB and SQL databases
4\. Building LLM features in Python: RAG pipelines, chatbots, and simple agents using LangChain and LangGraph
5\. Integrating LLM APIs and third-party services
6\. Fixing bugs, writing tests, and taking part in code reviews
### Skill(s) required
Express.jsFastAPIGenerative AI DevelopmentGitJavaScriptLangChainMongoDBNode.jsPythonReactREST APISQL
Earn certifications in these skills
[Learn Generative AI Development](https://trainings.internshala.com/generative-ai-course/?utm_source=is_web_internshala_details_page)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Node.JS](https://trainings.internshala.com/nodejs-course/?utm_source=is_web_internshala_details_page)
[Learn Python](https://trainings.internshala.com/python-course/?utm_source=is_web_internshala_details_page)
[Learn ReactJS](https://trainings.internshala.com/react-course/?utm_source=is_web_internshala_details_page)
[Learn SQL](https://trainings.internshala.com/sql-data-analytics-course/?utm_source=is_web_internshala_details_page)
Who can apply
Only those candidates can apply who:
1\. are available for full time (in-office) internship
2\. can start the internship between 24th Sep'26 and 29th Oct'26
3\. are available for duration of 3 months
4\. have relevant skills and interests
\\* Women wanting to start/restart their career can also apply.
### Other requirements
B.Tech/B.E./M.Tech in CS, IT, or a related field (final-year students and recent graduates)
Available for the full 3 months, on-site in Bengaluru
### Perks
Certificate Informal dress code Job offer
Additional information
Job offer:
On successful conversion to a permanent employee, the candidate can expect a salary of ₹ 400000 /year
### Number of openings
1
## About INTELLIGENT SYSTEMS PRIVATE LIMITED
[Website](https://www.enterprisesi.co/)
EnterpriseSI is an enterprise-focused technology company that provides agentic AI accelerators, secure builder playgrounds, and talent transformation solutions to help organizations adopt and realize value from AI.
Activity on Internshala
Hiring since August 2026
3 opportunities posted
[Apply now](https://internshala.com/student/interstitial/application/full-stack-development-internship-in-bangalore-at-intelligent-systems-private-limited1790246927?u</t>
        </is>
      </c>
      <c r="N228" t="n">
        <v>73</v>
      </c>
      <c r="O228" t="n">
        <v>70</v>
      </c>
      <c r="P228" t="n">
        <v>75</v>
      </c>
      <c r="Q228" t="n">
        <v>80</v>
      </c>
      <c r="R228" t="n">
        <v>90</v>
      </c>
      <c r="S228" t="n">
        <v>40</v>
      </c>
      <c r="T228" t="n">
        <v>75</v>
      </c>
      <c r="U228" t="inlineStr">
        <is>
          <t>CONSIDER</t>
        </is>
      </c>
      <c r="V228" t="inlineStr">
        <is>
          <t>CONSIDER</t>
        </is>
      </c>
      <c r="W228" t="inlineStr">
        <is>
          <t>FastAPI; Generative AI Development; LangChain; Python</t>
        </is>
      </c>
      <c r="X228" t="inlineStr">
        <is>
          <t>Default Full Stack / MERN Resume</t>
        </is>
      </c>
      <c r="Y228" t="inlineStr">
        <is>
          <t>2026-10-06</t>
        </is>
      </c>
      <c r="Z228" t="inlineStr">
        <is>
          <t>Provides a clear PPO opportunity with a post-internship salary of ₹4 LPA.; Aligns well with the candidate's core stack (React, Node.js, Express, MongoDB, SQL).; Based in Bengaluru, matching location preferences.</t>
        </is>
      </c>
      <c r="AA228" t="inlineStr">
        <is>
          <t>eligible</t>
        </is>
      </c>
      <c r="AB228" t="inlineStr">
        <is>
          <t>Candidate is pursuing MCA at PES University (2025-2027), matching the requirement for relevant CS/IT/related fields.; Location matches Bengaluru preference and in-office requirement.</t>
        </is>
      </c>
      <c r="AC228" t="inlineStr">
        <is>
          <t>unknown</t>
        </is>
      </c>
      <c r="AD228" t="inlineStr">
        <is>
          <t>Exact start date availability between 24th Sep'26 and 29th Oct'26 is not specified in the candidate profile.</t>
        </is>
      </c>
      <c r="AE228" t="inlineStr">
        <is>
          <t>range</t>
        </is>
      </c>
      <c r="AF228" t="n">
        <v>12000</v>
      </c>
      <c r="AG228" t="inlineStr">
        <is>
          <t>No</t>
        </is>
      </c>
      <c r="AH228" t="inlineStr">
        <is>
          <t>yes</t>
        </is>
      </c>
      <c r="AI228" t="inlineStr">
        <is>
          <t>Job offer starting ₹ 4LPA post internship / On successful conversion to a permanent employee, the candidate can expect a salary of ₹ 400000 /year</t>
        </is>
      </c>
      <c r="AK228" t="inlineStr">
        <is>
          <t>Stipend (₹12,000 - 16,000 /month) is below the minimum stipend target of ₹25,000/month.</t>
        </is>
      </c>
      <c r="AL228" t="inlineStr">
        <is>
          <t>Node.js and Express backend architecture; React frontend development and TypeScript; Python, LangChain, and RAG pipeline integration concepts; Database design and management across MongoDB and SQL</t>
        </is>
      </c>
    </row>
    <row r="229">
      <c r="A229" t="inlineStr">
        <is>
          <t>SALESFORCE-261006-22</t>
        </is>
      </c>
      <c r="B229" t="inlineStr">
        <is>
          <t>Salesforce</t>
        </is>
      </c>
      <c r="C229" t="inlineStr">
        <is>
          <t>Software Development - Internship (Part Time)</t>
        </is>
      </c>
      <c r="D229" t="inlineStr">
        <is>
          <t>https://internshala.com/internship/detail/part-time-software-development-internship-in-bangalore-at-salesforce1789133363</t>
        </is>
      </c>
      <c r="E229" t="inlineStr">
        <is>
          <t>AI Analyzer</t>
        </is>
      </c>
      <c r="F229" t="inlineStr">
        <is>
          <t>Bangalore</t>
        </is>
      </c>
      <c r="G229" t="inlineStr">
        <is>
          <t>On-site</t>
        </is>
      </c>
      <c r="H229" t="inlineStr">
        <is>
          <t>₹ 1,00,000 - 1,50,000 /month</t>
        </is>
      </c>
      <c r="I229" t="inlineStr">
        <is>
          <t>6 Months</t>
        </is>
      </c>
      <c r="J229" t="inlineStr">
        <is>
          <t>NOT MENTIONED</t>
        </is>
      </c>
      <c r="K229" t="inlineStr">
        <is>
          <t>.NET; C++ Programming; CSS; HTML; Java; JavaScript; MySQL; Node.js; Python; React</t>
        </is>
      </c>
      <c r="M229" t="inlineStr">
        <is>
          <t>Loading, please wait...
[Browse more internships](https://internshala.com/internships)
[Home](https://internshala.com/)[Internships](https://internshala.com/internships/)[Part Time Software Development Internships](https://internshala.com/internships/part-time-software-development-jobs/)
# Software Development - Internship (Part Time)
Actively hiring
Software Development
[Salesforce](https://internshala.com/internships/internship-at-salesforce)
![Salesforce](https://internshala-uploads.internshala.com/logo%2Fbiuykoo16hd-1788140291.jpg.webp)
Bangalore
Start Date
Starts immediatelyImmediately
Duration
6 Months
Stipend
₹ 1,00,000 - 1,50,000 /month
APPLY BY
1 Nov' 26
Posted 3 weeks ago
Internship
Part time
1000+ applicants
[Share on WhatsApp](https://wa.me/?text=Check%20out%20this%20part-time%20internship%20at%20Salesforce%20https%3A%2F%2Finternshala.com%2Finternship%2Fdetail%2Fpart-time-software-development-internship-in-bangalore-at-salesforce1789133363%3Futm_source%3Dwp_share%26referral%3Dweb_share) [Share on LinkedIn](https://www.linkedin.com/shareArticle?mini=true&amp;url=https%3A%2F%2Finternshala.com%2Finternship%2Fdetail%2Fpart-time-software-development-internship-in-bangalore-at-salesforce1789133363%3Futm_source%3Dli_share%26referral%3Dweb_share) [Share on Facebook](https://www.facebook.com/share.php?u=https%3A%2F%2Finternshala.com%2Finternship%2Fdetail%2Fpart-time-software-development-internship-in-bangalore-at-salesforce1789133363%3Futm_source%3Dfb_share%26referral%3Dweb_share) [Share on Twitter](https://twitter.com/share?url=https%3A%2F%2Finternshala.com%2Finternship%2Fdetail%2Fpart-time-software-development-internship-in-bangalore-at-salesforce1789133363%3Futm_source%3Dtw_share%26referral%3Dweb_share) [Copy link](https://internshala.com/internship/detail/part-time-software-development-internship-in-bangalore-at-salesforce1789133363#)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part time job/internship
As a Software Development intern at Salesforce, you will have the opportunity to work with cutting-edge technologies such as Java, MySQL, HTML, CSS, JavaScript, Python, .NET, Node.js, C/C++ Programming, and React. Join our team and gain hands-on experience in developing innovative solutions for our global customer base.
Selected intern's day-to-day responsibilities include:
1\. Collaborating with senior developers to design and implement software solutions
2\. Writing clean, efficient code in various programming languages
3\. Testing and debugging software applications to ensure optimal performance
4\. Participating in code reviews to improve overall code quality
5\. Assisting with the integration of third-party APIs and services
6\. Researching and implementing new technologies to enhance product offerings
7\. Contributing to team meetings and brainstorming sessions to drive innovation and creativity.
If you are a motivated and passionate individual looking to kickstart your career in software development, apply now and be a part of our dynamic and fast-paced team at Salesforce.
### Skill(s) required
.NETC++ ProgrammingCSSHTMLJavaJavaScriptMySQLNode.jsPythonReact
Earn certifications in these skills
[Learn C++ Programming](https://trainings.internshala.com/c-plus-plus-course/?utm_source=is_web_internshala_details_page)
[Learn CSS](https://trainings.internshala.com/web-development-course/?utm_source=is_web_internshala_details_page)
[Learn HTML](https://trainings.internshala.com/web-development-course/?utm_source=is_web_internshala_details_page)
[Learn Java](https://trainings.internshala.com/java-course/?utm_source=is_web_internshala_details_page)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MySQL](https://trainings.internshala.com/sql-data-analytics-course/?utm_source=is_web_internshala_details_page)
[Learn Node.JS](https://trainings.internshala.com/nodejs-course/?utm_source=is_web_internshala_details_page)
[Learn Python](https://trainings.internshala.com/python-course/?utm_source=is_web_internshala_details_page)
[Learn ReactJS](https://trainings.internshala.com/react-course/?utm_source=is_web_internshala_details_page)
\+ 3 more skills
Who can apply
Only those candidates can apply who:
1\. are available for the part time job/internship
2\. can start the part time job/internship between 11th Sep'26 and 1st Nov'26
3\. are available for duration of 6 months
4\. have relevant skills and interests
### Perks
Certificate Letter of recommendation Free snacks &amp; be</t>
        </is>
      </c>
      <c r="N229" t="n">
        <v>78</v>
      </c>
      <c r="O229" t="n">
        <v>75</v>
      </c>
      <c r="P229" t="n">
        <v>80</v>
      </c>
      <c r="Q229" t="n">
        <v>85</v>
      </c>
      <c r="R229" t="n">
        <v>50</v>
      </c>
      <c r="S229" t="n">
        <v>100</v>
      </c>
      <c r="T229" t="n">
        <v>95</v>
      </c>
      <c r="U229" t="inlineStr">
        <is>
          <t>CONSIDER</t>
        </is>
      </c>
      <c r="V229" t="inlineStr">
        <is>
          <t>CONSIDER</t>
        </is>
      </c>
      <c r="W229" t="inlineStr">
        <is>
          <t>.NET; C++ Programming; Java; Python</t>
        </is>
      </c>
      <c r="X229" t="inlineStr">
        <is>
          <t>Amaanuddin_Ahmed_Resume.pdf</t>
        </is>
      </c>
      <c r="Y229" t="inlineStr">
        <is>
          <t>2026-10-06</t>
        </is>
      </c>
      <c r="Z229" t="inlineStr">
        <is>
          <t>Exceptional stipend of ₹1,00,000 - 1,50,000 /month which far exceeds minimum target; Top-tier tech giant brand name (Salesforce) offering high opportunity quality; Strong alignment with core JavaScript, Node.js, React, and MySQL technical skills demonstrated in work experience</t>
        </is>
      </c>
      <c r="AA229" t="inlineStr">
        <is>
          <t>ELIGIBLE</t>
        </is>
      </c>
      <c r="AB229" t="inlineStr">
        <is>
          <t>Candidate is located in Bengaluru; MCA student graduating in 2027 fits software internship requirements</t>
        </is>
      </c>
      <c r="AC229" t="inlineStr">
        <is>
          <t>UNKNOWN</t>
        </is>
      </c>
      <c r="AD229" t="inlineStr">
        <is>
          <t>Specific exact start date availability between Sep and Nov 2026 is unstated in the candidate profile.</t>
        </is>
      </c>
      <c r="AE229" t="inlineStr">
        <is>
          <t>EXACT</t>
        </is>
      </c>
      <c r="AF229" t="n">
        <v>100000</v>
      </c>
      <c r="AG229" t="inlineStr">
        <is>
          <t>No</t>
        </is>
      </c>
      <c r="AH229" t="inlineStr">
        <is>
          <t>NOT MENTIONED</t>
        </is>
      </c>
      <c r="AI229" t="inlineStr">
        <is>
          <t>No explicit mention of PPO or conversion offer in the job description.</t>
        </is>
      </c>
      <c r="AK229" t="inlineStr">
        <is>
          <t>Part-time internship posting dates or start date range spans far into late 2026, which may be a placeholder or atypical timeline.</t>
        </is>
      </c>
      <c r="AL229" t="inlineStr">
        <is>
          <t>Data Structures and Algorithms in Java or C++; Full stack web development concepts using Node.js and React; Relational database management and MySQL query optimization; API integration and backend debugging strategies</t>
        </is>
      </c>
    </row>
    <row r="230">
      <c r="A230" t="inlineStr">
        <is>
          <t>ZYPIT-261006-23</t>
        </is>
      </c>
      <c r="B230" t="inlineStr">
        <is>
          <t>ZYPIT</t>
        </is>
      </c>
      <c r="C230" t="inlineStr">
        <is>
          <t>Software Development Engineer Intern</t>
        </is>
      </c>
      <c r="D230" t="inlineStr">
        <is>
          <t>https://internshala.com/internship/detail/software-development-engineer-internship-in-bangalore-at-zypit1790078039</t>
        </is>
      </c>
      <c r="E230" t="inlineStr">
        <is>
          <t>AI Analyzer</t>
        </is>
      </c>
      <c r="F230" t="inlineStr">
        <is>
          <t>Bangalore</t>
        </is>
      </c>
      <c r="G230" t="inlineStr">
        <is>
          <t>Unknown</t>
        </is>
      </c>
      <c r="H230" t="inlineStr">
        <is>
          <t>₹ 8,000 - 12,000 /month</t>
        </is>
      </c>
      <c r="I230" t="inlineStr">
        <is>
          <t>Unknown</t>
        </is>
      </c>
      <c r="J230" t="inlineStr">
        <is>
          <t>Not Mentioned</t>
        </is>
      </c>
      <c r="M230" t="inlineStr">
        <is>
          <t>Software Development Engineer internship at ZYPIT. Location: Bangalore. Stipend: ₹ 8,000 - 12,000 /month.</t>
        </is>
      </c>
      <c r="N230" t="n">
        <v>56</v>
      </c>
      <c r="O230" t="n">
        <v>70</v>
      </c>
      <c r="P230" t="n">
        <v>80</v>
      </c>
      <c r="Q230" t="n">
        <v>90</v>
      </c>
      <c r="R230" t="n">
        <v>0</v>
      </c>
      <c r="S230" t="n">
        <v>10</v>
      </c>
      <c r="T230" t="n">
        <v>40</v>
      </c>
      <c r="U230" t="inlineStr">
        <is>
          <t>SKIP</t>
        </is>
      </c>
      <c r="V230" t="inlineStr">
        <is>
          <t>SKIP</t>
        </is>
      </c>
      <c r="X230" t="inlineStr">
        <is>
          <t>Amaanuddin_Ahmed_Resume.pdf</t>
        </is>
      </c>
      <c r="Y230" t="inlineStr">
        <is>
          <t>2026-10-06</t>
        </is>
      </c>
      <c r="Z230" t="inlineStr">
        <is>
          <t>Matches target SDE internship role; Located in Bangalore</t>
        </is>
      </c>
      <c r="AA230" t="inlineStr">
        <is>
          <t>Eligible</t>
        </is>
      </c>
      <c r="AB230" t="inlineStr">
        <is>
          <t>Location matches preferred location (Bangalore); Role matches target roles</t>
        </is>
      </c>
      <c r="AC230" t="inlineStr">
        <is>
          <t>Unknown</t>
        </is>
      </c>
      <c r="AD230" t="inlineStr">
        <is>
          <t>Not specified in the job description</t>
        </is>
      </c>
      <c r="AE230" t="inlineStr">
        <is>
          <t>Below Minimum</t>
        </is>
      </c>
      <c r="AF230" t="n">
        <v>8000</v>
      </c>
      <c r="AG230" t="inlineStr">
        <is>
          <t>No</t>
        </is>
      </c>
      <c r="AH230" t="inlineStr">
        <is>
          <t>Not Mentioned</t>
        </is>
      </c>
      <c r="AI230" t="inlineStr">
        <is>
          <t>No mention of PPO or conversion in the job description</t>
        </is>
      </c>
      <c r="AK230" t="inlineStr">
        <is>
          <t>Stipend (₹8,000 - 12,000 /month) is significantly below the minimum target of ₹25,000/month</t>
        </is>
      </c>
      <c r="AL230" t="inlineStr">
        <is>
          <t>Full stack development experience; Projects and technical stack</t>
        </is>
      </c>
    </row>
    <row r="231">
      <c r="A231" t="inlineStr">
        <is>
          <t>GHARPAYY-261006-24</t>
        </is>
      </c>
      <c r="B231" t="inlineStr">
        <is>
          <t>Gharpayy</t>
        </is>
      </c>
      <c r="C231" t="inlineStr">
        <is>
          <t>Full Stack Development</t>
        </is>
      </c>
      <c r="D231" t="inlineStr">
        <is>
          <t>https://internshala.com/internship/detail/full-stack-development-internship-in-bangalore-at-gharpayy1788610783</t>
        </is>
      </c>
      <c r="E231" t="inlineStr">
        <is>
          <t>AI Analyzer</t>
        </is>
      </c>
      <c r="F231" t="inlineStr">
        <is>
          <t>Bangalore</t>
        </is>
      </c>
      <c r="G231" t="inlineStr">
        <is>
          <t>On-site</t>
        </is>
      </c>
      <c r="H231" t="inlineStr">
        <is>
          <t>₹ 10,000 - 14,000 /month</t>
        </is>
      </c>
      <c r="I231" t="inlineStr">
        <is>
          <t>Not specified</t>
        </is>
      </c>
      <c r="J231" t="inlineStr">
        <is>
          <t>not mentioned</t>
        </is>
      </c>
      <c r="K231" t="inlineStr">
        <is>
          <t>Full Stack Development</t>
        </is>
      </c>
      <c r="M231" t="inlineStr">
        <is>
          <t>Full Stack Development internship at Gharpayy. Location: Bangalore. Stipend: ₹ 10,000 - 14,000 /month.</t>
        </is>
      </c>
      <c r="N231" t="n">
        <v>66</v>
      </c>
      <c r="O231" t="n">
        <v>90</v>
      </c>
      <c r="P231" t="n">
        <v>90</v>
      </c>
      <c r="Q231" t="n">
        <v>90</v>
      </c>
      <c r="R231" t="n">
        <v>0</v>
      </c>
      <c r="S231" t="n">
        <v>20</v>
      </c>
      <c r="T231" t="n">
        <v>50</v>
      </c>
      <c r="U231" t="inlineStr">
        <is>
          <t>SKIP</t>
        </is>
      </c>
      <c r="V231" t="inlineStr">
        <is>
          <t>SKIP</t>
        </is>
      </c>
      <c r="X231" t="inlineStr">
        <is>
          <t>Amaanuddin_Ahmed_Resume.pdf</t>
        </is>
      </c>
      <c r="Y231" t="inlineStr">
        <is>
          <t>2026-10-06</t>
        </is>
      </c>
      <c r="Z231" t="inlineStr">
        <is>
          <t>Role matches target full stack developer internship.; Location is in Bangalore.</t>
        </is>
      </c>
      <c r="AA231" t="inlineStr">
        <is>
          <t>eligible</t>
        </is>
      </c>
      <c r="AB231" t="inlineStr">
        <is>
          <t>Location is Bangalore, matching preferred location.; Role type matches internship target.</t>
        </is>
      </c>
      <c r="AC231" t="inlineStr">
        <is>
          <t>unknown</t>
        </is>
      </c>
      <c r="AD231" t="inlineStr">
        <is>
          <t>Availability dates not provided in the job description.</t>
        </is>
      </c>
      <c r="AE231" t="inlineStr">
        <is>
          <t>guaranteed</t>
        </is>
      </c>
      <c r="AF231" t="n">
        <v>10000</v>
      </c>
      <c r="AG231" t="inlineStr">
        <is>
          <t>No</t>
        </is>
      </c>
      <c r="AH231" t="inlineStr">
        <is>
          <t>not mentioned</t>
        </is>
      </c>
      <c r="AI231" t="inlineStr">
        <is>
          <t>No mention of PPO or conversion in the provided description.</t>
        </is>
      </c>
      <c r="AJ231" t="inlineStr">
        <is>
          <t>Stipend is ₹10,000 - 14,000 /month, which is below the minimum stipend target of ₹25,000/month.</t>
        </is>
      </c>
      <c r="AK231" t="inlineStr">
        <is>
          <t>Stipend is significantly lower than candidate's minimum target.</t>
        </is>
      </c>
      <c r="AL231" t="inlineStr">
        <is>
          <t>Full stack system architecture; API development and database management; Frontend framework experience (Angular/React)</t>
        </is>
      </c>
    </row>
    <row r="232">
      <c r="A232" t="inlineStr">
        <is>
          <t>KAZUNOV-1AI-261006-25</t>
        </is>
      </c>
      <c r="B232" t="inlineStr">
        <is>
          <t>Kazunov 1AI</t>
        </is>
      </c>
      <c r="C232" t="inlineStr">
        <is>
          <t>Software Development Intern</t>
        </is>
      </c>
      <c r="D232" t="inlineStr">
        <is>
          <t>https://internshala.com/internship/detail/software-development-internship-in-bangalore-at-kazunov-1ai1787201138</t>
        </is>
      </c>
      <c r="E232" t="inlineStr">
        <is>
          <t>AI Analyzer</t>
        </is>
      </c>
      <c r="F232" t="inlineStr">
        <is>
          <t>Bangalore (Hybrid)</t>
        </is>
      </c>
      <c r="G232" t="inlineStr">
        <is>
          <t>Hybrid</t>
        </is>
      </c>
      <c r="H232" t="inlineStr">
        <is>
          <t>₹ 10,000 - 15,000 /month</t>
        </is>
      </c>
      <c r="I232" t="inlineStr">
        <is>
          <t>6 Months</t>
        </is>
      </c>
      <c r="J232" t="inlineStr">
        <is>
          <t>Not Mentioned</t>
        </is>
      </c>
      <c r="K232" t="inlineStr">
        <is>
          <t>Artificial intelligence; FastAPI; Java; JavaScript; Machine Learning; Node.js; Python; React; REST API</t>
        </is>
      </c>
      <c r="L232" t="inlineStr">
        <is>
          <t>PostgreSQL; MongoDB; AWS; GCP; Azure</t>
        </is>
      </c>
      <c r="M232" t="inlineStr">
        <is>
          <t>Loading, please wait...
[Browse more internships](https://internshala.com/internships)
[Home](https://internshala.com/)[Internships](https://internshala.com/internships/)[Software Development Internships in Bangalore](https://internshala.com/internships/software-development-internship-in-bangalore/)
# Software Development - Internship
Actively hiring
Software Development
[Kazunov 1AI](https://internshala.com/company/kazunov-1ai-1758623662)
![Kazunov 1AI](https://internshala-uploads.internshala.com/logo%2F123m8htqy1p-71782.png.webp)
Bangalore (Hybrid)
Start Date
Starts immediatelyImmediately
Duration
6 Months
Stipend
₹ 10,000 - 15,000 /month
APPLY BY
10 Oct' 26
Posted 3 weeks ago
Internship
1000+ applicants
[Share on WhatsApp](https://wa.me/?text=Check%20out%20this%20%20internship%20at%20Kazunov%201AI%20https%3A%2F%2Finternshala.com%2Finternship%2Fdetail%2Fsoftware-development-internship-in-bangalore-at-kazunov-1ai1787201138%3Futm_source%3Dwp_share%26referral%3Dweb_share) [Share on LinkedIn](https://www.linkedin.com/shareArticle?mini=true&amp;url=https%3A%2F%2Finternshala.com%2Finternship%2Fdetail%2Fsoftware-development-internship-in-bangalore-at-kazunov-1ai1787201138%3Futm_source%3Dli_share%26referral%3Dweb_share) [Share on Facebook](https://www.facebook.com/share.php?u=https%3A%2F%2Finternshala.com%2Finternship%2Fdetail%2Fsoftware-development-internship-in-bangalore-at-kazunov-1ai1787201138%3Futm_source%3Dfb_share%26referral%3Dweb_share) [Share on Twitter](https://twitter.com/share?url=https%3A%2F%2Finternshala.com%2Finternship%2Fdetail%2Fsoftware-development-internship-in-bangalore-at-kazunov-1ai1787201138%3Futm_source%3Dtw_share%26referral%3Dweb_share) [Copy link](https://internshala.com/internship/detail/software-development-internship-in-bangalore-at-kazunov-1ai1787201138#)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1) Develop and maintain web applications using React.js for the frontend and Node.js for backend services.
2) Develop and integrate RESTful APIs using FastAPI for AI/ML services and applications.
3) Work with databases such as PostgreSQL and MongoDB.
4) Support the development and integration of AI-powered features and applications.
5) Support application deployment and maintenance on cloud platforms such as AWS, GCP, or Azure.
6) Participate in the full software development lifecycle, including development, testing, deployment, and maintenance.
### Skill(s) required
Artificial intelligenceFastAPIJavaJavaScriptMachine LearningNode.jsPythonReactREST API
Earn certifications in these skills
[Learn Artificial intelligence](https://trainings.internshala.com/artificial-intelligence-and-machine-learning-course/?utm_source=is_web_internshala_details_page)
[Learn Java](https://trainings.internshala.com/java-course/?utm_source=is_web_internshala_details_page)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Machine Learning](https://trainings.internshala.com/machine-learning-course/?utm_source=is_web_internshala_details_page)
[Learn Node.JS](https://trainings.internshala.com/nodejs-course/?utm_source=is_web_internshala_details_page)
[Learn Python](https://trainings.internshala.com/python-course/?utm_source=is_web_internshala_details_page)
[Learn ReactJS](https://trainings.internshala.com/react-course/?utm_source=is_web_internshala_details_page)
\+ 1 more skills
Who can apply
Only those candidates can apply who:
1\. are available for full time (in-office) internship
2\. can start the internship between 20th Aug'26 and 10th Oct'26
3\. are available for duration of 6 months
4\. are from Bangalore only
5\. have relevant skills and interests
\\* Women wanting to start/restart their career can also apply.
### Other requirements
1) Strong academic background in Computer Science, Information Technology, or a related field.
2) Hands-on experience with JavaScript, React.js, Node.js, Python, and FastAPI.
3) Good understanding of RESTful APIs and databases, including SQL and NoSQL databases.
4) Exposure to AI/ML concepts, with an understanding of LLMs or Generative AI.
Strong problem-solving and communication skills.
### Number of openings
2
## About Kazunov 1AI
[Website](https://www.kazunov1ai.com/)
At Kazunov 1AI, we are at the forefront of revolutionizing the insurance industry with our AI-first solutions. Our team combines strong academic foundations in artificial intelligence with years of industry experience, enabling us to tackle complex ch</t>
        </is>
      </c>
      <c r="N232" t="n">
        <v>53</v>
      </c>
      <c r="O232" t="n">
        <v>60</v>
      </c>
      <c r="P232" t="n">
        <v>75</v>
      </c>
      <c r="Q232" t="n">
        <v>80</v>
      </c>
      <c r="R232" t="n">
        <v>0</v>
      </c>
      <c r="S232" t="n">
        <v>30</v>
      </c>
      <c r="T232" t="n">
        <v>50</v>
      </c>
      <c r="U232" t="inlineStr">
        <is>
          <t>SKIP</t>
        </is>
      </c>
      <c r="V232" t="inlineStr">
        <is>
          <t>SKIP</t>
        </is>
      </c>
      <c r="W232" t="inlineStr">
        <is>
          <t>FastAPI; Python; Artificial intelligence; Machine Learning; Java</t>
        </is>
      </c>
      <c r="X232" t="inlineStr">
        <is>
          <t>Amaanuddin_Ahmed_Resume.pdf</t>
        </is>
      </c>
      <c r="Y232" t="inlineStr">
        <is>
          <t>2026-10-06</t>
        </is>
      </c>
      <c r="Z232" t="inlineStr">
        <is>
          <t>Matches primary target role of Software Development Intern; Located in Bangalore with hybrid work mode</t>
        </is>
      </c>
      <c r="AA232" t="inlineStr">
        <is>
          <t>Eligible</t>
        </is>
      </c>
      <c r="AB232" t="inlineStr">
        <is>
          <t>Candidate is located in Bengaluru; Candidate is available for full-time internship for 6 months</t>
        </is>
      </c>
      <c r="AC232" t="inlineStr">
        <is>
          <t>Available</t>
        </is>
      </c>
      <c r="AD232" t="inlineStr">
        <is>
          <t>Candidate meets the timeframe and location requirements.</t>
        </is>
      </c>
      <c r="AE232" t="inlineStr">
        <is>
          <t>Below Target</t>
        </is>
      </c>
      <c r="AF232" t="n">
        <v>10000</v>
      </c>
      <c r="AG232" t="inlineStr">
        <is>
          <t>No</t>
        </is>
      </c>
      <c r="AH232" t="inlineStr">
        <is>
          <t>Not Mentioned</t>
        </is>
      </c>
      <c r="AI232" t="inlineStr">
        <is>
          <t>No mention of a PPO or conversion offer in the job description.</t>
        </is>
      </c>
      <c r="AK232" t="inlineStr">
        <is>
          <t>Stipend is below the candidate's minimum target of ₹25,000/month; No PPO or job offer mentioned</t>
        </is>
      </c>
      <c r="AL232" t="inlineStr">
        <is>
          <t>Node.js and React application architecture; RESTful API integration; Database management with MongoDB and SQL; Basic Python and FastAPI concepts</t>
        </is>
      </c>
    </row>
    <row r="233">
      <c r="A233" t="inlineStr">
        <is>
          <t>TRACKZIO-MOB-261006-26</t>
        </is>
      </c>
      <c r="B233" t="inlineStr">
        <is>
          <t>Trackzio Mobile Application Private Limited</t>
        </is>
      </c>
      <c r="C233" t="inlineStr">
        <is>
          <t>Full Stack Development Intern</t>
        </is>
      </c>
      <c r="D233" t="inlineStr">
        <is>
          <t>https://internshala.com/internship/detail/full-stack-development-internship-in-bangalore-at-trackzio-mobile-application-private-limited1788771540</t>
        </is>
      </c>
      <c r="E233" t="inlineStr">
        <is>
          <t>AI Analyzer</t>
        </is>
      </c>
      <c r="F233" t="inlineStr">
        <is>
          <t>Bangalore</t>
        </is>
      </c>
      <c r="G233" t="inlineStr">
        <is>
          <t>In-office</t>
        </is>
      </c>
      <c r="H233" t="inlineStr">
        <is>
          <t>₹ 20,000 - 27,000 /month</t>
        </is>
      </c>
      <c r="I233" t="inlineStr">
        <is>
          <t>6 Months</t>
        </is>
      </c>
      <c r="J233" t="inlineStr">
        <is>
          <t>EXPLICIT</t>
        </is>
      </c>
      <c r="K233" t="inlineStr">
        <is>
          <t>JavaScript; TypeScript; React.js; Node.js; Express.js; REST APIs; API Integrations; HTML; CSS; Git; Basic database concepts</t>
        </is>
      </c>
      <c r="L233" t="inlineStr">
        <is>
          <t>MongoDB; PostgreSQL; React Native; Firebase; Cloud services; Authentication and authorization; Deployment; CI/CD; AI/ML exposure</t>
        </is>
      </c>
      <c r="M233" t="inlineStr">
        <is>
          <t>Loading, please wait...
[Browse more internships](https://internshala.com/internships)
[Home](https://internshala.com/)[Internships](https://internshala.com/internships/)[Full Stack Development Internships in Bangalore](https://internshala.com/internships/full-stack-development-internship-in-bangalore/)
# Full Stack Development - Internship
Actively hiring
Full Stack Development
[Trackzio Mobile Application Private Limited](https://internshala.com/company/trackzio-mobile-application-private-limited-1770790978)
![Trackzio Mobile Application Private Limited](https://internshala-uploads.internshala.com/logo%2F4m094kin43q-25106.png.webp)
Bangalore
Start Date
Starts immediatelyImmediately
Duration
6 Months
Stipend
₹ 20,000 - 27,000 /month
APPLY BY
7 Oct' 26
Posted 3 weeks ago
Job offer upto ₹ 7LPA post internship
1000+ applicants
[Share on WhatsApp](https://wa.me/?text=Check%20out%20this%20%20internship%20at%20Trackzio%20Mobile%20Application%20Private%20Limited%20https%3A%2F%2Finternshala.com%2Finternship%2Fdetail%2Ffull-stack-development-internship-in-bangalore-at-trackzio-mobile-application-private-limited1788771540%3Futm_source%3Dwp_share%26referral%3Dweb_share) [Share on LinkedIn](https://www.linkedin.com/shareArticle?mini=true&amp;url=https%3A%2F%2Finternshala.com%2Finternship%2Fdetail%2Ffull-stack-development-internship-in-bangalore-at-trackzio-mobile-application-private-limited1788771540%3Futm_source%3Dli_share%26referral%3Dweb_share) [Share on Facebook](https://www.facebook.com/share.php?u=https%3A%2F%2Finternshala.com%2Finternship%2Fdetail%2Ffull-stack-development-internship-in-bangalore-at-trackzio-mobile-application-private-limited1788771540%3Futm_source%3Dfb_share%26referral%3Dweb_share) [Share on Twitter](https://twitter.com/share?url=https%3A%2F%2Finternshala.com%2Finternship%2Fdetail%2Ffull-stack-development-internship-in-bangalore-at-trackzio-mobile-application-private-limited1788771540%3Futm_source%3Dtw_share%26referral%3Dweb_share) [Copy link](https://internshala.com/internship/detail/full-stack-development-internship-in-bangalore-at-trackzio-mobile-application-private-limited1788771540#)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ABOUT THE COMPANY
Trackzio Mobile Application Pvt Ltd is a 2+ year-old early-stage startup building consumer products for AI-based niche domains.
We work across mobile apps, web apps, dashboards, and other digital platforms. Our products include AI-powered solutions for collectors and hobbyists.
We are a small team of 25 members working on multiple products at different stages research, design, development, launch, and continuous improvements.
ABOUT THE INTERNSHIP
Trackzio is building AI-powered consumer products across productivity, wellness, health tracking, and niche hobby platforms. As a Full-Stack Developer Intern, you'll work directly with founders, product managers, designers, and engineers to build production applications across frontend, backend, APIs, and databases. You'll be involved in the complete product lifecycle, from implementing features and integrating APIs to debugging, optimizing performance, and shipping software used by real users.
RESPONSIBILITIES
Develop web applications using React.js / Next.js.
Build backend services and REST APIs using Node.js.
Integrate APIs between frontend, backend, and third-party services.
Work with databases and backend data models.
Build reusable, scalable UI components.
Translate Figma designs and requirements into production-ready features.
Debug and resolve frontend and backend issues.
Optimize performance, responsiveness, and reliability.
Collaborate with designers, engineers, and product managers.
Contribute to AI-powered features such as AI chat, image identification, OCR, and intelligent search.
Participate in code reviews, testing, technical discussions, and sprint planning.
Learn Git workflows, testing, and CI/CD.
MANDATORY SKILLS
JavaScript / TypeScript
React.js
Node.js
Express.js or similar backend framework
REST APIs
API Integrations
HTML &amp; CSS
Git
Basic database concepts
GOOD TO HAVE
MongoDB / PostgreSQL
React Native
Firebase
Cloud services
Authentication and authorization
Deployment or CI/CD
AI/ML exposure through academic, personal, or side projects especially in computer vision, image processing, embeddings, vector search, LLMs, or AI-powered applications
WHO CAN APPLY
Are available for a full-time, in-office internship in Bengaluru.
Can start immediately.
Are available for the full 6-month duration.
Have built personal projects, freelance work, college/internship projects, or open-source contributions.
Can write clean, maintainable code.
Can work indepen</t>
        </is>
      </c>
      <c r="N233" t="n">
        <v>88</v>
      </c>
      <c r="O233" t="n">
        <v>85</v>
      </c>
      <c r="P233" t="n">
        <v>90</v>
      </c>
      <c r="Q233" t="n">
        <v>95</v>
      </c>
      <c r="R233" t="n">
        <v>95</v>
      </c>
      <c r="S233" t="n">
        <v>80</v>
      </c>
      <c r="T233" t="n">
        <v>85</v>
      </c>
      <c r="U233" t="inlineStr">
        <is>
          <t>APPLY</t>
        </is>
      </c>
      <c r="V233" t="inlineStr">
        <is>
          <t>APPLY</t>
        </is>
      </c>
      <c r="W233" t="inlineStr">
        <is>
          <t>TypeScript; React Native; Firebase; AI/ML integration specific exposure</t>
        </is>
      </c>
      <c r="X233" t="inlineStr">
        <is>
          <t>Standard Full Stack / MERN Developer Resume</t>
        </is>
      </c>
      <c r="Y233" t="inlineStr">
        <is>
          <t>2026-10-06</t>
        </is>
      </c>
      <c r="Z233" t="inlineStr">
        <is>
          <t>The role perfectly matches the primary target role of Full Stack Developer Intern.; The stipend of ₹20,000 - 27,000/month satisfies the minimum stipend expectations closely.; Strong PPO opportunity of up to 5-7 LPA post-internship.; Candidate has solid demonstrated experience in Angular, Node.js, Express, and MySQL/MongoDB which maps well to the tech stack.</t>
        </is>
      </c>
      <c r="AA233" t="inlineStr">
        <is>
          <t>ELIGIBLE</t>
        </is>
      </c>
      <c r="AB233" t="inlineStr">
        <is>
          <t>Candidate is pursuing an MCA degree, which satisfies the computer science or related field/MCA graduation requirement.; Candidate is located in Bengaluru and available for an in-office internship.; Candidate has strong demonstrated full-stack development experience matching the requirements.</t>
        </is>
      </c>
      <c r="AC233" t="inlineStr">
        <is>
          <t>UNKNOWN</t>
        </is>
      </c>
      <c r="AD233" t="inlineStr">
        <is>
          <t>Exact start date availability relative to the target window cannot be conclusively confirmed from the candidate profile.</t>
        </is>
      </c>
      <c r="AE233" t="inlineStr">
        <is>
          <t>EXPLICIT</t>
        </is>
      </c>
      <c r="AF233" t="n">
        <v>20000</v>
      </c>
      <c r="AG233" t="inlineStr">
        <is>
          <t>No</t>
        </is>
      </c>
      <c r="AH233" t="inlineStr">
        <is>
          <t>EXPLICIT</t>
        </is>
      </c>
      <c r="AI233" t="inlineStr">
        <is>
          <t>PPO up to 6-7 LPA based on performance mentioned explicitly in the perks and additional information.</t>
        </is>
      </c>
      <c r="AL233" t="inlineStr">
        <is>
          <t>Node.js and Express backend architecture; React.js component lifecycle and state management; RESTful API design and database integrations (MySQL/MongoDB); Authentication and RBAC implementation; Past production deployments and real-world project delivery</t>
        </is>
      </c>
      <c r="AM233" t="inlineStr">
        <is>
          <t>E:\InternshipHunter\applications\internshala-911b266871ec</t>
        </is>
      </c>
      <c r="AN233" t="inlineStr">
        <is>
          <t>Ready for Review</t>
        </is>
      </c>
      <c r="AO233" t="inlineStr">
        <is>
          <t>Generated</t>
        </is>
      </c>
      <c r="AP233" t="inlineStr">
        <is>
          <t>Generated</t>
        </is>
      </c>
      <c r="AQ233" t="inlineStr">
        <is>
          <t>Generated</t>
        </is>
      </c>
      <c r="AR233" t="inlineStr">
        <is>
          <t>Ready to Apply</t>
        </is>
      </c>
    </row>
    <row r="234">
      <c r="A234" t="inlineStr">
        <is>
          <t>NATHANIEL-SC-261006-27</t>
        </is>
      </c>
      <c r="B234" t="inlineStr">
        <is>
          <t>Nathaniel School Of Music</t>
        </is>
      </c>
      <c r="C234" t="inlineStr">
        <is>
          <t>Full Stack Development</t>
        </is>
      </c>
      <c r="D234" t="inlineStr">
        <is>
          <t>https://internshala.com/internship/detail/full-stack-development-internship-in-bangalore-at-nathaniel-school-of-music1790657138</t>
        </is>
      </c>
      <c r="E234" t="inlineStr">
        <is>
          <t>AI Analyzer</t>
        </is>
      </c>
      <c r="F234" t="inlineStr">
        <is>
          <t>Bangalore</t>
        </is>
      </c>
      <c r="G234" t="inlineStr">
        <is>
          <t>In-office</t>
        </is>
      </c>
      <c r="H234" t="inlineStr">
        <is>
          <t>₹ 12,000 - 16,000 /month</t>
        </is>
      </c>
      <c r="I234" t="inlineStr">
        <is>
          <t>3 Months</t>
        </is>
      </c>
      <c r="J234" t="inlineStr">
        <is>
          <t>not mentioned</t>
        </is>
      </c>
      <c r="K234" t="inlineStr">
        <is>
          <t>JavaScript; Node.js; React; Web development; Claude; Generative AI Tools</t>
        </is>
      </c>
      <c r="L234" t="inlineStr">
        <is>
          <t>Next.js</t>
        </is>
      </c>
      <c r="M234" t="inlineStr">
        <is>
          <t>Loading, please wait...
[Browse more internships](https://internshala.com/internships)
[Home](https://internshala.com/)[Internships](https://internshala.com/internships/)[Full Stack Development Internships in Bangalore](https://internshala.com/internships/full-stack-development-internship-in-bangalore/)
# Full Stack Development - Internship
Actively hiring
Full Stack Development
[Nathaniel School Of Music](https://internshala.com/company/nathaniel-school-of-music-1720506701)
![Nathaniel School Of Music](https://internshala-uploads.internshala.com/logo%2Fhmzkdjy3hah-21327.png.webp)
Bangalore
Start Date
Starts immediatelyImmediately
Duration
3 Months
Stipend
₹ 12,000 - 16,000 /month
APPLY BY
29 Oct' 26
Posted 7 days ago
Internship
384 applicants
[Share on WhatsApp](https://wa.me/?text=Check%20out%20this%20%20internship%20at%20Nathaniel%20School%20Of%20Music%20https%3A%2F%2Finternshala.com%2Finternship%2Fdetail%2Ffull-stack-development-internship-in-bangalore-at-nathaniel-school-of-music1790657138%3Futm_source%3Dwp_share%26referral%3Dweb_share) [Share on LinkedIn](https://www.linkedin.com/shareArticle?mini=true&amp;url=https%3A%2F%2Finternshala.com%2Finternship%2Fdetail%2Ffull-stack-development-internship-in-bangalore-at-nathaniel-school-of-music1790657138%3Futm_source%3Dli_share%26referral%3Dweb_share) [Share on Facebook](https://www.facebook.com/share.php?u=https%3A%2F%2Finternshala.com%2Finternship%2Fdetail%2Ffull-stack-development-internship-in-bangalore-at-nathaniel-school-of-music1790657138%3Futm_source%3Dfb_share%26referral%3Dweb_share) [Share on Twitter](https://twitter.com/share?url=https%3A%2F%2Finternshala.com%2Finternship%2Fdetail%2Ffull-stack-development-internship-in-bangalore-at-nathaniel-school-of-music1790657138%3Futm_source%3Dtw_share%26referral%3Dweb_share) [Copy link](https://internshala.com/internship/detail/full-stack-development-internship-in-bangalore-at-nathaniel-school-of-music1790657138#)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AI-Assisted Web App Developer (music learning apps)
We build our own music-learning apps and portals with AI coding tools. You ship features, fix what students report, and take apps live.
Selected intern's day-to-day responsibilities include:
1\. Fix bugs and ship small features in our Next.js and React apps, using Claude and Codex
2\. Reproduce problems students report, fix them, and check the fix on the live site
3\. Take one app a month to the finish line: branded address, analytics, a clean first screen
4\. Keep our apps fast and working on phones
5\. Write short notes on what you changed so the next person can follow
### Skill(s) required
ClaudeGenerative AI ToolsJavaScriptNode.jsReactWeb development
Earn certifications in these skills
[Learn Generative AI Tools](https://trainings.internshala.com/generative-ai-course/?utm_source=is_web_internshala_details_page)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Node.JS](https://trainings.internshala.com/nodejs-course/?utm_source=is_web_internshala_details_page)
[Learn ReactJS](https://trainings.internshala.com/react-course/?utm_source=is_web_internshala_details_page)
Who can apply
Only those candidates can apply who:
1\. are available for full time (in-office) internship
2\. can start the internship between 28th Sep'26 and 2nd Nov'26
3\. are available for duration of 3 months
4\. have relevant skills and interests
\\* Women wanting to start/restart their career can also apply.
### Other requirements
1\. Master's students or graduates preferred (MCA, MSc, ME/MTech); undergraduates in their third year or with the third year completed are also welcome
2\. Has built and deployed at least one web app (share the link)
3\. Uses AI coding tools every day
4\. Able to work from our studio in Langford Town, Monday to Saturday
### Perks
Certificate Letter of recommendation Informal dress code
Additional information
How we work: Monday to Saturday, 9 to 5, at our studio. Most roles are multi-role, so you'll work across two or three areas and learn a lot. If you can only give fewer days, the days, the work, and the stipend are scaled proportionally. Every day ends with a short written update in your own words.
About us: Nathaniel School of Music has been running in Bengaluru since 2008. We teach students from 21 countries, have 126,000 subscribers on our YouTube channel, and build our own music-learning apps and run a recording studio.
### Number of opening</t>
        </is>
      </c>
      <c r="N234" t="n">
        <v>60</v>
      </c>
      <c r="O234" t="n">
        <v>75</v>
      </c>
      <c r="P234" t="n">
        <v>80</v>
      </c>
      <c r="Q234" t="n">
        <v>80</v>
      </c>
      <c r="R234" t="n">
        <v>0</v>
      </c>
      <c r="S234" t="n">
        <v>40</v>
      </c>
      <c r="T234" t="n">
        <v>50</v>
      </c>
      <c r="U234" t="inlineStr">
        <is>
          <t>STRETCH</t>
        </is>
      </c>
      <c r="V234" t="inlineStr">
        <is>
          <t>STRETCH</t>
        </is>
      </c>
      <c r="W234" t="inlineStr">
        <is>
          <t>Claude; Generative AI Tools; Next.js</t>
        </is>
      </c>
      <c r="X234" t="inlineStr">
        <is>
          <t>Default Full Stack / MERN Resume</t>
        </is>
      </c>
      <c r="Y234" t="inlineStr">
        <is>
          <t>2026-10-06</t>
        </is>
      </c>
      <c r="Z234" t="inlineStr">
        <is>
          <t>Matches location preference (Bangalore) and educational background (MCA).; Involves shipping features and taking apps live, which aligns with full-stack development experience.</t>
        </is>
      </c>
      <c r="AA234" t="inlineStr">
        <is>
          <t>eligible</t>
        </is>
      </c>
      <c r="AB234" t="inlineStr">
        <is>
          <t>Master's student (MCA at PES University, graduating 2027) which matches the preferred educational qualification.; Location matches Bengaluru preference and work mode is in-office in Bangalore.; Available for the required 3 months duration.</t>
        </is>
      </c>
      <c r="AC234" t="inlineStr">
        <is>
          <t>unknown</t>
        </is>
      </c>
      <c r="AD234" t="inlineStr">
        <is>
          <t>Candidate availability dates for immediate start are not explicitly specified in the career brain.</t>
        </is>
      </c>
      <c r="AE234" t="inlineStr">
        <is>
          <t>fixed</t>
        </is>
      </c>
      <c r="AF234" t="n">
        <v>12000</v>
      </c>
      <c r="AG234" t="inlineStr">
        <is>
          <t>No</t>
        </is>
      </c>
      <c r="AH234" t="inlineStr">
        <is>
          <t>not mentioned</t>
        </is>
      </c>
      <c r="AI234" t="inlineStr">
        <is>
          <t>No mention of a PPO or post-internship job offer in the job description.</t>
        </is>
      </c>
      <c r="AK234" t="inlineStr">
        <is>
          <t>Stipend of ₹ 12,000 - 16,000 /month is below the minimum target of ₹ 25,000/month.; Work schedule is Monday to Saturday, 9 to 5, which is unusually demanding for an internship.; No PPO or conversion mention.</t>
        </is>
      </c>
      <c r="AL234" t="inlineStr">
        <is>
          <t>Experience building and deploying web applications; Familiarity with React and Node.js; Usage of AI coding assistants like Claude or Codex; Availability for a Monday to Saturday in-office schedule in Langford Town, Bangalore</t>
        </is>
      </c>
    </row>
    <row r="235">
      <c r="A235" t="inlineStr">
        <is>
          <t>PROGLOBAL-SO-261006-28</t>
        </is>
      </c>
      <c r="B235" t="inlineStr">
        <is>
          <t>ProGlobal Software Private Limited</t>
        </is>
      </c>
      <c r="C235" t="inlineStr">
        <is>
          <t>Full Stack Development</t>
        </is>
      </c>
      <c r="D235" t="inlineStr">
        <is>
          <t>https://internshala.com/internship/detail/full-stack-development-internship-in-bangalore-at-proglobal-software-private-limited1790690003</t>
        </is>
      </c>
      <c r="E235" t="inlineStr">
        <is>
          <t>AI Analyzer</t>
        </is>
      </c>
      <c r="F235" t="inlineStr">
        <is>
          <t>Bangalore</t>
        </is>
      </c>
      <c r="G235" t="inlineStr">
        <is>
          <t>In-office</t>
        </is>
      </c>
      <c r="H235" t="inlineStr">
        <is>
          <t>₹ 3,000 - 4,000 /month</t>
        </is>
      </c>
      <c r="I235" t="inlineStr">
        <is>
          <t>Not specified</t>
        </is>
      </c>
      <c r="J235" t="inlineStr">
        <is>
          <t>Not Mentioned</t>
        </is>
      </c>
      <c r="M235" t="inlineStr">
        <is>
          <t>Full Stack Development internship at ProGlobal Software Private Limited. Location: Bangalore. Stipend: ₹ 3,000 - 4,000 /month.</t>
        </is>
      </c>
      <c r="N235" t="n">
        <v>62</v>
      </c>
      <c r="O235" t="n">
        <v>80</v>
      </c>
      <c r="P235" t="n">
        <v>85</v>
      </c>
      <c r="Q235" t="n">
        <v>85</v>
      </c>
      <c r="R235" t="n">
        <v>30</v>
      </c>
      <c r="S235" t="n">
        <v>10</v>
      </c>
      <c r="T235" t="n">
        <v>30</v>
      </c>
      <c r="U235" t="inlineStr">
        <is>
          <t>SKIP</t>
        </is>
      </c>
      <c r="V235" t="inlineStr">
        <is>
          <t>SKIP</t>
        </is>
      </c>
      <c r="X235" t="inlineStr">
        <is>
          <t>Full Stack Developer Resume</t>
        </is>
      </c>
      <c r="Y235" t="inlineStr">
        <is>
          <t>2026-10-06</t>
        </is>
      </c>
      <c r="Z235" t="inlineStr">
        <is>
          <t>Matches target role and location in Bangalore</t>
        </is>
      </c>
      <c r="AA235" t="inlineStr">
        <is>
          <t>Eligible</t>
        </is>
      </c>
      <c r="AB235" t="inlineStr">
        <is>
          <t>Location matches preferred Bengaluru location; Role matches target full stack developer internship</t>
        </is>
      </c>
      <c r="AC235" t="inlineStr">
        <is>
          <t>Unknown</t>
        </is>
      </c>
      <c r="AD235" t="inlineStr">
        <is>
          <t>Not specified in candidate profile or job description</t>
        </is>
      </c>
      <c r="AE235" t="inlineStr">
        <is>
          <t>Below Target</t>
        </is>
      </c>
      <c r="AF235" t="n">
        <v>3000</v>
      </c>
      <c r="AG235" t="inlineStr">
        <is>
          <t>No</t>
        </is>
      </c>
      <c r="AH235" t="inlineStr">
        <is>
          <t>Not Mentioned</t>
        </is>
      </c>
      <c r="AI235" t="inlineStr">
        <is>
          <t>Job description is minimal and does not mention PPO or conversion.</t>
        </is>
      </c>
      <c r="AJ235" t="inlineStr">
        <is>
          <t>Stipend of ₹ 3,000 - 4,000 /month is severely below the minimum target of ₹ 25,000/month.</t>
        </is>
      </c>
      <c r="AK235" t="inlineStr">
        <is>
          <t>Extremely low compensation compared to candidate expectations; Very sparse job description with no detailed requirements or benefits</t>
        </is>
      </c>
      <c r="AL235" t="inlineStr">
        <is>
          <t>Full Stack Development concepts; Previous internship projects; API integration and database management</t>
        </is>
      </c>
    </row>
    <row r="236">
      <c r="A236" t="inlineStr">
        <is>
          <t>WEBSHARK-WEB-261006-29</t>
        </is>
      </c>
      <c r="B236" t="inlineStr">
        <is>
          <t>Webshark Web Services</t>
        </is>
      </c>
      <c r="C236" t="inlineStr">
        <is>
          <t>Full Stack Development</t>
        </is>
      </c>
      <c r="D236" t="inlineStr">
        <is>
          <t>https://internshala.com/internship/detail/full-stack-development-internship-in-bangalore-at-webshark-web-services1791207137</t>
        </is>
      </c>
      <c r="E236" t="inlineStr">
        <is>
          <t>AI Analyzer</t>
        </is>
      </c>
      <c r="F236" t="inlineStr">
        <is>
          <t>Bangalore</t>
        </is>
      </c>
      <c r="G236" t="inlineStr">
        <is>
          <t>In-office</t>
        </is>
      </c>
      <c r="H236" t="inlineStr">
        <is>
          <t>₹ 18,000 - 23,000 /month</t>
        </is>
      </c>
      <c r="I236" t="inlineStr">
        <is>
          <t>6 Months</t>
        </is>
      </c>
      <c r="J236" t="inlineStr">
        <is>
          <t>Available</t>
        </is>
      </c>
      <c r="K236" t="inlineStr">
        <is>
          <t>CSS; Express.js; Git; HTML; JavaScript; MongoDB; MySQL; Next.js; Node.js; PHP; React; REST API; Tailwind CSS</t>
        </is>
      </c>
      <c r="L236" t="inlineStr">
        <is>
          <t>Computer Science background; Personal or academic web development projects</t>
        </is>
      </c>
      <c r="M236" t="inlineStr">
        <is>
          <t>Loading, please wait...
[Browse more internships](https://internshala.com/internships)
[Home](https://internshala.com/)[Internships](https://internshala.com/internships/)[Full Stack Development Internships in Bangalore](https://internshala.com/internships/full-stack-development-internship-in-bangalore/)
# Full Stack Development - Internship
Actively hiring
Full Stack Development
[Webshark Web Services](https://internshala.com/company/webshark-web-services-1554411857)
![Webshark Web Services](https://internshala-uploads.internshala.com/logo%2F5e5293fbe60ca1582470139.png.webp)
Bangalore
Start Date
Starts immediatelyImmediately
Duration
6 Months
Stipend
₹ 18,000 - 23,000 /month
APPLY BY
4 Nov' 26
Posted today
Job offer upto ₹ 4.2LPA post internship
211 applicants
[Share on WhatsApp](https://wa.me/?text=Check%20out%20this%20%20internship%20at%20Webshark%20Web%20Services%20https%3A%2F%2Finternshala.com%2Finternship%2Fdetail%2Ffull-stack-development-internship-in-bangalore-at-webshark-web-services1791207137%3Futm_source%3Dwp_share%26referral%3Dweb_share) [Share on LinkedIn](https://www.linkedin.com/shareArticle?mini=true&amp;url=https%3A%2F%2Finternshala.com%2Finternship%2Fdetail%2Ffull-stack-development-internship-in-bangalore-at-webshark-web-services1791207137%3Futm_source%3Dli_share%26referral%3Dweb_share) [Share on Facebook](https://www.facebook.com/share.php?u=https%3A%2F%2Finternshala.com%2Finternship%2Fdetail%2Ffull-stack-development-internship-in-bangalore-at-webshark-web-services1791207137%3Futm_source%3Dfb_share%26referral%3Dweb_share) [Share on Twitter](https://twitter.com/share?url=https%3A%2F%2Finternshala.com%2Finternship%2Fdetail%2Ffull-stack-development-internship-in-bangalore-at-webshark-web-services1791207137%3Futm_source%3Dtw_share%26referral%3Dweb_share) [Copy link](https://internshala.com/internship/detail/full-stack-development-internship-in-bangalore-at-webshark-web-services1791207137#)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Selected intern's day-to-day responsibilities include:
1\. Develop and maintain websites and web applications.
2\. Work on frontend and backend development using technologies such as React.js, Node.js, PHP, and MySQL.
3\. Fix bugs, make improvements, and assist the development team with ongoing projects.
4\. Work on real-world client and internal projects.
5\. Learn and implement new technologies as required.
### Skill(s) required
CSSExpress.jsGitHTMLJavaScriptMongoDBMySQLNext.jsNode.jsPHPReactREST APITailwind CSS
Earn certifications in these skills
[Learn CSS](https://trainings.internshala.com/web-development-course/?utm_source=is_web_internshala_details_page)
[Learn HTML](https://trainings.internshala.com/web-development-course/?utm_source=is_web_internshala_details_page)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MySQL](https://trainings.internshala.com/sql-data-analytics-course/?utm_source=is_web_internshala_details_page)
[Learn Node.JS](https://trainings.internshala.com/nodejs-course/?utm_source=is_web_internshala_details_page)
[Learn PHP](https://trainings.internshala.com/web-development-course/?utm_source=is_web_internshala_details_page)
[Learn ReactJS](https://trainings.internshala.com/react-course/?utm_source=is_web_internshala_details_page)
\+ 1 more skills
Who can apply
Only those candidates can apply who:
1\. are available for full time (in-office) internship
2\. can start the internship between 5th Oct'26 and 9th Nov'26
3\. are available for duration of 6 months
4\. have relevant skills and interests
### Other requirements
1\. Candidates pursuing or having completed a degree/diploma in Computer Science, IT, or a related field are preferred.
2\. Candidates who have worked on personal or academic web development projects are preferred.
### Perks
Certificate Letter of recommendation Informal dress code 5 days a week Job offer
Additional information
Job offer:
On successful conversion to a permanent employee, the candidate can expect a salary of ₹ 340000 to 420000/year
### Number of openings
4
## About Webshark Web Services
[Website](https://www.webshark.in/)
WebShark Web Services is India's most recognizable, reliable, and best web design company offering website designing with unbeatable pricing. Here, at WebShark Web Services, we have provided website design to more than 1256+ businesses across hundreds of industry sectors. Based in the IT hub of India, we pride ourselves on our exqui</t>
        </is>
      </c>
      <c r="N236" t="n">
        <v>82</v>
      </c>
      <c r="O236" t="n">
        <v>80</v>
      </c>
      <c r="P236" t="n">
        <v>85</v>
      </c>
      <c r="Q236" t="n">
        <v>90</v>
      </c>
      <c r="R236" t="n">
        <v>90</v>
      </c>
      <c r="S236" t="n">
        <v>60</v>
      </c>
      <c r="T236" t="n">
        <v>75</v>
      </c>
      <c r="U236" t="inlineStr">
        <is>
          <t>APPLY</t>
        </is>
      </c>
      <c r="V236" t="inlineStr">
        <is>
          <t>APPLY</t>
        </is>
      </c>
      <c r="W236" t="inlineStr">
        <is>
          <t>PHP; Next.js; Tailwind CSS</t>
        </is>
      </c>
      <c r="X236" t="inlineStr">
        <is>
          <t>Default Full Stack / MERN Resume</t>
        </is>
      </c>
      <c r="Y236" t="inlineStr">
        <is>
          <t>2026-10-06</t>
        </is>
      </c>
      <c r="Z236" t="inlineStr">
        <is>
          <t>Role aligns well with primary target (Full Stack Developer Intern); Strong PPO / conversion offer up to 4.2 LPA post-internship; Located in Bengaluru with relevant MERN stack tech stack overlap</t>
        </is>
      </c>
      <c r="AA236" t="inlineStr">
        <is>
          <t>Eligible</t>
        </is>
      </c>
      <c r="AB236" t="inlineStr">
        <is>
          <t>Candidate is pursuing MCA in Bangalore and meets location criteria; Available for full-time in-office work; Meets duration and start date preferences</t>
        </is>
      </c>
      <c r="AC236" t="inlineStr">
        <is>
          <t>Available</t>
        </is>
      </c>
      <c r="AD236" t="inlineStr">
        <is>
          <t>Available for full time in-office internship starting immediately/upcoming window</t>
        </is>
      </c>
      <c r="AE236" t="inlineStr">
        <is>
          <t>Below Target</t>
        </is>
      </c>
      <c r="AF236" t="n">
        <v>18000</v>
      </c>
      <c r="AG236" t="inlineStr">
        <is>
          <t>No</t>
        </is>
      </c>
      <c r="AH236" t="inlineStr">
        <is>
          <t>Available</t>
        </is>
      </c>
      <c r="AI236" t="inlineStr">
        <is>
          <t>Job offer upto ₹ 4.2LPA post internship / ₹ 340000 to 420000/year</t>
        </is>
      </c>
      <c r="AK236" t="inlineStr">
        <is>
          <t>Stipend range (₹18k-23k) is below candidate's minimum target of ₹25,000/month</t>
        </is>
      </c>
      <c r="AL236" t="inlineStr">
        <is>
          <t>React.js state management and hooks; Node.js and Express REST API structuring; MySQL vs MongoDB use cases; Basic PHP understanding or quick adaptability</t>
        </is>
      </c>
      <c r="AM236" t="inlineStr">
        <is>
          <t>E:\InternshipHunter\applications\internshala-1ac1c94da1c3</t>
        </is>
      </c>
      <c r="AN236" t="inlineStr">
        <is>
          <t>Ready for Review</t>
        </is>
      </c>
      <c r="AO236" t="inlineStr">
        <is>
          <t>Generated</t>
        </is>
      </c>
      <c r="AP236" t="inlineStr">
        <is>
          <t>Generated</t>
        </is>
      </c>
      <c r="AQ236" t="inlineStr">
        <is>
          <t>Generated</t>
        </is>
      </c>
      <c r="AR236" t="inlineStr">
        <is>
          <t>Ready to Apply</t>
        </is>
      </c>
    </row>
    <row r="237">
      <c r="A237" t="inlineStr">
        <is>
          <t>SINGULARIUM--261006-30</t>
        </is>
      </c>
      <c r="B237" t="inlineStr">
        <is>
          <t>Singularium Technologies Private Limited</t>
        </is>
      </c>
      <c r="C237" t="inlineStr">
        <is>
          <t>Full Stack Development</t>
        </is>
      </c>
      <c r="D237" t="inlineStr">
        <is>
          <t>https://internshala.com/internship/detail/full-stack-development-internship-in-bangalore-at-singularium-technologies-private-limited1789035150</t>
        </is>
      </c>
      <c r="E237" t="inlineStr">
        <is>
          <t>AI Analyzer</t>
        </is>
      </c>
      <c r="F237" t="inlineStr">
        <is>
          <t>Bangalore</t>
        </is>
      </c>
      <c r="G237" t="inlineStr">
        <is>
          <t>In-office</t>
        </is>
      </c>
      <c r="H237" t="inlineStr">
        <is>
          <t>₹ 20,000 /month</t>
        </is>
      </c>
      <c r="I237" t="inlineStr">
        <is>
          <t>3 Months</t>
        </is>
      </c>
      <c r="J237" t="inlineStr">
        <is>
          <t>Available</t>
        </is>
      </c>
      <c r="K237" t="inlineStr">
        <is>
          <t>Backend development; CSS3; Git; HTML 5; JavaScript; MySQL; Python; REST API</t>
        </is>
      </c>
      <c r="L237" t="inlineStr">
        <is>
          <t>AI coding assistants (Claude and Claude Code)</t>
        </is>
      </c>
      <c r="M237" t="inlineStr">
        <is>
          <t>Loading, please wait...
[Browse more internships](https://internshala.com/internships)
[Home](https://internshala.com/)[Internships](https://internshala.com/internships/)[Full Stack Development Internships in Bangalore](https://internshala.com/internships/full-stack-development-internship-in-bangalore/)
# Full Stack Development - Internship
Actively hiring
Full Stack Development
[Singularium Technologies Private Limited](https://internshala.com/company/singularium-technologies-private-limited-1396266710)
![Singularium Technologies Private Limited](https://internshala-uploads.internshala.com/logo%2F5e2fdc20766bd1580194848.png.webp)
Bangalore
Start Date
Starts immediatelyImmediately
Duration
3 Months
Stipend
₹ 20,000 /month
APPLY BY
10 Oct' 26
Posted 3 weeks ago
Internship
1000+ applicants
[Share on WhatsApp](https://wa.me/?text=Check%20out%20this%20%20internship%20at%20Singularium%20Technologies%20Private%20Limited%20https%3A%2F%2Finternshala.com%2Finternship%2Fdetail%2Ffull-stack-development-internship-in-bangalore-at-singularium-technologies-private-limited1789035150%3Futm_source%3Dwp_share%26referral%3Dweb_share) [Share on LinkedIn](https://www.linkedin.com/shareArticle?mini=true&amp;url=https%3A%2F%2Finternshala.com%2Finternship%2Fdetail%2Ffull-stack-development-internship-in-bangalore-at-singularium-technologies-private-limited1789035150%3Futm_source%3Dli_share%26referral%3Dweb_share) [Share on Facebook](https://www.facebook.com/share.php?u=https%3A%2F%2Finternshala.com%2Finternship%2Fdetail%2Ffull-stack-development-internship-in-bangalore-at-singularium-technologies-private-limited1789035150%3Futm_source%3Dfb_share%26referral%3Dweb_share) [Share on Twitter](https://twitter.com/share?url=https%3A%2F%2Finternshala.com%2Finternship%2Fdetail%2Ffull-stack-development-internship-in-bangalore-at-singularium-technologies-private-limited1789035150%3Futm_source%3Dtw_share%26referral%3Dweb_share) [Copy link](https://internshala.com/internship/detail/full-stack-development-internship-in-bangalore-at-singularium-technologies-private-limited1789035150#)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Selected intern's day-to-day responsibilities include:
1\. Develop and maintain workflows built for clients and internal functionalities.
2\. Design and manage MySQL databases.
3\. Build and troubleshoot RESTful APIs.
4\. Participate in code reviews and collaborative development.
5\. Stay current with industry trends and tooling, including AI-assisted development.
6\. Use AI tools like Claude and Claude Code to accelerate development, debugging,
and documentation.
### Skill(s) required
Backend developmentCSS3GitHTML 5JavaScriptMySQLPythonREST API
Earn certifications in these skills
[Learn Node.JS using Javascript](https://trainings.internshala.com/nodejs-course/?utm_source=is_web_internshala_details_page)
[Learn Software Testing using Javascript](https://trainings.internshala.com/software-testing-course/?utm_source=is_web_internshala_details_page)
[Learn MySQL](https://trainings.internshala.com/sql-data-analytics-course/?utm_source=is_web_internshala_details_page)
[Learn Python](https://trainings.internshala.com/python-course/?utm_source=is_web_internshala_details_page)
Who can apply
Only those candidates can apply who:
1\. are available for full time (in-office) internship
2\. can start the internship between 10th Sep'26 and 15th Oct'26
3\. are available for duration of 3 months
4\. have relevant skills and interests
\\* Women wanting to start/restart their career can also apply.
### Other requirements
1\. Comfortable using AI coding assistants (e.g., Claude and Claude Code) as part of the development workflow.
2\. Strong problem-solving skills and a willingness to learn.
3\. Candidates must have a personal laptop, as the company follows a BYOD (Bring Your Own Device) policy.
4\. Candidates must be available to work 8 hours per day, 6 days a week, throughout the internship period.
### Perks
Certificate
Additional information
Important Note:
1\. Only candidates who are willing to transition into a full-time role after completing the 3-month internship, based on performance, should apply.
2\. Based on successful performance during the internship, candidates may be offered a Full-Time Employee (FTE) role with an annual CTC of ₹6,00,000.
### Number of openings
4
## About Singularium Technologies Private Limited
[Website](https://stepzero.singularium.in/)
We are a smart process outsourcing company bringing artificial intelligence-led automation to real-world businesses. Multiple Indian and global unicorns are our clients. Our founding team comprises IIT and IIM alumni with over 20 years o</t>
        </is>
      </c>
      <c r="N237" t="n">
        <v>82</v>
      </c>
      <c r="O237" t="n">
        <v>80</v>
      </c>
      <c r="P237" t="n">
        <v>85</v>
      </c>
      <c r="Q237" t="n">
        <v>90</v>
      </c>
      <c r="R237" t="n">
        <v>90</v>
      </c>
      <c r="S237" t="n">
        <v>60</v>
      </c>
      <c r="T237" t="n">
        <v>75</v>
      </c>
      <c r="U237" t="inlineStr">
        <is>
          <t>APPLY</t>
        </is>
      </c>
      <c r="V237" t="inlineStr">
        <is>
          <t>APPLY</t>
        </is>
      </c>
      <c r="W237" t="inlineStr">
        <is>
          <t>Python</t>
        </is>
      </c>
      <c r="X237" t="inlineStr">
        <is>
          <t>Default Full Stack / Software Engineer Resume</t>
        </is>
      </c>
      <c r="Y237" t="inlineStr">
        <is>
          <t>2026-10-06</t>
        </is>
      </c>
      <c r="Z237" t="inlineStr">
        <is>
          <t>Strong technical and experience fit for a full stack development internship role; Explicit PPO opportunity with a ₹6 LPA CTC offer upon good performance; Located in Bengaluru with relevant stack experience including MySQL, JavaScript, and REST APIs</t>
        </is>
      </c>
      <c r="AA237" t="inlineStr">
        <is>
          <t>Eligible</t>
        </is>
      </c>
      <c r="AB237" t="inlineStr">
        <is>
          <t>Candidate is based in Bengaluru and open to in-office work; Meets general profile requirements for full stack development; Has required technical competencies in backend and frontend stack</t>
        </is>
      </c>
      <c r="AC237" t="inlineStr">
        <is>
          <t>Unknown</t>
        </is>
      </c>
      <c r="AD237" t="inlineStr">
        <is>
          <t>Candidate availability dates between 10th Sep'26 and 15th Oct'26 are not explicitly confirmed in the career brain profile.</t>
        </is>
      </c>
      <c r="AE237" t="inlineStr">
        <is>
          <t>Below Target</t>
        </is>
      </c>
      <c r="AF237" t="n">
        <v>20000</v>
      </c>
      <c r="AG237" t="inlineStr">
        <is>
          <t>No</t>
        </is>
      </c>
      <c r="AH237" t="inlineStr">
        <is>
          <t>Available</t>
        </is>
      </c>
      <c r="AI237" t="inlineStr">
        <is>
          <t>Based on successful performance during the internship, candidates may be offered a Full-Time Employee (FTE) role with an annual CTC of ₹6,00,000.</t>
        </is>
      </c>
      <c r="AK237" t="inlineStr">
        <is>
          <t>Stipend of ₹20,000/month is below the candidate's minimum target of ₹25,000/month; Requires working 8 hours per day, 6 days a week</t>
        </is>
      </c>
      <c r="AL237" t="inlineStr">
        <is>
          <t>MySQL database design and management; RESTful API building and troubleshooting; Experience with full-stack workflows using Node.js/Express or alternative backends; Familiarity with AI-assisted development tools like Claude</t>
        </is>
      </c>
      <c r="AM237" t="inlineStr">
        <is>
          <t>E:\InternshipHunter\applications\internshala-684caf7f0961</t>
        </is>
      </c>
      <c r="AN237" t="inlineStr">
        <is>
          <t>Ready for Review</t>
        </is>
      </c>
      <c r="AO237" t="inlineStr">
        <is>
          <t>Generated</t>
        </is>
      </c>
      <c r="AP237" t="inlineStr">
        <is>
          <t>Generated</t>
        </is>
      </c>
      <c r="AQ237" t="inlineStr">
        <is>
          <t>Generated</t>
        </is>
      </c>
      <c r="AR237" t="inlineStr">
        <is>
          <t>Ready to Apply</t>
        </is>
      </c>
    </row>
    <row r="238">
      <c r="A238" t="inlineStr">
        <is>
          <t>BEMPU-HEALTH-261006-31</t>
        </is>
      </c>
      <c r="B238" t="inlineStr">
        <is>
          <t>Bempu Health</t>
        </is>
      </c>
      <c r="C238" t="inlineStr">
        <is>
          <t>Web Development</t>
        </is>
      </c>
      <c r="D238" t="inlineStr">
        <is>
          <t>https://internshala.com/internship/detail/web-development-internship-in-bangalore-at-bempu-health1788603990</t>
        </is>
      </c>
      <c r="E238" t="inlineStr">
        <is>
          <t>AI Analyzer</t>
        </is>
      </c>
      <c r="F238" t="inlineStr">
        <is>
          <t>Bangalore</t>
        </is>
      </c>
      <c r="G238" t="inlineStr">
        <is>
          <t>In-office</t>
        </is>
      </c>
      <c r="H238" t="inlineStr">
        <is>
          <t>₹ 15,000 - 25,000 /month</t>
        </is>
      </c>
      <c r="I238" t="inlineStr">
        <is>
          <t>6 Months</t>
        </is>
      </c>
      <c r="J238" t="inlineStr">
        <is>
          <t>not mentioned</t>
        </is>
      </c>
      <c r="K238" t="inlineStr">
        <is>
          <t>JavaScript; MySQL; REST API</t>
        </is>
      </c>
      <c r="L238" t="inlineStr">
        <is>
          <t>Zoho platform; AI coding tools</t>
        </is>
      </c>
      <c r="M238" t="inlineStr">
        <is>
          <t>Loading, please wait...
[Browse more internships](https://internshala.com/internships)
[Home](https://internshala.com/)[Internships](https://internshala.com/internships/)[Web Development Internships in Bangalore](https://internshala.com/internships/web-development-internship-in-bangalore/)
# Web Development - Internship
Actively hiring
Web Development
[Bempu Health](https://internshala.com/company/bempu-health-1448991954)
![Bempu Health](https://internshala-uploads.internshala.com/logo%2F5e2fdc6b832a41580194923.png.webp)
Bangalore
Start Date
Starts immediatelyImmediately
Duration
6 Months
Stipend
₹ 15,000 - 25,000 /month
APPLY BY
6 Oct' 26
Posted 3 weeks ago
Internship
1000+ applicants
[Share on WhatsApp](https://wa.me/?text=Check%20out%20this%20%20internship%20at%20Bempu%20Health%20https%3A%2F%2Finternshala.com%2Finternship%2Fdetail%2Fweb-development-internship-in-bangalore-at-bempu-health1788603990%3Futm_source%3Dwp_share%26referral%3Dweb_share) [Share on LinkedIn](https://www.linkedin.com/shareArticle?mini=true&amp;url=https%3A%2F%2Finternshala.com%2Finternship%2Fdetail%2Fweb-development-internship-in-bangalore-at-bempu-health1788603990%3Futm_source%3Dli_share%26referral%3Dweb_share) [Share on Facebook](https://www.facebook.com/share.php?u=https%3A%2F%2Finternshala.com%2Finternship%2Fdetail%2Fweb-development-internship-in-bangalore-at-bempu-health1788603990%3Futm_source%3Dfb_share%26referral%3Dweb_share) [Share on Twitter](https://twitter.com/share?url=https%3A%2F%2Finternshala.com%2Finternship%2Fdetail%2Fweb-development-internship-in-bangalore-at-bempu-health1788603990%3Futm_source%3Dtw_share%26referral%3Dweb_share) [Copy link](https://internshala.com/internship/detail/web-development-internship-in-bangalore-at-bempu-health1788603990#)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internship
Selected intern's day-to-day responsibilities include:
1\. Build and extend our internal operations app on the Zoho platform, covering sales, production and finance workflows
2\. Build a customer-facing web app that gives our users and customers access to the back-end data they need, with the right access controls
3\. Integrate with Zoho CRM, Zoho Books, Zoho Recruit and our other systems through their APIs
4\. Use AI coding tools to prototype, debug and iterate fast, then tighten the result into something maintainable
5\. Sit with the people who will use each tool, watch them work, and change what you built accordingly
6\. Write enough documentation that the next person can pick your work up
### Skill(s) required
JavaScriptMySQLREST API
Earn certifications in these skills
[Learn Node.JS using Javascript](https://trainings.internshala.com/nodejs-course/?utm_source=is_web_internshala_details_page)
[Learn Software Testing using Javascript](https://trainings.internshala.com/software-testing-course/?utm_source=is_web_internshala_details_page)
[Learn MySQL](https://trainings.internshala.com/sql-data-analytics-course/?utm_source=is_web_internshala_details_page)
Who can apply
Only those candidates can apply who:
1\. are available for full time (in-office) internship
2\. can start the internship between 5th Sep'26 and 10th Oct'26
3\. are available for duration of 6 months
4\. have relevant skills and interests
### Other requirements
1\. AI-native: you do not just know how to code, you know how to direct AI tools such as Cursor, Claude, ChatGPT or GitHub Copilot to build working features quickly
2\. Comfortable with JavaScript and with consuming and building REST APIs
3\. Able to reason about data models, access control, and what happens when two people edit the same record
4\. A portfolio, side project or GitHub that shows something you actually shipped, however small
5\. Self-directed: you can take a rough problem statement, ask the right questions, and come back with something working
6\. Currently studying or recently graduated in Computer Science, Engineering or a related field, or self-taught with the work to prove it
7\. Available for a 6-month full-time paid internship in Bangalore
### Perks
Certificate Letter of recommendation Informal dress code 5 days a week
### Number of openings
1
## About Bempu Health
[Website](http://www.bempu.com/)
Bempu Health develops technologies to improve health outcomes for newborns. Our products include a bracelet to detect hypothermia in premature babies, and clip to detect if a baby has stopped breathing, and a shoe to help restart breathing in sick babies. We have been selected among TIME magazine's top inventions, have been repeatedly funded by Gates, USAID, etc., and our customers include top hospitals across India, various international governments, and UNI</t>
        </is>
      </c>
      <c r="N238" t="n">
        <v>76</v>
      </c>
      <c r="O238" t="n">
        <v>85</v>
      </c>
      <c r="P238" t="n">
        <v>80</v>
      </c>
      <c r="Q238" t="n">
        <v>80</v>
      </c>
      <c r="R238" t="n">
        <v>40</v>
      </c>
      <c r="S238" t="n">
        <v>80</v>
      </c>
      <c r="T238" t="n">
        <v>85</v>
      </c>
      <c r="U238" t="inlineStr">
        <is>
          <t>CONSIDER</t>
        </is>
      </c>
      <c r="V238" t="inlineStr">
        <is>
          <t>CONSIDER</t>
        </is>
      </c>
      <c r="W238" t="inlineStr">
        <is>
          <t>Zoho platform</t>
        </is>
      </c>
      <c r="X238" t="inlineStr">
        <is>
          <t>Amaanuddin_Ahmed_Resume_FullStack.pdf</t>
        </is>
      </c>
      <c r="Y238" t="inlineStr">
        <is>
          <t>2026-10-06</t>
        </is>
      </c>
      <c r="Z238" t="inlineStr">
        <is>
          <t>Strong alignment with required skills like JavaScript, MySQL, and REST APIs.; Located in Bengaluru for the in-office role.; Opportunity to work on impactful health tech products with global recognition.</t>
        </is>
      </c>
      <c r="AA238" t="inlineStr">
        <is>
          <t>eligible</t>
        </is>
      </c>
      <c r="AB238" t="inlineStr">
        <is>
          <t>Candidate is based in Bengaluru and matches the location requirement for an in-office internship.; Candidate matches the education background (MCA student at PES University).; Candidate possesses the required JavaScript and MySQL skills.</t>
        </is>
      </c>
      <c r="AC238" t="inlineStr">
        <is>
          <t>unknown</t>
        </is>
      </c>
      <c r="AD238" t="inlineStr">
        <is>
          <t>Exact immediate availability dates between Sep 2026 and Oct 2026 are not specified in the candidate profile.</t>
        </is>
      </c>
      <c r="AE238" t="inlineStr">
        <is>
          <t>exact</t>
        </is>
      </c>
      <c r="AF238" t="n">
        <v>15000</v>
      </c>
      <c r="AG238" t="inlineStr">
        <is>
          <t>No</t>
        </is>
      </c>
      <c r="AH238" t="inlineStr">
        <is>
          <t>not mentioned</t>
        </is>
      </c>
      <c r="AI238" t="inlineStr">
        <is>
          <t>No explicit PPO or conversion mention found in the job description.</t>
        </is>
      </c>
      <c r="AL238" t="inlineStr">
        <is>
          <t>REST API integration workflows; Database design and access control in MySQL; Experience using AI coding assistants like Claude, Cursor, or Copilot; Previous full stack development projects and live deployments</t>
        </is>
      </c>
    </row>
    <row r="239">
      <c r="A239" t="inlineStr">
        <is>
          <t>BASTI-KI-PAT-261006-32</t>
        </is>
      </c>
      <c r="B239" t="inlineStr">
        <is>
          <t>Basti Ki Pathshala Foundation</t>
        </is>
      </c>
      <c r="C239" t="inlineStr">
        <is>
          <t>Software Development</t>
        </is>
      </c>
      <c r="D239" t="inlineStr">
        <is>
          <t>https://internshala.com/internship/detail/work-from-home-software-development-internship-at-basti-ki-pathshala-foundation1791203265</t>
        </is>
      </c>
      <c r="E239" t="inlineStr">
        <is>
          <t>AI Analyzer</t>
        </is>
      </c>
      <c r="F239" t="inlineStr">
        <is>
          <t>Work from home</t>
        </is>
      </c>
      <c r="G239" t="inlineStr">
        <is>
          <t>Remote</t>
        </is>
      </c>
      <c r="H239" t="inlineStr">
        <is>
          <t>Unpaid</t>
        </is>
      </c>
      <c r="I239" t="inlineStr">
        <is>
          <t>Not specified</t>
        </is>
      </c>
      <c r="J239" t="inlineStr">
        <is>
          <t>not_mentioned</t>
        </is>
      </c>
      <c r="M239" t="inlineStr">
        <is>
          <t>Software Development internship at Basti Ki Pathshala Foundation. Location: Work from home. Stipend: Unpaid.</t>
        </is>
      </c>
      <c r="N239" t="n">
        <v>36</v>
      </c>
      <c r="O239" t="n">
        <v>50</v>
      </c>
      <c r="P239" t="n">
        <v>50</v>
      </c>
      <c r="Q239" t="n">
        <v>60</v>
      </c>
      <c r="R239" t="n">
        <v>0</v>
      </c>
      <c r="S239" t="n">
        <v>0</v>
      </c>
      <c r="T239" t="n">
        <v>20</v>
      </c>
      <c r="U239" t="inlineStr">
        <is>
          <t>SKIP</t>
        </is>
      </c>
      <c r="V239" t="inlineStr">
        <is>
          <t>SKIP</t>
        </is>
      </c>
      <c r="X239" t="inlineStr">
        <is>
          <t>Standard Full Stack / Software Engineer Resume</t>
        </is>
      </c>
      <c r="Y239" t="inlineStr">
        <is>
          <t>2026-10-06</t>
        </is>
      </c>
      <c r="AA239" t="inlineStr">
        <is>
          <t>eligible</t>
        </is>
      </c>
      <c r="AC239" t="inlineStr">
        <is>
          <t>unknown</t>
        </is>
      </c>
      <c r="AD239" t="inlineStr">
        <is>
          <t>Not specified in the job description.</t>
        </is>
      </c>
      <c r="AE239" t="inlineStr">
        <is>
          <t>unpaid</t>
        </is>
      </c>
      <c r="AF239" t="n">
        <v>0</v>
      </c>
      <c r="AG239" t="inlineStr">
        <is>
          <t>No</t>
        </is>
      </c>
      <c r="AH239" t="inlineStr">
        <is>
          <t>not_mentioned</t>
        </is>
      </c>
      <c r="AI239" t="inlineStr">
        <is>
          <t>No mention of PPO or conversion in the description.</t>
        </is>
      </c>
      <c r="AJ239" t="inlineStr">
        <is>
          <t>Unpaid stipend violates the minimum stipend target of ₹25,000/month.</t>
        </is>
      </c>
      <c r="AK239" t="inlineStr">
        <is>
          <t>Unpaid internship</t>
        </is>
      </c>
    </row>
    <row r="240">
      <c r="A240" t="inlineStr">
        <is>
          <t>CHATFIN-261006-33</t>
        </is>
      </c>
      <c r="B240" t="inlineStr">
        <is>
          <t>ChatFin</t>
        </is>
      </c>
      <c r="C240" t="inlineStr">
        <is>
          <t>Software Development</t>
        </is>
      </c>
      <c r="D240" t="inlineStr">
        <is>
          <t>https://internshala.com/internship/detail/work-from-home-software-development-internship-at-chatfin1791275157</t>
        </is>
      </c>
      <c r="E240" t="inlineStr">
        <is>
          <t>AI Analyzer</t>
        </is>
      </c>
      <c r="F240" t="inlineStr">
        <is>
          <t>Work from home</t>
        </is>
      </c>
      <c r="G240" t="inlineStr">
        <is>
          <t>remote</t>
        </is>
      </c>
      <c r="H240" t="inlineStr">
        <is>
          <t>₹ 30,000 /month</t>
        </is>
      </c>
      <c r="I240" t="inlineStr">
        <is>
          <t>5 Months</t>
        </is>
      </c>
      <c r="J240" t="inlineStr">
        <is>
          <t>yes</t>
        </is>
      </c>
      <c r="K240" t="inlineStr">
        <is>
          <t>JavaScript; MySQL; Node.js; React</t>
        </is>
      </c>
      <c r="L240" t="inlineStr">
        <is>
          <t>TypeScript; SQL query plan optimization; Software testing</t>
        </is>
      </c>
      <c r="M240" t="inlineStr">
        <is>
          <t>Loading, please wait...
[Browse more internships](https://internshala.com/internships)
[Home](https://internshala.com/)[Internships](https://internshala.com/internships/)[WFH Software Development Internships](https://internshala.com/internships/work-from-home-software-development-internships/)
# Software Development - Internship (WFH)
![Pro exclusive](https://internshala-uploads.internshala.com/common/image/1mwyc3lttsb.svg)PRO
Software Development
![Pro exclusive](https://internshala-uploads.internshala.com/common/image/1mwyc3lttsb.svg)PRO
[ChatFin](https://internshala.com/company/chatfin-1790693738)
![ChatFin](https://internshala-uploads.internshala.com/logo%2F28qi4592wll-1790693738.jpg.webp)
Work from home
Start Date
Starts immediatelyImmediately
Duration
5 Months
Stipend
₹ 30,000 /month
APPLY BY
5 Nov' 26
Posted few hours ago
Job offer starting ₹ 6LPA post internship
![](https://internshala.com/static/images/icons/bolt_icon_color.svg)
Be an early applicant
[Share on WhatsApp](https://wa.me/?text=Check%20out%20this%20work%20from%20home%20internship%20at%20ChatFin%20https%3A%2F%2Finternshala.com%2Finternship%2Fdetail%2Fwork-from-home-software-development-internship-at-chatfin1791275157%3Futm_source%3Dwp_share%26referral%3Dweb_share) [Share on LinkedIn](https://www.linkedin.com/shareArticle?mini=true&amp;url=https%3A%2F%2Finternshala.com%2Finternship%2Fdetail%2Fwork-from-home-software-development-internship-at-chatfin1791275157%3Futm_source%3Dli_share%26referral%3Dweb_share) [Share on Facebook](https://www.facebook.com/share.php?u=https%3A%2F%2Finternshala.com%2Finternship%2Fdetail%2Fwork-from-home-software-development-internship-at-chatfin1791275157%3Futm_source%3Dfb_share%26referral%3Dweb_share) [Share on Twitter](https://twitter.com/share?url=https%3A%2F%2Finternshala.com%2Finternship%2Fdetail%2Fwork-from-home-software-development-internship-at-chatfin1791275157%3Futm_source%3Dtw_share%26referral%3Dweb_share) [Copy link](https://internshala.com/internship/detail/work-from-home-software-development-internship-at-chatfin1791275157#)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work from home job/internship
Selected intern's day-to-day responsibilities include:
1\. Build backend features in Node.js and TypeScript
2\. Build front-end screens in React
3\. Write SQL queries against the database, and learn to read a query plan when something is slow
4\. Write tests for the features built
5\. Fix bugs reported by customers
6\. Sit in on customer calls and hear finance teams describe what is broken
### Skill(s) required
JavaScriptMySQLNode.jsReact
Earn certifications in these skills
[Learn Node.JS using Javascript](https://trainings.internshala.com/nodejs-course/?utm_source=is_web_internshala_details_page)
[Learn Software Testing using Javascript](https://trainings.internshala.com/software-testing-course/?utm_source=is_web_internshala_details_page)
[Learn MySQL](https://trainings.internshala.com/sql-data-analytics-course/?utm_source=is_web_internshala_details_page)
[Learn Node.JS](https://trainings.internshala.com/nodejs-course/?utm_source=is_web_internshala_details_page)
[Learn ReactJS](https://trainings.internshala.com/react-course/?utm_source=is_web_internshala_details_page)
Who can apply
Only those candidates can apply who:
1\. are available for the work from home job/internship
2\. can start the work from home job/internship between 5th Oct'26 and 9th Nov'26
3\. are available for duration of 5 months
4\. have relevant skills and interests
### Perks
Certificate Letter of recommendation Flexible work hours 5 days a week Job offer
Additional information
Job offer:
On successful conversion to a permanent employee, the candidate can expect a salary of ₹ 600000 /year
1\. Interns pick tickets from the same board as the rest of the team, and their work ships to real customers rather than a sandbox project built for interns
### Number of openings
2
## About ChatFin
Emeryville
ChatFin builds AI agents for finance and accounting teams. The agents reconcile transactions, run the month end close, and answer finance questions straight out of the ERP, so controllers stop rebuilding the same spreadsheet every month. We work with NetSuite, SAP, Oracle and Dynamics, and most of our customers are finance teams in the US. Engineering is small and fully remote across India. You own features end to end: schema, API, UI, tests, deploy, and the bug report that comes back two weeks later. Interns pick tickets off the same board as everyone else, and the work ships to real customers instead of a sandbox project built for interns. Stack: Node.js, TypeScript, React and PostgreSQL.
Activity on Internshala
Hirin</t>
        </is>
      </c>
      <c r="N240" t="n">
        <v>93</v>
      </c>
      <c r="O240" t="n">
        <v>90</v>
      </c>
      <c r="P240" t="n">
        <v>90</v>
      </c>
      <c r="Q240" t="n">
        <v>95</v>
      </c>
      <c r="R240" t="n">
        <v>95</v>
      </c>
      <c r="S240" t="n">
        <v>100</v>
      </c>
      <c r="T240" t="n">
        <v>95</v>
      </c>
      <c r="U240" t="inlineStr">
        <is>
          <t>APPLY ASAP</t>
        </is>
      </c>
      <c r="V240" t="inlineStr">
        <is>
          <t>APPLY ASAP</t>
        </is>
      </c>
      <c r="W240" t="inlineStr">
        <is>
          <t>TypeScript</t>
        </is>
      </c>
      <c r="X240" t="inlineStr">
        <is>
          <t>Primary Full Stack / Software Engineer Resume highlighting MERN and Node.js/React work experience</t>
        </is>
      </c>
      <c r="Y240" t="inlineStr">
        <is>
          <t>2026-10-06</t>
        </is>
      </c>
      <c r="Z240" t="inlineStr">
        <is>
          <t>Stipend of ₹30,000/month exceeds the candidate's minimum target of ₹25,000; Strong PPO opportunity with a 6 LPA full-time conversion offer; Tech stack (Node.js, React, MySQL, JavaScript) directly aligns with candidate's demonstrated project and internship experience; Fully remote work mode matches candidate preference</t>
        </is>
      </c>
      <c r="AA240" t="inlineStr">
        <is>
          <t>eligible</t>
        </is>
      </c>
      <c r="AB240" t="inlineStr">
        <is>
          <t>Meets minimum stipend requirement of ₹25,000/month; Matches target role of Software Development Intern / Full Stack Developer Intern; Work from home mode matches candidate preference</t>
        </is>
      </c>
      <c r="AC240" t="inlineStr">
        <is>
          <t>unknown</t>
        </is>
      </c>
      <c r="AD240" t="inlineStr">
        <is>
          <t>Exact starting date constraint of Oct-Nov 2026 needs to be verified against candidate calendar availability</t>
        </is>
      </c>
      <c r="AE240" t="inlineStr">
        <is>
          <t>exact</t>
        </is>
      </c>
      <c r="AF240" t="n">
        <v>30000</v>
      </c>
      <c r="AG240" t="inlineStr">
        <is>
          <t>No</t>
        </is>
      </c>
      <c r="AH240" t="inlineStr">
        <is>
          <t>yes</t>
        </is>
      </c>
      <c r="AI240" t="inlineStr">
        <is>
          <t>Job offer starting ₹ 6LPA post internship / On successful conversion to a permanent employee, the candidate can expect a salary of ₹ 600000 /year</t>
        </is>
      </c>
      <c r="AL240" t="inlineStr">
        <is>
          <t>Node.js backend architecture and REST API development; React frontend component design and state management; SQL query writing, indexing, and query plan optimization; End-to-end feature ownership and production debugging</t>
        </is>
      </c>
      <c r="AM240" t="inlineStr">
        <is>
          <t>E:\InternshipHunter\applications\internshala-637f78feb536</t>
        </is>
      </c>
      <c r="AN240" t="inlineStr">
        <is>
          <t>Ready for Review</t>
        </is>
      </c>
      <c r="AO240" t="inlineStr">
        <is>
          <t>Generated</t>
        </is>
      </c>
      <c r="AP240" t="inlineStr">
        <is>
          <t>Generated</t>
        </is>
      </c>
      <c r="AQ240" t="inlineStr">
        <is>
          <t>Generated</t>
        </is>
      </c>
      <c r="AR240" t="inlineStr">
        <is>
          <t>Ready to Apply</t>
        </is>
      </c>
    </row>
    <row r="241">
      <c r="A241" t="inlineStr">
        <is>
          <t>QUEENS-OF-CH-261006-34</t>
        </is>
      </c>
      <c r="B241" t="inlineStr">
        <is>
          <t>Queens Of Change Foundation</t>
        </is>
      </c>
      <c r="C241" t="inlineStr">
        <is>
          <t>Software Development</t>
        </is>
      </c>
      <c r="D241" t="inlineStr">
        <is>
          <t>https://internshala.com/internship/detail/work-from-home-part-time-software-development-internship-at-queens-of-change-foundation1791289741</t>
        </is>
      </c>
      <c r="E241" t="inlineStr">
        <is>
          <t>AI Analyzer</t>
        </is>
      </c>
      <c r="F241" t="inlineStr">
        <is>
          <t>Work from home</t>
        </is>
      </c>
      <c r="G241" t="inlineStr">
        <is>
          <t>Remote</t>
        </is>
      </c>
      <c r="H241" t="inlineStr">
        <is>
          <t>Unpaid</t>
        </is>
      </c>
      <c r="I241" t="inlineStr">
        <is>
          <t>Unknown</t>
        </is>
      </c>
      <c r="J241" t="inlineStr">
        <is>
          <t>Not Mentioned</t>
        </is>
      </c>
      <c r="M241" t="inlineStr">
        <is>
          <t>Software Development internship at Queens Of Change Foundation. Location: Work from home. Stipend: Unpaid.</t>
        </is>
      </c>
      <c r="N241" t="n">
        <v>36</v>
      </c>
      <c r="O241" t="n">
        <v>50</v>
      </c>
      <c r="P241" t="n">
        <v>50</v>
      </c>
      <c r="Q241" t="n">
        <v>60</v>
      </c>
      <c r="R241" t="n">
        <v>0</v>
      </c>
      <c r="S241" t="n">
        <v>0</v>
      </c>
      <c r="T241" t="n">
        <v>20</v>
      </c>
      <c r="U241" t="inlineStr">
        <is>
          <t>SKIP</t>
        </is>
      </c>
      <c r="V241" t="inlineStr">
        <is>
          <t>SKIP</t>
        </is>
      </c>
      <c r="X241" t="inlineStr">
        <is>
          <t>Default Full Stack Resume</t>
        </is>
      </c>
      <c r="Y241" t="inlineStr">
        <is>
          <t>2026-10-06</t>
        </is>
      </c>
      <c r="Z241" t="inlineStr">
        <is>
          <t>Remote work option aligns with flexibility preferences.</t>
        </is>
      </c>
      <c r="AA241" t="inlineStr">
        <is>
          <t>Eligible</t>
        </is>
      </c>
      <c r="AB241" t="inlineStr">
        <is>
          <t>No hard blockers found regarding degree or location.</t>
        </is>
      </c>
      <c r="AC241" t="inlineStr">
        <is>
          <t>Unknown</t>
        </is>
      </c>
      <c r="AD241" t="inlineStr">
        <is>
          <t>Availability not specified in career brain or job description.</t>
        </is>
      </c>
      <c r="AE241" t="inlineStr">
        <is>
          <t>Unpaid</t>
        </is>
      </c>
      <c r="AF241" t="n">
        <v>0</v>
      </c>
      <c r="AG241" t="inlineStr">
        <is>
          <t>No</t>
        </is>
      </c>
      <c r="AH241" t="inlineStr">
        <is>
          <t>Not Mentioned</t>
        </is>
      </c>
      <c r="AI241" t="inlineStr">
        <is>
          <t>No mention of PPO or conversion in the job description.</t>
        </is>
      </c>
      <c r="AK241" t="inlineStr">
        <is>
          <t>Unpaid internship; Stipend is below minimum target of 25000 INR per month</t>
        </is>
      </c>
      <c r="AL241" t="inlineStr">
        <is>
          <t>General software development experience; Motivation for joining an unpaid internship</t>
        </is>
      </c>
    </row>
    <row r="242">
      <c r="A242" t="inlineStr">
        <is>
          <t>INAMIGOS-FOU-261006-35</t>
        </is>
      </c>
      <c r="B242" t="inlineStr">
        <is>
          <t>InAmigos Foundation</t>
        </is>
      </c>
      <c r="C242" t="inlineStr">
        <is>
          <t>AI Web Development Intern</t>
        </is>
      </c>
      <c r="D242" t="inlineStr">
        <is>
          <t>https://internshala.com/internship/detail/work-from-home-ai-web-development-internship-at-inamigos-foundation1791196530</t>
        </is>
      </c>
      <c r="E242" t="inlineStr">
        <is>
          <t>AI Analyzer</t>
        </is>
      </c>
      <c r="F242" t="inlineStr">
        <is>
          <t>Work from home</t>
        </is>
      </c>
      <c r="G242" t="inlineStr">
        <is>
          <t>Remote</t>
        </is>
      </c>
      <c r="H242" t="inlineStr">
        <is>
          <t>Unpaid</t>
        </is>
      </c>
      <c r="I242" t="inlineStr">
        <is>
          <t>Not specified</t>
        </is>
      </c>
      <c r="J242" t="inlineStr">
        <is>
          <t>Not Mentioned</t>
        </is>
      </c>
      <c r="K242" t="inlineStr">
        <is>
          <t>AI Web Development</t>
        </is>
      </c>
      <c r="M242" t="inlineStr">
        <is>
          <t>AI Web Development internship at InAmigos Foundation. Location: Work from home. Stipend: Unpaid.</t>
        </is>
      </c>
      <c r="N242" t="n">
        <v>30</v>
      </c>
      <c r="O242" t="n">
        <v>40</v>
      </c>
      <c r="P242" t="n">
        <v>40</v>
      </c>
      <c r="Q242" t="n">
        <v>45</v>
      </c>
      <c r="R242" t="n">
        <v>0</v>
      </c>
      <c r="S242" t="n">
        <v>0</v>
      </c>
      <c r="T242" t="n">
        <v>30</v>
      </c>
      <c r="U242" t="inlineStr">
        <is>
          <t>SKIP</t>
        </is>
      </c>
      <c r="V242" t="inlineStr">
        <is>
          <t>SKIP</t>
        </is>
      </c>
      <c r="W242" t="inlineStr">
        <is>
          <t>AI Web Development</t>
        </is>
      </c>
      <c r="X242" t="inlineStr">
        <is>
          <t>Amaanuddin_Ahmed_Resume.pdf</t>
        </is>
      </c>
      <c r="Y242" t="inlineStr">
        <is>
          <t>2026-10-06</t>
        </is>
      </c>
      <c r="AA242" t="inlineStr">
        <is>
          <t>Eligible</t>
        </is>
      </c>
      <c r="AB242" t="inlineStr">
        <is>
          <t>No strict formal blockers in the basic listing</t>
        </is>
      </c>
      <c r="AC242" t="inlineStr">
        <is>
          <t>Unknown</t>
        </is>
      </c>
      <c r="AD242" t="inlineStr">
        <is>
          <t>Start date and duration are not specified in the job description.</t>
        </is>
      </c>
      <c r="AE242" t="inlineStr">
        <is>
          <t>Unpaid</t>
        </is>
      </c>
      <c r="AF242" t="n">
        <v>0</v>
      </c>
      <c r="AG242" t="inlineStr">
        <is>
          <t>No</t>
        </is>
      </c>
      <c r="AH242" t="inlineStr">
        <is>
          <t>Not Mentioned</t>
        </is>
      </c>
      <c r="AI242" t="inlineStr">
        <is>
          <t>No mention of PPO or job conversion in the job description.</t>
        </is>
      </c>
      <c r="AJ242" t="inlineStr">
        <is>
          <t>Unpaid internship violates the minimum stipend target of 25,000 INR/month</t>
        </is>
      </c>
      <c r="AK242" t="inlineStr">
        <is>
          <t>Unpaid internship</t>
        </is>
      </c>
    </row>
    <row r="243">
      <c r="A243" t="inlineStr">
        <is>
          <t>EMOOLAR-TECH-261006-36</t>
        </is>
      </c>
      <c r="B243" t="inlineStr">
        <is>
          <t>Emoolar Technology Private Limited</t>
        </is>
      </c>
      <c r="C243" t="inlineStr">
        <is>
          <t>Software Development Engineering (Web)</t>
        </is>
      </c>
      <c r="D243" t="inlineStr">
        <is>
          <t>https://internshala.com/internship/detail/work-from-home-software-development-engineering-web-internship-at-emoolar-technology-private-limited1791261426</t>
        </is>
      </c>
      <c r="E243" t="inlineStr">
        <is>
          <t>AI Analyzer</t>
        </is>
      </c>
      <c r="F243" t="inlineStr">
        <is>
          <t>Work from home</t>
        </is>
      </c>
      <c r="G243" t="inlineStr">
        <is>
          <t>Remote</t>
        </is>
      </c>
      <c r="H243" t="inlineStr">
        <is>
          <t>₹ 6,000 - 7,000 /month</t>
        </is>
      </c>
      <c r="I243" t="inlineStr">
        <is>
          <t>6 Months</t>
        </is>
      </c>
      <c r="J243" t="inlineStr">
        <is>
          <t>Not Mentioned</t>
        </is>
      </c>
      <c r="K243" t="inlineStr">
        <is>
          <t>HTML; CSS; JavaScript; Python</t>
        </is>
      </c>
      <c r="M243" t="inlineStr">
        <is>
          <t xml:space="preserve">Loading, please wait...
[Browse more internships](https://internshala.com/internships)
[Home](https://internshala.com/)[Internships](https://internshala.com/internships/)[WFH Software Development Internships](https://internshala.com/internships/work-from-home-software-development-internships/part-time-true/)
# Software Development Engineering (Web) - Internship (WFH &amp; Part Time)
Actively hiring
Software Development Engineering (Web)
[Emoolar Technology Private Limited](https://internshala.com/company/emoolar-technology-private-limited-1629977000)
![Emoolar Technology Private Limited](https://internshala-uploads.internshala.com/logo%2Fa3wj6cdxqu7-1966.png.webp)
Work from home
Start Date
Starts immediatelyImmediately
Duration
6 Months
Stipend
₹ 6,000 - 7,000 /month
APPLY BY
5 Nov' 26
Posted few hours ago
Internship
Part time
120 applicants
[Share on WhatsApp](https://wa.me/?text=Check%20out%20this%20part-time%20work%20from%20home%20internship%20at%20Emoolar%20Technology%20Private%20Limited%20https%3A%2F%2Finternshala.com%2Finternship%2Fdetail%2Fwork-from-home-software-development-engineering-web-internship-at-emoolar-technology-private-limited1791261426%3Futm_source%3Dwp_share%26referral%3Dweb_share) [Share on LinkedIn](https://www.linkedin.com/shareArticle?mini=true&amp;url=https%3A%2F%2Finternshala.com%2Finternship%2Fdetail%2Fwork-from-home-software-development-engineering-web-internship-at-emoolar-technology-private-limited1791261426%3Futm_source%3Dli_share%26referral%3Dweb_share) [Share on Facebook](https://www.facebook.com/share.php?u=https%3A%2F%2Finternshala.com%2Finternship%2Fdetail%2Fwork-from-home-software-development-engineering-web-internship-at-emoolar-technology-private-limited1791261426%3Futm_source%3Dfb_share%26referral%3Dweb_share) [Share on Twitter](https://twitter.com/share?url=https%3A%2F%2Finternshala.com%2Finternship%2Fdetail%2Fwork-from-home-software-development-engineering-web-internship-at-emoolar-technology-private-limited1791261426%3Futm_source%3Dtw_share%26referral%3Dweb_share) [Copy link](https://internshala.com/internship/detail/work-from-home-software-development-engineering-web-internship-at-emoolar-technology-private-limited1791261426#)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work from home job/internship
Are you a tech-savvy individual with a passion for web development? Emoolar Technology Private Limited is seeking a highly motivated Software Development Engineering (Web) intern to join our dynamic team. As an intern, you will have the opportunity to work on exciting projects and gain hands-on experience in the tech industry. If you have a strong understanding of HTML, CSS, JavaScript, and Python, we want to hear from you!
Key Responsibilities:
1\. Assist in the design and development of web applications using HTML, CSS, and JavaScript.
2\. Collaborate with the development team to troubleshoot and debug software issues.
3\. Write clean, efficient, and maintainable code in Python for backend development.
4\. Conduct code reviews and provide feedback to improve overall code quality.
5\. Work closely with cross-functional teams to ensure successful project delivery.
6\. Stay up-to-date on the latest web development trends and technologies.
7\. Participate in team meetings and contribute ideas to enhance product features and functionalities.
Join us at Emoolar Technology Private Limited and kickstart your career in software development! Apply now to become a part of our innovative team.
### Skill(s) required
CSSHTMLJavaScriptPython
Earn certifications in these skills
[Learn CSS](https://trainings.internshala.com/web-development-course/?utm_source=is_web_internshala_details_page)
[Learn HTML](https://trainings.internshala.com/web-development-course/?utm_source=is_web_internshala_details_page)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Python](https://trainings.internshala.com/python-course/?utm_source=is_web_internshala_details_page)
Who can apply
Only those candidates can apply who:
1\. are available for the work from home job/internship
2\. can start the work from home job/internship between 6th Oct'26 and 10th Nov'26
3\. are available for duration of 6 months
4\. have relevant skills and interests
\\* Women wanting to start/restart their career can also apply.
### Perks
Certificate Letter of recommendation Flexible work hours 5 days a week
### Number of openings
6
## About Emoolar Technology Private Limited
Krishnagiri
</t>
        </is>
      </c>
      <c r="N243" t="n">
        <v>52</v>
      </c>
      <c r="O243" t="n">
        <v>75</v>
      </c>
      <c r="P243" t="n">
        <v>70</v>
      </c>
      <c r="Q243" t="n">
        <v>75</v>
      </c>
      <c r="R243" t="n">
        <v>0</v>
      </c>
      <c r="S243" t="n">
        <v>10</v>
      </c>
      <c r="T243" t="n">
        <v>30</v>
      </c>
      <c r="U243" t="inlineStr">
        <is>
          <t>SKIP</t>
        </is>
      </c>
      <c r="V243" t="inlineStr">
        <is>
          <t>SKIP</t>
        </is>
      </c>
      <c r="W243" t="inlineStr">
        <is>
          <t>Python</t>
        </is>
      </c>
      <c r="X243" t="inlineStr">
        <is>
          <t>Amaanuddin_Ahmed_Resume.pdf</t>
        </is>
      </c>
      <c r="Y243" t="inlineStr">
        <is>
          <t>2026-10-06</t>
        </is>
      </c>
      <c r="Z243" t="inlineStr">
        <is>
          <t>Matches general web development internship criteria.</t>
        </is>
      </c>
      <c r="AA243" t="inlineStr">
        <is>
          <t>Eligible</t>
        </is>
      </c>
      <c r="AB243" t="inlineStr">
        <is>
          <t>Meets general availability and work from home requirements.</t>
        </is>
      </c>
      <c r="AC243" t="inlineStr">
        <is>
          <t>Unknown</t>
        </is>
      </c>
      <c r="AD243" t="inlineStr">
        <is>
          <t>Exact start date availability between 6th Oct and 10th Nov 2026 is not specified in the candidate profile.</t>
        </is>
      </c>
      <c r="AE243" t="inlineStr">
        <is>
          <t>Below Minimum</t>
        </is>
      </c>
      <c r="AF243" t="n">
        <v>6000</v>
      </c>
      <c r="AG243" t="inlineStr">
        <is>
          <t>No</t>
        </is>
      </c>
      <c r="AH243" t="inlineStr">
        <is>
          <t>Not Mentioned</t>
        </is>
      </c>
      <c r="AI243" t="inlineStr">
        <is>
          <t>No mention of PPO or conversion after the internship in the job description.</t>
        </is>
      </c>
      <c r="AJ243" t="inlineStr">
        <is>
          <t>Stipend is significantly below the minimum target of ₹25,000/month.</t>
        </is>
      </c>
      <c r="AK243" t="inlineStr">
        <is>
          <t>Very low stipend (₹6,000 - ₹7,000 /month) compared to candidate target of ₹25,000/month.; No PPO/conversion mentioned.; Part-time internship role.</t>
        </is>
      </c>
      <c r="AL243" t="inlineStr">
        <is>
          <t>Web development fundamentals (HTML, CSS, JavaScript); Python backend development basics; Debugging and troubleshooting software issues</t>
        </is>
      </c>
    </row>
    <row r="244">
      <c r="A244" t="inlineStr">
        <is>
          <t>OPALCODE-261006-37</t>
        </is>
      </c>
      <c r="B244" t="inlineStr">
        <is>
          <t>OpalCode</t>
        </is>
      </c>
      <c r="C244" t="inlineStr">
        <is>
          <t>Backend Development</t>
        </is>
      </c>
      <c r="D244" t="inlineStr">
        <is>
          <t>https://internshala.com/internship/detail/work-from-home-backend-development-internship-at-opalcode1791260918</t>
        </is>
      </c>
      <c r="E244" t="inlineStr">
        <is>
          <t>AI Analyzer</t>
        </is>
      </c>
      <c r="F244" t="inlineStr">
        <is>
          <t>Work from home</t>
        </is>
      </c>
      <c r="G244" t="inlineStr">
        <is>
          <t>Remote</t>
        </is>
      </c>
      <c r="H244" t="inlineStr">
        <is>
          <t>₹ 7,000 - 20,000 /month</t>
        </is>
      </c>
      <c r="I244" t="inlineStr">
        <is>
          <t>2 Months</t>
        </is>
      </c>
      <c r="J244" t="inlineStr">
        <is>
          <t>not mentioned</t>
        </is>
      </c>
      <c r="K244" t="inlineStr">
        <is>
          <t>Django; Express.js; MongoDB; Node.js; REST API</t>
        </is>
      </c>
      <c r="M244" t="inlineStr">
        <is>
          <t>Loading, please wait...
[Browse more internships](https://internshala.com/internships)
[Home](https://internshala.com/)[Internships](https://internshala.com/internships/)[WFH Backend Development Internships](https://internshala.com/internships/work-from-home-backend-development-internships/)
# Backend Development - Internship (WFH)
Actively hiring
Backend Development
[OpalCode](https://internshala.com/company/opalcode-1789888833)
![OpalCode](https://internshala-uploads.internshala.com/logo%2F3ffb13x5uqe-1789888833.jpg.webp)
Work from home
Start Date
Starts immediatelyImmediately
Duration
2 Months
Stipend
₹ 7,000 - 20,000 /month
APPLY BY
5 Nov' 26
Posted few hours ago
Internship
119 applicants
[Share on WhatsApp](https://wa.me/?text=Check%20out%20this%20work%20from%20home%20internship%20at%20OpalCode%20https%3A%2F%2Finternshala.com%2Finternship%2Fdetail%2Fwork-from-home-backend-development-internship-at-opalcode1791260918%3Futm_source%3Dwp_share%26referral%3Dweb_share) [Share on LinkedIn](https://www.linkedin.com/shareArticle?mini=true&amp;url=https%3A%2F%2Finternshala.com%2Finternship%2Fdetail%2Fwork-from-home-backend-development-internship-at-opalcode1791260918%3Futm_source%3Dli_share%26referral%3Dweb_share) [Share on Facebook](https://www.facebook.com/share.php?u=https%3A%2F%2Finternshala.com%2Finternship%2Fdetail%2Fwork-from-home-backend-development-internship-at-opalcode1791260918%3Futm_source%3Dfb_share%26referral%3Dweb_share) [Share on Twitter](https://twitter.com/share?url=https%3A%2F%2Finternshala.com%2Finternship%2Fdetail%2Fwork-from-home-backend-development-internship-at-opalcode1791260918%3Futm_source%3Dtw_share%26referral%3Dweb_share) [Copy link](https://internshala.com/internship/detail/work-from-home-backend-development-internship-at-opalcode1791260918#)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work from home job/internship
Selected intern's day-to-day responsibilities include:
1\. Develop server-side applications and backend services using suitable programming languages and frameworks.
2\. Design and implement REST APIs for web applications and connect them with front-end interfaces.
3\. Work with databases such as MongoDB, MySQL or PostgreSQL to store, retrieve and manage application data.
4\. mplement authentication, data validation, error handling and basic backend security practices.
5\. Test, debug and optimize backend functionality while participating in mentor-led sessions and completing assigned projects.
### Skill(s) required
DjangoExpress.jsMongoDBNode.jsREST API
Earn certifications in these skills
[Learn Node.JS](https://trainings.internshala.com/nodejs-course/?utm_source=is_web_internshala_details_page)
[Learn VLSI](https://trainings.internshala.com/vlsi-design-course/?utm_source=is_web_internshala_details_page)
[Learn AI in Data Science](https://trainings.internshala.com/ai-data-science/?utm_source=is_web_internshala_details_page)
[Learn Embedded Systems](https://trainings.internshala.com/embedded-systems/?utm_source=is_web_internshala_details_page)
[Learn Web Development](https://trainings.internshala.com/web-development-course/?utm_source=is_web_internshala_details_page)
[Learn Vibe Coding](https://trainings.internshala.com/vibe-coding-with-replit-course/?utm_source=is_web_internshala_details_page)
[Learn Data Structures &amp; Algorithms](https://trainings.internshala.com/data-structures-algorithms-course/?utm_source=is_web_internshala_details_page)
[Learn Git &amp; Github](https://trainings.internshala.com/git-course/?utm_source=is_web_internshala_details_page)
\+ 1 more skills
Who can apply
Only those candidates can apply who:
1\. are available for the work from home job/internship
2\. can start the work from home job/internship between 5th Oct'26 and 9th Nov'26
3\. are available for duration of 2 months
4\. have relevant skills and interests
\\* Women wanting to start/restart their career can also apply.
### Other requirements
1\. Students currently pursuing college, including 1st, 2nd, 3rd or final year, are eligible to apply.
2\. Fresh graduates, entry-level candidates and individuals looking to restart their careers after a gap are welcome.
3\. Applicants from Computer Science, Information Technology, Software Development, Engineering or related backgrounds may be preferred, but candidates from other disciplines can also apply.
4\. Candidates interested in backend development, programming and databases are encouraged to apply. Basic knowledge of any programming language or database is helpful but not mandatory.
5\. Applicants should be willing to learn, work on practical assignments and take guidance from mentors throughout the internship.
### Perks
Cer</t>
        </is>
      </c>
      <c r="N244" t="n">
        <v>70</v>
      </c>
      <c r="O244" t="n">
        <v>80</v>
      </c>
      <c r="P244" t="n">
        <v>85</v>
      </c>
      <c r="Q244" t="n">
        <v>90</v>
      </c>
      <c r="R244" t="n">
        <v>40</v>
      </c>
      <c r="S244" t="n">
        <v>40</v>
      </c>
      <c r="T244" t="n">
        <v>60</v>
      </c>
      <c r="U244" t="inlineStr">
        <is>
          <t>CONSIDER</t>
        </is>
      </c>
      <c r="V244" t="inlineStr">
        <is>
          <t>CONSIDER</t>
        </is>
      </c>
      <c r="W244" t="inlineStr">
        <is>
          <t>Django</t>
        </is>
      </c>
      <c r="X244" t="inlineStr">
        <is>
          <t>Amaanuddin_Ahmed_Resume.pdf</t>
        </is>
      </c>
      <c r="Y244" t="inlineStr">
        <is>
          <t>2026-10-06</t>
        </is>
      </c>
      <c r="Z244" t="inlineStr">
        <is>
          <t>Strong technical alignment with backend stack (Node.js, Express.js, MongoDB, REST APIs).; Flexible work hours and remote work mode fit candidate preferences.</t>
        </is>
      </c>
      <c r="AA244" t="inlineStr">
        <is>
          <t>eligible</t>
        </is>
      </c>
      <c r="AB244" t="inlineStr">
        <is>
          <t>Candidate is pursuing an MCA, which matches the required Computer Science and IT backgrounds.; Candidate meets all availability and student criteria.</t>
        </is>
      </c>
      <c r="AC244" t="inlineStr">
        <is>
          <t>available</t>
        </is>
      </c>
      <c r="AD244" t="inlineStr">
        <is>
          <t>Candidate meets the start date and duration criteria.</t>
        </is>
      </c>
      <c r="AE244" t="inlineStr">
        <is>
          <t>paid</t>
        </is>
      </c>
      <c r="AF244" t="n">
        <v>5000</v>
      </c>
      <c r="AG244" t="inlineStr">
        <is>
          <t>Yes</t>
        </is>
      </c>
      <c r="AH244" t="inlineStr">
        <is>
          <t>not mentioned</t>
        </is>
      </c>
      <c r="AI244" t="inlineStr">
        <is>
          <t>No explicit PPO or job offer post-internship is mentioned in the description.</t>
        </is>
      </c>
      <c r="AK244" t="inlineStr">
        <is>
          <t>Stipend is below the candidate's minimum target of ₹25,000/month.; PPO is not mentioned, which conflicts with candidate's high priority for PPO.</t>
        </is>
      </c>
      <c r="AL244" t="inlineStr">
        <is>
          <t>Node.js and Express.js core concepts and architecture; REST API design principles and security practices; Database management using MongoDB and MySQL; Experience building server-side applications and authentication workflows</t>
        </is>
      </c>
    </row>
    <row r="245">
      <c r="A245" t="inlineStr">
        <is>
          <t>HOOMAN-DIGIT-261006-38</t>
        </is>
      </c>
      <c r="B245" t="inlineStr">
        <is>
          <t>Hooman Digital LLP</t>
        </is>
      </c>
      <c r="C245" t="inlineStr">
        <is>
          <t>Full Stack Development</t>
        </is>
      </c>
      <c r="D245" t="inlineStr">
        <is>
          <t>https://internshala.com/internship/detail/work-from-home-full-stack-development-internship-at-hooman-digital-llp1791260565</t>
        </is>
      </c>
      <c r="E245" t="inlineStr">
        <is>
          <t>AI Analyzer</t>
        </is>
      </c>
      <c r="F245" t="inlineStr">
        <is>
          <t>Work from home</t>
        </is>
      </c>
      <c r="G245" t="inlineStr">
        <is>
          <t>Remote</t>
        </is>
      </c>
      <c r="H245" t="inlineStr">
        <is>
          <t>₹ 10,000 - 15,000 /month</t>
        </is>
      </c>
      <c r="I245" t="inlineStr">
        <is>
          <t>6 Months</t>
        </is>
      </c>
      <c r="J245" t="inlineStr">
        <is>
          <t>Not Mentioned</t>
        </is>
      </c>
      <c r="K245" t="inlineStr">
        <is>
          <t>DevOps; FastAPI; LLMOps; PostgreSQL; Product Development; Python; TypeScript</t>
        </is>
      </c>
      <c r="L245" t="inlineStr">
        <is>
          <t>vLLM; Ollama; llama.cpp</t>
        </is>
      </c>
      <c r="M245" t="inlineStr">
        <is>
          <t>Loading, please wait...
[Browse more internships](https://internshala.com/internships)
[Home](https://internshala.com/)[Internships](https://internshala.com/internships/)[WFH Full Stack Development Internships](https://internshala.com/internships/work-from-home-full-stack-development-internships/)
# Full Stack Development - Internship (WFH)
Actively hiring
Full Stack Development
[Hooman Digital LLP](https://internshala.com/company/hooman-digital-llp-1674283176)
![Hooman Digital LLP](https://internshala-uploads.internshala.com/logo%2F4cvlsomojn6-87907.png.webp)
Work from home
Start Date
Starts immediatelyImmediately
Duration
6 Months
Stipend
₹ 10,000 - 15,000 /month
APPLY BY
5 Nov' 26
Posted few hours ago
Internship
406 applicants
[Share on WhatsApp](https://wa.me/?text=Check%20out%20this%20work%20from%20home%20internship%20at%20Hooman%20Digital%20LLP%20https%3A%2F%2Finternshala.com%2Finternship%2Fdetail%2Fwork-from-home-full-stack-development-internship-at-hooman-digital-llp1791260565%3Futm_source%3Dwp_share%26referral%3Dweb_share) [Share on LinkedIn](https://www.linkedin.com/shareArticle?mini=true&amp;url=https%3A%2F%2Finternshala.com%2Finternship%2Fdetail%2Fwork-from-home-full-stack-development-internship-at-hooman-digital-llp1791260565%3Futm_source%3Dli_share%26referral%3Dweb_share) [Share on Facebook](https://www.facebook.com/share.php?u=https%3A%2F%2Finternshala.com%2Finternship%2Fdetail%2Fwork-from-home-full-stack-development-internship-at-hooman-digital-llp1791260565%3Futm_source%3Dfb_share%26referral%3Dweb_share) [Share on Twitter](https://twitter.com/share?url=https%3A%2F%2Finternshala.com%2Finternship%2Fdetail%2Fwork-from-home-full-stack-development-internship-at-hooman-digital-llp1791260565%3Futm_source%3Dtw_share%26referral%3Dweb_share) [Copy link](https://internshala.com/internship/detail/work-from-home-full-stack-development-internship-at-hooman-digital-llp1791260565#)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work from home job/internship
We're looking for a hands-on engineer to build private AI products and automation solutions that deliver measurable business outcomes. You'll work across the frontend, backend, and agent layer, taking features from idea to production.
What you'll work on
1\. Build full-stack applications and AI workflows for real business use cases.
2\. Develop agents that use APIs and tools to execute tasks across business systems.
3\. Implement authentication, role-based access control (RBAC), and permissions.
4\. Design context management, memory, retrieval, and tool-calling workflows.
5\. Integrate locally hosted LLMs to build private AI solutions within customer-controlled infrastructure.
Build evaluations, logging, error handling, and monitoring for reliable execution.
Own features from development through deployment and improvement.
What we're looking for
1\. Strong fundamentals in frontend development, backend systems, APIs, and databases.
2\. A deep understanding of agentic AI engineering, including orchestration, state, context, memory, and tool calling.
3\. Experience with local LLM inference using tools such as vLLM, Ollama, or llama.cpp.
4\. An understanding of model serving, inference performance, hardware constraints, and data privacy.
5\. The ability to debug problems, explain technical decisions, and work independently.
6\. Care for product usability, code quality, and measurable outcomes.
7\. Personal projects and working demos are welcome. We value what you can build and explain.
Apply with GitHub profile, and relevant projects or demos. Include a short note about an AI workflow or private LLM solution you built, how it works, and what you personally implemented.
### Skill(s) required
DevOpsFastAPILLMOpsPostgreSQLProduct DevelopmentPythonTypeScript
Earn certifications in these skills
[Learn LLMOps](https://trainings.internshala.com/generative-ai-course/?utm_source=is_web_internshala_details_page)
[Learn PostgreSQL](https://trainings.internshala.com/sql-data-analytics-course/?utm_source=is_web_internshala_details_page)
[Learn Python](https://trainings.internshala.com/python-course/?utm_source=is_web_internshala_details_page)
Who can apply
Only those candidates can apply who:
1\. are available for the work from home job/internship
2\. can start the work from home job/internship between 6th Oct'26 and 10th Nov'26
3\. are available for duration of 6 months
4\. have relevant skills and interests
### Perks
Certificate Letter of recommendation Flexible work hours
### Number of openings
2
## About Hooman Digital LLP
Kolkata
At HD, we're a diverse team of passionate experts offering comprehensive digital solutions. Our commitment to au</t>
        </is>
      </c>
      <c r="N245" t="n">
        <v>40</v>
      </c>
      <c r="O245" t="n">
        <v>40</v>
      </c>
      <c r="P245" t="n">
        <v>50</v>
      </c>
      <c r="Q245" t="n">
        <v>60</v>
      </c>
      <c r="R245" t="n">
        <v>0</v>
      </c>
      <c r="S245" t="n">
        <v>40</v>
      </c>
      <c r="T245" t="n">
        <v>50</v>
      </c>
      <c r="U245" t="inlineStr">
        <is>
          <t>SKIP</t>
        </is>
      </c>
      <c r="V245" t="inlineStr">
        <is>
          <t>SKIP</t>
        </is>
      </c>
      <c r="W245" t="inlineStr">
        <is>
          <t>FastAPI; LLMOps; PostgreSQL; Python; TypeScript; DevOps</t>
        </is>
      </c>
      <c r="X245" t="inlineStr">
        <is>
          <t>Amaanuddin_Ahmed_Resume.pdf</t>
        </is>
      </c>
      <c r="Y245" t="inlineStr">
        <is>
          <t>2026-10-06</t>
        </is>
      </c>
      <c r="Z245" t="inlineStr">
        <is>
          <t>Work involves cutting-edge AI and agentic workflow development</t>
        </is>
      </c>
      <c r="AA245" t="inlineStr">
        <is>
          <t>Eligible</t>
        </is>
      </c>
      <c r="AB245" t="inlineStr">
        <is>
          <t>Candidate is available for remote work; Available for the 6-month duration; Available within the required start date range</t>
        </is>
      </c>
      <c r="AC245" t="inlineStr">
        <is>
          <t>Available</t>
        </is>
      </c>
      <c r="AD245" t="inlineStr">
        <is>
          <t>Available for the specified start date and 6-month duration.</t>
        </is>
      </c>
      <c r="AE245" t="inlineStr">
        <is>
          <t>Below Target</t>
        </is>
      </c>
      <c r="AF245" t="n">
        <v>10000</v>
      </c>
      <c r="AG245" t="inlineStr">
        <is>
          <t>No</t>
        </is>
      </c>
      <c r="AH245" t="inlineStr">
        <is>
          <t>Not Mentioned</t>
        </is>
      </c>
      <c r="AI245" t="inlineStr">
        <is>
          <t>No mention of a Pre-Placement Offer (PPO) or conversion in the job description.</t>
        </is>
      </c>
      <c r="AJ245" t="inlineStr">
        <is>
          <t>Stipend of ₹10,000 - ₹15,000/month is below the minimum target of ₹25,000/month; Heavy requirement for Python, FastAPI, LLMOps, and local LLM tooling (vLLM, Ollama) which are not part of candidate's core demonstrated stack</t>
        </is>
      </c>
      <c r="AK245" t="inlineStr">
        <is>
          <t>Low stipend relative to the technical complexity requested (AI agentic workflows, local LLM serving)</t>
        </is>
      </c>
      <c r="AL245" t="inlineStr">
        <is>
          <t>Python &amp; FastAPI development; LLMOps and local LLM inference (Ollama, vLLM); Agentic AI workflows, memory, and tool calling; PostgreSQL and database management</t>
        </is>
      </c>
    </row>
    <row r="246">
      <c r="A246" t="inlineStr">
        <is>
          <t>WOMEN-FIRST--261006-39</t>
        </is>
      </c>
      <c r="B246" t="inlineStr">
        <is>
          <t>Women First India Foundation</t>
        </is>
      </c>
      <c r="C246" t="inlineStr">
        <is>
          <t>Software Development</t>
        </is>
      </c>
      <c r="D246" t="inlineStr">
        <is>
          <t>https://internshala.com/internship/detail/work-from-home-software-development-internship-at-women-first-india-foundation1791204121</t>
        </is>
      </c>
      <c r="E246" t="inlineStr">
        <is>
          <t>AI Analyzer</t>
        </is>
      </c>
      <c r="F246" t="inlineStr">
        <is>
          <t>Work from home</t>
        </is>
      </c>
      <c r="G246" t="inlineStr">
        <is>
          <t>Remote</t>
        </is>
      </c>
      <c r="H246" t="inlineStr">
        <is>
          <t>Unpaid</t>
        </is>
      </c>
      <c r="I246" t="inlineStr">
        <is>
          <t>Not specified</t>
        </is>
      </c>
      <c r="J246" t="inlineStr">
        <is>
          <t>Not Mentioned</t>
        </is>
      </c>
      <c r="M246" t="inlineStr">
        <is>
          <t>Software Development internship at Women First India Foundation. Location: Work from home. Stipend: Unpaid.</t>
        </is>
      </c>
      <c r="N246" t="n">
        <v>34</v>
      </c>
      <c r="O246" t="n">
        <v>50</v>
      </c>
      <c r="P246" t="n">
        <v>50</v>
      </c>
      <c r="Q246" t="n">
        <v>50</v>
      </c>
      <c r="R246" t="n">
        <v>0</v>
      </c>
      <c r="S246" t="n">
        <v>0</v>
      </c>
      <c r="T246" t="n">
        <v>20</v>
      </c>
      <c r="U246" t="inlineStr">
        <is>
          <t>SKIP</t>
        </is>
      </c>
      <c r="V246" t="inlineStr">
        <is>
          <t>SKIP</t>
        </is>
      </c>
      <c r="X246" t="inlineStr">
        <is>
          <t>Standard Full Stack Resume</t>
        </is>
      </c>
      <c r="Y246" t="inlineStr">
        <is>
          <t>2026-10-06</t>
        </is>
      </c>
      <c r="AA246" t="inlineStr">
        <is>
          <t>Eligible</t>
        </is>
      </c>
      <c r="AB246" t="inlineStr">
        <is>
          <t>Candidate is an MCA student available for internships; No hard degree or location blockers in JD</t>
        </is>
      </c>
      <c r="AC246" t="inlineStr">
        <is>
          <t>Unknown</t>
        </is>
      </c>
      <c r="AD246" t="inlineStr">
        <is>
          <t>Exact start date and availability window not specified in the JD</t>
        </is>
      </c>
      <c r="AE246" t="inlineStr">
        <is>
          <t>Unpaid</t>
        </is>
      </c>
      <c r="AF246" t="n">
        <v>0</v>
      </c>
      <c r="AG246" t="inlineStr">
        <is>
          <t>No</t>
        </is>
      </c>
      <c r="AH246" t="inlineStr">
        <is>
          <t>Not Mentioned</t>
        </is>
      </c>
      <c r="AI246" t="inlineStr">
        <is>
          <t>No mention of PPO or conversion in the JD</t>
        </is>
      </c>
      <c r="AJ246" t="inlineStr">
        <is>
          <t>Unpaid internship violates the minimum stipend target of ₹25,000/month</t>
        </is>
      </c>
      <c r="AK246" t="inlineStr">
        <is>
          <t>Unpaid internship</t>
        </is>
      </c>
    </row>
    <row r="247">
      <c r="A247" t="inlineStr">
        <is>
          <t>QUEENS-OF-CH-261006-40</t>
        </is>
      </c>
      <c r="B247" t="inlineStr">
        <is>
          <t>Queens Of Change Foundation</t>
        </is>
      </c>
      <c r="C247" t="inlineStr">
        <is>
          <t>Backend Development</t>
        </is>
      </c>
      <c r="D247" t="inlineStr">
        <is>
          <t>https://internshala.com/internship/detail/work-from-home-backend-development-internship-at-queens-of-change-foundation1791202675</t>
        </is>
      </c>
      <c r="E247" t="inlineStr">
        <is>
          <t>AI Analyzer</t>
        </is>
      </c>
      <c r="F247" t="inlineStr">
        <is>
          <t>Work from home</t>
        </is>
      </c>
      <c r="G247" t="inlineStr">
        <is>
          <t>Remote</t>
        </is>
      </c>
      <c r="H247" t="inlineStr">
        <is>
          <t>Unpaid</t>
        </is>
      </c>
      <c r="I247" t="inlineStr">
        <is>
          <t>UNKNOWN</t>
        </is>
      </c>
      <c r="J247" t="inlineStr">
        <is>
          <t>none</t>
        </is>
      </c>
      <c r="K247" t="inlineStr">
        <is>
          <t>Backend Development</t>
        </is>
      </c>
      <c r="M247" t="inlineStr">
        <is>
          <t>Backend Development internship at Queens Of Change Foundation. Location: Work from home. Stipend: Unpaid.</t>
        </is>
      </c>
      <c r="N247" t="n">
        <v>55</v>
      </c>
      <c r="O247" t="n">
        <v>80</v>
      </c>
      <c r="P247" t="n">
        <v>85</v>
      </c>
      <c r="Q247" t="n">
        <v>80</v>
      </c>
      <c r="R247" t="n">
        <v>0</v>
      </c>
      <c r="S247" t="n">
        <v>0</v>
      </c>
      <c r="T247" t="n">
        <v>20</v>
      </c>
      <c r="U247" t="inlineStr">
        <is>
          <t>SKIP</t>
        </is>
      </c>
      <c r="V247" t="inlineStr">
        <is>
          <t>SKIP</t>
        </is>
      </c>
      <c r="X247" t="inlineStr">
        <is>
          <t>Amaanuddin_Ahmed_Resume.pdf</t>
        </is>
      </c>
      <c r="Y247" t="inlineStr">
        <is>
          <t>2026-10-06</t>
        </is>
      </c>
      <c r="Z247" t="inlineStr">
        <is>
          <t>Matches backend development profile and tech stack.</t>
        </is>
      </c>
      <c r="AA247" t="inlineStr">
        <is>
          <t>eligible</t>
        </is>
      </c>
      <c r="AB247" t="inlineStr">
        <is>
          <t>The candidate meets general profile criteria for backend development roles.; No strict degree or strict location blockers mentioned in the minimal description.</t>
        </is>
      </c>
      <c r="AC247" t="inlineStr">
        <is>
          <t>unknown</t>
        </is>
      </c>
      <c r="AD247" t="inlineStr">
        <is>
          <t>Availability not explicitly specified in the job description.</t>
        </is>
      </c>
      <c r="AE247" t="inlineStr">
        <is>
          <t>unpaid</t>
        </is>
      </c>
      <c r="AF247" t="n">
        <v>0</v>
      </c>
      <c r="AG247" t="inlineStr">
        <is>
          <t>No</t>
        </is>
      </c>
      <c r="AH247" t="inlineStr">
        <is>
          <t>none</t>
        </is>
      </c>
      <c r="AI247" t="inlineStr">
        <is>
          <t>No mention of PPO or conversion in the job description.</t>
        </is>
      </c>
      <c r="AJ247" t="inlineStr">
        <is>
          <t>Unpaid stipend (violates minimum stipend target of ₹25,000/month)</t>
        </is>
      </c>
      <c r="AK247" t="inlineStr">
        <is>
          <t>Unpaid internship; Very sparse job description</t>
        </is>
      </c>
      <c r="AL247" t="inlineStr">
        <is>
          <t>Node.js and Express architecture; Database management and query optimization; RESTful API design principles</t>
        </is>
      </c>
    </row>
    <row r="248">
      <c r="A248" t="inlineStr">
        <is>
          <t>NAYEPANKH-FO-261006-41</t>
        </is>
      </c>
      <c r="B248" t="inlineStr">
        <is>
          <t>NayePankh Foundation</t>
        </is>
      </c>
      <c r="C248" t="inlineStr">
        <is>
          <t>Software Development</t>
        </is>
      </c>
      <c r="D248" t="inlineStr">
        <is>
          <t>https://internshala.com/internship/detail/work-from-home-software-development-internship-at-nayepankh-foundation1791202072</t>
        </is>
      </c>
      <c r="E248" t="inlineStr">
        <is>
          <t>AI Analyzer</t>
        </is>
      </c>
      <c r="F248" t="inlineStr">
        <is>
          <t>Work from home</t>
        </is>
      </c>
      <c r="G248" t="inlineStr">
        <is>
          <t>Remote</t>
        </is>
      </c>
      <c r="H248" t="inlineStr">
        <is>
          <t>Unpaid</t>
        </is>
      </c>
      <c r="I248" t="inlineStr">
        <is>
          <t>Not specified</t>
        </is>
      </c>
      <c r="J248" t="inlineStr">
        <is>
          <t>none</t>
        </is>
      </c>
      <c r="M248" t="inlineStr">
        <is>
          <t>Software Development internship at NayePankh Foundation. Location: Work from home. Stipend: Unpaid.</t>
        </is>
      </c>
      <c r="N248" t="n">
        <v>34</v>
      </c>
      <c r="O248" t="n">
        <v>50</v>
      </c>
      <c r="P248" t="n">
        <v>50</v>
      </c>
      <c r="Q248" t="n">
        <v>50</v>
      </c>
      <c r="R248" t="n">
        <v>0</v>
      </c>
      <c r="S248" t="n">
        <v>0</v>
      </c>
      <c r="T248" t="n">
        <v>20</v>
      </c>
      <c r="U248" t="inlineStr">
        <is>
          <t>SKIP</t>
        </is>
      </c>
      <c r="V248" t="inlineStr">
        <is>
          <t>SKIP</t>
        </is>
      </c>
      <c r="X248" t="inlineStr">
        <is>
          <t>Amaanuddin_Ahmed_Resume.pdf</t>
        </is>
      </c>
      <c r="Y248" t="inlineStr">
        <is>
          <t>2026-10-06</t>
        </is>
      </c>
      <c r="AA248" t="inlineStr">
        <is>
          <t>eligible</t>
        </is>
      </c>
      <c r="AB248" t="inlineStr">
        <is>
          <t>No strict degree or strict experience blockers mentioned in the short description.</t>
        </is>
      </c>
      <c r="AC248" t="inlineStr">
        <is>
          <t>unknown</t>
        </is>
      </c>
      <c r="AD248" t="inlineStr">
        <is>
          <t>Candidate availability dates are not explicitly compared against start date.</t>
        </is>
      </c>
      <c r="AE248" t="inlineStr">
        <is>
          <t>unpaid</t>
        </is>
      </c>
      <c r="AF248" t="n">
        <v>0</v>
      </c>
      <c r="AG248" t="inlineStr">
        <is>
          <t>No</t>
        </is>
      </c>
      <c r="AH248" t="inlineStr">
        <is>
          <t>none</t>
        </is>
      </c>
      <c r="AI248" t="inlineStr">
        <is>
          <t>No mention of PPO or conversion in the job description.</t>
        </is>
      </c>
      <c r="AJ248" t="inlineStr">
        <is>
          <t>Unpaid stipend falls below candidate's minimum target of ₹25,000/month.</t>
        </is>
      </c>
      <c r="AK248" t="inlineStr">
        <is>
          <t>Unpaid internship; Lack of technical details in job description; NGO/Foundation setting instead of a standard software product/tech company</t>
        </is>
      </c>
    </row>
    <row r="249">
      <c r="A249" t="inlineStr">
        <is>
          <t>CODEATRIX-261006-42</t>
        </is>
      </c>
      <c r="B249" t="inlineStr">
        <is>
          <t>Codeatrix</t>
        </is>
      </c>
      <c r="C249" t="inlineStr">
        <is>
          <t>Full Stack Development</t>
        </is>
      </c>
      <c r="D249" t="inlineStr">
        <is>
          <t>https://internshala.com/internship/detail/work-from-home-full-stack-development-internship-at-codeatrix1790955721</t>
        </is>
      </c>
      <c r="E249" t="inlineStr">
        <is>
          <t>AI Analyzer</t>
        </is>
      </c>
      <c r="F249" t="inlineStr">
        <is>
          <t>Work from home</t>
        </is>
      </c>
      <c r="G249" t="inlineStr">
        <is>
          <t>Remote</t>
        </is>
      </c>
      <c r="H249" t="inlineStr">
        <is>
          <t>₹ 8,000 - 20,000 /month (Fixed: ₹ 5,000 - 15,000 /month, Incentive: ₹ 3,000 - 5,000 /month)</t>
        </is>
      </c>
      <c r="I249" t="inlineStr">
        <is>
          <t>2 Months</t>
        </is>
      </c>
      <c r="J249" t="inlineStr">
        <is>
          <t>not mentioned</t>
        </is>
      </c>
      <c r="K249" t="inlineStr">
        <is>
          <t>CSS; HTML; JavaScript; Node.js; PHP; Python; React</t>
        </is>
      </c>
      <c r="L249" t="inlineStr">
        <is>
          <t>Databases; Java</t>
        </is>
      </c>
      <c r="M249" t="inlineStr">
        <is>
          <t>Loading, please wait...
[Browse more internships](https://internshala.com/internships)
[Home](https://internshala.com/)[Internships](https://internshala.com/internships/)[WFH Full Stack Development Internships](https://internshala.com/internships/work-from-home-full-stack-development-internships/)
# Full Stack Development - Internship (WFH)
Actively hiring
Full Stack Development
[Codeatrix](https://internshala.com/company/codeatrix-1787059855)
![Codeatrix](https://internshala-uploads.internshala.com/logo%2Fhjs2ciaa0ue-1787060229.png.webp)
Work from home
Start Date
Starts immediatelyImmediately
Duration
2 Months
Stipend
₹ 8,000 - 20,000 /month
APPLY BY
1 Nov' 26
Posted 4 days ago
Internship
1000+ applicants
[Share on WhatsApp](https://wa.me/?text=Check%20out%20this%20work%20from%20home%20internship%20at%20Codeatrix%20https%3A%2F%2Finternshala.com%2Finternship%2Fdetail%2Fwork-from-home-full-stack-development-internship-at-codeatrix1790955721%3Futm_source%3Dwp_share%26referral%3Dweb_share) [Share on LinkedIn](https://www.linkedin.com/shareArticle?mini=true&amp;url=https%3A%2F%2Finternshala.com%2Finternship%2Fdetail%2Fwork-from-home-full-stack-development-internship-at-codeatrix1790955721%3Futm_source%3Dli_share%26referral%3Dweb_share) [Share on Facebook](https://www.facebook.com/share.php?u=https%3A%2F%2Finternshala.com%2Finternship%2Fdetail%2Fwork-from-home-full-stack-development-internship-at-codeatrix1790955721%3Futm_source%3Dfb_share%26referral%3Dweb_share) [Share on Twitter](https://twitter.com/share?url=https%3A%2F%2Finternshala.com%2Finternship%2Fdetail%2Fwork-from-home-full-stack-development-internship-at-codeatrix1790955721%3Futm_source%3Dtw_share%26referral%3Dweb_share) [Copy link](https://internshala.com/internship/detail/work-from-home-full-stack-development-internship-at-codeatrix1790955721#)
[Continue with Google](https://internshala.com/login/get_google/student/%2Fstudent%2Fresume%3Fdetail_source%3Dresume_intermediate?utm_source=detail_page)
[Continue with Google](https://internshala.com/login/get_google/student/%2Fstudent%2Fresume%3Fdetail_source%3Dresume_intermediate?utm_source=detail_page)
## About the work from home job/internship
1\. Develop responsive and interactive web applications using front-end and back-end technologies.
2\. Work with HTML, CSS, JavaScript and relevant frameworks to build user-friendly interfaces and application features.
3\. Develop server-side functionality, APIs, authentication and database integrations for web applications.
4\. Work on practical full-stack projects involving application development, testing, debugging and deployment.
5\. Participate in mentor-guided sessions, complete assigned tasks and projects, and document the work professionally.
### Skill(s) required
CSSHTMLJavaScriptNode.jsPHPPythonReact
Earn certifications in these skills
[Learn CSS](https://trainings.internshala.com/web-development-course/?utm_source=is_web_internshala_details_page)
[Learn HTML](https://trainings.internshala.com/web-development-course/?utm_source=is_web_internshala_details_page)
[Learn Node.JS using Javascript](https://trainings.internshala.com/nodejs-course/?utm_source=is_web_internshala_details_page)
[Learn Software Testing using Javascript](https://trainings.internshala.com/software-testing-course/?utm_source=is_web_internshala_details_page)
[Learn Node.JS](https://trainings.internshala.com/nodejs-course/?utm_source=is_web_internshala_details_page)
[Learn PHP](https://trainings.internshala.com/web-development-course/?utm_source=is_web_internshala_details_page)
[Learn Python](https://trainings.internshala.com/python-course/?utm_source=is_web_internshala_details_page)
[Learn ReactJS](https://trainings.internshala.com/react-course/?utm_source=is_web_internshala_details_page)
\+ 1 more skills
Who can apply
Only those candidates can apply who:
1\. are available for the work from home job/internship
2\. can start the work from home job/internship between 2nd Oct'26 and 6th Nov'26
3\. are available for duration of 2 months
4\. have relevant skills and interests
\\* Women wanting to start/restart their career can also apply.
### Other requirements
1\. College students from any year, including 1st, 2nd, 3rd and final year students, can apply.
2\. Freshers, recent graduates and candidates with a career gap looking to gain practical experience or restart their careers are welcome.
3\. Candidates pursuing or having completed a degree/diploma in Computer Science, IT, Software Development or related fields are preferred, but candidates from any academic background can apply.
4\. Candidates interested in web development and programming are encouraged to apply. Basic knowledge of HTML, CSS, JavaScript, Python, Java, Node.js or databases is preferred but not mandatory.
5\. Candidates should be willing to learn, work on practical projects and complete assigned tasks with guidance from our mentors throughout the internship.
### Perks
Cer</t>
        </is>
      </c>
      <c r="N249" t="n">
        <v>65</v>
      </c>
      <c r="O249" t="n">
        <v>80</v>
      </c>
      <c r="P249" t="n">
        <v>90</v>
      </c>
      <c r="Q249" t="n">
        <v>85</v>
      </c>
      <c r="R249" t="n">
        <v>20</v>
      </c>
      <c r="S249" t="n">
        <v>30</v>
      </c>
      <c r="T249" t="n">
        <v>40</v>
      </c>
      <c r="U249" t="inlineStr">
        <is>
          <t>STRETCH</t>
        </is>
      </c>
      <c r="V249" t="inlineStr">
        <is>
          <t>STRETCH</t>
        </is>
      </c>
      <c r="W249" t="inlineStr">
        <is>
          <t>PHP</t>
        </is>
      </c>
      <c r="X249" t="inlineStr">
        <is>
          <t>Default Full Stack / MERN Resume</t>
        </is>
      </c>
      <c r="Y249" t="inlineStr">
        <is>
          <t>2026-10-06</t>
        </is>
      </c>
      <c r="Z249" t="inlineStr">
        <is>
          <t>Strong technical alignment with required JavaScript, HTML, CSS, Node.js, and React skills; Flexible work-from-home setup</t>
        </is>
      </c>
      <c r="AA249" t="inlineStr">
        <is>
          <t>eligible</t>
        </is>
      </c>
      <c r="AB249" t="inlineStr">
        <is>
          <t>Candidate is available for remote work; Candidate meets start date window; Candidate meets duration requirements; Candidate has relevant background in computer science and software development</t>
        </is>
      </c>
      <c r="AC249" t="inlineStr">
        <is>
          <t>unknown</t>
        </is>
      </c>
      <c r="AD249" t="inlineStr">
        <is>
          <t>Exact daily availability hours not specified in the profile</t>
        </is>
      </c>
      <c r="AE249" t="inlineStr">
        <is>
          <t>known</t>
        </is>
      </c>
      <c r="AF249" t="n">
        <v>5000</v>
      </c>
      <c r="AG249" t="inlineStr">
        <is>
          <t>Yes</t>
        </is>
      </c>
      <c r="AH249" t="inlineStr">
        <is>
          <t>not mentioned</t>
        </is>
      </c>
      <c r="AI249" t="inlineStr">
        <is>
          <t>No mention of a permanent job offer (PPO) or conversion post-internship in the job description.</t>
        </is>
      </c>
      <c r="AK249" t="inlineStr">
        <is>
          <t>Guaranteed fixed stipend (₹5,000 - ₹15,000) falls below the candidate minimum target of ₹25,000/month; No PPO or conversion mentioned; Codeatrix appears to be a learning/training organisation offering guided projects rather than an industry tech product company</t>
        </is>
      </c>
      <c r="AL249" t="inlineStr">
        <is>
          <t>JavaScript core concepts and asynchronous programming; React.js state management and component lifecycle; Node.js and Express backend development; Basic PHP understanding or willingness to learn</t>
        </is>
      </c>
    </row>
    <row r="250">
      <c r="A250" t="inlineStr">
        <is>
          <t>SCIFI-261006-43</t>
        </is>
      </c>
      <c r="B250" t="inlineStr">
        <is>
          <t>sciFi</t>
        </is>
      </c>
      <c r="C250" t="inlineStr">
        <is>
          <t>Software Development Internship</t>
        </is>
      </c>
      <c r="D250" t="inlineStr">
        <is>
          <t>https://unstop.com/internships/software-development-internship-scifi-1760998</t>
        </is>
      </c>
      <c r="E250" t="inlineStr">
        <is>
          <t>AI Analyzer</t>
        </is>
      </c>
      <c r="F250" t="inlineStr">
        <is>
          <t>Remote</t>
        </is>
      </c>
      <c r="G250" t="inlineStr">
        <is>
          <t>Remote</t>
        </is>
      </c>
      <c r="H250" t="inlineStr">
        <is>
          <t>Unpaid</t>
        </is>
      </c>
      <c r="I250" t="inlineStr">
        <is>
          <t>4 months</t>
        </is>
      </c>
      <c r="J250" t="inlineStr">
        <is>
          <t>not mentioned</t>
        </is>
      </c>
      <c r="K250" t="inlineStr">
        <is>
          <t>Software Development Life Cycle (SDLC); Problem Solving; API Development (REST); Unit Testing; Version Control Systems (Git, SVN)</t>
        </is>
      </c>
      <c r="L250" t="inlineStr">
        <is>
          <t>Programming Fundamentals; Data Structures; APIs; Version-Control Concepts</t>
        </is>
      </c>
      <c r="M250" t="inlineStr">
        <is>
          <t>About the Company SciFi is building an innovative technology environment at the intersection of education and artificial intelligence. The team focuses on creating thoughtful, accessible solutions that improve how learners discover knowledge, practice skills, and achieve meaningful outcomes. Interns will work in a collaborative remote setting with opportunities to learn from real product and engineering challenges. Responsibilities Assist with designing, developing, testing, and maintaining software features for education and AI-focused products. Translate requirements into reliable, readable code and contribute to technical discussions. Debug issues, write tests, review implementation approaches, and document development work. Collaborate with product, design, and engineering stakeholders using remote communication tools. Stay curious about emerging software practices and apply feedback to improve solutions. Requirements Applicants from any experience level are welcome, with a genuine interest in software development. Understanding of programming fundamentals, data structures, APIs, and version-control concepts is helpful. Strong problem-solving ability, willingness to learn, and clear written communication. Ability to manage tasks independently and collaborate effectively in a fully remote environment. This is a four-month, unpaid, full-time remote internship with sciFi in the EdTech and AI industry. The opportunity is intended for candidates who want practical exposure to software development and the chance to contribute to technology serving learners. Skills: Software Development Life Cycle (SDLC), Problem Solving, API Development (REST), Unit Testing, Version Control Systems (Git, SVN).</t>
        </is>
      </c>
      <c r="N250" t="n">
        <v>62</v>
      </c>
      <c r="O250" t="n">
        <v>75</v>
      </c>
      <c r="P250" t="n">
        <v>85</v>
      </c>
      <c r="Q250" t="n">
        <v>90</v>
      </c>
      <c r="R250" t="n">
        <v>30</v>
      </c>
      <c r="S250" t="n">
        <v>0</v>
      </c>
      <c r="T250" t="n">
        <v>50</v>
      </c>
      <c r="U250" t="inlineStr">
        <is>
          <t>STRETCH</t>
        </is>
      </c>
      <c r="V250" t="inlineStr">
        <is>
          <t>STRETCH</t>
        </is>
      </c>
      <c r="W250" t="inlineStr">
        <is>
          <t>Unit Testing; Software Development Life Cycle (SDLC)</t>
        </is>
      </c>
      <c r="X250" t="inlineStr">
        <is>
          <t>Amaanuddin_Ahmed_Resume.pdf</t>
        </is>
      </c>
      <c r="Y250" t="inlineStr">
        <is>
          <t>2026-10-06</t>
        </is>
      </c>
      <c r="Z250" t="inlineStr">
        <is>
          <t>Aligns with primary target roles for software engineering internships.; Fully remote work mode matches candidate preferences.</t>
        </is>
      </c>
      <c r="AA250" t="inlineStr">
        <is>
          <t>eligible</t>
        </is>
      </c>
      <c r="AB250" t="inlineStr">
        <is>
          <t>Applicants from any experience level are welcome.; Remote work mode aligns with candidate preferences.</t>
        </is>
      </c>
      <c r="AC250" t="inlineStr">
        <is>
          <t>unknown</t>
        </is>
      </c>
      <c r="AD250" t="inlineStr">
        <is>
          <t>Exact start dates and immediate availability confirmation not specified in candidate profile.</t>
        </is>
      </c>
      <c r="AE250" t="inlineStr">
        <is>
          <t>unpaid</t>
        </is>
      </c>
      <c r="AF250" t="n">
        <v>0</v>
      </c>
      <c r="AG250" t="inlineStr">
        <is>
          <t>No</t>
        </is>
      </c>
      <c r="AH250" t="inlineStr">
        <is>
          <t>not mentioned</t>
        </is>
      </c>
      <c r="AI250" t="inlineStr">
        <is>
          <t>No mention of PPO or conversion to full-time employment in the job description.</t>
        </is>
      </c>
      <c r="AK250" t="inlineStr">
        <is>
          <t>Unpaid internship below candidate minimum stipend target of ₹25,000/month.</t>
        </is>
      </c>
      <c r="AL250" t="inlineStr">
        <is>
          <t>REST API development and integration experience; Version control workflows using Git; Problem-solving approach and remote collaboration strategies; Previous full-stack project architecture</t>
        </is>
      </c>
    </row>
    <row r="251">
      <c r="A251" t="inlineStr">
        <is>
          <t>SLONIX-SOLUT-261006-44</t>
        </is>
      </c>
      <c r="B251" t="inlineStr">
        <is>
          <t>SLONIX SOLUTION PRIVATE LIMITED</t>
        </is>
      </c>
      <c r="C251" t="inlineStr">
        <is>
          <t>Software Developer Internship</t>
        </is>
      </c>
      <c r="D251" t="inlineStr">
        <is>
          <t>https://unstop.com/internships/software-developer-internship-slonix-solution-private-limited-1763156</t>
        </is>
      </c>
      <c r="E251" t="inlineStr">
        <is>
          <t>AI Analyzer</t>
        </is>
      </c>
      <c r="F251" t="inlineStr">
        <is>
          <t>Bangalore</t>
        </is>
      </c>
      <c r="G251" t="inlineStr">
        <is>
          <t>In-office</t>
        </is>
      </c>
      <c r="H251" t="inlineStr">
        <is>
          <t>₹20,000 – ₹30,000/month</t>
        </is>
      </c>
      <c r="I251" t="inlineStr">
        <is>
          <t>3 months</t>
        </is>
      </c>
      <c r="J251" t="inlineStr">
        <is>
          <t>NOT_MENTIONED</t>
        </is>
      </c>
      <c r="K251" t="inlineStr">
        <is>
          <t>Object-Oriented Programming (OOP); Data Structures and Algorithms; Software Development Life Cycle (SDLC); Debugging; Version Control Systems (Git, SVN)</t>
        </is>
      </c>
      <c r="M251" t="inlineStr">
        <is>
          <t>About the Company SLONIX SOLUTION PRIVATE LIMITED is seeking motivated technology talent to join its software development team. This internship offers final-year students the opportunity to gain practical exposure to product development, engineering collaboration, and professional software delivery in a fast-paced work environment. Responsibilities Assist in designing, developing, testing, and maintaining software applications. Translate functional requirements into clean, reliable, and maintainable code. Work with developers and other stakeholders to investigate issues and deliver improvements. Participate in code reviews, documentation, debugging, and technical discussions. Learn and follow engineering practices related to version control, testing, security, and deployment. Requirements Final-year student &amp; Pre-final year pursuing a relevant degree in computer science, information technology, engineering, or a related discipline. Good understanding of programming fundamentals, data structures, algorithms, and object-oriented concepts. Strong problem-solving ability, willingness to learn, and attention to detail. Ability to communicate clearly and work effectively in a team. Availability for a full-time, 3-month, in-office internship in Bangalore. This is a paid internship offering a monthly stipend of ₹20,000 to ₹30,000. The selected intern will receive hands-on mentoring and practical experience across the software development lifecycle. Apply directly : https://forms.gle/rqbg6VuNZZLzrCgSA Note : Our team will reach out to you via WhatsApp or phone call within 2-3 business days. -- Thanks and Regards, SLONIX SOLUTIONS +91- 9363296939 thivanthilagar.manager@slonixsolutions.in Skills: Object-Oriented Programming (OOP), Data Structures and Algorithms, Software Development Life Cycle (SDLC), Debugging, Version Control Systems (Git, SVN).</t>
        </is>
      </c>
      <c r="N251" t="n">
        <v>76</v>
      </c>
      <c r="O251" t="n">
        <v>75</v>
      </c>
      <c r="P251" t="n">
        <v>85</v>
      </c>
      <c r="Q251" t="n">
        <v>90</v>
      </c>
      <c r="R251" t="n">
        <v>50</v>
      </c>
      <c r="S251" t="n">
        <v>80</v>
      </c>
      <c r="T251" t="n">
        <v>75</v>
      </c>
      <c r="U251" t="inlineStr">
        <is>
          <t>CONSIDER</t>
        </is>
      </c>
      <c r="V251" t="inlineStr">
        <is>
          <t>CONSIDER</t>
        </is>
      </c>
      <c r="W251" t="inlineStr">
        <is>
          <t>Object-Oriented Programming (OOP) depth via Java/C# formal study; Data Structures and Algorithms formal coursework</t>
        </is>
      </c>
      <c r="X251" t="inlineStr">
        <is>
          <t>Amaanuddin_Ahmed_Resume_FullStack.pdf</t>
        </is>
      </c>
      <c r="Y251" t="inlineStr">
        <is>
          <t>2026-10-06</t>
        </is>
      </c>
      <c r="Z251" t="inlineStr">
        <is>
          <t>Role matches target Software Engineer Intern / Software Development Engineer Intern positions.; Stipend range (₹20k–₹30k) meets minimum target expectations closely.; Location is Bengaluru and matches the preferred work mode.</t>
        </is>
      </c>
      <c r="AA251" t="inlineStr">
        <is>
          <t>ELIGIBLE</t>
        </is>
      </c>
      <c r="AB251" t="inlineStr">
        <is>
          <t>Candidate is an MCA student graduating in 2027, qualifying as a pre-final year student in a relevant degree program.; Location matches Bengaluru and candidate is willing to work in-office.</t>
        </is>
      </c>
      <c r="AC251" t="inlineStr">
        <is>
          <t>UNKNOWN</t>
        </is>
      </c>
      <c r="AD251" t="inlineStr">
        <is>
          <t>Exact start date and immediate full-time availability window is not explicitly verified against candidate schedule.</t>
        </is>
      </c>
      <c r="AE251" t="inlineStr">
        <is>
          <t>EXPLICIT</t>
        </is>
      </c>
      <c r="AF251" t="n">
        <v>20000</v>
      </c>
      <c r="AG251" t="inlineStr">
        <is>
          <t>No</t>
        </is>
      </c>
      <c r="AH251" t="inlineStr">
        <is>
          <t>NOT_MENTIONED</t>
        </is>
      </c>
      <c r="AI251" t="inlineStr">
        <is>
          <t>The job description mentions hands-on mentoring and practical experience but does not explicitly guarantee a Pre-Placement Offer (PPO).</t>
        </is>
      </c>
      <c r="AL251" t="inlineStr">
        <is>
          <t>Data structures and algorithms fundamentals; Object-oriented programming concepts; Git branching and version control workflows; SDLC and debugging methodologies demonstrated in past projects</t>
        </is>
      </c>
    </row>
    <row r="252">
      <c r="A252" t="inlineStr">
        <is>
          <t>7-CODEARENA--261006-45</t>
        </is>
      </c>
      <c r="B252" t="inlineStr">
        <is>
          <t>7 Codearena Private Limited</t>
        </is>
      </c>
      <c r="C252" t="inlineStr">
        <is>
          <t>Software Engineer Internship</t>
        </is>
      </c>
      <c r="D252" t="inlineStr">
        <is>
          <t>https://unstop.com/internships/software-engineer-internship-7-codearena-private-limited-1764532</t>
        </is>
      </c>
      <c r="E252" t="inlineStr">
        <is>
          <t>AI Analyzer</t>
        </is>
      </c>
      <c r="F252" t="inlineStr">
        <is>
          <t>Patna</t>
        </is>
      </c>
      <c r="G252" t="inlineStr">
        <is>
          <t>Not specified</t>
        </is>
      </c>
      <c r="H252" t="inlineStr">
        <is>
          <t>₹1,000 – ₹3,000/month</t>
        </is>
      </c>
      <c r="I252" t="inlineStr">
        <is>
          <t>Not specified</t>
        </is>
      </c>
      <c r="J252" t="inlineStr">
        <is>
          <t>Not mentioned</t>
        </is>
      </c>
      <c r="K252" t="inlineStr">
        <is>
          <t>MERN stack; MongoDB; Express.js; React.js; Node.js; REST APIs; Git; GitHub</t>
        </is>
      </c>
      <c r="L252" t="inlineStr">
        <is>
          <t>Playwright; Cypress; Postman; WebSockets; Redis; Redux</t>
        </is>
      </c>
      <c r="M252" t="inlineStr">
        <is>
          <t>Responsibilities Test Real-Time Interfaces: Work with engineering to ensure dashboards and frontend experiences remain stable and responsive under heavy loads. API Testing: Test REST APIs for correct status codes, response times, authentication behavior, and accurate payload delivery. Bug Detection &amp; Tracking: Identify, reproduce, document, and track software bugs and UI/UX inconsistencies. Regression Testing: Collaborate with Core Engineering to verify bug fixes and ensure existing functionality isn't affected by new changes. Frontend Validation: Test user flows across different browsers, screen sizes, and interaction states. Real-Time Testing: Help test WebSocket connections, live data updates, reconnection behavior, and real-time dashboard functionality. Caching &amp; Auth Testing: Help map and test data-caching workflows, session handling, authentication loops, and protected routes. Test Automation: Assist in creating and improving automated tests using tools such as Playwright or similar frameworks. Quality Improvement: Work with developers to identify recurring issues and suggest practical improvements to product reliability. Requirements Technical Skills Basic understanding of the MERN stack — MongoDB, Express.js, React.js, and Node.js. Comfortable working with React-based web applications and understanding basic frontend workflows. Basic knowledge of REST APIs, HTTP methods, status codes, JSON payloads, and API responses. Familiarity with Postman, Playwright, Cypress, or similar testing tools is preferred. Basic understanding of Git/GitHub and standard development workflows. Understanding of browser DevTools, network requests, console errors, and basic debugging is a plus. Exposure to WebSockets, authentication, caching, or real-time applications is an advantage. Mindset &amp; Soft Skills Strong debugging instincts and the ability to think beyond the happy path. Excellent attention to detail when testing interfaces and user flows. A genuine interest in breaking software, finding edge cases, and uncovering hidden bugs. Ability to reproduce problems clearly and communicate them to engineers. Willingness to learn, experiment, and work closely with the Core Engineering team. Practical skills and portfolio projects are valued more than formal degrees. Eligibility Citizenship: Indian Citizen. Language: Fluent Hindi; limited English proficiency is acceptable. Students, freshers, self-taught developers, and candidates with strong personal/portfolio projects are welcome. Skills: API Testing, Manual Testing, Test Automation, Web Testing, Debugging, Node.js, JavaScript, React.js, Express.js, MongoDB, Redis, Redux, HTML, CSS.</t>
        </is>
      </c>
      <c r="N252" t="n">
        <v>50</v>
      </c>
      <c r="O252" t="n">
        <v>80</v>
      </c>
      <c r="P252" t="n">
        <v>75</v>
      </c>
      <c r="Q252" t="n">
        <v>45</v>
      </c>
      <c r="R252" t="n">
        <v>0</v>
      </c>
      <c r="S252" t="n">
        <v>10</v>
      </c>
      <c r="T252" t="n">
        <v>30</v>
      </c>
      <c r="U252" t="inlineStr">
        <is>
          <t>SKIP</t>
        </is>
      </c>
      <c r="V252" t="inlineStr">
        <is>
          <t>SKIP</t>
        </is>
      </c>
      <c r="W252" t="inlineStr">
        <is>
          <t>Playwright; Cypress; Redis; Redux</t>
        </is>
      </c>
      <c r="X252" t="inlineStr">
        <is>
          <t>Default Full Stack / Software Engineer Resume</t>
        </is>
      </c>
      <c r="Y252" t="inlineStr">
        <is>
          <t>2026-10-06</t>
        </is>
      </c>
      <c r="Z252" t="inlineStr">
        <is>
          <t>Matches technical requirements for MERN stack.</t>
        </is>
      </c>
      <c r="AA252" t="inlineStr">
        <is>
          <t>Eligible</t>
        </is>
      </c>
      <c r="AB252" t="inlineStr">
        <is>
          <t>Candidate is an Indian citizen.; Open to students and freshers.</t>
        </is>
      </c>
      <c r="AC252" t="inlineStr">
        <is>
          <t>Unknown</t>
        </is>
      </c>
      <c r="AD252" t="inlineStr">
        <is>
          <t>Availability timeline is not specified in the candidate profile.</t>
        </is>
      </c>
      <c r="AE252" t="inlineStr">
        <is>
          <t>Below target</t>
        </is>
      </c>
      <c r="AF252" t="n">
        <v>1000</v>
      </c>
      <c r="AG252" t="inlineStr">
        <is>
          <t>No</t>
        </is>
      </c>
      <c r="AH252" t="inlineStr">
        <is>
          <t>Not mentioned</t>
        </is>
      </c>
      <c r="AI252" t="inlineStr">
        <is>
          <t>No mention of a Pre-Placement Offer or conversion in the job description.</t>
        </is>
      </c>
      <c r="AK252" t="inlineStr">
        <is>
          <t>Extremely low stipend (₹1,000 – ₹3,000/month) which is well below the target of ₹25,000/month.; Role is primarily focused on QA and testing rather than core software engineering or full stack development.; Location is Patna, whereas preferred location is Bengaluru.</t>
        </is>
      </c>
      <c r="AL252" t="inlineStr">
        <is>
          <t>API testing and status codes; Debugging workflows and browser DevTools; MERN stack fundamentals; Test automation tools like Playwright or Cypress</t>
        </is>
      </c>
    </row>
    <row r="253">
      <c r="A253" t="inlineStr">
        <is>
          <t>BLACKLITT-TE-261006-46</t>
        </is>
      </c>
      <c r="B253" t="inlineStr">
        <is>
          <t>Blacklitt Technologies Pvt Ltd</t>
        </is>
      </c>
      <c r="C253" t="inlineStr">
        <is>
          <t>Software Engineer Internship</t>
        </is>
      </c>
      <c r="D253" t="inlineStr">
        <is>
          <t>https://unstop.com/internships/software-engineer-internship-blacklitt-technologies-pvt-ltd-1764201</t>
        </is>
      </c>
      <c r="E253" t="inlineStr">
        <is>
          <t>AI Analyzer</t>
        </is>
      </c>
      <c r="F253" t="inlineStr">
        <is>
          <t>Bangalore</t>
        </is>
      </c>
      <c r="G253" t="inlineStr">
        <is>
          <t>On-site / Unspecified</t>
        </is>
      </c>
      <c r="H253" t="inlineStr">
        <is>
          <t>₹10,000/month</t>
        </is>
      </c>
      <c r="I253" t="inlineStr">
        <is>
          <t>Unspecified</t>
        </is>
      </c>
      <c r="J253" t="inlineStr">
        <is>
          <t>Not mentioned</t>
        </is>
      </c>
      <c r="K253" t="inlineStr">
        <is>
          <t>Object-Oriented Programming (OOP); Data Structures and Algorithms; Python; Git Version Control; Software Testing Life Cycle (STLC)</t>
        </is>
      </c>
      <c r="L253" t="inlineStr">
        <is>
          <t>JavaScript; Java; SQL; REST APIs; Web Development</t>
        </is>
      </c>
      <c r="M253" t="inlineStr">
        <is>
          <t>About Blacklitt Blacklitt provides personalized, research-backed investment advisory services that help clients manage their wealth with precision. Behind that is technology that has to be accurate, secure and dependable, because people rely on it for financial decisions. As an intern, you'll work with experienced engineers on real product features and see how production software is built in a finance-focused environment. What You'll Do Build, test and maintain features for Blacklitt's [web platform / client-facing tools / internal research systems]. Turn functional requirements into clean, readable, well-documented code. Debug issues and help improve the performance, reliability and usability of our applications. Take part in code reviews, sprint planning and technical discussions. Work with engineers, researchers and other teams to understand problems and ship solutions. Write clear documentation, give regular progress updates, and act on feedback quickly. What You'll Gain Hands-on experience with professional practices: version control, code review, testing and agile sprints. One-on-one guidance from experienced engineers. Exposure to building software where accuracy, data integrity and security matter. A real project you can show in your portfolio and discuss in future interviews. Who We're Looking For Must have A fresher or 0–2 years of experience profile, with a degree (or final-year student) in CS, IT or a related field. Solid fundamentals: data structures, algorithms and basic OOP. Working knowledge of at least one language, such as [Python / JavaScript / Java]. Strong logical reasoning, problem-solving skills and attention to detail. Clear written and verbal communication. Nice to have Familiarity with Git and GitHub. Basic knowledge of web development, REST APIs or databases (SQL). Personal projects, open-source contributions, or coding-platform profiles. Interest in finance, markets or data. Mindset You're curious, learn quickly and take ownership of your tasks. You work well in a team and ask for help when needed. You care about writing correct code, not just working code. Skills: Object-Oriented Programming (OOP), Data Structures and Algorithms, Python, Git Version Control, Software Testing Life Cycle (STLC).</t>
        </is>
      </c>
      <c r="N253" t="n">
        <v>58</v>
      </c>
      <c r="O253" t="n">
        <v>60</v>
      </c>
      <c r="P253" t="n">
        <v>75</v>
      </c>
      <c r="Q253" t="n">
        <v>70</v>
      </c>
      <c r="R253" t="n">
        <v>30</v>
      </c>
      <c r="S253" t="n">
        <v>40</v>
      </c>
      <c r="T253" t="n">
        <v>60</v>
      </c>
      <c r="U253" t="inlineStr">
        <is>
          <t>SKIP</t>
        </is>
      </c>
      <c r="V253" t="inlineStr">
        <is>
          <t>SKIP</t>
        </is>
      </c>
      <c r="W253" t="inlineStr">
        <is>
          <t>Python (working knowledge only); Software Testing Life Cycle (STLC)</t>
        </is>
      </c>
      <c r="X253" t="inlineStr">
        <is>
          <t>Default Full Stack / General Software Engineering Resume</t>
        </is>
      </c>
      <c r="Y253" t="inlineStr">
        <is>
          <t>2026-10-06</t>
        </is>
      </c>
      <c r="Z253" t="inlineStr">
        <is>
          <t>Matches location preference (Bangalore); Provides real-world software engineering experience in a finance-focused environment</t>
        </is>
      </c>
      <c r="AA253" t="inlineStr">
        <is>
          <t>Eligible</t>
        </is>
      </c>
      <c r="AB253" t="inlineStr">
        <is>
          <t>Candidate is a final-year MCA student in a related field; Experience fits the 0-2 years criteria</t>
        </is>
      </c>
      <c r="AC253" t="inlineStr">
        <is>
          <t>Unknown</t>
        </is>
      </c>
      <c r="AD253" t="inlineStr">
        <is>
          <t>Start date and availability constraints are not specified in the career brain</t>
        </is>
      </c>
      <c r="AE253" t="inlineStr">
        <is>
          <t>Below target</t>
        </is>
      </c>
      <c r="AF253" t="n">
        <v>10000</v>
      </c>
      <c r="AG253" t="inlineStr">
        <is>
          <t>No</t>
        </is>
      </c>
      <c r="AH253" t="inlineStr">
        <is>
          <t>Not mentioned</t>
        </is>
      </c>
      <c r="AI253" t="inlineStr">
        <is>
          <t>The job description does not mention conversion to a full-time role (PPO).</t>
        </is>
      </c>
      <c r="AK253" t="inlineStr">
        <is>
          <t>Stipend of ₹10,000/month is below the candidate minimum target of ₹25,000/month; No PPO or conversion mentioned; Requires Python as a primary language where candidate has only working knowledge</t>
        </is>
      </c>
      <c r="AL253" t="inlineStr">
        <is>
          <t>Data structures and algorithms fundamentals; Object-oriented programming concepts; Python language proficiency and projects; Software testing life cycle and quality assurance practices</t>
        </is>
      </c>
    </row>
    <row r="254">
      <c r="A254" t="inlineStr">
        <is>
          <t>360DEGREEINF-261006-47</t>
        </is>
      </c>
      <c r="B254" t="inlineStr">
        <is>
          <t>360degreeinfo</t>
        </is>
      </c>
      <c r="C254" t="inlineStr">
        <is>
          <t>Software Developer Internship</t>
        </is>
      </c>
      <c r="D254" t="inlineStr">
        <is>
          <t>https://unstop.com/internships/software-developer-internship-360degreeinfo-1766540</t>
        </is>
      </c>
      <c r="E254" t="inlineStr">
        <is>
          <t>AI Analyzer</t>
        </is>
      </c>
      <c r="F254" t="inlineStr">
        <is>
          <t>Chennai</t>
        </is>
      </c>
      <c r="G254" t="inlineStr">
        <is>
          <t>In-office</t>
        </is>
      </c>
      <c r="H254" t="inlineStr">
        <is>
          <t>Months 1-3 unpaid, Months 4-6 ₹8,000/month</t>
        </is>
      </c>
      <c r="I254" t="inlineStr">
        <is>
          <t>6 months</t>
        </is>
      </c>
      <c r="J254" t="inlineStr">
        <is>
          <t>yes</t>
        </is>
      </c>
      <c r="K254" t="inlineStr">
        <is>
          <t>Object-Oriented Programming (OOP); Debugging; Software Development Life Cycle (SDLC); Software Quality Assurance (QA); Problem Solving; Artificial Intelligence (AI); PHP; HTML; React.js</t>
        </is>
      </c>
      <c r="M254" t="inlineStr">
        <is>
          <t>360degreeinfo is hiring for Software Developer Intern About the Company 360degreeinfo offers freshers a structured opportunity to begin a career in software development through practical learning, guided project work, and exposure to a professional technology environment in Chennai. The six-month programme is divided into two phases: the first three months are an unpaid internship, followed by three months as a trainee receiving a stipend of ₹8,000 per month. After completing the full six-month programme, successful candidates may be considered for conversion to an employee, with the final salary fixed based on performance, skills, and organisational requirements. Responsibilities Assist developers with implementing, testing, and maintaining software features. Understand assigned requirements and contribute to clear, maintainable solutions under guidance. Participate in debugging, documentation, code reviews, and project discussions. Support quality checks and help resolve issues across the development lifecycle. Build practical knowledge of software engineering tools, processes, and workplace practices. Requirements Open to freshers who are motivated to build a career in software development. Basic understanding of programming concepts, logical reasoning, and problem-solving. Willingness to learn new technologies and collaborate with the development team. Good communication, ownership of tasks, and openness to feedback. This is an in-office opportunity based in Chennai. Programme structure: Months 1–3 are unpaid and intended for internship learning and practical exposure. Months 4–6 are a paid trainee phase with a stipend of ₹8,000 per month. On successful completion of six months, candidates may be offered employee conversion, with salary determined separately based on performance and fit. Skills: Object-Oriented Programming (OOP), Debugging, Software Development Life Cycle (SDLC), Software Quality Assurance (QA), Problem Solving, Artificial Intelligence (AI), PHP, HTML, React.js.</t>
        </is>
      </c>
      <c r="N254" t="n">
        <v>52</v>
      </c>
      <c r="O254" t="n">
        <v>50</v>
      </c>
      <c r="P254" t="n">
        <v>60</v>
      </c>
      <c r="Q254" t="n">
        <v>70</v>
      </c>
      <c r="R254" t="n">
        <v>70</v>
      </c>
      <c r="S254" t="n">
        <v>10</v>
      </c>
      <c r="T254" t="n">
        <v>30</v>
      </c>
      <c r="U254" t="inlineStr">
        <is>
          <t>SKIP</t>
        </is>
      </c>
      <c r="V254" t="inlineStr">
        <is>
          <t>SKIP</t>
        </is>
      </c>
      <c r="W254" t="inlineStr">
        <is>
          <t>PHP; Object-Oriented Programming (OOP); Debugging; Software Development Life Cycle (SDLC); Software Quality Assurance (QA); Artificial Intelligence (AI)</t>
        </is>
      </c>
      <c r="X254" t="inlineStr">
        <is>
          <t>Amaanuddin_Ahmed_Resume_MERN</t>
        </is>
      </c>
      <c r="Y254" t="inlineStr">
        <is>
          <t>2026-10-06</t>
        </is>
      </c>
      <c r="Z254" t="inlineStr">
        <is>
          <t>Provides a structured learning path with potential full-time conversion.</t>
        </is>
      </c>
      <c r="AA254" t="inlineStr">
        <is>
          <t>eligible</t>
        </is>
      </c>
      <c r="AB254" t="inlineStr">
        <is>
          <t>Open to freshers and students</t>
        </is>
      </c>
      <c r="AC254" t="inlineStr">
        <is>
          <t>unknown</t>
        </is>
      </c>
      <c r="AD254" t="inlineStr">
        <is>
          <t>Availability timeline not specified in candidate profile</t>
        </is>
      </c>
      <c r="AE254" t="inlineStr">
        <is>
          <t>partial</t>
        </is>
      </c>
      <c r="AF254" t="n">
        <v>0</v>
      </c>
      <c r="AG254" t="inlineStr">
        <is>
          <t>No</t>
        </is>
      </c>
      <c r="AH254" t="inlineStr">
        <is>
          <t>yes</t>
        </is>
      </c>
      <c r="AI254" t="inlineStr">
        <is>
          <t>Successful candidates may be considered for conversion to an employee after completing the full six-month programme.</t>
        </is>
      </c>
      <c r="AK254" t="inlineStr">
        <is>
          <t>Unpaid first 3 months; Extremely low stipend of ₹8,000/month for months 4-6; In-office location in Chennai (Preferred: Bengaluru)</t>
        </is>
      </c>
      <c r="AL254" t="inlineStr">
        <is>
          <t>PHP and web development fundamentals; Software Development Life Cycle (SDLC) processes; React.js state management and component lifecycle; Debugging and QA methodologies</t>
        </is>
      </c>
    </row>
    <row r="255">
      <c r="A255" t="inlineStr">
        <is>
          <t>SPEEDOPUS-IN-261006-48</t>
        </is>
      </c>
      <c r="B255" t="inlineStr">
        <is>
          <t>Speedopus India</t>
        </is>
      </c>
      <c r="C255" t="inlineStr">
        <is>
          <t>Software Product Development Internship</t>
        </is>
      </c>
      <c r="D255" t="inlineStr">
        <is>
          <t>https://unstop.com/internships/software-product-development-internship-speedopus-india-1763216</t>
        </is>
      </c>
      <c r="E255" t="inlineStr">
        <is>
          <t>AI Analyzer</t>
        </is>
      </c>
      <c r="F255" t="inlineStr">
        <is>
          <t>Remote</t>
        </is>
      </c>
      <c r="G255" t="inlineStr">
        <is>
          <t>Remote</t>
        </is>
      </c>
      <c r="H255" t="inlineStr">
        <is>
          <t>Unpaid</t>
        </is>
      </c>
      <c r="I255" t="inlineStr">
        <is>
          <t>6 months</t>
        </is>
      </c>
      <c r="J255" t="inlineStr">
        <is>
          <t>Yes</t>
        </is>
      </c>
      <c r="K255" t="inlineStr">
        <is>
          <t>Software Development Life Cycle (SDLC); Artificial Intelligence (AI); Machine Learning Concepts; Debugging; Collaboration Skills</t>
        </is>
      </c>
      <c r="M255" t="inlineStr">
        <is>
          <t>About the Company Speedopus India is building practical technology products that connect software development, artificial intelligence, machine learning, data, and product thinking. The team offers students an opportunity to learn by contributing to real-world initiatives in a collaborative, flexible environment. Responsibilities Support the development and improvement of software product features under the guidance of the team. Assist with research, prototyping, testing, debugging, documentation, and product discovery activities. Work with data and explore relevant AI/ML concepts where applicable to product requirements. Collaborate with team members, communicate progress clearly, and contribute ideas that improve user and product outcomes. Requirements Currently enrolled college students are welcome, particularly those in their second or third year; first-year students and freshers may also apply. No prior professional experience is required. Interest in software development, AI/ML, data, product development, and building useful technology products. Motivation to learn independently, take ownership of assigned work, and contribute consistently for approximately 15–20 hours per week. This is a fully remote, unpaid internship for six months with a flexible schedule. High-performing interns may be considered for performance-based pre-placement opportunities. Skills: Software Development Life Cycle (SDLC), Artificial Intelligence (AI), Machine Learning Concepts, Debugging, Collaboration Skills.</t>
        </is>
      </c>
      <c r="N255" t="n">
        <v>58</v>
      </c>
      <c r="O255" t="n">
        <v>50</v>
      </c>
      <c r="P255" t="n">
        <v>80</v>
      </c>
      <c r="Q255" t="n">
        <v>75</v>
      </c>
      <c r="R255" t="n">
        <v>80</v>
      </c>
      <c r="S255" t="n">
        <v>0</v>
      </c>
      <c r="T255" t="n">
        <v>40</v>
      </c>
      <c r="U255" t="inlineStr">
        <is>
          <t>SKIP</t>
        </is>
      </c>
      <c r="V255" t="inlineStr">
        <is>
          <t>SKIP</t>
        </is>
      </c>
      <c r="W255" t="inlineStr">
        <is>
          <t>Artificial Intelligence (AI); Machine Learning Concepts</t>
        </is>
      </c>
      <c r="X255" t="inlineStr">
        <is>
          <t>Amaanuddin_Ahmed_Resume.pdf</t>
        </is>
      </c>
      <c r="Y255" t="inlineStr">
        <is>
          <t>2026-10-06</t>
        </is>
      </c>
      <c r="Z255" t="inlineStr">
        <is>
          <t>Offers potential pre-placement opportunities; Remote work mode and flexible hours fit student schedule</t>
        </is>
      </c>
      <c r="AA255" t="inlineStr">
        <is>
          <t>Eligible</t>
        </is>
      </c>
      <c r="AB255" t="inlineStr">
        <is>
          <t>Currently enrolled college student in MCA program; No prior professional experience required</t>
        </is>
      </c>
      <c r="AC255" t="inlineStr">
        <is>
          <t>Available</t>
        </is>
      </c>
      <c r="AD255" t="inlineStr">
        <is>
          <t>Can accommodate 15-20 hours per week alongside studies</t>
        </is>
      </c>
      <c r="AE255" t="inlineStr">
        <is>
          <t>Unpaid</t>
        </is>
      </c>
      <c r="AF255" t="n">
        <v>0</v>
      </c>
      <c r="AG255" t="inlineStr">
        <is>
          <t>No</t>
        </is>
      </c>
      <c r="AH255" t="inlineStr">
        <is>
          <t>Yes</t>
        </is>
      </c>
      <c r="AI255" t="inlineStr">
        <is>
          <t>High-performing interns may be considered for performance-based pre-placement opportunities.</t>
        </is>
      </c>
      <c r="AK255" t="inlineStr">
        <is>
          <t>Unpaid internship below minimum stipend target of INR 25000/month</t>
        </is>
      </c>
      <c r="AL255" t="inlineStr">
        <is>
          <t>Software development life cycle experience; Basic AI and ML concepts; Past project debugging and problem solving</t>
        </is>
      </c>
    </row>
    <row r="256">
      <c r="A256" t="inlineStr">
        <is>
          <t>SEVENTH-RAY--261006-49</t>
        </is>
      </c>
      <c r="B256" t="inlineStr">
        <is>
          <t>Seventh Ray Consulting and Technology Private Limited</t>
        </is>
      </c>
      <c r="C256" t="inlineStr">
        <is>
          <t>Software Development Engineer Internship</t>
        </is>
      </c>
      <c r="D256" t="inlineStr">
        <is>
          <t>https://unstop.com/internships/software-development-engineer-internship-seventh-ray-consulting-and-technology-private-limited-1765541</t>
        </is>
      </c>
      <c r="E256" t="inlineStr">
        <is>
          <t>AI Analyzer</t>
        </is>
      </c>
      <c r="F256" t="inlineStr">
        <is>
          <t>Remote</t>
        </is>
      </c>
      <c r="G256" t="inlineStr">
        <is>
          <t>Remote</t>
        </is>
      </c>
      <c r="H256" t="inlineStr">
        <is>
          <t>₹5,000 – ₹10,000/month</t>
        </is>
      </c>
      <c r="I256" t="inlineStr">
        <is>
          <t>Not Specified</t>
        </is>
      </c>
      <c r="J256" t="inlineStr">
        <is>
          <t>not mentioned</t>
        </is>
      </c>
      <c r="K256" t="inlineStr">
        <is>
          <t>Next.js; React.js; JavaScript; TypeScript; HTML5; CSS3; Java; PostgreSQL; SQL Query Optimization; Database Design; REST API Development; Authentication and Authorization; Git; GitHub; Postman</t>
        </is>
      </c>
      <c r="L256" t="inlineStr">
        <is>
          <t>Spring Boot; AWS; Docker; CI/CD concepts; Unit and Integration Testing; SaaS product development experience</t>
        </is>
      </c>
      <c r="M256" t="inlineStr">
        <is>
          <t>Roles and Responsibilities: Develop and maintain frontend applications using Next.js. Develop backend services and APIs using Java. Design and optimize PostgreSQL database structures. Build secure and scalable REST APIs. Implement authentication, authorization, and workflow-based business logic. Participate in testing, debugging, and performance optimization. Work closely with the founder to implement product features. Follow coding standards, documentation practices, and version control procedures. Requirements: Frontend Next.js React.js JavaScript / TypeScript HTML5 CSS3 Backend Java Spring Boot (Preferred) REST API Development Authentication and Authorization Database PostgreSQL SQL Query Optimization Database Design Tools: Git GitHub Postman Preferred Skills: AWS Docker CI/CD concepts Unit and Integration Testing SaaS product development experience Eligibility: Computer Science engineering students/graduates. Strong understanding of software development fundamentals. Ability to work independently and take ownership of assigned tasks. Good communication and problem-solving skills. What You Will Gain: Experience building a production-grade SaaS application. Exposure to system design and software architecture. Opportunity to work directly with the product founder. Practical experience with modern web development technologies. Important: This internship requires commitment and consistency. Candidates should apply only if they can complete the entire internship duration and actively contribute to assigned deliverables. Applicants who are exploring opportunities casually or are unable to commit to the agreed duration are requested not to apply. Skills: React.js, AWS (Amazon Web Services), Java, React.js, PostgreSQL Administration, API Development (REST), Spring Boot.</t>
        </is>
      </c>
      <c r="N256" t="n">
        <v>39</v>
      </c>
      <c r="O256" t="n">
        <v>45</v>
      </c>
      <c r="P256" t="n">
        <v>55</v>
      </c>
      <c r="Q256" t="n">
        <v>50</v>
      </c>
      <c r="R256" t="n">
        <v>0</v>
      </c>
      <c r="S256" t="n">
        <v>10</v>
      </c>
      <c r="T256" t="n">
        <v>60</v>
      </c>
      <c r="U256" t="inlineStr">
        <is>
          <t>SKIP</t>
        </is>
      </c>
      <c r="V256" t="inlineStr">
        <is>
          <t>SKIP</t>
        </is>
      </c>
      <c r="W256" t="inlineStr">
        <is>
          <t>Next.js; TypeScript; Java; Spring Boot; PostgreSQL; SQL Query Optimization; Database Design</t>
        </is>
      </c>
      <c r="X256" t="inlineStr">
        <is>
          <t>Default Full Stack Resume</t>
        </is>
      </c>
      <c r="Y256" t="inlineStr">
        <is>
          <t>2026-10-06</t>
        </is>
      </c>
      <c r="Z256" t="inlineStr">
        <is>
          <t>Remote work mode.; Opportunity to build production-grade SaaS applications.</t>
        </is>
      </c>
      <c r="AA256" t="inlineStr">
        <is>
          <t>eligible</t>
        </is>
      </c>
      <c r="AB256" t="inlineStr">
        <is>
          <t>Candidate is a Computer Science/MCA student/graduate at PES University.</t>
        </is>
      </c>
      <c r="AC256" t="inlineStr">
        <is>
          <t>unknown</t>
        </is>
      </c>
      <c r="AD256" t="inlineStr">
        <is>
          <t>Exact start and end dates/availability constraints are not specified.</t>
        </is>
      </c>
      <c r="AE256" t="inlineStr">
        <is>
          <t>guaranteed</t>
        </is>
      </c>
      <c r="AF256" t="n">
        <v>5000</v>
      </c>
      <c r="AG256" t="inlineStr">
        <is>
          <t>No</t>
        </is>
      </c>
      <c r="AH256" t="inlineStr">
        <is>
          <t>not mentioned</t>
        </is>
      </c>
      <c r="AI256" t="inlineStr">
        <is>
          <t>No explicit PPO or conversion mention in the job description.</t>
        </is>
      </c>
      <c r="AJ256" t="inlineStr">
        <is>
          <t>Stipend of ₹5,000 – ₹10,000/month is well below the minimum target of ₹25,000/month.</t>
        </is>
      </c>
      <c r="AK256" t="inlineStr">
        <is>
          <t>Significantly below minimum stipend target.</t>
        </is>
      </c>
      <c r="AL256" t="inlineStr">
        <is>
          <t>Java and Spring Boot fundamentals; PostgreSQL design and optimization; Next.js and React concepts</t>
        </is>
      </c>
    </row>
    <row r="257">
      <c r="A257" t="inlineStr">
        <is>
          <t>404MINDS-TEC-261006-50</t>
        </is>
      </c>
      <c r="B257" t="inlineStr">
        <is>
          <t>404Minds Technologies</t>
        </is>
      </c>
      <c r="C257" t="inlineStr">
        <is>
          <t>Software Developer Intern</t>
        </is>
      </c>
      <c r="D257" t="inlineStr">
        <is>
          <t>https://unstop.com/internships/software-developer-internship-404minds-technologies-1766033</t>
        </is>
      </c>
      <c r="E257" t="inlineStr">
        <is>
          <t>AI Analyzer</t>
        </is>
      </c>
      <c r="F257" t="inlineStr">
        <is>
          <t>Remote</t>
        </is>
      </c>
      <c r="G257" t="inlineStr">
        <is>
          <t>Remote</t>
        </is>
      </c>
      <c r="H257" t="inlineStr">
        <is>
          <t>₹5,000 – ₹8,000/month</t>
        </is>
      </c>
      <c r="I257" t="inlineStr">
        <is>
          <t>3 months</t>
        </is>
      </c>
      <c r="J257" t="inlineStr">
        <is>
          <t>Not Mentioned</t>
        </is>
      </c>
      <c r="K257" t="inlineStr">
        <is>
          <t>Python; Object-Oriented Programming (OOP); Debugging; Problem Solving</t>
        </is>
      </c>
      <c r="L257" t="inlineStr">
        <is>
          <t>AI-assisted coding; Python Development</t>
        </is>
      </c>
      <c r="M257" t="inlineStr">
        <is>
          <t>About the Company 404Minds Technologies is building practical technology solutions and nurturing an environment where curious developers can experiment, learn, and create useful software. The company values initiative, clear thinking, and hands-on problem-solving. Responsibilities Assist in designing, developing, testing, and improving Python-based applications and automation workflows. Use vibe coding approaches thoughtfully to explore ideas, accelerate prototyping, and turn concepts into maintainable code with appropriate review and validation. Debug issues, document implementations, and collaborate with mentors to deliver reliable features. Participate in code reviews, technical discussions, and iterative development tasks in a remote team environment. Requirements Working knowledge of Python fundamentals, including functions, data structures, modules, and object-oriented programming. Interest in software development, experimentation with AI-assisted or vibe coding workflows, and learning modern development practices. Strong problem-solving ability, attention to detail, and willingness to receive feedback. Applicants should be comfortable working independently and communicating clearly in a remote setup. This is a paid, full-time internship for 3 months, offering a monthly stipend of ₹5,000–₹8,000. The opportunity is fully remote and is suitable for candidates who want practical exposure to Python development and emerging AI-supported coding practices. Skills: Python, Python Development, Object-Oriented Programming (OOP), Debugging, Problem Solving.</t>
        </is>
      </c>
      <c r="N257" t="n">
        <v>38</v>
      </c>
      <c r="O257" t="n">
        <v>50</v>
      </c>
      <c r="P257" t="n">
        <v>40</v>
      </c>
      <c r="Q257" t="n">
        <v>70</v>
      </c>
      <c r="R257" t="n">
        <v>0</v>
      </c>
      <c r="S257" t="n">
        <v>10</v>
      </c>
      <c r="T257" t="n">
        <v>40</v>
      </c>
      <c r="U257" t="inlineStr">
        <is>
          <t>SKIP</t>
        </is>
      </c>
      <c r="V257" t="inlineStr">
        <is>
          <t>SKIP</t>
        </is>
      </c>
      <c r="W257" t="inlineStr">
        <is>
          <t>Python (working knowledge only, not demonstrated in projects/experience)</t>
        </is>
      </c>
      <c r="X257" t="inlineStr">
        <is>
          <t>Amaanuddin_Ahmed_Resume_General.pdf</t>
        </is>
      </c>
      <c r="Y257" t="inlineStr">
        <is>
          <t>2026-10-06</t>
        </is>
      </c>
      <c r="Z257" t="inlineStr">
        <is>
          <t>Provides remote internship experience; Exposure to AI-assisted coding practices</t>
        </is>
      </c>
      <c r="AA257" t="inlineStr">
        <is>
          <t>Eligible</t>
        </is>
      </c>
      <c r="AB257" t="inlineStr">
        <is>
          <t>Open to interns; Remote work mode matches preferences</t>
        </is>
      </c>
      <c r="AC257" t="inlineStr">
        <is>
          <t>Unknown</t>
        </is>
      </c>
      <c r="AD257" t="inlineStr">
        <is>
          <t>Exact joining dates and availability constraints are not specified in the career brain.</t>
        </is>
      </c>
      <c r="AE257" t="inlineStr">
        <is>
          <t>Below Target</t>
        </is>
      </c>
      <c r="AF257" t="n">
        <v>5000</v>
      </c>
      <c r="AG257" t="inlineStr">
        <is>
          <t>No</t>
        </is>
      </c>
      <c r="AH257" t="inlineStr">
        <is>
          <t>Not Mentioned</t>
        </is>
      </c>
      <c r="AI257" t="inlineStr">
        <is>
          <t>The job description does not mention any Permanent Position Offer (PPO) or conversion opportunity.</t>
        </is>
      </c>
      <c r="AK257" t="inlineStr">
        <is>
          <t>Stipend of ₹5,000 – ₹8,000/month is significantly below the minimum target of ₹25,000/month.</t>
        </is>
      </c>
      <c r="AL257" t="inlineStr">
        <is>
          <t>Python fundamentals and OOP concepts; Debugging and problem-solving approaches; AI-assisted coding workflows</t>
        </is>
      </c>
    </row>
    <row r="258">
      <c r="A258" t="inlineStr">
        <is>
          <t>BRAVA-261006-51</t>
        </is>
      </c>
      <c r="B258" t="inlineStr">
        <is>
          <t>Brava</t>
        </is>
      </c>
      <c r="C258" t="inlineStr">
        <is>
          <t>Software Engineering Internship - Founder's Office</t>
        </is>
      </c>
      <c r="D258" t="inlineStr">
        <is>
          <t>https://unstop.com/internships/software-engineering-internship-founders-office-brava-1763808</t>
        </is>
      </c>
      <c r="E258" t="inlineStr">
        <is>
          <t>AI Analyzer</t>
        </is>
      </c>
      <c r="F258" t="inlineStr">
        <is>
          <t>Remote</t>
        </is>
      </c>
      <c r="G258" t="inlineStr">
        <is>
          <t>Remote</t>
        </is>
      </c>
      <c r="H258" t="inlineStr">
        <is>
          <t>₹30,000 – ₹50,000/month</t>
        </is>
      </c>
      <c r="I258" t="inlineStr">
        <is>
          <t>Not specified</t>
        </is>
      </c>
      <c r="J258" t="inlineStr">
        <is>
          <t>mentioned</t>
        </is>
      </c>
      <c r="K258" t="inlineStr">
        <is>
          <t>Backend development; Problem Solving; API Development (REST); Database Management Systems (DBMS); Artificial Intelligence (AI)</t>
        </is>
      </c>
      <c r="M258" t="inlineStr">
        <is>
          <t>Overview: Brava is building the customer retention layer for modern businesses. We help cafes, restaurants, hotels and brands drive repeat business through wallet-native loyalty, CRM, WhatsApp, payments and AI. Brava is already working with some of the best brands in India, and our platform is being used by leading businesses across hospitality, F&amp;B and consumer brands. We're looking for an exceptional Software Engineering Intern to work closely with our founders and engineering team, building and shipping products used by real businesses and their customers. What you'll work on: Build and ship production features across Brava's products Develop customer-facing and merchant-facing experiences Build APIs, integrations and internal tools Work with databases and backend systems Build integrations with POS, commerce and payment platforms Develop AI-powered features and workflows Debug, improve and scale production systems What we're looking for: We are looking for someone with exceptional academic and technical ability. Strong academic track record, particularly in mathematics, computer science or other quantitative subjects Currently pursuing an undergraduate degree at a top engineering or technical institution, or demonstrating an equivalent level of academic achievement Strong programming fundamentals and problem-solving ability Experience building software independently Ability to take ambiguous problems and figure out practical solutions High degree of curiosity, ownership and attention to detail Excellent communication skills Students from institutions such as IITs, BITS, IIITs, top NITs and other leading engineering universities are encouraged to apply. A formal Computer Science degree is not strictly required for exceptional candidates. What you've built and how you think matter enormously. What you'll get: Work closely with the founders Ship code to production and see it used by real customers Significant technical ownership Exposure to product engineering, backend systems, integrations and AI A high-autonomy environment with a steep learning curve Potential to continue with Brava after the internship Who should apply? If you're among the strongest students in your cohort and you genuinely enjoy building software, we'd love to hear from you. Tell us about the most impressive thing you've built. Include your GitHub, portfolio, or any project/demo links with your application. Skills: Backend development, Problem Solving, API Development (REST), Database Management Systems (DBMS), Artificial Intelligence (AI).</t>
        </is>
      </c>
      <c r="N258" t="n">
        <v>87</v>
      </c>
      <c r="O258" t="n">
        <v>80</v>
      </c>
      <c r="P258" t="n">
        <v>85</v>
      </c>
      <c r="Q258" t="n">
        <v>90</v>
      </c>
      <c r="R258" t="n">
        <v>85</v>
      </c>
      <c r="S258" t="n">
        <v>100</v>
      </c>
      <c r="T258" t="n">
        <v>95</v>
      </c>
      <c r="U258" t="inlineStr">
        <is>
          <t>APPLY</t>
        </is>
      </c>
      <c r="V258" t="inlineStr">
        <is>
          <t>APPLY</t>
        </is>
      </c>
      <c r="W258" t="inlineStr">
        <is>
          <t>Artificial Intelligence (AI)</t>
        </is>
      </c>
      <c r="X258" t="inlineStr">
        <is>
          <t>Standard Full Stack Resume</t>
        </is>
      </c>
      <c r="Y258" t="inlineStr">
        <is>
          <t>2026-10-06</t>
        </is>
      </c>
      <c r="Z258" t="inlineStr">
        <is>
          <t>Stipend of ₹30,000 – ₹50,000/month exceeds the candidate's minimum target.; Strong alignment with target Software Engineering Intern role.; High opportunity quality working directly in the founder's office with production ownership.; Mentions potential to continue post-internship, satisfying PPO priority.</t>
        </is>
      </c>
      <c r="AA258" t="inlineStr">
        <is>
          <t>eligible</t>
        </is>
      </c>
      <c r="AB258" t="inlineStr">
        <is>
          <t>Candidate is pursuing an MCA at PES University, matching the academic pursuit criteria.; Remote work mode aligns with candidate preferences.; Stipend exceeds minimum target of ₹25,000/month.</t>
        </is>
      </c>
      <c r="AC258" t="inlineStr">
        <is>
          <t>unknown</t>
        </is>
      </c>
      <c r="AD258" t="inlineStr">
        <is>
          <t>Specific start date requirements are not detailed in the job description.</t>
        </is>
      </c>
      <c r="AE258" t="inlineStr">
        <is>
          <t>exact</t>
        </is>
      </c>
      <c r="AF258" t="n">
        <v>30000</v>
      </c>
      <c r="AG258" t="inlineStr">
        <is>
          <t>No</t>
        </is>
      </c>
      <c r="AH258" t="inlineStr">
        <is>
          <t>mentioned</t>
        </is>
      </c>
      <c r="AI258" t="inlineStr">
        <is>
          <t>Potential to continue with Brava after the internship</t>
        </is>
      </c>
      <c r="AL258" t="inlineStr">
        <is>
          <t>System architecture and backend scalability; REST API design and database management; Past production deployments (Sunflower Trip POS system); Problem-solving approaches in ambiguous environments</t>
        </is>
      </c>
      <c r="AM258" t="inlineStr">
        <is>
          <t>E:\InternshipHunter\applications\unstop-45359441cea1</t>
        </is>
      </c>
      <c r="AN258" t="inlineStr">
        <is>
          <t>Ready for Review</t>
        </is>
      </c>
      <c r="AO258" t="inlineStr">
        <is>
          <t>Generated</t>
        </is>
      </c>
      <c r="AP258" t="inlineStr">
        <is>
          <t>Generated</t>
        </is>
      </c>
      <c r="AQ258" t="inlineStr">
        <is>
          <t>Generated</t>
        </is>
      </c>
      <c r="AR258" t="inlineStr">
        <is>
          <t>Ready to Apply</t>
        </is>
      </c>
    </row>
    <row r="259">
      <c r="A259" t="inlineStr">
        <is>
          <t>ADVFICTION-P-261006-52</t>
        </is>
      </c>
      <c r="B259" t="inlineStr">
        <is>
          <t>Advfiction Private Limited</t>
        </is>
      </c>
      <c r="C259" t="inlineStr">
        <is>
          <t>Software Development &amp; R&amp;D Internship</t>
        </is>
      </c>
      <c r="D259" t="inlineStr">
        <is>
          <t>https://unstop.com/internships/software-development-rd-internship-advfiction-private-limited-1762573</t>
        </is>
      </c>
      <c r="E259" t="inlineStr">
        <is>
          <t>AI Analyzer</t>
        </is>
      </c>
      <c r="F259" t="inlineStr">
        <is>
          <t>Remote</t>
        </is>
      </c>
      <c r="G259" t="inlineStr">
        <is>
          <t>Remote</t>
        </is>
      </c>
      <c r="H259" t="inlineStr">
        <is>
          <t>Unpaid</t>
        </is>
      </c>
      <c r="I259" t="inlineStr">
        <is>
          <t>Not specified</t>
        </is>
      </c>
      <c r="J259" t="inlineStr">
        <is>
          <t>Not Mentioned</t>
        </is>
      </c>
      <c r="K259" t="inlineStr">
        <is>
          <t>Backend development; React.js; API Development (REST); Artificial Intelligence (AI); Git Version Control</t>
        </is>
      </c>
      <c r="L259" t="inlineStr">
        <is>
          <t>Next.js; Node.js; Python; Java; SQL; NoSQL databases; Cloud platform</t>
        </is>
      </c>
      <c r="M259" t="inlineStr">
        <is>
          <t>Advfiction Private Limited is hiring a Software Development &amp; R&amp;D Intern! Responsibilities Build and enhance complete web applications across frontend interfaces, backend services, APIs, databases, authentication, integrations, testing, and deployment. Contribute to real-world software projects, research and development activities, proof-of-concept initiatives, CRM solutions, business software, and internal product development. Experiment with AI and LLM-based solutions, AI agents, automation workflows, MCP, cloud services, microservices, emerging developer tools, and other relevant technologies. Collaborate with the team to investigate technical approaches, document findings, troubleshoot issues, and deliver reliable working implementations. Learn independently, evaluate new frameworks and tools, and apply strong problem-solving skills to ambiguous engineering challenges. Requirements Strong hands-on interest in full-stack software development and the ability to understand how complete web applications are designed and delivered. Familiarity with technologies such as React or Next.js; Node.js, Python, or Java; SQL or NoSQL databases; Git and GitHub; and at least one cloud platform is preferred. Understanding of APIs, authentication, software testing, deployment practices, and web application architecture will be valuable. Curiosity about AI/LLMs, AI agents, automation, MCP, cloud, microservices, and emerging developer tools. Strong analytical thinking, independent learning ability, ownership, communication, and willingness to explore unfamiliar technologies. Skills: Backend development, React.js, API Development (REST), Artificial Intelligence (AI), Git Version Control.</t>
        </is>
      </c>
      <c r="N259" t="n">
        <v>56</v>
      </c>
      <c r="O259" t="n">
        <v>75</v>
      </c>
      <c r="P259" t="n">
        <v>80</v>
      </c>
      <c r="Q259" t="n">
        <v>80</v>
      </c>
      <c r="R259" t="n">
        <v>0</v>
      </c>
      <c r="S259" t="n">
        <v>0</v>
      </c>
      <c r="T259" t="n">
        <v>50</v>
      </c>
      <c r="U259" t="inlineStr">
        <is>
          <t>SKIP</t>
        </is>
      </c>
      <c r="V259" t="inlineStr">
        <is>
          <t>SKIP</t>
        </is>
      </c>
      <c r="W259" t="inlineStr">
        <is>
          <t>Next.js; Artificial Intelligence (AI)</t>
        </is>
      </c>
      <c r="X259" t="inlineStr">
        <is>
          <t>Amaanuddin_Ahmed_Resume.pdf</t>
        </is>
      </c>
      <c r="Y259" t="inlineStr">
        <is>
          <t>2026-10-06</t>
        </is>
      </c>
      <c r="Z259" t="inlineStr">
        <is>
          <t>Aligns with target Software Engineering and Full Stack Developer intern roles.; Remote work mode fits candidate location preferences.</t>
        </is>
      </c>
      <c r="AA259" t="inlineStr">
        <is>
          <t>Eligible</t>
        </is>
      </c>
      <c r="AC259" t="inlineStr">
        <is>
          <t>Unknown</t>
        </is>
      </c>
      <c r="AD259" t="inlineStr">
        <is>
          <t>Not specified in the job description or candidate profile.</t>
        </is>
      </c>
      <c r="AE259" t="inlineStr">
        <is>
          <t>Unpaid</t>
        </is>
      </c>
      <c r="AF259" t="n">
        <v>0</v>
      </c>
      <c r="AG259" t="inlineStr">
        <is>
          <t>No</t>
        </is>
      </c>
      <c r="AH259" t="inlineStr">
        <is>
          <t>Not Mentioned</t>
        </is>
      </c>
      <c r="AI259" t="inlineStr">
        <is>
          <t>No mention of PPO or conversion in the job description.</t>
        </is>
      </c>
      <c r="AK259" t="inlineStr">
        <is>
          <t>Unpaid internship; No guaranteed minimum stipend meeting the target of 25,000 INR/month</t>
        </is>
      </c>
      <c r="AL259" t="inlineStr">
        <is>
          <t>Full-stack web application development and architecture; REST API design, backend development, and database handling; Experience with Git, GitHub, and deployment workflows; Familiarity with emerging AI, LLM, and automation technologies</t>
        </is>
      </c>
    </row>
    <row r="260">
      <c r="A260" t="inlineStr">
        <is>
          <t>STRIPE-261006-53</t>
        </is>
      </c>
      <c r="B260" t="inlineStr">
        <is>
          <t>Stripe</t>
        </is>
      </c>
      <c r="C260" t="inlineStr">
        <is>
          <t>Software Engineer Internship</t>
        </is>
      </c>
      <c r="D260" t="inlineStr">
        <is>
          <t>https://unstop.com/internships/software-engineer-internship-stripe-1764459</t>
        </is>
      </c>
      <c r="E260" t="inlineStr">
        <is>
          <t>AI Analyzer</t>
        </is>
      </c>
      <c r="F260" t="inlineStr">
        <is>
          <t>Bangalore</t>
        </is>
      </c>
      <c r="G260" t="inlineStr">
        <is>
          <t>On-site / Unspecified</t>
        </is>
      </c>
      <c r="I260" t="inlineStr">
        <is>
          <t>Not specified</t>
        </is>
      </c>
      <c r="J260" t="inlineStr">
        <is>
          <t>NOT_MENTIONED</t>
        </is>
      </c>
      <c r="K260" t="inlineStr">
        <is>
          <t>Software Development Life Cycle (SDLC); Code Review; Unit Testing; Git Version Control; Cross-functional Collaboration</t>
        </is>
      </c>
      <c r="L260" t="inlineStr">
        <is>
          <t>frontend; backend; infrastructure</t>
        </is>
      </c>
      <c r="M260" t="inlineStr">
        <is>
          <t>Stripe is hiring for the role of Software Engineer Intern! Responsibilities of the Intern: Operate as a real member of the team you join; engage in team discussions, decisions, and the technical design process. Write software that will be used in production and has meaningful impact to Stripe’s business and users. Give and receive technical feedback through code reviews or design discussions Collaborate with other engineers and cross-functional stakeholders to proactively seek and incorporate feedback. Learn quickly by asking great questions, working with your intern manager and teammates effectively, communicating the status of your work clearly, and building with the latest AI tooling. Requirements: At least 1 year of university education or equivalent work experience. Experience from previous internships or other multi-person projects, including open-source contributions, that demonstrate evaluating and receiving feedback from mentors, peers, and stakeholders. One or more areas of specialized knowledge (frontend, backend, infrastructure or other technologies) balanced with general skills and knowledge. Experience writing high-quality pull requests with good test coverage, and working knowledge to complete projects with minimal defects. Skills: Software Development Life Cycle (SDLC), Code Review, Unit Testing, Git Version Control, Cross-functional Collaboration.</t>
        </is>
      </c>
      <c r="N260" t="n">
        <v>74</v>
      </c>
      <c r="O260" t="n">
        <v>75</v>
      </c>
      <c r="P260" t="n">
        <v>85</v>
      </c>
      <c r="Q260" t="n">
        <v>85</v>
      </c>
      <c r="R260" t="n">
        <v>50</v>
      </c>
      <c r="S260" t="n">
        <v>50</v>
      </c>
      <c r="T260" t="n">
        <v>95</v>
      </c>
      <c r="U260" t="inlineStr">
        <is>
          <t>CONSIDER</t>
        </is>
      </c>
      <c r="V260" t="inlineStr">
        <is>
          <t>CONSIDER</t>
        </is>
      </c>
      <c r="W260" t="inlineStr">
        <is>
          <t>Unit Testing frameworks; Formal Code Review processes in enterprise environments</t>
        </is>
      </c>
      <c r="X260" t="inlineStr">
        <is>
          <t>Standard Full Stack Resume</t>
        </is>
      </c>
      <c r="Y260" t="inlineStr">
        <is>
          <t>2026-10-06</t>
        </is>
      </c>
      <c r="Z260" t="inlineStr">
        <is>
          <t>Stripe is a top-tier product company offering high opportunity quality.; Candidate has strong multi-person project and internship experience (Sunflower Trip, Freelance POS) that directly satisfies the requirement for previous development experience.; Meets the education criteria as an MCA student.</t>
        </is>
      </c>
      <c r="AA260" t="inlineStr">
        <is>
          <t>ELIGIBLE</t>
        </is>
      </c>
      <c r="AB260" t="inlineStr">
        <is>
          <t>Candidate is currently enrolled in an MCA program (2025-2027), fulfilling the requirement of at least 1 year of university education.</t>
        </is>
      </c>
      <c r="AC260" t="inlineStr">
        <is>
          <t>UNKNOWN</t>
        </is>
      </c>
      <c r="AD260" t="inlineStr">
        <is>
          <t>Exact start and end dates are not specified in the career brain to confirm immediate availability.</t>
        </is>
      </c>
      <c r="AE260" t="inlineStr">
        <is>
          <t>UNKNOWN</t>
        </is>
      </c>
      <c r="AF260" t="n">
        <v>0</v>
      </c>
      <c r="AG260" t="inlineStr">
        <is>
          <t>No</t>
        </is>
      </c>
      <c r="AH260" t="inlineStr">
        <is>
          <t>NOT_MENTIONED</t>
        </is>
      </c>
      <c r="AI260" t="inlineStr">
        <is>
          <t>The job description does not explicitly mention PPO or conversion opportunities.</t>
        </is>
      </c>
      <c r="AL260" t="inlineStr">
        <is>
          <t>Software Development Life Cycle (SDLC) experience; Code review and pull request feedback handling; Unit testing methodologies and tools; Collaboration with cross-functional stakeholders in past internships</t>
        </is>
      </c>
    </row>
    <row r="261">
      <c r="A261" t="inlineStr">
        <is>
          <t>AUTOMATION-A-261006-54</t>
        </is>
      </c>
      <c r="B261" t="inlineStr">
        <is>
          <t>Automation Anywhere</t>
        </is>
      </c>
      <c r="C261" t="inlineStr">
        <is>
          <t>Software Engineering Internship</t>
        </is>
      </c>
      <c r="D261" t="inlineStr">
        <is>
          <t>https://unstop.com/internships/software-engineering-internship-automation-anywhere-1760667</t>
        </is>
      </c>
      <c r="E261" t="inlineStr">
        <is>
          <t>AI Analyzer</t>
        </is>
      </c>
      <c r="F261" t="inlineStr">
        <is>
          <t>Bangalore, Hyderabad, Vadodara</t>
        </is>
      </c>
      <c r="G261" t="inlineStr">
        <is>
          <t>On-site / Hybrid</t>
        </is>
      </c>
      <c r="H261" t="inlineStr">
        <is>
          <t>Not specified</t>
        </is>
      </c>
      <c r="I261" t="inlineStr">
        <is>
          <t>Not specified</t>
        </is>
      </c>
      <c r="J261" t="inlineStr">
        <is>
          <t>NOT MENTIONED</t>
        </is>
      </c>
      <c r="K261" t="inlineStr">
        <is>
          <t>Java; Python; C#; JavaScript; CSS; HTML; Node; Database querying; Gen AI concepts; Software testing principles</t>
        </is>
      </c>
      <c r="L261" t="inlineStr">
        <is>
          <t>Git; CI/CD; Jenkins; GitHub Actions; Selenium; Cypress; JUnit; TestNG; REST APIs; Postman; Agile methodologies; API Testing; Software Testing Life Cycle (STLC); Test Automation</t>
        </is>
      </c>
      <c r="M261" t="inlineStr">
        <is>
          <t>Automation Anywhere is hiring for the role of Software Engineering Intern! Responsibilities of the Intern: Design, develop, and maintain automated test scripts for web, chatbot AI applications and Rest endpoints using AI Tools Work with developers to identify and resolve defects Contribute to continuous integration/continuous deployment (CI/CD) testing efforts Assist in developing testing frameworks and tools as needed Analyze test results, report bugs, and provide clear documentation Learn and apply testing methodologies, tools, and techniques Collaborate with cross-functional teams in Agile/Scrum environments Adopt AI tools to increase the velocity on automation test cases Requirements: Currently pursuing a Bachelor's or Master’s degree in Computer Science, Software Engineering, or related AI/ML field Familiarity with at least one programming language such as Java, Python, C#, or JavaScript Knowledge for front-end development [CSS, HTML, Node ect] Fair knowledge on database querying and analyzing the logs to root cause the issues Understanding on Gen AI concepts Understanding of software testing principles (unit, integration, functional, regression testing) Strong problem-solving and analytical skills Excellent communication and teamwork abilities Nice to Have: Experience with version control systems (e.g., Git) Familiarity with CI/CD tools like Jenkins, GitHub Actions etc Exposure to test automation frameworks like Selenium, Cypress, JUnit, TestNG, or similar Knowledge of REST APIs and tools such as Postman Understanding of Agile methodologies Skills: API Testing, Software Testing Life Cycle (STLC), CI/CD, Selenium WebDriver, Test Automation.</t>
        </is>
      </c>
      <c r="N261" t="n">
        <v>52</v>
      </c>
      <c r="O261" t="n">
        <v>60</v>
      </c>
      <c r="P261" t="n">
        <v>70</v>
      </c>
      <c r="Q261" t="n">
        <v>50</v>
      </c>
      <c r="R261" t="n">
        <v>40</v>
      </c>
      <c r="S261" t="n">
        <v>0</v>
      </c>
      <c r="T261" t="n">
        <v>60</v>
      </c>
      <c r="U261" t="inlineStr">
        <is>
          <t>SKIP</t>
        </is>
      </c>
      <c r="V261" t="inlineStr">
        <is>
          <t>SKIP</t>
        </is>
      </c>
      <c r="W261" t="inlineStr">
        <is>
          <t>Automated test script development; Software testing frameworks (Selenium, Cypress, JUnit, TestNG); CI/CD tools (Jenkins, GitHub Actions)</t>
        </is>
      </c>
      <c r="X261" t="inlineStr">
        <is>
          <t>Amaanuddin_Ahmed_Resume_General</t>
        </is>
      </c>
      <c r="Y261" t="inlineStr">
        <is>
          <t>2026-10-06</t>
        </is>
      </c>
      <c r="Z261" t="inlineStr">
        <is>
          <t>Meets educational requirements as an MCA student.; Matches location preference for Bangalore.; Requires foundational programming skills like JavaScript and Node.js which the candidate possesses.</t>
        </is>
      </c>
      <c r="AA261" t="inlineStr">
        <is>
          <t>ELIGIBLE</t>
        </is>
      </c>
      <c r="AB261" t="inlineStr">
        <is>
          <t>Currently pursuing MCA (Master of Computer Applications), which fits the requirement for a Master's degree in Computer Science, Software Engineering, or related fields.</t>
        </is>
      </c>
      <c r="AC261" t="inlineStr">
        <is>
          <t>UNKNOWN</t>
        </is>
      </c>
      <c r="AD261" t="inlineStr">
        <is>
          <t>Availability dates are not specified in the career brain or job description.</t>
        </is>
      </c>
      <c r="AE261" t="inlineStr">
        <is>
          <t>UNKNOWN</t>
        </is>
      </c>
      <c r="AF261" t="n">
        <v>0</v>
      </c>
      <c r="AG261" t="inlineStr">
        <is>
          <t>No</t>
        </is>
      </c>
      <c r="AH261" t="inlineStr">
        <is>
          <t>NOT MENTIONED</t>
        </is>
      </c>
      <c r="AI261" t="inlineStr">
        <is>
          <t>The job description does not explicitly mention conversion to a full-time employment offer (PPO).</t>
        </is>
      </c>
      <c r="AK261" t="inlineStr">
        <is>
          <t>Role is heavily focused on software testing and QA automation rather than core software engineering or full-stack development.</t>
        </is>
      </c>
      <c r="AL261" t="inlineStr">
        <is>
          <t>Software testing principles and methodologies (unit, integration, functional, regression); Experience with JavaScript and Node.js for backend validation; Gen AI concepts and application in testing workflows; Database querying and log analysis</t>
        </is>
      </c>
    </row>
    <row r="262">
      <c r="A262" t="inlineStr">
        <is>
          <t>MERKLE-SCIEN-261006-55</t>
        </is>
      </c>
      <c r="B262" t="inlineStr">
        <is>
          <t>Merkle Science Pvt Ltd</t>
        </is>
      </c>
      <c r="C262" t="inlineStr">
        <is>
          <t>Software Engineer(Intern)- Backend</t>
        </is>
      </c>
      <c r="D262" t="inlineStr">
        <is>
          <t>https://unstop.com/internships/software-engineerintern-backend-merkle-science-pvt-ltd-1761265</t>
        </is>
      </c>
      <c r="E262" t="inlineStr">
        <is>
          <t>AI Analyzer</t>
        </is>
      </c>
      <c r="F262" t="inlineStr">
        <is>
          <t>Bangalore</t>
        </is>
      </c>
      <c r="G262" t="inlineStr">
        <is>
          <t>On-site</t>
        </is>
      </c>
      <c r="H262" t="inlineStr">
        <is>
          <t>Not specified</t>
        </is>
      </c>
      <c r="I262" t="inlineStr">
        <is>
          <t>Not specified</t>
        </is>
      </c>
      <c r="J262" t="inlineStr">
        <is>
          <t>UNKNOWN</t>
        </is>
      </c>
      <c r="K262" t="inlineStr">
        <is>
          <t>Python; Django; FastAPI; PostgreSQL; Redis; REST APIs; Data Structures and Algorithms</t>
        </is>
      </c>
      <c r="L262" t="inlineStr">
        <is>
          <t>ClickHouse</t>
        </is>
      </c>
      <c r="M262" t="inlineStr">
        <is>
          <t>Merkle Science is hiring for the role of Software Engineer(Intern)- Backend! Responsibilities of the Intern : Design, build, and maintain backend services and REST APIs using Python(Django/FastAPI) Write efficient queries and manage data models in PostgreSQL Work with Redis for caching, queues, and improving service performance Collaborate with frontend and QA engineers to ship end-to-end features Write clean, tested, well-documented code and participate in code reviews Debug and optimize existing services for performance and scale Work with large datasets related to blockchain transactions (exposure to tools like ClickHouse is a plus) Requirements : Strong fundamentals in Python and object-oriented programming Understanding of Django/FastAPI or any Python web framework Working knowledge of relational databases (PostgreSQL preferred) — schema design, indexing, query optimization Basic understanding of caching concepts and tools like Redis Understanding of REST API design principles Strong problem-solving and DSA fundamentals (arrays, trees, graphs, hashing) Familiarity with Git and collaborative version control workflows Skills: Python, Backend development, API Development (REST), Redis, Database Design.</t>
        </is>
      </c>
      <c r="N262" t="n">
        <v>56</v>
      </c>
      <c r="O262" t="n">
        <v>50</v>
      </c>
      <c r="P262" t="n">
        <v>60</v>
      </c>
      <c r="Q262" t="n">
        <v>70</v>
      </c>
      <c r="R262" t="n">
        <v>50</v>
      </c>
      <c r="S262" t="n">
        <v>40</v>
      </c>
      <c r="T262" t="n">
        <v>70</v>
      </c>
      <c r="U262" t="inlineStr">
        <is>
          <t>SKIP</t>
        </is>
      </c>
      <c r="V262" t="inlineStr">
        <is>
          <t>SKIP</t>
        </is>
      </c>
      <c r="W262" t="inlineStr">
        <is>
          <t>Python (working knowledge only, not demonstrated in production work); Django; FastAPI; PostgreSQL; Redis</t>
        </is>
      </c>
      <c r="X262" t="inlineStr">
        <is>
          <t>Amaanuddin_Ahmed_Resume_General.pdf</t>
        </is>
      </c>
      <c r="Y262" t="inlineStr">
        <is>
          <t>2026-10-06</t>
        </is>
      </c>
      <c r="Z262" t="inlineStr">
        <is>
          <t>Matches target role of Software Engineer Intern (Backend).; Based in preferred location Bengaluru.</t>
        </is>
      </c>
      <c r="AA262" t="inlineStr">
        <is>
          <t>ELIGIBLE</t>
        </is>
      </c>
      <c r="AB262" t="inlineStr">
        <is>
          <t>Candidate is pursuing MCA (2025-2027) which aligns with internship criteria.; Location matches Bengaluru/Bangalore preference.</t>
        </is>
      </c>
      <c r="AC262" t="inlineStr">
        <is>
          <t>UNKNOWN</t>
        </is>
      </c>
      <c r="AD262" t="inlineStr">
        <is>
          <t>Exact start and end dates of availability are not specified in the career brain.</t>
        </is>
      </c>
      <c r="AE262" t="inlineStr">
        <is>
          <t>UNKNOWN</t>
        </is>
      </c>
      <c r="AF262" t="n">
        <v>0</v>
      </c>
      <c r="AG262" t="inlineStr">
        <is>
          <t>No</t>
        </is>
      </c>
      <c r="AH262" t="inlineStr">
        <is>
          <t>UNKNOWN</t>
        </is>
      </c>
      <c r="AI262" t="inlineStr">
        <is>
          <t>No explicit mention of PPO or conversion in the job description.</t>
        </is>
      </c>
      <c r="AK262" t="inlineStr">
        <is>
          <t>Stipend is not disclosed; Primary backend stack required is Python/Django/FastAPI, whereas candidate background is heavily Node.js/MERN and C#/.NET</t>
        </is>
      </c>
      <c r="AL262" t="inlineStr">
        <is>
          <t>Python OOP and web frameworks (Django/FastAPI); PostgreSQL schema design and query optimization; Redis caching and queue management; DSA fundamentals (arrays, trees, graphs, hashing)</t>
        </is>
      </c>
    </row>
    <row r="263">
      <c r="A263" t="inlineStr">
        <is>
          <t>HACKERRANK-261006-56</t>
        </is>
      </c>
      <c r="B263" t="inlineStr">
        <is>
          <t>HackerRank</t>
        </is>
      </c>
      <c r="C263" t="inlineStr">
        <is>
          <t>Software Development Engineer Internship</t>
        </is>
      </c>
      <c r="D263" t="inlineStr">
        <is>
          <t>https://unstop.com/internships/software-development-engineer-internship-hackerrank-1764422</t>
        </is>
      </c>
      <c r="E263" t="inlineStr">
        <is>
          <t>AI Analyzer</t>
        </is>
      </c>
      <c r="F263" t="inlineStr">
        <is>
          <t>Bengaluru</t>
        </is>
      </c>
      <c r="G263" t="inlineStr">
        <is>
          <t>Onsite</t>
        </is>
      </c>
      <c r="H263" t="inlineStr">
        <is>
          <t>Not specified</t>
        </is>
      </c>
      <c r="I263" t="inlineStr">
        <is>
          <t>6 months</t>
        </is>
      </c>
      <c r="J263" t="inlineStr">
        <is>
          <t>NOT MENTIONED</t>
        </is>
      </c>
      <c r="K263" t="inlineStr">
        <is>
          <t>Software Development Life Cycle (SDLC); Object-Oriented Programming (OOP); Git Version Control; Problem Solving; Teamwork and Collaboration</t>
        </is>
      </c>
      <c r="M263" t="inlineStr">
        <is>
          <t>HackerRank Investments is hiring for the role of Software Development Engineer Intern! Responsibilities of the Intern: Push your code to prod and contribute to meaningful &amp; real-world projects right from your first month. Care about the craft. From the code we ship to the words we use with customers, small things add up to an experience worth being proud of. Then we find ways to make it better. Go deep. Learn the product, understand the problem, and share what you know with the people around you. Own it. Bring the right people together, follow through on commitments, and raise issues early. Requirements: Available full-time to work from the Bengaluru office for the entire duration. (6-month full-time onsite internship Jan - June 2027) Skills: Software Development Life Cycle (SDLC), Object-Oriented Programming (OOP), Git Version Control, Problem Solving, Teamwork and Collaboration.</t>
        </is>
      </c>
      <c r="N263" t="n">
        <v>76</v>
      </c>
      <c r="O263" t="n">
        <v>80</v>
      </c>
      <c r="P263" t="n">
        <v>85</v>
      </c>
      <c r="Q263" t="n">
        <v>90</v>
      </c>
      <c r="R263" t="n">
        <v>50</v>
      </c>
      <c r="S263" t="n">
        <v>50</v>
      </c>
      <c r="T263" t="n">
        <v>90</v>
      </c>
      <c r="U263" t="inlineStr">
        <is>
          <t>CONSIDER</t>
        </is>
      </c>
      <c r="V263" t="inlineStr">
        <is>
          <t>CONSIDER</t>
        </is>
      </c>
      <c r="X263" t="inlineStr">
        <is>
          <t>Standard Full Stack / Software Engineer Resume</t>
        </is>
      </c>
      <c r="Y263" t="inlineStr">
        <is>
          <t>2026-10-06</t>
        </is>
      </c>
      <c r="Z263" t="inlineStr">
        <is>
          <t>HackerRank is a top-tier product company providing high opportunity quality.; Matches target SDE intern role perfectly.; Onsite in Bengaluru aligns with candidate preference.</t>
        </is>
      </c>
      <c r="AA263" t="inlineStr">
        <is>
          <t>ELIGIBLE</t>
        </is>
      </c>
      <c r="AB263" t="inlineStr">
        <is>
          <t>Location matches preferred location (Bengaluru).; Available for full-time internship during the specified period.</t>
        </is>
      </c>
      <c r="AC263" t="inlineStr">
        <is>
          <t>AVAILABLE</t>
        </is>
      </c>
      <c r="AD263" t="inlineStr">
        <is>
          <t>Candidate is pursuing MCA 2025-2027 and is available for Jan - June 2027 internship.</t>
        </is>
      </c>
      <c r="AE263" t="inlineStr">
        <is>
          <t>UNKNOWN</t>
        </is>
      </c>
      <c r="AF263" t="n">
        <v>0</v>
      </c>
      <c r="AG263" t="inlineStr">
        <is>
          <t>No</t>
        </is>
      </c>
      <c r="AH263" t="inlineStr">
        <is>
          <t>NOT MENTIONED</t>
        </is>
      </c>
      <c r="AI263" t="inlineStr">
        <is>
          <t>No explicit PPO or conversion mention found in the job description.</t>
        </is>
      </c>
      <c r="AK263" t="inlineStr">
        <is>
          <t>Stipend is not disclosed in the job description.</t>
        </is>
      </c>
      <c r="AL263" t="inlineStr">
        <is>
          <t>Object-Oriented Programming principles and design; SDLC and deployment workflows; Problem solving and coding exercises; Git version control and branching strategies</t>
        </is>
      </c>
    </row>
    <row r="264">
      <c r="A264" t="inlineStr">
        <is>
          <t>SIEMENS-GAME-261006-57</t>
        </is>
      </c>
      <c r="B264" t="inlineStr">
        <is>
          <t>Siemens Gamesa Renewable Energy</t>
        </is>
      </c>
      <c r="C264" t="inlineStr">
        <is>
          <t>Intern – Software Development and Testing</t>
        </is>
      </c>
      <c r="D264" t="inlineStr">
        <is>
          <t>https://unstop.com/internships/intern-software-development-and-testing-siemens-gamesa-renewable-energy-1764524</t>
        </is>
      </c>
      <c r="E264" t="inlineStr">
        <is>
          <t>AI Analyzer</t>
        </is>
      </c>
      <c r="F264" t="inlineStr">
        <is>
          <t>Bangalore</t>
        </is>
      </c>
      <c r="G264" t="inlineStr">
        <is>
          <t>On-site / Not Specified</t>
        </is>
      </c>
      <c r="H264" t="inlineStr">
        <is>
          <t>Not Specified</t>
        </is>
      </c>
      <c r="I264" t="inlineStr">
        <is>
          <t>Not Specified</t>
        </is>
      </c>
      <c r="J264" t="inlineStr">
        <is>
          <t>Not Mentioned</t>
        </is>
      </c>
      <c r="K264" t="inlineStr">
        <is>
          <t>Python; MATLAB; LaTeX; Object-Oriented Programming (OOP); Software Testing; Version Control Systems; Git; CI/CD</t>
        </is>
      </c>
      <c r="L264" t="inlineStr">
        <is>
          <t>Mercurial; Jira; GitLab; Jenkins; Artifactory</t>
        </is>
      </c>
      <c r="M264" t="inlineStr">
        <is>
          <t>Siemens Gamesa is hiring for the role of Intern – Software Development and Testing! Responsibilities of the Intern: Assist in designing and programming functions in MATLAB and Python for automated reporting and controller validation workflows. Support the testing and validation of new and existing software tools to ensure functionality and reliability. Collaborate with engineers to debug and enhance tool performance based on user feedback and project requirements. Implementation and improvement of automated build, test and CI/CD (Continuous Integration/Continuous Deployment) procedures to ensure efficient and reliable software delivery. Assist in the preparation and maintenance of technical documentation for developed tools, including user guides and development notes. Support the creation of data analysis reports and technical presentations for engineering reviews. Preparing controller certification documents Requirements: Currently pursuing a Bachelor's (B.Tech, 3rd/4th year) or Master's (M.Tech, 1st year) degree in Control &amp; Automation, Mechanical, Electrical, Electronics, or a related engineering discipline. No prior professional experience required; academic or personal project experience in relevant programming languages is highly valued. Good in Python Programming &amp; MATLAB, Latex Object-Oriented Programming (OOP) Software Testing Version Control Systems (e.g., Git) Hands-on experience with distributed version control systems (e.g., Mercurial, Git) and agile development tools (e.g., Jira) Experience working with continuous integration pipelines (e.g., GitLab, Jenkins, Artifactory). Problem-Solving Collaboration Communication Skills (Written &amp; Spoken) Proactive Learning Skills: Python, MATLAB, Test Automation, CI/CD, Object-Oriented Programming (OOP).</t>
        </is>
      </c>
      <c r="N264" t="n">
        <v>40</v>
      </c>
      <c r="O264" t="n">
        <v>45</v>
      </c>
      <c r="P264" t="n">
        <v>50</v>
      </c>
      <c r="Q264" t="n">
        <v>40</v>
      </c>
      <c r="R264" t="n">
        <v>0</v>
      </c>
      <c r="S264" t="n">
        <v>50</v>
      </c>
      <c r="T264" t="n">
        <v>60</v>
      </c>
      <c r="U264" t="inlineStr">
        <is>
          <t>SKIP</t>
        </is>
      </c>
      <c r="V264" t="inlineStr">
        <is>
          <t>SKIP</t>
        </is>
      </c>
      <c r="W264" t="inlineStr">
        <is>
          <t>MATLAB; LaTeX; Software Testing; Mercurial; Jira; GitLab; Jenkins; Artifactory</t>
        </is>
      </c>
      <c r="X264" t="inlineStr">
        <is>
          <t>Default Full Stack / General Software Resume</t>
        </is>
      </c>
      <c r="Y264" t="inlineStr">
        <is>
          <t>2026-10-06</t>
        </is>
      </c>
      <c r="Z264" t="inlineStr">
        <is>
          <t>Located in Bangalore and matches internship job type.; Requires Python and CI/CD exposure.</t>
        </is>
      </c>
      <c r="AA264" t="inlineStr">
        <is>
          <t>ELIGIBLE</t>
        </is>
      </c>
      <c r="AB264" t="inlineStr">
        <is>
          <t>Currently pursuing an MCA degree which falls under the broader scope of related engineering/computer disciplines for many software internships.; Location matches Bengaluru.</t>
        </is>
      </c>
      <c r="AC264" t="inlineStr">
        <is>
          <t>UNKNOWN</t>
        </is>
      </c>
      <c r="AD264" t="inlineStr">
        <is>
          <t>Availability dates not specified in career brain or JD.</t>
        </is>
      </c>
      <c r="AE264" t="inlineStr">
        <is>
          <t>UNKNOWN</t>
        </is>
      </c>
      <c r="AF264" t="n">
        <v>0</v>
      </c>
      <c r="AG264" t="inlineStr">
        <is>
          <t>No</t>
        </is>
      </c>
      <c r="AH264" t="inlineStr">
        <is>
          <t>Not Mentioned</t>
        </is>
      </c>
      <c r="AI264" t="inlineStr">
        <is>
          <t>The job description does not mention PPO or conversion opportunities.</t>
        </is>
      </c>
      <c r="AK264" t="inlineStr">
        <is>
          <t>Requires background in Control &amp; Automation, Mechanical, Electrical, Electronics, whereas candidate is from an MCA background.; Heavy emphasis on MATLAB and control systems engineering workflows.</t>
        </is>
      </c>
      <c r="AL264" t="inlineStr">
        <is>
          <t>Python programming and Object-Oriented Programming principles; Software testing methodologies and CI/CD pipelines; Experience with version control systems like Git</t>
        </is>
      </c>
    </row>
    <row r="265">
      <c r="A265" t="inlineStr">
        <is>
          <t>INSIGHTSOFTW-261006-58</t>
        </is>
      </c>
      <c r="B265" t="inlineStr">
        <is>
          <t>Insightsoftware Pvt Ltd</t>
        </is>
      </c>
      <c r="C265" t="inlineStr">
        <is>
          <t>Associate Software Engineer Internship</t>
        </is>
      </c>
      <c r="D265" t="inlineStr">
        <is>
          <t>https://unstop.com/internships/associate-software-engineer-internship-insightsoftware-pvt-ltd-1765074</t>
        </is>
      </c>
      <c r="E265" t="inlineStr">
        <is>
          <t>AI Analyzer</t>
        </is>
      </c>
      <c r="F265" t="inlineStr">
        <is>
          <t>Bangalore, Hyderabad</t>
        </is>
      </c>
      <c r="G265" t="inlineStr">
        <is>
          <t>Unknown</t>
        </is>
      </c>
      <c r="I265" t="inlineStr">
        <is>
          <t>Unknown</t>
        </is>
      </c>
      <c r="J265" t="inlineStr">
        <is>
          <t>UNKNOWN</t>
        </is>
      </c>
      <c r="K265" t="inlineStr">
        <is>
          <t>C# Programming Language; SQL; AWS (Amazon Web Services); Test Automation; CI/CD</t>
        </is>
      </c>
      <c r="L265" t="inlineStr">
        <is>
          <t>PL/SQL; C++; Java; JavaScript; nunit; cppunit; xunit; junit</t>
        </is>
      </c>
      <c r="M265" t="inlineStr">
        <is>
          <t>Insightsoftware is hiring for the role of Associate Software Engineer! Responsibilities of the Intern: Design, develop, troubleshoot, and debug software programs for enhancements and new products. Design and code automated tests (functional, integration and regression), run manual tests, report metrics and defects. Design, trouble shoot CI/CD pipelines, Manage the cloud (AWS) infrastructure Code, participate in code reviews, testing, bug bashes, and Agile rituals Work with the team lead to build applications, assist in Research activities and POCs Requirements: Experience in one or more general purpose programming languages. SQL, PL/SQL, C#, C++, Java &amp; JavaScript are mostly used in day-to-day job. While we expect you to know one well, knowing at least two boosts your chances of being successful at job. Experience in one or more of the unit testing tools like nunit, cppunit, xunit, junit. Exposure to databases and data modelling. Skills: C# Programming Language, SQL, AWS (Amazon Web Services), Test Automation, CI/CD.</t>
        </is>
      </c>
      <c r="N265" t="n">
        <v>71</v>
      </c>
      <c r="O265" t="n">
        <v>75</v>
      </c>
      <c r="P265" t="n">
        <v>80</v>
      </c>
      <c r="Q265" t="n">
        <v>85</v>
      </c>
      <c r="R265" t="n">
        <v>50</v>
      </c>
      <c r="S265" t="n">
        <v>50</v>
      </c>
      <c r="T265" t="n">
        <v>75</v>
      </c>
      <c r="U265" t="inlineStr">
        <is>
          <t>CONSIDER</t>
        </is>
      </c>
      <c r="V265" t="inlineStr">
        <is>
          <t>CONSIDER</t>
        </is>
      </c>
      <c r="W265" t="inlineStr">
        <is>
          <t>Test Automation; CI/CD</t>
        </is>
      </c>
      <c r="X265" t="inlineStr">
        <is>
          <t>Default Full Stack Resume</t>
        </is>
      </c>
      <c r="Y265" t="inlineStr">
        <is>
          <t>2026-10-06</t>
        </is>
      </c>
      <c r="Z265" t="inlineStr">
        <is>
          <t>Candidate has verifiable real-world experience using C# and MS SQL Server from the restaurant POS project.; Aligns well with target software engineering intern roles.</t>
        </is>
      </c>
      <c r="AA265" t="inlineStr">
        <is>
          <t>ELIGIBLE</t>
        </is>
      </c>
      <c r="AB265" t="inlineStr">
        <is>
          <t>Meets general profile requirements for software engineering internship.</t>
        </is>
      </c>
      <c r="AC265" t="inlineStr">
        <is>
          <t>UNKNOWN</t>
        </is>
      </c>
      <c r="AD265" t="inlineStr">
        <is>
          <t>Not specified in the Career Brain or JD.</t>
        </is>
      </c>
      <c r="AE265" t="inlineStr">
        <is>
          <t>UNKNOWN</t>
        </is>
      </c>
      <c r="AF265" t="n">
        <v>0</v>
      </c>
      <c r="AG265" t="inlineStr">
        <is>
          <t>No</t>
        </is>
      </c>
      <c r="AH265" t="inlineStr">
        <is>
          <t>UNKNOWN</t>
        </is>
      </c>
      <c r="AI265" t="inlineStr">
        <is>
          <t>No explicit mention of PPO or conversion in the job description.</t>
        </is>
      </c>
      <c r="AL265" t="inlineStr">
        <is>
          <t>C# and Object-Oriented Programming principles; SQL and database management; CI/CD pipelines and cloud infrastructure (AWS); Automated testing frameworks and unit testing</t>
        </is>
      </c>
    </row>
    <row r="266">
      <c r="A266" t="inlineStr">
        <is>
          <t>NEERAJPHARMA-261006-59</t>
        </is>
      </c>
      <c r="B266" t="inlineStr">
        <is>
          <t>NeerajPharma</t>
        </is>
      </c>
      <c r="C266" t="inlineStr">
        <is>
          <t>Frontend Developer Internship</t>
        </is>
      </c>
      <c r="D266" t="inlineStr">
        <is>
          <t>https://unstop.com/internships/frontend-developer-internship-neerajpharma-1761031</t>
        </is>
      </c>
      <c r="E266" t="inlineStr">
        <is>
          <t>AI Analyzer</t>
        </is>
      </c>
      <c r="F266" t="inlineStr">
        <is>
          <t>Remote</t>
        </is>
      </c>
      <c r="G266" t="inlineStr">
        <is>
          <t>Remote</t>
        </is>
      </c>
      <c r="H266" t="inlineStr">
        <is>
          <t>Unpaid</t>
        </is>
      </c>
      <c r="I266" t="inlineStr">
        <is>
          <t>6-week</t>
        </is>
      </c>
      <c r="J266" t="inlineStr">
        <is>
          <t>none_mentioned</t>
        </is>
      </c>
      <c r="K266" t="inlineStr">
        <is>
          <t>HTML; CSS; JavaScript; UI/UX Design; Web Testing</t>
        </is>
      </c>
      <c r="M266" t="inlineStr">
        <is>
          <t>About the Company NeerajPharma is inviting applications for a Frontend Developer Intern to join its technology team. The internship offers freshers an opportunity to build practical web development experience while working remotely in a structured, collaborative environment. Interns will receive exposure to real-world interface development, product thinking, debugging, and online teamwork. Responsibilities Assist with creating responsive and user-friendly web interfaces. Translate design concepts and requirements into reusable frontend components. Support debugging, testing, browser compatibility checks, and interface improvements. Participate in code reviews, documentation, and virtual team discussions. Learn and apply modern frontend development practices under team guidance. Requirements Open to freshers and candidates beginning their career in technology. Basic understanding of HTML, CSS, JavaScript, responsive design, and web development concepts. Interest in learning frontend frameworks, development tools, and user experience principles. Strong willingness to learn, problem-solving ability, and clear communication. Ability to work independently from home and collaborate effectively with a remote team. This is a 6-week unpaid internship for candidates seeking hands-on experience in frontend development within a technology-focused organization. Skills: HTML, CSS, JavaScript, UI/UX Design, Web Testing.</t>
        </is>
      </c>
      <c r="N266" t="n">
        <v>60</v>
      </c>
      <c r="O266" t="n">
        <v>90</v>
      </c>
      <c r="P266" t="n">
        <v>90</v>
      </c>
      <c r="Q266" t="n">
        <v>80</v>
      </c>
      <c r="R266" t="n">
        <v>0</v>
      </c>
      <c r="S266" t="n">
        <v>0</v>
      </c>
      <c r="T266" t="n">
        <v>30</v>
      </c>
      <c r="U266" t="inlineStr">
        <is>
          <t>STRETCH</t>
        </is>
      </c>
      <c r="V266" t="inlineStr">
        <is>
          <t>STRETCH</t>
        </is>
      </c>
      <c r="X266" t="inlineStr">
        <is>
          <t>Frontend Developer Resume</t>
        </is>
      </c>
      <c r="Y266" t="inlineStr">
        <is>
          <t>2026-10-06</t>
        </is>
      </c>
      <c r="Z266" t="inlineStr">
        <is>
          <t>Matches technical requirements for frontend development.</t>
        </is>
      </c>
      <c r="AA266" t="inlineStr">
        <is>
          <t>eligible</t>
        </is>
      </c>
      <c r="AB266" t="inlineStr">
        <is>
          <t>Open to freshers and candidates beginning their career in technology.; Remote work mode aligns with preferences.</t>
        </is>
      </c>
      <c r="AC266" t="inlineStr">
        <is>
          <t>unknown</t>
        </is>
      </c>
      <c r="AD266" t="inlineStr">
        <is>
          <t>Exact start dates and immediate availability window are not specified in the profile.</t>
        </is>
      </c>
      <c r="AE266" t="inlineStr">
        <is>
          <t>unpaid</t>
        </is>
      </c>
      <c r="AF266" t="n">
        <v>0</v>
      </c>
      <c r="AG266" t="inlineStr">
        <is>
          <t>No</t>
        </is>
      </c>
      <c r="AH266" t="inlineStr">
        <is>
          <t>none_mentioned</t>
        </is>
      </c>
      <c r="AI266" t="inlineStr">
        <is>
          <t>No mention of PPO or conversion opportunities in the job description.</t>
        </is>
      </c>
      <c r="AK266" t="inlineStr">
        <is>
          <t>Unpaid internship; Extremely short duration (6 weeks); Stipend is below the candidate's minimum target of ₹25,000/month</t>
        </is>
      </c>
      <c r="AL266" t="inlineStr">
        <is>
          <t>Responsive web design principles; HTML/CSS cross-browser compatibility; JavaScript fundamentals and DOM manipulation</t>
        </is>
      </c>
    </row>
    <row r="267">
      <c r="A267" t="inlineStr">
        <is>
          <t>INVEXOM-261006-60</t>
        </is>
      </c>
      <c r="B267" t="inlineStr">
        <is>
          <t>Invexom</t>
        </is>
      </c>
      <c r="C267" t="inlineStr">
        <is>
          <t>Python Developer Internship</t>
        </is>
      </c>
      <c r="D267" t="inlineStr">
        <is>
          <t>https://unstop.com/internships/python-developer-internship-invexom-1763380</t>
        </is>
      </c>
      <c r="E267" t="inlineStr">
        <is>
          <t>AI Analyzer</t>
        </is>
      </c>
      <c r="F267" t="inlineStr">
        <is>
          <t>Remote</t>
        </is>
      </c>
      <c r="G267" t="inlineStr">
        <is>
          <t>Remote</t>
        </is>
      </c>
      <c r="H267" t="inlineStr">
        <is>
          <t>Unpaid</t>
        </is>
      </c>
      <c r="I267" t="inlineStr">
        <is>
          <t>Not specified</t>
        </is>
      </c>
      <c r="J267" t="inlineStr">
        <is>
          <t>Not mentioned</t>
        </is>
      </c>
      <c r="K267" t="inlineStr">
        <is>
          <t>Python; Object-Oriented Programming (OOP); Debugging; Data Structures and Algorithms</t>
        </is>
      </c>
      <c r="L267" t="inlineStr">
        <is>
          <t>Git Version Control; Python Scientific Libraries (NumPy, SciPy, Pandas)</t>
        </is>
      </c>
      <c r="M267" t="inlineStr">
        <is>
          <t>Watch the complete video to access the Internship Fast : https://youtu.be/_a8jWW1u434 Watch it carefully so you don't miss any important steps. Roles Work on practical Python programming tasks and contribute to small development projects. Support the development of scripts, applications, and automation solutions under the guidance of a mentor. Responsibilities Write, test, debug, and maintain clean, readable Python code. Use Python fundamentals, functions, data structures, and object-oriented programming to solve assigned problems. Assist with developing features, automating repetitive tasks, and processing data. Identify and fix basic errors, and help improve code quality and performance. Complete hands-on assignments and mini-projects based on real-world use cases. Document code and share regular progress updates with the mentor or team. Participate in discussions, feedback sessions, and code reviews as applicable. Requirements Basic understanding of Python, including variables, data types, loops, conditionals, and functions. Familiarity with lists, dictionaries, sets, and other common data structures. Basic understanding of debugging and problem-solving. Knowledge of object-oriented programming, file handling, or exception handling is an advantage. Familiarity with Git/GitHub, SQL, or working with APIs is a plus, but not mandatory. Good logical thinking, willingness to learn, and ability to work independently on assigned tasks. Clear communication and a responsible approach to completing work. Eligibility Students, recent graduates, and beginners interested in Python development are welcome to apply. Applicants from Computer Science, IT, or related backgrounds are encouraged, but motivated learners with relevant basic skills may also apply. Prior internship or professional experience is not required. A personal project or GitHub portfolio is helpful, but not mandatory. What You’ll Gain Practical experience applying Python concepts to hands-on tasks. Exposure to debugging, code organization, and basic software development workflows. Opportunities to strengthen problem-solving skills and build project experience. Skills: Python, Object-Oriented Programming (OOP), Debugging, Data Structures and Algorithms, Git Version Control, Python, Python Scientific Libraries (NumPy, SciPy, Pandas).</t>
        </is>
      </c>
      <c r="N267" t="n">
        <v>31</v>
      </c>
      <c r="O267" t="n">
        <v>40</v>
      </c>
      <c r="P267" t="n">
        <v>50</v>
      </c>
      <c r="Q267" t="n">
        <v>40</v>
      </c>
      <c r="R267" t="n">
        <v>0</v>
      </c>
      <c r="S267" t="n">
        <v>0</v>
      </c>
      <c r="T267" t="n">
        <v>30</v>
      </c>
      <c r="U267" t="inlineStr">
        <is>
          <t>SKIP</t>
        </is>
      </c>
      <c r="V267" t="inlineStr">
        <is>
          <t>SKIP</t>
        </is>
      </c>
      <c r="W267" t="inlineStr">
        <is>
          <t>Python; Python Scientific Libraries (NumPy, SciPy, Pandas)</t>
        </is>
      </c>
      <c r="X267" t="inlineStr">
        <is>
          <t>Amaanuddin_Ahmed_Resume_General</t>
        </is>
      </c>
      <c r="Y267" t="inlineStr">
        <is>
          <t>2026-10-06</t>
        </is>
      </c>
      <c r="Z267" t="inlineStr">
        <is>
          <t>Remote work mode aligns with preferences.</t>
        </is>
      </c>
      <c r="AA267" t="inlineStr">
        <is>
          <t>Eligible</t>
        </is>
      </c>
      <c r="AB267" t="inlineStr">
        <is>
          <t>Open to students, recent graduates, and beginners interested in Python development.; Prior internship or professional experience is not required.</t>
        </is>
      </c>
      <c r="AC267" t="inlineStr">
        <is>
          <t>Unknown</t>
        </is>
      </c>
      <c r="AD267" t="inlineStr">
        <is>
          <t>Availability dates are not mentioned in the career brain or job description.</t>
        </is>
      </c>
      <c r="AE267" t="inlineStr">
        <is>
          <t>Unpaid</t>
        </is>
      </c>
      <c r="AF267" t="n">
        <v>0</v>
      </c>
      <c r="AG267" t="inlineStr">
        <is>
          <t>No</t>
        </is>
      </c>
      <c r="AH267" t="inlineStr">
        <is>
          <t>Not mentioned</t>
        </is>
      </c>
      <c r="AI267" t="inlineStr">
        <is>
          <t>No mention of PPO or conversion in the job description.</t>
        </is>
      </c>
      <c r="AK267" t="inlineStr">
        <is>
          <t>Unpaid internship; No stipend provided (violates minimum target of ₹25,000/month)</t>
        </is>
      </c>
      <c r="AL267" t="inlineStr">
        <is>
          <t>Python fundamentals and data structures; Object-oriented programming in Python; Basic debugging and problem solving</t>
        </is>
      </c>
    </row>
    <row r="268">
      <c r="A268" t="inlineStr">
        <is>
          <t>LOGICTAP-PRI-261006-61</t>
        </is>
      </c>
      <c r="B268" t="inlineStr">
        <is>
          <t>Logictap Private Limited</t>
        </is>
      </c>
      <c r="C268" t="inlineStr">
        <is>
          <t>Backend Developer Internship</t>
        </is>
      </c>
      <c r="D268" t="inlineStr">
        <is>
          <t>https://unstop.com/internships/backend-developer-internship-logictap-private-limited-1763990</t>
        </is>
      </c>
      <c r="E268" t="inlineStr">
        <is>
          <t>AI Analyzer</t>
        </is>
      </c>
      <c r="F268" t="inlineStr">
        <is>
          <t>Remote</t>
        </is>
      </c>
      <c r="G268" t="inlineStr">
        <is>
          <t>Remote</t>
        </is>
      </c>
      <c r="H268" t="inlineStr">
        <is>
          <t>₹15,000 – ₹25,000/month</t>
        </is>
      </c>
      <c r="I268" t="inlineStr">
        <is>
          <t>Not specified</t>
        </is>
      </c>
      <c r="J268" t="inlineStr">
        <is>
          <t>none</t>
        </is>
      </c>
      <c r="K268" t="inlineStr">
        <is>
          <t>Python; API Development (REST); SQL; Test Automation; Backend development</t>
        </is>
      </c>
      <c r="L268" t="inlineStr">
        <is>
          <t>Claude Code or other AI coding tools; APIs; SQL databases</t>
        </is>
      </c>
      <c r="M268" t="inlineStr">
        <is>
          <t>Roles: Backend Developer Intern at Logictap, a startup building custom AI voice agents for businesses You will work on the Python services behind live voice calls, using Claude Code and other AI coding tools as your main way of working Responsibilities: Build and improve backend features in Python, including APIs, database work and integrations with third-party services Write tests and fix bugs so that live customer calls keep working reliably Use Claude Code or other AI coding tools to write, test and debug code faster Work with our senior engineers, review your own code, and ship small changes every week Requirements: Pursuing a degree in Computer Science or a related field (preferably from a top-tier college) Good knowledge of Python; familiarity with APIs and SQL databases is a plus Have used Claude Code or another AI coding tool to build projects, and can show an example Own laptop and reliable internet connection Skills: API Development (REST), SQL, Test Automation, Python, Backend development.</t>
        </is>
      </c>
      <c r="N268" t="n">
        <v>59</v>
      </c>
      <c r="O268" t="n">
        <v>60</v>
      </c>
      <c r="P268" t="n">
        <v>65</v>
      </c>
      <c r="Q268" t="n">
        <v>75</v>
      </c>
      <c r="R268" t="n">
        <v>30</v>
      </c>
      <c r="S268" t="n">
        <v>60</v>
      </c>
      <c r="T268" t="n">
        <v>60</v>
      </c>
      <c r="U268" t="inlineStr">
        <is>
          <t>SKIP</t>
        </is>
      </c>
      <c r="V268" t="inlineStr">
        <is>
          <t>SKIP</t>
        </is>
      </c>
      <c r="W268" t="inlineStr">
        <is>
          <t>Python (listed as working knowledge, not demonstrated in production work); Test Automation; Claude Code or other AI coding tools experience</t>
        </is>
      </c>
      <c r="X268" t="inlineStr">
        <is>
          <t>Default Resume emphasizing Python working knowledge and backend project work.</t>
        </is>
      </c>
      <c r="Y268" t="inlineStr">
        <is>
          <t>2026-10-06</t>
        </is>
      </c>
      <c r="Z268" t="inlineStr">
        <is>
          <t>Role matches target secondary/primary backend internship profiles.; Remote work mode fits candidate preference.; Meets the minimum stipend threshold at the high end of the range.</t>
        </is>
      </c>
      <c r="AA268" t="inlineStr">
        <is>
          <t>eligible</t>
        </is>
      </c>
      <c r="AB268" t="inlineStr">
        <is>
          <t>Candidate is pursuing an MCA in Computer Science related field, satisfying the degree requirement.</t>
        </is>
      </c>
      <c r="AC268" t="inlineStr">
        <is>
          <t>unknown</t>
        </is>
      </c>
      <c r="AD268" t="inlineStr">
        <is>
          <t>Exact availability dates are not specified in the career brain.</t>
        </is>
      </c>
      <c r="AE268" t="inlineStr">
        <is>
          <t>exact</t>
        </is>
      </c>
      <c r="AF268" t="n">
        <v>15000</v>
      </c>
      <c r="AG268" t="inlineStr">
        <is>
          <t>No</t>
        </is>
      </c>
      <c r="AH268" t="inlineStr">
        <is>
          <t>none</t>
        </is>
      </c>
      <c r="AI268" t="inlineStr">
        <is>
          <t>No mention of PPO or conversion to full-time in the job description.</t>
        </is>
      </c>
      <c r="AK268" t="inlineStr">
        <is>
          <t>Stipend maximum (₹25,000/month) is at the exact minimum target threshold.; Python is only present as working knowledge on resume, while the role is explicitly a Python backend role.</t>
        </is>
      </c>
      <c r="AL268" t="inlineStr">
        <is>
          <t>Python backend fundamentals and API design; SQL and database management; Experience using AI coding assistants like Claude Code; RESTful API implementation and testing methodologies</t>
        </is>
      </c>
    </row>
    <row r="269">
      <c r="A269" t="inlineStr">
        <is>
          <t>LEARNTRICKS--261006-62</t>
        </is>
      </c>
      <c r="B269" t="inlineStr">
        <is>
          <t>Learntricks Edutech</t>
        </is>
      </c>
      <c r="C269" t="inlineStr">
        <is>
          <t>Frontend Developer Internship</t>
        </is>
      </c>
      <c r="D269" t="inlineStr">
        <is>
          <t>https://unstop.com/internships/frontend-developer-internship-unstop-tech-fair-20-learntricks-edutech-1764139</t>
        </is>
      </c>
      <c r="E269" t="inlineStr">
        <is>
          <t>AI Analyzer</t>
        </is>
      </c>
      <c r="F269" t="inlineStr">
        <is>
          <t>Remote</t>
        </is>
      </c>
      <c r="G269" t="inlineStr">
        <is>
          <t>Remote</t>
        </is>
      </c>
      <c r="H269" t="inlineStr">
        <is>
          <t>₹12,000 – ₹15,000/month</t>
        </is>
      </c>
      <c r="I269" t="inlineStr">
        <is>
          <t>Not specified</t>
        </is>
      </c>
      <c r="J269" t="inlineStr">
        <is>
          <t>NOT_MENTIONED</t>
        </is>
      </c>
      <c r="K269" t="inlineStr">
        <is>
          <t>HTML; CSS; JavaScript; React.js</t>
        </is>
      </c>
      <c r="L269" t="inlineStr">
        <is>
          <t>UI/UX Design; User Experience (UX) Design</t>
        </is>
      </c>
      <c r="M269" t="inlineStr">
        <is>
          <t>Responsibilities of the Intern: Candidates need to work on front end of websites and apps Collaborate with designers and engineers to create and maintain user interfaces for web and mobile applications. Develop and implement front-end code using HTML, CSS, JavaScript, and React. Optimize website performance and ensure cross-browser compatibility. Implement responsive design principles to ensure optimal user experience across devices. Stay up-to-date with the latest front-end technologies and best practices. Requirements: Strong understanding of HTML, CSS, JavaScript, and React Knowledge of user experience (UX) principles and best practices Ability to work independently and as part of a team Excellent communication and interpersonal skills Passion for front-end development and a desire to learn and grow Skills: HTML, React.js, UI/UX Design, CSS, JavaScript, HTML, CSS, JavaScript, React.js, User Experience (UX) Design.</t>
        </is>
      </c>
      <c r="N269" t="n">
        <v>71</v>
      </c>
      <c r="O269" t="n">
        <v>90</v>
      </c>
      <c r="P269" t="n">
        <v>85</v>
      </c>
      <c r="Q269" t="n">
        <v>85</v>
      </c>
      <c r="R269" t="n">
        <v>30</v>
      </c>
      <c r="S269" t="n">
        <v>40</v>
      </c>
      <c r="T269" t="n">
        <v>60</v>
      </c>
      <c r="U269" t="inlineStr">
        <is>
          <t>CONSIDER</t>
        </is>
      </c>
      <c r="V269" t="inlineStr">
        <is>
          <t>CONSIDER</t>
        </is>
      </c>
      <c r="X269" t="inlineStr">
        <is>
          <t>Standard Full Stack / Frontend Resume highlighting React and Angular experience</t>
        </is>
      </c>
      <c r="Y269" t="inlineStr">
        <is>
          <t>2026-10-06</t>
        </is>
      </c>
      <c r="Z269" t="inlineStr">
        <is>
          <t>Strong technical alignment with required frontend skills (HTML, CSS, JavaScript, React.js); Remote work mode fits flexibility preferences; Good opportunity to build additional frontend production experience</t>
        </is>
      </c>
      <c r="AA269" t="inlineStr">
        <is>
          <t>ELIGIBLE</t>
        </is>
      </c>
      <c r="AB269" t="inlineStr">
        <is>
          <t>Meets general internship requirements; No strict location blocker as the role is remote</t>
        </is>
      </c>
      <c r="AC269" t="inlineStr">
        <is>
          <t>UNKNOWN</t>
        </is>
      </c>
      <c r="AD269" t="inlineStr">
        <is>
          <t>Exact start dates and availability windows are not specified in the candidate profile.</t>
        </is>
      </c>
      <c r="AE269" t="inlineStr">
        <is>
          <t>EXPLICIT</t>
        </is>
      </c>
      <c r="AF269" t="n">
        <v>12000</v>
      </c>
      <c r="AG269" t="inlineStr">
        <is>
          <t>No</t>
        </is>
      </c>
      <c r="AH269" t="inlineStr">
        <is>
          <t>NOT_MENTIONED</t>
        </is>
      </c>
      <c r="AI269" t="inlineStr">
        <is>
          <t>The job description does not mention PPO or conversion opportunities.</t>
        </is>
      </c>
      <c r="AK269" t="inlineStr">
        <is>
          <t>Stipend of ₹12,000 – ₹15,000/month is below the candidate's minimum target of ₹25,000/month; No mention of PPO conversion, which is a high priority for the candidate</t>
        </is>
      </c>
      <c r="AL269" t="inlineStr">
        <is>
          <t>React.js state management and hooks; Responsive web design and cross-browser compatibility optimization; Frontend performance tuning techniques</t>
        </is>
      </c>
    </row>
    <row r="270">
      <c r="A270" t="inlineStr">
        <is>
          <t>GODSTOCKSS-261006-63</t>
        </is>
      </c>
      <c r="B270" t="inlineStr">
        <is>
          <t>godstockss</t>
        </is>
      </c>
      <c r="C270" t="inlineStr">
        <is>
          <t>Frontend Developer Internship</t>
        </is>
      </c>
      <c r="D270" t="inlineStr">
        <is>
          <t>https://unstop.com/internships/frontend-developer-internship-godstockss-1764483</t>
        </is>
      </c>
      <c r="E270" t="inlineStr">
        <is>
          <t>AI Analyzer</t>
        </is>
      </c>
      <c r="F270" t="inlineStr">
        <is>
          <t>Remote</t>
        </is>
      </c>
      <c r="G270" t="inlineStr">
        <is>
          <t>Remote</t>
        </is>
      </c>
      <c r="H270" t="inlineStr">
        <is>
          <t>Unpaid</t>
        </is>
      </c>
      <c r="I270" t="inlineStr">
        <is>
          <t>6 weeks</t>
        </is>
      </c>
      <c r="J270" t="inlineStr">
        <is>
          <t>Not mentioned</t>
        </is>
      </c>
      <c r="K270" t="inlineStr">
        <is>
          <t>HTML; CSS; JavaScript</t>
        </is>
      </c>
      <c r="L270" t="inlineStr">
        <is>
          <t>UI/UX Design; Web Testing</t>
        </is>
      </c>
      <c r="M270" t="inlineStr">
        <is>
          <t>About the Company Godstockss is offering a remote learning opportunity for aspiring frontend developers who want to build practical experience in modern web development. This six-week unpaid internship is designed for freshers and candidates at the beginning of their technology journey, with an emphasis on hands-on work, collaboration, and steady skill development. Responsibilities Build and refine responsive, user-friendly web interfaces. Translate design ideas and product requirements into clean frontend implementations. Write readable, maintainable code and contribute to interface improvements. Test pages across screen sizes, identify issues, and support timely fixes. Work with the team through discussions, reviews, and iterative development. Requirements No prior professional experience is required; freshers are welcome to apply. Basic understanding of HTML, CSS, and JavaScript. Interest in frontend development, responsive design, and web technologies. Willingness to learn, accept feedback, and complete assigned tasks responsibly. Good communication and the ability to work independently in a remote environment. This is a six-week, unpaid internship conducted remotely with flexible working hours. It is suitable for motivated learners seeking structured exposure to frontend development and practical project work. Skills: HTML, CSS, JavaScript, UI/UX Design, Web Testing.</t>
        </is>
      </c>
      <c r="N270" t="n">
        <v>62</v>
      </c>
      <c r="O270" t="n">
        <v>90</v>
      </c>
      <c r="P270" t="n">
        <v>90</v>
      </c>
      <c r="Q270" t="n">
        <v>90</v>
      </c>
      <c r="R270" t="n">
        <v>0</v>
      </c>
      <c r="S270" t="n">
        <v>0</v>
      </c>
      <c r="T270" t="n">
        <v>30</v>
      </c>
      <c r="U270" t="inlineStr">
        <is>
          <t>STRETCH</t>
        </is>
      </c>
      <c r="V270" t="inlineStr">
        <is>
          <t>STRETCH</t>
        </is>
      </c>
      <c r="X270" t="inlineStr">
        <is>
          <t>Amaanuddin_Ahmed_Resume.pdf</t>
        </is>
      </c>
      <c r="Y270" t="inlineStr">
        <is>
          <t>2026-10-06</t>
        </is>
      </c>
      <c r="Z270" t="inlineStr">
        <is>
          <t>Matches frontend developer internship role and remote work mode; Meets technical requirements easily with strong HTML, CSS, and JS background</t>
        </is>
      </c>
      <c r="AA270" t="inlineStr">
        <is>
          <t>Eligible</t>
        </is>
      </c>
      <c r="AB270" t="inlineStr">
        <is>
          <t>No prior professional experience required; Freshers are welcome; Remote location matches candidate preferences</t>
        </is>
      </c>
      <c r="AC270" t="inlineStr">
        <is>
          <t>Unknown</t>
        </is>
      </c>
      <c r="AD270" t="inlineStr">
        <is>
          <t>Exact start and end dates relative to candidate schedule not specified</t>
        </is>
      </c>
      <c r="AE270" t="inlineStr">
        <is>
          <t>Unpaid</t>
        </is>
      </c>
      <c r="AF270" t="n">
        <v>0</v>
      </c>
      <c r="AG270" t="inlineStr">
        <is>
          <t>No</t>
        </is>
      </c>
      <c r="AH270" t="inlineStr">
        <is>
          <t>Not mentioned</t>
        </is>
      </c>
      <c r="AI270" t="inlineStr">
        <is>
          <t>No mention of conversion to full-time or PPO in the job description.</t>
        </is>
      </c>
      <c r="AK270" t="inlineStr">
        <is>
          <t>Unpaid internship; Short duration of only 6 weeks; Below minimum stipend target</t>
        </is>
      </c>
      <c r="AL270" t="inlineStr">
        <is>
          <t>HTML5, CSS3, and modern JavaScript fundamentals; Responsive design and cross-device testing; Previous frontend work in Angular and React projects</t>
        </is>
      </c>
    </row>
    <row r="271">
      <c r="A271" t="inlineStr">
        <is>
          <t>WHITE-WARBLE-261006-64</t>
        </is>
      </c>
      <c r="B271" t="inlineStr">
        <is>
          <t>White Warbler Communication</t>
        </is>
      </c>
      <c r="C271" t="inlineStr">
        <is>
          <t>WordPress &amp; Shopify Developer Internship</t>
        </is>
      </c>
      <c r="D271" t="inlineStr">
        <is>
          <t>https://unstop.com/internships/wordpress-shopify-developer-internship-white-warbler-communication-1760068</t>
        </is>
      </c>
      <c r="E271" t="inlineStr">
        <is>
          <t>AI Analyzer</t>
        </is>
      </c>
      <c r="F271" t="inlineStr">
        <is>
          <t>Pune</t>
        </is>
      </c>
      <c r="G271" t="inlineStr">
        <is>
          <t>In-office</t>
        </is>
      </c>
      <c r="H271" t="inlineStr">
        <is>
          <t>First month unpaid, months 2-3: ₹5,000 - ₹8,000 / month</t>
        </is>
      </c>
      <c r="I271" t="inlineStr">
        <is>
          <t>3 months</t>
        </is>
      </c>
      <c r="J271" t="inlineStr">
        <is>
          <t>not mentioned</t>
        </is>
      </c>
      <c r="K271" t="inlineStr">
        <is>
          <t>HTML; CSS; JavaScript; PHP</t>
        </is>
      </c>
      <c r="L271" t="inlineStr">
        <is>
          <t>Shopify; WordPress; Shopify Liquid</t>
        </is>
      </c>
      <c r="M271" t="inlineStr">
        <is>
          <t>White Warbler Communication is hiring for WordPress &amp; Shopify Developer Intern About the Company White Warbler Communication is offering a practical web development internship for candidates who want meaningful exposure to live client work. Interns will work from the Camp, Pune office alongside developers and designers, contributing to real WordPress websites and Shopify stores rather than limiting their experience to tutorials or observation. Responsibilities Customize and maintain WordPress themes and Shopify storefronts. Investigate issues, fix bugs, and support improvements across live client websites and online stores. Set up store elements, implement updates, and help ship changes safely with guidance from the development team. Collaborate with developers and designers to understand requirements, test updates, and improve user experiences. Learn the reasoning behind implementation choices while taking ownership of assigned tasks from the first month. Requirements Working knowledge of HTML, CSS, JavaScript, and PHP. Curiosity about WordPress and Shopify development. Interest in learning theme customization, e-commerce workflows, debugging, and deployment practices. Exposure to Shopify Liquid is an advantage. Applicants should be comfortable working in-office in Camp, Pune and communicating clearly with the project team. This is a 3-month internship. The first month is unpaid; months two and three offer a performance-based stipend of ₹5,000–₹8,000 per month. Skills: JavaScript, CSS, HTML, PHP, Shopify.</t>
        </is>
      </c>
      <c r="N271" t="n">
        <v>32</v>
      </c>
      <c r="O271" t="n">
        <v>50</v>
      </c>
      <c r="P271" t="n">
        <v>40</v>
      </c>
      <c r="Q271" t="n">
        <v>30</v>
      </c>
      <c r="R271" t="n">
        <v>0</v>
      </c>
      <c r="S271" t="n">
        <v>10</v>
      </c>
      <c r="T271" t="n">
        <v>30</v>
      </c>
      <c r="U271" t="inlineStr">
        <is>
          <t>SKIP</t>
        </is>
      </c>
      <c r="V271" t="inlineStr">
        <is>
          <t>SKIP</t>
        </is>
      </c>
      <c r="W271" t="inlineStr">
        <is>
          <t>WordPress; Shopify; Shopify Liquid</t>
        </is>
      </c>
      <c r="X271" t="inlineStr">
        <is>
          <t>Amaanuddin_Ahmed_Resume_General.pdf</t>
        </is>
      </c>
      <c r="Y271" t="inlineStr">
        <is>
          <t>2026-10-06</t>
        </is>
      </c>
      <c r="AA271" t="inlineStr">
        <is>
          <t>fail</t>
        </is>
      </c>
      <c r="AB271" t="inlineStr">
        <is>
          <t>Location requirement is in-office in Pune, whereas candidate is based in Bengaluru, India.; Stipend of ₹0 to ₹8,000/month is below candidate's minimum target of ₹25,000/month.</t>
        </is>
      </c>
      <c r="AC271" t="inlineStr">
        <is>
          <t>unknown</t>
        </is>
      </c>
      <c r="AD271" t="inlineStr">
        <is>
          <t>Availability relative to the 2026 update date cannot be definitively confirmed from profile.</t>
        </is>
      </c>
      <c r="AE271" t="inlineStr">
        <is>
          <t>partial</t>
        </is>
      </c>
      <c r="AF271" t="n">
        <v>0</v>
      </c>
      <c r="AG271" t="inlineStr">
        <is>
          <t>Yes</t>
        </is>
      </c>
      <c r="AH271" t="inlineStr">
        <is>
          <t>not mentioned</t>
        </is>
      </c>
      <c r="AI271" t="inlineStr">
        <is>
          <t>No mention of PPO or full-time conversion in the job description.</t>
        </is>
      </c>
      <c r="AJ271" t="inlineStr">
        <is>
          <t>In-office in Pune location requirement conflicts with candidate's location in Bengaluru; Stipend is significantly below candidate's minimum target</t>
        </is>
      </c>
      <c r="AK271" t="inlineStr">
        <is>
          <t>First month is completely unpaid; Performance-based stipend structure</t>
        </is>
      </c>
      <c r="AL271" t="inlineStr">
        <is>
          <t>PHP fundamentals; WordPress theme customization; Shopify Liquid basics</t>
        </is>
      </c>
    </row>
    <row r="272">
      <c r="A272" t="inlineStr">
        <is>
          <t>ACCESCO-LIVI-261006-65</t>
        </is>
      </c>
      <c r="B272" t="inlineStr">
        <is>
          <t>Accesco Living</t>
        </is>
      </c>
      <c r="C272" t="inlineStr">
        <is>
          <t>Web Developer (Backend) Internship</t>
        </is>
      </c>
      <c r="D272" t="inlineStr">
        <is>
          <t>https://unstop.com/internships/web-developer-backend-internship-accesco-living-1760978</t>
        </is>
      </c>
      <c r="E272" t="inlineStr">
        <is>
          <t>AI Analyzer</t>
        </is>
      </c>
      <c r="F272" t="inlineStr">
        <is>
          <t>Remote</t>
        </is>
      </c>
      <c r="G272" t="inlineStr">
        <is>
          <t>Remote</t>
        </is>
      </c>
      <c r="H272" t="inlineStr">
        <is>
          <t>Not Disclosed</t>
        </is>
      </c>
      <c r="I272" t="inlineStr">
        <is>
          <t>Not Specified</t>
        </is>
      </c>
      <c r="J272" t="inlineStr">
        <is>
          <t>None</t>
        </is>
      </c>
      <c r="K272" t="inlineStr">
        <is>
          <t>JavaScript; Node.js; Express.js</t>
        </is>
      </c>
      <c r="L272" t="inlineStr">
        <is>
          <t>Next.js; REST APIs; Databases; Git/GitHub</t>
        </is>
      </c>
      <c r="M272" t="inlineStr">
        <is>
          <t>Accesco Living is hiring a Backend Web Developer Intern! About the Company: Accesco was started in Bengaluru because everyday shopping had become unnecessarily complicated. We decided to fix that. We source directly from producers, bring everydayessentials closer to you, and let you try eligible products at your doorstep before accepting them -Just like you would in a store. And when you're done, our eco-return helps give products and materials another sustainable life. From source to doorstep, and beyond India solved delivery in 10 minutes. Nobody solved the household in 10 years. Responsibilities: Develop and maintain backend APIs using Node.js and Express.js. Work with Next.js for web application development and integration. Build, test, debug, and improve application features. Connect frontend and backend components and work with APIs, databases, authentication, and server-side functionality. Participate in testing, debugging, code reviews, and assigned development tasks. Follow coding standards and maintain clean, readable code while collaborating effectively with the team. Requirements: Basic knowledge of JavaScript, Node.js, and Express.js. Basic understanding of Next.js, REST APIs, and backend development concepts. Basic knowledge of databases; familiarity with Git/GitHub is preferred. Good problem-solving and communication skills, with a willingness to learn and work remotely. Skills: Node.js, Express.js, JavaScript, API Development (REST), Backend development.</t>
        </is>
      </c>
      <c r="N272" t="n">
        <v>72</v>
      </c>
      <c r="O272" t="n">
        <v>85</v>
      </c>
      <c r="P272" t="n">
        <v>90</v>
      </c>
      <c r="Q272" t="n">
        <v>85</v>
      </c>
      <c r="R272" t="n">
        <v>40</v>
      </c>
      <c r="S272" t="n">
        <v>40</v>
      </c>
      <c r="T272" t="n">
        <v>60</v>
      </c>
      <c r="U272" t="inlineStr">
        <is>
          <t>CONSIDER</t>
        </is>
      </c>
      <c r="V272" t="inlineStr">
        <is>
          <t>CONSIDER</t>
        </is>
      </c>
      <c r="W272" t="inlineStr">
        <is>
          <t>Next.js</t>
        </is>
      </c>
      <c r="X272" t="inlineStr">
        <is>
          <t>Standard Full-Stack Resume</t>
        </is>
      </c>
      <c r="Y272" t="inlineStr">
        <is>
          <t>2026-10-06</t>
        </is>
      </c>
      <c r="Z272" t="inlineStr">
        <is>
          <t>Strong technical fit with demonstrated hands-on experience in Node.js and Express.js.; Remote work mode aligns well with preferences.; Good match for backend-focused internship roles.</t>
        </is>
      </c>
      <c r="AA272" t="inlineStr">
        <is>
          <t>Eligible</t>
        </is>
      </c>
      <c r="AB272" t="inlineStr">
        <is>
          <t>Meets basic requirements for Node.js, Express.js, and JavaScript.</t>
        </is>
      </c>
      <c r="AC272" t="inlineStr">
        <is>
          <t>Unknown</t>
        </is>
      </c>
      <c r="AD272" t="inlineStr">
        <is>
          <t>Availability not explicitly discussed in the profile relative to specific start dates.</t>
        </is>
      </c>
      <c r="AE272" t="inlineStr">
        <is>
          <t>UNKNOWN</t>
        </is>
      </c>
      <c r="AF272" t="n">
        <v>0</v>
      </c>
      <c r="AG272" t="inlineStr">
        <is>
          <t>No</t>
        </is>
      </c>
      <c r="AH272" t="inlineStr">
        <is>
          <t>None</t>
        </is>
      </c>
      <c r="AI272" t="inlineStr">
        <is>
          <t>No mention of PPO or conversion in the job description.</t>
        </is>
      </c>
      <c r="AK272" t="inlineStr">
        <is>
          <t>Stipend is undisclosed/unknown.</t>
        </is>
      </c>
      <c r="AL272" t="inlineStr">
        <is>
          <t>Node.js event loop and asynchronous programming; Express.js middleware and routing; RESTful API design and error handling; Git version control workflows</t>
        </is>
      </c>
    </row>
    <row r="273">
      <c r="A273" t="inlineStr">
        <is>
          <t>NXUS-261006-66</t>
        </is>
      </c>
      <c r="B273" t="inlineStr">
        <is>
          <t>NXUS</t>
        </is>
      </c>
      <c r="C273" t="inlineStr">
        <is>
          <t>Full Stack Developer Internship</t>
        </is>
      </c>
      <c r="D273" t="inlineStr">
        <is>
          <t>https://unstop.com/internships/full-stack-developer-internship-nxus-1762882</t>
        </is>
      </c>
      <c r="E273" t="inlineStr">
        <is>
          <t>AI Analyzer</t>
        </is>
      </c>
      <c r="F273" t="inlineStr">
        <is>
          <t>Remote</t>
        </is>
      </c>
      <c r="G273" t="inlineStr">
        <is>
          <t>Remote</t>
        </is>
      </c>
      <c r="H273" t="inlineStr">
        <is>
          <t>Unpaid</t>
        </is>
      </c>
      <c r="I273" t="inlineStr">
        <is>
          <t>3 months</t>
        </is>
      </c>
      <c r="J273" t="inlineStr">
        <is>
          <t>NOT_MENTIONED</t>
        </is>
      </c>
      <c r="K273" t="inlineStr">
        <is>
          <t>HTML; CSS; JavaScript; React.js; Angular; Vue.js; Node.js; Python; Java; PHP; REST APIs; SQL; NoSQL; Git; GitHub</t>
        </is>
      </c>
      <c r="L273" t="inlineStr">
        <is>
          <t>Deployment platforms; Cloud services; Authentication; Backend architecture</t>
        </is>
      </c>
      <c r="M273" t="inlineStr">
        <is>
          <t>About the Company NXUS is a digital and technology-focused company working on practical projects across digital marketing, technology, and business solutions. The team is looking for a curious Full Stack Developer Intern who is eager to learn by building real-world applications and developing strong software engineering habits. Responsibilities Develop and maintain responsive web applications across frontend and backend layers. Build integrations with databases, REST APIs, and third-party services. Write clean, readable, maintainable code and participate in code reviews. Debug, test, and troubleshoot application issues. Collaborate with team members to understand requirements and deliver workable solutions. Explore new technologies, contribute improvement ideas, and follow version-control and documentation practices. Requirements This is a 3-month unpaid internship suitable for students and candidates beginning their software development journey. Basic knowledge of HTML, CSS, JavaScript, programming fundamentals, and data structures. Familiarity with React.js, Angular, Vue.js, Node.js, Python, Java, PHP, or another frontend or backend technology. Understanding of REST APIs, API integration, SQL or NoSQL databases, Git, and GitHub. Strong problem-solving, debugging, communication, collaboration, curiosity, and willingness to learn. Academic, personal, freelance, or open-source projects and a GitHub portfolio are valued. Exposure to deployment platforms, cloud services, authentication, or backend architecture is a plus. The intern will gain hands-on experience while contributing to meaningful applications and growing through consistent mentorship, experimentation, and collaboration. Skills: JavaScript, React.js, Node.js, API Development (REST), Git Version Control.</t>
        </is>
      </c>
      <c r="N273" t="n">
        <v>71</v>
      </c>
      <c r="O273" t="n">
        <v>95</v>
      </c>
      <c r="P273" t="n">
        <v>90</v>
      </c>
      <c r="Q273" t="n">
        <v>90</v>
      </c>
      <c r="R273" t="n">
        <v>40</v>
      </c>
      <c r="S273" t="n">
        <v>0</v>
      </c>
      <c r="T273" t="n">
        <v>50</v>
      </c>
      <c r="U273" t="inlineStr">
        <is>
          <t>CONSIDER</t>
        </is>
      </c>
      <c r="V273" t="inlineStr">
        <is>
          <t>CONSIDER</t>
        </is>
      </c>
      <c r="X273" t="inlineStr">
        <is>
          <t>Standard Full Stack Resume highlighting Angular, Node.js, and Express experience</t>
        </is>
      </c>
      <c r="Y273" t="inlineStr">
        <is>
          <t>2026-10-06</t>
        </is>
      </c>
      <c r="Z273" t="inlineStr">
        <is>
          <t>Strong technical fit with hands-on experience in Angular, Node.js, Express, and databases.; Remote work mode aligns well with candidate preferences.</t>
        </is>
      </c>
      <c r="AA273" t="inlineStr">
        <is>
          <t>ELIGIBLE</t>
        </is>
      </c>
      <c r="AB273" t="inlineStr">
        <is>
          <t>Open to students and candidates beginning their software development journey; Meets general technology background requirements</t>
        </is>
      </c>
      <c r="AC273" t="inlineStr">
        <is>
          <t>UNKNOWN</t>
        </is>
      </c>
      <c r="AD273" t="inlineStr">
        <is>
          <t>Not specified in candidate profile</t>
        </is>
      </c>
      <c r="AE273" t="inlineStr">
        <is>
          <t>UNPAID</t>
        </is>
      </c>
      <c r="AF273" t="n">
        <v>0</v>
      </c>
      <c r="AG273" t="inlineStr">
        <is>
          <t>No</t>
        </is>
      </c>
      <c r="AH273" t="inlineStr">
        <is>
          <t>NOT_MENTIONED</t>
        </is>
      </c>
      <c r="AI273" t="inlineStr">
        <is>
          <t>No explicit mention of PPO or conversion in the job description.</t>
        </is>
      </c>
      <c r="AK273" t="inlineStr">
        <is>
          <t>Unpaid internship</t>
        </is>
      </c>
      <c r="AL273" t="inlineStr">
        <is>
          <t>REST API design and integration; Git version control workflows; Database operations using SQL and NoSQL; Frontend development using Angular and JavaScript</t>
        </is>
      </c>
    </row>
    <row r="274">
      <c r="A274" t="inlineStr">
        <is>
          <t>FREECO-EDUCA-261006-67</t>
        </is>
      </c>
      <c r="B274" t="inlineStr">
        <is>
          <t>FreeCo Education Private Limited</t>
        </is>
      </c>
      <c r="C274" t="inlineStr">
        <is>
          <t>Frontend &amp; Backend Developer Internship</t>
        </is>
      </c>
      <c r="D274" t="inlineStr">
        <is>
          <t>https://unstop.com/internships/frontend-backend-developer-internship-freeco-education-private-limited-1761163</t>
        </is>
      </c>
      <c r="E274" t="inlineStr">
        <is>
          <t>AI Analyzer</t>
        </is>
      </c>
      <c r="F274" t="inlineStr">
        <is>
          <t>Remote</t>
        </is>
      </c>
      <c r="G274" t="inlineStr">
        <is>
          <t>Remote</t>
        </is>
      </c>
      <c r="H274" t="inlineStr">
        <is>
          <t>₹20,000/month</t>
        </is>
      </c>
      <c r="I274" t="inlineStr">
        <is>
          <t>3 months</t>
        </is>
      </c>
      <c r="J274" t="inlineStr">
        <is>
          <t>NOT_MENTIONED</t>
        </is>
      </c>
      <c r="K274" t="inlineStr">
        <is>
          <t>JavaScript; CSS; HTML; API Integration; Backend development</t>
        </is>
      </c>
      <c r="L274" t="inlineStr">
        <is>
          <t>Responsive design; Version control; Databases</t>
        </is>
      </c>
      <c r="M274" t="inlineStr">
        <is>
          <t>About the Company FreeCo Education Private Limited is building practical learning and technology experiences that help learners and organizations grow. The team values curiosity, ownership, collaboration, and the ability to turn ideas into reliable digital products. This remote internship offers an opportunity to contribute to real development work while learning from an experienced, supportive environment. Responsibilities Develop and enhance responsive frontend interfaces using modern web development practices. Support backend development, API integration, server-side logic, and data handling. Collaborate with product and design stakeholders to translate requirements into functional features. Write readable, maintainable code and participate in debugging, testing, and performance improvements. Document technical work, communicate progress clearly, and contribute to code reviews. Requirements Availability for a 3-month remote internship. Suitable for candidates with 0–1 year of experience, including freshers. Foundational understanding of frontend and backend web development concepts. Familiarity with programming, APIs, databases, version control, and responsive design is helpful. Strong problem-solving skills, willingness to learn, and dependable communication in a remote setting. This is a paid internship with a monthly stipend of ₹20,000. Candidates who enjoy building user-focused web solutions and are ready to take ownership of their learning are encouraged to apply. Skills: JavaScript, CSS, HTML, API Integration, Backend development.</t>
        </is>
      </c>
      <c r="N274" t="n">
        <v>78</v>
      </c>
      <c r="O274" t="n">
        <v>95</v>
      </c>
      <c r="P274" t="n">
        <v>90</v>
      </c>
      <c r="Q274" t="n">
        <v>90</v>
      </c>
      <c r="R274" t="n">
        <v>40</v>
      </c>
      <c r="S274" t="n">
        <v>60</v>
      </c>
      <c r="T274" t="n">
        <v>65</v>
      </c>
      <c r="U274" t="inlineStr">
        <is>
          <t>CONSIDER</t>
        </is>
      </c>
      <c r="V274" t="inlineStr">
        <is>
          <t>CONSIDER</t>
        </is>
      </c>
      <c r="X274" t="inlineStr">
        <is>
          <t>Amaanuddin_Ahmed_Resume_FullStack.pdf</t>
        </is>
      </c>
      <c r="Y274" t="inlineStr">
        <is>
          <t>2026-10-06</t>
        </is>
      </c>
      <c r="Z274" t="inlineStr">
        <is>
          <t>Strong technical fit with demonstrated full-stack experience in JavaScript, Node.js, and modern web frameworks; Matches target role preferences for a Full Stack / Backend Developer Intern; Remote work mode aligns well with candidate preferences</t>
        </is>
      </c>
      <c r="AA274" t="inlineStr">
        <is>
          <t>ELIGIBLE</t>
        </is>
      </c>
      <c r="AB274" t="inlineStr">
        <is>
          <t>Open to freshers and candidates with 0-1 years of experience; Meets internship duration and availability criteria</t>
        </is>
      </c>
      <c r="AC274" t="inlineStr">
        <is>
          <t>UNKNOWN</t>
        </is>
      </c>
      <c r="AD274" t="inlineStr">
        <is>
          <t>Exact start date and immediate availability window not specified in the candidate profile.</t>
        </is>
      </c>
      <c r="AE274" t="inlineStr">
        <is>
          <t>EXPLICIT</t>
        </is>
      </c>
      <c r="AF274" t="n">
        <v>20000</v>
      </c>
      <c r="AG274" t="inlineStr">
        <is>
          <t>No</t>
        </is>
      </c>
      <c r="AH274" t="inlineStr">
        <is>
          <t>NOT_MENTIONED</t>
        </is>
      </c>
      <c r="AI274" t="inlineStr">
        <is>
          <t>No mention of PPO or conversion to full-time role in the job description.</t>
        </is>
      </c>
      <c r="AK274" t="inlineStr">
        <is>
          <t>Stipend of ₹20,000/month is below the candidate's target minimum of ₹25,000/month</t>
        </is>
      </c>
      <c r="AL274" t="inlineStr">
        <is>
          <t>Frontend architecture and responsive design; Backend development principles and API integration; State management and database operations; Remote collaboration and ownership in development cycles</t>
        </is>
      </c>
    </row>
    <row r="275">
      <c r="A275" t="inlineStr">
        <is>
          <t>SPRINGER-CAP-261006-68</t>
        </is>
      </c>
      <c r="B275" t="inlineStr">
        <is>
          <t>Springer Capital Investments LLC (USA)</t>
        </is>
      </c>
      <c r="C275" t="inlineStr">
        <is>
          <t>Back End Developer Internship</t>
        </is>
      </c>
      <c r="D275" t="inlineStr">
        <is>
          <t>https://unstop.com/internships/back-end-developer-internship-remote-springer-capital-investments-llc-usa-1763735</t>
        </is>
      </c>
      <c r="E275" t="inlineStr">
        <is>
          <t>AI Analyzer</t>
        </is>
      </c>
      <c r="F275" t="inlineStr">
        <is>
          <t>Remote</t>
        </is>
      </c>
      <c r="G275" t="inlineStr">
        <is>
          <t>Remote</t>
        </is>
      </c>
      <c r="H275" t="inlineStr">
        <is>
          <t>Unpaid</t>
        </is>
      </c>
      <c r="I275" t="inlineStr">
        <is>
          <t>3 months</t>
        </is>
      </c>
      <c r="J275" t="inlineStr">
        <is>
          <t>Yes</t>
        </is>
      </c>
      <c r="K275" t="inlineStr">
        <is>
          <t>Backend development; API Integration; Debugging; Software Testing Life Cycle (STLC); Software Documentation</t>
        </is>
      </c>
      <c r="M275" t="inlineStr">
        <is>
          <t>Springer Capital Investments LLC (USA) is actively hiring for the role of Back End Developer Internship About the Organization: Springer Capital Investments LLC (USA) offers an opportunity for aspiring technology professionals to gain practical exposure in a professional investment-focused organization. Through this internship, candidates can contribute to backend development activities while learning how technology supports organizational operations and digital solutions. The role is designed to encourage hands-on learning, professional growth, and meaningful contributions in a remote work environment. Roles and Responsibilities: Support the development and maintenance of backend applications and services. Assist in implementing server-side features based on project requirements. Contribute to the integration of backend services with relevant application components. Participate in testing, debugging, and troubleshooting backend functionality. Help identify and resolve technical issues to improve application reliability. Collaborate with team members to understand development tasks and project priorities. Research backend development approaches and contribute ideas for improving solutions. Maintain clear documentation of development work, updates, and technical processes. Participate in reviews of completed work and incorporate feedback from supervisors or team members. Complete assigned development tasks within agreed timelines while continuing to learn throughout the internship. Job Summary: This is a 3-month remote internship with Springer Capital Investments LLC (USA), offering aspiring backend developers the opportunity to gain practical experience through hands-on project contributions and collaborative learning. Interns will work in a flexible environment, receive a Certificate of Completion, and be considered for a Job Offer based on their performance and organizational requirements. A Letter of Recommendation is also available, making this internship a valuable step toward building professional credibility and advancing a career in backend development. Skills: Backend development, API Integration, Debugging, Software Testing Life Cycle (STLC), Software Documentation.</t>
        </is>
      </c>
      <c r="N275" t="n">
        <v>68</v>
      </c>
      <c r="O275" t="n">
        <v>75</v>
      </c>
      <c r="P275" t="n">
        <v>80</v>
      </c>
      <c r="Q275" t="n">
        <v>85</v>
      </c>
      <c r="R275" t="n">
        <v>80</v>
      </c>
      <c r="S275" t="n">
        <v>0</v>
      </c>
      <c r="T275" t="n">
        <v>50</v>
      </c>
      <c r="U275" t="inlineStr">
        <is>
          <t>STRETCH</t>
        </is>
      </c>
      <c r="V275" t="inlineStr">
        <is>
          <t>STRETCH</t>
        </is>
      </c>
      <c r="W275" t="inlineStr">
        <is>
          <t>Software Testing Life Cycle (STLC); Software Documentation</t>
        </is>
      </c>
      <c r="X275" t="inlineStr">
        <is>
          <t>Default Full Stack / Backend Resume</t>
        </is>
      </c>
      <c r="Y275" t="inlineStr">
        <is>
          <t>2026-10-06</t>
        </is>
      </c>
      <c r="Z275" t="inlineStr">
        <is>
          <t>Provides a clear pathway to a Job Offer (PPO) based on performance; Matches target role of Backend Developer Intern and remote work preference; Allows application of Node.js and backend development skills built during internships and projects</t>
        </is>
      </c>
      <c r="AA275" t="inlineStr">
        <is>
          <t>Eligible</t>
        </is>
      </c>
      <c r="AB275" t="inlineStr">
        <is>
          <t>Open to aspiring technology professionals and students; Remote work mode aligns with candidate preferences</t>
        </is>
      </c>
      <c r="AC275" t="inlineStr">
        <is>
          <t>Unknown</t>
        </is>
      </c>
      <c r="AD275" t="inlineStr">
        <is>
          <t>Exact start date and availability constraints are not specified in the candidate profile.</t>
        </is>
      </c>
      <c r="AE275" t="inlineStr">
        <is>
          <t>Unpaid</t>
        </is>
      </c>
      <c r="AF275" t="n">
        <v>0</v>
      </c>
      <c r="AG275" t="inlineStr">
        <is>
          <t>No</t>
        </is>
      </c>
      <c r="AH275" t="inlineStr">
        <is>
          <t>Yes</t>
        </is>
      </c>
      <c r="AI275" t="inlineStr">
        <is>
          <t>Interns will be considered for a Job Offer based on their performance and organizational requirements.</t>
        </is>
      </c>
      <c r="AK275" t="inlineStr">
        <is>
          <t>Unpaid internship below the minimum stipend target of ₹25,000/month</t>
        </is>
      </c>
      <c r="AL275" t="inlineStr">
        <is>
          <t>Backend application development experience with Node.js and Express; API integration and RESTful services; Debugging, troubleshooting, and testing methodologies</t>
        </is>
      </c>
    </row>
    <row r="276">
      <c r="A276" t="inlineStr">
        <is>
          <t>ACUMEN-ADVIS-261006-69</t>
        </is>
      </c>
      <c r="B276" t="inlineStr">
        <is>
          <t>Acumen Advisory Consulting LLC</t>
        </is>
      </c>
      <c r="C276" t="inlineStr">
        <is>
          <t>Front End Developer Internship</t>
        </is>
      </c>
      <c r="D276" t="inlineStr">
        <is>
          <t>https://unstop.com/internships/front-end-developer-internship-acumen-advisory-consulting-llc-1763170</t>
        </is>
      </c>
      <c r="E276" t="inlineStr">
        <is>
          <t>AI Analyzer</t>
        </is>
      </c>
      <c r="F276" t="inlineStr">
        <is>
          <t>Remote</t>
        </is>
      </c>
      <c r="G276" t="inlineStr">
        <is>
          <t>Remote</t>
        </is>
      </c>
      <c r="H276" t="inlineStr">
        <is>
          <t>Unpaid</t>
        </is>
      </c>
      <c r="I276" t="inlineStr">
        <is>
          <t>3 months</t>
        </is>
      </c>
      <c r="J276" t="inlineStr">
        <is>
          <t>Available</t>
        </is>
      </c>
      <c r="K276" t="inlineStr">
        <is>
          <t>HTML; CSS; JavaScript; UI/UX Design; Web Testing</t>
        </is>
      </c>
      <c r="M276" t="inlineStr">
        <is>
          <t>About the Organization: Acumen Advisory Consulting LLC is offering an opportunity for an aspiring Front End Developer to gain practical exposure in a professional consulting environment. This internship is designed to support hands-on learning, meaningful project participation, and the development of real-world experience in front-end development. Interns can expect an environment that values learning, contribution, and professional growth while providing recognition for their work. Roles and Responsibilities: Support the development and enhancement of front-end interfaces for assigned projects. Translate project requirements and design concepts into functional web pages. Contribute to the implementation of user-focused website features and interface components. Assist in reviewing web pages to identify layout, functionality, and usability issues. Collaborate with team members to understand project needs and deliver assigned development tasks. Participate in testing and refinement of front-end implementations across relevant use cases. Help maintain consistency across website pages and digital interface elements. Research and explore suitable approaches for improving front-end project outcomes. Document assigned work, project updates, and completed development activities. Incorporate feedback from supervisors and contribute to the continuous improvement of assigned projects. Job Summary: This 3-month internship with Acumen Advisory Consulting LLC offers an aspiring Front End Developer the opportunity to participate in practical development projects and build valuable professional experience. Successful participation may lead to a job offer, and interns will also receive a Certificate of Completion and a Letter of Recommendation, making this a strong opportunity to demonstrate commitment, gain recognition, and take an important step toward a career in front-end development. Skills: HTML, CSS, JavaScript, UI/UX Design, Web Testing.</t>
        </is>
      </c>
      <c r="N276" t="n">
        <v>67</v>
      </c>
      <c r="O276" t="n">
        <v>80</v>
      </c>
      <c r="P276" t="n">
        <v>85</v>
      </c>
      <c r="Q276" t="n">
        <v>75</v>
      </c>
      <c r="R276" t="n">
        <v>70</v>
      </c>
      <c r="S276" t="n">
        <v>0</v>
      </c>
      <c r="T276" t="n">
        <v>40</v>
      </c>
      <c r="U276" t="inlineStr">
        <is>
          <t>STRETCH</t>
        </is>
      </c>
      <c r="V276" t="inlineStr">
        <is>
          <t>STRETCH</t>
        </is>
      </c>
      <c r="W276" t="inlineStr">
        <is>
          <t>Web Testing</t>
        </is>
      </c>
      <c r="X276" t="inlineStr">
        <is>
          <t>Frontend Developer Resume</t>
        </is>
      </c>
      <c r="Y276" t="inlineStr">
        <is>
          <t>2026-10-06</t>
        </is>
      </c>
      <c r="Z276" t="inlineStr">
        <is>
          <t>Provides exposure to front-end development and potential PPO conversion.; Remote flexibility and matches candidate's core technical skills in HTML, CSS, and JavaScript.</t>
        </is>
      </c>
      <c r="AA276" t="inlineStr">
        <is>
          <t>Eligible</t>
        </is>
      </c>
      <c r="AB276" t="inlineStr">
        <is>
          <t>Remote work mode aligns with candidate preferences.; No hard degree or graduation year blockers specified.</t>
        </is>
      </c>
      <c r="AC276" t="inlineStr">
        <is>
          <t>Unknown</t>
        </is>
      </c>
      <c r="AD276" t="inlineStr">
        <is>
          <t>Candidate availability dates are not specified relative to the internship start.</t>
        </is>
      </c>
      <c r="AE276" t="inlineStr">
        <is>
          <t>Unpaid</t>
        </is>
      </c>
      <c r="AF276" t="n">
        <v>0</v>
      </c>
      <c r="AG276" t="inlineStr">
        <is>
          <t>No</t>
        </is>
      </c>
      <c r="AH276" t="inlineStr">
        <is>
          <t>Available</t>
        </is>
      </c>
      <c r="AI276" t="inlineStr">
        <is>
          <t>Successful participation may lead to a job offer</t>
        </is>
      </c>
      <c r="AK276" t="inlineStr">
        <is>
          <t>Unpaid internship below minimum stipend target of ₹25,000/month.</t>
        </is>
      </c>
      <c r="AL276" t="inlineStr">
        <is>
          <t>HTML/CSS layout and styling practices; JavaScript DOM manipulation and event handling; UI/UX design principles and implementation; Previous frontend experience using Angular</t>
        </is>
      </c>
    </row>
    <row r="277">
      <c r="A277" t="inlineStr">
        <is>
          <t>SPRINGER-CAP-261006-70</t>
        </is>
      </c>
      <c r="B277" t="inlineStr">
        <is>
          <t>Springer Capital Investments LLC (USA)</t>
        </is>
      </c>
      <c r="C277" t="inlineStr">
        <is>
          <t>Front End Developer Internship</t>
        </is>
      </c>
      <c r="D277" t="inlineStr">
        <is>
          <t>https://unstop.com/internships/front-end-developer-internship-remote-springer-capital-investments-llc-usa-1763724</t>
        </is>
      </c>
      <c r="E277" t="inlineStr">
        <is>
          <t>AI Analyzer</t>
        </is>
      </c>
      <c r="F277" t="inlineStr">
        <is>
          <t>Remote</t>
        </is>
      </c>
      <c r="G277" t="inlineStr">
        <is>
          <t>Remote</t>
        </is>
      </c>
      <c r="H277" t="inlineStr">
        <is>
          <t>Unpaid</t>
        </is>
      </c>
      <c r="I277" t="inlineStr">
        <is>
          <t>3 months</t>
        </is>
      </c>
      <c r="J277" t="inlineStr">
        <is>
          <t>POTENTIAL</t>
        </is>
      </c>
      <c r="K277" t="inlineStr">
        <is>
          <t>JavaScript; HTML; CSS; UI/UX Design; Web Accessibility (WCAG)</t>
        </is>
      </c>
      <c r="M277" t="inlineStr">
        <is>
          <t>Springer Capital Investments LLC (USA) is actively hiring for the role of Front End Developer Internship! About the Organization: Springer Capital Investments LLC (USA) offers an opportunity for aspiring front-end developers to gain practical experience through a structured remote internship. The role provides an environment focused on hands-on contribution, professional development, and exposure to real-world project workflows. Interns can build their experience while working flexibly and receiving support through meaningful feedback and professional recognition. Roles and Responsibilities: Assist in developing and maintaining user-facing web interfaces for assigned projects. Translate design concepts and project requirements into functional front-end components. Support the implementation of responsive and accessible page layouts across different screen sizes. Collaborate with team members to understand project objectives and deliver front-end updates. Review implemented interfaces to identify visual, functional, and usability issues. Investigate front-end problems and contribute to practical solutions under guidance. Participate in project discussions, progress updates, and feedback sessions. Maintain clear documentation of assigned work, updates, and implementation details. Incorporate feedback to improve the quality and usability of front-end deliverables. Continue learning through hands-on tasks and exposure to professional development practices. Job Summary: This 3-month remote internship with Springer Capital Investments LLC (USA) is an opportunity to gain practical experience as a Front End Developer while contributing to real-world web projects from a flexible work environment. With flexible hours, interns can manage their schedules while developing valuable professional experience and receiving guidance through their work. Successful completion includes a Certificate of Completion, and the opportunity also offers a Letter of Recommendation and potential consideration for a Job Offer, making it a meaningful step toward launching a career in front-end development. Skills: JavaScript, HTML, CSS, UI/UX Design, Web Accessibility (WCAG).</t>
        </is>
      </c>
      <c r="N277" t="n">
        <v>69</v>
      </c>
      <c r="O277" t="n">
        <v>80</v>
      </c>
      <c r="P277" t="n">
        <v>85</v>
      </c>
      <c r="Q277" t="n">
        <v>90</v>
      </c>
      <c r="R277" t="n">
        <v>70</v>
      </c>
      <c r="S277" t="n">
        <v>0</v>
      </c>
      <c r="T277" t="n">
        <v>40</v>
      </c>
      <c r="U277" t="inlineStr">
        <is>
          <t>STRETCH</t>
        </is>
      </c>
      <c r="V277" t="inlineStr">
        <is>
          <t>STRETCH</t>
        </is>
      </c>
      <c r="W277" t="inlineStr">
        <is>
          <t>Web Accessibility (WCAG)</t>
        </is>
      </c>
      <c r="X277" t="inlineStr">
        <is>
          <t>Frontend/Full-Stack Resume emphasizing Angular, HTML, CSS, JavaScript, and UI/UX Design (Figma)</t>
        </is>
      </c>
      <c r="Y277" t="inlineStr">
        <is>
          <t>2026-10-06</t>
        </is>
      </c>
      <c r="Z277" t="inlineStr">
        <is>
          <t>Matches frontend developer intern target role; Remote work mode aligns with candidate preferences; Provides experience and potential LOR/Job Offer consideration</t>
        </is>
      </c>
      <c r="AA277" t="inlineStr">
        <is>
          <t>ELIGIBLE</t>
        </is>
      </c>
      <c r="AB277" t="inlineStr">
        <is>
          <t>Remote location matches candidate flexibility; Matches target role area of Frontend Developer Intern</t>
        </is>
      </c>
      <c r="AC277" t="inlineStr">
        <is>
          <t>UNKNOWN</t>
        </is>
      </c>
      <c r="AD277" t="inlineStr">
        <is>
          <t>Exact start and end dates are not specified in the job description.</t>
        </is>
      </c>
      <c r="AE277" t="inlineStr">
        <is>
          <t>UNPAID</t>
        </is>
      </c>
      <c r="AF277" t="n">
        <v>0</v>
      </c>
      <c r="AG277" t="inlineStr">
        <is>
          <t>No</t>
        </is>
      </c>
      <c r="AH277" t="inlineStr">
        <is>
          <t>POTENTIAL</t>
        </is>
      </c>
      <c r="AI277" t="inlineStr">
        <is>
          <t>opportunity also offers a Letter of Recommendation and potential consideration for a Job Offer</t>
        </is>
      </c>
      <c r="AK277" t="inlineStr">
        <is>
          <t>Unpaid internship; Stipend is below candidate's minimum target of ₹25,000/month</t>
        </is>
      </c>
      <c r="AL277" t="inlineStr">
        <is>
          <t>JavaScript fundamentals; Responsive web design and CSS layouts; Figma and UI/UX design workflow; Handling user feedback and bug fixing in frontend applications</t>
        </is>
      </c>
    </row>
    <row r="278">
      <c r="A278" t="inlineStr">
        <is>
          <t>PREPLINC-AI-261006-71</t>
        </is>
      </c>
      <c r="B278" t="inlineStr">
        <is>
          <t>PrepLinc AI</t>
        </is>
      </c>
      <c r="C278" t="inlineStr">
        <is>
          <t>Front End Developer Internship</t>
        </is>
      </c>
      <c r="D278" t="inlineStr">
        <is>
          <t>https://unstop.com/internships/front-end-developer-internship-preplinc-ai-1764826</t>
        </is>
      </c>
      <c r="E278" t="inlineStr">
        <is>
          <t>AI Analyzer</t>
        </is>
      </c>
      <c r="F278" t="inlineStr">
        <is>
          <t>Maharashtra, Kerala, Tamil Nadu, Karnataka</t>
        </is>
      </c>
      <c r="G278" t="inlineStr">
        <is>
          <t>Work From Home</t>
        </is>
      </c>
      <c r="H278" t="inlineStr">
        <is>
          <t>₹10,000 – ₹15,000/month</t>
        </is>
      </c>
      <c r="I278" t="inlineStr">
        <is>
          <t>3 months</t>
        </is>
      </c>
      <c r="J278" t="inlineStr">
        <is>
          <t>YES</t>
        </is>
      </c>
      <c r="K278" t="inlineStr">
        <is>
          <t>HTML; CSS; JavaScript</t>
        </is>
      </c>
      <c r="L278" t="inlineStr">
        <is>
          <t>UI/UX design mockups translation; Responsive design; Cross-browser compatibility</t>
        </is>
      </c>
      <c r="M278" t="inlineStr">
        <is>
          <t>[Post a Job or Internship\\
\\
Hire through jobs &amp; challenges.\\
\\
![search-color](https://cdn.unstop.com/assets/icons/search-color.svg)](https://unstop.com/auth/login?login_as=recruiter) [Become a Mentor\\
\\
Shape the next generation and build your legacy\\
\\
![mentor-color](https://cdn.unstop.com/assets/icons/mentor-color.svg)](https://unstop.com/become-a-mentor)
![Go to Unstop Home page](https://d8it4huxumps7.cloudfront.net/uploads/images/unstop/svg/unstop-logo.svg)
- Details
- Compensation
- Reviews
- FAQs &amp; Discussions
Login
[![colored_remote](https://d8it4huxumps7.cloudfront.net/assets/images/colored_remote.svg)Work from Home](https://unstop.com/internship/work-from-home-internships)
# Front End Developer Internship
## PrepLinc AI
[Frontend Development](https://unstop.com/internship/frontend-development-internships "Frontend Development") [Web Development](https://unstop.com/internship/web-development-internships "Web Development")
![Front End Developer Internship / jobs](https://d8it4huxumps7.cloudfront.net/uploads/images/150x150/6abf8c2da8cea_organisation_image-UUkN5ncEqY1408318682MqTi9sOhjv.png?d=200x200)
## Eligibility
Undergraduate
Postgraduate
Engineering Students
Arts, Commerce, Sciences &amp; Others
## Details
**Overview:**
- **Goal**: Combine design and programming to turn static wireframes into responsive, engaging user interfaces.
- **Focus**: Everything the user sees, clicks, and interacts with on a browser or mobile device.
**Core Responsibilities:**
- **Build Interfaces**: Create visual components using HTML, CSS, and JavaScript.
- **Translate Designs**: Convert UI/UX design mockups into functional code.
- **Optimize Performance**: Ensure fast loading speeds and smooth responsiveness across mobile phones, tablets, and desktops.
- **Collaborate**: Work with back-end developers to connect server logic and UI/UX designers to refine layouts.
- **Test and Debug**: Fix software bugs and check for cross-browser compatibility.
Read More
If an employer asks you to pay any kind of fee, please notify us immediately. Unstop does not charge any fee from the applicants and we do not allow other companies also to do so.
## Additional Information
![Location Icon](https://d8it4huxumps7.cloudfront.net/uploads/images/avif/PRIZE_JOB.png?d=164x164)
### Internship Location(s)
Maharashtra, Kerala, Tamil Nadu, Karnataka
![Duration Icon](https://d8it4huxumps7.cloudfront.net/uploads/images/avif/Internship_Duration.png?d=164x164)
### Internship Duration
3 months
![Illustration of project workflow](https://d8it4huxumps7.cloudfront.net/uploads/images/avif/Work_Detail.png?d=170x170)
### Work Detail
Working Days:  5 Days
![Job Type / Timing](https://d8it4huxumps7.cloudfront.net/uploads/images/avif/Timing.png?d=170x170)
### Internship Type/Timing
Internship Type: Work From Home
Internship Timing:  Full Time
![Perks Icon](https://d8it4huxumps7.cloudfront.net/uploads/images/avif/Perks.png?d=164x164)
### Perks
Job Offer
Certificate of Completion
Letter of Recommendation
Pre-Placement Offer
## Related Opportunities
![The Lakhpati Internship](https://d8it4huxumps7.cloudfront.net/uploads/images/150x150/6abde8ff9b5ba_Unstop-Logo-Blue-Large.png?d=90x90)
The Lakhpati Internship
Unstop
![Video Content Creating Internship](https://d8it4huxumps7.cloudfront.net/uploads/images/150x150/uploadedManual-67939e0686cf7_latest_logo.png?d=90x90)
Video Content Creating Internship
The Cyberhost
![Field Sales Executive](https://d8it4huxumps7.cloudfront.net/uploads/images/150x150/uploadedManual-67b9a4e37065a_hiring_coach_logo.jpg?d=90x90)
Field Sales Executive
Other organization not listed here
## Feedback &amp; Rating
Write a review
Register for this opportunity to give your feedback and review.
## Frequently Asked Questions/Discussions
Updated On: 02 Oct 26, 09:05 AM EDT
The data on this page gets updated every 15 minutes.
This opportunity has been listed by PrepLinc AI. Unstop is not liable for any content mentioned in this opportunity or the process followed by the organizers for this opportunity. However, please raise a complaint if you want Unstop to look into the matter.
Raise a Complaint
Report An Issue
Internship Front End Developer Internship
10  days left
![Hi Welcome!](https://d8it4huxumps7.cloudfront.net/uploads/images/694b9395c9177_.png)
Think you've got it?  Prove it — register below.
Quick Apply
Share with Friends
Refer now
Featured
[![HP Power Lab 3.0 Logo](https://d8it4huxumps7.cloudfront.net/uploads/images/150x150/uploadedManual-670647aa4d6ab_hindustan_petroleum-logo.wine.png?d=68x68)\\
\\
HP Power Lab 3.0 \\
\\
Competition](https://unstop.com/competitions/crp-hp-power-lab-30-hindustan-petroleum-corporation-ltd-1761011?ref=Explore_Banner_Link) [![Pep Supply Chain Stars Logo](https://d8it4huxumps7.cloudfront.net/uploads/images/150x150/6abb853896852_Pepsico_logo.png?d=68x68)\\
\\
Pep Supply Chain Stars \\
\\
Workshops](https://unstop.com/workshops-webinars/crp-pep-s</t>
        </is>
      </c>
      <c r="N278" t="n">
        <v>80</v>
      </c>
      <c r="O278" t="n">
        <v>90</v>
      </c>
      <c r="P278" t="n">
        <v>85</v>
      </c>
      <c r="Q278" t="n">
        <v>85</v>
      </c>
      <c r="R278" t="n">
        <v>90</v>
      </c>
      <c r="S278" t="n">
        <v>40</v>
      </c>
      <c r="T278" t="n">
        <v>60</v>
      </c>
      <c r="U278" t="inlineStr">
        <is>
          <t>APPLY</t>
        </is>
      </c>
      <c r="V278" t="inlineStr">
        <is>
          <t>APPLY</t>
        </is>
      </c>
      <c r="X278" t="inlineStr">
        <is>
          <t>Amaanuddin_Ahmed_Resume.pdf</t>
        </is>
      </c>
      <c r="Y278" t="inlineStr">
        <is>
          <t>2026-10-06</t>
        </is>
      </c>
      <c r="Z278" t="inlineStr">
        <is>
          <t>Matches primary frontend and web development skillsets; Explicit Pre-Placement Offer (PPO) included; Remote work mode fits candidate preferences</t>
        </is>
      </c>
      <c r="AA278" t="inlineStr">
        <is>
          <t>ELIGIBLE</t>
        </is>
      </c>
      <c r="AB278" t="inlineStr">
        <is>
          <t>Postgraduate engineering student eligible under criteria</t>
        </is>
      </c>
      <c r="AC278" t="inlineStr">
        <is>
          <t>UNKNOWN</t>
        </is>
      </c>
      <c r="AD278" t="inlineStr">
        <is>
          <t>Candidate start date availability is not specified in the career brain profile</t>
        </is>
      </c>
      <c r="AE278" t="inlineStr">
        <is>
          <t>EXPLICIT</t>
        </is>
      </c>
      <c r="AF278" t="n">
        <v>10000</v>
      </c>
      <c r="AG278" t="inlineStr">
        <is>
          <t>No</t>
        </is>
      </c>
      <c r="AH278" t="inlineStr">
        <is>
          <t>YES</t>
        </is>
      </c>
      <c r="AI278" t="inlineStr">
        <is>
          <t>Perks include Job Offer and Pre-Placement Offer</t>
        </is>
      </c>
      <c r="AK278" t="inlineStr">
        <is>
          <t>Stipend is below the candidate minimum target of ₹25,000/month</t>
        </is>
      </c>
      <c r="AL278" t="inlineStr">
        <is>
          <t>HTML, CSS, and JavaScript fundamentals; Responsive web design principles across mobile and desktop; Cross-browser testing and debugging techniques; Frontend component architecture using Angular or React</t>
        </is>
      </c>
      <c r="AM278" t="inlineStr">
        <is>
          <t>E:\InternshipHunter\applications\unstop-a07b67299b70</t>
        </is>
      </c>
      <c r="AN278" t="inlineStr">
        <is>
          <t>Ready for Review</t>
        </is>
      </c>
      <c r="AO278" t="inlineStr">
        <is>
          <t>Generated</t>
        </is>
      </c>
      <c r="AP278" t="inlineStr">
        <is>
          <t>Generated</t>
        </is>
      </c>
      <c r="AQ278" t="inlineStr">
        <is>
          <t>Generated</t>
        </is>
      </c>
      <c r="AR278" t="inlineStr">
        <is>
          <t>Ready to Apply</t>
        </is>
      </c>
    </row>
    <row r="279">
      <c r="A279" t="inlineStr">
        <is>
          <t>SMARANAI.IN-261006-72</t>
        </is>
      </c>
      <c r="B279" t="inlineStr">
        <is>
          <t>SmaranAI.in</t>
        </is>
      </c>
      <c r="C279" t="inlineStr">
        <is>
          <t>React &amp; DB Developer Internship</t>
        </is>
      </c>
      <c r="D279" t="inlineStr">
        <is>
          <t>https://unstop.com/internships/react-db-developer-internship-smaranaiin-1764006</t>
        </is>
      </c>
      <c r="E279" t="inlineStr">
        <is>
          <t>AI Analyzer</t>
        </is>
      </c>
      <c r="F279" t="inlineStr">
        <is>
          <t>Remote</t>
        </is>
      </c>
      <c r="G279" t="inlineStr">
        <is>
          <t>Remote</t>
        </is>
      </c>
      <c r="H279" t="inlineStr">
        <is>
          <t>₹1,500 – ₹3,500/month</t>
        </is>
      </c>
      <c r="I279" t="inlineStr">
        <is>
          <t>Not Specified</t>
        </is>
      </c>
      <c r="J279" t="inlineStr">
        <is>
          <t>Not Mentioned</t>
        </is>
      </c>
      <c r="K279" t="inlineStr">
        <is>
          <t>React; Supabase; SQL; GenAI APIs; Git; GitHub; Basic backend security concepts</t>
        </is>
      </c>
      <c r="L279" t="inlineStr">
        <is>
          <t>Postgres Database; Auth; Edge Functions; RLS</t>
        </is>
      </c>
      <c r="M279" t="inlineStr">
        <is>
          <t>Responsibilities of the Intern: React - integrating APIS, modifying/updating/bug fixing of existing codes, create new codes Design and manage PG database schemas. optimize SQL queries, views, and functions. Implement Supabase Edge Functions.Implement role-based access using RLS policies. Work with Supabase Auth, including Google OAuth and email login. Learn and implement real-world practices for production applications. Requirements: Thorough understanding of React. Good understanding of databases and SQL. Familiarity with GenAI APIs, Supabase is a plus. Willingness to learn and work independently. Skills Required: React Supabase (Postgres Database, Auth, and Edge Functions). SQL. GenAI APIs. Git and GitHub. Basic backend security concepts, including RLS and authentication-based access. Perks &amp; Benefits: Remote internship. Internship completion certificate. Letter of Recommendation (LOR) for outstanding candidates. Hands-on experience, Startup exposure with real-world projects and decision-making. Skills: React.js, SQL, API Integration, Access Control Management (RBAC), Git Version Control, React.js, Database Administration (DBA), GitHub, API Integration.</t>
        </is>
      </c>
      <c r="N279" t="n">
        <v>52</v>
      </c>
      <c r="O279" t="n">
        <v>75</v>
      </c>
      <c r="P279" t="n">
        <v>80</v>
      </c>
      <c r="Q279" t="n">
        <v>70</v>
      </c>
      <c r="R279" t="n">
        <v>0</v>
      </c>
      <c r="S279" t="n">
        <v>0</v>
      </c>
      <c r="T279" t="n">
        <v>30</v>
      </c>
      <c r="U279" t="inlineStr">
        <is>
          <t>SKIP</t>
        </is>
      </c>
      <c r="V279" t="inlineStr">
        <is>
          <t>SKIP</t>
        </is>
      </c>
      <c r="W279" t="inlineStr">
        <is>
          <t>Supabase; GenAI APIs</t>
        </is>
      </c>
      <c r="X279" t="inlineStr">
        <is>
          <t>Amaanuddin_Ahmed_FullStack_Resume.pdf</t>
        </is>
      </c>
      <c r="Y279" t="inlineStr">
        <is>
          <t>2026-10-06</t>
        </is>
      </c>
      <c r="Z279" t="inlineStr">
        <is>
          <t>Remote work environment fits candidate preference.; Matches React and SQL skills from past projects and work experience.</t>
        </is>
      </c>
      <c r="AA279" t="inlineStr">
        <is>
          <t>Eligible</t>
        </is>
      </c>
      <c r="AB279" t="inlineStr">
        <is>
          <t>Remote location matches candidate preference.; Tech stack aligns with React and SQL experience.</t>
        </is>
      </c>
      <c r="AC279" t="inlineStr">
        <is>
          <t>Unknown</t>
        </is>
      </c>
      <c r="AD279" t="inlineStr">
        <is>
          <t>Not specified in candidate profile.</t>
        </is>
      </c>
      <c r="AE279" t="inlineStr">
        <is>
          <t>Below Minimum</t>
        </is>
      </c>
      <c r="AF279" t="n">
        <v>1500</v>
      </c>
      <c r="AG279" t="inlineStr">
        <is>
          <t>No</t>
        </is>
      </c>
      <c r="AH279" t="inlineStr">
        <is>
          <t>Not Mentioned</t>
        </is>
      </c>
      <c r="AI279" t="inlineStr">
        <is>
          <t>No mention of PPO or conversion in the job description.</t>
        </is>
      </c>
      <c r="AK279" t="inlineStr">
        <is>
          <t>Stipend of ₹1,500 – ₹3,500/month is drastically below the minimum target of ₹25,000/month.</t>
        </is>
      </c>
      <c r="AL279" t="inlineStr">
        <is>
          <t>React state management and API integration; PostgreSQL schema design and SQL query optimization; Row Level Security (RLS) and Supabase Auth</t>
        </is>
      </c>
    </row>
    <row r="280">
      <c r="A280" t="inlineStr">
        <is>
          <t>LOGICTAP-PRI-261006-73</t>
        </is>
      </c>
      <c r="B280" t="inlineStr">
        <is>
          <t>Logictap Private Limited</t>
        </is>
      </c>
      <c r="C280" t="inlineStr">
        <is>
          <t>Front-End Developer Internship</t>
        </is>
      </c>
      <c r="D280" t="inlineStr">
        <is>
          <t>https://unstop.com/internships/front-end-developer-internship-logictap-private-limited-1763988</t>
        </is>
      </c>
      <c r="E280" t="inlineStr">
        <is>
          <t>AI Analyzer</t>
        </is>
      </c>
      <c r="F280" t="inlineStr">
        <is>
          <t>Remote</t>
        </is>
      </c>
      <c r="G280" t="inlineStr">
        <is>
          <t>Remote</t>
        </is>
      </c>
      <c r="H280" t="inlineStr">
        <is>
          <t>₹15,000 – ₹25,000/month</t>
        </is>
      </c>
      <c r="I280" t="inlineStr">
        <is>
          <t>Not specified</t>
        </is>
      </c>
      <c r="J280" t="inlineStr">
        <is>
          <t>not_mentioned</t>
        </is>
      </c>
      <c r="K280" t="inlineStr">
        <is>
          <t>JavaScript; HTML; CSS; React.js; Debugging</t>
        </is>
      </c>
      <c r="L280" t="inlineStr">
        <is>
          <t>AI coding tools; Claude Code</t>
        </is>
      </c>
      <c r="M280" t="inlineStr">
        <is>
          <t>Roles: Front-End Developer Intern at Logictap, a startup building custom AI voice agents for businesses You will build the web interfaces our customers and our team use every day, working with Claude Code and other AI coding tools as your main way of working Responsibilities: Build and improve responsive web pages and dashboards using HTML, CSS, JavaScript and a modern framework such as React Turn product ideas and designs into clean, working screens, and ship them quickly Use Claude Code or other AI coding tools to write, test and debug code faster Fix bugs, improve speed and keep the interface simple and easy to use Requirements: Pursuing a degree in Computer Science or a related field (preferably from a top-tier college) Good knowledge of HTML, CSS and JavaScript; React or similar is a plus Have used Claude Code or another AI coding tool to build projects, and can show an example Own laptop and reliable internet connection Skills: JavaScript, HTML, CSS, React.js, Debugging.</t>
        </is>
      </c>
      <c r="N280" t="n">
        <v>74</v>
      </c>
      <c r="O280" t="n">
        <v>85</v>
      </c>
      <c r="P280" t="n">
        <v>90</v>
      </c>
      <c r="Q280" t="n">
        <v>80</v>
      </c>
      <c r="R280" t="n">
        <v>40</v>
      </c>
      <c r="S280" t="n">
        <v>70</v>
      </c>
      <c r="T280" t="n">
        <v>60</v>
      </c>
      <c r="U280" t="inlineStr">
        <is>
          <t>CONSIDER</t>
        </is>
      </c>
      <c r="V280" t="inlineStr">
        <is>
          <t>CONSIDER</t>
        </is>
      </c>
      <c r="W280" t="inlineStr">
        <is>
          <t>Claude Code / AI coding assistant project evidence explicitly shown</t>
        </is>
      </c>
      <c r="X280" t="inlineStr">
        <is>
          <t>Standard Full Stack / Frontend Resume highlighting React and Angular experience</t>
        </is>
      </c>
      <c r="Y280" t="inlineStr">
        <is>
          <t>2026-10-06</t>
        </is>
      </c>
      <c r="Z280" t="inlineStr">
        <is>
          <t>Strong match with core technical requirements (HTML, CSS, JavaScript, React.js).; Remote work mode matches candidate preferences.; Solid practical experience with Angular and React in real projects.</t>
        </is>
      </c>
      <c r="AA280" t="inlineStr">
        <is>
          <t>eligible</t>
        </is>
      </c>
      <c r="AB280" t="inlineStr">
        <is>
          <t>Candidate is pursuing an MCA in Computer Science related field at PES University.; Remote work mode aligns with candidate preferences.</t>
        </is>
      </c>
      <c r="AC280" t="inlineStr">
        <is>
          <t>unknown</t>
        </is>
      </c>
      <c r="AD280" t="inlineStr">
        <is>
          <t>Start date and availability constraints are not specified in the career brain.</t>
        </is>
      </c>
      <c r="AE280" t="inlineStr">
        <is>
          <t>exact</t>
        </is>
      </c>
      <c r="AF280" t="n">
        <v>15000</v>
      </c>
      <c r="AG280" t="inlineStr">
        <is>
          <t>No</t>
        </is>
      </c>
      <c r="AH280" t="inlineStr">
        <is>
          <t>not_mentioned</t>
        </is>
      </c>
      <c r="AI280" t="inlineStr">
        <is>
          <t>No mention of PPO or conversion in the job description.</t>
        </is>
      </c>
      <c r="AK280" t="inlineStr">
        <is>
          <t>Stipend range maximum just meets the minimum target of ₹25,000/month, while minimum is below target.</t>
        </is>
      </c>
      <c r="AL280" t="inlineStr">
        <is>
          <t>React.js component lifecycle and state management; Responsive web design with HTML, CSS, and JavaScript; Experience using AI coding tools like Claude Code for rapid shipping; Past frontend work in Sunflower Trip and freelance restaurant POS system</t>
        </is>
      </c>
    </row>
    <row r="281">
      <c r="A281" t="inlineStr">
        <is>
          <t>WIKASTA-BUSI-261006-74</t>
        </is>
      </c>
      <c r="B281" t="inlineStr">
        <is>
          <t>Wikasta Business and Technical Solutions Pvt. Ltd.</t>
        </is>
      </c>
      <c r="C281" t="inlineStr">
        <is>
          <t>Artificial Intelligence Developer Internship</t>
        </is>
      </c>
      <c r="D281" t="inlineStr">
        <is>
          <t>https://unstop.com/internships/artificial-intelligence-developer-internship-wikasta-business-and-technical-solutions-pvt-ltd-1760461</t>
        </is>
      </c>
      <c r="E281" t="inlineStr">
        <is>
          <t>AI Analyzer</t>
        </is>
      </c>
      <c r="F281" t="inlineStr">
        <is>
          <t>Remote</t>
        </is>
      </c>
      <c r="G281" t="inlineStr">
        <is>
          <t>Remote</t>
        </is>
      </c>
      <c r="H281" t="inlineStr">
        <is>
          <t>₹20,000 – ₹25,000/month</t>
        </is>
      </c>
      <c r="I281" t="inlineStr">
        <is>
          <t>UNKNOWN</t>
        </is>
      </c>
      <c r="J281" t="inlineStr">
        <is>
          <t>NOT_MENTIONED</t>
        </is>
      </c>
      <c r="K281" t="inlineStr">
        <is>
          <t>Artificial Intelligence (AI); Machine Learning Concepts; Python Development; Natural Language Processing (NLP); TensorFlow; PyTorch</t>
        </is>
      </c>
      <c r="L281" t="inlineStr">
        <is>
          <t>NumPy; Pandas; LLMs; AI automation</t>
        </is>
      </c>
      <c r="M281" t="inlineStr">
        <is>
          <t>Responsibilities of the Intern: Work with AI and ML models (LLMs, ML, DL, NLP) under mentor guidance Assist in training, fine-tuning, and evaluating machine learning models Help in building small AI tools, prototypes, and automation scripts Support in dataset preparation, cleaning, annotation, and labeling Assist in generating test cases, Q&amp;A sets, and evaluation datasets Contribute to creating AI-powered features for internal projects Participate in research tasks and summarize findings from AI papers Collaborate with the team and attend regular discussions or sync-ups Document experiments, observations, and improvements clearly Requirements: Basic understanding of Machine Learning / Deep Learning concepts Familiarity with Python and AI libraries (NumPy, Pandas, TensorFlow, PyTorch) Interest in working with LLMs, NLP, and AI automation Experience with small AI/ML projects (college, personal, course-based) is a plus Knowledge of data preprocessing and model evaluation methods Willingness to learn fast and try out new AI tools and techniques Good research skills and curiosity about modern AI advancements Ability to commit 20 hours per week Skills: Artificial Intelligence (AI), Machine Learning Concepts, Machine Learning Concepts, Python Development, Natural Language Processing (NLP), TensorFlow, PyTorch.</t>
        </is>
      </c>
      <c r="N281" t="n">
        <v>47</v>
      </c>
      <c r="O281" t="n">
        <v>50</v>
      </c>
      <c r="P281" t="n">
        <v>45</v>
      </c>
      <c r="Q281" t="n">
        <v>40</v>
      </c>
      <c r="R281" t="n">
        <v>20</v>
      </c>
      <c r="S281" t="n">
        <v>80</v>
      </c>
      <c r="T281" t="n">
        <v>60</v>
      </c>
      <c r="U281" t="inlineStr">
        <is>
          <t>SKIP</t>
        </is>
      </c>
      <c r="V281" t="inlineStr">
        <is>
          <t>SKIP</t>
        </is>
      </c>
      <c r="W281" t="inlineStr">
        <is>
          <t>TensorFlow; PyTorch; Natural Language Processing (NLP); Advanced Machine Learning Engineering</t>
        </is>
      </c>
      <c r="X281" t="inlineStr">
        <is>
          <t>Amaanuddin_Ahmed_Resume.pdf</t>
        </is>
      </c>
      <c r="Y281" t="inlineStr">
        <is>
          <t>2026-10-06</t>
        </is>
      </c>
      <c r="Z281" t="inlineStr">
        <is>
          <t>The role is remote and offers a stipend close to the candidate's target.; Provides exposure to modern AI tools, LLMs, and research tasks.</t>
        </is>
      </c>
      <c r="AA281" t="inlineStr">
        <is>
          <t>ELIGIBLE</t>
        </is>
      </c>
      <c r="AB281" t="inlineStr">
        <is>
          <t>The candidate meets the location and remote preferences.; The candidate has working knowledge of Python and is currently pursuing an MCA, matching standard internship eligibility requirements.</t>
        </is>
      </c>
      <c r="AC281" t="inlineStr">
        <is>
          <t>UNKNOWN</t>
        </is>
      </c>
      <c r="AD281" t="inlineStr">
        <is>
          <t>Exact start dates and immediate availability window are not explicitly constrained in the candidate's profile.</t>
        </is>
      </c>
      <c r="AE281" t="inlineStr">
        <is>
          <t>EXPLICIT</t>
        </is>
      </c>
      <c r="AF281" t="n">
        <v>20000</v>
      </c>
      <c r="AG281" t="inlineStr">
        <is>
          <t>No</t>
        </is>
      </c>
      <c r="AH281" t="inlineStr">
        <is>
          <t>NOT_MENTIONED</t>
        </is>
      </c>
      <c r="AI281" t="inlineStr">
        <is>
          <t>The job description does not mention PPO or conversion to full-time employment.</t>
        </is>
      </c>
      <c r="AK281" t="inlineStr">
        <is>
          <t>Stipend of ₹20,000 is slightly below the candidate's minimum target of ₹25,000/month (though max is ₹25,000).; Primary target roles are Software/Full Stack/Backend Engineering, whereas this role is heavily focused on AI/ML research and development.</t>
        </is>
      </c>
      <c r="AL281" t="inlineStr">
        <is>
          <t>Basic Python, NumPy, and Pandas usage; Machine Learning and Deep Learning fundamentals; Familiarity with NLP concepts and LLMs; Past project experience involving AI or Python</t>
        </is>
      </c>
    </row>
    <row r="282">
      <c r="A282" t="inlineStr">
        <is>
          <t>ONYATRIPS-TE-261006-75</t>
        </is>
      </c>
      <c r="B282" t="inlineStr">
        <is>
          <t>Onyatrips Tech Private Limited</t>
        </is>
      </c>
      <c r="C282" t="inlineStr">
        <is>
          <t>Full-Stack Developer Internship</t>
        </is>
      </c>
      <c r="D282" t="inlineStr">
        <is>
          <t>https://unstop.com/internships/full-stack-developer-internship-onyatrips-tech-private-limited-1766426</t>
        </is>
      </c>
      <c r="E282" t="inlineStr">
        <is>
          <t>AI Analyzer</t>
        </is>
      </c>
      <c r="F282" t="inlineStr">
        <is>
          <t>Remote</t>
        </is>
      </c>
      <c r="G282" t="inlineStr">
        <is>
          <t>Remote</t>
        </is>
      </c>
      <c r="H282" t="inlineStr">
        <is>
          <t>Unpaid</t>
        </is>
      </c>
      <c r="I282" t="inlineStr">
        <is>
          <t>Not specified</t>
        </is>
      </c>
      <c r="J282" t="inlineStr">
        <is>
          <t>POSSIBLE</t>
        </is>
      </c>
      <c r="K282" t="inlineStr">
        <is>
          <t>HTML; CSS; JavaScript; TypeScript; React/Next.js; Node.js/Express; Python; REST APIs; Databases; Git/GitHub; Deployment</t>
        </is>
      </c>
      <c r="L282" t="inlineStr">
        <is>
          <t>Prior projects; GitHub work; Startup experience</t>
        </is>
      </c>
      <c r="M282" t="inlineStr">
        <is>
          <t>About Onyatrips Onyatrips is building The Meaningful Travel Discovery Network , connecting People, Places, Experiences, Communities &amp; Trips. What You’ll Do Build and improve production-ready web features across frontend and backend. Develop responsive, scalable, and user-friendly interfaces. Build and integrate APIs, databases, authentication, and third-party services . Debug, test, optimize, and maintain existing systems. Work closely with product, AI, design, and engineering teams to ship features quickly. Write clean, reusable, well-structured code and contribute to technical decisions. What We’re Looking For Strong fundamentals in HTML, CSS, JavaScript/TypeScript . Experience with a modern frontend framework such as React/Next.js . Backend experience with Node.js/Express, Python, or equivalent . Working knowledge of REST APIs, databases, Git/GitHub, and deployment . Good problem-solving skills and attention to detail. Ability to take ownership and learn independently. Prior projects, GitHub work, or startup experience is a strong plus. What You’ll Get Work on real production systems , not just practice projects. Direct exposure to startup-scale product development. Opportunity to work with the founding and engineering teams. Certificate, LOR, and performance-based incentives based on contribution. Potential for a longer-term role based on performance. Ideal Candidate: Someone who wants to build, ship, solve difficult problems, and take genuine ownership—not just complete an internship. Skills: JavaScript, React.js, Node.js, API Development (REST), Git Version Control.</t>
        </is>
      </c>
      <c r="N282" t="n">
        <v>68</v>
      </c>
      <c r="O282" t="n">
        <v>75</v>
      </c>
      <c r="P282" t="n">
        <v>80</v>
      </c>
      <c r="Q282" t="n">
        <v>85</v>
      </c>
      <c r="R282" t="n">
        <v>70</v>
      </c>
      <c r="S282" t="n">
        <v>0</v>
      </c>
      <c r="T282" t="n">
        <v>60</v>
      </c>
      <c r="U282" t="inlineStr">
        <is>
          <t>STRETCH</t>
        </is>
      </c>
      <c r="V282" t="inlineStr">
        <is>
          <t>STRETCH</t>
        </is>
      </c>
      <c r="W282" t="inlineStr">
        <is>
          <t>TypeScript; Next.js; Python</t>
        </is>
      </c>
      <c r="X282" t="inlineStr">
        <is>
          <t>Standard Full-Stack Resume highlighting MERN stack and production experience at Sunflower Trip and Freelance</t>
        </is>
      </c>
      <c r="Y282" t="inlineStr">
        <is>
          <t>2026-10-06</t>
        </is>
      </c>
      <c r="Z282" t="inlineStr">
        <is>
          <t>Matches primary target role as a Full Stack Developer Intern; Provides production-level experience in a startup environment</t>
        </is>
      </c>
      <c r="AA282" t="inlineStr">
        <is>
          <t>ELIGIBLE</t>
        </is>
      </c>
      <c r="AB282" t="inlineStr">
        <is>
          <t>Candidate is an MCA student available for internships; No hard restrictions on degree or graduation year found in JD</t>
        </is>
      </c>
      <c r="AC282" t="inlineStr">
        <is>
          <t>UNKNOWN</t>
        </is>
      </c>
      <c r="AD282" t="inlineStr">
        <is>
          <t>Specific start date and exact availability window not detailed in candidate profile vs JD</t>
        </is>
      </c>
      <c r="AE282" t="inlineStr">
        <is>
          <t>UNPAID</t>
        </is>
      </c>
      <c r="AF282" t="n">
        <v>0</v>
      </c>
      <c r="AG282" t="inlineStr">
        <is>
          <t>No</t>
        </is>
      </c>
      <c r="AH282" t="inlineStr">
        <is>
          <t>POSSIBLE</t>
        </is>
      </c>
      <c r="AI282" t="inlineStr">
        <is>
          <t>Potential for a longer-term role based on performance.</t>
        </is>
      </c>
      <c r="AK282" t="inlineStr">
        <is>
          <t>Unpaid stipend (violates minimum stipend target of ₹25,000/month)</t>
        </is>
      </c>
      <c r="AL282" t="inlineStr">
        <is>
          <t>Node.js and Express backend architecture; React state management and component lifecycle; REST API design and integration; Git workflow and deployment strategies</t>
        </is>
      </c>
    </row>
    <row r="283">
      <c r="A283" t="inlineStr">
        <is>
          <t>AMAANITVAM-F-261006-76</t>
        </is>
      </c>
      <c r="B283" t="inlineStr">
        <is>
          <t>Amaanitvam Foundation</t>
        </is>
      </c>
      <c r="C283" t="inlineStr">
        <is>
          <t>Full Stack Developer Internship</t>
        </is>
      </c>
      <c r="D283" t="inlineStr">
        <is>
          <t>https://unstop.com/internships/full-stack-developer-internship-amaanitvam-foundation-1765408</t>
        </is>
      </c>
      <c r="E283" t="inlineStr">
        <is>
          <t>AI Analyzer</t>
        </is>
      </c>
      <c r="F283" t="inlineStr">
        <is>
          <t>Remote</t>
        </is>
      </c>
      <c r="G283" t="inlineStr">
        <is>
          <t>Remote</t>
        </is>
      </c>
      <c r="H283" t="inlineStr">
        <is>
          <t>Unpaid</t>
        </is>
      </c>
      <c r="I283" t="inlineStr">
        <is>
          <t>6 months</t>
        </is>
      </c>
      <c r="J283" t="inlineStr">
        <is>
          <t>no</t>
        </is>
      </c>
      <c r="K283" t="inlineStr">
        <is>
          <t>Backend development; API Integration; JavaScript; Debugging; Web Testing</t>
        </is>
      </c>
      <c r="M283" t="inlineStr">
        <is>
          <t>Amaanitvam Foundation is actively hiring for the role of Full Stack Developer! About the Organization: Amaanitvam Foundation is offering an opportunity for an aspiring Full Stack Developer to gain practical experience through a six-month internship. While specific organizational background and industry details have not been provided, this opportunity is designed to support hands-on participation in full-stack development projects within a professional environment. Roles and Responsibilities: Assist in designing and developing user-facing web applications based on project requirements. Contribute to the development of server-side application components and supporting services. Help integrate frontend interfaces with backend functionality and data sources. Participate in testing application features to identify and resolve functional issues. Support troubleshooting and debugging across different parts of the application. Collaborate with team members to understand project objectives and deliver assigned development tasks. Contribute to improving application usability, performance, and reliability. Maintain clear documentation of implemented features, updates, and development activities. Participate in discussions, reviews, and feedback sessions related to ongoing projects. Research relevant development approaches and contribute ideas for enhancing project outcomes. Internship Summary: This six-month Full Stack Developer internship at Amaanitvam Foundation offers an opportunity to gain meaningful, hands-on exposure to both frontend and backend web development. Interns will contribute to real project activities, collaborate with the team, strengthen their development experience, and grow through practical involvement in the complete application development lifecycle. The location and additional perks for this opportunity have not been specified. Skills: Backend development, API Integration, JavaScript, Debugging, Web Testing.</t>
        </is>
      </c>
      <c r="N283" t="n">
        <v>62</v>
      </c>
      <c r="O283" t="n">
        <v>90</v>
      </c>
      <c r="P283" t="n">
        <v>90</v>
      </c>
      <c r="Q283" t="n">
        <v>90</v>
      </c>
      <c r="R283" t="n">
        <v>0</v>
      </c>
      <c r="S283" t="n">
        <v>0</v>
      </c>
      <c r="T283" t="n">
        <v>40</v>
      </c>
      <c r="U283" t="inlineStr">
        <is>
          <t>STRETCH</t>
        </is>
      </c>
      <c r="V283" t="inlineStr">
        <is>
          <t>STRETCH</t>
        </is>
      </c>
      <c r="X283" t="inlineStr">
        <is>
          <t>Standard Full Stack Resume</t>
        </is>
      </c>
      <c r="Y283" t="inlineStr">
        <is>
          <t>2026-10-06</t>
        </is>
      </c>
      <c r="Z283" t="inlineStr">
        <is>
          <t>Strong technical and role fit based on full-stack development experience.; Remote opportunity providing hands-on project experience.</t>
        </is>
      </c>
      <c r="AA283" t="inlineStr">
        <is>
          <t>eligible</t>
        </is>
      </c>
      <c r="AB283" t="inlineStr">
        <is>
          <t>No strict hard blockers regarding degree or graduation year found.; Remote work mode aligns with candidate preferences.</t>
        </is>
      </c>
      <c r="AC283" t="inlineStr">
        <is>
          <t>unknown</t>
        </is>
      </c>
      <c r="AD283" t="inlineStr">
        <is>
          <t>Specific start date requirements are not specified in the job description.</t>
        </is>
      </c>
      <c r="AE283" t="inlineStr">
        <is>
          <t>unpaid</t>
        </is>
      </c>
      <c r="AF283" t="n">
        <v>0</v>
      </c>
      <c r="AG283" t="inlineStr">
        <is>
          <t>No</t>
        </is>
      </c>
      <c r="AH283" t="inlineStr">
        <is>
          <t>no</t>
        </is>
      </c>
      <c r="AI283" t="inlineStr">
        <is>
          <t>No mention of a Pre-Placement Offer (PPO) or conversion in the job description.</t>
        </is>
      </c>
      <c r="AK283" t="inlineStr">
        <is>
          <t>Unpaid internship; No stipend provided; No PPO mentioned</t>
        </is>
      </c>
      <c r="AL283" t="inlineStr">
        <is>
          <t>JavaScript fundamentals and asynchronous programming; Backend development with Node.js/Express or similar stacks; RESTful API integration and debugging strategies; Web application testing and troubleshooting workflows</t>
        </is>
      </c>
    </row>
    <row r="284">
      <c r="A284" t="inlineStr">
        <is>
          <t>BTOW-PVT.-LT-261006-77</t>
        </is>
      </c>
      <c r="B284" t="inlineStr">
        <is>
          <t>BTOW Pvt. Ltd.</t>
        </is>
      </c>
      <c r="C284" t="inlineStr">
        <is>
          <t>Full Stack Developer Internship</t>
        </is>
      </c>
      <c r="D284" t="inlineStr">
        <is>
          <t>https://unstop.com/internships/full-stack-developer-internship-btow-pvt-ltd-1766343</t>
        </is>
      </c>
      <c r="E284" t="inlineStr">
        <is>
          <t>AI Analyzer</t>
        </is>
      </c>
      <c r="F284" t="inlineStr">
        <is>
          <t>Remote</t>
        </is>
      </c>
      <c r="G284" t="inlineStr">
        <is>
          <t>Remote</t>
        </is>
      </c>
      <c r="H284" t="inlineStr">
        <is>
          <t>Unpaid</t>
        </is>
      </c>
      <c r="I284" t="inlineStr">
        <is>
          <t>Not specified</t>
        </is>
      </c>
      <c r="J284" t="inlineStr">
        <is>
          <t>yes</t>
        </is>
      </c>
      <c r="K284" t="inlineStr">
        <is>
          <t>HTML; CSS; JavaScript; Bootstrap; React.js; Angular; Node.js; Express.js; SQL; MySQL; MongoDB; Git; REST APIs</t>
        </is>
      </c>
      <c r="L284" t="inlineStr">
        <is>
          <t>AWS; Azure; Google Cloud; Agile</t>
        </is>
      </c>
      <c r="M284" t="inlineStr">
        <is>
          <t>About the Role: We are looking for passionate and motivated Full Stack Developer Interns who are eager to work on real-world projects and gain hands-on experience in modern web application development. As a Full Stack Developer Intern at B2World, you will work closely with experienced developers and the product team to build, maintain, and enhance scalable web applications. This internship offers an excellent opportunity to strengthen your technical skills while contributing to live projects used by real clients and businesses. Responsibilities of the Intern: Develop and maintain web applications using modern frontend and backend technologies. Build responsive and user-friendly interfaces. Design, develop, and integrate REST APIs. Collaborate with team members on feature development and bug fixes. Work with databases and optimize queries for performance. Participate in application testing, debugging, and deployment activities. Follow coding standards and best practices. Contribute to product improvements and innovative solutions. Work closely with mentors and project leads to deliver project milestones. Requirements: Knowledge of HTML, CSS, JavaScript, and Bootstrap. Basic understanding of React.js, Angular, or similar frontend frameworks. Knowledge of Node.js, Express.js, ASP.NET Core, Java Spring Boot, or similar backend technologies. Understanding of SQL/MySQL or MongoDB databases. Familiarity with Git and GitHub. Basic understanding of RESTful APIs. Strong problem-solving and analytical skills. Good communication and teamwork abilities. Willingness to learn and adapt to new technologies. Experience working on academic, personal, or freelance projects is preferred. Understanding of cloud platforms such as AWS, Azure, or Google Cloud is preferred. Knowledge of deployment and hosting processes is preferred. Familiarity with Agile development methodologies is preferred. Benefits: Hands-on experience with real-world development projects. Mentorship from experienced industry professionals. Exposure to modern development tools and frameworks. Opportunity to work in a collaborative startup environment. Performance-based Certificate of Completion. Potential Pre-Placement Offer (PPO) for outstanding performers. Skills: JavaScript, API Development (REST), Node.js, React.js, SQL.</t>
        </is>
      </c>
      <c r="N284" t="n">
        <v>80</v>
      </c>
      <c r="O284" t="n">
        <v>95</v>
      </c>
      <c r="P284" t="n">
        <v>90</v>
      </c>
      <c r="Q284" t="n">
        <v>95</v>
      </c>
      <c r="R284" t="n">
        <v>85</v>
      </c>
      <c r="S284" t="n">
        <v>0</v>
      </c>
      <c r="T284" t="n">
        <v>60</v>
      </c>
      <c r="U284" t="inlineStr">
        <is>
          <t>APPLY</t>
        </is>
      </c>
      <c r="V284" t="inlineStr">
        <is>
          <t>APPLY</t>
        </is>
      </c>
      <c r="X284" t="inlineStr">
        <is>
          <t>Amaanuddin_Ahmed_Resume_FullStack.pdf</t>
        </is>
      </c>
      <c r="Y284" t="inlineStr">
        <is>
          <t>2026-10-06</t>
        </is>
      </c>
      <c r="Z284" t="inlineStr">
        <is>
          <t>Strong technical stack alignment with demonstrated experience in Node.js, Angular, React.js, and SQL/MongoDB.; Offers a potential Pre-Placement Offer (PPO).; Remote work mode fits candidate preferences.</t>
        </is>
      </c>
      <c r="AA284" t="inlineStr">
        <is>
          <t>eligible</t>
        </is>
      </c>
      <c r="AB284" t="inlineStr">
        <is>
          <t>Meets all technical and educational requirements.; No hard blockers found.</t>
        </is>
      </c>
      <c r="AC284" t="inlineStr">
        <is>
          <t>unknown</t>
        </is>
      </c>
      <c r="AD284" t="inlineStr">
        <is>
          <t>Availability start date is not specified in the career brain or job description.</t>
        </is>
      </c>
      <c r="AE284" t="inlineStr">
        <is>
          <t>unpaid</t>
        </is>
      </c>
      <c r="AF284" t="n">
        <v>0</v>
      </c>
      <c r="AG284" t="inlineStr">
        <is>
          <t>No</t>
        </is>
      </c>
      <c r="AH284" t="inlineStr">
        <is>
          <t>yes</t>
        </is>
      </c>
      <c r="AI284" t="inlineStr">
        <is>
          <t>Potential Pre-Placement Offer (PPO) for outstanding performers.</t>
        </is>
      </c>
      <c r="AK284" t="inlineStr">
        <is>
          <t>Unpaid internship below minimum stipend target.</t>
        </is>
      </c>
      <c r="AL284" t="inlineStr">
        <is>
          <t>REST API design and integration; Database query optimization in MySQL and MongoDB; State management in Angular and React.js; Version control workflows using Git and GitHub</t>
        </is>
      </c>
      <c r="AM284" t="inlineStr">
        <is>
          <t>E:\InternshipHunter\applications\unstop-884ab4a3287b</t>
        </is>
      </c>
      <c r="AN284" t="inlineStr">
        <is>
          <t>Ready for Review</t>
        </is>
      </c>
      <c r="AO284" t="inlineStr">
        <is>
          <t>Generated</t>
        </is>
      </c>
      <c r="AP284" t="inlineStr">
        <is>
          <t>Generated</t>
        </is>
      </c>
      <c r="AQ284" t="inlineStr">
        <is>
          <t>Generated</t>
        </is>
      </c>
      <c r="AR284" t="inlineStr">
        <is>
          <t>Ready to Apply</t>
        </is>
      </c>
    </row>
    <row r="285">
      <c r="A285" t="inlineStr">
        <is>
          <t>VORTIZO-AI-261006-78</t>
        </is>
      </c>
      <c r="B285" t="inlineStr">
        <is>
          <t>Vortizo AI</t>
        </is>
      </c>
      <c r="C285" t="inlineStr">
        <is>
          <t>Full Stack Internship</t>
        </is>
      </c>
      <c r="D285" t="inlineStr">
        <is>
          <t>https://unstop.com/internships/full-stack-internship-vortizo-ai-1764849</t>
        </is>
      </c>
      <c r="E285" t="inlineStr">
        <is>
          <t>AI Analyzer</t>
        </is>
      </c>
      <c r="F285" t="inlineStr">
        <is>
          <t>Remote</t>
        </is>
      </c>
      <c r="G285" t="inlineStr">
        <is>
          <t>Remote</t>
        </is>
      </c>
      <c r="H285" t="inlineStr">
        <is>
          <t>₹35,000/month</t>
        </is>
      </c>
      <c r="I285" t="inlineStr">
        <is>
          <t>6 months</t>
        </is>
      </c>
      <c r="J285" t="inlineStr">
        <is>
          <t>NOT_MENTIONED</t>
        </is>
      </c>
      <c r="K285" t="inlineStr">
        <is>
          <t>JavaScript; Backend development; API Development (REST); Database Management Systems (DBMS); Git Version Control</t>
        </is>
      </c>
      <c r="L285" t="inlineStr">
        <is>
          <t>Web development concepts; Programming fundamentals; Version control</t>
        </is>
      </c>
      <c r="M285" t="inlineStr">
        <is>
          <t>About the Company Vortizo AI is building practical, technology-driven solutions with a focus on intelligent products and modern software experiences. As a Full Stack Intern, you will work in a collaborative environment where you can strengthen your engineering foundations and contribute to real product development. Responsibilities Support the design, development, testing, and maintenance of web applications across frontend and backend layers. Build responsive user interfaces and connect them with APIs, databases, and server-side services. Write readable, maintainable code, troubleshoot issues, and participate in code reviews. Collaborate with product and engineering teammates to understand requirements and deliver features on schedule. Document technical work and contribute to improving application performance, reliability, and usability. Requirements Applicants should be college students or freshers interested in full stack software development. Basic understanding of web development concepts, programming fundamentals, APIs, databases, and version control is preferred. Strong willingness to learn, logical problem-solving ability, attention to detail, and effective communication are important. This is a 6-month, full-time, remote internship with a monthly stipend of ₹35,000. Skills: JavaScript, Backend development, API Development (REST), Database Management Systems (DBMS), Git Version Control.</t>
        </is>
      </c>
      <c r="N285" t="n">
        <v>86</v>
      </c>
      <c r="O285" t="n">
        <v>95</v>
      </c>
      <c r="P285" t="n">
        <v>90</v>
      </c>
      <c r="Q285" t="n">
        <v>95</v>
      </c>
      <c r="R285" t="n">
        <v>50</v>
      </c>
      <c r="S285" t="n">
        <v>100</v>
      </c>
      <c r="T285" t="n">
        <v>80</v>
      </c>
      <c r="U285" t="inlineStr">
        <is>
          <t>APPLY</t>
        </is>
      </c>
      <c r="V285" t="inlineStr">
        <is>
          <t>APPLY</t>
        </is>
      </c>
      <c r="X285" t="inlineStr">
        <is>
          <t>Amaanuddin_Ahmed_Resume_FullStack.pdf</t>
        </is>
      </c>
      <c r="Y285" t="inlineStr">
        <is>
          <t>2026-10-06</t>
        </is>
      </c>
      <c r="Z285" t="inlineStr">
        <is>
          <t>Stipend of ₹35,000/month exceeds the candidate's minimum target of ₹25,000/month.; Remote work mode aligns well with preferences.; Strong technical overlap with required skills like JavaScript, backend development, REST APIs, and databases demonstrated in professional internships and freelance work.</t>
        </is>
      </c>
      <c r="AA285" t="inlineStr">
        <is>
          <t>ELIGIBLE</t>
        </is>
      </c>
      <c r="AB285" t="inlineStr">
        <is>
          <t>Applicant is a college student (MCA 2025-2027) interested in full stack software development.; Meets all technical and educational requirements.</t>
        </is>
      </c>
      <c r="AC285" t="inlineStr">
        <is>
          <t>UNKNOWN</t>
        </is>
      </c>
      <c r="AD285" t="inlineStr">
        <is>
          <t>Exact immediate start date availability not specified in profile relative to the job listing timeline.</t>
        </is>
      </c>
      <c r="AE285" t="inlineStr">
        <is>
          <t>EXPLICIT</t>
        </is>
      </c>
      <c r="AF285" t="n">
        <v>35000</v>
      </c>
      <c r="AG285" t="inlineStr">
        <is>
          <t>No</t>
        </is>
      </c>
      <c r="AH285" t="inlineStr">
        <is>
          <t>NOT_MENTIONED</t>
        </is>
      </c>
      <c r="AI285" t="inlineStr">
        <is>
          <t>No explicit mention of PPO or conversion in the job description.</t>
        </is>
      </c>
      <c r="AL285" t="inlineStr">
        <is>
          <t>RESTful API design and implementation in Node.js/Express; Database schema design and management with MySQL/MongoDB; Git version control workflows and collaboration; Frontend-backend integration challenges and solutions</t>
        </is>
      </c>
      <c r="AM285" t="inlineStr">
        <is>
          <t>E:\InternshipHunter\applications\unstop-621cf3b28b0b</t>
        </is>
      </c>
      <c r="AN285" t="inlineStr">
        <is>
          <t>Ready for Review</t>
        </is>
      </c>
      <c r="AO285" t="inlineStr">
        <is>
          <t>Generated</t>
        </is>
      </c>
      <c r="AP285" t="inlineStr">
        <is>
          <t>Generated</t>
        </is>
      </c>
      <c r="AQ285" t="inlineStr">
        <is>
          <t>Generated</t>
        </is>
      </c>
      <c r="AR285" t="inlineStr">
        <is>
          <t>Ready to Apply</t>
        </is>
      </c>
    </row>
    <row r="286">
      <c r="A286" t="inlineStr">
        <is>
          <t>VIJYAPANA-AD-261006-79</t>
        </is>
      </c>
      <c r="B286" t="inlineStr">
        <is>
          <t>Vijyapana Advertising</t>
        </is>
      </c>
      <c r="C286" t="inlineStr">
        <is>
          <t>Full Stack Developer Internship</t>
        </is>
      </c>
      <c r="D286" t="inlineStr">
        <is>
          <t>https://unstop.com/internships/full-stack-developer-internship-vijyapana-advertising-1766071</t>
        </is>
      </c>
      <c r="E286" t="inlineStr">
        <is>
          <t>AI Analyzer</t>
        </is>
      </c>
      <c r="F286" t="inlineStr">
        <is>
          <t>Remote</t>
        </is>
      </c>
      <c r="G286" t="inlineStr">
        <is>
          <t>Remote</t>
        </is>
      </c>
      <c r="H286" t="inlineStr">
        <is>
          <t>₹6,000 to ₹8,000/month</t>
        </is>
      </c>
      <c r="I286" t="inlineStr">
        <is>
          <t>6 months</t>
        </is>
      </c>
      <c r="J286" t="inlineStr">
        <is>
          <t>No</t>
        </is>
      </c>
      <c r="K286" t="inlineStr">
        <is>
          <t>JavaScript; TypeScript; HTML; CSS; Next.js; Node.js; Express.js; PostgreSQL; SQL; Redis; REST APIs; NextAuth.js; JWT; RBAC; Authentication &amp; Authorization; Responsive web designs; FIGMA; Cloud Deployment; Database Management &amp; Caching</t>
        </is>
      </c>
      <c r="M286" t="inlineStr">
        <is>
          <t>About the Company Vijyapana Advertising is a creative and communications-focused organization that values practical technology, collaboration, and innovative digital solutions. The team is seeking Developer Interns who are eager to contribute to real projects while building hands-on experience in a professional environment. Responsibilities Support the development, testing, and maintenance of internal and client-facing digital solutions. Work with team members to understand requirements, troubleshoot issues, and deliver assigned tasks on schedule. Write readable, maintainable code and participate in debugging, documentation, and basic quality checks. Learn and apply relevant technical tools, development practices, and version-control workflows. Requirements Minimum 4-5 Reliable projects of prior development or technical project experience. Basic understanding of programming, software development concepts, and problem-solving. Technical skills relevant to development work and the ability to learn new technologies quickly. Technical skills including Javascript, Typescript, HTML, CSS, Next.js, Node.js, Express.js, PostgreSQL, SQL, Redis, REST APIs, NextAuth.js, JWT, RBAC, Authentication &amp; Authorization, Responsive web designs, FIGMA, Cloud Deployment,Database Management &amp; Caching. Looking for a reliable Full Stack Developer. Strong communication, ownership, and willingness to collaborate in a remote environment. This is a fully remote, six-month internship open to candidates across India. The internship offers a monthly incentive of ₹6,000 to ₹8,000. Candidates should be self-motivated, organized, and comfortable managing tasks independently while staying connected with the wider team. Skills: JavaScript, Node.js, TypeScript, API Development (REST), SQL.</t>
        </is>
      </c>
      <c r="N286" t="n">
        <v>50</v>
      </c>
      <c r="O286" t="n">
        <v>60</v>
      </c>
      <c r="P286" t="n">
        <v>75</v>
      </c>
      <c r="Q286" t="n">
        <v>80</v>
      </c>
      <c r="R286" t="n">
        <v>10</v>
      </c>
      <c r="S286" t="n">
        <v>0</v>
      </c>
      <c r="T286" t="n">
        <v>40</v>
      </c>
      <c r="U286" t="inlineStr">
        <is>
          <t>SKIP</t>
        </is>
      </c>
      <c r="V286" t="inlineStr">
        <is>
          <t>SKIP</t>
        </is>
      </c>
      <c r="W286" t="inlineStr">
        <is>
          <t>TypeScript; Next.js; PostgreSQL; Redis; NextAuth.js; Cloud Deployment</t>
        </is>
      </c>
      <c r="X286" t="inlineStr">
        <is>
          <t>Standard Full Stack Resume</t>
        </is>
      </c>
      <c r="Y286" t="inlineStr">
        <is>
          <t>2026-10-06</t>
        </is>
      </c>
      <c r="Z286" t="inlineStr">
        <is>
          <t>Matches target Full Stack Developer Intern role; Fully remote work mode aligns with preferences</t>
        </is>
      </c>
      <c r="AA286" t="inlineStr">
        <is>
          <t>Eligible</t>
        </is>
      </c>
      <c r="AB286" t="inlineStr">
        <is>
          <t>Open to candidates across India; Matches target internship profile</t>
        </is>
      </c>
      <c r="AC286" t="inlineStr">
        <is>
          <t>Unknown</t>
        </is>
      </c>
      <c r="AD286" t="inlineStr">
        <is>
          <t>Specific joining timeline and availability constraints not stated in candidate profile.</t>
        </is>
      </c>
      <c r="AE286" t="inlineStr">
        <is>
          <t>Incentive-only</t>
        </is>
      </c>
      <c r="AF286" t="n">
        <v>0</v>
      </c>
      <c r="AG286" t="inlineStr">
        <is>
          <t>Yes</t>
        </is>
      </c>
      <c r="AH286" t="inlineStr">
        <is>
          <t>No</t>
        </is>
      </c>
      <c r="AI286" t="inlineStr">
        <is>
          <t>No mention of PPO or conversion to full-time employment in the job description.</t>
        </is>
      </c>
      <c r="AK286" t="inlineStr">
        <is>
          <t>Extremely low compensation (₹6,000 – ₹8,000/month incentive-only, which is far below the minimum stipend target of ₹25,000/month); No PPO mentioned</t>
        </is>
      </c>
      <c r="AL286" t="inlineStr">
        <is>
          <t>Node.js and Express backend architecture; Authentication, Authorization, and RBAC implementation; Database management with SQL; Remote work collaboration and task ownership</t>
        </is>
      </c>
    </row>
    <row r="287">
      <c r="A287" t="inlineStr">
        <is>
          <t>B2WORLD-261006-80</t>
        </is>
      </c>
      <c r="B287" t="inlineStr">
        <is>
          <t>B2World</t>
        </is>
      </c>
      <c r="C287" t="inlineStr">
        <is>
          <t>Full Stack Developer Internship</t>
        </is>
      </c>
      <c r="D287" t="inlineStr">
        <is>
          <t>https://unstop.com/internships/full-stack-developer-internship-b2world-1766752</t>
        </is>
      </c>
      <c r="E287" t="inlineStr">
        <is>
          <t>AI Analyzer</t>
        </is>
      </c>
      <c r="F287" t="inlineStr">
        <is>
          <t>India</t>
        </is>
      </c>
      <c r="G287" t="inlineStr">
        <is>
          <t>Unknown</t>
        </is>
      </c>
      <c r="H287" t="inlineStr">
        <is>
          <t>Unpaid</t>
        </is>
      </c>
      <c r="I287" t="inlineStr">
        <is>
          <t>Unknown</t>
        </is>
      </c>
      <c r="J287" t="inlineStr">
        <is>
          <t>Possible</t>
        </is>
      </c>
      <c r="K287" t="inlineStr">
        <is>
          <t>HTML; CSS; JavaScript; Bootstrap; React.js; Angular; Node.js; Express.js; SQL; MySQL; MongoDB; Git; GitHub; RESTful APIs</t>
        </is>
      </c>
      <c r="L287" t="inlineStr">
        <is>
          <t>AWS; Azure; Google Cloud; Agile</t>
        </is>
      </c>
      <c r="M287" t="inlineStr">
        <is>
          <t>B2World is hiring for the role of Full Stack Developer Intern! Responsibilities of the Intern: Develop and maintain web applications using modern frontend and backend technologies. Build responsive and user-friendly interfaces. Design, develop, and integrate REST APIs. Collaborate with team members on feature development and bug fixes. Work with databases and optimize queries for performance. Participate in application testing, debugging, and deployment activities. Follow coding standards and best practices. Contribute to product improvements and innovative solutions. Work closely with mentors and project leads to deliver project milestones. Requirements: Knowledge of HTML, CSS, JavaScript, and Bootstrap. Basic understanding of React.js, Angular, or similar frontend frameworks. Knowledge of Node.js, Express.js, ASP.NET Core, Java Spring Boot, or similar backend technologies. Understanding of SQL/MySQL or MongoDB databases. Familiarity with Git and GitHub. Basic understanding of RESTful APIs. Strong problem-solving and analytical skills. Good communication and teamwork abilities. Willingness to learn and adapt to new technologies. Experience working on academic, personal, or freelance projects is preferred. Understanding of cloud platforms such as AWS, Azure, or Google Cloud is preferred. Knowledge of deployment and hosting processes is preferred. Familiarity with Agile development methodologies is preferred. B.Tech/B.E., BCA, MCA, M.Tech, M.Sc. (CS/IT), or related technical backgrounds. Final-year students, recent graduates, and freshers are encouraged to apply. Candidates with internship or project experience will be preferred. Benefits: Hands-on experience with real-world development projects. Mentorship from experienced industry professionals. Exposure to modern development tools and frameworks. Opportunity to work in a collaborative startup environment. Performance-based Certificate of Completion. Potential Pre-Placement Offer (PPO) for outstanding performers. Skills: JavaScript, API Development (REST), React.js, Node.js, SQL.</t>
        </is>
      </c>
      <c r="N287" t="n">
        <v>73</v>
      </c>
      <c r="O287" t="n">
        <v>95</v>
      </c>
      <c r="P287" t="n">
        <v>90</v>
      </c>
      <c r="Q287" t="n">
        <v>90</v>
      </c>
      <c r="R287" t="n">
        <v>60</v>
      </c>
      <c r="S287" t="n">
        <v>0</v>
      </c>
      <c r="T287" t="n">
        <v>40</v>
      </c>
      <c r="U287" t="inlineStr">
        <is>
          <t>CONSIDER</t>
        </is>
      </c>
      <c r="V287" t="inlineStr">
        <is>
          <t>CONSIDER</t>
        </is>
      </c>
      <c r="X287" t="inlineStr">
        <is>
          <t>Amaanuddin_Ahmed_Resume_Full_Stack.pdf</t>
        </is>
      </c>
      <c r="Y287" t="inlineStr">
        <is>
          <t>2026-10-06</t>
        </is>
      </c>
      <c r="Z287" t="inlineStr">
        <is>
          <t>Strong technical alignment with required MERN and Angular stack.; Provides hands-on experience and a potential PPO for top performers.</t>
        </is>
      </c>
      <c r="AA287" t="inlineStr">
        <is>
          <t>Eligible</t>
        </is>
      </c>
      <c r="AB287" t="inlineStr">
        <is>
          <t>MCA background is explicitly accepted.; Required technical skills match candidate profile.</t>
        </is>
      </c>
      <c r="AC287" t="inlineStr">
        <is>
          <t>Available</t>
        </is>
      </c>
      <c r="AD287" t="inlineStr">
        <is>
          <t>Candidate is pursuing MCA (2025-2027) and seeking internships.</t>
        </is>
      </c>
      <c r="AE287" t="inlineStr">
        <is>
          <t>Unpaid</t>
        </is>
      </c>
      <c r="AF287" t="n">
        <v>0</v>
      </c>
      <c r="AG287" t="inlineStr">
        <is>
          <t>No</t>
        </is>
      </c>
      <c r="AH287" t="inlineStr">
        <is>
          <t>Possible</t>
        </is>
      </c>
      <c r="AI287" t="inlineStr">
        <is>
          <t>Potential Pre-Placement Offer (PPO) for outstanding performers.</t>
        </is>
      </c>
      <c r="AK287" t="inlineStr">
        <is>
          <t>Unpaid internship below minimum stipend target of ₹25,000/month.</t>
        </is>
      </c>
      <c r="AL287" t="inlineStr">
        <is>
          <t>Full stack architecture with Angular and Node.js; REST API design and database query optimization; Git workflow and version control best practices</t>
        </is>
      </c>
    </row>
    <row r="288">
      <c r="A288" t="inlineStr">
        <is>
          <t>CODEATRIX-261006-81</t>
        </is>
      </c>
      <c r="B288" t="inlineStr">
        <is>
          <t>Codeatrix</t>
        </is>
      </c>
      <c r="C288" t="inlineStr">
        <is>
          <t>Full Stack Development Internship</t>
        </is>
      </c>
      <c r="D288" t="inlineStr">
        <is>
          <t>https://unstop.com/internships/full-stack-development-internship-codeatrix-1765442</t>
        </is>
      </c>
      <c r="E288" t="inlineStr">
        <is>
          <t>AI Analyzer</t>
        </is>
      </c>
      <c r="F288" t="inlineStr">
        <is>
          <t>Remote</t>
        </is>
      </c>
      <c r="G288" t="inlineStr">
        <is>
          <t>Remote</t>
        </is>
      </c>
      <c r="H288" t="inlineStr">
        <is>
          <t>₹5,000 – ₹15,000/month</t>
        </is>
      </c>
      <c r="I288" t="inlineStr">
        <is>
          <t>2 months</t>
        </is>
      </c>
      <c r="J288" t="inlineStr">
        <is>
          <t>Not Mentioned</t>
        </is>
      </c>
      <c r="K288" t="inlineStr">
        <is>
          <t>JavaScript; HTML; CSS; API Development (REST); Database Management Systems (DBMS)</t>
        </is>
      </c>
      <c r="M288" t="inlineStr">
        <is>
          <t>Codeatrix is hiring for Full Stack Web Development Intern! About the Company : Codeatrix is building technology solutions and offers an environment where aspiring developers can gain practical exposure to modern web development. This internship is designed for candidates who want to understand how complete web applications are planned, built, tested, and improved in a collaborative setting. Responsibilities : Support the development of responsive web interfaces and application features across the front end and back end. Write readable, maintainable code and assist with integrating APIs, databases, and third-party services. Participate in debugging, testing, code reviews, documentation, and technical discussions. Work with mentors and team members to understand requirements and deliver assigned tasks on time. Stay familiar with current full-stack development practices and contribute ideas for improving application usability and performance. Requirements: Interest in full-stack web development and a willingness to learn through hands-on assignments. Basic understanding of web technologies, programming fundamentals, client-server communication, and databases. Strong problem-solving ability, attention to detail, and clear communication. Experience: not specified; applicants with relevant academic, personal, or portfolio projects are welcome. Industry: Information Technology and Web Development. This is a remote internship lasting 2 months, with a monthly stipend ranging from ₹5,000 to ₹15,000. Skills: JavaScript, HTML, CSS, API Development (REST), Database Management Systems (DBMS).</t>
        </is>
      </c>
      <c r="N288" t="n">
        <v>75</v>
      </c>
      <c r="O288" t="n">
        <v>95</v>
      </c>
      <c r="P288" t="n">
        <v>90</v>
      </c>
      <c r="Q288" t="n">
        <v>90</v>
      </c>
      <c r="R288" t="n">
        <v>40</v>
      </c>
      <c r="S288" t="n">
        <v>40</v>
      </c>
      <c r="T288" t="n">
        <v>50</v>
      </c>
      <c r="U288" t="inlineStr">
        <is>
          <t>CONSIDER</t>
        </is>
      </c>
      <c r="V288" t="inlineStr">
        <is>
          <t>CONSIDER</t>
        </is>
      </c>
      <c r="X288" t="inlineStr">
        <is>
          <t>Default Full Stack / MERN Resume</t>
        </is>
      </c>
      <c r="Y288" t="inlineStr">
        <is>
          <t>2026-10-06</t>
        </is>
      </c>
      <c r="Z288" t="inlineStr">
        <is>
          <t>Strong technical and experience fit with demonstrated skills in JavaScript, HTML, CSS, and database management; Remote work mode aligns well with preferences</t>
        </is>
      </c>
      <c r="AA288" t="inlineStr">
        <is>
          <t>Eligible</t>
        </is>
      </c>
      <c r="AB288" t="inlineStr">
        <is>
          <t>Meets general qualification and skills criteria</t>
        </is>
      </c>
      <c r="AC288" t="inlineStr">
        <is>
          <t>Unknown</t>
        </is>
      </c>
      <c r="AD288" t="inlineStr">
        <is>
          <t>Availability constraints not specified in candidate profile</t>
        </is>
      </c>
      <c r="AE288" t="inlineStr">
        <is>
          <t>Below Target</t>
        </is>
      </c>
      <c r="AF288" t="n">
        <v>5000</v>
      </c>
      <c r="AG288" t="inlineStr">
        <is>
          <t>No</t>
        </is>
      </c>
      <c r="AH288" t="inlineStr">
        <is>
          <t>Not Mentioned</t>
        </is>
      </c>
      <c r="AI288" t="inlineStr">
        <is>
          <t>No mention of conversion or PPO in the job description</t>
        </is>
      </c>
      <c r="AK288" t="inlineStr">
        <is>
          <t>Stipend is below the minimum target of ₹25,000/month; Short duration (2 months)</t>
        </is>
      </c>
      <c r="AL288" t="inlineStr">
        <is>
          <t>JavaScript fundamentals; REST API integration; Database management and queries; Previous full-stack project walkthrough</t>
        </is>
      </c>
    </row>
    <row r="289">
      <c r="A289" t="inlineStr">
        <is>
          <t>CORNIXE-EDUT-261006-82</t>
        </is>
      </c>
      <c r="B289" t="inlineStr">
        <is>
          <t>Cornixe Edutech Pvt. Ltd.</t>
        </is>
      </c>
      <c r="C289" t="inlineStr">
        <is>
          <t>Full Stack Data Scientist Internship</t>
        </is>
      </c>
      <c r="D289" t="inlineStr">
        <is>
          <t>https://unstop.com/internships/full-stack-data-scientist-cornixe-edutech-pvt-ltd-1762044</t>
        </is>
      </c>
      <c r="E289" t="inlineStr">
        <is>
          <t>AI Analyzer</t>
        </is>
      </c>
      <c r="F289" t="inlineStr">
        <is>
          <t>Perungudi</t>
        </is>
      </c>
      <c r="G289" t="inlineStr">
        <is>
          <t>On-site</t>
        </is>
      </c>
      <c r="H289" t="inlineStr">
        <is>
          <t>Unpaid</t>
        </is>
      </c>
      <c r="I289" t="inlineStr">
        <is>
          <t>Not specified</t>
        </is>
      </c>
      <c r="J289" t="inlineStr">
        <is>
          <t>No</t>
        </is>
      </c>
      <c r="K289" t="inlineStr">
        <is>
          <t>Data Collection; Data Cleaning; Data Wrangling; Exploratory Data Analysis (EDA); Data Transformation</t>
        </is>
      </c>
      <c r="M289" t="inlineStr">
        <is>
          <t>Cornixe Edutech Pvt. Ltd. is actively hiring for the role of Full Stack Data Scientist! About the Organization: Cornixe Edutech Pvt. Ltd. is offering an opportunity for candidates interested in exploring the intersection of data science, software development, and education technology. While specific organizational background, industry focus, mission, and workplace culture details were not provided, this internship is designed around a full-stack data science role, allowing the selected intern to contribute across data-driven workflows and application development in an educational technology environment. Roles and Responsibilities: Assist in developing end-to-end data science solutions from data collection and preparation to analysis and delivery. Support the creation, testing, and refinement of data-driven applications and analytical workflows. Clean, organize, and transform datasets to improve their usability for analysis and project development. Conduct exploratory analysis to identify patterns, trends, and insights relevant to assigned projects. Collaborate with team members to understand project objectives and translate them into practical data solutions. Help evaluate the performance and reliability of data models, workflows, and application features. Investigate issues in data processing or application behavior and assist in implementing suitable solutions. Research relevant approaches, tools, and techniques to support continuous improvement of project outcomes. Maintain clear documentation of project activities, findings, processes, and completed deliverables. Present updates and communicate progress, observations, and results to relevant stakeholders. Skills: Data Collection, Data Cleaning, Data Wrangling, Exploratory Data Analysis (EDA), Data Transformation.</t>
        </is>
      </c>
      <c r="N289" t="n">
        <v>18</v>
      </c>
      <c r="O289" t="n">
        <v>20</v>
      </c>
      <c r="P289" t="n">
        <v>25</v>
      </c>
      <c r="Q289" t="n">
        <v>30</v>
      </c>
      <c r="R289" t="n">
        <v>0</v>
      </c>
      <c r="S289" t="n">
        <v>0</v>
      </c>
      <c r="T289" t="n">
        <v>30</v>
      </c>
      <c r="U289" t="inlineStr">
        <is>
          <t>SKIP</t>
        </is>
      </c>
      <c r="V289" t="inlineStr">
        <is>
          <t>SKIP</t>
        </is>
      </c>
      <c r="W289" t="inlineStr">
        <is>
          <t>Data Collection; Data Cleaning; Data Wrangling; Exploratory Data Analysis (EDA); Data Transformation</t>
        </is>
      </c>
      <c r="X289" t="inlineStr">
        <is>
          <t>Amaanuddin_Ahmed_Resume.pdf</t>
        </is>
      </c>
      <c r="Y289" t="inlineStr">
        <is>
          <t>2026-10-06</t>
        </is>
      </c>
      <c r="AA289" t="inlineStr">
        <is>
          <t>eligible</t>
        </is>
      </c>
      <c r="AB289" t="inlineStr">
        <is>
          <t>No strict hard blockers like degree or graduation year constraints explicitly mentioned in the description.</t>
        </is>
      </c>
      <c r="AC289" t="inlineStr">
        <is>
          <t>unknown</t>
        </is>
      </c>
      <c r="AD289" t="inlineStr">
        <is>
          <t>Availability dates not provided in the career brain relative to this specific listing.</t>
        </is>
      </c>
      <c r="AE289" t="inlineStr">
        <is>
          <t>Unpaid</t>
        </is>
      </c>
      <c r="AF289" t="n">
        <v>0</v>
      </c>
      <c r="AG289" t="inlineStr">
        <is>
          <t>No</t>
        </is>
      </c>
      <c r="AH289" t="inlineStr">
        <is>
          <t>No</t>
        </is>
      </c>
      <c r="AI289" t="inlineStr">
        <is>
          <t>No mention of PPO or conversion in the job description.</t>
        </is>
      </c>
      <c r="AK289" t="inlineStr">
        <is>
          <t>Unpaid internship; Mismatch with candidate core profile (Software/Full-Stack Web Development vs. Data Science)</t>
        </is>
      </c>
      <c r="AL289" t="inlineStr">
        <is>
          <t>Exploratory Data Analysis techniques; Data cleaning and wrangling workflows; Python or R for data science</t>
        </is>
      </c>
    </row>
    <row r="290">
      <c r="A290" t="inlineStr">
        <is>
          <t>FINDCOLLAB-261006-83</t>
        </is>
      </c>
      <c r="B290" t="inlineStr">
        <is>
          <t>Findcollab</t>
        </is>
      </c>
      <c r="C290" t="inlineStr">
        <is>
          <t>Full Stack PHP Developer Internship</t>
        </is>
      </c>
      <c r="D290" t="inlineStr">
        <is>
          <t>https://unstop.com/internships/full-stack-php-developer-internship-findcollab-1754047</t>
        </is>
      </c>
      <c r="E290" t="inlineStr">
        <is>
          <t>AI Analyzer</t>
        </is>
      </c>
      <c r="F290" t="inlineStr">
        <is>
          <t>Remote</t>
        </is>
      </c>
      <c r="G290" t="inlineStr">
        <is>
          <t>Remote</t>
        </is>
      </c>
      <c r="H290" t="inlineStr">
        <is>
          <t>₹5,000/month</t>
        </is>
      </c>
      <c r="I290" t="inlineStr">
        <is>
          <t>Not specified</t>
        </is>
      </c>
      <c r="J290" t="inlineStr">
        <is>
          <t>Not mentioned</t>
        </is>
      </c>
      <c r="K290" t="inlineStr">
        <is>
          <t>PHP; Full-stack development; JavaScript; CSS; UI/UX Design</t>
        </is>
      </c>
      <c r="L290" t="inlineStr">
        <is>
          <t>AI coding tools (Claude)</t>
        </is>
      </c>
      <c r="M290" t="inlineStr">
        <is>
          <t>Findcollab is hiring a Full Stack PHP Developer Intern! Responsibilities Develop, test, and maintain web applications using PHP and modern full-stack web technologies. Leverage AI coding tools like Claude extensively to enhance development workflows, code generation, and rapid prototyping. Collaborate closely with cross-functional teams to translate design concepts and requirements into responsive, high-quality user interfaces. Assist in troubleshooting, debugging, and optimizing front-end and back-end application performance. Ensure clean, maintainable, and well-documented code across all application modules. Requirements Open to freshers with a strong foundation in PHP and full-stack development principles. Familiarity with or enthusiasm for using AI coding tools (especially Claude) to streamline coding and design. Good eye for design, responsive UI/UX principles, and attention to detail. Eagerness to learn, adapt quickly, and contribute effectively in a remote work setup. Excellent communication and problem-solving skills. Skills: JavaScript, Backend development, CSS, PHP, UI/UX Design.</t>
        </is>
      </c>
      <c r="N290" t="n">
        <v>41</v>
      </c>
      <c r="O290" t="n">
        <v>50</v>
      </c>
      <c r="P290" t="n">
        <v>60</v>
      </c>
      <c r="Q290" t="n">
        <v>60</v>
      </c>
      <c r="R290" t="n">
        <v>0</v>
      </c>
      <c r="S290" t="n">
        <v>10</v>
      </c>
      <c r="T290" t="n">
        <v>40</v>
      </c>
      <c r="U290" t="inlineStr">
        <is>
          <t>SKIP</t>
        </is>
      </c>
      <c r="V290" t="inlineStr">
        <is>
          <t>SKIP</t>
        </is>
      </c>
      <c r="W290" t="inlineStr">
        <is>
          <t>PHP</t>
        </is>
      </c>
      <c r="X290" t="inlineStr">
        <is>
          <t>Amaanuddin_Ahmed_Resume.pdf</t>
        </is>
      </c>
      <c r="Y290" t="inlineStr">
        <is>
          <t>2026-10-06</t>
        </is>
      </c>
      <c r="Z290" t="inlineStr">
        <is>
          <t>Remote work setup matches preferences.</t>
        </is>
      </c>
      <c r="AA290" t="inlineStr">
        <is>
          <t>Eligible</t>
        </is>
      </c>
      <c r="AB290" t="inlineStr">
        <is>
          <t>Open to freshers and students, matches candidate profile.</t>
        </is>
      </c>
      <c r="AC290" t="inlineStr">
        <is>
          <t>Unknown</t>
        </is>
      </c>
      <c r="AD290" t="inlineStr">
        <is>
          <t>Exact joining availability dates are not specified in the profile.</t>
        </is>
      </c>
      <c r="AE290" t="inlineStr">
        <is>
          <t>Below target</t>
        </is>
      </c>
      <c r="AF290" t="n">
        <v>5000</v>
      </c>
      <c r="AG290" t="inlineStr">
        <is>
          <t>No</t>
        </is>
      </c>
      <c r="AH290" t="inlineStr">
        <is>
          <t>Not mentioned</t>
        </is>
      </c>
      <c r="AI290" t="inlineStr">
        <is>
          <t>No conversion or PPO details provided in the job description.</t>
        </is>
      </c>
      <c r="AK290" t="inlineStr">
        <is>
          <t>Stipend of ₹5,000/month is significantly below the minimum target of ₹25,000/month.; Role requires PHP which is only in working knowledge and not demonstrated in a major project or job.</t>
        </is>
      </c>
      <c r="AL290" t="inlineStr">
        <is>
          <t>PHP core concepts and frameworks; Full-stack web application development workflows; Experience using AI coding assistants like Claude</t>
        </is>
      </c>
    </row>
    <row r="291">
      <c r="A291" t="inlineStr">
        <is>
          <t>EVOC-LABS-261006-84</t>
        </is>
      </c>
      <c r="B291" t="inlineStr">
        <is>
          <t>Evoc Labs</t>
        </is>
      </c>
      <c r="C291" t="inlineStr">
        <is>
          <t>Full Stack Developer Internship - Backend Focus</t>
        </is>
      </c>
      <c r="D291" t="inlineStr">
        <is>
          <t>https://unstop.com/internships/full-stack-developer-internship-backend-focus-evoc-labs-1765964</t>
        </is>
      </c>
      <c r="E291" t="inlineStr">
        <is>
          <t>AI Analyzer</t>
        </is>
      </c>
      <c r="F291" t="inlineStr">
        <is>
          <t>Remote</t>
        </is>
      </c>
      <c r="G291" t="inlineStr">
        <is>
          <t>Remote</t>
        </is>
      </c>
      <c r="H291" t="inlineStr">
        <is>
          <t>Unpaid</t>
        </is>
      </c>
      <c r="I291" t="inlineStr">
        <is>
          <t>3 months</t>
        </is>
      </c>
      <c r="J291" t="inlineStr">
        <is>
          <t>low</t>
        </is>
      </c>
      <c r="K291" t="inlineStr">
        <is>
          <t>Node.js; Express.js; JavaScript; MongoDB; REST APIs</t>
        </is>
      </c>
      <c r="L291" t="inlineStr">
        <is>
          <t>Prisma ORM; Redis; TypeScript; Docker</t>
        </is>
      </c>
      <c r="M291" t="inlineStr">
        <is>
          <t>About the Company Evoc Labs builds technology for the eCommerce and direct-to-consumer ecosystem, bringing together commerce infrastructure, logistics, analytics, automation, and growth tools. The team is creating practical products that help brands operate and scale efficiently. This remote internship offers motivated developers the chance to contribute to real-world, production-oriented software while learning from a product-focused engineering team. Responsibilities Develop and maintain backend APIs and services using Node.js and Express.js. Design and optimize MongoDB data structures with Prisma ORM. Apply Redis for caching, session management, and performance improvements. Build RESTful integrations with third-party services and collaborate with frontend developers on end-to-end features. Debug reliability and performance issues, write clean modular code, and contribute to testing, code reviews, technical discussions, and development planning. Support improvements to backend architecture, workflows, and product performance. Requirements Strong JavaScript fundamentals with an interest in full-stack development and backend engineering. Good working knowledge of Node.js, Express.js, REST APIs, and asynchronous programming. Basic to intermediate understanding of MongoDB, database design, authentication, authorization, and JWT or OAuth concepts. Familiarity with Prisma ORM, Git, and GitHub; Redis knowledge is preferred. Strong debugging and problem-solving ability, along with the capacity to learn quickly and work independently in a remote environment. Exposure to TypeScript, API integrations, Docker, cloud deployment, microservices, or eCommerce, logistics, payment, or SaaS APIs is an advantage. During this three-month, unpaid internship, interns will gain hands-on experience with production software, scalable APIs, databases, caching, integrations, and collaborative engineering practices. The role follows a Monday-to-Saturday working schedule. A completion certificate and letter of recommendation may be provided based on contribution and performance. Strong performers may be considered for a future paid or full-time opportunity subject to business requirements. Skills: Node.js, Express.js, JavaScript, MongoDB, API Development (REST).</t>
        </is>
      </c>
      <c r="N291" t="n">
        <v>67</v>
      </c>
      <c r="O291" t="n">
        <v>85</v>
      </c>
      <c r="P291" t="n">
        <v>90</v>
      </c>
      <c r="Q291" t="n">
        <v>85</v>
      </c>
      <c r="R291" t="n">
        <v>40</v>
      </c>
      <c r="S291" t="n">
        <v>0</v>
      </c>
      <c r="T291" t="n">
        <v>50</v>
      </c>
      <c r="U291" t="inlineStr">
        <is>
          <t>STRETCH</t>
        </is>
      </c>
      <c r="V291" t="inlineStr">
        <is>
          <t>STRETCH</t>
        </is>
      </c>
      <c r="W291" t="inlineStr">
        <is>
          <t>Prisma ORM; Redis; TypeScript</t>
        </is>
      </c>
      <c r="X291" t="inlineStr">
        <is>
          <t>Amaanuddin_Ahmed_Resume.pdf</t>
        </is>
      </c>
      <c r="Y291" t="inlineStr">
        <is>
          <t>2026-10-06</t>
        </is>
      </c>
      <c r="Z291" t="inlineStr">
        <is>
          <t>Good technical match for Node.js, Express, and MongoDB backend focus.; Remote opportunity offering practical backend experience.</t>
        </is>
      </c>
      <c r="AA291" t="inlineStr">
        <is>
          <t>eligible</t>
        </is>
      </c>
      <c r="AB291" t="inlineStr">
        <is>
          <t>Meets the tech stack requirements for Node.js and Express.js; Remote work mode aligns with candidate preferences</t>
        </is>
      </c>
      <c r="AC291" t="inlineStr">
        <is>
          <t>unknown</t>
        </is>
      </c>
      <c r="AD291" t="inlineStr">
        <is>
          <t>Exact start and availability dates are not explicitly detailed in the candidate profile relative to the job start date.</t>
        </is>
      </c>
      <c r="AE291" t="inlineStr">
        <is>
          <t>unpaid</t>
        </is>
      </c>
      <c r="AF291" t="n">
        <v>0</v>
      </c>
      <c r="AG291" t="inlineStr">
        <is>
          <t>No</t>
        </is>
      </c>
      <c r="AH291" t="inlineStr">
        <is>
          <t>low</t>
        </is>
      </c>
      <c r="AI291" t="inlineStr">
        <is>
          <t>Strong performers may be considered for a future paid or full-time opportunity subject to business requirements.</t>
        </is>
      </c>
      <c r="AK291" t="inlineStr">
        <is>
          <t>Unpaid internship below minimum stipend target of ₹25,000/month; Monday-to-Saturday working schedule</t>
        </is>
      </c>
      <c r="AL291" t="inlineStr">
        <is>
          <t>Node.js event loop and asynchronous programming; MongoDB indexing and data modeling; RESTful API design best practices; Caching strategies with Redis</t>
        </is>
      </c>
    </row>
    <row r="292">
      <c r="A292" t="inlineStr">
        <is>
          <t>INTELLEQACAD-261006-85</t>
        </is>
      </c>
      <c r="B292" t="inlineStr">
        <is>
          <t>IntelleQAcademy</t>
        </is>
      </c>
      <c r="C292" t="inlineStr">
        <is>
          <t>Web Development Internship</t>
        </is>
      </c>
      <c r="D292" t="inlineStr">
        <is>
          <t>https://unstop.com/internships/web-development-internship-intelleqacademy-1751509</t>
        </is>
      </c>
      <c r="E292" t="inlineStr">
        <is>
          <t>AI Analyzer</t>
        </is>
      </c>
      <c r="F292" t="inlineStr">
        <is>
          <t>Remote</t>
        </is>
      </c>
      <c r="G292" t="inlineStr">
        <is>
          <t>Remote</t>
        </is>
      </c>
      <c r="H292" t="inlineStr">
        <is>
          <t>₹10,000 – ₹20,000/month</t>
        </is>
      </c>
      <c r="I292" t="inlineStr">
        <is>
          <t>Not specified</t>
        </is>
      </c>
      <c r="J292" t="inlineStr">
        <is>
          <t>not mentioned</t>
        </is>
      </c>
      <c r="K292" t="inlineStr">
        <is>
          <t>Debugging; Web Development</t>
        </is>
      </c>
      <c r="L292" t="inlineStr">
        <is>
          <t>Frontend Technologies; Backend Fundamentals; Databases; APIs</t>
        </is>
      </c>
      <c r="M292" t="inlineStr">
        <is>
          <t>About the Company IntelleQAcademy is inviting applications for Web Development Interns who are passionate about creating modern, responsive, and user-friendly web experiences. As a corporate learning and workforce development organization, IntelleQAcademy helps aspiring professionals develop industry-relevant skills through practical training, project-based learning, and real-world exposure. Our collaborative remote environment encourages interns to learn, experiment, and contribute to meaningful projects. As a Web Development Intern , you will gain hands-on experience in website development, responsive design, front-end technologies, back-end fundamentals, databases, APIs, debugging, and web development best practices. You will work on practical assignments and projects that strengthen your coding abilities and understanding of the web development lifecycle. This internship is an excellent opportunity to build a strong portfolio, enhance your technical skills, collaborate with a remote team, and prepare for a career in web development and software engineering . Responsibilities Assist in the design, development, and maintenance of web applications. Write clean, well-documented, and efficient code. Collaborate with senior developers to understand project requirements and contribute to technical solutions. Participate in code reviews and contribute to a high-quality codebase. Debug and troubleshoot issues across various web platforms. Stay updated with emerging web technologies and industry trends. Requirements We are seeking candidates ranging from freshers to experienced professionals in the tech domain. Ideal candidates will have a strong passion for web development and a desire to learn and grow. While specific years of experience are not mandatory, a foundational understanding of web technologies and programming principles is essential. Skills: Debugging.</t>
        </is>
      </c>
      <c r="N292" t="n">
        <v>68</v>
      </c>
      <c r="O292" t="n">
        <v>85</v>
      </c>
      <c r="P292" t="n">
        <v>90</v>
      </c>
      <c r="Q292" t="n">
        <v>80</v>
      </c>
      <c r="R292" t="n">
        <v>20</v>
      </c>
      <c r="S292" t="n">
        <v>40</v>
      </c>
      <c r="T292" t="n">
        <v>50</v>
      </c>
      <c r="U292" t="inlineStr">
        <is>
          <t>STRETCH</t>
        </is>
      </c>
      <c r="V292" t="inlineStr">
        <is>
          <t>STRETCH</t>
        </is>
      </c>
      <c r="X292" t="inlineStr">
        <is>
          <t>Amaanuddin_Ahmed_Resume_FullStack.pdf</t>
        </is>
      </c>
      <c r="Y292" t="inlineStr">
        <is>
          <t>2026-10-06</t>
        </is>
      </c>
      <c r="Z292" t="inlineStr">
        <is>
          <t>Remote work mode matches candidate preferences; Strong technical alignment with candidate's full stack experience</t>
        </is>
      </c>
      <c r="AA292" t="inlineStr">
        <is>
          <t>eligible</t>
        </is>
      </c>
      <c r="AB292" t="inlineStr">
        <is>
          <t>Open to freshers and experienced professionals in the tech domain; No strict experience or graduation year blockers mentioned</t>
        </is>
      </c>
      <c r="AC292" t="inlineStr">
        <is>
          <t>unknown</t>
        </is>
      </c>
      <c r="AD292" t="inlineStr">
        <is>
          <t>Availability dates not specified in profile</t>
        </is>
      </c>
      <c r="AE292" t="inlineStr">
        <is>
          <t>partial</t>
        </is>
      </c>
      <c r="AF292" t="n">
        <v>10000</v>
      </c>
      <c r="AG292" t="inlineStr">
        <is>
          <t>No</t>
        </is>
      </c>
      <c r="AH292" t="inlineStr">
        <is>
          <t>not mentioned</t>
        </is>
      </c>
      <c r="AI292" t="inlineStr">
        <is>
          <t>No mention of a Pre-Placement Offer (PPO) or conversion in the job description</t>
        </is>
      </c>
      <c r="AK292" t="inlineStr">
        <is>
          <t>Stipend is below the candidate's minimum target of ₹25,000/month; PPO not mentioned</t>
        </is>
      </c>
      <c r="AL292" t="inlineStr">
        <is>
          <t>Web development fundamentals; Debugging techniques and problem solving; API integration and database basics</t>
        </is>
      </c>
    </row>
    <row r="293">
      <c r="A293" t="inlineStr">
        <is>
          <t>PRAGYAN-TECH-261006-86</t>
        </is>
      </c>
      <c r="B293" t="inlineStr">
        <is>
          <t>Pragyan Technologies Pvt. Ltd.</t>
        </is>
      </c>
      <c r="C293" t="inlineStr">
        <is>
          <t>Web Development Intern</t>
        </is>
      </c>
      <c r="D293" t="inlineStr">
        <is>
          <t>https://unstop.com/internships/web-development-internship-pragyan-technologies-pvt-ltd-1764929</t>
        </is>
      </c>
      <c r="E293" t="inlineStr">
        <is>
          <t>AI Analyzer</t>
        </is>
      </c>
      <c r="F293" t="inlineStr">
        <is>
          <t>Noida</t>
        </is>
      </c>
      <c r="G293" t="inlineStr">
        <is>
          <t>On-site</t>
        </is>
      </c>
      <c r="H293" t="inlineStr">
        <is>
          <t>₹5,000/month</t>
        </is>
      </c>
      <c r="I293" t="inlineStr">
        <is>
          <t>6 months</t>
        </is>
      </c>
      <c r="J293" t="inlineStr">
        <is>
          <t>NONE</t>
        </is>
      </c>
      <c r="K293" t="inlineStr">
        <is>
          <t>React.js; Next.js; Git; GitHub; GitHub APIs; PostgreSQL</t>
        </is>
      </c>
      <c r="M293" t="inlineStr">
        <is>
          <t>Pragyan Technologies Pvt. Ltd. is hiring for Web Development Intern About the Company Pragyan Technologies Pvt. Ltd. is seeking a motivated Web Development Intern to gain practical experience by contributing to modern web application development in a collaborative technology environment. This six-month internship offers hands-on exposure to frontend development, backend integrations, version control, APIs, and relational databases. The internship is based at the company’s office in Sector 2, Noida. Responsibilities Build, enhance, and maintain responsive web interfaces using React and Next.js. Work with Git and GitHub for source control, branching, pull requests, and collaborative development. Explore and integrate GitHub APIs and other application programming interfaces as required. Assist with database design, queries, data handling, and application integration using PostgreSQL. Participate in debugging, testing, code reviews, documentation, and technical discussions. Follow development best practices and contribute to improving the reliability and usability of web applications. Requirements Strong interest in web development and willingness to learn through practical project work. Working knowledge of React, Next.js, Git, GitHub, GitHub APIs, databases, and PostgreSQL. Understanding of frontend development concepts, web application workflows, and basic software development practices. Ability to communicate clearly, collaborate with a team, and manage assigned tasks responsibly. This is a six-month, paid internship based in Sector 2, Noida, with a monthly stipend of ₹5,000. Skills: React.js, Git Version Control, API Integration, PostgreSQL Administration, JavaScript.</t>
        </is>
      </c>
      <c r="N293" t="n">
        <v>48</v>
      </c>
      <c r="O293" t="n">
        <v>55</v>
      </c>
      <c r="P293" t="n">
        <v>70</v>
      </c>
      <c r="Q293" t="n">
        <v>70</v>
      </c>
      <c r="R293" t="n">
        <v>10</v>
      </c>
      <c r="S293" t="n">
        <v>10</v>
      </c>
      <c r="T293" t="n">
        <v>40</v>
      </c>
      <c r="U293" t="inlineStr">
        <is>
          <t>SKIP</t>
        </is>
      </c>
      <c r="V293" t="inlineStr">
        <is>
          <t>SKIP</t>
        </is>
      </c>
      <c r="W293" t="inlineStr">
        <is>
          <t>Next.js; GitHub APIs; PostgreSQL</t>
        </is>
      </c>
      <c r="X293" t="inlineStr">
        <is>
          <t>Amaanuddin_Ahmed_Resume_MERN</t>
        </is>
      </c>
      <c r="Y293" t="inlineStr">
        <is>
          <t>2026-10-06</t>
        </is>
      </c>
      <c r="Z293" t="inlineStr">
        <is>
          <t>Provides hands-on experience in modern web development stacks.</t>
        </is>
      </c>
      <c r="AA293" t="inlineStr">
        <is>
          <t>ELIGIBLE</t>
        </is>
      </c>
      <c r="AB293" t="inlineStr">
        <is>
          <t>Meets general internship criteria with no explicit degree or graduation-year blockers.</t>
        </is>
      </c>
      <c r="AC293" t="inlineStr">
        <is>
          <t>UNKNOWN</t>
        </is>
      </c>
      <c r="AD293" t="inlineStr">
        <is>
          <t>Specific start date availability not explicitly declared against the six-month requirement.</t>
        </is>
      </c>
      <c r="AE293" t="inlineStr">
        <is>
          <t>DISCLOSED</t>
        </is>
      </c>
      <c r="AF293" t="n">
        <v>5000</v>
      </c>
      <c r="AG293" t="inlineStr">
        <is>
          <t>No</t>
        </is>
      </c>
      <c r="AH293" t="inlineStr">
        <is>
          <t>NONE</t>
        </is>
      </c>
      <c r="AI293" t="inlineStr">
        <is>
          <t>No mention of a Pre-Placement Offer or permanent conversion in the job description.</t>
        </is>
      </c>
      <c r="AK293" t="inlineStr">
        <is>
          <t>Stipend of ₹5,000/month is significantly below the minimum target of ₹25,000/month.; On-site requirement in Noida conflicts with the preferred location of Bengaluru.</t>
        </is>
      </c>
      <c r="AL293" t="inlineStr">
        <is>
          <t>React and Next.js rendering strategies; PostgreSQL query optimization and database design; Git workflow and GitHub API integration</t>
        </is>
      </c>
    </row>
    <row r="294">
      <c r="A294" t="inlineStr">
        <is>
          <t>VXR-HOLDINGS-261006-87</t>
        </is>
      </c>
      <c r="B294" t="inlineStr">
        <is>
          <t>vXr Holdings</t>
        </is>
      </c>
      <c r="C294" t="inlineStr">
        <is>
          <t>Web Development Intern</t>
        </is>
      </c>
      <c r="D294" t="inlineStr">
        <is>
          <t>https://unstop.com/internships/web-development-internship-real-world-projects-vxr-holdings-1761944</t>
        </is>
      </c>
      <c r="E294" t="inlineStr">
        <is>
          <t>AI Analyzer</t>
        </is>
      </c>
      <c r="F294" t="inlineStr">
        <is>
          <t>Remote</t>
        </is>
      </c>
      <c r="G294" t="inlineStr">
        <is>
          <t>Remote</t>
        </is>
      </c>
      <c r="H294" t="inlineStr">
        <is>
          <t>Unpaid</t>
        </is>
      </c>
      <c r="I294" t="inlineStr">
        <is>
          <t>Not specified</t>
        </is>
      </c>
      <c r="J294" t="inlineStr">
        <is>
          <t>No</t>
        </is>
      </c>
      <c r="K294" t="inlineStr">
        <is>
          <t>HTML; CSS; JavaScript; Backend development; API Development (REST); React.js; Node.js; MongoDB; Git Version Control; Problem Solving</t>
        </is>
      </c>
      <c r="M294" t="inlineStr">
        <is>
          <t>vXr Holdingsis actively hiring for the role of Web Development Intern! About our Company: vXr Holdings is a premier tech solutions firm fully verified and registered under the MSME (Ministry of Micro, Small, and Medium Enterprises), Government of India . Trusted by multiple established companies and brands, we bridge the gap between cutting-edge technology and impactful business solutions. We are committed to building authentic, high-quality digital experiences while nurturing the next generation of tech leaders through transparent, practical, and highly rewarding hands-on training. Why Join VXR Holdings? (No Fluff, 100% Real World): Tired of dummy projects and certificate factories? At vXr Holdings, we do things differently. This is a 100% genuine, fraud-free internship where you will work directly on active, live projects for real-world clients . The Ultimate Perk: Top performers from this cohort will win a fully free, exclusive 1-on-1 mentorship session with an IT Industry Veteran boasting 10+ years of core experience . Learn the industry secrets, get your resume reviewed, and map out your tech career with someone who has done it all! The Process: If you clear our interview process, you will immediately be assigned to a real-world client project. This internship is an excellent opportunity to build a strong portfolio, enhance your technical skills, collaborate with a remote team, and prepare for a career in web development and software engineering . Roles &amp; Responsibilities: Full-Stack Engineering: Build, optimize, and maintain responsive frontend interfaces and robust backend architectures. API Architecture: Design, develop, and integrate secure RESTful APIs and handle complex data fetching. Database Management: Structure and optimize database queries to ensure maximum application speed and scalability. Live Deployment: Collaborate with the engineering team to test, debug, and deploy code directly to live production servers. Skills &amp; Qualifications: Core Web Stack: Strong proficiency in HTML , CSS , JavaScript , and modern frontend/backend frameworks. Backend &amp; APIs: Solid understanding of Backend development and API Development (REST) . Database &amp; Cloud: Familiarity with relational or non-relational databases and version control systems like Git/GitHub . Problem Solving: Ability to convert complex business logic into clean, scalable, and secure code. Skills: HTML, CSS, JavaScript, Backend development, API Development (REST), React.js, Node.js, MongoDB, Git Version Control, Problem Solving.</t>
        </is>
      </c>
      <c r="N294" t="n">
        <v>62</v>
      </c>
      <c r="O294" t="n">
        <v>90</v>
      </c>
      <c r="P294" t="n">
        <v>85</v>
      </c>
      <c r="Q294" t="n">
        <v>85</v>
      </c>
      <c r="R294" t="n">
        <v>10</v>
      </c>
      <c r="S294" t="n">
        <v>0</v>
      </c>
      <c r="T294" t="n">
        <v>40</v>
      </c>
      <c r="U294" t="inlineStr">
        <is>
          <t>STRETCH</t>
        </is>
      </c>
      <c r="V294" t="inlineStr">
        <is>
          <t>STRETCH</t>
        </is>
      </c>
      <c r="X294" t="inlineStr">
        <is>
          <t>Default Full Stack / MERN Resume</t>
        </is>
      </c>
      <c r="Y294" t="inlineStr">
        <is>
          <t>2026-10-06</t>
        </is>
      </c>
      <c r="Z294" t="inlineStr">
        <is>
          <t>Strong technical alignment with the required MERN stack and API development skills.; Remote work mode aligns well with preferences.</t>
        </is>
      </c>
      <c r="AA294" t="inlineStr">
        <is>
          <t>Eligible</t>
        </is>
      </c>
      <c r="AB294" t="inlineStr">
        <is>
          <t>No hard degree or graduation year blockers specified in the JD.</t>
        </is>
      </c>
      <c r="AC294" t="inlineStr">
        <is>
          <t>Unknown</t>
        </is>
      </c>
      <c r="AD294" t="inlineStr">
        <is>
          <t>Candidate availability dates are not specified in the career brain.</t>
        </is>
      </c>
      <c r="AE294" t="inlineStr">
        <is>
          <t>Unpaid</t>
        </is>
      </c>
      <c r="AF294" t="n">
        <v>0</v>
      </c>
      <c r="AG294" t="inlineStr">
        <is>
          <t>No</t>
        </is>
      </c>
      <c r="AH294" t="inlineStr">
        <is>
          <t>No</t>
        </is>
      </c>
      <c r="AI294" t="inlineStr">
        <is>
          <t>No mention of a Pre-Placement Offer (PPO) or conversion; mentions a mentorship session for top performers.</t>
        </is>
      </c>
      <c r="AK294" t="inlineStr">
        <is>
          <t>Unpaid internship; No guaranteed PPO or conversion path</t>
        </is>
      </c>
      <c r="AL294" t="inlineStr">
        <is>
          <t>RESTful API design and implementation; MERN stack architecture and state management; Live deployment and Git workflow experiences; Problem-solving and handling complex business logic</t>
        </is>
      </c>
    </row>
    <row r="295">
      <c r="A295" t="inlineStr">
        <is>
          <t>MECHANIZE-261006-88</t>
        </is>
      </c>
      <c r="B295" t="inlineStr">
        <is>
          <t>Mechanize</t>
        </is>
      </c>
      <c r="C295" t="inlineStr">
        <is>
          <t>Junior SWE</t>
        </is>
      </c>
      <c r="D295" t="inlineStr">
        <is>
          <t>https://news.ycombinator.com/item?id=49968228</t>
        </is>
      </c>
      <c r="E295" t="inlineStr">
        <is>
          <t>AI Analyzer</t>
        </is>
      </c>
      <c r="F295" t="inlineStr">
        <is>
          <t>San Francisco, CA</t>
        </is>
      </c>
      <c r="G295" t="inlineStr">
        <is>
          <t>onsite</t>
        </is>
      </c>
      <c r="H295" t="inlineStr">
        <is>
          <t>unknown</t>
        </is>
      </c>
      <c r="I295" t="inlineStr">
        <is>
          <t>unknown</t>
        </is>
      </c>
      <c r="J295" t="inlineStr">
        <is>
          <t>not mentioned</t>
        </is>
      </c>
      <c r="M295" t="inlineStr">
        <is>
          <t>Mechanize | San Francisco, CA (Onsite) | Junior SWE ($300k + equity + bonus), SWE ($350k + equity + bonus), Research Engineer, Alignment ($300k-$400k + equity + bonus) Applying takes &lt;2 min: https://www.mechanize.work/apply/ We build environments that frontier AI labs use to train their models to do real-world software engineering. We have more demand than we can keep up with, so we're hiring fast.</t>
        </is>
      </c>
      <c r="N295" t="n">
        <v>0</v>
      </c>
      <c r="O295" t="n">
        <v>0</v>
      </c>
      <c r="P295" t="n">
        <v>0</v>
      </c>
      <c r="Q295" t="n">
        <v>0</v>
      </c>
      <c r="R295" t="n">
        <v>0</v>
      </c>
      <c r="S295" t="n">
        <v>0</v>
      </c>
      <c r="T295" t="n">
        <v>0</v>
      </c>
      <c r="U295" t="inlineStr">
        <is>
          <t>SKIP</t>
        </is>
      </c>
      <c r="V295" t="inlineStr">
        <is>
          <t>SKIP</t>
        </is>
      </c>
      <c r="X295" t="inlineStr">
        <is>
          <t>Amaanuddin_Ahmed_Resume.pdf</t>
        </is>
      </c>
      <c r="Y295" t="inlineStr">
        <is>
          <t>2026-10-06</t>
        </is>
      </c>
      <c r="AA295" t="inlineStr">
        <is>
          <t>ineligible</t>
        </is>
      </c>
      <c r="AB295" t="inlineStr">
        <is>
          <t>Job requires physical onsite presence in San Francisco, CA, whereas candidate prefers Bengaluru, India.</t>
        </is>
      </c>
      <c r="AC295" t="inlineStr">
        <is>
          <t>unknown</t>
        </is>
      </c>
      <c r="AD295" t="inlineStr">
        <is>
          <t>Availability not specified in job description.</t>
        </is>
      </c>
      <c r="AE295" t="inlineStr">
        <is>
          <t>not specified</t>
        </is>
      </c>
      <c r="AF295" t="n">
        <v>0</v>
      </c>
      <c r="AG295" t="inlineStr">
        <is>
          <t>No</t>
        </is>
      </c>
      <c r="AH295" t="inlineStr">
        <is>
          <t>not mentioned</t>
        </is>
      </c>
      <c r="AI295" t="inlineStr">
        <is>
          <t>No mention of PPO or conversion.</t>
        </is>
      </c>
      <c r="AJ295" t="inlineStr">
        <is>
          <t>Location mismatch: Job is Onsite in San Francisco, CA; candidate is based in Bengaluru, India.</t>
        </is>
      </c>
      <c r="AK295" t="inlineStr">
        <is>
          <t>Role is listed as an internship in job type, but compensation headers mention full-time salaries ($300k+), creating a mismatch.</t>
        </is>
      </c>
    </row>
    <row r="296">
      <c r="A296" t="inlineStr">
        <is>
          <t>HN-WHO-IS-HI-261006-89</t>
        </is>
      </c>
      <c r="B296" t="inlineStr">
        <is>
          <t>HN Who Is Hiring (Mattermost)</t>
        </is>
      </c>
      <c r="C296" t="inlineStr">
        <is>
          <t>Full Stack Engineer (Senior / Staff)</t>
        </is>
      </c>
      <c r="D296" t="inlineStr">
        <is>
          <t>https://news.ycombinator.com/item?id=49946276</t>
        </is>
      </c>
      <c r="E296" t="inlineStr">
        <is>
          <t>AI Analyzer</t>
        </is>
      </c>
      <c r="F296" t="inlineStr">
        <is>
          <t>Remote (US and Canada)</t>
        </is>
      </c>
      <c r="G296" t="inlineStr">
        <is>
          <t>remote</t>
        </is>
      </c>
      <c r="H296" t="inlineStr">
        <is>
          <t>$142,723 - $227,135 USD (Full-time)</t>
        </is>
      </c>
      <c r="I296" t="inlineStr">
        <is>
          <t>Not specified</t>
        </is>
      </c>
      <c r="J296" t="inlineStr">
        <is>
          <t>not applicable</t>
        </is>
      </c>
      <c r="K296" t="inlineStr">
        <is>
          <t>Go; React; TypeScript; PostgreSQL; Redis; REST APIs; WebSocket APIs; Relational Databases</t>
        </is>
      </c>
      <c r="L296" t="inlineStr">
        <is>
          <t>Distributed Systems; High Availability Architecture; Open-Source Contributions; Staff/Tech Lead Experience</t>
        </is>
      </c>
      <c r="M296" t="inlineStr">
        <is>
          <t>Mattermost | Remote (US and Canada) | FT | Multiple roles Mattermost ( https://mattermost.com ) is an open-core collaboration and workflow automation platform for air-gapped, on-prem and private clouds. Our customers are in defense, intelligence, security and critical infrastructure, including the USAF and NASA. Y Combinator led our Series B, their largest open-source investment at the time. Both openings are full stack on the core platform: Go backend, React/TypeScript frontend, PostgreSQL and Redis. The codebase is public ( https://github.com/mattermost/mattermost ), so most of what you build is too. We would rather hire people who ship and own complex software end to end than chase an exact stack match, so any systems or backend language and any frontend stack counts. What we look for in both roles: REST and WebSocket APIs with real networking fundamentals (HTTP, connection lifecycle), and relational databases including schema design and query optimization. We use coding agents daily (Claude Code, Cursor, and others) at every stage of the work: planning, building, reviewing, testing, and shipping. We treat that as core craft rather than a shortcut around the fundamentals. If you have a track record of shipping and owning complex software end-to-end, we want to hear from you. Senior Full Stack Engineer $142,723 - $172,723 USD Architect and ship full stack features end to end, own the testing strategy for what you ship, and build internal tooling and testing infrastructure that makes the rest of the team faster. You will work without close supervision and hold the security and compliance bar our customers require. Nice to have: distributed systems and high availability architecture, regulated-environment security, open-source contributions, experience on remote-first teams. Join our team: https://job-boards.greenhouse.io/mattermost/jobs/5379251008 Staff Full Stack Engineer $172,724 - $227,135 USD Set technical direction for the platform rather than for a feature area: architecture and roadmap across the stack, the standards for how the org uses coding agents, and the strategy for internal tooling and testing. You will influence direction across teams, partner with security and compliance on it, and mentor senior engineers. Nice to have: staff, principal or tech lead experience elsewhere, open-source maintainership, FedRAMP or ITAR familiarity, defense or critical infrastructure background. Join our team: https://job-boards.greenhouse.io/mattermost/jobs/5405811008 Both roles have Canadian postings: https://job-boards.greenhouse.io/mattermost</t>
        </is>
      </c>
      <c r="N296" t="n">
        <v>19</v>
      </c>
      <c r="O296" t="n">
        <v>20</v>
      </c>
      <c r="P296" t="n">
        <v>10</v>
      </c>
      <c r="Q296" t="n">
        <v>20</v>
      </c>
      <c r="R296" t="n">
        <v>0</v>
      </c>
      <c r="S296" t="n">
        <v>0</v>
      </c>
      <c r="T296" t="n">
        <v>80</v>
      </c>
      <c r="U296" t="inlineStr">
        <is>
          <t>SKIP</t>
        </is>
      </c>
      <c r="V296" t="inlineStr">
        <is>
          <t>SKIP</t>
        </is>
      </c>
      <c r="W296" t="inlineStr">
        <is>
          <t>Go; TypeScript; PostgreSQL; Redis; WebSocket APIs; Distributed Systems</t>
        </is>
      </c>
      <c r="X296" t="inlineStr">
        <is>
          <t>Amaanuddin_Ahmed_Resume.pdf</t>
        </is>
      </c>
      <c r="Y296" t="inlineStr">
        <is>
          <t>2026-10-06</t>
        </is>
      </c>
      <c r="AA296" t="inlineStr">
        <is>
          <t>ineligible</t>
        </is>
      </c>
      <c r="AB296" t="inlineStr">
        <is>
          <t>Job is restricted to US and Canada candidates; candidate is based in India.; Roles are Senior and Staff level full-time positions requiring extensive experience; candidate is an MCA student seeking internships.</t>
        </is>
      </c>
      <c r="AC296" t="inlineStr">
        <is>
          <t>unknown</t>
        </is>
      </c>
      <c r="AD296" t="inlineStr">
        <is>
          <t>Candidate availability details are not provided in the Career Brain.</t>
        </is>
      </c>
      <c r="AE296" t="inlineStr">
        <is>
          <t>UNKNOWN</t>
        </is>
      </c>
      <c r="AF296" t="n">
        <v>0</v>
      </c>
      <c r="AG296" t="inlineStr">
        <is>
          <t>No</t>
        </is>
      </c>
      <c r="AH296" t="inlineStr">
        <is>
          <t>not applicable</t>
        </is>
      </c>
      <c r="AI296" t="inlineStr">
        <is>
          <t>These are full-time Senior and Staff level positions, not internships with PPO tracks.</t>
        </is>
      </c>
      <c r="AJ296" t="inlineStr">
        <is>
          <t>Location restriction: Remote (US and Canada only); Seniority mismatch: Looking for Senior/Staff Full-Time engineers, candidate is an MCA student seeking internships</t>
        </is>
      </c>
      <c r="AK296" t="inlineStr">
        <is>
          <t>Location mismatch; Experience level mismatch</t>
        </is>
      </c>
      <c r="AL296" t="inlineStr">
        <is>
          <t>Go backend development; React and TypeScript frontend architecture; PostgreSQL query optimization and schema design; WebSocket real-time networking fundamentals</t>
        </is>
      </c>
    </row>
    <row r="297">
      <c r="A297" t="inlineStr">
        <is>
          <t>HN-WHO-IS-HI-261006-90</t>
        </is>
      </c>
      <c r="B297" t="inlineStr">
        <is>
          <t>HN Who Is Hiring</t>
        </is>
      </c>
      <c r="C297" t="inlineStr">
        <is>
          <t>Full-stack / Product Engineer</t>
        </is>
      </c>
      <c r="D297" t="inlineStr">
        <is>
          <t>https://news.ycombinator.com/item?id=49945634</t>
        </is>
      </c>
      <c r="E297" t="inlineStr">
        <is>
          <t>AI Analyzer</t>
        </is>
      </c>
      <c r="F297" t="inlineStr">
        <is>
          <t>Dubrovnik, Croatia (CET)</t>
        </is>
      </c>
      <c r="G297" t="inlineStr">
        <is>
          <t>Remote</t>
        </is>
      </c>
      <c r="I297" t="inlineStr">
        <is>
          <t>UNKNOWN</t>
        </is>
      </c>
      <c r="J297" t="inlineStr">
        <is>
          <t>Not Mentioned</t>
        </is>
      </c>
      <c r="K297" t="inlineStr">
        <is>
          <t>TypeScript; React; Next.js; Node.js; Express; PostgreSQL</t>
        </is>
      </c>
      <c r="L297" t="inlineStr">
        <is>
          <t>Supabase; Prisma; Stripe; OAuth/JWT/RBAC; Anthropic/OpenAI APIs; RAG; Tailwind; Jest/Vitest/Cypress; Docker; GitHub Actions</t>
        </is>
      </c>
      <c r="M297" t="inlineStr">
        <is>
          <t>Location: Dubrovnik, Croatia (CET) Remote: Yes (remote only; EU/UK/US-overlap hours OK) Willing to relocate: yes Technologies: TypeScript, React, Next.js, Node.js/Express, PostgreSQL, Supabase, Prisma, Stripe (billing, webhooks), OAuth/JWT/RBAC, Anthropic/OpenAI APIs, RAG, Tailwind, Jest/Vitest/Cypress, Docker, GitHub Actions Résumé/CV: https://personal-website-tau-sandy.vercel.app GitHub: https://github.com/lazarbukejlovic LinkedIn: https://www.linkedin.com/in/lazar-bukejlovic Email: lazarbukejlovic@icloud.com Full-stack / product engineer, 4+ years shipping production SaaS end to end. I lead a team of 5–6 engineers for an international client. Built operational dashboards used by ~10k monthly users, fixed duplicate-charge and sync bugs at the source with idempotent webhooks, and ship AI features that people can trust (cited evidence, confidence scores, human review queues). Also 3 years of customer-facing technical support, so I'm comfortable owning a problem from the customer report to the fix. Looking for: Product Engineer, Full-Stack, AI Product Engineer or Technical Support Engineer roles at small teams.</t>
        </is>
      </c>
      <c r="N297" t="n">
        <v>37</v>
      </c>
      <c r="O297" t="n">
        <v>50</v>
      </c>
      <c r="P297" t="n">
        <v>40</v>
      </c>
      <c r="Q297" t="n">
        <v>60</v>
      </c>
      <c r="R297" t="n">
        <v>0</v>
      </c>
      <c r="S297" t="n">
        <v>0</v>
      </c>
      <c r="T297" t="n">
        <v>50</v>
      </c>
      <c r="U297" t="inlineStr">
        <is>
          <t>SKIP</t>
        </is>
      </c>
      <c r="V297" t="inlineStr">
        <is>
          <t>SKIP</t>
        </is>
      </c>
      <c r="W297" t="inlineStr">
        <is>
          <t>TypeScript; Next.js; PostgreSQL; Supabase; Prisma; Stripe; Tailwind; Jest/Vitest/Cypress</t>
        </is>
      </c>
      <c r="X297" t="inlineStr">
        <is>
          <t>Amaan_Resume_FullStack</t>
        </is>
      </c>
      <c r="Y297" t="inlineStr">
        <is>
          <t>2026-10-06</t>
        </is>
      </c>
      <c r="Z297" t="inlineStr">
        <is>
          <t>Remote opportunity matching full-stack interest.</t>
        </is>
      </c>
      <c r="AA297" t="inlineStr">
        <is>
          <t>Eligible</t>
        </is>
      </c>
      <c r="AB297" t="inlineStr">
        <is>
          <t>The role is remote and matches internship type.</t>
        </is>
      </c>
      <c r="AC297" t="inlineStr">
        <is>
          <t>Unknown</t>
        </is>
      </c>
      <c r="AD297" t="inlineStr">
        <is>
          <t>Availability timeline not specified against the 2025-2027 MCA schedule.</t>
        </is>
      </c>
      <c r="AE297" t="inlineStr">
        <is>
          <t>UNKNOWN</t>
        </is>
      </c>
      <c r="AF297" t="n">
        <v>0</v>
      </c>
      <c r="AG297" t="inlineStr">
        <is>
          <t>No</t>
        </is>
      </c>
      <c r="AH297" t="inlineStr">
        <is>
          <t>Not Mentioned</t>
        </is>
      </c>
      <c r="AI297" t="inlineStr">
        <is>
          <t>No mention of PPO or conversion.</t>
        </is>
      </c>
      <c r="AK297" t="inlineStr">
        <is>
          <t>The job description snippet looks like a candidate self-promotion post mistakenly scraped or mixed up with requirements in HN Who Is Hiring.</t>
        </is>
      </c>
      <c r="AL297" t="inlineStr">
        <is>
          <t>Full-stack development with Node.js and React; API integration and database management</t>
        </is>
      </c>
    </row>
    <row r="298">
      <c r="A298" t="inlineStr">
        <is>
          <t>GC-AI-261006-91</t>
        </is>
      </c>
      <c r="B298" t="inlineStr">
        <is>
          <t>GC AI</t>
        </is>
      </c>
      <c r="C298" t="inlineStr">
        <is>
          <t>Member of Technical Staff, Applied AI</t>
        </is>
      </c>
      <c r="D298" t="inlineStr">
        <is>
          <t>https://news.ycombinator.com/item?id=49943713</t>
        </is>
      </c>
      <c r="E298" t="inlineStr">
        <is>
          <t>AI Analyzer</t>
        </is>
      </c>
      <c r="F298" t="inlineStr">
        <is>
          <t>Remote (US/Canada)</t>
        </is>
      </c>
      <c r="G298" t="inlineStr">
        <is>
          <t>Remote</t>
        </is>
      </c>
      <c r="H298" t="inlineStr">
        <is>
          <t>$180K–$430K + equity</t>
        </is>
      </c>
      <c r="I298" t="inlineStr">
        <is>
          <t>UNKNOWN</t>
        </is>
      </c>
      <c r="J298" t="inlineStr">
        <is>
          <t>not mentioned</t>
        </is>
      </c>
      <c r="K298" t="inlineStr">
        <is>
          <t>TypeScript; JavaScript; React; LLM-powered product features; LLM orchestration; RAG; Agents</t>
        </is>
      </c>
      <c r="L298" t="inlineStr">
        <is>
          <t>Founding-engineer experience; Startup ownership</t>
        </is>
      </c>
      <c r="M298" t="inlineStr">
        <is>
          <t>GC AI | Member of Technical Staff, Applied AI | REMOTE (US/Canada) | $180K–$430K + equity GC AI is building an AI platform for in-house legal teams, helping lawyers draft, review, and analyze legal documents. The product is used by 1,800+ companies, including 150+ public companies and 25+ unicorns. GC AI raised a $60M Series B in November 2025 at a $555M valuation. We’re hiring 5 engineers for the Applied AI team. This is a full-stack product engineering role with a strong AI execution layer — not an ML research or data science position. We’re looking for engineers with: - Deep, recent TypeScript/JavaScript + React production experience - Hands-on experience shipping LLM-powered product features - Experience with LLM orchestration, RAG, integrations, agents, and/or evaluation systems - Strong end-to-end product ownership, from architecture through production - A track record of shipping quickly and working closely with product Strong signals include founding/founding-engineer experience, meaningful startup ownership, or experience scaling products at strong engineering companies before moving into a smaller high-ownership environment. The Applied AI team also owns substantial model evaluation work as new models ship, and builds internal frameworks that allow the team to prototype and productionize new AI capabilities quickly. Location: Remote across the US and Canada Hybrid: Tue–Thu in-office if you’re within ~50 miles of San Mateo, CA or Provo, UT Comp: $180K–$430K + equity Openings: 5 Visa: H-1B transfers supported; no new visa sponsorship Interested? Email mernaahmedemara13@gmail.com with the subject: GC AI – Applied AI Please include: - Your LinkedIn profile - Current location - A short description of an AI/LLM feature you personally shipped to production - GitHub / portfolio if relevant</t>
        </is>
      </c>
      <c r="N298" t="n">
        <v>38</v>
      </c>
      <c r="O298" t="n">
        <v>40</v>
      </c>
      <c r="P298" t="n">
        <v>20</v>
      </c>
      <c r="Q298" t="n">
        <v>20</v>
      </c>
      <c r="R298" t="n">
        <v>0</v>
      </c>
      <c r="S298" t="n">
        <v>100</v>
      </c>
      <c r="T298" t="n">
        <v>90</v>
      </c>
      <c r="U298" t="inlineStr">
        <is>
          <t>SKIP</t>
        </is>
      </c>
      <c r="V298" t="inlineStr">
        <is>
          <t>SKIP</t>
        </is>
      </c>
      <c r="W298" t="inlineStr">
        <is>
          <t>TypeScript; LLM orchestration; RAG; Agents; Production AI systems</t>
        </is>
      </c>
      <c r="X298" t="inlineStr">
        <is>
          <t>Amaanuddin_Ahmed_Resume.pdf</t>
        </is>
      </c>
      <c r="Y298" t="inlineStr">
        <is>
          <t>2026-10-06</t>
        </is>
      </c>
      <c r="AA298" t="inlineStr">
        <is>
          <t>ineligible</t>
        </is>
      </c>
      <c r="AB298" t="inlineStr">
        <is>
          <t>Location requirement restricts candidates to US/Canada or near San Mateo, CA / Provo, UT.; Role requires deep production experience suitable for a full-time MTS position with senior-level compensation ($180K-$430K), whereas candidate is an MCA student seeking an internship.</t>
        </is>
      </c>
      <c r="AC298" t="inlineStr">
        <is>
          <t>unknown</t>
        </is>
      </c>
      <c r="AD298" t="inlineStr">
        <is>
          <t>Not specified in the candidate profile.</t>
        </is>
      </c>
      <c r="AE298" t="inlineStr">
        <is>
          <t>UNKNOWN</t>
        </is>
      </c>
      <c r="AF298" t="n">
        <v>0</v>
      </c>
      <c r="AG298" t="inlineStr">
        <is>
          <t>Yes</t>
        </is>
      </c>
      <c r="AH298" t="inlineStr">
        <is>
          <t>not mentioned</t>
        </is>
      </c>
      <c r="AI298" t="inlineStr">
        <is>
          <t>The job description is for a full-time Member of Technical Staff position, not an internship with a conversion track, despite being misclassified as an internship type in the source data.</t>
        </is>
      </c>
      <c r="AJ298" t="inlineStr">
        <is>
          <t>Location is restricted to US/Canada residents or candidates living near San Mateo, CA or Provo, UT.; Full-time MTS role requiring extensive industry experience, whereas candidate is an MCA student looking for internships.</t>
        </is>
      </c>
      <c r="AK298" t="inlineStr">
        <is>
          <t>Mismatch between internship job type and actual full-time MTS role with senior compensation.</t>
        </is>
      </c>
      <c r="AL298" t="inlineStr">
        <is>
          <t>TypeScript and React production scaling; LLM orchestration and RAG architectures; Agentic workflows and evaluation systems</t>
        </is>
      </c>
    </row>
    <row r="299">
      <c r="A299" t="inlineStr">
        <is>
          <t>PRIOR-LABS-261006-92</t>
        </is>
      </c>
      <c r="B299" t="inlineStr">
        <is>
          <t>Prior Labs</t>
        </is>
      </c>
      <c r="C299" t="inlineStr">
        <is>
          <t>Full Stack Engineer, ML Platform / Backend</t>
        </is>
      </c>
      <c r="D299" t="inlineStr">
        <is>
          <t>https://news.ycombinator.com/item?id=49935497</t>
        </is>
      </c>
      <c r="E299" t="inlineStr">
        <is>
          <t>AI Analyzer</t>
        </is>
      </c>
      <c r="F299" t="inlineStr">
        <is>
          <t>Berlin, Freiburg, NYC</t>
        </is>
      </c>
      <c r="G299" t="inlineStr">
        <is>
          <t>ONSITE</t>
        </is>
      </c>
      <c r="H299" t="inlineStr">
        <is>
          <t>Comp competitive with top AI labs</t>
        </is>
      </c>
      <c r="I299" t="inlineStr">
        <is>
          <t>UNKNOWN</t>
        </is>
      </c>
      <c r="J299" t="inlineStr">
        <is>
          <t>NOT_MENTIONED</t>
        </is>
      </c>
      <c r="K299" t="inlineStr">
        <is>
          <t>TypeScript; Python; React; FastAPI; Postgres</t>
        </is>
      </c>
      <c r="L299" t="inlineStr">
        <is>
          <t>Terraform; Kubernetes</t>
        </is>
      </c>
      <c r="M299" t="inlineStr">
        <is>
          <t>Prior Labs | Berlin, Freiburg, NYC | ONSITE | Full-time | Technical PM, ML Infra, Research Scientist/Engineer, Backend, Full Stack We build foundation models for tabular data. Deep learning transformed text and images but mostly skipped tables, which are still the data behind most clinical trials, financial models and scientific experiments. The reason is structural: no natural sequence, no spatial structure, no shared vocabulary across datasets, so the architectures and scaling laws behind LLMs don't transfer. Our approach: pre-train a transformer on millions of synthetic datasets sampled from causal-structure priors. The whole dataset goes in as context, predictions come out in one forward pass. No per-dataset training, no hyperparameter tuning, seconds instead of hours. TabPFN v2 was published in Nature and set a new state of the art; TabPFN-3 scales to 10M rows. 4M+ downloads, 8k+ GitHub stars, in production from liquid biopsy to rail maintenance. Code: https://github.com/PriorLabs/TabPFN Since July we're an independent lab inside SAP, with more than EUR 1B committed over four years. Models stay open, research stays public, same team and offices. Roles (most can sit in any of the three offices): - Technical Product Manager, Integrations: take every model release live across SAP (AI Core to SAP Analytics Cloud), the cloud marketplaces and customer environments, and help decide which channels we build next. Reports to me, close to the code. - ML Engineer, Infrastructure: own multi-cluster GPU infra (Slurm on GCP today, multi-provider next), training performance and the tooling layer. We spend tens of millions per year on compute; you own that budget. - Research Scientist, Foundation Model: drive the model agenda - novel architectures, scaling from 10K to 1M+ samples, multimodal and causal directions. PhD plus top-venue publications, or equivalent. - Research Engineer, Foundation Model: same agenda from the engineering side. You design experiments, write the training and eval infra, and co-author the papers. - ML Engineer, Backend: design and scale the backend that serves and finetunes the models. Python/FastAPI, Terraform, K8s. - Full Stack Engineer, ML Platform: build the product end to end. TypeScript + Python, React/FastAPI/Postgres. Also hiring: Applied Scientist, Forward Deployed ML Engineer, Research Scientist (Foundational Data Science), PhD research interns, plus GTM and ops roles. 40+ people with backgrounds from Google, DeepMind, Jane Street, Goldman, G-Research, CERN. Led by Frank Hutter, advised by Bernhard Schölkopf and Yann LeCun. Comp competitive with top AI labs. All roles and applications: https://jobs.ashbyhq.com/prior-labs Questions welcome in the replies here.</t>
        </is>
      </c>
      <c r="N299" t="n">
        <v>45</v>
      </c>
      <c r="O299" t="n">
        <v>50</v>
      </c>
      <c r="P299" t="n">
        <v>40</v>
      </c>
      <c r="Q299" t="n">
        <v>50</v>
      </c>
      <c r="R299" t="n">
        <v>0</v>
      </c>
      <c r="S299" t="n">
        <v>50</v>
      </c>
      <c r="T299" t="n">
        <v>95</v>
      </c>
      <c r="U299" t="inlineStr">
        <is>
          <t>SKIP</t>
        </is>
      </c>
      <c r="V299" t="inlineStr">
        <is>
          <t>SKIP</t>
        </is>
      </c>
      <c r="W299" t="inlineStr">
        <is>
          <t>TypeScript; FastAPI; Postgres; Terraform; Kubernetes</t>
        </is>
      </c>
      <c r="X299" t="inlineStr">
        <is>
          <t>Amaanuddin_Ahmed_Resume_MERN</t>
        </is>
      </c>
      <c r="Y299" t="inlineStr">
        <is>
          <t>2026-10-06</t>
        </is>
      </c>
      <c r="Z299" t="inlineStr">
        <is>
          <t>Extremely high-quality AI research lab backed by SAP with major industry backing.</t>
        </is>
      </c>
      <c r="AA299" t="inlineStr">
        <is>
          <t>FAIL</t>
        </is>
      </c>
      <c r="AB299" t="inlineStr">
        <is>
          <t>The job requires ONSITE presence in Berlin, Freiburg, or NYC, whereas candidate prefers Bengaluru, India.; The role is Full-time or specifically requires PhD research interns, whereas candidate is seeking an MCA internship.</t>
        </is>
      </c>
      <c r="AC299" t="inlineStr">
        <is>
          <t>UNKNOWN</t>
        </is>
      </c>
      <c r="AD299" t="inlineStr">
        <is>
          <t>Not specified in candidate profile.</t>
        </is>
      </c>
      <c r="AE299" t="inlineStr">
        <is>
          <t>UNKNOWN</t>
        </is>
      </c>
      <c r="AF299" t="n">
        <v>0</v>
      </c>
      <c r="AG299" t="inlineStr">
        <is>
          <t>No</t>
        </is>
      </c>
      <c r="AH299" t="inlineStr">
        <is>
          <t>NOT_MENTIONED</t>
        </is>
      </c>
      <c r="AI299" t="inlineStr">
        <is>
          <t>No conversion or PPO details mentioned.</t>
        </is>
      </c>
      <c r="AJ299" t="inlineStr">
        <is>
          <t>ONSITE location in Berlin, Freiburg, or NYC conflicts with candidate location in Bengaluru, India.; Full-time/PhD intern focus conflicts with MCA candidate profile.</t>
        </is>
      </c>
      <c r="AK299" t="inlineStr">
        <is>
          <t>Requires relocation to international hubs (Berlin, Freiburg, NYC) for an onsite role.</t>
        </is>
      </c>
      <c r="AL299" t="inlineStr">
        <is>
          <t>Full stack system architecture using React and Python; Database design and management; API development and scalability</t>
        </is>
      </c>
    </row>
  </sheetData>
  <autoFilter ref="A1:Z1"/>
  <dataValidations count="11">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"Ready to Apply,NOT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"Ready to Apply,NOT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"Ready to Apply,NOT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"Ready to Apply,NOT APPLIED,APPLIED,REJECTED,WITHDRAWN"</formula1>
    </dataValidation>
    <dataValidation sqref="AR2:AR10000" showDropDown="0" showInputMessage="0" showErrorMessage="0" allowBlank="1" errorTitle="Invalid Apply Status" error="Choose a status from the dropdown." promptTitle="Application Status" prompt="Select the current application status." type="list">
      <formula1>"Ready to Apply,NOT APPLIED,APPLIED,REJECTED,WITHDRAWN"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00"/>
  <sheetViews>
    <sheetView workbookViewId="0">
      <pane ySplit="1" topLeftCell="A2" activePane="bottomLeft" state="frozen"/>
      <selection pane="bottomLeft" activeCell="A1" sqref="A1"/>
    </sheetView>
  </sheetViews>
  <sheetFormatPr baseColWidth="8" defaultRowHeight="15"/>
  <cols>
    <col width="16" customWidth="1" style="15" min="1" max="1"/>
    <col width="12" customWidth="1" style="15" min="2" max="5"/>
    <col width="16" customWidth="1" style="15" min="6" max="6"/>
    <col width="14" customWidth="1" style="15" min="7" max="7"/>
    <col width="12" customWidth="1" style="15" min="8" max="8"/>
    <col width="13" customWidth="1" style="15" min="9" max="9"/>
    <col width="16" customWidth="1" style="15" min="10" max="10"/>
    <col width="40" customWidth="1" style="15" min="11" max="12"/>
    <col width="16" customWidth="1" style="15" min="13" max="13"/>
    <col width="40" customWidth="1" style="15" min="14" max="15"/>
    <col width="12" customWidth="1" style="15" min="16" max="16"/>
    <col width="30" customWidth="1" style="15" min="17" max="17"/>
  </cols>
  <sheetData>
    <row r="1">
      <c r="A1" s="1" t="inlineStr">
        <is>
          <t>Application ID</t>
        </is>
      </c>
      <c r="B1" s="1" t="inlineStr">
        <is>
          <t>Job ID</t>
        </is>
      </c>
      <c r="C1" s="1" t="inlineStr">
        <is>
          <t>Company</t>
        </is>
      </c>
      <c r="D1" s="1" t="inlineStr">
        <is>
          <t>Role</t>
        </is>
      </c>
      <c r="E1" s="1" t="inlineStr">
        <is>
          <t>Job URL</t>
        </is>
      </c>
      <c r="F1" s="1" t="inlineStr">
        <is>
          <t>Resume Version</t>
        </is>
      </c>
      <c r="G1" s="1" t="inlineStr">
        <is>
          <t>Applied Date</t>
        </is>
      </c>
      <c r="H1" s="1" t="inlineStr">
        <is>
          <t>Status</t>
        </is>
      </c>
      <c r="I1" s="1" t="inlineStr">
        <is>
          <t>Next Action</t>
        </is>
      </c>
      <c r="J1" s="1" t="inlineStr">
        <is>
          <t>Follow-up Date</t>
        </is>
      </c>
      <c r="K1" s="1" t="inlineStr">
        <is>
          <t>Application Notes</t>
        </is>
      </c>
      <c r="L1" s="1" t="inlineStr">
        <is>
          <t>OA Date</t>
        </is>
      </c>
      <c r="M1" s="1" t="inlineStr">
        <is>
          <t>Interview Date</t>
        </is>
      </c>
      <c r="N1" s="1" t="inlineStr">
        <is>
          <t>Outcome</t>
        </is>
      </c>
      <c r="O1" s="1" t="inlineStr">
        <is>
          <t>Stipend</t>
        </is>
      </c>
      <c r="P1" s="1" t="inlineStr">
        <is>
          <t>PPO</t>
        </is>
      </c>
      <c r="Q1" s="1" t="inlineStr">
        <is>
          <t>Days Since Applied</t>
        </is>
      </c>
    </row>
    <row r="2">
      <c r="A2" s="2" t="n"/>
      <c r="B2" s="2" t="n"/>
      <c r="C2" s="2" t="n"/>
      <c r="D2" s="2" t="n"/>
      <c r="E2" s="2" t="n"/>
      <c r="F2" s="2" t="n"/>
      <c r="G2" s="2" t="n"/>
      <c r="H2" s="2" t="n"/>
      <c r="I2" s="2" t="n"/>
      <c r="J2" s="2" t="n"/>
      <c r="K2" s="2" t="n"/>
      <c r="L2" s="2" t="n"/>
      <c r="M2" s="2" t="n"/>
      <c r="N2" s="2" t="n"/>
      <c r="O2" s="2" t="n"/>
      <c r="P2" s="2" t="n"/>
      <c r="Q2" s="2">
        <f>IF(G2="","",TODAY()-G2)</f>
        <v/>
      </c>
    </row>
    <row r="3">
      <c r="A3" s="2" t="n"/>
      <c r="B3" s="2" t="n"/>
      <c r="C3" s="2" t="n"/>
      <c r="D3" s="2" t="n"/>
      <c r="E3" s="2" t="n"/>
      <c r="F3" s="2" t="n"/>
      <c r="G3" s="2" t="n"/>
      <c r="H3" s="2" t="n"/>
      <c r="I3" s="2" t="n"/>
      <c r="J3" s="2" t="n"/>
      <c r="K3" s="2" t="n"/>
      <c r="L3" s="2" t="n"/>
      <c r="M3" s="2" t="n"/>
      <c r="N3" s="2" t="n"/>
      <c r="O3" s="2" t="n"/>
      <c r="P3" s="2" t="n"/>
      <c r="Q3" s="2">
        <f>IF(G3="","",TODAY()-G3)</f>
        <v/>
      </c>
    </row>
    <row r="4">
      <c r="A4" s="2" t="n"/>
      <c r="B4" s="2" t="n"/>
      <c r="C4" s="2" t="n"/>
      <c r="D4" s="2" t="n"/>
      <c r="E4" s="2" t="n"/>
      <c r="F4" s="2" t="n"/>
      <c r="G4" s="2" t="n"/>
      <c r="H4" s="2" t="n"/>
      <c r="I4" s="2" t="n"/>
      <c r="J4" s="2" t="n"/>
      <c r="K4" s="2" t="n"/>
      <c r="L4" s="2" t="n"/>
      <c r="M4" s="2" t="n"/>
      <c r="N4" s="2" t="n"/>
      <c r="O4" s="2" t="n"/>
      <c r="P4" s="2" t="n"/>
      <c r="Q4" s="2">
        <f>IF(G4="","",TODAY()-G4)</f>
        <v/>
      </c>
    </row>
    <row r="5">
      <c r="A5" s="2" t="n"/>
      <c r="B5" s="2" t="n"/>
      <c r="C5" s="2" t="n"/>
      <c r="D5" s="2" t="n"/>
      <c r="E5" s="2" t="n"/>
      <c r="F5" s="2" t="n"/>
      <c r="G5" s="2" t="n"/>
      <c r="H5" s="2" t="n"/>
      <c r="I5" s="2" t="n"/>
      <c r="J5" s="2" t="n"/>
      <c r="K5" s="2" t="n"/>
      <c r="L5" s="2" t="n"/>
      <c r="M5" s="2" t="n"/>
      <c r="N5" s="2" t="n"/>
      <c r="O5" s="2" t="n"/>
      <c r="P5" s="2" t="n"/>
      <c r="Q5" s="2">
        <f>IF(G5="","",TODAY()-G5)</f>
        <v/>
      </c>
    </row>
    <row r="6">
      <c r="A6" s="2" t="n"/>
      <c r="B6" s="2" t="n"/>
      <c r="C6" s="2" t="n"/>
      <c r="D6" s="2" t="n"/>
      <c r="E6" s="2" t="n"/>
      <c r="F6" s="2" t="n"/>
      <c r="G6" s="2" t="n"/>
      <c r="H6" s="2" t="n"/>
      <c r="I6" s="2" t="n"/>
      <c r="J6" s="2" t="n"/>
      <c r="K6" s="2" t="n"/>
      <c r="L6" s="2" t="n"/>
      <c r="M6" s="2" t="n"/>
      <c r="N6" s="2" t="n"/>
      <c r="O6" s="2" t="n"/>
      <c r="P6" s="2" t="n"/>
      <c r="Q6" s="2">
        <f>IF(G6="","",TODAY()-G6)</f>
        <v/>
      </c>
    </row>
    <row r="7">
      <c r="A7" s="2" t="n"/>
      <c r="B7" s="2" t="n"/>
      <c r="C7" s="2" t="n"/>
      <c r="D7" s="2" t="n"/>
      <c r="E7" s="2" t="n"/>
      <c r="F7" s="2" t="n"/>
      <c r="G7" s="2" t="n"/>
      <c r="H7" s="2" t="n"/>
      <c r="I7" s="2" t="n"/>
      <c r="J7" s="2" t="n"/>
      <c r="K7" s="2" t="n"/>
      <c r="L7" s="2" t="n"/>
      <c r="M7" s="2" t="n"/>
      <c r="N7" s="2" t="n"/>
      <c r="O7" s="2" t="n"/>
      <c r="P7" s="2" t="n"/>
      <c r="Q7" s="2">
        <f>IF(G7="","",TODAY()-G7)</f>
        <v/>
      </c>
    </row>
    <row r="8">
      <c r="A8" s="2" t="n"/>
      <c r="B8" s="2" t="n"/>
      <c r="C8" s="2" t="n"/>
      <c r="D8" s="2" t="n"/>
      <c r="E8" s="2" t="n"/>
      <c r="F8" s="2" t="n"/>
      <c r="G8" s="2" t="n"/>
      <c r="H8" s="2" t="n"/>
      <c r="I8" s="2" t="n"/>
      <c r="J8" s="2" t="n"/>
      <c r="K8" s="2" t="n"/>
      <c r="L8" s="2" t="n"/>
      <c r="M8" s="2" t="n"/>
      <c r="N8" s="2" t="n"/>
      <c r="O8" s="2" t="n"/>
      <c r="P8" s="2" t="n"/>
      <c r="Q8" s="2">
        <f>IF(G8="","",TODAY()-G8)</f>
        <v/>
      </c>
    </row>
    <row r="9">
      <c r="A9" s="2" t="n"/>
      <c r="B9" s="2" t="n"/>
      <c r="C9" s="2" t="n"/>
      <c r="D9" s="2" t="n"/>
      <c r="E9" s="2" t="n"/>
      <c r="F9" s="2" t="n"/>
      <c r="G9" s="2" t="n"/>
      <c r="H9" s="2" t="n"/>
      <c r="I9" s="2" t="n"/>
      <c r="J9" s="2" t="n"/>
      <c r="K9" s="2" t="n"/>
      <c r="L9" s="2" t="n"/>
      <c r="M9" s="2" t="n"/>
      <c r="N9" s="2" t="n"/>
      <c r="O9" s="2" t="n"/>
      <c r="P9" s="2" t="n"/>
      <c r="Q9" s="2">
        <f>IF(G9="","",TODAY()-G9)</f>
        <v/>
      </c>
    </row>
    <row r="10">
      <c r="A10" s="2" t="n"/>
      <c r="B10" s="2" t="n"/>
      <c r="C10" s="2" t="n"/>
      <c r="D10" s="2" t="n"/>
      <c r="E10" s="2" t="n"/>
      <c r="F10" s="2" t="n"/>
      <c r="G10" s="2" t="n"/>
      <c r="H10" s="2" t="n"/>
      <c r="I10" s="2" t="n"/>
      <c r="J10" s="2" t="n"/>
      <c r="K10" s="2" t="n"/>
      <c r="L10" s="2" t="n"/>
      <c r="M10" s="2" t="n"/>
      <c r="N10" s="2" t="n"/>
      <c r="O10" s="2" t="n"/>
      <c r="P10" s="2" t="n"/>
      <c r="Q10" s="2">
        <f>IF(G10="","",TODAY()-G10)</f>
        <v/>
      </c>
    </row>
    <row r="11">
      <c r="A11" s="2" t="n"/>
      <c r="B11" s="2" t="n"/>
      <c r="C11" s="2" t="n"/>
      <c r="D11" s="2" t="n"/>
      <c r="E11" s="2" t="n"/>
      <c r="F11" s="2" t="n"/>
      <c r="G11" s="2" t="n"/>
      <c r="H11" s="2" t="n"/>
      <c r="I11" s="2" t="n"/>
      <c r="J11" s="2" t="n"/>
      <c r="K11" s="2" t="n"/>
      <c r="L11" s="2" t="n"/>
      <c r="M11" s="2" t="n"/>
      <c r="N11" s="2" t="n"/>
      <c r="O11" s="2" t="n"/>
      <c r="P11" s="2" t="n"/>
      <c r="Q11" s="2">
        <f>IF(G11="","",TODAY()-G11)</f>
        <v/>
      </c>
    </row>
    <row r="12">
      <c r="A12" s="2" t="n"/>
      <c r="B12" s="2" t="n"/>
      <c r="C12" s="2" t="n"/>
      <c r="D12" s="2" t="n"/>
      <c r="E12" s="2" t="n"/>
      <c r="F12" s="2" t="n"/>
      <c r="G12" s="2" t="n"/>
      <c r="H12" s="2" t="n"/>
      <c r="I12" s="2" t="n"/>
      <c r="J12" s="2" t="n"/>
      <c r="K12" s="2" t="n"/>
      <c r="L12" s="2" t="n"/>
      <c r="M12" s="2" t="n"/>
      <c r="N12" s="2" t="n"/>
      <c r="O12" s="2" t="n"/>
      <c r="P12" s="2" t="n"/>
      <c r="Q12" s="2">
        <f>IF(G12="","",TODAY()-G12)</f>
        <v/>
      </c>
    </row>
    <row r="13">
      <c r="A13" s="2" t="n"/>
      <c r="B13" s="2" t="n"/>
      <c r="C13" s="2" t="n"/>
      <c r="D13" s="2" t="n"/>
      <c r="E13" s="2" t="n"/>
      <c r="F13" s="2" t="n"/>
      <c r="G13" s="2" t="n"/>
      <c r="H13" s="2" t="n"/>
      <c r="I13" s="2" t="n"/>
      <c r="J13" s="2" t="n"/>
      <c r="K13" s="2" t="n"/>
      <c r="L13" s="2" t="n"/>
      <c r="M13" s="2" t="n"/>
      <c r="N13" s="2" t="n"/>
      <c r="O13" s="2" t="n"/>
      <c r="P13" s="2" t="n"/>
      <c r="Q13" s="2">
        <f>IF(G13="","",TODAY()-G13)</f>
        <v/>
      </c>
    </row>
    <row r="14">
      <c r="A14" s="2" t="n"/>
      <c r="B14" s="2" t="n"/>
      <c r="C14" s="2" t="n"/>
      <c r="D14" s="2" t="n"/>
      <c r="E14" s="2" t="n"/>
      <c r="F14" s="2" t="n"/>
      <c r="G14" s="2" t="n"/>
      <c r="H14" s="2" t="n"/>
      <c r="I14" s="2" t="n"/>
      <c r="J14" s="2" t="n"/>
      <c r="K14" s="2" t="n"/>
      <c r="L14" s="2" t="n"/>
      <c r="M14" s="2" t="n"/>
      <c r="N14" s="2" t="n"/>
      <c r="O14" s="2" t="n"/>
      <c r="P14" s="2" t="n"/>
      <c r="Q14" s="2">
        <f>IF(G14="","",TODAY()-G14)</f>
        <v/>
      </c>
    </row>
    <row r="15">
      <c r="A15" s="2" t="n"/>
      <c r="B15" s="2" t="n"/>
      <c r="C15" s="2" t="n"/>
      <c r="D15" s="2" t="n"/>
      <c r="E15" s="2" t="n"/>
      <c r="F15" s="2" t="n"/>
      <c r="G15" s="2" t="n"/>
      <c r="H15" s="2" t="n"/>
      <c r="I15" s="2" t="n"/>
      <c r="J15" s="2" t="n"/>
      <c r="K15" s="2" t="n"/>
      <c r="L15" s="2" t="n"/>
      <c r="M15" s="2" t="n"/>
      <c r="N15" s="2" t="n"/>
      <c r="O15" s="2" t="n"/>
      <c r="P15" s="2" t="n"/>
      <c r="Q15" s="2">
        <f>IF(G15="","",TODAY()-G15)</f>
        <v/>
      </c>
    </row>
    <row r="16">
      <c r="A16" s="2" t="n"/>
      <c r="B16" s="2" t="n"/>
      <c r="C16" s="2" t="n"/>
      <c r="D16" s="2" t="n"/>
      <c r="E16" s="2" t="n"/>
      <c r="F16" s="2" t="n"/>
      <c r="G16" s="2" t="n"/>
      <c r="H16" s="2" t="n"/>
      <c r="I16" s="2" t="n"/>
      <c r="J16" s="2" t="n"/>
      <c r="K16" s="2" t="n"/>
      <c r="L16" s="2" t="n"/>
      <c r="M16" s="2" t="n"/>
      <c r="N16" s="2" t="n"/>
      <c r="O16" s="2" t="n"/>
      <c r="P16" s="2" t="n"/>
      <c r="Q16" s="2">
        <f>IF(G16="","",TODAY()-G16)</f>
        <v/>
      </c>
    </row>
    <row r="17">
      <c r="A17" s="2" t="n"/>
      <c r="B17" s="2" t="n"/>
      <c r="C17" s="2" t="n"/>
      <c r="D17" s="2" t="n"/>
      <c r="E17" s="2" t="n"/>
      <c r="F17" s="2" t="n"/>
      <c r="G17" s="2" t="n"/>
      <c r="H17" s="2" t="n"/>
      <c r="I17" s="2" t="n"/>
      <c r="J17" s="2" t="n"/>
      <c r="K17" s="2" t="n"/>
      <c r="L17" s="2" t="n"/>
      <c r="M17" s="2" t="n"/>
      <c r="N17" s="2" t="n"/>
      <c r="O17" s="2" t="n"/>
      <c r="P17" s="2" t="n"/>
      <c r="Q17" s="2">
        <f>IF(G17="","",TODAY()-G17)</f>
        <v/>
      </c>
    </row>
    <row r="18">
      <c r="A18" s="2" t="n"/>
      <c r="B18" s="2" t="n"/>
      <c r="C18" s="2" t="n"/>
      <c r="D18" s="2" t="n"/>
      <c r="E18" s="2" t="n"/>
      <c r="F18" s="2" t="n"/>
      <c r="G18" s="2" t="n"/>
      <c r="H18" s="2" t="n"/>
      <c r="I18" s="2" t="n"/>
      <c r="J18" s="2" t="n"/>
      <c r="K18" s="2" t="n"/>
      <c r="L18" s="2" t="n"/>
      <c r="M18" s="2" t="n"/>
      <c r="N18" s="2" t="n"/>
      <c r="O18" s="2" t="n"/>
      <c r="P18" s="2" t="n"/>
      <c r="Q18" s="2">
        <f>IF(G18="","",TODAY()-G18)</f>
        <v/>
      </c>
    </row>
    <row r="19">
      <c r="A19" s="2" t="n"/>
      <c r="B19" s="2" t="n"/>
      <c r="C19" s="2" t="n"/>
      <c r="D19" s="2" t="n"/>
      <c r="E19" s="2" t="n"/>
      <c r="F19" s="2" t="n"/>
      <c r="G19" s="2" t="n"/>
      <c r="H19" s="2" t="n"/>
      <c r="I19" s="2" t="n"/>
      <c r="J19" s="2" t="n"/>
      <c r="K19" s="2" t="n"/>
      <c r="L19" s="2" t="n"/>
      <c r="M19" s="2" t="n"/>
      <c r="N19" s="2" t="n"/>
      <c r="O19" s="2" t="n"/>
      <c r="P19" s="2" t="n"/>
      <c r="Q19" s="2">
        <f>IF(G19="","",TODAY()-G19)</f>
        <v/>
      </c>
    </row>
    <row r="20">
      <c r="A20" s="2" t="n"/>
      <c r="B20" s="2" t="n"/>
      <c r="C20" s="2" t="n"/>
      <c r="D20" s="2" t="n"/>
      <c r="E20" s="2" t="n"/>
      <c r="F20" s="2" t="n"/>
      <c r="G20" s="2" t="n"/>
      <c r="H20" s="2" t="n"/>
      <c r="I20" s="2" t="n"/>
      <c r="J20" s="2" t="n"/>
      <c r="K20" s="2" t="n"/>
      <c r="L20" s="2" t="n"/>
      <c r="M20" s="2" t="n"/>
      <c r="N20" s="2" t="n"/>
      <c r="O20" s="2" t="n"/>
      <c r="P20" s="2" t="n"/>
      <c r="Q20" s="2">
        <f>IF(G20="","",TODAY()-G20)</f>
        <v/>
      </c>
    </row>
    <row r="21">
      <c r="A21" s="2" t="n"/>
      <c r="B21" s="2" t="n"/>
      <c r="C21" s="2" t="n"/>
      <c r="D21" s="2" t="n"/>
      <c r="E21" s="2" t="n"/>
      <c r="F21" s="2" t="n"/>
      <c r="G21" s="2" t="n"/>
      <c r="H21" s="2" t="n"/>
      <c r="I21" s="2" t="n"/>
      <c r="J21" s="2" t="n"/>
      <c r="K21" s="2" t="n"/>
      <c r="L21" s="2" t="n"/>
      <c r="M21" s="2" t="n"/>
      <c r="N21" s="2" t="n"/>
      <c r="O21" s="2" t="n"/>
      <c r="P21" s="2" t="n"/>
      <c r="Q21" s="2">
        <f>IF(G21="","",TODAY()-G21)</f>
        <v/>
      </c>
    </row>
    <row r="22">
      <c r="A22" s="2" t="n"/>
      <c r="B22" s="2" t="n"/>
      <c r="C22" s="2" t="n"/>
      <c r="D22" s="2" t="n"/>
      <c r="E22" s="2" t="n"/>
      <c r="F22" s="2" t="n"/>
      <c r="G22" s="2" t="n"/>
      <c r="H22" s="2" t="n"/>
      <c r="I22" s="2" t="n"/>
      <c r="J22" s="2" t="n"/>
      <c r="K22" s="2" t="n"/>
      <c r="L22" s="2" t="n"/>
      <c r="M22" s="2" t="n"/>
      <c r="N22" s="2" t="n"/>
      <c r="O22" s="2" t="n"/>
      <c r="P22" s="2" t="n"/>
      <c r="Q22" s="2">
        <f>IF(G22="","",TODAY()-G22)</f>
        <v/>
      </c>
    </row>
    <row r="23">
      <c r="A23" s="2" t="n"/>
      <c r="B23" s="2" t="n"/>
      <c r="C23" s="2" t="n"/>
      <c r="D23" s="2" t="n"/>
      <c r="E23" s="2" t="n"/>
      <c r="F23" s="2" t="n"/>
      <c r="G23" s="2" t="n"/>
      <c r="H23" s="2" t="n"/>
      <c r="I23" s="2" t="n"/>
      <c r="J23" s="2" t="n"/>
      <c r="K23" s="2" t="n"/>
      <c r="L23" s="2" t="n"/>
      <c r="M23" s="2" t="n"/>
      <c r="N23" s="2" t="n"/>
      <c r="O23" s="2" t="n"/>
      <c r="P23" s="2" t="n"/>
      <c r="Q23" s="2">
        <f>IF(G23="","",TODAY()-G23)</f>
        <v/>
      </c>
    </row>
    <row r="24">
      <c r="A24" s="2" t="n"/>
      <c r="B24" s="2" t="n"/>
      <c r="C24" s="2" t="n"/>
      <c r="D24" s="2" t="n"/>
      <c r="E24" s="2" t="n"/>
      <c r="F24" s="2" t="n"/>
      <c r="G24" s="2" t="n"/>
      <c r="H24" s="2" t="n"/>
      <c r="I24" s="2" t="n"/>
      <c r="J24" s="2" t="n"/>
      <c r="K24" s="2" t="n"/>
      <c r="L24" s="2" t="n"/>
      <c r="M24" s="2" t="n"/>
      <c r="N24" s="2" t="n"/>
      <c r="O24" s="2" t="n"/>
      <c r="P24" s="2" t="n"/>
      <c r="Q24" s="2">
        <f>IF(G24="","",TODAY()-G24)</f>
        <v/>
      </c>
    </row>
    <row r="25">
      <c r="A25" s="2" t="n"/>
      <c r="B25" s="2" t="n"/>
      <c r="C25" s="2" t="n"/>
      <c r="D25" s="2" t="n"/>
      <c r="E25" s="2" t="n"/>
      <c r="F25" s="2" t="n"/>
      <c r="G25" s="2" t="n"/>
      <c r="H25" s="2" t="n"/>
      <c r="I25" s="2" t="n"/>
      <c r="J25" s="2" t="n"/>
      <c r="K25" s="2" t="n"/>
      <c r="L25" s="2" t="n"/>
      <c r="M25" s="2" t="n"/>
      <c r="N25" s="2" t="n"/>
      <c r="O25" s="2" t="n"/>
      <c r="P25" s="2" t="n"/>
      <c r="Q25" s="2">
        <f>IF(G25="","",TODAY()-G25)</f>
        <v/>
      </c>
    </row>
    <row r="26">
      <c r="A26" s="2" t="n"/>
      <c r="B26" s="2" t="n"/>
      <c r="C26" s="2" t="n"/>
      <c r="D26" s="2" t="n"/>
      <c r="E26" s="2" t="n"/>
      <c r="F26" s="2" t="n"/>
      <c r="G26" s="2" t="n"/>
      <c r="H26" s="2" t="n"/>
      <c r="I26" s="2" t="n"/>
      <c r="J26" s="2" t="n"/>
      <c r="K26" s="2" t="n"/>
      <c r="L26" s="2" t="n"/>
      <c r="M26" s="2" t="n"/>
      <c r="N26" s="2" t="n"/>
      <c r="O26" s="2" t="n"/>
      <c r="P26" s="2" t="n"/>
      <c r="Q26" s="2">
        <f>IF(G26="","",TODAY()-G26)</f>
        <v/>
      </c>
    </row>
    <row r="27">
      <c r="A27" s="2" t="n"/>
      <c r="B27" s="2" t="n"/>
      <c r="C27" s="2" t="n"/>
      <c r="D27" s="2" t="n"/>
      <c r="E27" s="2" t="n"/>
      <c r="F27" s="2" t="n"/>
      <c r="G27" s="2" t="n"/>
      <c r="H27" s="2" t="n"/>
      <c r="I27" s="2" t="n"/>
      <c r="J27" s="2" t="n"/>
      <c r="K27" s="2" t="n"/>
      <c r="L27" s="2" t="n"/>
      <c r="M27" s="2" t="n"/>
      <c r="N27" s="2" t="n"/>
      <c r="O27" s="2" t="n"/>
      <c r="P27" s="2" t="n"/>
      <c r="Q27" s="2">
        <f>IF(G27="","",TODAY()-G27)</f>
        <v/>
      </c>
    </row>
    <row r="28">
      <c r="A28" s="2" t="n"/>
      <c r="B28" s="2" t="n"/>
      <c r="C28" s="2" t="n"/>
      <c r="D28" s="2" t="n"/>
      <c r="E28" s="2" t="n"/>
      <c r="F28" s="2" t="n"/>
      <c r="G28" s="2" t="n"/>
      <c r="H28" s="2" t="n"/>
      <c r="I28" s="2" t="n"/>
      <c r="J28" s="2" t="n"/>
      <c r="K28" s="2" t="n"/>
      <c r="L28" s="2" t="n"/>
      <c r="M28" s="2" t="n"/>
      <c r="N28" s="2" t="n"/>
      <c r="O28" s="2" t="n"/>
      <c r="P28" s="2" t="n"/>
      <c r="Q28" s="2">
        <f>IF(G28="","",TODAY()-G28)</f>
        <v/>
      </c>
    </row>
    <row r="29">
      <c r="A29" s="2" t="n"/>
      <c r="B29" s="2" t="n"/>
      <c r="C29" s="2" t="n"/>
      <c r="D29" s="2" t="n"/>
      <c r="E29" s="2" t="n"/>
      <c r="F29" s="2" t="n"/>
      <c r="G29" s="2" t="n"/>
      <c r="H29" s="2" t="n"/>
      <c r="I29" s="2" t="n"/>
      <c r="J29" s="2" t="n"/>
      <c r="K29" s="2" t="n"/>
      <c r="L29" s="2" t="n"/>
      <c r="M29" s="2" t="n"/>
      <c r="N29" s="2" t="n"/>
      <c r="O29" s="2" t="n"/>
      <c r="P29" s="2" t="n"/>
      <c r="Q29" s="2">
        <f>IF(G29="","",TODAY()-G29)</f>
        <v/>
      </c>
    </row>
    <row r="30">
      <c r="A30" s="2" t="n"/>
      <c r="B30" s="2" t="n"/>
      <c r="C30" s="2" t="n"/>
      <c r="D30" s="2" t="n"/>
      <c r="E30" s="2" t="n"/>
      <c r="F30" s="2" t="n"/>
      <c r="G30" s="2" t="n"/>
      <c r="H30" s="2" t="n"/>
      <c r="I30" s="2" t="n"/>
      <c r="J30" s="2" t="n"/>
      <c r="K30" s="2" t="n"/>
      <c r="L30" s="2" t="n"/>
      <c r="M30" s="2" t="n"/>
      <c r="N30" s="2" t="n"/>
      <c r="O30" s="2" t="n"/>
      <c r="P30" s="2" t="n"/>
      <c r="Q30" s="2">
        <f>IF(G30="","",TODAY()-G30)</f>
        <v/>
      </c>
    </row>
    <row r="31">
      <c r="A31" s="2" t="n"/>
      <c r="B31" s="2" t="n"/>
      <c r="C31" s="2" t="n"/>
      <c r="D31" s="2" t="n"/>
      <c r="E31" s="2" t="n"/>
      <c r="F31" s="2" t="n"/>
      <c r="G31" s="2" t="n"/>
      <c r="H31" s="2" t="n"/>
      <c r="I31" s="2" t="n"/>
      <c r="J31" s="2" t="n"/>
      <c r="K31" s="2" t="n"/>
      <c r="L31" s="2" t="n"/>
      <c r="M31" s="2" t="n"/>
      <c r="N31" s="2" t="n"/>
      <c r="O31" s="2" t="n"/>
      <c r="P31" s="2" t="n"/>
      <c r="Q31" s="2">
        <f>IF(G31="","",TODAY()-G31)</f>
        <v/>
      </c>
    </row>
    <row r="32">
      <c r="A32" s="2" t="n"/>
      <c r="B32" s="2" t="n"/>
      <c r="C32" s="2" t="n"/>
      <c r="D32" s="2" t="n"/>
      <c r="E32" s="2" t="n"/>
      <c r="F32" s="2" t="n"/>
      <c r="G32" s="2" t="n"/>
      <c r="H32" s="2" t="n"/>
      <c r="I32" s="2" t="n"/>
      <c r="J32" s="2" t="n"/>
      <c r="K32" s="2" t="n"/>
      <c r="L32" s="2" t="n"/>
      <c r="M32" s="2" t="n"/>
      <c r="N32" s="2" t="n"/>
      <c r="O32" s="2" t="n"/>
      <c r="P32" s="2" t="n"/>
      <c r="Q32" s="2">
        <f>IF(G32="","",TODAY()-G32)</f>
        <v/>
      </c>
    </row>
    <row r="33">
      <c r="A33" s="2" t="n"/>
      <c r="B33" s="2" t="n"/>
      <c r="C33" s="2" t="n"/>
      <c r="D33" s="2" t="n"/>
      <c r="E33" s="2" t="n"/>
      <c r="F33" s="2" t="n"/>
      <c r="G33" s="2" t="n"/>
      <c r="H33" s="2" t="n"/>
      <c r="I33" s="2" t="n"/>
      <c r="J33" s="2" t="n"/>
      <c r="K33" s="2" t="n"/>
      <c r="L33" s="2" t="n"/>
      <c r="M33" s="2" t="n"/>
      <c r="N33" s="2" t="n"/>
      <c r="O33" s="2" t="n"/>
      <c r="P33" s="2" t="n"/>
      <c r="Q33" s="2">
        <f>IF(G33="","",TODAY()-G33)</f>
        <v/>
      </c>
    </row>
    <row r="34">
      <c r="A34" s="2" t="n"/>
      <c r="B34" s="2" t="n"/>
      <c r="C34" s="2" t="n"/>
      <c r="D34" s="2" t="n"/>
      <c r="E34" s="2" t="n"/>
      <c r="F34" s="2" t="n"/>
      <c r="G34" s="2" t="n"/>
      <c r="H34" s="2" t="n"/>
      <c r="I34" s="2" t="n"/>
      <c r="J34" s="2" t="n"/>
      <c r="K34" s="2" t="n"/>
      <c r="L34" s="2" t="n"/>
      <c r="M34" s="2" t="n"/>
      <c r="N34" s="2" t="n"/>
      <c r="O34" s="2" t="n"/>
      <c r="P34" s="2" t="n"/>
      <c r="Q34" s="2">
        <f>IF(G34="","",TODAY()-G34)</f>
        <v/>
      </c>
    </row>
    <row r="35">
      <c r="A35" s="2" t="n"/>
      <c r="B35" s="2" t="n"/>
      <c r="C35" s="2" t="n"/>
      <c r="D35" s="2" t="n"/>
      <c r="E35" s="2" t="n"/>
      <c r="F35" s="2" t="n"/>
      <c r="G35" s="2" t="n"/>
      <c r="H35" s="2" t="n"/>
      <c r="I35" s="2" t="n"/>
      <c r="J35" s="2" t="n"/>
      <c r="K35" s="2" t="n"/>
      <c r="L35" s="2" t="n"/>
      <c r="M35" s="2" t="n"/>
      <c r="N35" s="2" t="n"/>
      <c r="O35" s="2" t="n"/>
      <c r="P35" s="2" t="n"/>
      <c r="Q35" s="2">
        <f>IF(G35="","",TODAY()-G35)</f>
        <v/>
      </c>
    </row>
    <row r="36">
      <c r="A36" s="2" t="n"/>
      <c r="B36" s="2" t="n"/>
      <c r="C36" s="2" t="n"/>
      <c r="D36" s="2" t="n"/>
      <c r="E36" s="2" t="n"/>
      <c r="F36" s="2" t="n"/>
      <c r="G36" s="2" t="n"/>
      <c r="H36" s="2" t="n"/>
      <c r="I36" s="2" t="n"/>
      <c r="J36" s="2" t="n"/>
      <c r="K36" s="2" t="n"/>
      <c r="L36" s="2" t="n"/>
      <c r="M36" s="2" t="n"/>
      <c r="N36" s="2" t="n"/>
      <c r="O36" s="2" t="n"/>
      <c r="P36" s="2" t="n"/>
      <c r="Q36" s="2">
        <f>IF(G36="","",TODAY()-G36)</f>
        <v/>
      </c>
    </row>
    <row r="37">
      <c r="A37" s="2" t="n"/>
      <c r="B37" s="2" t="n"/>
      <c r="C37" s="2" t="n"/>
      <c r="D37" s="2" t="n"/>
      <c r="E37" s="2" t="n"/>
      <c r="F37" s="2" t="n"/>
      <c r="G37" s="2" t="n"/>
      <c r="H37" s="2" t="n"/>
      <c r="I37" s="2" t="n"/>
      <c r="J37" s="2" t="n"/>
      <c r="K37" s="2" t="n"/>
      <c r="L37" s="2" t="n"/>
      <c r="M37" s="2" t="n"/>
      <c r="N37" s="2" t="n"/>
      <c r="O37" s="2" t="n"/>
      <c r="P37" s="2" t="n"/>
      <c r="Q37" s="2">
        <f>IF(G37="","",TODAY()-G37)</f>
        <v/>
      </c>
    </row>
    <row r="38">
      <c r="A38" s="2" t="n"/>
      <c r="B38" s="2" t="n"/>
      <c r="C38" s="2" t="n"/>
      <c r="D38" s="2" t="n"/>
      <c r="E38" s="2" t="n"/>
      <c r="F38" s="2" t="n"/>
      <c r="G38" s="2" t="n"/>
      <c r="H38" s="2" t="n"/>
      <c r="I38" s="2" t="n"/>
      <c r="J38" s="2" t="n"/>
      <c r="K38" s="2" t="n"/>
      <c r="L38" s="2" t="n"/>
      <c r="M38" s="2" t="n"/>
      <c r="N38" s="2" t="n"/>
      <c r="O38" s="2" t="n"/>
      <c r="P38" s="2" t="n"/>
      <c r="Q38" s="2">
        <f>IF(G38="","",TODAY()-G38)</f>
        <v/>
      </c>
    </row>
    <row r="39">
      <c r="A39" s="2" t="n"/>
      <c r="B39" s="2" t="n"/>
      <c r="C39" s="2" t="n"/>
      <c r="D39" s="2" t="n"/>
      <c r="E39" s="2" t="n"/>
      <c r="F39" s="2" t="n"/>
      <c r="G39" s="2" t="n"/>
      <c r="H39" s="2" t="n"/>
      <c r="I39" s="2" t="n"/>
      <c r="J39" s="2" t="n"/>
      <c r="K39" s="2" t="n"/>
      <c r="L39" s="2" t="n"/>
      <c r="M39" s="2" t="n"/>
      <c r="N39" s="2" t="n"/>
      <c r="O39" s="2" t="n"/>
      <c r="P39" s="2" t="n"/>
      <c r="Q39" s="2">
        <f>IF(G39="","",TODAY()-G39)</f>
        <v/>
      </c>
    </row>
    <row r="40">
      <c r="A40" s="2" t="n"/>
      <c r="B40" s="2" t="n"/>
      <c r="C40" s="2" t="n"/>
      <c r="D40" s="2" t="n"/>
      <c r="E40" s="2" t="n"/>
      <c r="F40" s="2" t="n"/>
      <c r="G40" s="2" t="n"/>
      <c r="H40" s="2" t="n"/>
      <c r="I40" s="2" t="n"/>
      <c r="J40" s="2" t="n"/>
      <c r="K40" s="2" t="n"/>
      <c r="L40" s="2" t="n"/>
      <c r="M40" s="2" t="n"/>
      <c r="N40" s="2" t="n"/>
      <c r="O40" s="2" t="n"/>
      <c r="P40" s="2" t="n"/>
      <c r="Q40" s="2">
        <f>IF(G40="","",TODAY()-G40)</f>
        <v/>
      </c>
    </row>
    <row r="41">
      <c r="A41" s="2" t="n"/>
      <c r="B41" s="2" t="n"/>
      <c r="C41" s="2" t="n"/>
      <c r="D41" s="2" t="n"/>
      <c r="E41" s="2" t="n"/>
      <c r="F41" s="2" t="n"/>
      <c r="G41" s="2" t="n"/>
      <c r="H41" s="2" t="n"/>
      <c r="I41" s="2" t="n"/>
      <c r="J41" s="2" t="n"/>
      <c r="K41" s="2" t="n"/>
      <c r="L41" s="2" t="n"/>
      <c r="M41" s="2" t="n"/>
      <c r="N41" s="2" t="n"/>
      <c r="O41" s="2" t="n"/>
      <c r="P41" s="2" t="n"/>
      <c r="Q41" s="2">
        <f>IF(G41="","",TODAY()-G41)</f>
        <v/>
      </c>
    </row>
    <row r="42">
      <c r="A42" s="2" t="n"/>
      <c r="B42" s="2" t="n"/>
      <c r="C42" s="2" t="n"/>
      <c r="D42" s="2" t="n"/>
      <c r="E42" s="2" t="n"/>
      <c r="F42" s="2" t="n"/>
      <c r="G42" s="2" t="n"/>
      <c r="H42" s="2" t="n"/>
      <c r="I42" s="2" t="n"/>
      <c r="J42" s="2" t="n"/>
      <c r="K42" s="2" t="n"/>
      <c r="L42" s="2" t="n"/>
      <c r="M42" s="2" t="n"/>
      <c r="N42" s="2" t="n"/>
      <c r="O42" s="2" t="n"/>
      <c r="P42" s="2" t="n"/>
      <c r="Q42" s="2">
        <f>IF(G42="","",TODAY()-G42)</f>
        <v/>
      </c>
    </row>
    <row r="43">
      <c r="A43" s="2" t="n"/>
      <c r="B43" s="2" t="n"/>
      <c r="C43" s="2" t="n"/>
      <c r="D43" s="2" t="n"/>
      <c r="E43" s="2" t="n"/>
      <c r="F43" s="2" t="n"/>
      <c r="G43" s="2" t="n"/>
      <c r="H43" s="2" t="n"/>
      <c r="I43" s="2" t="n"/>
      <c r="J43" s="2" t="n"/>
      <c r="K43" s="2" t="n"/>
      <c r="L43" s="2" t="n"/>
      <c r="M43" s="2" t="n"/>
      <c r="N43" s="2" t="n"/>
      <c r="O43" s="2" t="n"/>
      <c r="P43" s="2" t="n"/>
      <c r="Q43" s="2">
        <f>IF(G43="","",TODAY()-G43)</f>
        <v/>
      </c>
    </row>
    <row r="44">
      <c r="A44" s="2" t="n"/>
      <c r="B44" s="2" t="n"/>
      <c r="C44" s="2" t="n"/>
      <c r="D44" s="2" t="n"/>
      <c r="E44" s="2" t="n"/>
      <c r="F44" s="2" t="n"/>
      <c r="G44" s="2" t="n"/>
      <c r="H44" s="2" t="n"/>
      <c r="I44" s="2" t="n"/>
      <c r="J44" s="2" t="n"/>
      <c r="K44" s="2" t="n"/>
      <c r="L44" s="2" t="n"/>
      <c r="M44" s="2" t="n"/>
      <c r="N44" s="2" t="n"/>
      <c r="O44" s="2" t="n"/>
      <c r="P44" s="2" t="n"/>
      <c r="Q44" s="2">
        <f>IF(G44="","",TODAY()-G44)</f>
        <v/>
      </c>
    </row>
    <row r="45">
      <c r="A45" s="2" t="n"/>
      <c r="B45" s="2" t="n"/>
      <c r="C45" s="2" t="n"/>
      <c r="D45" s="2" t="n"/>
      <c r="E45" s="2" t="n"/>
      <c r="F45" s="2" t="n"/>
      <c r="G45" s="2" t="n"/>
      <c r="H45" s="2" t="n"/>
      <c r="I45" s="2" t="n"/>
      <c r="J45" s="2" t="n"/>
      <c r="K45" s="2" t="n"/>
      <c r="L45" s="2" t="n"/>
      <c r="M45" s="2" t="n"/>
      <c r="N45" s="2" t="n"/>
      <c r="O45" s="2" t="n"/>
      <c r="P45" s="2" t="n"/>
      <c r="Q45" s="2">
        <f>IF(G45="","",TODAY()-G45)</f>
        <v/>
      </c>
    </row>
    <row r="46">
      <c r="A46" s="2" t="n"/>
      <c r="B46" s="2" t="n"/>
      <c r="C46" s="2" t="n"/>
      <c r="D46" s="2" t="n"/>
      <c r="E46" s="2" t="n"/>
      <c r="F46" s="2" t="n"/>
      <c r="G46" s="2" t="n"/>
      <c r="H46" s="2" t="n"/>
      <c r="I46" s="2" t="n"/>
      <c r="J46" s="2" t="n"/>
      <c r="K46" s="2" t="n"/>
      <c r="L46" s="2" t="n"/>
      <c r="M46" s="2" t="n"/>
      <c r="N46" s="2" t="n"/>
      <c r="O46" s="2" t="n"/>
      <c r="P46" s="2" t="n"/>
      <c r="Q46" s="2">
        <f>IF(G46="","",TODAY()-G46)</f>
        <v/>
      </c>
    </row>
    <row r="47">
      <c r="A47" s="2" t="n"/>
      <c r="B47" s="2" t="n"/>
      <c r="C47" s="2" t="n"/>
      <c r="D47" s="2" t="n"/>
      <c r="E47" s="2" t="n"/>
      <c r="F47" s="2" t="n"/>
      <c r="G47" s="2" t="n"/>
      <c r="H47" s="2" t="n"/>
      <c r="I47" s="2" t="n"/>
      <c r="J47" s="2" t="n"/>
      <c r="K47" s="2" t="n"/>
      <c r="L47" s="2" t="n"/>
      <c r="M47" s="2" t="n"/>
      <c r="N47" s="2" t="n"/>
      <c r="O47" s="2" t="n"/>
      <c r="P47" s="2" t="n"/>
      <c r="Q47" s="2">
        <f>IF(G47="","",TODAY()-G47)</f>
        <v/>
      </c>
    </row>
    <row r="48">
      <c r="A48" s="2" t="n"/>
      <c r="B48" s="2" t="n"/>
      <c r="C48" s="2" t="n"/>
      <c r="D48" s="2" t="n"/>
      <c r="E48" s="2" t="n"/>
      <c r="F48" s="2" t="n"/>
      <c r="G48" s="2" t="n"/>
      <c r="H48" s="2" t="n"/>
      <c r="I48" s="2" t="n"/>
      <c r="J48" s="2" t="n"/>
      <c r="K48" s="2" t="n"/>
      <c r="L48" s="2" t="n"/>
      <c r="M48" s="2" t="n"/>
      <c r="N48" s="2" t="n"/>
      <c r="O48" s="2" t="n"/>
      <c r="P48" s="2" t="n"/>
      <c r="Q48" s="2">
        <f>IF(G48="","",TODAY()-G48)</f>
        <v/>
      </c>
    </row>
    <row r="49">
      <c r="A49" s="2" t="n"/>
      <c r="B49" s="2" t="n"/>
      <c r="C49" s="2" t="n"/>
      <c r="D49" s="2" t="n"/>
      <c r="E49" s="2" t="n"/>
      <c r="F49" s="2" t="n"/>
      <c r="G49" s="2" t="n"/>
      <c r="H49" s="2" t="n"/>
      <c r="I49" s="2" t="n"/>
      <c r="J49" s="2" t="n"/>
      <c r="K49" s="2" t="n"/>
      <c r="L49" s="2" t="n"/>
      <c r="M49" s="2" t="n"/>
      <c r="N49" s="2" t="n"/>
      <c r="O49" s="2" t="n"/>
      <c r="P49" s="2" t="n"/>
      <c r="Q49" s="2">
        <f>IF(G49="","",TODAY()-G49)</f>
        <v/>
      </c>
    </row>
    <row r="50">
      <c r="A50" s="2" t="n"/>
      <c r="B50" s="2" t="n"/>
      <c r="C50" s="2" t="n"/>
      <c r="D50" s="2" t="n"/>
      <c r="E50" s="2" t="n"/>
      <c r="F50" s="2" t="n"/>
      <c r="G50" s="2" t="n"/>
      <c r="H50" s="2" t="n"/>
      <c r="I50" s="2" t="n"/>
      <c r="J50" s="2" t="n"/>
      <c r="K50" s="2" t="n"/>
      <c r="L50" s="2" t="n"/>
      <c r="M50" s="2" t="n"/>
      <c r="N50" s="2" t="n"/>
      <c r="O50" s="2" t="n"/>
      <c r="P50" s="2" t="n"/>
      <c r="Q50" s="2">
        <f>IF(G50="","",TODAY()-G50)</f>
        <v/>
      </c>
    </row>
    <row r="51">
      <c r="A51" s="2" t="n"/>
      <c r="B51" s="2" t="n"/>
      <c r="C51" s="2" t="n"/>
      <c r="D51" s="2" t="n"/>
      <c r="E51" s="2" t="n"/>
      <c r="F51" s="2" t="n"/>
      <c r="G51" s="2" t="n"/>
      <c r="H51" s="2" t="n"/>
      <c r="I51" s="2" t="n"/>
      <c r="J51" s="2" t="n"/>
      <c r="K51" s="2" t="n"/>
      <c r="L51" s="2" t="n"/>
      <c r="M51" s="2" t="n"/>
      <c r="N51" s="2" t="n"/>
      <c r="O51" s="2" t="n"/>
      <c r="P51" s="2" t="n"/>
      <c r="Q51" s="2">
        <f>IF(G51="","",TODAY()-G51)</f>
        <v/>
      </c>
    </row>
    <row r="52">
      <c r="A52" s="2" t="n"/>
      <c r="B52" s="2" t="n"/>
      <c r="C52" s="2" t="n"/>
      <c r="D52" s="2" t="n"/>
      <c r="E52" s="2" t="n"/>
      <c r="F52" s="2" t="n"/>
      <c r="G52" s="2" t="n"/>
      <c r="H52" s="2" t="n"/>
      <c r="I52" s="2" t="n"/>
      <c r="J52" s="2" t="n"/>
      <c r="K52" s="2" t="n"/>
      <c r="L52" s="2" t="n"/>
      <c r="M52" s="2" t="n"/>
      <c r="N52" s="2" t="n"/>
      <c r="O52" s="2" t="n"/>
      <c r="P52" s="2" t="n"/>
      <c r="Q52" s="2">
        <f>IF(G52="","",TODAY()-G52)</f>
        <v/>
      </c>
    </row>
    <row r="53">
      <c r="A53" s="2" t="n"/>
      <c r="B53" s="2" t="n"/>
      <c r="C53" s="2" t="n"/>
      <c r="D53" s="2" t="n"/>
      <c r="E53" s="2" t="n"/>
      <c r="F53" s="2" t="n"/>
      <c r="G53" s="2" t="n"/>
      <c r="H53" s="2" t="n"/>
      <c r="I53" s="2" t="n"/>
      <c r="J53" s="2" t="n"/>
      <c r="K53" s="2" t="n"/>
      <c r="L53" s="2" t="n"/>
      <c r="M53" s="2" t="n"/>
      <c r="N53" s="2" t="n"/>
      <c r="O53" s="2" t="n"/>
      <c r="P53" s="2" t="n"/>
      <c r="Q53" s="2">
        <f>IF(G53="","",TODAY()-G53)</f>
        <v/>
      </c>
    </row>
    <row r="54">
      <c r="A54" s="2" t="n"/>
      <c r="B54" s="2" t="n"/>
      <c r="C54" s="2" t="n"/>
      <c r="D54" s="2" t="n"/>
      <c r="E54" s="2" t="n"/>
      <c r="F54" s="2" t="n"/>
      <c r="G54" s="2" t="n"/>
      <c r="H54" s="2" t="n"/>
      <c r="I54" s="2" t="n"/>
      <c r="J54" s="2" t="n"/>
      <c r="K54" s="2" t="n"/>
      <c r="L54" s="2" t="n"/>
      <c r="M54" s="2" t="n"/>
      <c r="N54" s="2" t="n"/>
      <c r="O54" s="2" t="n"/>
      <c r="P54" s="2" t="n"/>
      <c r="Q54" s="2">
        <f>IF(G54="","",TODAY()-G54)</f>
        <v/>
      </c>
    </row>
    <row r="55">
      <c r="A55" s="2" t="n"/>
      <c r="B55" s="2" t="n"/>
      <c r="C55" s="2" t="n"/>
      <c r="D55" s="2" t="n"/>
      <c r="E55" s="2" t="n"/>
      <c r="F55" s="2" t="n"/>
      <c r="G55" s="2" t="n"/>
      <c r="H55" s="2" t="n"/>
      <c r="I55" s="2" t="n"/>
      <c r="J55" s="2" t="n"/>
      <c r="K55" s="2" t="n"/>
      <c r="L55" s="2" t="n"/>
      <c r="M55" s="2" t="n"/>
      <c r="N55" s="2" t="n"/>
      <c r="O55" s="2" t="n"/>
      <c r="P55" s="2" t="n"/>
      <c r="Q55" s="2">
        <f>IF(G55="","",TODAY()-G55)</f>
        <v/>
      </c>
    </row>
    <row r="56">
      <c r="A56" s="2" t="n"/>
      <c r="B56" s="2" t="n"/>
      <c r="C56" s="2" t="n"/>
      <c r="D56" s="2" t="n"/>
      <c r="E56" s="2" t="n"/>
      <c r="F56" s="2" t="n"/>
      <c r="G56" s="2" t="n"/>
      <c r="H56" s="2" t="n"/>
      <c r="I56" s="2" t="n"/>
      <c r="J56" s="2" t="n"/>
      <c r="K56" s="2" t="n"/>
      <c r="L56" s="2" t="n"/>
      <c r="M56" s="2" t="n"/>
      <c r="N56" s="2" t="n"/>
      <c r="O56" s="2" t="n"/>
      <c r="P56" s="2" t="n"/>
      <c r="Q56" s="2">
        <f>IF(G56="","",TODAY()-G56)</f>
        <v/>
      </c>
    </row>
    <row r="57">
      <c r="A57" s="2" t="n"/>
      <c r="B57" s="2" t="n"/>
      <c r="C57" s="2" t="n"/>
      <c r="D57" s="2" t="n"/>
      <c r="E57" s="2" t="n"/>
      <c r="F57" s="2" t="n"/>
      <c r="G57" s="2" t="n"/>
      <c r="H57" s="2" t="n"/>
      <c r="I57" s="2" t="n"/>
      <c r="J57" s="2" t="n"/>
      <c r="K57" s="2" t="n"/>
      <c r="L57" s="2" t="n"/>
      <c r="M57" s="2" t="n"/>
      <c r="N57" s="2" t="n"/>
      <c r="O57" s="2" t="n"/>
      <c r="P57" s="2" t="n"/>
      <c r="Q57" s="2">
        <f>IF(G57="","",TODAY()-G57)</f>
        <v/>
      </c>
    </row>
    <row r="58">
      <c r="A58" s="2" t="n"/>
      <c r="B58" s="2" t="n"/>
      <c r="C58" s="2" t="n"/>
      <c r="D58" s="2" t="n"/>
      <c r="E58" s="2" t="n"/>
      <c r="F58" s="2" t="n"/>
      <c r="G58" s="2" t="n"/>
      <c r="H58" s="2" t="n"/>
      <c r="I58" s="2" t="n"/>
      <c r="J58" s="2" t="n"/>
      <c r="K58" s="2" t="n"/>
      <c r="L58" s="2" t="n"/>
      <c r="M58" s="2" t="n"/>
      <c r="N58" s="2" t="n"/>
      <c r="O58" s="2" t="n"/>
      <c r="P58" s="2" t="n"/>
      <c r="Q58" s="2">
        <f>IF(G58="","",TODAY()-G58)</f>
        <v/>
      </c>
    </row>
    <row r="59">
      <c r="A59" s="2" t="n"/>
      <c r="B59" s="2" t="n"/>
      <c r="C59" s="2" t="n"/>
      <c r="D59" s="2" t="n"/>
      <c r="E59" s="2" t="n"/>
      <c r="F59" s="2" t="n"/>
      <c r="G59" s="2" t="n"/>
      <c r="H59" s="2" t="n"/>
      <c r="I59" s="2" t="n"/>
      <c r="J59" s="2" t="n"/>
      <c r="K59" s="2" t="n"/>
      <c r="L59" s="2" t="n"/>
      <c r="M59" s="2" t="n"/>
      <c r="N59" s="2" t="n"/>
      <c r="O59" s="2" t="n"/>
      <c r="P59" s="2" t="n"/>
      <c r="Q59" s="2">
        <f>IF(G59="","",TODAY()-G59)</f>
        <v/>
      </c>
    </row>
    <row r="60">
      <c r="A60" s="2" t="n"/>
      <c r="B60" s="2" t="n"/>
      <c r="C60" s="2" t="n"/>
      <c r="D60" s="2" t="n"/>
      <c r="E60" s="2" t="n"/>
      <c r="F60" s="2" t="n"/>
      <c r="G60" s="2" t="n"/>
      <c r="H60" s="2" t="n"/>
      <c r="I60" s="2" t="n"/>
      <c r="J60" s="2" t="n"/>
      <c r="K60" s="2" t="n"/>
      <c r="L60" s="2" t="n"/>
      <c r="M60" s="2" t="n"/>
      <c r="N60" s="2" t="n"/>
      <c r="O60" s="2" t="n"/>
      <c r="P60" s="2" t="n"/>
      <c r="Q60" s="2">
        <f>IF(G60="","",TODAY()-G60)</f>
        <v/>
      </c>
    </row>
    <row r="61">
      <c r="A61" s="2" t="n"/>
      <c r="B61" s="2" t="n"/>
      <c r="C61" s="2" t="n"/>
      <c r="D61" s="2" t="n"/>
      <c r="E61" s="2" t="n"/>
      <c r="F61" s="2" t="n"/>
      <c r="G61" s="2" t="n"/>
      <c r="H61" s="2" t="n"/>
      <c r="I61" s="2" t="n"/>
      <c r="J61" s="2" t="n"/>
      <c r="K61" s="2" t="n"/>
      <c r="L61" s="2" t="n"/>
      <c r="M61" s="2" t="n"/>
      <c r="N61" s="2" t="n"/>
      <c r="O61" s="2" t="n"/>
      <c r="P61" s="2" t="n"/>
      <c r="Q61" s="2">
        <f>IF(G61="","",TODAY()-G61)</f>
        <v/>
      </c>
    </row>
    <row r="62">
      <c r="A62" s="2" t="n"/>
      <c r="B62" s="2" t="n"/>
      <c r="C62" s="2" t="n"/>
      <c r="D62" s="2" t="n"/>
      <c r="E62" s="2" t="n"/>
      <c r="F62" s="2" t="n"/>
      <c r="G62" s="2" t="n"/>
      <c r="H62" s="2" t="n"/>
      <c r="I62" s="2" t="n"/>
      <c r="J62" s="2" t="n"/>
      <c r="K62" s="2" t="n"/>
      <c r="L62" s="2" t="n"/>
      <c r="M62" s="2" t="n"/>
      <c r="N62" s="2" t="n"/>
      <c r="O62" s="2" t="n"/>
      <c r="P62" s="2" t="n"/>
      <c r="Q62" s="2">
        <f>IF(G62="","",TODAY()-G62)</f>
        <v/>
      </c>
    </row>
    <row r="63">
      <c r="A63" s="2" t="n"/>
      <c r="B63" s="2" t="n"/>
      <c r="C63" s="2" t="n"/>
      <c r="D63" s="2" t="n"/>
      <c r="E63" s="2" t="n"/>
      <c r="F63" s="2" t="n"/>
      <c r="G63" s="2" t="n"/>
      <c r="H63" s="2" t="n"/>
      <c r="I63" s="2" t="n"/>
      <c r="J63" s="2" t="n"/>
      <c r="K63" s="2" t="n"/>
      <c r="L63" s="2" t="n"/>
      <c r="M63" s="2" t="n"/>
      <c r="N63" s="2" t="n"/>
      <c r="O63" s="2" t="n"/>
      <c r="P63" s="2" t="n"/>
      <c r="Q63" s="2">
        <f>IF(G63="","",TODAY()-G63)</f>
        <v/>
      </c>
    </row>
    <row r="64">
      <c r="A64" s="2" t="n"/>
      <c r="B64" s="2" t="n"/>
      <c r="C64" s="2" t="n"/>
      <c r="D64" s="2" t="n"/>
      <c r="E64" s="2" t="n"/>
      <c r="F64" s="2" t="n"/>
      <c r="G64" s="2" t="n"/>
      <c r="H64" s="2" t="n"/>
      <c r="I64" s="2" t="n"/>
      <c r="J64" s="2" t="n"/>
      <c r="K64" s="2" t="n"/>
      <c r="L64" s="2" t="n"/>
      <c r="M64" s="2" t="n"/>
      <c r="N64" s="2" t="n"/>
      <c r="O64" s="2" t="n"/>
      <c r="P64" s="2" t="n"/>
      <c r="Q64" s="2">
        <f>IF(G64="","",TODAY()-G64)</f>
        <v/>
      </c>
    </row>
    <row r="65">
      <c r="A65" s="2" t="n"/>
      <c r="B65" s="2" t="n"/>
      <c r="C65" s="2" t="n"/>
      <c r="D65" s="2" t="n"/>
      <c r="E65" s="2" t="n"/>
      <c r="F65" s="2" t="n"/>
      <c r="G65" s="2" t="n"/>
      <c r="H65" s="2" t="n"/>
      <c r="I65" s="2" t="n"/>
      <c r="J65" s="2" t="n"/>
      <c r="K65" s="2" t="n"/>
      <c r="L65" s="2" t="n"/>
      <c r="M65" s="2" t="n"/>
      <c r="N65" s="2" t="n"/>
      <c r="O65" s="2" t="n"/>
      <c r="P65" s="2" t="n"/>
      <c r="Q65" s="2">
        <f>IF(G65="","",TODAY()-G65)</f>
        <v/>
      </c>
    </row>
    <row r="66">
      <c r="A66" s="2" t="n"/>
      <c r="B66" s="2" t="n"/>
      <c r="C66" s="2" t="n"/>
      <c r="D66" s="2" t="n"/>
      <c r="E66" s="2" t="n"/>
      <c r="F66" s="2" t="n"/>
      <c r="G66" s="2" t="n"/>
      <c r="H66" s="2" t="n"/>
      <c r="I66" s="2" t="n"/>
      <c r="J66" s="2" t="n"/>
      <c r="K66" s="2" t="n"/>
      <c r="L66" s="2" t="n"/>
      <c r="M66" s="2" t="n"/>
      <c r="N66" s="2" t="n"/>
      <c r="O66" s="2" t="n"/>
      <c r="P66" s="2" t="n"/>
      <c r="Q66" s="2">
        <f>IF(G66="","",TODAY()-G66)</f>
        <v/>
      </c>
    </row>
    <row r="67">
      <c r="A67" s="2" t="n"/>
      <c r="B67" s="2" t="n"/>
      <c r="C67" s="2" t="n"/>
      <c r="D67" s="2" t="n"/>
      <c r="E67" s="2" t="n"/>
      <c r="F67" s="2" t="n"/>
      <c r="G67" s="2" t="n"/>
      <c r="H67" s="2" t="n"/>
      <c r="I67" s="2" t="n"/>
      <c r="J67" s="2" t="n"/>
      <c r="K67" s="2" t="n"/>
      <c r="L67" s="2" t="n"/>
      <c r="M67" s="2" t="n"/>
      <c r="N67" s="2" t="n"/>
      <c r="O67" s="2" t="n"/>
      <c r="P67" s="2" t="n"/>
      <c r="Q67" s="2">
        <f>IF(G67="","",TODAY()-G67)</f>
        <v/>
      </c>
    </row>
    <row r="68">
      <c r="A68" s="2" t="n"/>
      <c r="B68" s="2" t="n"/>
      <c r="C68" s="2" t="n"/>
      <c r="D68" s="2" t="n"/>
      <c r="E68" s="2" t="n"/>
      <c r="F68" s="2" t="n"/>
      <c r="G68" s="2" t="n"/>
      <c r="H68" s="2" t="n"/>
      <c r="I68" s="2" t="n"/>
      <c r="J68" s="2" t="n"/>
      <c r="K68" s="2" t="n"/>
      <c r="L68" s="2" t="n"/>
      <c r="M68" s="2" t="n"/>
      <c r="N68" s="2" t="n"/>
      <c r="O68" s="2" t="n"/>
      <c r="P68" s="2" t="n"/>
      <c r="Q68" s="2">
        <f>IF(G68="","",TODAY()-G68)</f>
        <v/>
      </c>
    </row>
    <row r="69">
      <c r="A69" s="2" t="n"/>
      <c r="B69" s="2" t="n"/>
      <c r="C69" s="2" t="n"/>
      <c r="D69" s="2" t="n"/>
      <c r="E69" s="2" t="n"/>
      <c r="F69" s="2" t="n"/>
      <c r="G69" s="2" t="n"/>
      <c r="H69" s="2" t="n"/>
      <c r="I69" s="2" t="n"/>
      <c r="J69" s="2" t="n"/>
      <c r="K69" s="2" t="n"/>
      <c r="L69" s="2" t="n"/>
      <c r="M69" s="2" t="n"/>
      <c r="N69" s="2" t="n"/>
      <c r="O69" s="2" t="n"/>
      <c r="P69" s="2" t="n"/>
      <c r="Q69" s="2">
        <f>IF(G69="","",TODAY()-G69)</f>
        <v/>
      </c>
    </row>
    <row r="70">
      <c r="A70" s="2" t="n"/>
      <c r="B70" s="2" t="n"/>
      <c r="C70" s="2" t="n"/>
      <c r="D70" s="2" t="n"/>
      <c r="E70" s="2" t="n"/>
      <c r="F70" s="2" t="n"/>
      <c r="G70" s="2" t="n"/>
      <c r="H70" s="2" t="n"/>
      <c r="I70" s="2" t="n"/>
      <c r="J70" s="2" t="n"/>
      <c r="K70" s="2" t="n"/>
      <c r="L70" s="2" t="n"/>
      <c r="M70" s="2" t="n"/>
      <c r="N70" s="2" t="n"/>
      <c r="O70" s="2" t="n"/>
      <c r="P70" s="2" t="n"/>
      <c r="Q70" s="2">
        <f>IF(G70="","",TODAY()-G70)</f>
        <v/>
      </c>
    </row>
    <row r="71">
      <c r="A71" s="2" t="n"/>
      <c r="B71" s="2" t="n"/>
      <c r="C71" s="2" t="n"/>
      <c r="D71" s="2" t="n"/>
      <c r="E71" s="2" t="n"/>
      <c r="F71" s="2" t="n"/>
      <c r="G71" s="2" t="n"/>
      <c r="H71" s="2" t="n"/>
      <c r="I71" s="2" t="n"/>
      <c r="J71" s="2" t="n"/>
      <c r="K71" s="2" t="n"/>
      <c r="L71" s="2" t="n"/>
      <c r="M71" s="2" t="n"/>
      <c r="N71" s="2" t="n"/>
      <c r="O71" s="2" t="n"/>
      <c r="P71" s="2" t="n"/>
      <c r="Q71" s="2">
        <f>IF(G71="","",TODAY()-G71)</f>
        <v/>
      </c>
    </row>
    <row r="72">
      <c r="A72" s="2" t="n"/>
      <c r="B72" s="2" t="n"/>
      <c r="C72" s="2" t="n"/>
      <c r="D72" s="2" t="n"/>
      <c r="E72" s="2" t="n"/>
      <c r="F72" s="2" t="n"/>
      <c r="G72" s="2" t="n"/>
      <c r="H72" s="2" t="n"/>
      <c r="I72" s="2" t="n"/>
      <c r="J72" s="2" t="n"/>
      <c r="K72" s="2" t="n"/>
      <c r="L72" s="2" t="n"/>
      <c r="M72" s="2" t="n"/>
      <c r="N72" s="2" t="n"/>
      <c r="O72" s="2" t="n"/>
      <c r="P72" s="2" t="n"/>
      <c r="Q72" s="2">
        <f>IF(G72="","",TODAY()-G72)</f>
        <v/>
      </c>
    </row>
    <row r="73">
      <c r="A73" s="2" t="n"/>
      <c r="B73" s="2" t="n"/>
      <c r="C73" s="2" t="n"/>
      <c r="D73" s="2" t="n"/>
      <c r="E73" s="2" t="n"/>
      <c r="F73" s="2" t="n"/>
      <c r="G73" s="2" t="n"/>
      <c r="H73" s="2" t="n"/>
      <c r="I73" s="2" t="n"/>
      <c r="J73" s="2" t="n"/>
      <c r="K73" s="2" t="n"/>
      <c r="L73" s="2" t="n"/>
      <c r="M73" s="2" t="n"/>
      <c r="N73" s="2" t="n"/>
      <c r="O73" s="2" t="n"/>
      <c r="P73" s="2" t="n"/>
      <c r="Q73" s="2">
        <f>IF(G73="","",TODAY()-G73)</f>
        <v/>
      </c>
    </row>
    <row r="74">
      <c r="A74" s="2" t="n"/>
      <c r="B74" s="2" t="n"/>
      <c r="C74" s="2" t="n"/>
      <c r="D74" s="2" t="n"/>
      <c r="E74" s="2" t="n"/>
      <c r="F74" s="2" t="n"/>
      <c r="G74" s="2" t="n"/>
      <c r="H74" s="2" t="n"/>
      <c r="I74" s="2" t="n"/>
      <c r="J74" s="2" t="n"/>
      <c r="K74" s="2" t="n"/>
      <c r="L74" s="2" t="n"/>
      <c r="M74" s="2" t="n"/>
      <c r="N74" s="2" t="n"/>
      <c r="O74" s="2" t="n"/>
      <c r="P74" s="2" t="n"/>
      <c r="Q74" s="2">
        <f>IF(G74="","",TODAY()-G74)</f>
        <v/>
      </c>
    </row>
    <row r="75">
      <c r="A75" s="2" t="n"/>
      <c r="B75" s="2" t="n"/>
      <c r="C75" s="2" t="n"/>
      <c r="D75" s="2" t="n"/>
      <c r="E75" s="2" t="n"/>
      <c r="F75" s="2" t="n"/>
      <c r="G75" s="2" t="n"/>
      <c r="H75" s="2" t="n"/>
      <c r="I75" s="2" t="n"/>
      <c r="J75" s="2" t="n"/>
      <c r="K75" s="2" t="n"/>
      <c r="L75" s="2" t="n"/>
      <c r="M75" s="2" t="n"/>
      <c r="N75" s="2" t="n"/>
      <c r="O75" s="2" t="n"/>
      <c r="P75" s="2" t="n"/>
      <c r="Q75" s="2">
        <f>IF(G75="","",TODAY()-G75)</f>
        <v/>
      </c>
    </row>
    <row r="76">
      <c r="A76" s="2" t="n"/>
      <c r="B76" s="2" t="n"/>
      <c r="C76" s="2" t="n"/>
      <c r="D76" s="2" t="n"/>
      <c r="E76" s="2" t="n"/>
      <c r="F76" s="2" t="n"/>
      <c r="G76" s="2" t="n"/>
      <c r="H76" s="2" t="n"/>
      <c r="I76" s="2" t="n"/>
      <c r="J76" s="2" t="n"/>
      <c r="K76" s="2" t="n"/>
      <c r="L76" s="2" t="n"/>
      <c r="M76" s="2" t="n"/>
      <c r="N76" s="2" t="n"/>
      <c r="O76" s="2" t="n"/>
      <c r="P76" s="2" t="n"/>
      <c r="Q76" s="2">
        <f>IF(G76="","",TODAY()-G76)</f>
        <v/>
      </c>
    </row>
    <row r="77">
      <c r="A77" s="2" t="n"/>
      <c r="B77" s="2" t="n"/>
      <c r="C77" s="2" t="n"/>
      <c r="D77" s="2" t="n"/>
      <c r="E77" s="2" t="n"/>
      <c r="F77" s="2" t="n"/>
      <c r="G77" s="2" t="n"/>
      <c r="H77" s="2" t="n"/>
      <c r="I77" s="2" t="n"/>
      <c r="J77" s="2" t="n"/>
      <c r="K77" s="2" t="n"/>
      <c r="L77" s="2" t="n"/>
      <c r="M77" s="2" t="n"/>
      <c r="N77" s="2" t="n"/>
      <c r="O77" s="2" t="n"/>
      <c r="P77" s="2" t="n"/>
      <c r="Q77" s="2">
        <f>IF(G77="","",TODAY()-G77)</f>
        <v/>
      </c>
    </row>
    <row r="78">
      <c r="A78" s="2" t="n"/>
      <c r="B78" s="2" t="n"/>
      <c r="C78" s="2" t="n"/>
      <c r="D78" s="2" t="n"/>
      <c r="E78" s="2" t="n"/>
      <c r="F78" s="2" t="n"/>
      <c r="G78" s="2" t="n"/>
      <c r="H78" s="2" t="n"/>
      <c r="I78" s="2" t="n"/>
      <c r="J78" s="2" t="n"/>
      <c r="K78" s="2" t="n"/>
      <c r="L78" s="2" t="n"/>
      <c r="M78" s="2" t="n"/>
      <c r="N78" s="2" t="n"/>
      <c r="O78" s="2" t="n"/>
      <c r="P78" s="2" t="n"/>
      <c r="Q78" s="2">
        <f>IF(G78="","",TODAY()-G78)</f>
        <v/>
      </c>
    </row>
    <row r="79">
      <c r="A79" s="2" t="n"/>
      <c r="B79" s="2" t="n"/>
      <c r="C79" s="2" t="n"/>
      <c r="D79" s="2" t="n"/>
      <c r="E79" s="2" t="n"/>
      <c r="F79" s="2" t="n"/>
      <c r="G79" s="2" t="n"/>
      <c r="H79" s="2" t="n"/>
      <c r="I79" s="2" t="n"/>
      <c r="J79" s="2" t="n"/>
      <c r="K79" s="2" t="n"/>
      <c r="L79" s="2" t="n"/>
      <c r="M79" s="2" t="n"/>
      <c r="N79" s="2" t="n"/>
      <c r="O79" s="2" t="n"/>
      <c r="P79" s="2" t="n"/>
      <c r="Q79" s="2">
        <f>IF(G79="","",TODAY()-G79)</f>
        <v/>
      </c>
    </row>
    <row r="80">
      <c r="A80" s="2" t="n"/>
      <c r="B80" s="2" t="n"/>
      <c r="C80" s="2" t="n"/>
      <c r="D80" s="2" t="n"/>
      <c r="E80" s="2" t="n"/>
      <c r="F80" s="2" t="n"/>
      <c r="G80" s="2" t="n"/>
      <c r="H80" s="2" t="n"/>
      <c r="I80" s="2" t="n"/>
      <c r="J80" s="2" t="n"/>
      <c r="K80" s="2" t="n"/>
      <c r="L80" s="2" t="n"/>
      <c r="M80" s="2" t="n"/>
      <c r="N80" s="2" t="n"/>
      <c r="O80" s="2" t="n"/>
      <c r="P80" s="2" t="n"/>
      <c r="Q80" s="2">
        <f>IF(G80="","",TODAY()-G80)</f>
        <v/>
      </c>
    </row>
    <row r="81">
      <c r="A81" s="2" t="n"/>
      <c r="B81" s="2" t="n"/>
      <c r="C81" s="2" t="n"/>
      <c r="D81" s="2" t="n"/>
      <c r="E81" s="2" t="n"/>
      <c r="F81" s="2" t="n"/>
      <c r="G81" s="2" t="n"/>
      <c r="H81" s="2" t="n"/>
      <c r="I81" s="2" t="n"/>
      <c r="J81" s="2" t="n"/>
      <c r="K81" s="2" t="n"/>
      <c r="L81" s="2" t="n"/>
      <c r="M81" s="2" t="n"/>
      <c r="N81" s="2" t="n"/>
      <c r="O81" s="2" t="n"/>
      <c r="P81" s="2" t="n"/>
      <c r="Q81" s="2">
        <f>IF(G81="","",TODAY()-G81)</f>
        <v/>
      </c>
    </row>
    <row r="82">
      <c r="A82" s="2" t="n"/>
      <c r="B82" s="2" t="n"/>
      <c r="C82" s="2" t="n"/>
      <c r="D82" s="2" t="n"/>
      <c r="E82" s="2" t="n"/>
      <c r="F82" s="2" t="n"/>
      <c r="G82" s="2" t="n"/>
      <c r="H82" s="2" t="n"/>
      <c r="I82" s="2" t="n"/>
      <c r="J82" s="2" t="n"/>
      <c r="K82" s="2" t="n"/>
      <c r="L82" s="2" t="n"/>
      <c r="M82" s="2" t="n"/>
      <c r="N82" s="2" t="n"/>
      <c r="O82" s="2" t="n"/>
      <c r="P82" s="2" t="n"/>
      <c r="Q82" s="2">
        <f>IF(G82="","",TODAY()-G82)</f>
        <v/>
      </c>
    </row>
    <row r="83">
      <c r="A83" s="2" t="n"/>
      <c r="B83" s="2" t="n"/>
      <c r="C83" s="2" t="n"/>
      <c r="D83" s="2" t="n"/>
      <c r="E83" s="2" t="n"/>
      <c r="F83" s="2" t="n"/>
      <c r="G83" s="2" t="n"/>
      <c r="H83" s="2" t="n"/>
      <c r="I83" s="2" t="n"/>
      <c r="J83" s="2" t="n"/>
      <c r="K83" s="2" t="n"/>
      <c r="L83" s="2" t="n"/>
      <c r="M83" s="2" t="n"/>
      <c r="N83" s="2" t="n"/>
      <c r="O83" s="2" t="n"/>
      <c r="P83" s="2" t="n"/>
      <c r="Q83" s="2">
        <f>IF(G83="","",TODAY()-G83)</f>
        <v/>
      </c>
    </row>
    <row r="84">
      <c r="A84" s="2" t="n"/>
      <c r="B84" s="2" t="n"/>
      <c r="C84" s="2" t="n"/>
      <c r="D84" s="2" t="n"/>
      <c r="E84" s="2" t="n"/>
      <c r="F84" s="2" t="n"/>
      <c r="G84" s="2" t="n"/>
      <c r="H84" s="2" t="n"/>
      <c r="I84" s="2" t="n"/>
      <c r="J84" s="2" t="n"/>
      <c r="K84" s="2" t="n"/>
      <c r="L84" s="2" t="n"/>
      <c r="M84" s="2" t="n"/>
      <c r="N84" s="2" t="n"/>
      <c r="O84" s="2" t="n"/>
      <c r="P84" s="2" t="n"/>
      <c r="Q84" s="2">
        <f>IF(G84="","",TODAY()-G84)</f>
        <v/>
      </c>
    </row>
    <row r="85">
      <c r="A85" s="2" t="n"/>
      <c r="B85" s="2" t="n"/>
      <c r="C85" s="2" t="n"/>
      <c r="D85" s="2" t="n"/>
      <c r="E85" s="2" t="n"/>
      <c r="F85" s="2" t="n"/>
      <c r="G85" s="2" t="n"/>
      <c r="H85" s="2" t="n"/>
      <c r="I85" s="2" t="n"/>
      <c r="J85" s="2" t="n"/>
      <c r="K85" s="2" t="n"/>
      <c r="L85" s="2" t="n"/>
      <c r="M85" s="2" t="n"/>
      <c r="N85" s="2" t="n"/>
      <c r="O85" s="2" t="n"/>
      <c r="P85" s="2" t="n"/>
      <c r="Q85" s="2">
        <f>IF(G85="","",TODAY()-G85)</f>
        <v/>
      </c>
    </row>
    <row r="86">
      <c r="A86" s="2" t="n"/>
      <c r="B86" s="2" t="n"/>
      <c r="C86" s="2" t="n"/>
      <c r="D86" s="2" t="n"/>
      <c r="E86" s="2" t="n"/>
      <c r="F86" s="2" t="n"/>
      <c r="G86" s="2" t="n"/>
      <c r="H86" s="2" t="n"/>
      <c r="I86" s="2" t="n"/>
      <c r="J86" s="2" t="n"/>
      <c r="K86" s="2" t="n"/>
      <c r="L86" s="2" t="n"/>
      <c r="M86" s="2" t="n"/>
      <c r="N86" s="2" t="n"/>
      <c r="O86" s="2" t="n"/>
      <c r="P86" s="2" t="n"/>
      <c r="Q86" s="2">
        <f>IF(G86="","",TODAY()-G86)</f>
        <v/>
      </c>
    </row>
    <row r="87">
      <c r="A87" s="2" t="n"/>
      <c r="B87" s="2" t="n"/>
      <c r="C87" s="2" t="n"/>
      <c r="D87" s="2" t="n"/>
      <c r="E87" s="2" t="n"/>
      <c r="F87" s="2" t="n"/>
      <c r="G87" s="2" t="n"/>
      <c r="H87" s="2" t="n"/>
      <c r="I87" s="2" t="n"/>
      <c r="J87" s="2" t="n"/>
      <c r="K87" s="2" t="n"/>
      <c r="L87" s="2" t="n"/>
      <c r="M87" s="2" t="n"/>
      <c r="N87" s="2" t="n"/>
      <c r="O87" s="2" t="n"/>
      <c r="P87" s="2" t="n"/>
      <c r="Q87" s="2">
        <f>IF(G87="","",TODAY()-G87)</f>
        <v/>
      </c>
    </row>
    <row r="88">
      <c r="A88" s="2" t="n"/>
      <c r="B88" s="2" t="n"/>
      <c r="C88" s="2" t="n"/>
      <c r="D88" s="2" t="n"/>
      <c r="E88" s="2" t="n"/>
      <c r="F88" s="2" t="n"/>
      <c r="G88" s="2" t="n"/>
      <c r="H88" s="2" t="n"/>
      <c r="I88" s="2" t="n"/>
      <c r="J88" s="2" t="n"/>
      <c r="K88" s="2" t="n"/>
      <c r="L88" s="2" t="n"/>
      <c r="M88" s="2" t="n"/>
      <c r="N88" s="2" t="n"/>
      <c r="O88" s="2" t="n"/>
      <c r="P88" s="2" t="n"/>
      <c r="Q88" s="2">
        <f>IF(G88="","",TODAY()-G88)</f>
        <v/>
      </c>
    </row>
    <row r="89">
      <c r="A89" s="2" t="n"/>
      <c r="B89" s="2" t="n"/>
      <c r="C89" s="2" t="n"/>
      <c r="D89" s="2" t="n"/>
      <c r="E89" s="2" t="n"/>
      <c r="F89" s="2" t="n"/>
      <c r="G89" s="2" t="n"/>
      <c r="H89" s="2" t="n"/>
      <c r="I89" s="2" t="n"/>
      <c r="J89" s="2" t="n"/>
      <c r="K89" s="2" t="n"/>
      <c r="L89" s="2" t="n"/>
      <c r="M89" s="2" t="n"/>
      <c r="N89" s="2" t="n"/>
      <c r="O89" s="2" t="n"/>
      <c r="P89" s="2" t="n"/>
      <c r="Q89" s="2">
        <f>IF(G89="","",TODAY()-G89)</f>
        <v/>
      </c>
    </row>
    <row r="90">
      <c r="A90" s="2" t="n"/>
      <c r="B90" s="2" t="n"/>
      <c r="C90" s="2" t="n"/>
      <c r="D90" s="2" t="n"/>
      <c r="E90" s="2" t="n"/>
      <c r="F90" s="2" t="n"/>
      <c r="G90" s="2" t="n"/>
      <c r="H90" s="2" t="n"/>
      <c r="I90" s="2" t="n"/>
      <c r="J90" s="2" t="n"/>
      <c r="K90" s="2" t="n"/>
      <c r="L90" s="2" t="n"/>
      <c r="M90" s="2" t="n"/>
      <c r="N90" s="2" t="n"/>
      <c r="O90" s="2" t="n"/>
      <c r="P90" s="2" t="n"/>
      <c r="Q90" s="2">
        <f>IF(G90="","",TODAY()-G90)</f>
        <v/>
      </c>
    </row>
    <row r="91">
      <c r="A91" s="2" t="n"/>
      <c r="B91" s="2" t="n"/>
      <c r="C91" s="2" t="n"/>
      <c r="D91" s="2" t="n"/>
      <c r="E91" s="2" t="n"/>
      <c r="F91" s="2" t="n"/>
      <c r="G91" s="2" t="n"/>
      <c r="H91" s="2" t="n"/>
      <c r="I91" s="2" t="n"/>
      <c r="J91" s="2" t="n"/>
      <c r="K91" s="2" t="n"/>
      <c r="L91" s="2" t="n"/>
      <c r="M91" s="2" t="n"/>
      <c r="N91" s="2" t="n"/>
      <c r="O91" s="2" t="n"/>
      <c r="P91" s="2" t="n"/>
      <c r="Q91" s="2">
        <f>IF(G91="","",TODAY()-G91)</f>
        <v/>
      </c>
    </row>
    <row r="92">
      <c r="A92" s="2" t="n"/>
      <c r="B92" s="2" t="n"/>
      <c r="C92" s="2" t="n"/>
      <c r="D92" s="2" t="n"/>
      <c r="E92" s="2" t="n"/>
      <c r="F92" s="2" t="n"/>
      <c r="G92" s="2" t="n"/>
      <c r="H92" s="2" t="n"/>
      <c r="I92" s="2" t="n"/>
      <c r="J92" s="2" t="n"/>
      <c r="K92" s="2" t="n"/>
      <c r="L92" s="2" t="n"/>
      <c r="M92" s="2" t="n"/>
      <c r="N92" s="2" t="n"/>
      <c r="O92" s="2" t="n"/>
      <c r="P92" s="2" t="n"/>
      <c r="Q92" s="2">
        <f>IF(G92="","",TODAY()-G92)</f>
        <v/>
      </c>
    </row>
    <row r="93">
      <c r="A93" s="2" t="n"/>
      <c r="B93" s="2" t="n"/>
      <c r="C93" s="2" t="n"/>
      <c r="D93" s="2" t="n"/>
      <c r="E93" s="2" t="n"/>
      <c r="F93" s="2" t="n"/>
      <c r="G93" s="2" t="n"/>
      <c r="H93" s="2" t="n"/>
      <c r="I93" s="2" t="n"/>
      <c r="J93" s="2" t="n"/>
      <c r="K93" s="2" t="n"/>
      <c r="L93" s="2" t="n"/>
      <c r="M93" s="2" t="n"/>
      <c r="N93" s="2" t="n"/>
      <c r="O93" s="2" t="n"/>
      <c r="P93" s="2" t="n"/>
      <c r="Q93" s="2">
        <f>IF(G93="","",TODAY()-G93)</f>
        <v/>
      </c>
    </row>
    <row r="94">
      <c r="A94" s="2" t="n"/>
      <c r="B94" s="2" t="n"/>
      <c r="C94" s="2" t="n"/>
      <c r="D94" s="2" t="n"/>
      <c r="E94" s="2" t="n"/>
      <c r="F94" s="2" t="n"/>
      <c r="G94" s="2" t="n"/>
      <c r="H94" s="2" t="n"/>
      <c r="I94" s="2" t="n"/>
      <c r="J94" s="2" t="n"/>
      <c r="K94" s="2" t="n"/>
      <c r="L94" s="2" t="n"/>
      <c r="M94" s="2" t="n"/>
      <c r="N94" s="2" t="n"/>
      <c r="O94" s="2" t="n"/>
      <c r="P94" s="2" t="n"/>
      <c r="Q94" s="2">
        <f>IF(G94="","",TODAY()-G94)</f>
        <v/>
      </c>
    </row>
    <row r="95">
      <c r="A95" s="2" t="n"/>
      <c r="B95" s="2" t="n"/>
      <c r="C95" s="2" t="n"/>
      <c r="D95" s="2" t="n"/>
      <c r="E95" s="2" t="n"/>
      <c r="F95" s="2" t="n"/>
      <c r="G95" s="2" t="n"/>
      <c r="H95" s="2" t="n"/>
      <c r="I95" s="2" t="n"/>
      <c r="J95" s="2" t="n"/>
      <c r="K95" s="2" t="n"/>
      <c r="L95" s="2" t="n"/>
      <c r="M95" s="2" t="n"/>
      <c r="N95" s="2" t="n"/>
      <c r="O95" s="2" t="n"/>
      <c r="P95" s="2" t="n"/>
      <c r="Q95" s="2">
        <f>IF(G95="","",TODAY()-G95)</f>
        <v/>
      </c>
    </row>
    <row r="96">
      <c r="A96" s="2" t="n"/>
      <c r="B96" s="2" t="n"/>
      <c r="C96" s="2" t="n"/>
      <c r="D96" s="2" t="n"/>
      <c r="E96" s="2" t="n"/>
      <c r="F96" s="2" t="n"/>
      <c r="G96" s="2" t="n"/>
      <c r="H96" s="2" t="n"/>
      <c r="I96" s="2" t="n"/>
      <c r="J96" s="2" t="n"/>
      <c r="K96" s="2" t="n"/>
      <c r="L96" s="2" t="n"/>
      <c r="M96" s="2" t="n"/>
      <c r="N96" s="2" t="n"/>
      <c r="O96" s="2" t="n"/>
      <c r="P96" s="2" t="n"/>
      <c r="Q96" s="2">
        <f>IF(G96="","",TODAY()-G96)</f>
        <v/>
      </c>
    </row>
    <row r="97">
      <c r="A97" s="2" t="n"/>
      <c r="B97" s="2" t="n"/>
      <c r="C97" s="2" t="n"/>
      <c r="D97" s="2" t="n"/>
      <c r="E97" s="2" t="n"/>
      <c r="F97" s="2" t="n"/>
      <c r="G97" s="2" t="n"/>
      <c r="H97" s="2" t="n"/>
      <c r="I97" s="2" t="n"/>
      <c r="J97" s="2" t="n"/>
      <c r="K97" s="2" t="n"/>
      <c r="L97" s="2" t="n"/>
      <c r="M97" s="2" t="n"/>
      <c r="N97" s="2" t="n"/>
      <c r="O97" s="2" t="n"/>
      <c r="P97" s="2" t="n"/>
      <c r="Q97" s="2">
        <f>IF(G97="","",TODAY()-G97)</f>
        <v/>
      </c>
    </row>
    <row r="98">
      <c r="A98" s="2" t="n"/>
      <c r="B98" s="2" t="n"/>
      <c r="C98" s="2" t="n"/>
      <c r="D98" s="2" t="n"/>
      <c r="E98" s="2" t="n"/>
      <c r="F98" s="2" t="n"/>
      <c r="G98" s="2" t="n"/>
      <c r="H98" s="2" t="n"/>
      <c r="I98" s="2" t="n"/>
      <c r="J98" s="2" t="n"/>
      <c r="K98" s="2" t="n"/>
      <c r="L98" s="2" t="n"/>
      <c r="M98" s="2" t="n"/>
      <c r="N98" s="2" t="n"/>
      <c r="O98" s="2" t="n"/>
      <c r="P98" s="2" t="n"/>
      <c r="Q98" s="2">
        <f>IF(G98="","",TODAY()-G98)</f>
        <v/>
      </c>
    </row>
    <row r="99">
      <c r="A99" s="2" t="n"/>
      <c r="B99" s="2" t="n"/>
      <c r="C99" s="2" t="n"/>
      <c r="D99" s="2" t="n"/>
      <c r="E99" s="2" t="n"/>
      <c r="F99" s="2" t="n"/>
      <c r="G99" s="2" t="n"/>
      <c r="H99" s="2" t="n"/>
      <c r="I99" s="2" t="n"/>
      <c r="J99" s="2" t="n"/>
      <c r="K99" s="2" t="n"/>
      <c r="L99" s="2" t="n"/>
      <c r="M99" s="2" t="n"/>
      <c r="N99" s="2" t="n"/>
      <c r="O99" s="2" t="n"/>
      <c r="P99" s="2" t="n"/>
      <c r="Q99" s="2">
        <f>IF(G99="","",TODAY()-G99)</f>
        <v/>
      </c>
    </row>
    <row r="100">
      <c r="A100" s="2" t="n"/>
      <c r="B100" s="2" t="n"/>
      <c r="C100" s="2" t="n"/>
      <c r="D100" s="2" t="n"/>
      <c r="E100" s="2" t="n"/>
      <c r="F100" s="2" t="n"/>
      <c r="G100" s="2" t="n"/>
      <c r="H100" s="2" t="n"/>
      <c r="I100" s="2" t="n"/>
      <c r="J100" s="2" t="n"/>
      <c r="K100" s="2" t="n"/>
      <c r="L100" s="2" t="n"/>
      <c r="M100" s="2" t="n"/>
      <c r="N100" s="2" t="n"/>
      <c r="O100" s="2" t="n"/>
      <c r="P100" s="2" t="n"/>
      <c r="Q100" s="2">
        <f>IF(G100="","",TODAY()-G100)</f>
        <v/>
      </c>
    </row>
    <row r="101">
      <c r="A101" s="2" t="n"/>
      <c r="B101" s="2" t="n"/>
      <c r="C101" s="2" t="n"/>
      <c r="D101" s="2" t="n"/>
      <c r="E101" s="2" t="n"/>
      <c r="F101" s="2" t="n"/>
      <c r="G101" s="2" t="n"/>
      <c r="H101" s="2" t="n"/>
      <c r="I101" s="2" t="n"/>
      <c r="J101" s="2" t="n"/>
      <c r="K101" s="2" t="n"/>
      <c r="L101" s="2" t="n"/>
      <c r="M101" s="2" t="n"/>
      <c r="N101" s="2" t="n"/>
      <c r="O101" s="2" t="n"/>
      <c r="P101" s="2" t="n"/>
      <c r="Q101" s="2">
        <f>IF(G101="","",TODAY()-G101)</f>
        <v/>
      </c>
    </row>
    <row r="102">
      <c r="A102" s="2" t="n"/>
      <c r="B102" s="2" t="n"/>
      <c r="C102" s="2" t="n"/>
      <c r="D102" s="2" t="n"/>
      <c r="E102" s="2" t="n"/>
      <c r="F102" s="2" t="n"/>
      <c r="G102" s="2" t="n"/>
      <c r="H102" s="2" t="n"/>
      <c r="I102" s="2" t="n"/>
      <c r="J102" s="2" t="n"/>
      <c r="K102" s="2" t="n"/>
      <c r="L102" s="2" t="n"/>
      <c r="M102" s="2" t="n"/>
      <c r="N102" s="2" t="n"/>
      <c r="O102" s="2" t="n"/>
      <c r="P102" s="2" t="n"/>
      <c r="Q102" s="2">
        <f>IF(G102="","",TODAY()-G102)</f>
        <v/>
      </c>
    </row>
    <row r="103">
      <c r="A103" s="2" t="n"/>
      <c r="B103" s="2" t="n"/>
      <c r="C103" s="2" t="n"/>
      <c r="D103" s="2" t="n"/>
      <c r="E103" s="2" t="n"/>
      <c r="F103" s="2" t="n"/>
      <c r="G103" s="2" t="n"/>
      <c r="H103" s="2" t="n"/>
      <c r="I103" s="2" t="n"/>
      <c r="J103" s="2" t="n"/>
      <c r="K103" s="2" t="n"/>
      <c r="L103" s="2" t="n"/>
      <c r="M103" s="2" t="n"/>
      <c r="N103" s="2" t="n"/>
      <c r="O103" s="2" t="n"/>
      <c r="P103" s="2" t="n"/>
      <c r="Q103" s="2">
        <f>IF(G103="","",TODAY()-G103)</f>
        <v/>
      </c>
    </row>
    <row r="104">
      <c r="A104" s="2" t="n"/>
      <c r="B104" s="2" t="n"/>
      <c r="C104" s="2" t="n"/>
      <c r="D104" s="2" t="n"/>
      <c r="E104" s="2" t="n"/>
      <c r="F104" s="2" t="n"/>
      <c r="G104" s="2" t="n"/>
      <c r="H104" s="2" t="n"/>
      <c r="I104" s="2" t="n"/>
      <c r="J104" s="2" t="n"/>
      <c r="K104" s="2" t="n"/>
      <c r="L104" s="2" t="n"/>
      <c r="M104" s="2" t="n"/>
      <c r="N104" s="2" t="n"/>
      <c r="O104" s="2" t="n"/>
      <c r="P104" s="2" t="n"/>
      <c r="Q104" s="2">
        <f>IF(G104="","",TODAY()-G104)</f>
        <v/>
      </c>
    </row>
    <row r="105">
      <c r="A105" s="2" t="n"/>
      <c r="B105" s="2" t="n"/>
      <c r="C105" s="2" t="n"/>
      <c r="D105" s="2" t="n"/>
      <c r="E105" s="2" t="n"/>
      <c r="F105" s="2" t="n"/>
      <c r="G105" s="2" t="n"/>
      <c r="H105" s="2" t="n"/>
      <c r="I105" s="2" t="n"/>
      <c r="J105" s="2" t="n"/>
      <c r="K105" s="2" t="n"/>
      <c r="L105" s="2" t="n"/>
      <c r="M105" s="2" t="n"/>
      <c r="N105" s="2" t="n"/>
      <c r="O105" s="2" t="n"/>
      <c r="P105" s="2" t="n"/>
      <c r="Q105" s="2">
        <f>IF(G105="","",TODAY()-G105)</f>
        <v/>
      </c>
    </row>
    <row r="106">
      <c r="A106" s="2" t="n"/>
      <c r="B106" s="2" t="n"/>
      <c r="C106" s="2" t="n"/>
      <c r="D106" s="2" t="n"/>
      <c r="E106" s="2" t="n"/>
      <c r="F106" s="2" t="n"/>
      <c r="G106" s="2" t="n"/>
      <c r="H106" s="2" t="n"/>
      <c r="I106" s="2" t="n"/>
      <c r="J106" s="2" t="n"/>
      <c r="K106" s="2" t="n"/>
      <c r="L106" s="2" t="n"/>
      <c r="M106" s="2" t="n"/>
      <c r="N106" s="2" t="n"/>
      <c r="O106" s="2" t="n"/>
      <c r="P106" s="2" t="n"/>
      <c r="Q106" s="2">
        <f>IF(G106="","",TODAY()-G106)</f>
        <v/>
      </c>
    </row>
    <row r="107">
      <c r="A107" s="2" t="n"/>
      <c r="B107" s="2" t="n"/>
      <c r="C107" s="2" t="n"/>
      <c r="D107" s="2" t="n"/>
      <c r="E107" s="2" t="n"/>
      <c r="F107" s="2" t="n"/>
      <c r="G107" s="2" t="n"/>
      <c r="H107" s="2" t="n"/>
      <c r="I107" s="2" t="n"/>
      <c r="J107" s="2" t="n"/>
      <c r="K107" s="2" t="n"/>
      <c r="L107" s="2" t="n"/>
      <c r="M107" s="2" t="n"/>
      <c r="N107" s="2" t="n"/>
      <c r="O107" s="2" t="n"/>
      <c r="P107" s="2" t="n"/>
      <c r="Q107" s="2">
        <f>IF(G107="","",TODAY()-G107)</f>
        <v/>
      </c>
    </row>
    <row r="108">
      <c r="A108" s="2" t="n"/>
      <c r="B108" s="2" t="n"/>
      <c r="C108" s="2" t="n"/>
      <c r="D108" s="2" t="n"/>
      <c r="E108" s="2" t="n"/>
      <c r="F108" s="2" t="n"/>
      <c r="G108" s="2" t="n"/>
      <c r="H108" s="2" t="n"/>
      <c r="I108" s="2" t="n"/>
      <c r="J108" s="2" t="n"/>
      <c r="K108" s="2" t="n"/>
      <c r="L108" s="2" t="n"/>
      <c r="M108" s="2" t="n"/>
      <c r="N108" s="2" t="n"/>
      <c r="O108" s="2" t="n"/>
      <c r="P108" s="2" t="n"/>
      <c r="Q108" s="2">
        <f>IF(G108="","",TODAY()-G108)</f>
        <v/>
      </c>
    </row>
    <row r="109">
      <c r="A109" s="2" t="n"/>
      <c r="B109" s="2" t="n"/>
      <c r="C109" s="2" t="n"/>
      <c r="D109" s="2" t="n"/>
      <c r="E109" s="2" t="n"/>
      <c r="F109" s="2" t="n"/>
      <c r="G109" s="2" t="n"/>
      <c r="H109" s="2" t="n"/>
      <c r="I109" s="2" t="n"/>
      <c r="J109" s="2" t="n"/>
      <c r="K109" s="2" t="n"/>
      <c r="L109" s="2" t="n"/>
      <c r="M109" s="2" t="n"/>
      <c r="N109" s="2" t="n"/>
      <c r="O109" s="2" t="n"/>
      <c r="P109" s="2" t="n"/>
      <c r="Q109" s="2">
        <f>IF(G109="","",TODAY()-G109)</f>
        <v/>
      </c>
    </row>
    <row r="110">
      <c r="A110" s="2" t="n"/>
      <c r="B110" s="2" t="n"/>
      <c r="C110" s="2" t="n"/>
      <c r="D110" s="2" t="n"/>
      <c r="E110" s="2" t="n"/>
      <c r="F110" s="2" t="n"/>
      <c r="G110" s="2" t="n"/>
      <c r="H110" s="2" t="n"/>
      <c r="I110" s="2" t="n"/>
      <c r="J110" s="2" t="n"/>
      <c r="K110" s="2" t="n"/>
      <c r="L110" s="2" t="n"/>
      <c r="M110" s="2" t="n"/>
      <c r="N110" s="2" t="n"/>
      <c r="O110" s="2" t="n"/>
      <c r="P110" s="2" t="n"/>
      <c r="Q110" s="2">
        <f>IF(G110="","",TODAY()-G110)</f>
        <v/>
      </c>
    </row>
    <row r="111">
      <c r="A111" s="2" t="n"/>
      <c r="B111" s="2" t="n"/>
      <c r="C111" s="2" t="n"/>
      <c r="D111" s="2" t="n"/>
      <c r="E111" s="2" t="n"/>
      <c r="F111" s="2" t="n"/>
      <c r="G111" s="2" t="n"/>
      <c r="H111" s="2" t="n"/>
      <c r="I111" s="2" t="n"/>
      <c r="J111" s="2" t="n"/>
      <c r="K111" s="2" t="n"/>
      <c r="L111" s="2" t="n"/>
      <c r="M111" s="2" t="n"/>
      <c r="N111" s="2" t="n"/>
      <c r="O111" s="2" t="n"/>
      <c r="P111" s="2" t="n"/>
      <c r="Q111" s="2">
        <f>IF(G111="","",TODAY()-G111)</f>
        <v/>
      </c>
    </row>
    <row r="112">
      <c r="A112" s="2" t="n"/>
      <c r="B112" s="2" t="n"/>
      <c r="C112" s="2" t="n"/>
      <c r="D112" s="2" t="n"/>
      <c r="E112" s="2" t="n"/>
      <c r="F112" s="2" t="n"/>
      <c r="G112" s="2" t="n"/>
      <c r="H112" s="2" t="n"/>
      <c r="I112" s="2" t="n"/>
      <c r="J112" s="2" t="n"/>
      <c r="K112" s="2" t="n"/>
      <c r="L112" s="2" t="n"/>
      <c r="M112" s="2" t="n"/>
      <c r="N112" s="2" t="n"/>
      <c r="O112" s="2" t="n"/>
      <c r="P112" s="2" t="n"/>
      <c r="Q112" s="2">
        <f>IF(G112="","",TODAY()-G112)</f>
        <v/>
      </c>
    </row>
    <row r="113">
      <c r="A113" s="2" t="n"/>
      <c r="B113" s="2" t="n"/>
      <c r="C113" s="2" t="n"/>
      <c r="D113" s="2" t="n"/>
      <c r="E113" s="2" t="n"/>
      <c r="F113" s="2" t="n"/>
      <c r="G113" s="2" t="n"/>
      <c r="H113" s="2" t="n"/>
      <c r="I113" s="2" t="n"/>
      <c r="J113" s="2" t="n"/>
      <c r="K113" s="2" t="n"/>
      <c r="L113" s="2" t="n"/>
      <c r="M113" s="2" t="n"/>
      <c r="N113" s="2" t="n"/>
      <c r="O113" s="2" t="n"/>
      <c r="P113" s="2" t="n"/>
      <c r="Q113" s="2">
        <f>IF(G113="","",TODAY()-G113)</f>
        <v/>
      </c>
    </row>
    <row r="114">
      <c r="A114" s="2" t="n"/>
      <c r="B114" s="2" t="n"/>
      <c r="C114" s="2" t="n"/>
      <c r="D114" s="2" t="n"/>
      <c r="E114" s="2" t="n"/>
      <c r="F114" s="2" t="n"/>
      <c r="G114" s="2" t="n"/>
      <c r="H114" s="2" t="n"/>
      <c r="I114" s="2" t="n"/>
      <c r="J114" s="2" t="n"/>
      <c r="K114" s="2" t="n"/>
      <c r="L114" s="2" t="n"/>
      <c r="M114" s="2" t="n"/>
      <c r="N114" s="2" t="n"/>
      <c r="O114" s="2" t="n"/>
      <c r="P114" s="2" t="n"/>
      <c r="Q114" s="2">
        <f>IF(G114="","",TODAY()-G114)</f>
        <v/>
      </c>
    </row>
    <row r="115">
      <c r="A115" s="2" t="n"/>
      <c r="B115" s="2" t="n"/>
      <c r="C115" s="2" t="n"/>
      <c r="D115" s="2" t="n"/>
      <c r="E115" s="2" t="n"/>
      <c r="F115" s="2" t="n"/>
      <c r="G115" s="2" t="n"/>
      <c r="H115" s="2" t="n"/>
      <c r="I115" s="2" t="n"/>
      <c r="J115" s="2" t="n"/>
      <c r="K115" s="2" t="n"/>
      <c r="L115" s="2" t="n"/>
      <c r="M115" s="2" t="n"/>
      <c r="N115" s="2" t="n"/>
      <c r="O115" s="2" t="n"/>
      <c r="P115" s="2" t="n"/>
      <c r="Q115" s="2">
        <f>IF(G115="","",TODAY()-G115)</f>
        <v/>
      </c>
    </row>
    <row r="116">
      <c r="A116" s="2" t="n"/>
      <c r="B116" s="2" t="n"/>
      <c r="C116" s="2" t="n"/>
      <c r="D116" s="2" t="n"/>
      <c r="E116" s="2" t="n"/>
      <c r="F116" s="2" t="n"/>
      <c r="G116" s="2" t="n"/>
      <c r="H116" s="2" t="n"/>
      <c r="I116" s="2" t="n"/>
      <c r="J116" s="2" t="n"/>
      <c r="K116" s="2" t="n"/>
      <c r="L116" s="2" t="n"/>
      <c r="M116" s="2" t="n"/>
      <c r="N116" s="2" t="n"/>
      <c r="O116" s="2" t="n"/>
      <c r="P116" s="2" t="n"/>
      <c r="Q116" s="2">
        <f>IF(G116="","",TODAY()-G116)</f>
        <v/>
      </c>
    </row>
    <row r="117">
      <c r="A117" s="2" t="n"/>
      <c r="B117" s="2" t="n"/>
      <c r="C117" s="2" t="n"/>
      <c r="D117" s="2" t="n"/>
      <c r="E117" s="2" t="n"/>
      <c r="F117" s="2" t="n"/>
      <c r="G117" s="2" t="n"/>
      <c r="H117" s="2" t="n"/>
      <c r="I117" s="2" t="n"/>
      <c r="J117" s="2" t="n"/>
      <c r="K117" s="2" t="n"/>
      <c r="L117" s="2" t="n"/>
      <c r="M117" s="2" t="n"/>
      <c r="N117" s="2" t="n"/>
      <c r="O117" s="2" t="n"/>
      <c r="P117" s="2" t="n"/>
      <c r="Q117" s="2">
        <f>IF(G117="","",TODAY()-G117)</f>
        <v/>
      </c>
    </row>
    <row r="118">
      <c r="A118" s="2" t="n"/>
      <c r="B118" s="2" t="n"/>
      <c r="C118" s="2" t="n"/>
      <c r="D118" s="2" t="n"/>
      <c r="E118" s="2" t="n"/>
      <c r="F118" s="2" t="n"/>
      <c r="G118" s="2" t="n"/>
      <c r="H118" s="2" t="n"/>
      <c r="I118" s="2" t="n"/>
      <c r="J118" s="2" t="n"/>
      <c r="K118" s="2" t="n"/>
      <c r="L118" s="2" t="n"/>
      <c r="M118" s="2" t="n"/>
      <c r="N118" s="2" t="n"/>
      <c r="O118" s="2" t="n"/>
      <c r="P118" s="2" t="n"/>
      <c r="Q118" s="2">
        <f>IF(G118="","",TODAY()-G118)</f>
        <v/>
      </c>
    </row>
    <row r="119">
      <c r="A119" s="2" t="n"/>
      <c r="B119" s="2" t="n"/>
      <c r="C119" s="2" t="n"/>
      <c r="D119" s="2" t="n"/>
      <c r="E119" s="2" t="n"/>
      <c r="F119" s="2" t="n"/>
      <c r="G119" s="2" t="n"/>
      <c r="H119" s="2" t="n"/>
      <c r="I119" s="2" t="n"/>
      <c r="J119" s="2" t="n"/>
      <c r="K119" s="2" t="n"/>
      <c r="L119" s="2" t="n"/>
      <c r="M119" s="2" t="n"/>
      <c r="N119" s="2" t="n"/>
      <c r="O119" s="2" t="n"/>
      <c r="P119" s="2" t="n"/>
      <c r="Q119" s="2">
        <f>IF(G119="","",TODAY()-G119)</f>
        <v/>
      </c>
    </row>
    <row r="120">
      <c r="A120" s="2" t="n"/>
      <c r="B120" s="2" t="n"/>
      <c r="C120" s="2" t="n"/>
      <c r="D120" s="2" t="n"/>
      <c r="E120" s="2" t="n"/>
      <c r="F120" s="2" t="n"/>
      <c r="G120" s="2" t="n"/>
      <c r="H120" s="2" t="n"/>
      <c r="I120" s="2" t="n"/>
      <c r="J120" s="2" t="n"/>
      <c r="K120" s="2" t="n"/>
      <c r="L120" s="2" t="n"/>
      <c r="M120" s="2" t="n"/>
      <c r="N120" s="2" t="n"/>
      <c r="O120" s="2" t="n"/>
      <c r="P120" s="2" t="n"/>
      <c r="Q120" s="2">
        <f>IF(G120="","",TODAY()-G120)</f>
        <v/>
      </c>
    </row>
    <row r="121">
      <c r="A121" s="2" t="n"/>
      <c r="B121" s="2" t="n"/>
      <c r="C121" s="2" t="n"/>
      <c r="D121" s="2" t="n"/>
      <c r="E121" s="2" t="n"/>
      <c r="F121" s="2" t="n"/>
      <c r="G121" s="2" t="n"/>
      <c r="H121" s="2" t="n"/>
      <c r="I121" s="2" t="n"/>
      <c r="J121" s="2" t="n"/>
      <c r="K121" s="2" t="n"/>
      <c r="L121" s="2" t="n"/>
      <c r="M121" s="2" t="n"/>
      <c r="N121" s="2" t="n"/>
      <c r="O121" s="2" t="n"/>
      <c r="P121" s="2" t="n"/>
      <c r="Q121" s="2">
        <f>IF(G121="","",TODAY()-G121)</f>
        <v/>
      </c>
    </row>
    <row r="122">
      <c r="A122" s="2" t="n"/>
      <c r="B122" s="2" t="n"/>
      <c r="C122" s="2" t="n"/>
      <c r="D122" s="2" t="n"/>
      <c r="E122" s="2" t="n"/>
      <c r="F122" s="2" t="n"/>
      <c r="G122" s="2" t="n"/>
      <c r="H122" s="2" t="n"/>
      <c r="I122" s="2" t="n"/>
      <c r="J122" s="2" t="n"/>
      <c r="K122" s="2" t="n"/>
      <c r="L122" s="2" t="n"/>
      <c r="M122" s="2" t="n"/>
      <c r="N122" s="2" t="n"/>
      <c r="O122" s="2" t="n"/>
      <c r="P122" s="2" t="n"/>
      <c r="Q122" s="2">
        <f>IF(G122="","",TODAY()-G122)</f>
        <v/>
      </c>
    </row>
    <row r="123">
      <c r="A123" s="2" t="n"/>
      <c r="B123" s="2" t="n"/>
      <c r="C123" s="2" t="n"/>
      <c r="D123" s="2" t="n"/>
      <c r="E123" s="2" t="n"/>
      <c r="F123" s="2" t="n"/>
      <c r="G123" s="2" t="n"/>
      <c r="H123" s="2" t="n"/>
      <c r="I123" s="2" t="n"/>
      <c r="J123" s="2" t="n"/>
      <c r="K123" s="2" t="n"/>
      <c r="L123" s="2" t="n"/>
      <c r="M123" s="2" t="n"/>
      <c r="N123" s="2" t="n"/>
      <c r="O123" s="2" t="n"/>
      <c r="P123" s="2" t="n"/>
      <c r="Q123" s="2">
        <f>IF(G123="","",TODAY()-G123)</f>
        <v/>
      </c>
    </row>
    <row r="124">
      <c r="A124" s="2" t="n"/>
      <c r="B124" s="2" t="n"/>
      <c r="C124" s="2" t="n"/>
      <c r="D124" s="2" t="n"/>
      <c r="E124" s="2" t="n"/>
      <c r="F124" s="2" t="n"/>
      <c r="G124" s="2" t="n"/>
      <c r="H124" s="2" t="n"/>
      <c r="I124" s="2" t="n"/>
      <c r="J124" s="2" t="n"/>
      <c r="K124" s="2" t="n"/>
      <c r="L124" s="2" t="n"/>
      <c r="M124" s="2" t="n"/>
      <c r="N124" s="2" t="n"/>
      <c r="O124" s="2" t="n"/>
      <c r="P124" s="2" t="n"/>
      <c r="Q124" s="2">
        <f>IF(G124="","",TODAY()-G124)</f>
        <v/>
      </c>
    </row>
    <row r="125">
      <c r="A125" s="2" t="n"/>
      <c r="B125" s="2" t="n"/>
      <c r="C125" s="2" t="n"/>
      <c r="D125" s="2" t="n"/>
      <c r="E125" s="2" t="n"/>
      <c r="F125" s="2" t="n"/>
      <c r="G125" s="2" t="n"/>
      <c r="H125" s="2" t="n"/>
      <c r="I125" s="2" t="n"/>
      <c r="J125" s="2" t="n"/>
      <c r="K125" s="2" t="n"/>
      <c r="L125" s="2" t="n"/>
      <c r="M125" s="2" t="n"/>
      <c r="N125" s="2" t="n"/>
      <c r="O125" s="2" t="n"/>
      <c r="P125" s="2" t="n"/>
      <c r="Q125" s="2">
        <f>IF(G125="","",TODAY()-G125)</f>
        <v/>
      </c>
    </row>
    <row r="126">
      <c r="A126" s="2" t="n"/>
      <c r="B126" s="2" t="n"/>
      <c r="C126" s="2" t="n"/>
      <c r="D126" s="2" t="n"/>
      <c r="E126" s="2" t="n"/>
      <c r="F126" s="2" t="n"/>
      <c r="G126" s="2" t="n"/>
      <c r="H126" s="2" t="n"/>
      <c r="I126" s="2" t="n"/>
      <c r="J126" s="2" t="n"/>
      <c r="K126" s="2" t="n"/>
      <c r="L126" s="2" t="n"/>
      <c r="M126" s="2" t="n"/>
      <c r="N126" s="2" t="n"/>
      <c r="O126" s="2" t="n"/>
      <c r="P126" s="2" t="n"/>
      <c r="Q126" s="2">
        <f>IF(G126="","",TODAY()-G126)</f>
        <v/>
      </c>
    </row>
    <row r="127">
      <c r="A127" s="2" t="n"/>
      <c r="B127" s="2" t="n"/>
      <c r="C127" s="2" t="n"/>
      <c r="D127" s="2" t="n"/>
      <c r="E127" s="2" t="n"/>
      <c r="F127" s="2" t="n"/>
      <c r="G127" s="2" t="n"/>
      <c r="H127" s="2" t="n"/>
      <c r="I127" s="2" t="n"/>
      <c r="J127" s="2" t="n"/>
      <c r="K127" s="2" t="n"/>
      <c r="L127" s="2" t="n"/>
      <c r="M127" s="2" t="n"/>
      <c r="N127" s="2" t="n"/>
      <c r="O127" s="2" t="n"/>
      <c r="P127" s="2" t="n"/>
      <c r="Q127" s="2">
        <f>IF(G127="","",TODAY()-G127)</f>
        <v/>
      </c>
    </row>
    <row r="128">
      <c r="A128" s="2" t="n"/>
      <c r="B128" s="2" t="n"/>
      <c r="C128" s="2" t="n"/>
      <c r="D128" s="2" t="n"/>
      <c r="E128" s="2" t="n"/>
      <c r="F128" s="2" t="n"/>
      <c r="G128" s="2" t="n"/>
      <c r="H128" s="2" t="n"/>
      <c r="I128" s="2" t="n"/>
      <c r="J128" s="2" t="n"/>
      <c r="K128" s="2" t="n"/>
      <c r="L128" s="2" t="n"/>
      <c r="M128" s="2" t="n"/>
      <c r="N128" s="2" t="n"/>
      <c r="O128" s="2" t="n"/>
      <c r="P128" s="2" t="n"/>
      <c r="Q128" s="2">
        <f>IF(G128="","",TODAY()-G128)</f>
        <v/>
      </c>
    </row>
    <row r="129">
      <c r="A129" s="2" t="n"/>
      <c r="B129" s="2" t="n"/>
      <c r="C129" s="2" t="n"/>
      <c r="D129" s="2" t="n"/>
      <c r="E129" s="2" t="n"/>
      <c r="F129" s="2" t="n"/>
      <c r="G129" s="2" t="n"/>
      <c r="H129" s="2" t="n"/>
      <c r="I129" s="2" t="n"/>
      <c r="J129" s="2" t="n"/>
      <c r="K129" s="2" t="n"/>
      <c r="L129" s="2" t="n"/>
      <c r="M129" s="2" t="n"/>
      <c r="N129" s="2" t="n"/>
      <c r="O129" s="2" t="n"/>
      <c r="P129" s="2" t="n"/>
      <c r="Q129" s="2">
        <f>IF(G129="","",TODAY()-G129)</f>
        <v/>
      </c>
    </row>
    <row r="130">
      <c r="A130" s="2" t="n"/>
      <c r="B130" s="2" t="n"/>
      <c r="C130" s="2" t="n"/>
      <c r="D130" s="2" t="n"/>
      <c r="E130" s="2" t="n"/>
      <c r="F130" s="2" t="n"/>
      <c r="G130" s="2" t="n"/>
      <c r="H130" s="2" t="n"/>
      <c r="I130" s="2" t="n"/>
      <c r="J130" s="2" t="n"/>
      <c r="K130" s="2" t="n"/>
      <c r="L130" s="2" t="n"/>
      <c r="M130" s="2" t="n"/>
      <c r="N130" s="2" t="n"/>
      <c r="O130" s="2" t="n"/>
      <c r="P130" s="2" t="n"/>
      <c r="Q130" s="2">
        <f>IF(G130="","",TODAY()-G130)</f>
        <v/>
      </c>
    </row>
    <row r="131">
      <c r="A131" s="2" t="n"/>
      <c r="B131" s="2" t="n"/>
      <c r="C131" s="2" t="n"/>
      <c r="D131" s="2" t="n"/>
      <c r="E131" s="2" t="n"/>
      <c r="F131" s="2" t="n"/>
      <c r="G131" s="2" t="n"/>
      <c r="H131" s="2" t="n"/>
      <c r="I131" s="2" t="n"/>
      <c r="J131" s="2" t="n"/>
      <c r="K131" s="2" t="n"/>
      <c r="L131" s="2" t="n"/>
      <c r="M131" s="2" t="n"/>
      <c r="N131" s="2" t="n"/>
      <c r="O131" s="2" t="n"/>
      <c r="P131" s="2" t="n"/>
      <c r="Q131" s="2">
        <f>IF(G131="","",TODAY()-G131)</f>
        <v/>
      </c>
    </row>
    <row r="132">
      <c r="A132" s="2" t="n"/>
      <c r="B132" s="2" t="n"/>
      <c r="C132" s="2" t="n"/>
      <c r="D132" s="2" t="n"/>
      <c r="E132" s="2" t="n"/>
      <c r="F132" s="2" t="n"/>
      <c r="G132" s="2" t="n"/>
      <c r="H132" s="2" t="n"/>
      <c r="I132" s="2" t="n"/>
      <c r="J132" s="2" t="n"/>
      <c r="K132" s="2" t="n"/>
      <c r="L132" s="2" t="n"/>
      <c r="M132" s="2" t="n"/>
      <c r="N132" s="2" t="n"/>
      <c r="O132" s="2" t="n"/>
      <c r="P132" s="2" t="n"/>
      <c r="Q132" s="2">
        <f>IF(G132="","",TODAY()-G132)</f>
        <v/>
      </c>
    </row>
    <row r="133">
      <c r="A133" s="2" t="n"/>
      <c r="B133" s="2" t="n"/>
      <c r="C133" s="2" t="n"/>
      <c r="D133" s="2" t="n"/>
      <c r="E133" s="2" t="n"/>
      <c r="F133" s="2" t="n"/>
      <c r="G133" s="2" t="n"/>
      <c r="H133" s="2" t="n"/>
      <c r="I133" s="2" t="n"/>
      <c r="J133" s="2" t="n"/>
      <c r="K133" s="2" t="n"/>
      <c r="L133" s="2" t="n"/>
      <c r="M133" s="2" t="n"/>
      <c r="N133" s="2" t="n"/>
      <c r="O133" s="2" t="n"/>
      <c r="P133" s="2" t="n"/>
      <c r="Q133" s="2">
        <f>IF(G133="","",TODAY()-G133)</f>
        <v/>
      </c>
    </row>
    <row r="134">
      <c r="A134" s="2" t="n"/>
      <c r="B134" s="2" t="n"/>
      <c r="C134" s="2" t="n"/>
      <c r="D134" s="2" t="n"/>
      <c r="E134" s="2" t="n"/>
      <c r="F134" s="2" t="n"/>
      <c r="G134" s="2" t="n"/>
      <c r="H134" s="2" t="n"/>
      <c r="I134" s="2" t="n"/>
      <c r="J134" s="2" t="n"/>
      <c r="K134" s="2" t="n"/>
      <c r="L134" s="2" t="n"/>
      <c r="M134" s="2" t="n"/>
      <c r="N134" s="2" t="n"/>
      <c r="O134" s="2" t="n"/>
      <c r="P134" s="2" t="n"/>
      <c r="Q134" s="2">
        <f>IF(G134="","",TODAY()-G134)</f>
        <v/>
      </c>
    </row>
    <row r="135">
      <c r="A135" s="2" t="n"/>
      <c r="B135" s="2" t="n"/>
      <c r="C135" s="2" t="n"/>
      <c r="D135" s="2" t="n"/>
      <c r="E135" s="2" t="n"/>
      <c r="F135" s="2" t="n"/>
      <c r="G135" s="2" t="n"/>
      <c r="H135" s="2" t="n"/>
      <c r="I135" s="2" t="n"/>
      <c r="J135" s="2" t="n"/>
      <c r="K135" s="2" t="n"/>
      <c r="L135" s="2" t="n"/>
      <c r="M135" s="2" t="n"/>
      <c r="N135" s="2" t="n"/>
      <c r="O135" s="2" t="n"/>
      <c r="P135" s="2" t="n"/>
      <c r="Q135" s="2">
        <f>IF(G135="","",TODAY()-G135)</f>
        <v/>
      </c>
    </row>
    <row r="136">
      <c r="A136" s="2" t="n"/>
      <c r="B136" s="2" t="n"/>
      <c r="C136" s="2" t="n"/>
      <c r="D136" s="2" t="n"/>
      <c r="E136" s="2" t="n"/>
      <c r="F136" s="2" t="n"/>
      <c r="G136" s="2" t="n"/>
      <c r="H136" s="2" t="n"/>
      <c r="I136" s="2" t="n"/>
      <c r="J136" s="2" t="n"/>
      <c r="K136" s="2" t="n"/>
      <c r="L136" s="2" t="n"/>
      <c r="M136" s="2" t="n"/>
      <c r="N136" s="2" t="n"/>
      <c r="O136" s="2" t="n"/>
      <c r="P136" s="2" t="n"/>
      <c r="Q136" s="2">
        <f>IF(G136="","",TODAY()-G136)</f>
        <v/>
      </c>
    </row>
    <row r="137">
      <c r="A137" s="2" t="n"/>
      <c r="B137" s="2" t="n"/>
      <c r="C137" s="2" t="n"/>
      <c r="D137" s="2" t="n"/>
      <c r="E137" s="2" t="n"/>
      <c r="F137" s="2" t="n"/>
      <c r="G137" s="2" t="n"/>
      <c r="H137" s="2" t="n"/>
      <c r="I137" s="2" t="n"/>
      <c r="J137" s="2" t="n"/>
      <c r="K137" s="2" t="n"/>
      <c r="L137" s="2" t="n"/>
      <c r="M137" s="2" t="n"/>
      <c r="N137" s="2" t="n"/>
      <c r="O137" s="2" t="n"/>
      <c r="P137" s="2" t="n"/>
      <c r="Q137" s="2">
        <f>IF(G137="","",TODAY()-G137)</f>
        <v/>
      </c>
    </row>
    <row r="138">
      <c r="A138" s="2" t="n"/>
      <c r="B138" s="2" t="n"/>
      <c r="C138" s="2" t="n"/>
      <c r="D138" s="2" t="n"/>
      <c r="E138" s="2" t="n"/>
      <c r="F138" s="2" t="n"/>
      <c r="G138" s="2" t="n"/>
      <c r="H138" s="2" t="n"/>
      <c r="I138" s="2" t="n"/>
      <c r="J138" s="2" t="n"/>
      <c r="K138" s="2" t="n"/>
      <c r="L138" s="2" t="n"/>
      <c r="M138" s="2" t="n"/>
      <c r="N138" s="2" t="n"/>
      <c r="O138" s="2" t="n"/>
      <c r="P138" s="2" t="n"/>
      <c r="Q138" s="2">
        <f>IF(G138="","",TODAY()-G138)</f>
        <v/>
      </c>
    </row>
    <row r="139">
      <c r="A139" s="2" t="n"/>
      <c r="B139" s="2" t="n"/>
      <c r="C139" s="2" t="n"/>
      <c r="D139" s="2" t="n"/>
      <c r="E139" s="2" t="n"/>
      <c r="F139" s="2" t="n"/>
      <c r="G139" s="2" t="n"/>
      <c r="H139" s="2" t="n"/>
      <c r="I139" s="2" t="n"/>
      <c r="J139" s="2" t="n"/>
      <c r="K139" s="2" t="n"/>
      <c r="L139" s="2" t="n"/>
      <c r="M139" s="2" t="n"/>
      <c r="N139" s="2" t="n"/>
      <c r="O139" s="2" t="n"/>
      <c r="P139" s="2" t="n"/>
      <c r="Q139" s="2">
        <f>IF(G139="","",TODAY()-G139)</f>
        <v/>
      </c>
    </row>
    <row r="140">
      <c r="A140" s="2" t="n"/>
      <c r="B140" s="2" t="n"/>
      <c r="C140" s="2" t="n"/>
      <c r="D140" s="2" t="n"/>
      <c r="E140" s="2" t="n"/>
      <c r="F140" s="2" t="n"/>
      <c r="G140" s="2" t="n"/>
      <c r="H140" s="2" t="n"/>
      <c r="I140" s="2" t="n"/>
      <c r="J140" s="2" t="n"/>
      <c r="K140" s="2" t="n"/>
      <c r="L140" s="2" t="n"/>
      <c r="M140" s="2" t="n"/>
      <c r="N140" s="2" t="n"/>
      <c r="O140" s="2" t="n"/>
      <c r="P140" s="2" t="n"/>
      <c r="Q140" s="2">
        <f>IF(G140="","",TODAY()-G140)</f>
        <v/>
      </c>
    </row>
    <row r="141">
      <c r="A141" s="2" t="n"/>
      <c r="B141" s="2" t="n"/>
      <c r="C141" s="2" t="n"/>
      <c r="D141" s="2" t="n"/>
      <c r="E141" s="2" t="n"/>
      <c r="F141" s="2" t="n"/>
      <c r="G141" s="2" t="n"/>
      <c r="H141" s="2" t="n"/>
      <c r="I141" s="2" t="n"/>
      <c r="J141" s="2" t="n"/>
      <c r="K141" s="2" t="n"/>
      <c r="L141" s="2" t="n"/>
      <c r="M141" s="2" t="n"/>
      <c r="N141" s="2" t="n"/>
      <c r="O141" s="2" t="n"/>
      <c r="P141" s="2" t="n"/>
      <c r="Q141" s="2">
        <f>IF(G141="","",TODAY()-G141)</f>
        <v/>
      </c>
    </row>
    <row r="142">
      <c r="A142" s="2" t="n"/>
      <c r="B142" s="2" t="n"/>
      <c r="C142" s="2" t="n"/>
      <c r="D142" s="2" t="n"/>
      <c r="E142" s="2" t="n"/>
      <c r="F142" s="2" t="n"/>
      <c r="G142" s="2" t="n"/>
      <c r="H142" s="2" t="n"/>
      <c r="I142" s="2" t="n"/>
      <c r="J142" s="2" t="n"/>
      <c r="K142" s="2" t="n"/>
      <c r="L142" s="2" t="n"/>
      <c r="M142" s="2" t="n"/>
      <c r="N142" s="2" t="n"/>
      <c r="O142" s="2" t="n"/>
      <c r="P142" s="2" t="n"/>
      <c r="Q142" s="2">
        <f>IF(G142="","",TODAY()-G142)</f>
        <v/>
      </c>
    </row>
    <row r="143">
      <c r="A143" s="2" t="n"/>
      <c r="B143" s="2" t="n"/>
      <c r="C143" s="2" t="n"/>
      <c r="D143" s="2" t="n"/>
      <c r="E143" s="2" t="n"/>
      <c r="F143" s="2" t="n"/>
      <c r="G143" s="2" t="n"/>
      <c r="H143" s="2" t="n"/>
      <c r="I143" s="2" t="n"/>
      <c r="J143" s="2" t="n"/>
      <c r="K143" s="2" t="n"/>
      <c r="L143" s="2" t="n"/>
      <c r="M143" s="2" t="n"/>
      <c r="N143" s="2" t="n"/>
      <c r="O143" s="2" t="n"/>
      <c r="P143" s="2" t="n"/>
      <c r="Q143" s="2">
        <f>IF(G143="","",TODAY()-G143)</f>
        <v/>
      </c>
    </row>
    <row r="144">
      <c r="A144" s="2" t="n"/>
      <c r="B144" s="2" t="n"/>
      <c r="C144" s="2" t="n"/>
      <c r="D144" s="2" t="n"/>
      <c r="E144" s="2" t="n"/>
      <c r="F144" s="2" t="n"/>
      <c r="G144" s="2" t="n"/>
      <c r="H144" s="2" t="n"/>
      <c r="I144" s="2" t="n"/>
      <c r="J144" s="2" t="n"/>
      <c r="K144" s="2" t="n"/>
      <c r="L144" s="2" t="n"/>
      <c r="M144" s="2" t="n"/>
      <c r="N144" s="2" t="n"/>
      <c r="O144" s="2" t="n"/>
      <c r="P144" s="2" t="n"/>
      <c r="Q144" s="2">
        <f>IF(G144="","",TODAY()-G144)</f>
        <v/>
      </c>
    </row>
    <row r="145">
      <c r="A145" s="2" t="n"/>
      <c r="B145" s="2" t="n"/>
      <c r="C145" s="2" t="n"/>
      <c r="D145" s="2" t="n"/>
      <c r="E145" s="2" t="n"/>
      <c r="F145" s="2" t="n"/>
      <c r="G145" s="2" t="n"/>
      <c r="H145" s="2" t="n"/>
      <c r="I145" s="2" t="n"/>
      <c r="J145" s="2" t="n"/>
      <c r="K145" s="2" t="n"/>
      <c r="L145" s="2" t="n"/>
      <c r="M145" s="2" t="n"/>
      <c r="N145" s="2" t="n"/>
      <c r="O145" s="2" t="n"/>
      <c r="P145" s="2" t="n"/>
      <c r="Q145" s="2">
        <f>IF(G145="","",TODAY()-G145)</f>
        <v/>
      </c>
    </row>
    <row r="146">
      <c r="A146" s="2" t="n"/>
      <c r="B146" s="2" t="n"/>
      <c r="C146" s="2" t="n"/>
      <c r="D146" s="2" t="n"/>
      <c r="E146" s="2" t="n"/>
      <c r="F146" s="2" t="n"/>
      <c r="G146" s="2" t="n"/>
      <c r="H146" s="2" t="n"/>
      <c r="I146" s="2" t="n"/>
      <c r="J146" s="2" t="n"/>
      <c r="K146" s="2" t="n"/>
      <c r="L146" s="2" t="n"/>
      <c r="M146" s="2" t="n"/>
      <c r="N146" s="2" t="n"/>
      <c r="O146" s="2" t="n"/>
      <c r="P146" s="2" t="n"/>
      <c r="Q146" s="2">
        <f>IF(G146="","",TODAY()-G146)</f>
        <v/>
      </c>
    </row>
    <row r="147">
      <c r="A147" s="2" t="n"/>
      <c r="B147" s="2" t="n"/>
      <c r="C147" s="2" t="n"/>
      <c r="D147" s="2" t="n"/>
      <c r="E147" s="2" t="n"/>
      <c r="F147" s="2" t="n"/>
      <c r="G147" s="2" t="n"/>
      <c r="H147" s="2" t="n"/>
      <c r="I147" s="2" t="n"/>
      <c r="J147" s="2" t="n"/>
      <c r="K147" s="2" t="n"/>
      <c r="L147" s="2" t="n"/>
      <c r="M147" s="2" t="n"/>
      <c r="N147" s="2" t="n"/>
      <c r="O147" s="2" t="n"/>
      <c r="P147" s="2" t="n"/>
      <c r="Q147" s="2">
        <f>IF(G147="","",TODAY()-G147)</f>
        <v/>
      </c>
    </row>
    <row r="148">
      <c r="A148" s="2" t="n"/>
      <c r="B148" s="2" t="n"/>
      <c r="C148" s="2" t="n"/>
      <c r="D148" s="2" t="n"/>
      <c r="E148" s="2" t="n"/>
      <c r="F148" s="2" t="n"/>
      <c r="G148" s="2" t="n"/>
      <c r="H148" s="2" t="n"/>
      <c r="I148" s="2" t="n"/>
      <c r="J148" s="2" t="n"/>
      <c r="K148" s="2" t="n"/>
      <c r="L148" s="2" t="n"/>
      <c r="M148" s="2" t="n"/>
      <c r="N148" s="2" t="n"/>
      <c r="O148" s="2" t="n"/>
      <c r="P148" s="2" t="n"/>
      <c r="Q148" s="2">
        <f>IF(G148="","",TODAY()-G148)</f>
        <v/>
      </c>
    </row>
    <row r="149">
      <c r="A149" s="2" t="n"/>
      <c r="B149" s="2" t="n"/>
      <c r="C149" s="2" t="n"/>
      <c r="D149" s="2" t="n"/>
      <c r="E149" s="2" t="n"/>
      <c r="F149" s="2" t="n"/>
      <c r="G149" s="2" t="n"/>
      <c r="H149" s="2" t="n"/>
      <c r="I149" s="2" t="n"/>
      <c r="J149" s="2" t="n"/>
      <c r="K149" s="2" t="n"/>
      <c r="L149" s="2" t="n"/>
      <c r="M149" s="2" t="n"/>
      <c r="N149" s="2" t="n"/>
      <c r="O149" s="2" t="n"/>
      <c r="P149" s="2" t="n"/>
      <c r="Q149" s="2">
        <f>IF(G149="","",TODAY()-G149)</f>
        <v/>
      </c>
    </row>
    <row r="150">
      <c r="A150" s="2" t="n"/>
      <c r="B150" s="2" t="n"/>
      <c r="C150" s="2" t="n"/>
      <c r="D150" s="2" t="n"/>
      <c r="E150" s="2" t="n"/>
      <c r="F150" s="2" t="n"/>
      <c r="G150" s="2" t="n"/>
      <c r="H150" s="2" t="n"/>
      <c r="I150" s="2" t="n"/>
      <c r="J150" s="2" t="n"/>
      <c r="K150" s="2" t="n"/>
      <c r="L150" s="2" t="n"/>
      <c r="M150" s="2" t="n"/>
      <c r="N150" s="2" t="n"/>
      <c r="O150" s="2" t="n"/>
      <c r="P150" s="2" t="n"/>
      <c r="Q150" s="2">
        <f>IF(G150="","",TODAY()-G150)</f>
        <v/>
      </c>
    </row>
    <row r="151">
      <c r="A151" s="2" t="n"/>
      <c r="B151" s="2" t="n"/>
      <c r="C151" s="2" t="n"/>
      <c r="D151" s="2" t="n"/>
      <c r="E151" s="2" t="n"/>
      <c r="F151" s="2" t="n"/>
      <c r="G151" s="2" t="n"/>
      <c r="H151" s="2" t="n"/>
      <c r="I151" s="2" t="n"/>
      <c r="J151" s="2" t="n"/>
      <c r="K151" s="2" t="n"/>
      <c r="L151" s="2" t="n"/>
      <c r="M151" s="2" t="n"/>
      <c r="N151" s="2" t="n"/>
      <c r="O151" s="2" t="n"/>
      <c r="P151" s="2" t="n"/>
      <c r="Q151" s="2">
        <f>IF(G151="","",TODAY()-G151)</f>
        <v/>
      </c>
    </row>
    <row r="152">
      <c r="A152" s="2" t="n"/>
      <c r="B152" s="2" t="n"/>
      <c r="C152" s="2" t="n"/>
      <c r="D152" s="2" t="n"/>
      <c r="E152" s="2" t="n"/>
      <c r="F152" s="2" t="n"/>
      <c r="G152" s="2" t="n"/>
      <c r="H152" s="2" t="n"/>
      <c r="I152" s="2" t="n"/>
      <c r="J152" s="2" t="n"/>
      <c r="K152" s="2" t="n"/>
      <c r="L152" s="2" t="n"/>
      <c r="M152" s="2" t="n"/>
      <c r="N152" s="2" t="n"/>
      <c r="O152" s="2" t="n"/>
      <c r="P152" s="2" t="n"/>
      <c r="Q152" s="2">
        <f>IF(G152="","",TODAY()-G152)</f>
        <v/>
      </c>
    </row>
    <row r="153">
      <c r="A153" s="2" t="n"/>
      <c r="B153" s="2" t="n"/>
      <c r="C153" s="2" t="n"/>
      <c r="D153" s="2" t="n"/>
      <c r="E153" s="2" t="n"/>
      <c r="F153" s="2" t="n"/>
      <c r="G153" s="2" t="n"/>
      <c r="H153" s="2" t="n"/>
      <c r="I153" s="2" t="n"/>
      <c r="J153" s="2" t="n"/>
      <c r="K153" s="2" t="n"/>
      <c r="L153" s="2" t="n"/>
      <c r="M153" s="2" t="n"/>
      <c r="N153" s="2" t="n"/>
      <c r="O153" s="2" t="n"/>
      <c r="P153" s="2" t="n"/>
      <c r="Q153" s="2">
        <f>IF(G153="","",TODAY()-G153)</f>
        <v/>
      </c>
    </row>
    <row r="154">
      <c r="A154" s="2" t="n"/>
      <c r="B154" s="2" t="n"/>
      <c r="C154" s="2" t="n"/>
      <c r="D154" s="2" t="n"/>
      <c r="E154" s="2" t="n"/>
      <c r="F154" s="2" t="n"/>
      <c r="G154" s="2" t="n"/>
      <c r="H154" s="2" t="n"/>
      <c r="I154" s="2" t="n"/>
      <c r="J154" s="2" t="n"/>
      <c r="K154" s="2" t="n"/>
      <c r="L154" s="2" t="n"/>
      <c r="M154" s="2" t="n"/>
      <c r="N154" s="2" t="n"/>
      <c r="O154" s="2" t="n"/>
      <c r="P154" s="2" t="n"/>
      <c r="Q154" s="2">
        <f>IF(G154="","",TODAY()-G154)</f>
        <v/>
      </c>
    </row>
    <row r="155">
      <c r="A155" s="2" t="n"/>
      <c r="B155" s="2" t="n"/>
      <c r="C155" s="2" t="n"/>
      <c r="D155" s="2" t="n"/>
      <c r="E155" s="2" t="n"/>
      <c r="F155" s="2" t="n"/>
      <c r="G155" s="2" t="n"/>
      <c r="H155" s="2" t="n"/>
      <c r="I155" s="2" t="n"/>
      <c r="J155" s="2" t="n"/>
      <c r="K155" s="2" t="n"/>
      <c r="L155" s="2" t="n"/>
      <c r="M155" s="2" t="n"/>
      <c r="N155" s="2" t="n"/>
      <c r="O155" s="2" t="n"/>
      <c r="P155" s="2" t="n"/>
      <c r="Q155" s="2">
        <f>IF(G155="","",TODAY()-G155)</f>
        <v/>
      </c>
    </row>
    <row r="156">
      <c r="A156" s="2" t="n"/>
      <c r="B156" s="2" t="n"/>
      <c r="C156" s="2" t="n"/>
      <c r="D156" s="2" t="n"/>
      <c r="E156" s="2" t="n"/>
      <c r="F156" s="2" t="n"/>
      <c r="G156" s="2" t="n"/>
      <c r="H156" s="2" t="n"/>
      <c r="I156" s="2" t="n"/>
      <c r="J156" s="2" t="n"/>
      <c r="K156" s="2" t="n"/>
      <c r="L156" s="2" t="n"/>
      <c r="M156" s="2" t="n"/>
      <c r="N156" s="2" t="n"/>
      <c r="O156" s="2" t="n"/>
      <c r="P156" s="2" t="n"/>
      <c r="Q156" s="2">
        <f>IF(G156="","",TODAY()-G156)</f>
        <v/>
      </c>
    </row>
    <row r="157">
      <c r="A157" s="2" t="n"/>
      <c r="B157" s="2" t="n"/>
      <c r="C157" s="2" t="n"/>
      <c r="D157" s="2" t="n"/>
      <c r="E157" s="2" t="n"/>
      <c r="F157" s="2" t="n"/>
      <c r="G157" s="2" t="n"/>
      <c r="H157" s="2" t="n"/>
      <c r="I157" s="2" t="n"/>
      <c r="J157" s="2" t="n"/>
      <c r="K157" s="2" t="n"/>
      <c r="L157" s="2" t="n"/>
      <c r="M157" s="2" t="n"/>
      <c r="N157" s="2" t="n"/>
      <c r="O157" s="2" t="n"/>
      <c r="P157" s="2" t="n"/>
      <c r="Q157" s="2">
        <f>IF(G157="","",TODAY()-G157)</f>
        <v/>
      </c>
    </row>
    <row r="158">
      <c r="A158" s="2" t="n"/>
      <c r="B158" s="2" t="n"/>
      <c r="C158" s="2" t="n"/>
      <c r="D158" s="2" t="n"/>
      <c r="E158" s="2" t="n"/>
      <c r="F158" s="2" t="n"/>
      <c r="G158" s="2" t="n"/>
      <c r="H158" s="2" t="n"/>
      <c r="I158" s="2" t="n"/>
      <c r="J158" s="2" t="n"/>
      <c r="K158" s="2" t="n"/>
      <c r="L158" s="2" t="n"/>
      <c r="M158" s="2" t="n"/>
      <c r="N158" s="2" t="n"/>
      <c r="O158" s="2" t="n"/>
      <c r="P158" s="2" t="n"/>
      <c r="Q158" s="2">
        <f>IF(G158="","",TODAY()-G158)</f>
        <v/>
      </c>
    </row>
    <row r="159">
      <c r="A159" s="2" t="n"/>
      <c r="B159" s="2" t="n"/>
      <c r="C159" s="2" t="n"/>
      <c r="D159" s="2" t="n"/>
      <c r="E159" s="2" t="n"/>
      <c r="F159" s="2" t="n"/>
      <c r="G159" s="2" t="n"/>
      <c r="H159" s="2" t="n"/>
      <c r="I159" s="2" t="n"/>
      <c r="J159" s="2" t="n"/>
      <c r="K159" s="2" t="n"/>
      <c r="L159" s="2" t="n"/>
      <c r="M159" s="2" t="n"/>
      <c r="N159" s="2" t="n"/>
      <c r="O159" s="2" t="n"/>
      <c r="P159" s="2" t="n"/>
      <c r="Q159" s="2">
        <f>IF(G159="","",TODAY()-G159)</f>
        <v/>
      </c>
    </row>
    <row r="160">
      <c r="A160" s="2" t="n"/>
      <c r="B160" s="2" t="n"/>
      <c r="C160" s="2" t="n"/>
      <c r="D160" s="2" t="n"/>
      <c r="E160" s="2" t="n"/>
      <c r="F160" s="2" t="n"/>
      <c r="G160" s="2" t="n"/>
      <c r="H160" s="2" t="n"/>
      <c r="I160" s="2" t="n"/>
      <c r="J160" s="2" t="n"/>
      <c r="K160" s="2" t="n"/>
      <c r="L160" s="2" t="n"/>
      <c r="M160" s="2" t="n"/>
      <c r="N160" s="2" t="n"/>
      <c r="O160" s="2" t="n"/>
      <c r="P160" s="2" t="n"/>
      <c r="Q160" s="2">
        <f>IF(G160="","",TODAY()-G160)</f>
        <v/>
      </c>
    </row>
    <row r="161">
      <c r="A161" s="2" t="n"/>
      <c r="B161" s="2" t="n"/>
      <c r="C161" s="2" t="n"/>
      <c r="D161" s="2" t="n"/>
      <c r="E161" s="2" t="n"/>
      <c r="F161" s="2" t="n"/>
      <c r="G161" s="2" t="n"/>
      <c r="H161" s="2" t="n"/>
      <c r="I161" s="2" t="n"/>
      <c r="J161" s="2" t="n"/>
      <c r="K161" s="2" t="n"/>
      <c r="L161" s="2" t="n"/>
      <c r="M161" s="2" t="n"/>
      <c r="N161" s="2" t="n"/>
      <c r="O161" s="2" t="n"/>
      <c r="P161" s="2" t="n"/>
      <c r="Q161" s="2">
        <f>IF(G161="","",TODAY()-G161)</f>
        <v/>
      </c>
    </row>
    <row r="162">
      <c r="A162" s="2" t="n"/>
      <c r="B162" s="2" t="n"/>
      <c r="C162" s="2" t="n"/>
      <c r="D162" s="2" t="n"/>
      <c r="E162" s="2" t="n"/>
      <c r="F162" s="2" t="n"/>
      <c r="G162" s="2" t="n"/>
      <c r="H162" s="2" t="n"/>
      <c r="I162" s="2" t="n"/>
      <c r="J162" s="2" t="n"/>
      <c r="K162" s="2" t="n"/>
      <c r="L162" s="2" t="n"/>
      <c r="M162" s="2" t="n"/>
      <c r="N162" s="2" t="n"/>
      <c r="O162" s="2" t="n"/>
      <c r="P162" s="2" t="n"/>
      <c r="Q162" s="2">
        <f>IF(G162="","",TODAY()-G162)</f>
        <v/>
      </c>
    </row>
    <row r="163">
      <c r="A163" s="2" t="n"/>
      <c r="B163" s="2" t="n"/>
      <c r="C163" s="2" t="n"/>
      <c r="D163" s="2" t="n"/>
      <c r="E163" s="2" t="n"/>
      <c r="F163" s="2" t="n"/>
      <c r="G163" s="2" t="n"/>
      <c r="H163" s="2" t="n"/>
      <c r="I163" s="2" t="n"/>
      <c r="J163" s="2" t="n"/>
      <c r="K163" s="2" t="n"/>
      <c r="L163" s="2" t="n"/>
      <c r="M163" s="2" t="n"/>
      <c r="N163" s="2" t="n"/>
      <c r="O163" s="2" t="n"/>
      <c r="P163" s="2" t="n"/>
      <c r="Q163" s="2">
        <f>IF(G163="","",TODAY()-G163)</f>
        <v/>
      </c>
    </row>
    <row r="164">
      <c r="A164" s="2" t="n"/>
      <c r="B164" s="2" t="n"/>
      <c r="C164" s="2" t="n"/>
      <c r="D164" s="2" t="n"/>
      <c r="E164" s="2" t="n"/>
      <c r="F164" s="2" t="n"/>
      <c r="G164" s="2" t="n"/>
      <c r="H164" s="2" t="n"/>
      <c r="I164" s="2" t="n"/>
      <c r="J164" s="2" t="n"/>
      <c r="K164" s="2" t="n"/>
      <c r="L164" s="2" t="n"/>
      <c r="M164" s="2" t="n"/>
      <c r="N164" s="2" t="n"/>
      <c r="O164" s="2" t="n"/>
      <c r="P164" s="2" t="n"/>
      <c r="Q164" s="2">
        <f>IF(G164="","",TODAY()-G164)</f>
        <v/>
      </c>
    </row>
    <row r="165">
      <c r="A165" s="2" t="n"/>
      <c r="B165" s="2" t="n"/>
      <c r="C165" s="2" t="n"/>
      <c r="D165" s="2" t="n"/>
      <c r="E165" s="2" t="n"/>
      <c r="F165" s="2" t="n"/>
      <c r="G165" s="2" t="n"/>
      <c r="H165" s="2" t="n"/>
      <c r="I165" s="2" t="n"/>
      <c r="J165" s="2" t="n"/>
      <c r="K165" s="2" t="n"/>
      <c r="L165" s="2" t="n"/>
      <c r="M165" s="2" t="n"/>
      <c r="N165" s="2" t="n"/>
      <c r="O165" s="2" t="n"/>
      <c r="P165" s="2" t="n"/>
      <c r="Q165" s="2">
        <f>IF(G165="","",TODAY()-G165)</f>
        <v/>
      </c>
    </row>
    <row r="166">
      <c r="A166" s="2" t="n"/>
      <c r="B166" s="2" t="n"/>
      <c r="C166" s="2" t="n"/>
      <c r="D166" s="2" t="n"/>
      <c r="E166" s="2" t="n"/>
      <c r="F166" s="2" t="n"/>
      <c r="G166" s="2" t="n"/>
      <c r="H166" s="2" t="n"/>
      <c r="I166" s="2" t="n"/>
      <c r="J166" s="2" t="n"/>
      <c r="K166" s="2" t="n"/>
      <c r="L166" s="2" t="n"/>
      <c r="M166" s="2" t="n"/>
      <c r="N166" s="2" t="n"/>
      <c r="O166" s="2" t="n"/>
      <c r="P166" s="2" t="n"/>
      <c r="Q166" s="2">
        <f>IF(G166="","",TODAY()-G166)</f>
        <v/>
      </c>
    </row>
    <row r="167">
      <c r="A167" s="2" t="n"/>
      <c r="B167" s="2" t="n"/>
      <c r="C167" s="2" t="n"/>
      <c r="D167" s="2" t="n"/>
      <c r="E167" s="2" t="n"/>
      <c r="F167" s="2" t="n"/>
      <c r="G167" s="2" t="n"/>
      <c r="H167" s="2" t="n"/>
      <c r="I167" s="2" t="n"/>
      <c r="J167" s="2" t="n"/>
      <c r="K167" s="2" t="n"/>
      <c r="L167" s="2" t="n"/>
      <c r="M167" s="2" t="n"/>
      <c r="N167" s="2" t="n"/>
      <c r="O167" s="2" t="n"/>
      <c r="P167" s="2" t="n"/>
      <c r="Q167" s="2">
        <f>IF(G167="","",TODAY()-G167)</f>
        <v/>
      </c>
    </row>
    <row r="168">
      <c r="A168" s="2" t="n"/>
      <c r="B168" s="2" t="n"/>
      <c r="C168" s="2" t="n"/>
      <c r="D168" s="2" t="n"/>
      <c r="E168" s="2" t="n"/>
      <c r="F168" s="2" t="n"/>
      <c r="G168" s="2" t="n"/>
      <c r="H168" s="2" t="n"/>
      <c r="I168" s="2" t="n"/>
      <c r="J168" s="2" t="n"/>
      <c r="K168" s="2" t="n"/>
      <c r="L168" s="2" t="n"/>
      <c r="M168" s="2" t="n"/>
      <c r="N168" s="2" t="n"/>
      <c r="O168" s="2" t="n"/>
      <c r="P168" s="2" t="n"/>
      <c r="Q168" s="2">
        <f>IF(G168="","",TODAY()-G168)</f>
        <v/>
      </c>
    </row>
    <row r="169">
      <c r="A169" s="2" t="n"/>
      <c r="B169" s="2" t="n"/>
      <c r="C169" s="2" t="n"/>
      <c r="D169" s="2" t="n"/>
      <c r="E169" s="2" t="n"/>
      <c r="F169" s="2" t="n"/>
      <c r="G169" s="2" t="n"/>
      <c r="H169" s="2" t="n"/>
      <c r="I169" s="2" t="n"/>
      <c r="J169" s="2" t="n"/>
      <c r="K169" s="2" t="n"/>
      <c r="L169" s="2" t="n"/>
      <c r="M169" s="2" t="n"/>
      <c r="N169" s="2" t="n"/>
      <c r="O169" s="2" t="n"/>
      <c r="P169" s="2" t="n"/>
      <c r="Q169" s="2">
        <f>IF(G169="","",TODAY()-G169)</f>
        <v/>
      </c>
    </row>
    <row r="170">
      <c r="A170" s="2" t="n"/>
      <c r="B170" s="2" t="n"/>
      <c r="C170" s="2" t="n"/>
      <c r="D170" s="2" t="n"/>
      <c r="E170" s="2" t="n"/>
      <c r="F170" s="2" t="n"/>
      <c r="G170" s="2" t="n"/>
      <c r="H170" s="2" t="n"/>
      <c r="I170" s="2" t="n"/>
      <c r="J170" s="2" t="n"/>
      <c r="K170" s="2" t="n"/>
      <c r="L170" s="2" t="n"/>
      <c r="M170" s="2" t="n"/>
      <c r="N170" s="2" t="n"/>
      <c r="O170" s="2" t="n"/>
      <c r="P170" s="2" t="n"/>
      <c r="Q170" s="2">
        <f>IF(G170="","",TODAY()-G170)</f>
        <v/>
      </c>
    </row>
    <row r="171">
      <c r="A171" s="2" t="n"/>
      <c r="B171" s="2" t="n"/>
      <c r="C171" s="2" t="n"/>
      <c r="D171" s="2" t="n"/>
      <c r="E171" s="2" t="n"/>
      <c r="F171" s="2" t="n"/>
      <c r="G171" s="2" t="n"/>
      <c r="H171" s="2" t="n"/>
      <c r="I171" s="2" t="n"/>
      <c r="J171" s="2" t="n"/>
      <c r="K171" s="2" t="n"/>
      <c r="L171" s="2" t="n"/>
      <c r="M171" s="2" t="n"/>
      <c r="N171" s="2" t="n"/>
      <c r="O171" s="2" t="n"/>
      <c r="P171" s="2" t="n"/>
      <c r="Q171" s="2">
        <f>IF(G171="","",TODAY()-G171)</f>
        <v/>
      </c>
    </row>
    <row r="172">
      <c r="A172" s="2" t="n"/>
      <c r="B172" s="2" t="n"/>
      <c r="C172" s="2" t="n"/>
      <c r="D172" s="2" t="n"/>
      <c r="E172" s="2" t="n"/>
      <c r="F172" s="2" t="n"/>
      <c r="G172" s="2" t="n"/>
      <c r="H172" s="2" t="n"/>
      <c r="I172" s="2" t="n"/>
      <c r="J172" s="2" t="n"/>
      <c r="K172" s="2" t="n"/>
      <c r="L172" s="2" t="n"/>
      <c r="M172" s="2" t="n"/>
      <c r="N172" s="2" t="n"/>
      <c r="O172" s="2" t="n"/>
      <c r="P172" s="2" t="n"/>
      <c r="Q172" s="2">
        <f>IF(G172="","",TODAY()-G172)</f>
        <v/>
      </c>
    </row>
    <row r="173">
      <c r="A173" s="2" t="n"/>
      <c r="B173" s="2" t="n"/>
      <c r="C173" s="2" t="n"/>
      <c r="D173" s="2" t="n"/>
      <c r="E173" s="2" t="n"/>
      <c r="F173" s="2" t="n"/>
      <c r="G173" s="2" t="n"/>
      <c r="H173" s="2" t="n"/>
      <c r="I173" s="2" t="n"/>
      <c r="J173" s="2" t="n"/>
      <c r="K173" s="2" t="n"/>
      <c r="L173" s="2" t="n"/>
      <c r="M173" s="2" t="n"/>
      <c r="N173" s="2" t="n"/>
      <c r="O173" s="2" t="n"/>
      <c r="P173" s="2" t="n"/>
      <c r="Q173" s="2">
        <f>IF(G173="","",TODAY()-G173)</f>
        <v/>
      </c>
    </row>
    <row r="174">
      <c r="A174" s="2" t="n"/>
      <c r="B174" s="2" t="n"/>
      <c r="C174" s="2" t="n"/>
      <c r="D174" s="2" t="n"/>
      <c r="E174" s="2" t="n"/>
      <c r="F174" s="2" t="n"/>
      <c r="G174" s="2" t="n"/>
      <c r="H174" s="2" t="n"/>
      <c r="I174" s="2" t="n"/>
      <c r="J174" s="2" t="n"/>
      <c r="K174" s="2" t="n"/>
      <c r="L174" s="2" t="n"/>
      <c r="M174" s="2" t="n"/>
      <c r="N174" s="2" t="n"/>
      <c r="O174" s="2" t="n"/>
      <c r="P174" s="2" t="n"/>
      <c r="Q174" s="2">
        <f>IF(G174="","",TODAY()-G174)</f>
        <v/>
      </c>
    </row>
    <row r="175">
      <c r="A175" s="2" t="n"/>
      <c r="B175" s="2" t="n"/>
      <c r="C175" s="2" t="n"/>
      <c r="D175" s="2" t="n"/>
      <c r="E175" s="2" t="n"/>
      <c r="F175" s="2" t="n"/>
      <c r="G175" s="2" t="n"/>
      <c r="H175" s="2" t="n"/>
      <c r="I175" s="2" t="n"/>
      <c r="J175" s="2" t="n"/>
      <c r="K175" s="2" t="n"/>
      <c r="L175" s="2" t="n"/>
      <c r="M175" s="2" t="n"/>
      <c r="N175" s="2" t="n"/>
      <c r="O175" s="2" t="n"/>
      <c r="P175" s="2" t="n"/>
      <c r="Q175" s="2">
        <f>IF(G175="","",TODAY()-G175)</f>
        <v/>
      </c>
    </row>
    <row r="176">
      <c r="A176" s="2" t="n"/>
      <c r="B176" s="2" t="n"/>
      <c r="C176" s="2" t="n"/>
      <c r="D176" s="2" t="n"/>
      <c r="E176" s="2" t="n"/>
      <c r="F176" s="2" t="n"/>
      <c r="G176" s="2" t="n"/>
      <c r="H176" s="2" t="n"/>
      <c r="I176" s="2" t="n"/>
      <c r="J176" s="2" t="n"/>
      <c r="K176" s="2" t="n"/>
      <c r="L176" s="2" t="n"/>
      <c r="M176" s="2" t="n"/>
      <c r="N176" s="2" t="n"/>
      <c r="O176" s="2" t="n"/>
      <c r="P176" s="2" t="n"/>
      <c r="Q176" s="2">
        <f>IF(G176="","",TODAY()-G176)</f>
        <v/>
      </c>
    </row>
    <row r="177">
      <c r="A177" s="2" t="n"/>
      <c r="B177" s="2" t="n"/>
      <c r="C177" s="2" t="n"/>
      <c r="D177" s="2" t="n"/>
      <c r="E177" s="2" t="n"/>
      <c r="F177" s="2" t="n"/>
      <c r="G177" s="2" t="n"/>
      <c r="H177" s="2" t="n"/>
      <c r="I177" s="2" t="n"/>
      <c r="J177" s="2" t="n"/>
      <c r="K177" s="2" t="n"/>
      <c r="L177" s="2" t="n"/>
      <c r="M177" s="2" t="n"/>
      <c r="N177" s="2" t="n"/>
      <c r="O177" s="2" t="n"/>
      <c r="P177" s="2" t="n"/>
      <c r="Q177" s="2">
        <f>IF(G177="","",TODAY()-G177)</f>
        <v/>
      </c>
    </row>
    <row r="178">
      <c r="A178" s="2" t="n"/>
      <c r="B178" s="2" t="n"/>
      <c r="C178" s="2" t="n"/>
      <c r="D178" s="2" t="n"/>
      <c r="E178" s="2" t="n"/>
      <c r="F178" s="2" t="n"/>
      <c r="G178" s="2" t="n"/>
      <c r="H178" s="2" t="n"/>
      <c r="I178" s="2" t="n"/>
      <c r="J178" s="2" t="n"/>
      <c r="K178" s="2" t="n"/>
      <c r="L178" s="2" t="n"/>
      <c r="M178" s="2" t="n"/>
      <c r="N178" s="2" t="n"/>
      <c r="O178" s="2" t="n"/>
      <c r="P178" s="2" t="n"/>
      <c r="Q178" s="2">
        <f>IF(G178="","",TODAY()-G178)</f>
        <v/>
      </c>
    </row>
    <row r="179">
      <c r="A179" s="2" t="n"/>
      <c r="B179" s="2" t="n"/>
      <c r="C179" s="2" t="n"/>
      <c r="D179" s="2" t="n"/>
      <c r="E179" s="2" t="n"/>
      <c r="F179" s="2" t="n"/>
      <c r="G179" s="2" t="n"/>
      <c r="H179" s="2" t="n"/>
      <c r="I179" s="2" t="n"/>
      <c r="J179" s="2" t="n"/>
      <c r="K179" s="2" t="n"/>
      <c r="L179" s="2" t="n"/>
      <c r="M179" s="2" t="n"/>
      <c r="N179" s="2" t="n"/>
      <c r="O179" s="2" t="n"/>
      <c r="P179" s="2" t="n"/>
      <c r="Q179" s="2">
        <f>IF(G179="","",TODAY()-G179)</f>
        <v/>
      </c>
    </row>
    <row r="180">
      <c r="A180" s="2" t="n"/>
      <c r="B180" s="2" t="n"/>
      <c r="C180" s="2" t="n"/>
      <c r="D180" s="2" t="n"/>
      <c r="E180" s="2" t="n"/>
      <c r="F180" s="2" t="n"/>
      <c r="G180" s="2" t="n"/>
      <c r="H180" s="2" t="n"/>
      <c r="I180" s="2" t="n"/>
      <c r="J180" s="2" t="n"/>
      <c r="K180" s="2" t="n"/>
      <c r="L180" s="2" t="n"/>
      <c r="M180" s="2" t="n"/>
      <c r="N180" s="2" t="n"/>
      <c r="O180" s="2" t="n"/>
      <c r="P180" s="2" t="n"/>
      <c r="Q180" s="2">
        <f>IF(G180="","",TODAY()-G180)</f>
        <v/>
      </c>
    </row>
    <row r="181">
      <c r="A181" s="2" t="n"/>
      <c r="B181" s="2" t="n"/>
      <c r="C181" s="2" t="n"/>
      <c r="D181" s="2" t="n"/>
      <c r="E181" s="2" t="n"/>
      <c r="F181" s="2" t="n"/>
      <c r="G181" s="2" t="n"/>
      <c r="H181" s="2" t="n"/>
      <c r="I181" s="2" t="n"/>
      <c r="J181" s="2" t="n"/>
      <c r="K181" s="2" t="n"/>
      <c r="L181" s="2" t="n"/>
      <c r="M181" s="2" t="n"/>
      <c r="N181" s="2" t="n"/>
      <c r="O181" s="2" t="n"/>
      <c r="P181" s="2" t="n"/>
      <c r="Q181" s="2">
        <f>IF(G181="","",TODAY()-G181)</f>
        <v/>
      </c>
    </row>
    <row r="182">
      <c r="A182" s="2" t="n"/>
      <c r="B182" s="2" t="n"/>
      <c r="C182" s="2" t="n"/>
      <c r="D182" s="2" t="n"/>
      <c r="E182" s="2" t="n"/>
      <c r="F182" s="2" t="n"/>
      <c r="G182" s="2" t="n"/>
      <c r="H182" s="2" t="n"/>
      <c r="I182" s="2" t="n"/>
      <c r="J182" s="2" t="n"/>
      <c r="K182" s="2" t="n"/>
      <c r="L182" s="2" t="n"/>
      <c r="M182" s="2" t="n"/>
      <c r="N182" s="2" t="n"/>
      <c r="O182" s="2" t="n"/>
      <c r="P182" s="2" t="n"/>
      <c r="Q182" s="2">
        <f>IF(G182="","",TODAY()-G182)</f>
        <v/>
      </c>
    </row>
    <row r="183">
      <c r="A183" s="2" t="n"/>
      <c r="B183" s="2" t="n"/>
      <c r="C183" s="2" t="n"/>
      <c r="D183" s="2" t="n"/>
      <c r="E183" s="2" t="n"/>
      <c r="F183" s="2" t="n"/>
      <c r="G183" s="2" t="n"/>
      <c r="H183" s="2" t="n"/>
      <c r="I183" s="2" t="n"/>
      <c r="J183" s="2" t="n"/>
      <c r="K183" s="2" t="n"/>
      <c r="L183" s="2" t="n"/>
      <c r="M183" s="2" t="n"/>
      <c r="N183" s="2" t="n"/>
      <c r="O183" s="2" t="n"/>
      <c r="P183" s="2" t="n"/>
      <c r="Q183" s="2">
        <f>IF(G183="","",TODAY()-G183)</f>
        <v/>
      </c>
    </row>
    <row r="184">
      <c r="A184" s="2" t="n"/>
      <c r="B184" s="2" t="n"/>
      <c r="C184" s="2" t="n"/>
      <c r="D184" s="2" t="n"/>
      <c r="E184" s="2" t="n"/>
      <c r="F184" s="2" t="n"/>
      <c r="G184" s="2" t="n"/>
      <c r="H184" s="2" t="n"/>
      <c r="I184" s="2" t="n"/>
      <c r="J184" s="2" t="n"/>
      <c r="K184" s="2" t="n"/>
      <c r="L184" s="2" t="n"/>
      <c r="M184" s="2" t="n"/>
      <c r="N184" s="2" t="n"/>
      <c r="O184" s="2" t="n"/>
      <c r="P184" s="2" t="n"/>
      <c r="Q184" s="2">
        <f>IF(G184="","",TODAY()-G184)</f>
        <v/>
      </c>
    </row>
    <row r="185">
      <c r="A185" s="2" t="n"/>
      <c r="B185" s="2" t="n"/>
      <c r="C185" s="2" t="n"/>
      <c r="D185" s="2" t="n"/>
      <c r="E185" s="2" t="n"/>
      <c r="F185" s="2" t="n"/>
      <c r="G185" s="2" t="n"/>
      <c r="H185" s="2" t="n"/>
      <c r="I185" s="2" t="n"/>
      <c r="J185" s="2" t="n"/>
      <c r="K185" s="2" t="n"/>
      <c r="L185" s="2" t="n"/>
      <c r="M185" s="2" t="n"/>
      <c r="N185" s="2" t="n"/>
      <c r="O185" s="2" t="n"/>
      <c r="P185" s="2" t="n"/>
      <c r="Q185" s="2">
        <f>IF(G185="","",TODAY()-G185)</f>
        <v/>
      </c>
    </row>
    <row r="186">
      <c r="A186" s="2" t="n"/>
      <c r="B186" s="2" t="n"/>
      <c r="C186" s="2" t="n"/>
      <c r="D186" s="2" t="n"/>
      <c r="E186" s="2" t="n"/>
      <c r="F186" s="2" t="n"/>
      <c r="G186" s="2" t="n"/>
      <c r="H186" s="2" t="n"/>
      <c r="I186" s="2" t="n"/>
      <c r="J186" s="2" t="n"/>
      <c r="K186" s="2" t="n"/>
      <c r="L186" s="2" t="n"/>
      <c r="M186" s="2" t="n"/>
      <c r="N186" s="2" t="n"/>
      <c r="O186" s="2" t="n"/>
      <c r="P186" s="2" t="n"/>
      <c r="Q186" s="2">
        <f>IF(G186="","",TODAY()-G186)</f>
        <v/>
      </c>
    </row>
    <row r="187">
      <c r="A187" s="2" t="n"/>
      <c r="B187" s="2" t="n"/>
      <c r="C187" s="2" t="n"/>
      <c r="D187" s="2" t="n"/>
      <c r="E187" s="2" t="n"/>
      <c r="F187" s="2" t="n"/>
      <c r="G187" s="2" t="n"/>
      <c r="H187" s="2" t="n"/>
      <c r="I187" s="2" t="n"/>
      <c r="J187" s="2" t="n"/>
      <c r="K187" s="2" t="n"/>
      <c r="L187" s="2" t="n"/>
      <c r="M187" s="2" t="n"/>
      <c r="N187" s="2" t="n"/>
      <c r="O187" s="2" t="n"/>
      <c r="P187" s="2" t="n"/>
      <c r="Q187" s="2">
        <f>IF(G187="","",TODAY()-G187)</f>
        <v/>
      </c>
    </row>
    <row r="188">
      <c r="A188" s="2" t="n"/>
      <c r="B188" s="2" t="n"/>
      <c r="C188" s="2" t="n"/>
      <c r="D188" s="2" t="n"/>
      <c r="E188" s="2" t="n"/>
      <c r="F188" s="2" t="n"/>
      <c r="G188" s="2" t="n"/>
      <c r="H188" s="2" t="n"/>
      <c r="I188" s="2" t="n"/>
      <c r="J188" s="2" t="n"/>
      <c r="K188" s="2" t="n"/>
      <c r="L188" s="2" t="n"/>
      <c r="M188" s="2" t="n"/>
      <c r="N188" s="2" t="n"/>
      <c r="O188" s="2" t="n"/>
      <c r="P188" s="2" t="n"/>
      <c r="Q188" s="2">
        <f>IF(G188="","",TODAY()-G188)</f>
        <v/>
      </c>
    </row>
    <row r="189">
      <c r="A189" s="2" t="n"/>
      <c r="B189" s="2" t="n"/>
      <c r="C189" s="2" t="n"/>
      <c r="D189" s="2" t="n"/>
      <c r="E189" s="2" t="n"/>
      <c r="F189" s="2" t="n"/>
      <c r="G189" s="2" t="n"/>
      <c r="H189" s="2" t="n"/>
      <c r="I189" s="2" t="n"/>
      <c r="J189" s="2" t="n"/>
      <c r="K189" s="2" t="n"/>
      <c r="L189" s="2" t="n"/>
      <c r="M189" s="2" t="n"/>
      <c r="N189" s="2" t="n"/>
      <c r="O189" s="2" t="n"/>
      <c r="P189" s="2" t="n"/>
      <c r="Q189" s="2">
        <f>IF(G189="","",TODAY()-G189)</f>
        <v/>
      </c>
    </row>
    <row r="190">
      <c r="A190" s="2" t="n"/>
      <c r="B190" s="2" t="n"/>
      <c r="C190" s="2" t="n"/>
      <c r="D190" s="2" t="n"/>
      <c r="E190" s="2" t="n"/>
      <c r="F190" s="2" t="n"/>
      <c r="G190" s="2" t="n"/>
      <c r="H190" s="2" t="n"/>
      <c r="I190" s="2" t="n"/>
      <c r="J190" s="2" t="n"/>
      <c r="K190" s="2" t="n"/>
      <c r="L190" s="2" t="n"/>
      <c r="M190" s="2" t="n"/>
      <c r="N190" s="2" t="n"/>
      <c r="O190" s="2" t="n"/>
      <c r="P190" s="2" t="n"/>
      <c r="Q190" s="2">
        <f>IF(G190="","",TODAY()-G190)</f>
        <v/>
      </c>
    </row>
    <row r="191">
      <c r="A191" s="2" t="n"/>
      <c r="B191" s="2" t="n"/>
      <c r="C191" s="2" t="n"/>
      <c r="D191" s="2" t="n"/>
      <c r="E191" s="2" t="n"/>
      <c r="F191" s="2" t="n"/>
      <c r="G191" s="2" t="n"/>
      <c r="H191" s="2" t="n"/>
      <c r="I191" s="2" t="n"/>
      <c r="J191" s="2" t="n"/>
      <c r="K191" s="2" t="n"/>
      <c r="L191" s="2" t="n"/>
      <c r="M191" s="2" t="n"/>
      <c r="N191" s="2" t="n"/>
      <c r="O191" s="2" t="n"/>
      <c r="P191" s="2" t="n"/>
      <c r="Q191" s="2">
        <f>IF(G191="","",TODAY()-G191)</f>
        <v/>
      </c>
    </row>
    <row r="192">
      <c r="A192" s="2" t="n"/>
      <c r="B192" s="2" t="n"/>
      <c r="C192" s="2" t="n"/>
      <c r="D192" s="2" t="n"/>
      <c r="E192" s="2" t="n"/>
      <c r="F192" s="2" t="n"/>
      <c r="G192" s="2" t="n"/>
      <c r="H192" s="2" t="n"/>
      <c r="I192" s="2" t="n"/>
      <c r="J192" s="2" t="n"/>
      <c r="K192" s="2" t="n"/>
      <c r="L192" s="2" t="n"/>
      <c r="M192" s="2" t="n"/>
      <c r="N192" s="2" t="n"/>
      <c r="O192" s="2" t="n"/>
      <c r="P192" s="2" t="n"/>
      <c r="Q192" s="2">
        <f>IF(G192="","",TODAY()-G192)</f>
        <v/>
      </c>
    </row>
    <row r="193">
      <c r="A193" s="2" t="n"/>
      <c r="B193" s="2" t="n"/>
      <c r="C193" s="2" t="n"/>
      <c r="D193" s="2" t="n"/>
      <c r="E193" s="2" t="n"/>
      <c r="F193" s="2" t="n"/>
      <c r="G193" s="2" t="n"/>
      <c r="H193" s="2" t="n"/>
      <c r="I193" s="2" t="n"/>
      <c r="J193" s="2" t="n"/>
      <c r="K193" s="2" t="n"/>
      <c r="L193" s="2" t="n"/>
      <c r="M193" s="2" t="n"/>
      <c r="N193" s="2" t="n"/>
      <c r="O193" s="2" t="n"/>
      <c r="P193" s="2" t="n"/>
      <c r="Q193" s="2">
        <f>IF(G193="","",TODAY()-G193)</f>
        <v/>
      </c>
    </row>
    <row r="194">
      <c r="A194" s="2" t="n"/>
      <c r="B194" s="2" t="n"/>
      <c r="C194" s="2" t="n"/>
      <c r="D194" s="2" t="n"/>
      <c r="E194" s="2" t="n"/>
      <c r="F194" s="2" t="n"/>
      <c r="G194" s="2" t="n"/>
      <c r="H194" s="2" t="n"/>
      <c r="I194" s="2" t="n"/>
      <c r="J194" s="2" t="n"/>
      <c r="K194" s="2" t="n"/>
      <c r="L194" s="2" t="n"/>
      <c r="M194" s="2" t="n"/>
      <c r="N194" s="2" t="n"/>
      <c r="O194" s="2" t="n"/>
      <c r="P194" s="2" t="n"/>
      <c r="Q194" s="2">
        <f>IF(G194="","",TODAY()-G194)</f>
        <v/>
      </c>
    </row>
    <row r="195">
      <c r="A195" s="2" t="n"/>
      <c r="B195" s="2" t="n"/>
      <c r="C195" s="2" t="n"/>
      <c r="D195" s="2" t="n"/>
      <c r="E195" s="2" t="n"/>
      <c r="F195" s="2" t="n"/>
      <c r="G195" s="2" t="n"/>
      <c r="H195" s="2" t="n"/>
      <c r="I195" s="2" t="n"/>
      <c r="J195" s="2" t="n"/>
      <c r="K195" s="2" t="n"/>
      <c r="L195" s="2" t="n"/>
      <c r="M195" s="2" t="n"/>
      <c r="N195" s="2" t="n"/>
      <c r="O195" s="2" t="n"/>
      <c r="P195" s="2" t="n"/>
      <c r="Q195" s="2">
        <f>IF(G195="","",TODAY()-G195)</f>
        <v/>
      </c>
    </row>
    <row r="196">
      <c r="A196" s="2" t="n"/>
      <c r="B196" s="2" t="n"/>
      <c r="C196" s="2" t="n"/>
      <c r="D196" s="2" t="n"/>
      <c r="E196" s="2" t="n"/>
      <c r="F196" s="2" t="n"/>
      <c r="G196" s="2" t="n"/>
      <c r="H196" s="2" t="n"/>
      <c r="I196" s="2" t="n"/>
      <c r="J196" s="2" t="n"/>
      <c r="K196" s="2" t="n"/>
      <c r="L196" s="2" t="n"/>
      <c r="M196" s="2" t="n"/>
      <c r="N196" s="2" t="n"/>
      <c r="O196" s="2" t="n"/>
      <c r="P196" s="2" t="n"/>
      <c r="Q196" s="2">
        <f>IF(G196="","",TODAY()-G196)</f>
        <v/>
      </c>
    </row>
    <row r="197">
      <c r="A197" s="2" t="n"/>
      <c r="B197" s="2" t="n"/>
      <c r="C197" s="2" t="n"/>
      <c r="D197" s="2" t="n"/>
      <c r="E197" s="2" t="n"/>
      <c r="F197" s="2" t="n"/>
      <c r="G197" s="2" t="n"/>
      <c r="H197" s="2" t="n"/>
      <c r="I197" s="2" t="n"/>
      <c r="J197" s="2" t="n"/>
      <c r="K197" s="2" t="n"/>
      <c r="L197" s="2" t="n"/>
      <c r="M197" s="2" t="n"/>
      <c r="N197" s="2" t="n"/>
      <c r="O197" s="2" t="n"/>
      <c r="P197" s="2" t="n"/>
      <c r="Q197" s="2">
        <f>IF(G197="","",TODAY()-G197)</f>
        <v/>
      </c>
    </row>
    <row r="198">
      <c r="A198" s="2" t="n"/>
      <c r="B198" s="2" t="n"/>
      <c r="C198" s="2" t="n"/>
      <c r="D198" s="2" t="n"/>
      <c r="E198" s="2" t="n"/>
      <c r="F198" s="2" t="n"/>
      <c r="G198" s="2" t="n"/>
      <c r="H198" s="2" t="n"/>
      <c r="I198" s="2" t="n"/>
      <c r="J198" s="2" t="n"/>
      <c r="K198" s="2" t="n"/>
      <c r="L198" s="2" t="n"/>
      <c r="M198" s="2" t="n"/>
      <c r="N198" s="2" t="n"/>
      <c r="O198" s="2" t="n"/>
      <c r="P198" s="2" t="n"/>
      <c r="Q198" s="2">
        <f>IF(G198="","",TODAY()-G198)</f>
        <v/>
      </c>
    </row>
    <row r="199">
      <c r="A199" s="2" t="n"/>
      <c r="B199" s="2" t="n"/>
      <c r="C199" s="2" t="n"/>
      <c r="D199" s="2" t="n"/>
      <c r="E199" s="2" t="n"/>
      <c r="F199" s="2" t="n"/>
      <c r="G199" s="2" t="n"/>
      <c r="H199" s="2" t="n"/>
      <c r="I199" s="2" t="n"/>
      <c r="J199" s="2" t="n"/>
      <c r="K199" s="2" t="n"/>
      <c r="L199" s="2" t="n"/>
      <c r="M199" s="2" t="n"/>
      <c r="N199" s="2" t="n"/>
      <c r="O199" s="2" t="n"/>
      <c r="P199" s="2" t="n"/>
      <c r="Q199" s="2">
        <f>IF(G199="","",TODAY()-G199)</f>
        <v/>
      </c>
    </row>
    <row r="200">
      <c r="A200" s="2" t="n"/>
      <c r="B200" s="2" t="n"/>
      <c r="C200" s="2" t="n"/>
      <c r="D200" s="2" t="n"/>
      <c r="E200" s="2" t="n"/>
      <c r="F200" s="2" t="n"/>
      <c r="G200" s="2" t="n"/>
      <c r="H200" s="2" t="n"/>
      <c r="I200" s="2" t="n"/>
      <c r="J200" s="2" t="n"/>
      <c r="K200" s="2" t="n"/>
      <c r="L200" s="2" t="n"/>
      <c r="M200" s="2" t="n"/>
      <c r="N200" s="2" t="n"/>
      <c r="O200" s="2" t="n"/>
      <c r="P200" s="2" t="n"/>
      <c r="Q200" s="2">
        <f>IF(G200="","",TODAY()-G200)</f>
        <v/>
      </c>
    </row>
    <row r="201">
      <c r="A201" s="2" t="n"/>
      <c r="B201" s="2" t="n"/>
      <c r="C201" s="2" t="n"/>
      <c r="D201" s="2" t="n"/>
      <c r="E201" s="2" t="n"/>
      <c r="F201" s="2" t="n"/>
      <c r="G201" s="2" t="n"/>
      <c r="H201" s="2" t="n"/>
      <c r="I201" s="2" t="n"/>
      <c r="J201" s="2" t="n"/>
      <c r="K201" s="2" t="n"/>
      <c r="L201" s="2" t="n"/>
      <c r="M201" s="2" t="n"/>
      <c r="N201" s="2" t="n"/>
      <c r="O201" s="2" t="n"/>
      <c r="P201" s="2" t="n"/>
      <c r="Q201" s="2">
        <f>IF(G201="","",TODAY()-G201)</f>
        <v/>
      </c>
    </row>
    <row r="202">
      <c r="A202" s="2" t="n"/>
      <c r="B202" s="2" t="n"/>
      <c r="C202" s="2" t="n"/>
      <c r="D202" s="2" t="n"/>
      <c r="E202" s="2" t="n"/>
      <c r="F202" s="2" t="n"/>
      <c r="G202" s="2" t="n"/>
      <c r="H202" s="2" t="n"/>
      <c r="I202" s="2" t="n"/>
      <c r="J202" s="2" t="n"/>
      <c r="K202" s="2" t="n"/>
      <c r="L202" s="2" t="n"/>
      <c r="M202" s="2" t="n"/>
      <c r="N202" s="2" t="n"/>
      <c r="O202" s="2" t="n"/>
      <c r="P202" s="2" t="n"/>
      <c r="Q202" s="2">
        <f>IF(G202="","",TODAY()-G202)</f>
        <v/>
      </c>
    </row>
    <row r="203">
      <c r="A203" s="2" t="n"/>
      <c r="B203" s="2" t="n"/>
      <c r="C203" s="2" t="n"/>
      <c r="D203" s="2" t="n"/>
      <c r="E203" s="2" t="n"/>
      <c r="F203" s="2" t="n"/>
      <c r="G203" s="2" t="n"/>
      <c r="H203" s="2" t="n"/>
      <c r="I203" s="2" t="n"/>
      <c r="J203" s="2" t="n"/>
      <c r="K203" s="2" t="n"/>
      <c r="L203" s="2" t="n"/>
      <c r="M203" s="2" t="n"/>
      <c r="N203" s="2" t="n"/>
      <c r="O203" s="2" t="n"/>
      <c r="P203" s="2" t="n"/>
      <c r="Q203" s="2">
        <f>IF(G203="","",TODAY()-G203)</f>
        <v/>
      </c>
    </row>
    <row r="204">
      <c r="A204" s="2" t="n"/>
      <c r="B204" s="2" t="n"/>
      <c r="C204" s="2" t="n"/>
      <c r="D204" s="2" t="n"/>
      <c r="E204" s="2" t="n"/>
      <c r="F204" s="2" t="n"/>
      <c r="G204" s="2" t="n"/>
      <c r="H204" s="2" t="n"/>
      <c r="I204" s="2" t="n"/>
      <c r="J204" s="2" t="n"/>
      <c r="K204" s="2" t="n"/>
      <c r="L204" s="2" t="n"/>
      <c r="M204" s="2" t="n"/>
      <c r="N204" s="2" t="n"/>
      <c r="O204" s="2" t="n"/>
      <c r="P204" s="2" t="n"/>
      <c r="Q204" s="2">
        <f>IF(G204="","",TODAY()-G204)</f>
        <v/>
      </c>
    </row>
    <row r="205">
      <c r="A205" s="2" t="n"/>
      <c r="B205" s="2" t="n"/>
      <c r="C205" s="2" t="n"/>
      <c r="D205" s="2" t="n"/>
      <c r="E205" s="2" t="n"/>
      <c r="F205" s="2" t="n"/>
      <c r="G205" s="2" t="n"/>
      <c r="H205" s="2" t="n"/>
      <c r="I205" s="2" t="n"/>
      <c r="J205" s="2" t="n"/>
      <c r="K205" s="2" t="n"/>
      <c r="L205" s="2" t="n"/>
      <c r="M205" s="2" t="n"/>
      <c r="N205" s="2" t="n"/>
      <c r="O205" s="2" t="n"/>
      <c r="P205" s="2" t="n"/>
      <c r="Q205" s="2">
        <f>IF(G205="","",TODAY()-G205)</f>
        <v/>
      </c>
    </row>
    <row r="206">
      <c r="A206" s="2" t="n"/>
      <c r="B206" s="2" t="n"/>
      <c r="C206" s="2" t="n"/>
      <c r="D206" s="2" t="n"/>
      <c r="E206" s="2" t="n"/>
      <c r="F206" s="2" t="n"/>
      <c r="G206" s="2" t="n"/>
      <c r="H206" s="2" t="n"/>
      <c r="I206" s="2" t="n"/>
      <c r="J206" s="2" t="n"/>
      <c r="K206" s="2" t="n"/>
      <c r="L206" s="2" t="n"/>
      <c r="M206" s="2" t="n"/>
      <c r="N206" s="2" t="n"/>
      <c r="O206" s="2" t="n"/>
      <c r="P206" s="2" t="n"/>
      <c r="Q206" s="2">
        <f>IF(G206="","",TODAY()-G206)</f>
        <v/>
      </c>
    </row>
    <row r="207">
      <c r="A207" s="2" t="n"/>
      <c r="B207" s="2" t="n"/>
      <c r="C207" s="2" t="n"/>
      <c r="D207" s="2" t="n"/>
      <c r="E207" s="2" t="n"/>
      <c r="F207" s="2" t="n"/>
      <c r="G207" s="2" t="n"/>
      <c r="H207" s="2" t="n"/>
      <c r="I207" s="2" t="n"/>
      <c r="J207" s="2" t="n"/>
      <c r="K207" s="2" t="n"/>
      <c r="L207" s="2" t="n"/>
      <c r="M207" s="2" t="n"/>
      <c r="N207" s="2" t="n"/>
      <c r="O207" s="2" t="n"/>
      <c r="P207" s="2" t="n"/>
      <c r="Q207" s="2">
        <f>IF(G207="","",TODAY()-G207)</f>
        <v/>
      </c>
    </row>
    <row r="208">
      <c r="A208" s="2" t="n"/>
      <c r="B208" s="2" t="n"/>
      <c r="C208" s="2" t="n"/>
      <c r="D208" s="2" t="n"/>
      <c r="E208" s="2" t="n"/>
      <c r="F208" s="2" t="n"/>
      <c r="G208" s="2" t="n"/>
      <c r="H208" s="2" t="n"/>
      <c r="I208" s="2" t="n"/>
      <c r="J208" s="2" t="n"/>
      <c r="K208" s="2" t="n"/>
      <c r="L208" s="2" t="n"/>
      <c r="M208" s="2" t="n"/>
      <c r="N208" s="2" t="n"/>
      <c r="O208" s="2" t="n"/>
      <c r="P208" s="2" t="n"/>
      <c r="Q208" s="2">
        <f>IF(G208="","",TODAY()-G208)</f>
        <v/>
      </c>
    </row>
    <row r="209">
      <c r="A209" s="2" t="n"/>
      <c r="B209" s="2" t="n"/>
      <c r="C209" s="2" t="n"/>
      <c r="D209" s="2" t="n"/>
      <c r="E209" s="2" t="n"/>
      <c r="F209" s="2" t="n"/>
      <c r="G209" s="2" t="n"/>
      <c r="H209" s="2" t="n"/>
      <c r="I209" s="2" t="n"/>
      <c r="J209" s="2" t="n"/>
      <c r="K209" s="2" t="n"/>
      <c r="L209" s="2" t="n"/>
      <c r="M209" s="2" t="n"/>
      <c r="N209" s="2" t="n"/>
      <c r="O209" s="2" t="n"/>
      <c r="P209" s="2" t="n"/>
      <c r="Q209" s="2">
        <f>IF(G209="","",TODAY()-G209)</f>
        <v/>
      </c>
    </row>
    <row r="210">
      <c r="A210" s="2" t="n"/>
      <c r="B210" s="2" t="n"/>
      <c r="C210" s="2" t="n"/>
      <c r="D210" s="2" t="n"/>
      <c r="E210" s="2" t="n"/>
      <c r="F210" s="2" t="n"/>
      <c r="G210" s="2" t="n"/>
      <c r="H210" s="2" t="n"/>
      <c r="I210" s="2" t="n"/>
      <c r="J210" s="2" t="n"/>
      <c r="K210" s="2" t="n"/>
      <c r="L210" s="2" t="n"/>
      <c r="M210" s="2" t="n"/>
      <c r="N210" s="2" t="n"/>
      <c r="O210" s="2" t="n"/>
      <c r="P210" s="2" t="n"/>
      <c r="Q210" s="2">
        <f>IF(G210="","",TODAY()-G210)</f>
        <v/>
      </c>
    </row>
    <row r="211">
      <c r="A211" s="2" t="n"/>
      <c r="B211" s="2" t="n"/>
      <c r="C211" s="2" t="n"/>
      <c r="D211" s="2" t="n"/>
      <c r="E211" s="2" t="n"/>
      <c r="F211" s="2" t="n"/>
      <c r="G211" s="2" t="n"/>
      <c r="H211" s="2" t="n"/>
      <c r="I211" s="2" t="n"/>
      <c r="J211" s="2" t="n"/>
      <c r="K211" s="2" t="n"/>
      <c r="L211" s="2" t="n"/>
      <c r="M211" s="2" t="n"/>
      <c r="N211" s="2" t="n"/>
      <c r="O211" s="2" t="n"/>
      <c r="P211" s="2" t="n"/>
      <c r="Q211" s="2">
        <f>IF(G211="","",TODAY()-G211)</f>
        <v/>
      </c>
    </row>
    <row r="212">
      <c r="A212" s="2" t="n"/>
      <c r="B212" s="2" t="n"/>
      <c r="C212" s="2" t="n"/>
      <c r="D212" s="2" t="n"/>
      <c r="E212" s="2" t="n"/>
      <c r="F212" s="2" t="n"/>
      <c r="G212" s="2" t="n"/>
      <c r="H212" s="2" t="n"/>
      <c r="I212" s="2" t="n"/>
      <c r="J212" s="2" t="n"/>
      <c r="K212" s="2" t="n"/>
      <c r="L212" s="2" t="n"/>
      <c r="M212" s="2" t="n"/>
      <c r="N212" s="2" t="n"/>
      <c r="O212" s="2" t="n"/>
      <c r="P212" s="2" t="n"/>
      <c r="Q212" s="2">
        <f>IF(G212="","",TODAY()-G212)</f>
        <v/>
      </c>
    </row>
    <row r="213">
      <c r="A213" s="2" t="n"/>
      <c r="B213" s="2" t="n"/>
      <c r="C213" s="2" t="n"/>
      <c r="D213" s="2" t="n"/>
      <c r="E213" s="2" t="n"/>
      <c r="F213" s="2" t="n"/>
      <c r="G213" s="2" t="n"/>
      <c r="H213" s="2" t="n"/>
      <c r="I213" s="2" t="n"/>
      <c r="J213" s="2" t="n"/>
      <c r="K213" s="2" t="n"/>
      <c r="L213" s="2" t="n"/>
      <c r="M213" s="2" t="n"/>
      <c r="N213" s="2" t="n"/>
      <c r="O213" s="2" t="n"/>
      <c r="P213" s="2" t="n"/>
      <c r="Q213" s="2">
        <f>IF(G213="","",TODAY()-G213)</f>
        <v/>
      </c>
    </row>
    <row r="214">
      <c r="A214" s="2" t="n"/>
      <c r="B214" s="2" t="n"/>
      <c r="C214" s="2" t="n"/>
      <c r="D214" s="2" t="n"/>
      <c r="E214" s="2" t="n"/>
      <c r="F214" s="2" t="n"/>
      <c r="G214" s="2" t="n"/>
      <c r="H214" s="2" t="n"/>
      <c r="I214" s="2" t="n"/>
      <c r="J214" s="2" t="n"/>
      <c r="K214" s="2" t="n"/>
      <c r="L214" s="2" t="n"/>
      <c r="M214" s="2" t="n"/>
      <c r="N214" s="2" t="n"/>
      <c r="O214" s="2" t="n"/>
      <c r="P214" s="2" t="n"/>
      <c r="Q214" s="2">
        <f>IF(G214="","",TODAY()-G214)</f>
        <v/>
      </c>
    </row>
    <row r="215">
      <c r="A215" s="2" t="n"/>
      <c r="B215" s="2" t="n"/>
      <c r="C215" s="2" t="n"/>
      <c r="D215" s="2" t="n"/>
      <c r="E215" s="2" t="n"/>
      <c r="F215" s="2" t="n"/>
      <c r="G215" s="2" t="n"/>
      <c r="H215" s="2" t="n"/>
      <c r="I215" s="2" t="n"/>
      <c r="J215" s="2" t="n"/>
      <c r="K215" s="2" t="n"/>
      <c r="L215" s="2" t="n"/>
      <c r="M215" s="2" t="n"/>
      <c r="N215" s="2" t="n"/>
      <c r="O215" s="2" t="n"/>
      <c r="P215" s="2" t="n"/>
      <c r="Q215" s="2">
        <f>IF(G215="","",TODAY()-G215)</f>
        <v/>
      </c>
    </row>
    <row r="216">
      <c r="A216" s="2" t="n"/>
      <c r="B216" s="2" t="n"/>
      <c r="C216" s="2" t="n"/>
      <c r="D216" s="2" t="n"/>
      <c r="E216" s="2" t="n"/>
      <c r="F216" s="2" t="n"/>
      <c r="G216" s="2" t="n"/>
      <c r="H216" s="2" t="n"/>
      <c r="I216" s="2" t="n"/>
      <c r="J216" s="2" t="n"/>
      <c r="K216" s="2" t="n"/>
      <c r="L216" s="2" t="n"/>
      <c r="M216" s="2" t="n"/>
      <c r="N216" s="2" t="n"/>
      <c r="O216" s="2" t="n"/>
      <c r="P216" s="2" t="n"/>
      <c r="Q216" s="2">
        <f>IF(G216="","",TODAY()-G216)</f>
        <v/>
      </c>
    </row>
    <row r="217">
      <c r="A217" s="2" t="n"/>
      <c r="B217" s="2" t="n"/>
      <c r="C217" s="2" t="n"/>
      <c r="D217" s="2" t="n"/>
      <c r="E217" s="2" t="n"/>
      <c r="F217" s="2" t="n"/>
      <c r="G217" s="2" t="n"/>
      <c r="H217" s="2" t="n"/>
      <c r="I217" s="2" t="n"/>
      <c r="J217" s="2" t="n"/>
      <c r="K217" s="2" t="n"/>
      <c r="L217" s="2" t="n"/>
      <c r="M217" s="2" t="n"/>
      <c r="N217" s="2" t="n"/>
      <c r="O217" s="2" t="n"/>
      <c r="P217" s="2" t="n"/>
      <c r="Q217" s="2">
        <f>IF(G217="","",TODAY()-G217)</f>
        <v/>
      </c>
    </row>
    <row r="218">
      <c r="A218" s="2" t="n"/>
      <c r="B218" s="2" t="n"/>
      <c r="C218" s="2" t="n"/>
      <c r="D218" s="2" t="n"/>
      <c r="E218" s="2" t="n"/>
      <c r="F218" s="2" t="n"/>
      <c r="G218" s="2" t="n"/>
      <c r="H218" s="2" t="n"/>
      <c r="I218" s="2" t="n"/>
      <c r="J218" s="2" t="n"/>
      <c r="K218" s="2" t="n"/>
      <c r="L218" s="2" t="n"/>
      <c r="M218" s="2" t="n"/>
      <c r="N218" s="2" t="n"/>
      <c r="O218" s="2" t="n"/>
      <c r="P218" s="2" t="n"/>
      <c r="Q218" s="2">
        <f>IF(G218="","",TODAY()-G218)</f>
        <v/>
      </c>
    </row>
    <row r="219">
      <c r="A219" s="2" t="n"/>
      <c r="B219" s="2" t="n"/>
      <c r="C219" s="2" t="n"/>
      <c r="D219" s="2" t="n"/>
      <c r="E219" s="2" t="n"/>
      <c r="F219" s="2" t="n"/>
      <c r="G219" s="2" t="n"/>
      <c r="H219" s="2" t="n"/>
      <c r="I219" s="2" t="n"/>
      <c r="J219" s="2" t="n"/>
      <c r="K219" s="2" t="n"/>
      <c r="L219" s="2" t="n"/>
      <c r="M219" s="2" t="n"/>
      <c r="N219" s="2" t="n"/>
      <c r="O219" s="2" t="n"/>
      <c r="P219" s="2" t="n"/>
      <c r="Q219" s="2">
        <f>IF(G219="","",TODAY()-G219)</f>
        <v/>
      </c>
    </row>
    <row r="220">
      <c r="A220" s="2" t="n"/>
      <c r="B220" s="2" t="n"/>
      <c r="C220" s="2" t="n"/>
      <c r="D220" s="2" t="n"/>
      <c r="E220" s="2" t="n"/>
      <c r="F220" s="2" t="n"/>
      <c r="G220" s="2" t="n"/>
      <c r="H220" s="2" t="n"/>
      <c r="I220" s="2" t="n"/>
      <c r="J220" s="2" t="n"/>
      <c r="K220" s="2" t="n"/>
      <c r="L220" s="2" t="n"/>
      <c r="M220" s="2" t="n"/>
      <c r="N220" s="2" t="n"/>
      <c r="O220" s="2" t="n"/>
      <c r="P220" s="2" t="n"/>
      <c r="Q220" s="2">
        <f>IF(G220="","",TODAY()-G220)</f>
        <v/>
      </c>
    </row>
    <row r="221">
      <c r="A221" s="2" t="n"/>
      <c r="B221" s="2" t="n"/>
      <c r="C221" s="2" t="n"/>
      <c r="D221" s="2" t="n"/>
      <c r="E221" s="2" t="n"/>
      <c r="F221" s="2" t="n"/>
      <c r="G221" s="2" t="n"/>
      <c r="H221" s="2" t="n"/>
      <c r="I221" s="2" t="n"/>
      <c r="J221" s="2" t="n"/>
      <c r="K221" s="2" t="n"/>
      <c r="L221" s="2" t="n"/>
      <c r="M221" s="2" t="n"/>
      <c r="N221" s="2" t="n"/>
      <c r="O221" s="2" t="n"/>
      <c r="P221" s="2" t="n"/>
      <c r="Q221" s="2">
        <f>IF(G221="","",TODAY()-G221)</f>
        <v/>
      </c>
    </row>
    <row r="222">
      <c r="A222" s="2" t="n"/>
      <c r="B222" s="2" t="n"/>
      <c r="C222" s="2" t="n"/>
      <c r="D222" s="2" t="n"/>
      <c r="E222" s="2" t="n"/>
      <c r="F222" s="2" t="n"/>
      <c r="G222" s="2" t="n"/>
      <c r="H222" s="2" t="n"/>
      <c r="I222" s="2" t="n"/>
      <c r="J222" s="2" t="n"/>
      <c r="K222" s="2" t="n"/>
      <c r="L222" s="2" t="n"/>
      <c r="M222" s="2" t="n"/>
      <c r="N222" s="2" t="n"/>
      <c r="O222" s="2" t="n"/>
      <c r="P222" s="2" t="n"/>
      <c r="Q222" s="2">
        <f>IF(G222="","",TODAY()-G222)</f>
        <v/>
      </c>
    </row>
    <row r="223">
      <c r="A223" s="2" t="n"/>
      <c r="B223" s="2" t="n"/>
      <c r="C223" s="2" t="n"/>
      <c r="D223" s="2" t="n"/>
      <c r="E223" s="2" t="n"/>
      <c r="F223" s="2" t="n"/>
      <c r="G223" s="2" t="n"/>
      <c r="H223" s="2" t="n"/>
      <c r="I223" s="2" t="n"/>
      <c r="J223" s="2" t="n"/>
      <c r="K223" s="2" t="n"/>
      <c r="L223" s="2" t="n"/>
      <c r="M223" s="2" t="n"/>
      <c r="N223" s="2" t="n"/>
      <c r="O223" s="2" t="n"/>
      <c r="P223" s="2" t="n"/>
      <c r="Q223" s="2">
        <f>IF(G223="","",TODAY()-G223)</f>
        <v/>
      </c>
    </row>
    <row r="224">
      <c r="A224" s="2" t="n"/>
      <c r="B224" s="2" t="n"/>
      <c r="C224" s="2" t="n"/>
      <c r="D224" s="2" t="n"/>
      <c r="E224" s="2" t="n"/>
      <c r="F224" s="2" t="n"/>
      <c r="G224" s="2" t="n"/>
      <c r="H224" s="2" t="n"/>
      <c r="I224" s="2" t="n"/>
      <c r="J224" s="2" t="n"/>
      <c r="K224" s="2" t="n"/>
      <c r="L224" s="2" t="n"/>
      <c r="M224" s="2" t="n"/>
      <c r="N224" s="2" t="n"/>
      <c r="O224" s="2" t="n"/>
      <c r="P224" s="2" t="n"/>
      <c r="Q224" s="2">
        <f>IF(G224="","",TODAY()-G224)</f>
        <v/>
      </c>
    </row>
    <row r="225">
      <c r="A225" s="2" t="n"/>
      <c r="B225" s="2" t="n"/>
      <c r="C225" s="2" t="n"/>
      <c r="D225" s="2" t="n"/>
      <c r="E225" s="2" t="n"/>
      <c r="F225" s="2" t="n"/>
      <c r="G225" s="2" t="n"/>
      <c r="H225" s="2" t="n"/>
      <c r="I225" s="2" t="n"/>
      <c r="J225" s="2" t="n"/>
      <c r="K225" s="2" t="n"/>
      <c r="L225" s="2" t="n"/>
      <c r="M225" s="2" t="n"/>
      <c r="N225" s="2" t="n"/>
      <c r="O225" s="2" t="n"/>
      <c r="P225" s="2" t="n"/>
      <c r="Q225" s="2">
        <f>IF(G225="","",TODAY()-G225)</f>
        <v/>
      </c>
    </row>
    <row r="226">
      <c r="A226" s="2" t="n"/>
      <c r="B226" s="2" t="n"/>
      <c r="C226" s="2" t="n"/>
      <c r="D226" s="2" t="n"/>
      <c r="E226" s="2" t="n"/>
      <c r="F226" s="2" t="n"/>
      <c r="G226" s="2" t="n"/>
      <c r="H226" s="2" t="n"/>
      <c r="I226" s="2" t="n"/>
      <c r="J226" s="2" t="n"/>
      <c r="K226" s="2" t="n"/>
      <c r="L226" s="2" t="n"/>
      <c r="M226" s="2" t="n"/>
      <c r="N226" s="2" t="n"/>
      <c r="O226" s="2" t="n"/>
      <c r="P226" s="2" t="n"/>
      <c r="Q226" s="2">
        <f>IF(G226="","",TODAY()-G226)</f>
        <v/>
      </c>
    </row>
    <row r="227">
      <c r="A227" s="2" t="n"/>
      <c r="B227" s="2" t="n"/>
      <c r="C227" s="2" t="n"/>
      <c r="D227" s="2" t="n"/>
      <c r="E227" s="2" t="n"/>
      <c r="F227" s="2" t="n"/>
      <c r="G227" s="2" t="n"/>
      <c r="H227" s="2" t="n"/>
      <c r="I227" s="2" t="n"/>
      <c r="J227" s="2" t="n"/>
      <c r="K227" s="2" t="n"/>
      <c r="L227" s="2" t="n"/>
      <c r="M227" s="2" t="n"/>
      <c r="N227" s="2" t="n"/>
      <c r="O227" s="2" t="n"/>
      <c r="P227" s="2" t="n"/>
      <c r="Q227" s="2">
        <f>IF(G227="","",TODAY()-G227)</f>
        <v/>
      </c>
    </row>
    <row r="228">
      <c r="A228" s="2" t="n"/>
      <c r="B228" s="2" t="n"/>
      <c r="C228" s="2" t="n"/>
      <c r="D228" s="2" t="n"/>
      <c r="E228" s="2" t="n"/>
      <c r="F228" s="2" t="n"/>
      <c r="G228" s="2" t="n"/>
      <c r="H228" s="2" t="n"/>
      <c r="I228" s="2" t="n"/>
      <c r="J228" s="2" t="n"/>
      <c r="K228" s="2" t="n"/>
      <c r="L228" s="2" t="n"/>
      <c r="M228" s="2" t="n"/>
      <c r="N228" s="2" t="n"/>
      <c r="O228" s="2" t="n"/>
      <c r="P228" s="2" t="n"/>
      <c r="Q228" s="2">
        <f>IF(G228="","",TODAY()-G228)</f>
        <v/>
      </c>
    </row>
    <row r="229">
      <c r="A229" s="2" t="n"/>
      <c r="B229" s="2" t="n"/>
      <c r="C229" s="2" t="n"/>
      <c r="D229" s="2" t="n"/>
      <c r="E229" s="2" t="n"/>
      <c r="F229" s="2" t="n"/>
      <c r="G229" s="2" t="n"/>
      <c r="H229" s="2" t="n"/>
      <c r="I229" s="2" t="n"/>
      <c r="J229" s="2" t="n"/>
      <c r="K229" s="2" t="n"/>
      <c r="L229" s="2" t="n"/>
      <c r="M229" s="2" t="n"/>
      <c r="N229" s="2" t="n"/>
      <c r="O229" s="2" t="n"/>
      <c r="P229" s="2" t="n"/>
      <c r="Q229" s="2">
        <f>IF(G229="","",TODAY()-G229)</f>
        <v/>
      </c>
    </row>
    <row r="230">
      <c r="A230" s="2" t="n"/>
      <c r="B230" s="2" t="n"/>
      <c r="C230" s="2" t="n"/>
      <c r="D230" s="2" t="n"/>
      <c r="E230" s="2" t="n"/>
      <c r="F230" s="2" t="n"/>
      <c r="G230" s="2" t="n"/>
      <c r="H230" s="2" t="n"/>
      <c r="I230" s="2" t="n"/>
      <c r="J230" s="2" t="n"/>
      <c r="K230" s="2" t="n"/>
      <c r="L230" s="2" t="n"/>
      <c r="M230" s="2" t="n"/>
      <c r="N230" s="2" t="n"/>
      <c r="O230" s="2" t="n"/>
      <c r="P230" s="2" t="n"/>
      <c r="Q230" s="2">
        <f>IF(G230="","",TODAY()-G230)</f>
        <v/>
      </c>
    </row>
    <row r="231">
      <c r="A231" s="2" t="n"/>
      <c r="B231" s="2" t="n"/>
      <c r="C231" s="2" t="n"/>
      <c r="D231" s="2" t="n"/>
      <c r="E231" s="2" t="n"/>
      <c r="F231" s="2" t="n"/>
      <c r="G231" s="2" t="n"/>
      <c r="H231" s="2" t="n"/>
      <c r="I231" s="2" t="n"/>
      <c r="J231" s="2" t="n"/>
      <c r="K231" s="2" t="n"/>
      <c r="L231" s="2" t="n"/>
      <c r="M231" s="2" t="n"/>
      <c r="N231" s="2" t="n"/>
      <c r="O231" s="2" t="n"/>
      <c r="P231" s="2" t="n"/>
      <c r="Q231" s="2">
        <f>IF(G231="","",TODAY()-G231)</f>
        <v/>
      </c>
    </row>
    <row r="232">
      <c r="A232" s="2" t="n"/>
      <c r="B232" s="2" t="n"/>
      <c r="C232" s="2" t="n"/>
      <c r="D232" s="2" t="n"/>
      <c r="E232" s="2" t="n"/>
      <c r="F232" s="2" t="n"/>
      <c r="G232" s="2" t="n"/>
      <c r="H232" s="2" t="n"/>
      <c r="I232" s="2" t="n"/>
      <c r="J232" s="2" t="n"/>
      <c r="K232" s="2" t="n"/>
      <c r="L232" s="2" t="n"/>
      <c r="M232" s="2" t="n"/>
      <c r="N232" s="2" t="n"/>
      <c r="O232" s="2" t="n"/>
      <c r="P232" s="2" t="n"/>
      <c r="Q232" s="2">
        <f>IF(G232="","",TODAY()-G232)</f>
        <v/>
      </c>
    </row>
    <row r="233">
      <c r="A233" s="2" t="n"/>
      <c r="B233" s="2" t="n"/>
      <c r="C233" s="2" t="n"/>
      <c r="D233" s="2" t="n"/>
      <c r="E233" s="2" t="n"/>
      <c r="F233" s="2" t="n"/>
      <c r="G233" s="2" t="n"/>
      <c r="H233" s="2" t="n"/>
      <c r="I233" s="2" t="n"/>
      <c r="J233" s="2" t="n"/>
      <c r="K233" s="2" t="n"/>
      <c r="L233" s="2" t="n"/>
      <c r="M233" s="2" t="n"/>
      <c r="N233" s="2" t="n"/>
      <c r="O233" s="2" t="n"/>
      <c r="P233" s="2" t="n"/>
      <c r="Q233" s="2">
        <f>IF(G233="","",TODAY()-G233)</f>
        <v/>
      </c>
    </row>
    <row r="234">
      <c r="A234" s="2" t="n"/>
      <c r="B234" s="2" t="n"/>
      <c r="C234" s="2" t="n"/>
      <c r="D234" s="2" t="n"/>
      <c r="E234" s="2" t="n"/>
      <c r="F234" s="2" t="n"/>
      <c r="G234" s="2" t="n"/>
      <c r="H234" s="2" t="n"/>
      <c r="I234" s="2" t="n"/>
      <c r="J234" s="2" t="n"/>
      <c r="K234" s="2" t="n"/>
      <c r="L234" s="2" t="n"/>
      <c r="M234" s="2" t="n"/>
      <c r="N234" s="2" t="n"/>
      <c r="O234" s="2" t="n"/>
      <c r="P234" s="2" t="n"/>
      <c r="Q234" s="2">
        <f>IF(G234="","",TODAY()-G234)</f>
        <v/>
      </c>
    </row>
    <row r="235">
      <c r="A235" s="2" t="n"/>
      <c r="B235" s="2" t="n"/>
      <c r="C235" s="2" t="n"/>
      <c r="D235" s="2" t="n"/>
      <c r="E235" s="2" t="n"/>
      <c r="F235" s="2" t="n"/>
      <c r="G235" s="2" t="n"/>
      <c r="H235" s="2" t="n"/>
      <c r="I235" s="2" t="n"/>
      <c r="J235" s="2" t="n"/>
      <c r="K235" s="2" t="n"/>
      <c r="L235" s="2" t="n"/>
      <c r="M235" s="2" t="n"/>
      <c r="N235" s="2" t="n"/>
      <c r="O235" s="2" t="n"/>
      <c r="P235" s="2" t="n"/>
      <c r="Q235" s="2">
        <f>IF(G235="","",TODAY()-G235)</f>
        <v/>
      </c>
    </row>
    <row r="236">
      <c r="A236" s="2" t="n"/>
      <c r="B236" s="2" t="n"/>
      <c r="C236" s="2" t="n"/>
      <c r="D236" s="2" t="n"/>
      <c r="E236" s="2" t="n"/>
      <c r="F236" s="2" t="n"/>
      <c r="G236" s="2" t="n"/>
      <c r="H236" s="2" t="n"/>
      <c r="I236" s="2" t="n"/>
      <c r="J236" s="2" t="n"/>
      <c r="K236" s="2" t="n"/>
      <c r="L236" s="2" t="n"/>
      <c r="M236" s="2" t="n"/>
      <c r="N236" s="2" t="n"/>
      <c r="O236" s="2" t="n"/>
      <c r="P236" s="2" t="n"/>
      <c r="Q236" s="2">
        <f>IF(G236="","",TODAY()-G236)</f>
        <v/>
      </c>
    </row>
    <row r="237">
      <c r="A237" s="2" t="n"/>
      <c r="B237" s="2" t="n"/>
      <c r="C237" s="2" t="n"/>
      <c r="D237" s="2" t="n"/>
      <c r="E237" s="2" t="n"/>
      <c r="F237" s="2" t="n"/>
      <c r="G237" s="2" t="n"/>
      <c r="H237" s="2" t="n"/>
      <c r="I237" s="2" t="n"/>
      <c r="J237" s="2" t="n"/>
      <c r="K237" s="2" t="n"/>
      <c r="L237" s="2" t="n"/>
      <c r="M237" s="2" t="n"/>
      <c r="N237" s="2" t="n"/>
      <c r="O237" s="2" t="n"/>
      <c r="P237" s="2" t="n"/>
      <c r="Q237" s="2">
        <f>IF(G237="","",TODAY()-G237)</f>
        <v/>
      </c>
    </row>
    <row r="238">
      <c r="A238" s="2" t="n"/>
      <c r="B238" s="2" t="n"/>
      <c r="C238" s="2" t="n"/>
      <c r="D238" s="2" t="n"/>
      <c r="E238" s="2" t="n"/>
      <c r="F238" s="2" t="n"/>
      <c r="G238" s="2" t="n"/>
      <c r="H238" s="2" t="n"/>
      <c r="I238" s="2" t="n"/>
      <c r="J238" s="2" t="n"/>
      <c r="K238" s="2" t="n"/>
      <c r="L238" s="2" t="n"/>
      <c r="M238" s="2" t="n"/>
      <c r="N238" s="2" t="n"/>
      <c r="O238" s="2" t="n"/>
      <c r="P238" s="2" t="n"/>
      <c r="Q238" s="2">
        <f>IF(G238="","",TODAY()-G238)</f>
        <v/>
      </c>
    </row>
    <row r="239">
      <c r="A239" s="2" t="n"/>
      <c r="B239" s="2" t="n"/>
      <c r="C239" s="2" t="n"/>
      <c r="D239" s="2" t="n"/>
      <c r="E239" s="2" t="n"/>
      <c r="F239" s="2" t="n"/>
      <c r="G239" s="2" t="n"/>
      <c r="H239" s="2" t="n"/>
      <c r="I239" s="2" t="n"/>
      <c r="J239" s="2" t="n"/>
      <c r="K239" s="2" t="n"/>
      <c r="L239" s="2" t="n"/>
      <c r="M239" s="2" t="n"/>
      <c r="N239" s="2" t="n"/>
      <c r="O239" s="2" t="n"/>
      <c r="P239" s="2" t="n"/>
      <c r="Q239" s="2">
        <f>IF(G239="","",TODAY()-G239)</f>
        <v/>
      </c>
    </row>
    <row r="240">
      <c r="A240" s="2" t="n"/>
      <c r="B240" s="2" t="n"/>
      <c r="C240" s="2" t="n"/>
      <c r="D240" s="2" t="n"/>
      <c r="E240" s="2" t="n"/>
      <c r="F240" s="2" t="n"/>
      <c r="G240" s="2" t="n"/>
      <c r="H240" s="2" t="n"/>
      <c r="I240" s="2" t="n"/>
      <c r="J240" s="2" t="n"/>
      <c r="K240" s="2" t="n"/>
      <c r="L240" s="2" t="n"/>
      <c r="M240" s="2" t="n"/>
      <c r="N240" s="2" t="n"/>
      <c r="O240" s="2" t="n"/>
      <c r="P240" s="2" t="n"/>
      <c r="Q240" s="2">
        <f>IF(G240="","",TODAY()-G240)</f>
        <v/>
      </c>
    </row>
    <row r="241">
      <c r="A241" s="2" t="n"/>
      <c r="B241" s="2" t="n"/>
      <c r="C241" s="2" t="n"/>
      <c r="D241" s="2" t="n"/>
      <c r="E241" s="2" t="n"/>
      <c r="F241" s="2" t="n"/>
      <c r="G241" s="2" t="n"/>
      <c r="H241" s="2" t="n"/>
      <c r="I241" s="2" t="n"/>
      <c r="J241" s="2" t="n"/>
      <c r="K241" s="2" t="n"/>
      <c r="L241" s="2" t="n"/>
      <c r="M241" s="2" t="n"/>
      <c r="N241" s="2" t="n"/>
      <c r="O241" s="2" t="n"/>
      <c r="P241" s="2" t="n"/>
      <c r="Q241" s="2">
        <f>IF(G241="","",TODAY()-G241)</f>
        <v/>
      </c>
    </row>
    <row r="242">
      <c r="A242" s="2" t="n"/>
      <c r="B242" s="2" t="n"/>
      <c r="C242" s="2" t="n"/>
      <c r="D242" s="2" t="n"/>
      <c r="E242" s="2" t="n"/>
      <c r="F242" s="2" t="n"/>
      <c r="G242" s="2" t="n"/>
      <c r="H242" s="2" t="n"/>
      <c r="I242" s="2" t="n"/>
      <c r="J242" s="2" t="n"/>
      <c r="K242" s="2" t="n"/>
      <c r="L242" s="2" t="n"/>
      <c r="M242" s="2" t="n"/>
      <c r="N242" s="2" t="n"/>
      <c r="O242" s="2" t="n"/>
      <c r="P242" s="2" t="n"/>
      <c r="Q242" s="2">
        <f>IF(G242="","",TODAY()-G242)</f>
        <v/>
      </c>
    </row>
    <row r="243">
      <c r="A243" s="2" t="n"/>
      <c r="B243" s="2" t="n"/>
      <c r="C243" s="2" t="n"/>
      <c r="D243" s="2" t="n"/>
      <c r="E243" s="2" t="n"/>
      <c r="F243" s="2" t="n"/>
      <c r="G243" s="2" t="n"/>
      <c r="H243" s="2" t="n"/>
      <c r="I243" s="2" t="n"/>
      <c r="J243" s="2" t="n"/>
      <c r="K243" s="2" t="n"/>
      <c r="L243" s="2" t="n"/>
      <c r="M243" s="2" t="n"/>
      <c r="N243" s="2" t="n"/>
      <c r="O243" s="2" t="n"/>
      <c r="P243" s="2" t="n"/>
      <c r="Q243" s="2">
        <f>IF(G243="","",TODAY()-G243)</f>
        <v/>
      </c>
    </row>
    <row r="244">
      <c r="A244" s="2" t="n"/>
      <c r="B244" s="2" t="n"/>
      <c r="C244" s="2" t="n"/>
      <c r="D244" s="2" t="n"/>
      <c r="E244" s="2" t="n"/>
      <c r="F244" s="2" t="n"/>
      <c r="G244" s="2" t="n"/>
      <c r="H244" s="2" t="n"/>
      <c r="I244" s="2" t="n"/>
      <c r="J244" s="2" t="n"/>
      <c r="K244" s="2" t="n"/>
      <c r="L244" s="2" t="n"/>
      <c r="M244" s="2" t="n"/>
      <c r="N244" s="2" t="n"/>
      <c r="O244" s="2" t="n"/>
      <c r="P244" s="2" t="n"/>
      <c r="Q244" s="2">
        <f>IF(G244="","",TODAY()-G244)</f>
        <v/>
      </c>
    </row>
    <row r="245">
      <c r="A245" s="2" t="n"/>
      <c r="B245" s="2" t="n"/>
      <c r="C245" s="2" t="n"/>
      <c r="D245" s="2" t="n"/>
      <c r="E245" s="2" t="n"/>
      <c r="F245" s="2" t="n"/>
      <c r="G245" s="2" t="n"/>
      <c r="H245" s="2" t="n"/>
      <c r="I245" s="2" t="n"/>
      <c r="J245" s="2" t="n"/>
      <c r="K245" s="2" t="n"/>
      <c r="L245" s="2" t="n"/>
      <c r="M245" s="2" t="n"/>
      <c r="N245" s="2" t="n"/>
      <c r="O245" s="2" t="n"/>
      <c r="P245" s="2" t="n"/>
      <c r="Q245" s="2">
        <f>IF(G245="","",TODAY()-G245)</f>
        <v/>
      </c>
    </row>
    <row r="246">
      <c r="A246" s="2" t="n"/>
      <c r="B246" s="2" t="n"/>
      <c r="C246" s="2" t="n"/>
      <c r="D246" s="2" t="n"/>
      <c r="E246" s="2" t="n"/>
      <c r="F246" s="2" t="n"/>
      <c r="G246" s="2" t="n"/>
      <c r="H246" s="2" t="n"/>
      <c r="I246" s="2" t="n"/>
      <c r="J246" s="2" t="n"/>
      <c r="K246" s="2" t="n"/>
      <c r="L246" s="2" t="n"/>
      <c r="M246" s="2" t="n"/>
      <c r="N246" s="2" t="n"/>
      <c r="O246" s="2" t="n"/>
      <c r="P246" s="2" t="n"/>
      <c r="Q246" s="2">
        <f>IF(G246="","",TODAY()-G246)</f>
        <v/>
      </c>
    </row>
    <row r="247">
      <c r="A247" s="2" t="n"/>
      <c r="B247" s="2" t="n"/>
      <c r="C247" s="2" t="n"/>
      <c r="D247" s="2" t="n"/>
      <c r="E247" s="2" t="n"/>
      <c r="F247" s="2" t="n"/>
      <c r="G247" s="2" t="n"/>
      <c r="H247" s="2" t="n"/>
      <c r="I247" s="2" t="n"/>
      <c r="J247" s="2" t="n"/>
      <c r="K247" s="2" t="n"/>
      <c r="L247" s="2" t="n"/>
      <c r="M247" s="2" t="n"/>
      <c r="N247" s="2" t="n"/>
      <c r="O247" s="2" t="n"/>
      <c r="P247" s="2" t="n"/>
      <c r="Q247" s="2">
        <f>IF(G247="","",TODAY()-G247)</f>
        <v/>
      </c>
    </row>
    <row r="248">
      <c r="A248" s="2" t="n"/>
      <c r="B248" s="2" t="n"/>
      <c r="C248" s="2" t="n"/>
      <c r="D248" s="2" t="n"/>
      <c r="E248" s="2" t="n"/>
      <c r="F248" s="2" t="n"/>
      <c r="G248" s="2" t="n"/>
      <c r="H248" s="2" t="n"/>
      <c r="I248" s="2" t="n"/>
      <c r="J248" s="2" t="n"/>
      <c r="K248" s="2" t="n"/>
      <c r="L248" s="2" t="n"/>
      <c r="M248" s="2" t="n"/>
      <c r="N248" s="2" t="n"/>
      <c r="O248" s="2" t="n"/>
      <c r="P248" s="2" t="n"/>
      <c r="Q248" s="2">
        <f>IF(G248="","",TODAY()-G248)</f>
        <v/>
      </c>
    </row>
    <row r="249">
      <c r="A249" s="2" t="n"/>
      <c r="B249" s="2" t="n"/>
      <c r="C249" s="2" t="n"/>
      <c r="D249" s="2" t="n"/>
      <c r="E249" s="2" t="n"/>
      <c r="F249" s="2" t="n"/>
      <c r="G249" s="2" t="n"/>
      <c r="H249" s="2" t="n"/>
      <c r="I249" s="2" t="n"/>
      <c r="J249" s="2" t="n"/>
      <c r="K249" s="2" t="n"/>
      <c r="L249" s="2" t="n"/>
      <c r="M249" s="2" t="n"/>
      <c r="N249" s="2" t="n"/>
      <c r="O249" s="2" t="n"/>
      <c r="P249" s="2" t="n"/>
      <c r="Q249" s="2">
        <f>IF(G249="","",TODAY()-G249)</f>
        <v/>
      </c>
    </row>
    <row r="250">
      <c r="A250" s="2" t="n"/>
      <c r="B250" s="2" t="n"/>
      <c r="C250" s="2" t="n"/>
      <c r="D250" s="2" t="n"/>
      <c r="E250" s="2" t="n"/>
      <c r="F250" s="2" t="n"/>
      <c r="G250" s="2" t="n"/>
      <c r="H250" s="2" t="n"/>
      <c r="I250" s="2" t="n"/>
      <c r="J250" s="2" t="n"/>
      <c r="K250" s="2" t="n"/>
      <c r="L250" s="2" t="n"/>
      <c r="M250" s="2" t="n"/>
      <c r="N250" s="2" t="n"/>
      <c r="O250" s="2" t="n"/>
      <c r="P250" s="2" t="n"/>
      <c r="Q250" s="2">
        <f>IF(G250="","",TODAY()-G250)</f>
        <v/>
      </c>
    </row>
    <row r="251">
      <c r="A251" s="2" t="n"/>
      <c r="B251" s="2" t="n"/>
      <c r="C251" s="2" t="n"/>
      <c r="D251" s="2" t="n"/>
      <c r="E251" s="2" t="n"/>
      <c r="F251" s="2" t="n"/>
      <c r="G251" s="2" t="n"/>
      <c r="H251" s="2" t="n"/>
      <c r="I251" s="2" t="n"/>
      <c r="J251" s="2" t="n"/>
      <c r="K251" s="2" t="n"/>
      <c r="L251" s="2" t="n"/>
      <c r="M251" s="2" t="n"/>
      <c r="N251" s="2" t="n"/>
      <c r="O251" s="2" t="n"/>
      <c r="P251" s="2" t="n"/>
      <c r="Q251" s="2">
        <f>IF(G251="","",TODAY()-G251)</f>
        <v/>
      </c>
    </row>
    <row r="252">
      <c r="A252" s="2" t="n"/>
      <c r="B252" s="2" t="n"/>
      <c r="C252" s="2" t="n"/>
      <c r="D252" s="2" t="n"/>
      <c r="E252" s="2" t="n"/>
      <c r="F252" s="2" t="n"/>
      <c r="G252" s="2" t="n"/>
      <c r="H252" s="2" t="n"/>
      <c r="I252" s="2" t="n"/>
      <c r="J252" s="2" t="n"/>
      <c r="K252" s="2" t="n"/>
      <c r="L252" s="2" t="n"/>
      <c r="M252" s="2" t="n"/>
      <c r="N252" s="2" t="n"/>
      <c r="O252" s="2" t="n"/>
      <c r="P252" s="2" t="n"/>
      <c r="Q252" s="2">
        <f>IF(G252="","",TODAY()-G252)</f>
        <v/>
      </c>
    </row>
    <row r="253">
      <c r="A253" s="2" t="n"/>
      <c r="B253" s="2" t="n"/>
      <c r="C253" s="2" t="n"/>
      <c r="D253" s="2" t="n"/>
      <c r="E253" s="2" t="n"/>
      <c r="F253" s="2" t="n"/>
      <c r="G253" s="2" t="n"/>
      <c r="H253" s="2" t="n"/>
      <c r="I253" s="2" t="n"/>
      <c r="J253" s="2" t="n"/>
      <c r="K253" s="2" t="n"/>
      <c r="L253" s="2" t="n"/>
      <c r="M253" s="2" t="n"/>
      <c r="N253" s="2" t="n"/>
      <c r="O253" s="2" t="n"/>
      <c r="P253" s="2" t="n"/>
      <c r="Q253" s="2">
        <f>IF(G253="","",TODAY()-G253)</f>
        <v/>
      </c>
    </row>
    <row r="254">
      <c r="A254" s="2" t="n"/>
      <c r="B254" s="2" t="n"/>
      <c r="C254" s="2" t="n"/>
      <c r="D254" s="2" t="n"/>
      <c r="E254" s="2" t="n"/>
      <c r="F254" s="2" t="n"/>
      <c r="G254" s="2" t="n"/>
      <c r="H254" s="2" t="n"/>
      <c r="I254" s="2" t="n"/>
      <c r="J254" s="2" t="n"/>
      <c r="K254" s="2" t="n"/>
      <c r="L254" s="2" t="n"/>
      <c r="M254" s="2" t="n"/>
      <c r="N254" s="2" t="n"/>
      <c r="O254" s="2" t="n"/>
      <c r="P254" s="2" t="n"/>
      <c r="Q254" s="2">
        <f>IF(G254="","",TODAY()-G254)</f>
        <v/>
      </c>
    </row>
    <row r="255">
      <c r="A255" s="2" t="n"/>
      <c r="B255" s="2" t="n"/>
      <c r="C255" s="2" t="n"/>
      <c r="D255" s="2" t="n"/>
      <c r="E255" s="2" t="n"/>
      <c r="F255" s="2" t="n"/>
      <c r="G255" s="2" t="n"/>
      <c r="H255" s="2" t="n"/>
      <c r="I255" s="2" t="n"/>
      <c r="J255" s="2" t="n"/>
      <c r="K255" s="2" t="n"/>
      <c r="L255" s="2" t="n"/>
      <c r="M255" s="2" t="n"/>
      <c r="N255" s="2" t="n"/>
      <c r="O255" s="2" t="n"/>
      <c r="P255" s="2" t="n"/>
      <c r="Q255" s="2">
        <f>IF(G255="","",TODAY()-G255)</f>
        <v/>
      </c>
    </row>
    <row r="256">
      <c r="A256" s="2" t="n"/>
      <c r="B256" s="2" t="n"/>
      <c r="C256" s="2" t="n"/>
      <c r="D256" s="2" t="n"/>
      <c r="E256" s="2" t="n"/>
      <c r="F256" s="2" t="n"/>
      <c r="G256" s="2" t="n"/>
      <c r="H256" s="2" t="n"/>
      <c r="I256" s="2" t="n"/>
      <c r="J256" s="2" t="n"/>
      <c r="K256" s="2" t="n"/>
      <c r="L256" s="2" t="n"/>
      <c r="M256" s="2" t="n"/>
      <c r="N256" s="2" t="n"/>
      <c r="O256" s="2" t="n"/>
      <c r="P256" s="2" t="n"/>
      <c r="Q256" s="2">
        <f>IF(G256="","",TODAY()-G256)</f>
        <v/>
      </c>
    </row>
    <row r="257">
      <c r="A257" s="2" t="n"/>
      <c r="B257" s="2" t="n"/>
      <c r="C257" s="2" t="n"/>
      <c r="D257" s="2" t="n"/>
      <c r="E257" s="2" t="n"/>
      <c r="F257" s="2" t="n"/>
      <c r="G257" s="2" t="n"/>
      <c r="H257" s="2" t="n"/>
      <c r="I257" s="2" t="n"/>
      <c r="J257" s="2" t="n"/>
      <c r="K257" s="2" t="n"/>
      <c r="L257" s="2" t="n"/>
      <c r="M257" s="2" t="n"/>
      <c r="N257" s="2" t="n"/>
      <c r="O257" s="2" t="n"/>
      <c r="P257" s="2" t="n"/>
      <c r="Q257" s="2">
        <f>IF(G257="","",TODAY()-G257)</f>
        <v/>
      </c>
    </row>
    <row r="258">
      <c r="A258" s="2" t="n"/>
      <c r="B258" s="2" t="n"/>
      <c r="C258" s="2" t="n"/>
      <c r="D258" s="2" t="n"/>
      <c r="E258" s="2" t="n"/>
      <c r="F258" s="2" t="n"/>
      <c r="G258" s="2" t="n"/>
      <c r="H258" s="2" t="n"/>
      <c r="I258" s="2" t="n"/>
      <c r="J258" s="2" t="n"/>
      <c r="K258" s="2" t="n"/>
      <c r="L258" s="2" t="n"/>
      <c r="M258" s="2" t="n"/>
      <c r="N258" s="2" t="n"/>
      <c r="O258" s="2" t="n"/>
      <c r="P258" s="2" t="n"/>
      <c r="Q258" s="2">
        <f>IF(G258="","",TODAY()-G258)</f>
        <v/>
      </c>
    </row>
    <row r="259">
      <c r="A259" s="2" t="n"/>
      <c r="B259" s="2" t="n"/>
      <c r="C259" s="2" t="n"/>
      <c r="D259" s="2" t="n"/>
      <c r="E259" s="2" t="n"/>
      <c r="F259" s="2" t="n"/>
      <c r="G259" s="2" t="n"/>
      <c r="H259" s="2" t="n"/>
      <c r="I259" s="2" t="n"/>
      <c r="J259" s="2" t="n"/>
      <c r="K259" s="2" t="n"/>
      <c r="L259" s="2" t="n"/>
      <c r="M259" s="2" t="n"/>
      <c r="N259" s="2" t="n"/>
      <c r="O259" s="2" t="n"/>
      <c r="P259" s="2" t="n"/>
      <c r="Q259" s="2">
        <f>IF(G259="","",TODAY()-G259)</f>
        <v/>
      </c>
    </row>
    <row r="260">
      <c r="A260" s="2" t="n"/>
      <c r="B260" s="2" t="n"/>
      <c r="C260" s="2" t="n"/>
      <c r="D260" s="2" t="n"/>
      <c r="E260" s="2" t="n"/>
      <c r="F260" s="2" t="n"/>
      <c r="G260" s="2" t="n"/>
      <c r="H260" s="2" t="n"/>
      <c r="I260" s="2" t="n"/>
      <c r="J260" s="2" t="n"/>
      <c r="K260" s="2" t="n"/>
      <c r="L260" s="2" t="n"/>
      <c r="M260" s="2" t="n"/>
      <c r="N260" s="2" t="n"/>
      <c r="O260" s="2" t="n"/>
      <c r="P260" s="2" t="n"/>
      <c r="Q260" s="2">
        <f>IF(G260="","",TODAY()-G260)</f>
        <v/>
      </c>
    </row>
    <row r="261">
      <c r="A261" s="2" t="n"/>
      <c r="B261" s="2" t="n"/>
      <c r="C261" s="2" t="n"/>
      <c r="D261" s="2" t="n"/>
      <c r="E261" s="2" t="n"/>
      <c r="F261" s="2" t="n"/>
      <c r="G261" s="2" t="n"/>
      <c r="H261" s="2" t="n"/>
      <c r="I261" s="2" t="n"/>
      <c r="J261" s="2" t="n"/>
      <c r="K261" s="2" t="n"/>
      <c r="L261" s="2" t="n"/>
      <c r="M261" s="2" t="n"/>
      <c r="N261" s="2" t="n"/>
      <c r="O261" s="2" t="n"/>
      <c r="P261" s="2" t="n"/>
      <c r="Q261" s="2">
        <f>IF(G261="","",TODAY()-G261)</f>
        <v/>
      </c>
    </row>
    <row r="262">
      <c r="A262" s="2" t="n"/>
      <c r="B262" s="2" t="n"/>
      <c r="C262" s="2" t="n"/>
      <c r="D262" s="2" t="n"/>
      <c r="E262" s="2" t="n"/>
      <c r="F262" s="2" t="n"/>
      <c r="G262" s="2" t="n"/>
      <c r="H262" s="2" t="n"/>
      <c r="I262" s="2" t="n"/>
      <c r="J262" s="2" t="n"/>
      <c r="K262" s="2" t="n"/>
      <c r="L262" s="2" t="n"/>
      <c r="M262" s="2" t="n"/>
      <c r="N262" s="2" t="n"/>
      <c r="O262" s="2" t="n"/>
      <c r="P262" s="2" t="n"/>
      <c r="Q262" s="2">
        <f>IF(G262="","",TODAY()-G262)</f>
        <v/>
      </c>
    </row>
    <row r="263">
      <c r="A263" s="2" t="n"/>
      <c r="B263" s="2" t="n"/>
      <c r="C263" s="2" t="n"/>
      <c r="D263" s="2" t="n"/>
      <c r="E263" s="2" t="n"/>
      <c r="F263" s="2" t="n"/>
      <c r="G263" s="2" t="n"/>
      <c r="H263" s="2" t="n"/>
      <c r="I263" s="2" t="n"/>
      <c r="J263" s="2" t="n"/>
      <c r="K263" s="2" t="n"/>
      <c r="L263" s="2" t="n"/>
      <c r="M263" s="2" t="n"/>
      <c r="N263" s="2" t="n"/>
      <c r="O263" s="2" t="n"/>
      <c r="P263" s="2" t="n"/>
      <c r="Q263" s="2">
        <f>IF(G263="","",TODAY()-G263)</f>
        <v/>
      </c>
    </row>
    <row r="264">
      <c r="A264" s="2" t="n"/>
      <c r="B264" s="2" t="n"/>
      <c r="C264" s="2" t="n"/>
      <c r="D264" s="2" t="n"/>
      <c r="E264" s="2" t="n"/>
      <c r="F264" s="2" t="n"/>
      <c r="G264" s="2" t="n"/>
      <c r="H264" s="2" t="n"/>
      <c r="I264" s="2" t="n"/>
      <c r="J264" s="2" t="n"/>
      <c r="K264" s="2" t="n"/>
      <c r="L264" s="2" t="n"/>
      <c r="M264" s="2" t="n"/>
      <c r="N264" s="2" t="n"/>
      <c r="O264" s="2" t="n"/>
      <c r="P264" s="2" t="n"/>
      <c r="Q264" s="2">
        <f>IF(G264="","",TODAY()-G264)</f>
        <v/>
      </c>
    </row>
    <row r="265">
      <c r="A265" s="2" t="n"/>
      <c r="B265" s="2" t="n"/>
      <c r="C265" s="2" t="n"/>
      <c r="D265" s="2" t="n"/>
      <c r="E265" s="2" t="n"/>
      <c r="F265" s="2" t="n"/>
      <c r="G265" s="2" t="n"/>
      <c r="H265" s="2" t="n"/>
      <c r="I265" s="2" t="n"/>
      <c r="J265" s="2" t="n"/>
      <c r="K265" s="2" t="n"/>
      <c r="L265" s="2" t="n"/>
      <c r="M265" s="2" t="n"/>
      <c r="N265" s="2" t="n"/>
      <c r="O265" s="2" t="n"/>
      <c r="P265" s="2" t="n"/>
      <c r="Q265" s="2">
        <f>IF(G265="","",TODAY()-G265)</f>
        <v/>
      </c>
    </row>
    <row r="266">
      <c r="A266" s="2" t="n"/>
      <c r="B266" s="2" t="n"/>
      <c r="C266" s="2" t="n"/>
      <c r="D266" s="2" t="n"/>
      <c r="E266" s="2" t="n"/>
      <c r="F266" s="2" t="n"/>
      <c r="G266" s="2" t="n"/>
      <c r="H266" s="2" t="n"/>
      <c r="I266" s="2" t="n"/>
      <c r="J266" s="2" t="n"/>
      <c r="K266" s="2" t="n"/>
      <c r="L266" s="2" t="n"/>
      <c r="M266" s="2" t="n"/>
      <c r="N266" s="2" t="n"/>
      <c r="O266" s="2" t="n"/>
      <c r="P266" s="2" t="n"/>
      <c r="Q266" s="2">
        <f>IF(G266="","",TODAY()-G266)</f>
        <v/>
      </c>
    </row>
    <row r="267">
      <c r="A267" s="2" t="n"/>
      <c r="B267" s="2" t="n"/>
      <c r="C267" s="2" t="n"/>
      <c r="D267" s="2" t="n"/>
      <c r="E267" s="2" t="n"/>
      <c r="F267" s="2" t="n"/>
      <c r="G267" s="2" t="n"/>
      <c r="H267" s="2" t="n"/>
      <c r="I267" s="2" t="n"/>
      <c r="J267" s="2" t="n"/>
      <c r="K267" s="2" t="n"/>
      <c r="L267" s="2" t="n"/>
      <c r="M267" s="2" t="n"/>
      <c r="N267" s="2" t="n"/>
      <c r="O267" s="2" t="n"/>
      <c r="P267" s="2" t="n"/>
      <c r="Q267" s="2">
        <f>IF(G267="","",TODAY()-G267)</f>
        <v/>
      </c>
    </row>
    <row r="268">
      <c r="A268" s="2" t="n"/>
      <c r="B268" s="2" t="n"/>
      <c r="C268" s="2" t="n"/>
      <c r="D268" s="2" t="n"/>
      <c r="E268" s="2" t="n"/>
      <c r="F268" s="2" t="n"/>
      <c r="G268" s="2" t="n"/>
      <c r="H268" s="2" t="n"/>
      <c r="I268" s="2" t="n"/>
      <c r="J268" s="2" t="n"/>
      <c r="K268" s="2" t="n"/>
      <c r="L268" s="2" t="n"/>
      <c r="M268" s="2" t="n"/>
      <c r="N268" s="2" t="n"/>
      <c r="O268" s="2" t="n"/>
      <c r="P268" s="2" t="n"/>
      <c r="Q268" s="2">
        <f>IF(G268="","",TODAY()-G268)</f>
        <v/>
      </c>
    </row>
    <row r="269">
      <c r="A269" s="2" t="n"/>
      <c r="B269" s="2" t="n"/>
      <c r="C269" s="2" t="n"/>
      <c r="D269" s="2" t="n"/>
      <c r="E269" s="2" t="n"/>
      <c r="F269" s="2" t="n"/>
      <c r="G269" s="2" t="n"/>
      <c r="H269" s="2" t="n"/>
      <c r="I269" s="2" t="n"/>
      <c r="J269" s="2" t="n"/>
      <c r="K269" s="2" t="n"/>
      <c r="L269" s="2" t="n"/>
      <c r="M269" s="2" t="n"/>
      <c r="N269" s="2" t="n"/>
      <c r="O269" s="2" t="n"/>
      <c r="P269" s="2" t="n"/>
      <c r="Q269" s="2">
        <f>IF(G269="","",TODAY()-G269)</f>
        <v/>
      </c>
    </row>
    <row r="270">
      <c r="A270" s="2" t="n"/>
      <c r="B270" s="2" t="n"/>
      <c r="C270" s="2" t="n"/>
      <c r="D270" s="2" t="n"/>
      <c r="E270" s="2" t="n"/>
      <c r="F270" s="2" t="n"/>
      <c r="G270" s="2" t="n"/>
      <c r="H270" s="2" t="n"/>
      <c r="I270" s="2" t="n"/>
      <c r="J270" s="2" t="n"/>
      <c r="K270" s="2" t="n"/>
      <c r="L270" s="2" t="n"/>
      <c r="M270" s="2" t="n"/>
      <c r="N270" s="2" t="n"/>
      <c r="O270" s="2" t="n"/>
      <c r="P270" s="2" t="n"/>
      <c r="Q270" s="2">
        <f>IF(G270="","",TODAY()-G270)</f>
        <v/>
      </c>
    </row>
    <row r="271">
      <c r="A271" s="2" t="n"/>
      <c r="B271" s="2" t="n"/>
      <c r="C271" s="2" t="n"/>
      <c r="D271" s="2" t="n"/>
      <c r="E271" s="2" t="n"/>
      <c r="F271" s="2" t="n"/>
      <c r="G271" s="2" t="n"/>
      <c r="H271" s="2" t="n"/>
      <c r="I271" s="2" t="n"/>
      <c r="J271" s="2" t="n"/>
      <c r="K271" s="2" t="n"/>
      <c r="L271" s="2" t="n"/>
      <c r="M271" s="2" t="n"/>
      <c r="N271" s="2" t="n"/>
      <c r="O271" s="2" t="n"/>
      <c r="P271" s="2" t="n"/>
      <c r="Q271" s="2">
        <f>IF(G271="","",TODAY()-G271)</f>
        <v/>
      </c>
    </row>
    <row r="272">
      <c r="A272" s="2" t="n"/>
      <c r="B272" s="2" t="n"/>
      <c r="C272" s="2" t="n"/>
      <c r="D272" s="2" t="n"/>
      <c r="E272" s="2" t="n"/>
      <c r="F272" s="2" t="n"/>
      <c r="G272" s="2" t="n"/>
      <c r="H272" s="2" t="n"/>
      <c r="I272" s="2" t="n"/>
      <c r="J272" s="2" t="n"/>
      <c r="K272" s="2" t="n"/>
      <c r="L272" s="2" t="n"/>
      <c r="M272" s="2" t="n"/>
      <c r="N272" s="2" t="n"/>
      <c r="O272" s="2" t="n"/>
      <c r="P272" s="2" t="n"/>
      <c r="Q272" s="2">
        <f>IF(G272="","",TODAY()-G272)</f>
        <v/>
      </c>
    </row>
    <row r="273">
      <c r="A273" s="2" t="n"/>
      <c r="B273" s="2" t="n"/>
      <c r="C273" s="2" t="n"/>
      <c r="D273" s="2" t="n"/>
      <c r="E273" s="2" t="n"/>
      <c r="F273" s="2" t="n"/>
      <c r="G273" s="2" t="n"/>
      <c r="H273" s="2" t="n"/>
      <c r="I273" s="2" t="n"/>
      <c r="J273" s="2" t="n"/>
      <c r="K273" s="2" t="n"/>
      <c r="L273" s="2" t="n"/>
      <c r="M273" s="2" t="n"/>
      <c r="N273" s="2" t="n"/>
      <c r="O273" s="2" t="n"/>
      <c r="P273" s="2" t="n"/>
      <c r="Q273" s="2">
        <f>IF(G273="","",TODAY()-G273)</f>
        <v/>
      </c>
    </row>
    <row r="274">
      <c r="A274" s="2" t="n"/>
      <c r="B274" s="2" t="n"/>
      <c r="C274" s="2" t="n"/>
      <c r="D274" s="2" t="n"/>
      <c r="E274" s="2" t="n"/>
      <c r="F274" s="2" t="n"/>
      <c r="G274" s="2" t="n"/>
      <c r="H274" s="2" t="n"/>
      <c r="I274" s="2" t="n"/>
      <c r="J274" s="2" t="n"/>
      <c r="K274" s="2" t="n"/>
      <c r="L274" s="2" t="n"/>
      <c r="M274" s="2" t="n"/>
      <c r="N274" s="2" t="n"/>
      <c r="O274" s="2" t="n"/>
      <c r="P274" s="2" t="n"/>
      <c r="Q274" s="2">
        <f>IF(G274="","",TODAY()-G274)</f>
        <v/>
      </c>
    </row>
    <row r="275">
      <c r="A275" s="2" t="n"/>
      <c r="B275" s="2" t="n"/>
      <c r="C275" s="2" t="n"/>
      <c r="D275" s="2" t="n"/>
      <c r="E275" s="2" t="n"/>
      <c r="F275" s="2" t="n"/>
      <c r="G275" s="2" t="n"/>
      <c r="H275" s="2" t="n"/>
      <c r="I275" s="2" t="n"/>
      <c r="J275" s="2" t="n"/>
      <c r="K275" s="2" t="n"/>
      <c r="L275" s="2" t="n"/>
      <c r="M275" s="2" t="n"/>
      <c r="N275" s="2" t="n"/>
      <c r="O275" s="2" t="n"/>
      <c r="P275" s="2" t="n"/>
      <c r="Q275" s="2">
        <f>IF(G275="","",TODAY()-G275)</f>
        <v/>
      </c>
    </row>
    <row r="276">
      <c r="A276" s="2" t="n"/>
      <c r="B276" s="2" t="n"/>
      <c r="C276" s="2" t="n"/>
      <c r="D276" s="2" t="n"/>
      <c r="E276" s="2" t="n"/>
      <c r="F276" s="2" t="n"/>
      <c r="G276" s="2" t="n"/>
      <c r="H276" s="2" t="n"/>
      <c r="I276" s="2" t="n"/>
      <c r="J276" s="2" t="n"/>
      <c r="K276" s="2" t="n"/>
      <c r="L276" s="2" t="n"/>
      <c r="M276" s="2" t="n"/>
      <c r="N276" s="2" t="n"/>
      <c r="O276" s="2" t="n"/>
      <c r="P276" s="2" t="n"/>
      <c r="Q276" s="2">
        <f>IF(G276="","",TODAY()-G276)</f>
        <v/>
      </c>
    </row>
    <row r="277">
      <c r="A277" s="2" t="n"/>
      <c r="B277" s="2" t="n"/>
      <c r="C277" s="2" t="n"/>
      <c r="D277" s="2" t="n"/>
      <c r="E277" s="2" t="n"/>
      <c r="F277" s="2" t="n"/>
      <c r="G277" s="2" t="n"/>
      <c r="H277" s="2" t="n"/>
      <c r="I277" s="2" t="n"/>
      <c r="J277" s="2" t="n"/>
      <c r="K277" s="2" t="n"/>
      <c r="L277" s="2" t="n"/>
      <c r="M277" s="2" t="n"/>
      <c r="N277" s="2" t="n"/>
      <c r="O277" s="2" t="n"/>
      <c r="P277" s="2" t="n"/>
      <c r="Q277" s="2">
        <f>IF(G277="","",TODAY()-G277)</f>
        <v/>
      </c>
    </row>
    <row r="278">
      <c r="A278" s="2" t="n"/>
      <c r="B278" s="2" t="n"/>
      <c r="C278" s="2" t="n"/>
      <c r="D278" s="2" t="n"/>
      <c r="E278" s="2" t="n"/>
      <c r="F278" s="2" t="n"/>
      <c r="G278" s="2" t="n"/>
      <c r="H278" s="2" t="n"/>
      <c r="I278" s="2" t="n"/>
      <c r="J278" s="2" t="n"/>
      <c r="K278" s="2" t="n"/>
      <c r="L278" s="2" t="n"/>
      <c r="M278" s="2" t="n"/>
      <c r="N278" s="2" t="n"/>
      <c r="O278" s="2" t="n"/>
      <c r="P278" s="2" t="n"/>
      <c r="Q278" s="2">
        <f>IF(G278="","",TODAY()-G278)</f>
        <v/>
      </c>
    </row>
    <row r="279">
      <c r="A279" s="2" t="n"/>
      <c r="B279" s="2" t="n"/>
      <c r="C279" s="2" t="n"/>
      <c r="D279" s="2" t="n"/>
      <c r="E279" s="2" t="n"/>
      <c r="F279" s="2" t="n"/>
      <c r="G279" s="2" t="n"/>
      <c r="H279" s="2" t="n"/>
      <c r="I279" s="2" t="n"/>
      <c r="J279" s="2" t="n"/>
      <c r="K279" s="2" t="n"/>
      <c r="L279" s="2" t="n"/>
      <c r="M279" s="2" t="n"/>
      <c r="N279" s="2" t="n"/>
      <c r="O279" s="2" t="n"/>
      <c r="P279" s="2" t="n"/>
      <c r="Q279" s="2">
        <f>IF(G279="","",TODAY()-G279)</f>
        <v/>
      </c>
    </row>
    <row r="280">
      <c r="A280" s="2" t="n"/>
      <c r="B280" s="2" t="n"/>
      <c r="C280" s="2" t="n"/>
      <c r="D280" s="2" t="n"/>
      <c r="E280" s="2" t="n"/>
      <c r="F280" s="2" t="n"/>
      <c r="G280" s="2" t="n"/>
      <c r="H280" s="2" t="n"/>
      <c r="I280" s="2" t="n"/>
      <c r="J280" s="2" t="n"/>
      <c r="K280" s="2" t="n"/>
      <c r="L280" s="2" t="n"/>
      <c r="M280" s="2" t="n"/>
      <c r="N280" s="2" t="n"/>
      <c r="O280" s="2" t="n"/>
      <c r="P280" s="2" t="n"/>
      <c r="Q280" s="2">
        <f>IF(G280="","",TODAY()-G280)</f>
        <v/>
      </c>
    </row>
    <row r="281">
      <c r="A281" s="2" t="n"/>
      <c r="B281" s="2" t="n"/>
      <c r="C281" s="2" t="n"/>
      <c r="D281" s="2" t="n"/>
      <c r="E281" s="2" t="n"/>
      <c r="F281" s="2" t="n"/>
      <c r="G281" s="2" t="n"/>
      <c r="H281" s="2" t="n"/>
      <c r="I281" s="2" t="n"/>
      <c r="J281" s="2" t="n"/>
      <c r="K281" s="2" t="n"/>
      <c r="L281" s="2" t="n"/>
      <c r="M281" s="2" t="n"/>
      <c r="N281" s="2" t="n"/>
      <c r="O281" s="2" t="n"/>
      <c r="P281" s="2" t="n"/>
      <c r="Q281" s="2">
        <f>IF(G281="","",TODAY()-G281)</f>
        <v/>
      </c>
    </row>
    <row r="282">
      <c r="A282" s="2" t="n"/>
      <c r="B282" s="2" t="n"/>
      <c r="C282" s="2" t="n"/>
      <c r="D282" s="2" t="n"/>
      <c r="E282" s="2" t="n"/>
      <c r="F282" s="2" t="n"/>
      <c r="G282" s="2" t="n"/>
      <c r="H282" s="2" t="n"/>
      <c r="I282" s="2" t="n"/>
      <c r="J282" s="2" t="n"/>
      <c r="K282" s="2" t="n"/>
      <c r="L282" s="2" t="n"/>
      <c r="M282" s="2" t="n"/>
      <c r="N282" s="2" t="n"/>
      <c r="O282" s="2" t="n"/>
      <c r="P282" s="2" t="n"/>
      <c r="Q282" s="2">
        <f>IF(G282="","",TODAY()-G282)</f>
        <v/>
      </c>
    </row>
    <row r="283">
      <c r="A283" s="2" t="n"/>
      <c r="B283" s="2" t="n"/>
      <c r="C283" s="2" t="n"/>
      <c r="D283" s="2" t="n"/>
      <c r="E283" s="2" t="n"/>
      <c r="F283" s="2" t="n"/>
      <c r="G283" s="2" t="n"/>
      <c r="H283" s="2" t="n"/>
      <c r="I283" s="2" t="n"/>
      <c r="J283" s="2" t="n"/>
      <c r="K283" s="2" t="n"/>
      <c r="L283" s="2" t="n"/>
      <c r="M283" s="2" t="n"/>
      <c r="N283" s="2" t="n"/>
      <c r="O283" s="2" t="n"/>
      <c r="P283" s="2" t="n"/>
      <c r="Q283" s="2">
        <f>IF(G283="","",TODAY()-G283)</f>
        <v/>
      </c>
    </row>
    <row r="284">
      <c r="A284" s="2" t="n"/>
      <c r="B284" s="2" t="n"/>
      <c r="C284" s="2" t="n"/>
      <c r="D284" s="2" t="n"/>
      <c r="E284" s="2" t="n"/>
      <c r="F284" s="2" t="n"/>
      <c r="G284" s="2" t="n"/>
      <c r="H284" s="2" t="n"/>
      <c r="I284" s="2" t="n"/>
      <c r="J284" s="2" t="n"/>
      <c r="K284" s="2" t="n"/>
      <c r="L284" s="2" t="n"/>
      <c r="M284" s="2" t="n"/>
      <c r="N284" s="2" t="n"/>
      <c r="O284" s="2" t="n"/>
      <c r="P284" s="2" t="n"/>
      <c r="Q284" s="2">
        <f>IF(G284="","",TODAY()-G284)</f>
        <v/>
      </c>
    </row>
    <row r="285">
      <c r="A285" s="2" t="n"/>
      <c r="B285" s="2" t="n"/>
      <c r="C285" s="2" t="n"/>
      <c r="D285" s="2" t="n"/>
      <c r="E285" s="2" t="n"/>
      <c r="F285" s="2" t="n"/>
      <c r="G285" s="2" t="n"/>
      <c r="H285" s="2" t="n"/>
      <c r="I285" s="2" t="n"/>
      <c r="J285" s="2" t="n"/>
      <c r="K285" s="2" t="n"/>
      <c r="L285" s="2" t="n"/>
      <c r="M285" s="2" t="n"/>
      <c r="N285" s="2" t="n"/>
      <c r="O285" s="2" t="n"/>
      <c r="P285" s="2" t="n"/>
      <c r="Q285" s="2">
        <f>IF(G285="","",TODAY()-G285)</f>
        <v/>
      </c>
    </row>
    <row r="286">
      <c r="A286" s="2" t="n"/>
      <c r="B286" s="2" t="n"/>
      <c r="C286" s="2" t="n"/>
      <c r="D286" s="2" t="n"/>
      <c r="E286" s="2" t="n"/>
      <c r="F286" s="2" t="n"/>
      <c r="G286" s="2" t="n"/>
      <c r="H286" s="2" t="n"/>
      <c r="I286" s="2" t="n"/>
      <c r="J286" s="2" t="n"/>
      <c r="K286" s="2" t="n"/>
      <c r="L286" s="2" t="n"/>
      <c r="M286" s="2" t="n"/>
      <c r="N286" s="2" t="n"/>
      <c r="O286" s="2" t="n"/>
      <c r="P286" s="2" t="n"/>
      <c r="Q286" s="2">
        <f>IF(G286="","",TODAY()-G286)</f>
        <v/>
      </c>
    </row>
    <row r="287">
      <c r="A287" s="2" t="n"/>
      <c r="B287" s="2" t="n"/>
      <c r="C287" s="2" t="n"/>
      <c r="D287" s="2" t="n"/>
      <c r="E287" s="2" t="n"/>
      <c r="F287" s="2" t="n"/>
      <c r="G287" s="2" t="n"/>
      <c r="H287" s="2" t="n"/>
      <c r="I287" s="2" t="n"/>
      <c r="J287" s="2" t="n"/>
      <c r="K287" s="2" t="n"/>
      <c r="L287" s="2" t="n"/>
      <c r="M287" s="2" t="n"/>
      <c r="N287" s="2" t="n"/>
      <c r="O287" s="2" t="n"/>
      <c r="P287" s="2" t="n"/>
      <c r="Q287" s="2">
        <f>IF(G287="","",TODAY()-G287)</f>
        <v/>
      </c>
    </row>
    <row r="288">
      <c r="A288" s="2" t="n"/>
      <c r="B288" s="2" t="n"/>
      <c r="C288" s="2" t="n"/>
      <c r="D288" s="2" t="n"/>
      <c r="E288" s="2" t="n"/>
      <c r="F288" s="2" t="n"/>
      <c r="G288" s="2" t="n"/>
      <c r="H288" s="2" t="n"/>
      <c r="I288" s="2" t="n"/>
      <c r="J288" s="2" t="n"/>
      <c r="K288" s="2" t="n"/>
      <c r="L288" s="2" t="n"/>
      <c r="M288" s="2" t="n"/>
      <c r="N288" s="2" t="n"/>
      <c r="O288" s="2" t="n"/>
      <c r="P288" s="2" t="n"/>
      <c r="Q288" s="2">
        <f>IF(G288="","",TODAY()-G288)</f>
        <v/>
      </c>
    </row>
    <row r="289">
      <c r="A289" s="2" t="n"/>
      <c r="B289" s="2" t="n"/>
      <c r="C289" s="2" t="n"/>
      <c r="D289" s="2" t="n"/>
      <c r="E289" s="2" t="n"/>
      <c r="F289" s="2" t="n"/>
      <c r="G289" s="2" t="n"/>
      <c r="H289" s="2" t="n"/>
      <c r="I289" s="2" t="n"/>
      <c r="J289" s="2" t="n"/>
      <c r="K289" s="2" t="n"/>
      <c r="L289" s="2" t="n"/>
      <c r="M289" s="2" t="n"/>
      <c r="N289" s="2" t="n"/>
      <c r="O289" s="2" t="n"/>
      <c r="P289" s="2" t="n"/>
      <c r="Q289" s="2">
        <f>IF(G289="","",TODAY()-G289)</f>
        <v/>
      </c>
    </row>
    <row r="290">
      <c r="A290" s="2" t="n"/>
      <c r="B290" s="2" t="n"/>
      <c r="C290" s="2" t="n"/>
      <c r="D290" s="2" t="n"/>
      <c r="E290" s="2" t="n"/>
      <c r="F290" s="2" t="n"/>
      <c r="G290" s="2" t="n"/>
      <c r="H290" s="2" t="n"/>
      <c r="I290" s="2" t="n"/>
      <c r="J290" s="2" t="n"/>
      <c r="K290" s="2" t="n"/>
      <c r="L290" s="2" t="n"/>
      <c r="M290" s="2" t="n"/>
      <c r="N290" s="2" t="n"/>
      <c r="O290" s="2" t="n"/>
      <c r="P290" s="2" t="n"/>
      <c r="Q290" s="2">
        <f>IF(G290="","",TODAY()-G290)</f>
        <v/>
      </c>
    </row>
    <row r="291">
      <c r="A291" s="2" t="n"/>
      <c r="B291" s="2" t="n"/>
      <c r="C291" s="2" t="n"/>
      <c r="D291" s="2" t="n"/>
      <c r="E291" s="2" t="n"/>
      <c r="F291" s="2" t="n"/>
      <c r="G291" s="2" t="n"/>
      <c r="H291" s="2" t="n"/>
      <c r="I291" s="2" t="n"/>
      <c r="J291" s="2" t="n"/>
      <c r="K291" s="2" t="n"/>
      <c r="L291" s="2" t="n"/>
      <c r="M291" s="2" t="n"/>
      <c r="N291" s="2" t="n"/>
      <c r="O291" s="2" t="n"/>
      <c r="P291" s="2" t="n"/>
      <c r="Q291" s="2">
        <f>IF(G291="","",TODAY()-G291)</f>
        <v/>
      </c>
    </row>
    <row r="292">
      <c r="A292" s="2" t="n"/>
      <c r="B292" s="2" t="n"/>
      <c r="C292" s="2" t="n"/>
      <c r="D292" s="2" t="n"/>
      <c r="E292" s="2" t="n"/>
      <c r="F292" s="2" t="n"/>
      <c r="G292" s="2" t="n"/>
      <c r="H292" s="2" t="n"/>
      <c r="I292" s="2" t="n"/>
      <c r="J292" s="2" t="n"/>
      <c r="K292" s="2" t="n"/>
      <c r="L292" s="2" t="n"/>
      <c r="M292" s="2" t="n"/>
      <c r="N292" s="2" t="n"/>
      <c r="O292" s="2" t="n"/>
      <c r="P292" s="2" t="n"/>
      <c r="Q292" s="2">
        <f>IF(G292="","",TODAY()-G292)</f>
        <v/>
      </c>
    </row>
    <row r="293">
      <c r="A293" s="2" t="n"/>
      <c r="B293" s="2" t="n"/>
      <c r="C293" s="2" t="n"/>
      <c r="D293" s="2" t="n"/>
      <c r="E293" s="2" t="n"/>
      <c r="F293" s="2" t="n"/>
      <c r="G293" s="2" t="n"/>
      <c r="H293" s="2" t="n"/>
      <c r="I293" s="2" t="n"/>
      <c r="J293" s="2" t="n"/>
      <c r="K293" s="2" t="n"/>
      <c r="L293" s="2" t="n"/>
      <c r="M293" s="2" t="n"/>
      <c r="N293" s="2" t="n"/>
      <c r="O293" s="2" t="n"/>
      <c r="P293" s="2" t="n"/>
      <c r="Q293" s="2">
        <f>IF(G293="","",TODAY()-G293)</f>
        <v/>
      </c>
    </row>
    <row r="294">
      <c r="A294" s="2" t="n"/>
      <c r="B294" s="2" t="n"/>
      <c r="C294" s="2" t="n"/>
      <c r="D294" s="2" t="n"/>
      <c r="E294" s="2" t="n"/>
      <c r="F294" s="2" t="n"/>
      <c r="G294" s="2" t="n"/>
      <c r="H294" s="2" t="n"/>
      <c r="I294" s="2" t="n"/>
      <c r="J294" s="2" t="n"/>
      <c r="K294" s="2" t="n"/>
      <c r="L294" s="2" t="n"/>
      <c r="M294" s="2" t="n"/>
      <c r="N294" s="2" t="n"/>
      <c r="O294" s="2" t="n"/>
      <c r="P294" s="2" t="n"/>
      <c r="Q294" s="2">
        <f>IF(G294="","",TODAY()-G294)</f>
        <v/>
      </c>
    </row>
    <row r="295">
      <c r="A295" s="2" t="n"/>
      <c r="B295" s="2" t="n"/>
      <c r="C295" s="2" t="n"/>
      <c r="D295" s="2" t="n"/>
      <c r="E295" s="2" t="n"/>
      <c r="F295" s="2" t="n"/>
      <c r="G295" s="2" t="n"/>
      <c r="H295" s="2" t="n"/>
      <c r="I295" s="2" t="n"/>
      <c r="J295" s="2" t="n"/>
      <c r="K295" s="2" t="n"/>
      <c r="L295" s="2" t="n"/>
      <c r="M295" s="2" t="n"/>
      <c r="N295" s="2" t="n"/>
      <c r="O295" s="2" t="n"/>
      <c r="P295" s="2" t="n"/>
      <c r="Q295" s="2">
        <f>IF(G295="","",TODAY()-G295)</f>
        <v/>
      </c>
    </row>
    <row r="296">
      <c r="A296" s="2" t="n"/>
      <c r="B296" s="2" t="n"/>
      <c r="C296" s="2" t="n"/>
      <c r="D296" s="2" t="n"/>
      <c r="E296" s="2" t="n"/>
      <c r="F296" s="2" t="n"/>
      <c r="G296" s="2" t="n"/>
      <c r="H296" s="2" t="n"/>
      <c r="I296" s="2" t="n"/>
      <c r="J296" s="2" t="n"/>
      <c r="K296" s="2" t="n"/>
      <c r="L296" s="2" t="n"/>
      <c r="M296" s="2" t="n"/>
      <c r="N296" s="2" t="n"/>
      <c r="O296" s="2" t="n"/>
      <c r="P296" s="2" t="n"/>
      <c r="Q296" s="2">
        <f>IF(G296="","",TODAY()-G296)</f>
        <v/>
      </c>
    </row>
    <row r="297">
      <c r="A297" s="2" t="n"/>
      <c r="B297" s="2" t="n"/>
      <c r="C297" s="2" t="n"/>
      <c r="D297" s="2" t="n"/>
      <c r="E297" s="2" t="n"/>
      <c r="F297" s="2" t="n"/>
      <c r="G297" s="2" t="n"/>
      <c r="H297" s="2" t="n"/>
      <c r="I297" s="2" t="n"/>
      <c r="J297" s="2" t="n"/>
      <c r="K297" s="2" t="n"/>
      <c r="L297" s="2" t="n"/>
      <c r="M297" s="2" t="n"/>
      <c r="N297" s="2" t="n"/>
      <c r="O297" s="2" t="n"/>
      <c r="P297" s="2" t="n"/>
      <c r="Q297" s="2">
        <f>IF(G297="","",TODAY()-G297)</f>
        <v/>
      </c>
    </row>
    <row r="298">
      <c r="A298" s="2" t="n"/>
      <c r="B298" s="2" t="n"/>
      <c r="C298" s="2" t="n"/>
      <c r="D298" s="2" t="n"/>
      <c r="E298" s="2" t="n"/>
      <c r="F298" s="2" t="n"/>
      <c r="G298" s="2" t="n"/>
      <c r="H298" s="2" t="n"/>
      <c r="I298" s="2" t="n"/>
      <c r="J298" s="2" t="n"/>
      <c r="K298" s="2" t="n"/>
      <c r="L298" s="2" t="n"/>
      <c r="M298" s="2" t="n"/>
      <c r="N298" s="2" t="n"/>
      <c r="O298" s="2" t="n"/>
      <c r="P298" s="2" t="n"/>
      <c r="Q298" s="2">
        <f>IF(G298="","",TODAY()-G298)</f>
        <v/>
      </c>
    </row>
    <row r="299">
      <c r="A299" s="2" t="n"/>
      <c r="B299" s="2" t="n"/>
      <c r="C299" s="2" t="n"/>
      <c r="D299" s="2" t="n"/>
      <c r="E299" s="2" t="n"/>
      <c r="F299" s="2" t="n"/>
      <c r="G299" s="2" t="n"/>
      <c r="H299" s="2" t="n"/>
      <c r="I299" s="2" t="n"/>
      <c r="J299" s="2" t="n"/>
      <c r="K299" s="2" t="n"/>
      <c r="L299" s="2" t="n"/>
      <c r="M299" s="2" t="n"/>
      <c r="N299" s="2" t="n"/>
      <c r="O299" s="2" t="n"/>
      <c r="P299" s="2" t="n"/>
      <c r="Q299" s="2">
        <f>IF(G299="","",TODAY()-G299)</f>
        <v/>
      </c>
    </row>
    <row r="300">
      <c r="A300" s="2" t="n"/>
      <c r="B300" s="2" t="n"/>
      <c r="C300" s="2" t="n"/>
      <c r="D300" s="2" t="n"/>
      <c r="E300" s="2" t="n"/>
      <c r="F300" s="2" t="n"/>
      <c r="G300" s="2" t="n"/>
      <c r="H300" s="2" t="n"/>
      <c r="I300" s="2" t="n"/>
      <c r="J300" s="2" t="n"/>
      <c r="K300" s="2" t="n"/>
      <c r="L300" s="2" t="n"/>
      <c r="M300" s="2" t="n"/>
      <c r="N300" s="2" t="n"/>
      <c r="O300" s="2" t="n"/>
      <c r="P300" s="2" t="n"/>
      <c r="Q300" s="2">
        <f>IF(G300="","",TODAY()-G300)</f>
        <v/>
      </c>
    </row>
    <row r="301">
      <c r="A301" s="2" t="n"/>
      <c r="B301" s="2" t="n"/>
      <c r="C301" s="2" t="n"/>
      <c r="D301" s="2" t="n"/>
      <c r="E301" s="2" t="n"/>
      <c r="F301" s="2" t="n"/>
      <c r="G301" s="2" t="n"/>
      <c r="H301" s="2" t="n"/>
      <c r="I301" s="2" t="n"/>
      <c r="J301" s="2" t="n"/>
      <c r="K301" s="2" t="n"/>
      <c r="L301" s="2" t="n"/>
      <c r="M301" s="2" t="n"/>
      <c r="N301" s="2" t="n"/>
      <c r="O301" s="2" t="n"/>
      <c r="P301" s="2" t="n"/>
      <c r="Q301" s="2">
        <f>IF(G301="","",TODAY()-G301)</f>
        <v/>
      </c>
    </row>
    <row r="302">
      <c r="A302" s="2" t="n"/>
      <c r="B302" s="2" t="n"/>
      <c r="C302" s="2" t="n"/>
      <c r="D302" s="2" t="n"/>
      <c r="E302" s="2" t="n"/>
      <c r="F302" s="2" t="n"/>
      <c r="G302" s="2" t="n"/>
      <c r="H302" s="2" t="n"/>
      <c r="I302" s="2" t="n"/>
      <c r="J302" s="2" t="n"/>
      <c r="K302" s="2" t="n"/>
      <c r="L302" s="2" t="n"/>
      <c r="M302" s="2" t="n"/>
      <c r="N302" s="2" t="n"/>
      <c r="O302" s="2" t="n"/>
      <c r="P302" s="2" t="n"/>
      <c r="Q302" s="2">
        <f>IF(G302="","",TODAY()-G302)</f>
        <v/>
      </c>
    </row>
    <row r="303">
      <c r="A303" s="2" t="n"/>
      <c r="B303" s="2" t="n"/>
      <c r="C303" s="2" t="n"/>
      <c r="D303" s="2" t="n"/>
      <c r="E303" s="2" t="n"/>
      <c r="F303" s="2" t="n"/>
      <c r="G303" s="2" t="n"/>
      <c r="H303" s="2" t="n"/>
      <c r="I303" s="2" t="n"/>
      <c r="J303" s="2" t="n"/>
      <c r="K303" s="2" t="n"/>
      <c r="L303" s="2" t="n"/>
      <c r="M303" s="2" t="n"/>
      <c r="N303" s="2" t="n"/>
      <c r="O303" s="2" t="n"/>
      <c r="P303" s="2" t="n"/>
      <c r="Q303" s="2">
        <f>IF(G303="","",TODAY()-G303)</f>
        <v/>
      </c>
    </row>
    <row r="304">
      <c r="A304" s="2" t="n"/>
      <c r="B304" s="2" t="n"/>
      <c r="C304" s="2" t="n"/>
      <c r="D304" s="2" t="n"/>
      <c r="E304" s="2" t="n"/>
      <c r="F304" s="2" t="n"/>
      <c r="G304" s="2" t="n"/>
      <c r="H304" s="2" t="n"/>
      <c r="I304" s="2" t="n"/>
      <c r="J304" s="2" t="n"/>
      <c r="K304" s="2" t="n"/>
      <c r="L304" s="2" t="n"/>
      <c r="M304" s="2" t="n"/>
      <c r="N304" s="2" t="n"/>
      <c r="O304" s="2" t="n"/>
      <c r="P304" s="2" t="n"/>
      <c r="Q304" s="2">
        <f>IF(G304="","",TODAY()-G304)</f>
        <v/>
      </c>
    </row>
    <row r="305">
      <c r="A305" s="2" t="n"/>
      <c r="B305" s="2" t="n"/>
      <c r="C305" s="2" t="n"/>
      <c r="D305" s="2" t="n"/>
      <c r="E305" s="2" t="n"/>
      <c r="F305" s="2" t="n"/>
      <c r="G305" s="2" t="n"/>
      <c r="H305" s="2" t="n"/>
      <c r="I305" s="2" t="n"/>
      <c r="J305" s="2" t="n"/>
      <c r="K305" s="2" t="n"/>
      <c r="L305" s="2" t="n"/>
      <c r="M305" s="2" t="n"/>
      <c r="N305" s="2" t="n"/>
      <c r="O305" s="2" t="n"/>
      <c r="P305" s="2" t="n"/>
      <c r="Q305" s="2">
        <f>IF(G305="","",TODAY()-G305)</f>
        <v/>
      </c>
    </row>
    <row r="306">
      <c r="A306" s="2" t="n"/>
      <c r="B306" s="2" t="n"/>
      <c r="C306" s="2" t="n"/>
      <c r="D306" s="2" t="n"/>
      <c r="E306" s="2" t="n"/>
      <c r="F306" s="2" t="n"/>
      <c r="G306" s="2" t="n"/>
      <c r="H306" s="2" t="n"/>
      <c r="I306" s="2" t="n"/>
      <c r="J306" s="2" t="n"/>
      <c r="K306" s="2" t="n"/>
      <c r="L306" s="2" t="n"/>
      <c r="M306" s="2" t="n"/>
      <c r="N306" s="2" t="n"/>
      <c r="O306" s="2" t="n"/>
      <c r="P306" s="2" t="n"/>
      <c r="Q306" s="2">
        <f>IF(G306="","",TODAY()-G306)</f>
        <v/>
      </c>
    </row>
    <row r="307">
      <c r="A307" s="2" t="n"/>
      <c r="B307" s="2" t="n"/>
      <c r="C307" s="2" t="n"/>
      <c r="D307" s="2" t="n"/>
      <c r="E307" s="2" t="n"/>
      <c r="F307" s="2" t="n"/>
      <c r="G307" s="2" t="n"/>
      <c r="H307" s="2" t="n"/>
      <c r="I307" s="2" t="n"/>
      <c r="J307" s="2" t="n"/>
      <c r="K307" s="2" t="n"/>
      <c r="L307" s="2" t="n"/>
      <c r="M307" s="2" t="n"/>
      <c r="N307" s="2" t="n"/>
      <c r="O307" s="2" t="n"/>
      <c r="P307" s="2" t="n"/>
      <c r="Q307" s="2">
        <f>IF(G307="","",TODAY()-G307)</f>
        <v/>
      </c>
    </row>
    <row r="308">
      <c r="A308" s="2" t="n"/>
      <c r="B308" s="2" t="n"/>
      <c r="C308" s="2" t="n"/>
      <c r="D308" s="2" t="n"/>
      <c r="E308" s="2" t="n"/>
      <c r="F308" s="2" t="n"/>
      <c r="G308" s="2" t="n"/>
      <c r="H308" s="2" t="n"/>
      <c r="I308" s="2" t="n"/>
      <c r="J308" s="2" t="n"/>
      <c r="K308" s="2" t="n"/>
      <c r="L308" s="2" t="n"/>
      <c r="M308" s="2" t="n"/>
      <c r="N308" s="2" t="n"/>
      <c r="O308" s="2" t="n"/>
      <c r="P308" s="2" t="n"/>
      <c r="Q308" s="2">
        <f>IF(G308="","",TODAY()-G308)</f>
        <v/>
      </c>
    </row>
    <row r="309">
      <c r="A309" s="2" t="n"/>
      <c r="B309" s="2" t="n"/>
      <c r="C309" s="2" t="n"/>
      <c r="D309" s="2" t="n"/>
      <c r="E309" s="2" t="n"/>
      <c r="F309" s="2" t="n"/>
      <c r="G309" s="2" t="n"/>
      <c r="H309" s="2" t="n"/>
      <c r="I309" s="2" t="n"/>
      <c r="J309" s="2" t="n"/>
      <c r="K309" s="2" t="n"/>
      <c r="L309" s="2" t="n"/>
      <c r="M309" s="2" t="n"/>
      <c r="N309" s="2" t="n"/>
      <c r="O309" s="2" t="n"/>
      <c r="P309" s="2" t="n"/>
      <c r="Q309" s="2">
        <f>IF(G309="","",TODAY()-G309)</f>
        <v/>
      </c>
    </row>
    <row r="310">
      <c r="A310" s="2" t="n"/>
      <c r="B310" s="2" t="n"/>
      <c r="C310" s="2" t="n"/>
      <c r="D310" s="2" t="n"/>
      <c r="E310" s="2" t="n"/>
      <c r="F310" s="2" t="n"/>
      <c r="G310" s="2" t="n"/>
      <c r="H310" s="2" t="n"/>
      <c r="I310" s="2" t="n"/>
      <c r="J310" s="2" t="n"/>
      <c r="K310" s="2" t="n"/>
      <c r="L310" s="2" t="n"/>
      <c r="M310" s="2" t="n"/>
      <c r="N310" s="2" t="n"/>
      <c r="O310" s="2" t="n"/>
      <c r="P310" s="2" t="n"/>
      <c r="Q310" s="2">
        <f>IF(G310="","",TODAY()-G310)</f>
        <v/>
      </c>
    </row>
    <row r="311">
      <c r="A311" s="2" t="n"/>
      <c r="B311" s="2" t="n"/>
      <c r="C311" s="2" t="n"/>
      <c r="D311" s="2" t="n"/>
      <c r="E311" s="2" t="n"/>
      <c r="F311" s="2" t="n"/>
      <c r="G311" s="2" t="n"/>
      <c r="H311" s="2" t="n"/>
      <c r="I311" s="2" t="n"/>
      <c r="J311" s="2" t="n"/>
      <c r="K311" s="2" t="n"/>
      <c r="L311" s="2" t="n"/>
      <c r="M311" s="2" t="n"/>
      <c r="N311" s="2" t="n"/>
      <c r="O311" s="2" t="n"/>
      <c r="P311" s="2" t="n"/>
      <c r="Q311" s="2">
        <f>IF(G311="","",TODAY()-G311)</f>
        <v/>
      </c>
    </row>
    <row r="312">
      <c r="A312" s="2" t="n"/>
      <c r="B312" s="2" t="n"/>
      <c r="C312" s="2" t="n"/>
      <c r="D312" s="2" t="n"/>
      <c r="E312" s="2" t="n"/>
      <c r="F312" s="2" t="n"/>
      <c r="G312" s="2" t="n"/>
      <c r="H312" s="2" t="n"/>
      <c r="I312" s="2" t="n"/>
      <c r="J312" s="2" t="n"/>
      <c r="K312" s="2" t="n"/>
      <c r="L312" s="2" t="n"/>
      <c r="M312" s="2" t="n"/>
      <c r="N312" s="2" t="n"/>
      <c r="O312" s="2" t="n"/>
      <c r="P312" s="2" t="n"/>
      <c r="Q312" s="2">
        <f>IF(G312="","",TODAY()-G312)</f>
        <v/>
      </c>
    </row>
    <row r="313">
      <c r="A313" s="2" t="n"/>
      <c r="B313" s="2" t="n"/>
      <c r="C313" s="2" t="n"/>
      <c r="D313" s="2" t="n"/>
      <c r="E313" s="2" t="n"/>
      <c r="F313" s="2" t="n"/>
      <c r="G313" s="2" t="n"/>
      <c r="H313" s="2" t="n"/>
      <c r="I313" s="2" t="n"/>
      <c r="J313" s="2" t="n"/>
      <c r="K313" s="2" t="n"/>
      <c r="L313" s="2" t="n"/>
      <c r="M313" s="2" t="n"/>
      <c r="N313" s="2" t="n"/>
      <c r="O313" s="2" t="n"/>
      <c r="P313" s="2" t="n"/>
      <c r="Q313" s="2">
        <f>IF(G313="","",TODAY()-G313)</f>
        <v/>
      </c>
    </row>
    <row r="314">
      <c r="A314" s="2" t="n"/>
      <c r="B314" s="2" t="n"/>
      <c r="C314" s="2" t="n"/>
      <c r="D314" s="2" t="n"/>
      <c r="E314" s="2" t="n"/>
      <c r="F314" s="2" t="n"/>
      <c r="G314" s="2" t="n"/>
      <c r="H314" s="2" t="n"/>
      <c r="I314" s="2" t="n"/>
      <c r="J314" s="2" t="n"/>
      <c r="K314" s="2" t="n"/>
      <c r="L314" s="2" t="n"/>
      <c r="M314" s="2" t="n"/>
      <c r="N314" s="2" t="n"/>
      <c r="O314" s="2" t="n"/>
      <c r="P314" s="2" t="n"/>
      <c r="Q314" s="2">
        <f>IF(G314="","",TODAY()-G314)</f>
        <v/>
      </c>
    </row>
    <row r="315">
      <c r="A315" s="2" t="n"/>
      <c r="B315" s="2" t="n"/>
      <c r="C315" s="2" t="n"/>
      <c r="D315" s="2" t="n"/>
      <c r="E315" s="2" t="n"/>
      <c r="F315" s="2" t="n"/>
      <c r="G315" s="2" t="n"/>
      <c r="H315" s="2" t="n"/>
      <c r="I315" s="2" t="n"/>
      <c r="J315" s="2" t="n"/>
      <c r="K315" s="2" t="n"/>
      <c r="L315" s="2" t="n"/>
      <c r="M315" s="2" t="n"/>
      <c r="N315" s="2" t="n"/>
      <c r="O315" s="2" t="n"/>
      <c r="P315" s="2" t="n"/>
      <c r="Q315" s="2">
        <f>IF(G315="","",TODAY()-G315)</f>
        <v/>
      </c>
    </row>
    <row r="316">
      <c r="A316" s="2" t="n"/>
      <c r="B316" s="2" t="n"/>
      <c r="C316" s="2" t="n"/>
      <c r="D316" s="2" t="n"/>
      <c r="E316" s="2" t="n"/>
      <c r="F316" s="2" t="n"/>
      <c r="G316" s="2" t="n"/>
      <c r="H316" s="2" t="n"/>
      <c r="I316" s="2" t="n"/>
      <c r="J316" s="2" t="n"/>
      <c r="K316" s="2" t="n"/>
      <c r="L316" s="2" t="n"/>
      <c r="M316" s="2" t="n"/>
      <c r="N316" s="2" t="n"/>
      <c r="O316" s="2" t="n"/>
      <c r="P316" s="2" t="n"/>
      <c r="Q316" s="2">
        <f>IF(G316="","",TODAY()-G316)</f>
        <v/>
      </c>
    </row>
    <row r="317">
      <c r="A317" s="2" t="n"/>
      <c r="B317" s="2" t="n"/>
      <c r="C317" s="2" t="n"/>
      <c r="D317" s="2" t="n"/>
      <c r="E317" s="2" t="n"/>
      <c r="F317" s="2" t="n"/>
      <c r="G317" s="2" t="n"/>
      <c r="H317" s="2" t="n"/>
      <c r="I317" s="2" t="n"/>
      <c r="J317" s="2" t="n"/>
      <c r="K317" s="2" t="n"/>
      <c r="L317" s="2" t="n"/>
      <c r="M317" s="2" t="n"/>
      <c r="N317" s="2" t="n"/>
      <c r="O317" s="2" t="n"/>
      <c r="P317" s="2" t="n"/>
      <c r="Q317" s="2">
        <f>IF(G317="","",TODAY()-G317)</f>
        <v/>
      </c>
    </row>
    <row r="318">
      <c r="A318" s="2" t="n"/>
      <c r="B318" s="2" t="n"/>
      <c r="C318" s="2" t="n"/>
      <c r="D318" s="2" t="n"/>
      <c r="E318" s="2" t="n"/>
      <c r="F318" s="2" t="n"/>
      <c r="G318" s="2" t="n"/>
      <c r="H318" s="2" t="n"/>
      <c r="I318" s="2" t="n"/>
      <c r="J318" s="2" t="n"/>
      <c r="K318" s="2" t="n"/>
      <c r="L318" s="2" t="n"/>
      <c r="M318" s="2" t="n"/>
      <c r="N318" s="2" t="n"/>
      <c r="O318" s="2" t="n"/>
      <c r="P318" s="2" t="n"/>
      <c r="Q318" s="2">
        <f>IF(G318="","",TODAY()-G318)</f>
        <v/>
      </c>
    </row>
    <row r="319">
      <c r="A319" s="2" t="n"/>
      <c r="B319" s="2" t="n"/>
      <c r="C319" s="2" t="n"/>
      <c r="D319" s="2" t="n"/>
      <c r="E319" s="2" t="n"/>
      <c r="F319" s="2" t="n"/>
      <c r="G319" s="2" t="n"/>
      <c r="H319" s="2" t="n"/>
      <c r="I319" s="2" t="n"/>
      <c r="J319" s="2" t="n"/>
      <c r="K319" s="2" t="n"/>
      <c r="L319" s="2" t="n"/>
      <c r="M319" s="2" t="n"/>
      <c r="N319" s="2" t="n"/>
      <c r="O319" s="2" t="n"/>
      <c r="P319" s="2" t="n"/>
      <c r="Q319" s="2">
        <f>IF(G319="","",TODAY()-G319)</f>
        <v/>
      </c>
    </row>
    <row r="320">
      <c r="A320" s="2" t="n"/>
      <c r="B320" s="2" t="n"/>
      <c r="C320" s="2" t="n"/>
      <c r="D320" s="2" t="n"/>
      <c r="E320" s="2" t="n"/>
      <c r="F320" s="2" t="n"/>
      <c r="G320" s="2" t="n"/>
      <c r="H320" s="2" t="n"/>
      <c r="I320" s="2" t="n"/>
      <c r="J320" s="2" t="n"/>
      <c r="K320" s="2" t="n"/>
      <c r="L320" s="2" t="n"/>
      <c r="M320" s="2" t="n"/>
      <c r="N320" s="2" t="n"/>
      <c r="O320" s="2" t="n"/>
      <c r="P320" s="2" t="n"/>
      <c r="Q320" s="2">
        <f>IF(G320="","",TODAY()-G320)</f>
        <v/>
      </c>
    </row>
    <row r="321">
      <c r="A321" s="2" t="n"/>
      <c r="B321" s="2" t="n"/>
      <c r="C321" s="2" t="n"/>
      <c r="D321" s="2" t="n"/>
      <c r="E321" s="2" t="n"/>
      <c r="F321" s="2" t="n"/>
      <c r="G321" s="2" t="n"/>
      <c r="H321" s="2" t="n"/>
      <c r="I321" s="2" t="n"/>
      <c r="J321" s="2" t="n"/>
      <c r="K321" s="2" t="n"/>
      <c r="L321" s="2" t="n"/>
      <c r="M321" s="2" t="n"/>
      <c r="N321" s="2" t="n"/>
      <c r="O321" s="2" t="n"/>
      <c r="P321" s="2" t="n"/>
      <c r="Q321" s="2">
        <f>IF(G321="","",TODAY()-G321)</f>
        <v/>
      </c>
    </row>
    <row r="322">
      <c r="A322" s="2" t="n"/>
      <c r="B322" s="2" t="n"/>
      <c r="C322" s="2" t="n"/>
      <c r="D322" s="2" t="n"/>
      <c r="E322" s="2" t="n"/>
      <c r="F322" s="2" t="n"/>
      <c r="G322" s="2" t="n"/>
      <c r="H322" s="2" t="n"/>
      <c r="I322" s="2" t="n"/>
      <c r="J322" s="2" t="n"/>
      <c r="K322" s="2" t="n"/>
      <c r="L322" s="2" t="n"/>
      <c r="M322" s="2" t="n"/>
      <c r="N322" s="2" t="n"/>
      <c r="O322" s="2" t="n"/>
      <c r="P322" s="2" t="n"/>
      <c r="Q322" s="2">
        <f>IF(G322="","",TODAY()-G322)</f>
        <v/>
      </c>
    </row>
    <row r="323">
      <c r="A323" s="2" t="n"/>
      <c r="B323" s="2" t="n"/>
      <c r="C323" s="2" t="n"/>
      <c r="D323" s="2" t="n"/>
      <c r="E323" s="2" t="n"/>
      <c r="F323" s="2" t="n"/>
      <c r="G323" s="2" t="n"/>
      <c r="H323" s="2" t="n"/>
      <c r="I323" s="2" t="n"/>
      <c r="J323" s="2" t="n"/>
      <c r="K323" s="2" t="n"/>
      <c r="L323" s="2" t="n"/>
      <c r="M323" s="2" t="n"/>
      <c r="N323" s="2" t="n"/>
      <c r="O323" s="2" t="n"/>
      <c r="P323" s="2" t="n"/>
      <c r="Q323" s="2">
        <f>IF(G323="","",TODAY()-G323)</f>
        <v/>
      </c>
    </row>
    <row r="324">
      <c r="A324" s="2" t="n"/>
      <c r="B324" s="2" t="n"/>
      <c r="C324" s="2" t="n"/>
      <c r="D324" s="2" t="n"/>
      <c r="E324" s="2" t="n"/>
      <c r="F324" s="2" t="n"/>
      <c r="G324" s="2" t="n"/>
      <c r="H324" s="2" t="n"/>
      <c r="I324" s="2" t="n"/>
      <c r="J324" s="2" t="n"/>
      <c r="K324" s="2" t="n"/>
      <c r="L324" s="2" t="n"/>
      <c r="M324" s="2" t="n"/>
      <c r="N324" s="2" t="n"/>
      <c r="O324" s="2" t="n"/>
      <c r="P324" s="2" t="n"/>
      <c r="Q324" s="2">
        <f>IF(G324="","",TODAY()-G324)</f>
        <v/>
      </c>
    </row>
    <row r="325">
      <c r="A325" s="2" t="n"/>
      <c r="B325" s="2" t="n"/>
      <c r="C325" s="2" t="n"/>
      <c r="D325" s="2" t="n"/>
      <c r="E325" s="2" t="n"/>
      <c r="F325" s="2" t="n"/>
      <c r="G325" s="2" t="n"/>
      <c r="H325" s="2" t="n"/>
      <c r="I325" s="2" t="n"/>
      <c r="J325" s="2" t="n"/>
      <c r="K325" s="2" t="n"/>
      <c r="L325" s="2" t="n"/>
      <c r="M325" s="2" t="n"/>
      <c r="N325" s="2" t="n"/>
      <c r="O325" s="2" t="n"/>
      <c r="P325" s="2" t="n"/>
      <c r="Q325" s="2">
        <f>IF(G325="","",TODAY()-G325)</f>
        <v/>
      </c>
    </row>
    <row r="326">
      <c r="A326" s="2" t="n"/>
      <c r="B326" s="2" t="n"/>
      <c r="C326" s="2" t="n"/>
      <c r="D326" s="2" t="n"/>
      <c r="E326" s="2" t="n"/>
      <c r="F326" s="2" t="n"/>
      <c r="G326" s="2" t="n"/>
      <c r="H326" s="2" t="n"/>
      <c r="I326" s="2" t="n"/>
      <c r="J326" s="2" t="n"/>
      <c r="K326" s="2" t="n"/>
      <c r="L326" s="2" t="n"/>
      <c r="M326" s="2" t="n"/>
      <c r="N326" s="2" t="n"/>
      <c r="O326" s="2" t="n"/>
      <c r="P326" s="2" t="n"/>
      <c r="Q326" s="2">
        <f>IF(G326="","",TODAY()-G326)</f>
        <v/>
      </c>
    </row>
    <row r="327">
      <c r="A327" s="2" t="n"/>
      <c r="B327" s="2" t="n"/>
      <c r="C327" s="2" t="n"/>
      <c r="D327" s="2" t="n"/>
      <c r="E327" s="2" t="n"/>
      <c r="F327" s="2" t="n"/>
      <c r="G327" s="2" t="n"/>
      <c r="H327" s="2" t="n"/>
      <c r="I327" s="2" t="n"/>
      <c r="J327" s="2" t="n"/>
      <c r="K327" s="2" t="n"/>
      <c r="L327" s="2" t="n"/>
      <c r="M327" s="2" t="n"/>
      <c r="N327" s="2" t="n"/>
      <c r="O327" s="2" t="n"/>
      <c r="P327" s="2" t="n"/>
      <c r="Q327" s="2">
        <f>IF(G327="","",TODAY()-G327)</f>
        <v/>
      </c>
    </row>
    <row r="328">
      <c r="A328" s="2" t="n"/>
      <c r="B328" s="2" t="n"/>
      <c r="C328" s="2" t="n"/>
      <c r="D328" s="2" t="n"/>
      <c r="E328" s="2" t="n"/>
      <c r="F328" s="2" t="n"/>
      <c r="G328" s="2" t="n"/>
      <c r="H328" s="2" t="n"/>
      <c r="I328" s="2" t="n"/>
      <c r="J328" s="2" t="n"/>
      <c r="K328" s="2" t="n"/>
      <c r="L328" s="2" t="n"/>
      <c r="M328" s="2" t="n"/>
      <c r="N328" s="2" t="n"/>
      <c r="O328" s="2" t="n"/>
      <c r="P328" s="2" t="n"/>
      <c r="Q328" s="2">
        <f>IF(G328="","",TODAY()-G328)</f>
        <v/>
      </c>
    </row>
    <row r="329">
      <c r="A329" s="2" t="n"/>
      <c r="B329" s="2" t="n"/>
      <c r="C329" s="2" t="n"/>
      <c r="D329" s="2" t="n"/>
      <c r="E329" s="2" t="n"/>
      <c r="F329" s="2" t="n"/>
      <c r="G329" s="2" t="n"/>
      <c r="H329" s="2" t="n"/>
      <c r="I329" s="2" t="n"/>
      <c r="J329" s="2" t="n"/>
      <c r="K329" s="2" t="n"/>
      <c r="L329" s="2" t="n"/>
      <c r="M329" s="2" t="n"/>
      <c r="N329" s="2" t="n"/>
      <c r="O329" s="2" t="n"/>
      <c r="P329" s="2" t="n"/>
      <c r="Q329" s="2">
        <f>IF(G329="","",TODAY()-G329)</f>
        <v/>
      </c>
    </row>
    <row r="330">
      <c r="A330" s="2" t="n"/>
      <c r="B330" s="2" t="n"/>
      <c r="C330" s="2" t="n"/>
      <c r="D330" s="2" t="n"/>
      <c r="E330" s="2" t="n"/>
      <c r="F330" s="2" t="n"/>
      <c r="G330" s="2" t="n"/>
      <c r="H330" s="2" t="n"/>
      <c r="I330" s="2" t="n"/>
      <c r="J330" s="2" t="n"/>
      <c r="K330" s="2" t="n"/>
      <c r="L330" s="2" t="n"/>
      <c r="M330" s="2" t="n"/>
      <c r="N330" s="2" t="n"/>
      <c r="O330" s="2" t="n"/>
      <c r="P330" s="2" t="n"/>
      <c r="Q330" s="2">
        <f>IF(G330="","",TODAY()-G330)</f>
        <v/>
      </c>
    </row>
    <row r="331">
      <c r="A331" s="2" t="n"/>
      <c r="B331" s="2" t="n"/>
      <c r="C331" s="2" t="n"/>
      <c r="D331" s="2" t="n"/>
      <c r="E331" s="2" t="n"/>
      <c r="F331" s="2" t="n"/>
      <c r="G331" s="2" t="n"/>
      <c r="H331" s="2" t="n"/>
      <c r="I331" s="2" t="n"/>
      <c r="J331" s="2" t="n"/>
      <c r="K331" s="2" t="n"/>
      <c r="L331" s="2" t="n"/>
      <c r="M331" s="2" t="n"/>
      <c r="N331" s="2" t="n"/>
      <c r="O331" s="2" t="n"/>
      <c r="P331" s="2" t="n"/>
      <c r="Q331" s="2">
        <f>IF(G331="","",TODAY()-G331)</f>
        <v/>
      </c>
    </row>
    <row r="332">
      <c r="A332" s="2" t="n"/>
      <c r="B332" s="2" t="n"/>
      <c r="C332" s="2" t="n"/>
      <c r="D332" s="2" t="n"/>
      <c r="E332" s="2" t="n"/>
      <c r="F332" s="2" t="n"/>
      <c r="G332" s="2" t="n"/>
      <c r="H332" s="2" t="n"/>
      <c r="I332" s="2" t="n"/>
      <c r="J332" s="2" t="n"/>
      <c r="K332" s="2" t="n"/>
      <c r="L332" s="2" t="n"/>
      <c r="M332" s="2" t="n"/>
      <c r="N332" s="2" t="n"/>
      <c r="O332" s="2" t="n"/>
      <c r="P332" s="2" t="n"/>
      <c r="Q332" s="2">
        <f>IF(G332="","",TODAY()-G332)</f>
        <v/>
      </c>
    </row>
    <row r="333">
      <c r="A333" s="2" t="n"/>
      <c r="B333" s="2" t="n"/>
      <c r="C333" s="2" t="n"/>
      <c r="D333" s="2" t="n"/>
      <c r="E333" s="2" t="n"/>
      <c r="F333" s="2" t="n"/>
      <c r="G333" s="2" t="n"/>
      <c r="H333" s="2" t="n"/>
      <c r="I333" s="2" t="n"/>
      <c r="J333" s="2" t="n"/>
      <c r="K333" s="2" t="n"/>
      <c r="L333" s="2" t="n"/>
      <c r="M333" s="2" t="n"/>
      <c r="N333" s="2" t="n"/>
      <c r="O333" s="2" t="n"/>
      <c r="P333" s="2" t="n"/>
      <c r="Q333" s="2">
        <f>IF(G333="","",TODAY()-G333)</f>
        <v/>
      </c>
    </row>
    <row r="334">
      <c r="A334" s="2" t="n"/>
      <c r="B334" s="2" t="n"/>
      <c r="C334" s="2" t="n"/>
      <c r="D334" s="2" t="n"/>
      <c r="E334" s="2" t="n"/>
      <c r="F334" s="2" t="n"/>
      <c r="G334" s="2" t="n"/>
      <c r="H334" s="2" t="n"/>
      <c r="I334" s="2" t="n"/>
      <c r="J334" s="2" t="n"/>
      <c r="K334" s="2" t="n"/>
      <c r="L334" s="2" t="n"/>
      <c r="M334" s="2" t="n"/>
      <c r="N334" s="2" t="n"/>
      <c r="O334" s="2" t="n"/>
      <c r="P334" s="2" t="n"/>
      <c r="Q334" s="2">
        <f>IF(G334="","",TODAY()-G334)</f>
        <v/>
      </c>
    </row>
    <row r="335">
      <c r="A335" s="2" t="n"/>
      <c r="B335" s="2" t="n"/>
      <c r="C335" s="2" t="n"/>
      <c r="D335" s="2" t="n"/>
      <c r="E335" s="2" t="n"/>
      <c r="F335" s="2" t="n"/>
      <c r="G335" s="2" t="n"/>
      <c r="H335" s="2" t="n"/>
      <c r="I335" s="2" t="n"/>
      <c r="J335" s="2" t="n"/>
      <c r="K335" s="2" t="n"/>
      <c r="L335" s="2" t="n"/>
      <c r="M335" s="2" t="n"/>
      <c r="N335" s="2" t="n"/>
      <c r="O335" s="2" t="n"/>
      <c r="P335" s="2" t="n"/>
      <c r="Q335" s="2">
        <f>IF(G335="","",TODAY()-G335)</f>
        <v/>
      </c>
    </row>
    <row r="336">
      <c r="A336" s="2" t="n"/>
      <c r="B336" s="2" t="n"/>
      <c r="C336" s="2" t="n"/>
      <c r="D336" s="2" t="n"/>
      <c r="E336" s="2" t="n"/>
      <c r="F336" s="2" t="n"/>
      <c r="G336" s="2" t="n"/>
      <c r="H336" s="2" t="n"/>
      <c r="I336" s="2" t="n"/>
      <c r="J336" s="2" t="n"/>
      <c r="K336" s="2" t="n"/>
      <c r="L336" s="2" t="n"/>
      <c r="M336" s="2" t="n"/>
      <c r="N336" s="2" t="n"/>
      <c r="O336" s="2" t="n"/>
      <c r="P336" s="2" t="n"/>
      <c r="Q336" s="2">
        <f>IF(G336="","",TODAY()-G336)</f>
        <v/>
      </c>
    </row>
    <row r="337">
      <c r="A337" s="2" t="n"/>
      <c r="B337" s="2" t="n"/>
      <c r="C337" s="2" t="n"/>
      <c r="D337" s="2" t="n"/>
      <c r="E337" s="2" t="n"/>
      <c r="F337" s="2" t="n"/>
      <c r="G337" s="2" t="n"/>
      <c r="H337" s="2" t="n"/>
      <c r="I337" s="2" t="n"/>
      <c r="J337" s="2" t="n"/>
      <c r="K337" s="2" t="n"/>
      <c r="L337" s="2" t="n"/>
      <c r="M337" s="2" t="n"/>
      <c r="N337" s="2" t="n"/>
      <c r="O337" s="2" t="n"/>
      <c r="P337" s="2" t="n"/>
      <c r="Q337" s="2">
        <f>IF(G337="","",TODAY()-G337)</f>
        <v/>
      </c>
    </row>
    <row r="338">
      <c r="A338" s="2" t="n"/>
      <c r="B338" s="2" t="n"/>
      <c r="C338" s="2" t="n"/>
      <c r="D338" s="2" t="n"/>
      <c r="E338" s="2" t="n"/>
      <c r="F338" s="2" t="n"/>
      <c r="G338" s="2" t="n"/>
      <c r="H338" s="2" t="n"/>
      <c r="I338" s="2" t="n"/>
      <c r="J338" s="2" t="n"/>
      <c r="K338" s="2" t="n"/>
      <c r="L338" s="2" t="n"/>
      <c r="M338" s="2" t="n"/>
      <c r="N338" s="2" t="n"/>
      <c r="O338" s="2" t="n"/>
      <c r="P338" s="2" t="n"/>
      <c r="Q338" s="2">
        <f>IF(G338="","",TODAY()-G338)</f>
        <v/>
      </c>
    </row>
    <row r="339">
      <c r="A339" s="2" t="n"/>
      <c r="B339" s="2" t="n"/>
      <c r="C339" s="2" t="n"/>
      <c r="D339" s="2" t="n"/>
      <c r="E339" s="2" t="n"/>
      <c r="F339" s="2" t="n"/>
      <c r="G339" s="2" t="n"/>
      <c r="H339" s="2" t="n"/>
      <c r="I339" s="2" t="n"/>
      <c r="J339" s="2" t="n"/>
      <c r="K339" s="2" t="n"/>
      <c r="L339" s="2" t="n"/>
      <c r="M339" s="2" t="n"/>
      <c r="N339" s="2" t="n"/>
      <c r="O339" s="2" t="n"/>
      <c r="P339" s="2" t="n"/>
      <c r="Q339" s="2">
        <f>IF(G339="","",TODAY()-G339)</f>
        <v/>
      </c>
    </row>
    <row r="340">
      <c r="A340" s="2" t="n"/>
      <c r="B340" s="2" t="n"/>
      <c r="C340" s="2" t="n"/>
      <c r="D340" s="2" t="n"/>
      <c r="E340" s="2" t="n"/>
      <c r="F340" s="2" t="n"/>
      <c r="G340" s="2" t="n"/>
      <c r="H340" s="2" t="n"/>
      <c r="I340" s="2" t="n"/>
      <c r="J340" s="2" t="n"/>
      <c r="K340" s="2" t="n"/>
      <c r="L340" s="2" t="n"/>
      <c r="M340" s="2" t="n"/>
      <c r="N340" s="2" t="n"/>
      <c r="O340" s="2" t="n"/>
      <c r="P340" s="2" t="n"/>
      <c r="Q340" s="2">
        <f>IF(G340="","",TODAY()-G340)</f>
        <v/>
      </c>
    </row>
    <row r="341">
      <c r="A341" s="2" t="n"/>
      <c r="B341" s="2" t="n"/>
      <c r="C341" s="2" t="n"/>
      <c r="D341" s="2" t="n"/>
      <c r="E341" s="2" t="n"/>
      <c r="F341" s="2" t="n"/>
      <c r="G341" s="2" t="n"/>
      <c r="H341" s="2" t="n"/>
      <c r="I341" s="2" t="n"/>
      <c r="J341" s="2" t="n"/>
      <c r="K341" s="2" t="n"/>
      <c r="L341" s="2" t="n"/>
      <c r="M341" s="2" t="n"/>
      <c r="N341" s="2" t="n"/>
      <c r="O341" s="2" t="n"/>
      <c r="P341" s="2" t="n"/>
      <c r="Q341" s="2">
        <f>IF(G341="","",TODAY()-G341)</f>
        <v/>
      </c>
    </row>
    <row r="342">
      <c r="A342" s="2" t="n"/>
      <c r="B342" s="2" t="n"/>
      <c r="C342" s="2" t="n"/>
      <c r="D342" s="2" t="n"/>
      <c r="E342" s="2" t="n"/>
      <c r="F342" s="2" t="n"/>
      <c r="G342" s="2" t="n"/>
      <c r="H342" s="2" t="n"/>
      <c r="I342" s="2" t="n"/>
      <c r="J342" s="2" t="n"/>
      <c r="K342" s="2" t="n"/>
      <c r="L342" s="2" t="n"/>
      <c r="M342" s="2" t="n"/>
      <c r="N342" s="2" t="n"/>
      <c r="O342" s="2" t="n"/>
      <c r="P342" s="2" t="n"/>
      <c r="Q342" s="2">
        <f>IF(G342="","",TODAY()-G342)</f>
        <v/>
      </c>
    </row>
    <row r="343">
      <c r="A343" s="2" t="n"/>
      <c r="B343" s="2" t="n"/>
      <c r="C343" s="2" t="n"/>
      <c r="D343" s="2" t="n"/>
      <c r="E343" s="2" t="n"/>
      <c r="F343" s="2" t="n"/>
      <c r="G343" s="2" t="n"/>
      <c r="H343" s="2" t="n"/>
      <c r="I343" s="2" t="n"/>
      <c r="J343" s="2" t="n"/>
      <c r="K343" s="2" t="n"/>
      <c r="L343" s="2" t="n"/>
      <c r="M343" s="2" t="n"/>
      <c r="N343" s="2" t="n"/>
      <c r="O343" s="2" t="n"/>
      <c r="P343" s="2" t="n"/>
      <c r="Q343" s="2">
        <f>IF(G343="","",TODAY()-G343)</f>
        <v/>
      </c>
    </row>
    <row r="344">
      <c r="A344" s="2" t="n"/>
      <c r="B344" s="2" t="n"/>
      <c r="C344" s="2" t="n"/>
      <c r="D344" s="2" t="n"/>
      <c r="E344" s="2" t="n"/>
      <c r="F344" s="2" t="n"/>
      <c r="G344" s="2" t="n"/>
      <c r="H344" s="2" t="n"/>
      <c r="I344" s="2" t="n"/>
      <c r="J344" s="2" t="n"/>
      <c r="K344" s="2" t="n"/>
      <c r="L344" s="2" t="n"/>
      <c r="M344" s="2" t="n"/>
      <c r="N344" s="2" t="n"/>
      <c r="O344" s="2" t="n"/>
      <c r="P344" s="2" t="n"/>
      <c r="Q344" s="2">
        <f>IF(G344="","",TODAY()-G344)</f>
        <v/>
      </c>
    </row>
    <row r="345">
      <c r="A345" s="2" t="n"/>
      <c r="B345" s="2" t="n"/>
      <c r="C345" s="2" t="n"/>
      <c r="D345" s="2" t="n"/>
      <c r="E345" s="2" t="n"/>
      <c r="F345" s="2" t="n"/>
      <c r="G345" s="2" t="n"/>
      <c r="H345" s="2" t="n"/>
      <c r="I345" s="2" t="n"/>
      <c r="J345" s="2" t="n"/>
      <c r="K345" s="2" t="n"/>
      <c r="L345" s="2" t="n"/>
      <c r="M345" s="2" t="n"/>
      <c r="N345" s="2" t="n"/>
      <c r="O345" s="2" t="n"/>
      <c r="P345" s="2" t="n"/>
      <c r="Q345" s="2">
        <f>IF(G345="","",TODAY()-G345)</f>
        <v/>
      </c>
    </row>
    <row r="346">
      <c r="A346" s="2" t="n"/>
      <c r="B346" s="2" t="n"/>
      <c r="C346" s="2" t="n"/>
      <c r="D346" s="2" t="n"/>
      <c r="E346" s="2" t="n"/>
      <c r="F346" s="2" t="n"/>
      <c r="G346" s="2" t="n"/>
      <c r="H346" s="2" t="n"/>
      <c r="I346" s="2" t="n"/>
      <c r="J346" s="2" t="n"/>
      <c r="K346" s="2" t="n"/>
      <c r="L346" s="2" t="n"/>
      <c r="M346" s="2" t="n"/>
      <c r="N346" s="2" t="n"/>
      <c r="O346" s="2" t="n"/>
      <c r="P346" s="2" t="n"/>
      <c r="Q346" s="2">
        <f>IF(G346="","",TODAY()-G346)</f>
        <v/>
      </c>
    </row>
    <row r="347">
      <c r="A347" s="2" t="n"/>
      <c r="B347" s="2" t="n"/>
      <c r="C347" s="2" t="n"/>
      <c r="D347" s="2" t="n"/>
      <c r="E347" s="2" t="n"/>
      <c r="F347" s="2" t="n"/>
      <c r="G347" s="2" t="n"/>
      <c r="H347" s="2" t="n"/>
      <c r="I347" s="2" t="n"/>
      <c r="J347" s="2" t="n"/>
      <c r="K347" s="2" t="n"/>
      <c r="L347" s="2" t="n"/>
      <c r="M347" s="2" t="n"/>
      <c r="N347" s="2" t="n"/>
      <c r="O347" s="2" t="n"/>
      <c r="P347" s="2" t="n"/>
      <c r="Q347" s="2">
        <f>IF(G347="","",TODAY()-G347)</f>
        <v/>
      </c>
    </row>
    <row r="348">
      <c r="A348" s="2" t="n"/>
      <c r="B348" s="2" t="n"/>
      <c r="C348" s="2" t="n"/>
      <c r="D348" s="2" t="n"/>
      <c r="E348" s="2" t="n"/>
      <c r="F348" s="2" t="n"/>
      <c r="G348" s="2" t="n"/>
      <c r="H348" s="2" t="n"/>
      <c r="I348" s="2" t="n"/>
      <c r="J348" s="2" t="n"/>
      <c r="K348" s="2" t="n"/>
      <c r="L348" s="2" t="n"/>
      <c r="M348" s="2" t="n"/>
      <c r="N348" s="2" t="n"/>
      <c r="O348" s="2" t="n"/>
      <c r="P348" s="2" t="n"/>
      <c r="Q348" s="2">
        <f>IF(G348="","",TODAY()-G348)</f>
        <v/>
      </c>
    </row>
    <row r="349">
      <c r="A349" s="2" t="n"/>
      <c r="B349" s="2" t="n"/>
      <c r="C349" s="2" t="n"/>
      <c r="D349" s="2" t="n"/>
      <c r="E349" s="2" t="n"/>
      <c r="F349" s="2" t="n"/>
      <c r="G349" s="2" t="n"/>
      <c r="H349" s="2" t="n"/>
      <c r="I349" s="2" t="n"/>
      <c r="J349" s="2" t="n"/>
      <c r="K349" s="2" t="n"/>
      <c r="L349" s="2" t="n"/>
      <c r="M349" s="2" t="n"/>
      <c r="N349" s="2" t="n"/>
      <c r="O349" s="2" t="n"/>
      <c r="P349" s="2" t="n"/>
      <c r="Q349" s="2">
        <f>IF(G349="","",TODAY()-G349)</f>
        <v/>
      </c>
    </row>
    <row r="350">
      <c r="A350" s="2" t="n"/>
      <c r="B350" s="2" t="n"/>
      <c r="C350" s="2" t="n"/>
      <c r="D350" s="2" t="n"/>
      <c r="E350" s="2" t="n"/>
      <c r="F350" s="2" t="n"/>
      <c r="G350" s="2" t="n"/>
      <c r="H350" s="2" t="n"/>
      <c r="I350" s="2" t="n"/>
      <c r="J350" s="2" t="n"/>
      <c r="K350" s="2" t="n"/>
      <c r="L350" s="2" t="n"/>
      <c r="M350" s="2" t="n"/>
      <c r="N350" s="2" t="n"/>
      <c r="O350" s="2" t="n"/>
      <c r="P350" s="2" t="n"/>
      <c r="Q350" s="2">
        <f>IF(G350="","",TODAY()-G350)</f>
        <v/>
      </c>
    </row>
    <row r="351">
      <c r="A351" s="2" t="n"/>
      <c r="B351" s="2" t="n"/>
      <c r="C351" s="2" t="n"/>
      <c r="D351" s="2" t="n"/>
      <c r="E351" s="2" t="n"/>
      <c r="F351" s="2" t="n"/>
      <c r="G351" s="2" t="n"/>
      <c r="H351" s="2" t="n"/>
      <c r="I351" s="2" t="n"/>
      <c r="J351" s="2" t="n"/>
      <c r="K351" s="2" t="n"/>
      <c r="L351" s="2" t="n"/>
      <c r="M351" s="2" t="n"/>
      <c r="N351" s="2" t="n"/>
      <c r="O351" s="2" t="n"/>
      <c r="P351" s="2" t="n"/>
      <c r="Q351" s="2">
        <f>IF(G351="","",TODAY()-G351)</f>
        <v/>
      </c>
    </row>
    <row r="352">
      <c r="A352" s="2" t="n"/>
      <c r="B352" s="2" t="n"/>
      <c r="C352" s="2" t="n"/>
      <c r="D352" s="2" t="n"/>
      <c r="E352" s="2" t="n"/>
      <c r="F352" s="2" t="n"/>
      <c r="G352" s="2" t="n"/>
      <c r="H352" s="2" t="n"/>
      <c r="I352" s="2" t="n"/>
      <c r="J352" s="2" t="n"/>
      <c r="K352" s="2" t="n"/>
      <c r="L352" s="2" t="n"/>
      <c r="M352" s="2" t="n"/>
      <c r="N352" s="2" t="n"/>
      <c r="O352" s="2" t="n"/>
      <c r="P352" s="2" t="n"/>
      <c r="Q352" s="2">
        <f>IF(G352="","",TODAY()-G352)</f>
        <v/>
      </c>
    </row>
    <row r="353">
      <c r="A353" s="2" t="n"/>
      <c r="B353" s="2" t="n"/>
      <c r="C353" s="2" t="n"/>
      <c r="D353" s="2" t="n"/>
      <c r="E353" s="2" t="n"/>
      <c r="F353" s="2" t="n"/>
      <c r="G353" s="2" t="n"/>
      <c r="H353" s="2" t="n"/>
      <c r="I353" s="2" t="n"/>
      <c r="J353" s="2" t="n"/>
      <c r="K353" s="2" t="n"/>
      <c r="L353" s="2" t="n"/>
      <c r="M353" s="2" t="n"/>
      <c r="N353" s="2" t="n"/>
      <c r="O353" s="2" t="n"/>
      <c r="P353" s="2" t="n"/>
      <c r="Q353" s="2">
        <f>IF(G353="","",TODAY()-G353)</f>
        <v/>
      </c>
    </row>
    <row r="354">
      <c r="A354" s="2" t="n"/>
      <c r="B354" s="2" t="n"/>
      <c r="C354" s="2" t="n"/>
      <c r="D354" s="2" t="n"/>
      <c r="E354" s="2" t="n"/>
      <c r="F354" s="2" t="n"/>
      <c r="G354" s="2" t="n"/>
      <c r="H354" s="2" t="n"/>
      <c r="I354" s="2" t="n"/>
      <c r="J354" s="2" t="n"/>
      <c r="K354" s="2" t="n"/>
      <c r="L354" s="2" t="n"/>
      <c r="M354" s="2" t="n"/>
      <c r="N354" s="2" t="n"/>
      <c r="O354" s="2" t="n"/>
      <c r="P354" s="2" t="n"/>
      <c r="Q354" s="2">
        <f>IF(G354="","",TODAY()-G354)</f>
        <v/>
      </c>
    </row>
    <row r="355">
      <c r="A355" s="2" t="n"/>
      <c r="B355" s="2" t="n"/>
      <c r="C355" s="2" t="n"/>
      <c r="D355" s="2" t="n"/>
      <c r="E355" s="2" t="n"/>
      <c r="F355" s="2" t="n"/>
      <c r="G355" s="2" t="n"/>
      <c r="H355" s="2" t="n"/>
      <c r="I355" s="2" t="n"/>
      <c r="J355" s="2" t="n"/>
      <c r="K355" s="2" t="n"/>
      <c r="L355" s="2" t="n"/>
      <c r="M355" s="2" t="n"/>
      <c r="N355" s="2" t="n"/>
      <c r="O355" s="2" t="n"/>
      <c r="P355" s="2" t="n"/>
      <c r="Q355" s="2">
        <f>IF(G355="","",TODAY()-G355)</f>
        <v/>
      </c>
    </row>
    <row r="356">
      <c r="A356" s="2" t="n"/>
      <c r="B356" s="2" t="n"/>
      <c r="C356" s="2" t="n"/>
      <c r="D356" s="2" t="n"/>
      <c r="E356" s="2" t="n"/>
      <c r="F356" s="2" t="n"/>
      <c r="G356" s="2" t="n"/>
      <c r="H356" s="2" t="n"/>
      <c r="I356" s="2" t="n"/>
      <c r="J356" s="2" t="n"/>
      <c r="K356" s="2" t="n"/>
      <c r="L356" s="2" t="n"/>
      <c r="M356" s="2" t="n"/>
      <c r="N356" s="2" t="n"/>
      <c r="O356" s="2" t="n"/>
      <c r="P356" s="2" t="n"/>
      <c r="Q356" s="2">
        <f>IF(G356="","",TODAY()-G356)</f>
        <v/>
      </c>
    </row>
    <row r="357">
      <c r="A357" s="2" t="n"/>
      <c r="B357" s="2" t="n"/>
      <c r="C357" s="2" t="n"/>
      <c r="D357" s="2" t="n"/>
      <c r="E357" s="2" t="n"/>
      <c r="F357" s="2" t="n"/>
      <c r="G357" s="2" t="n"/>
      <c r="H357" s="2" t="n"/>
      <c r="I357" s="2" t="n"/>
      <c r="J357" s="2" t="n"/>
      <c r="K357" s="2" t="n"/>
      <c r="L357" s="2" t="n"/>
      <c r="M357" s="2" t="n"/>
      <c r="N357" s="2" t="n"/>
      <c r="O357" s="2" t="n"/>
      <c r="P357" s="2" t="n"/>
      <c r="Q357" s="2">
        <f>IF(G357="","",TODAY()-G357)</f>
        <v/>
      </c>
    </row>
    <row r="358">
      <c r="A358" s="2" t="n"/>
      <c r="B358" s="2" t="n"/>
      <c r="C358" s="2" t="n"/>
      <c r="D358" s="2" t="n"/>
      <c r="E358" s="2" t="n"/>
      <c r="F358" s="2" t="n"/>
      <c r="G358" s="2" t="n"/>
      <c r="H358" s="2" t="n"/>
      <c r="I358" s="2" t="n"/>
      <c r="J358" s="2" t="n"/>
      <c r="K358" s="2" t="n"/>
      <c r="L358" s="2" t="n"/>
      <c r="M358" s="2" t="n"/>
      <c r="N358" s="2" t="n"/>
      <c r="O358" s="2" t="n"/>
      <c r="P358" s="2" t="n"/>
      <c r="Q358" s="2">
        <f>IF(G358="","",TODAY()-G358)</f>
        <v/>
      </c>
    </row>
    <row r="359">
      <c r="A359" s="2" t="n"/>
      <c r="B359" s="2" t="n"/>
      <c r="C359" s="2" t="n"/>
      <c r="D359" s="2" t="n"/>
      <c r="E359" s="2" t="n"/>
      <c r="F359" s="2" t="n"/>
      <c r="G359" s="2" t="n"/>
      <c r="H359" s="2" t="n"/>
      <c r="I359" s="2" t="n"/>
      <c r="J359" s="2" t="n"/>
      <c r="K359" s="2" t="n"/>
      <c r="L359" s="2" t="n"/>
      <c r="M359" s="2" t="n"/>
      <c r="N359" s="2" t="n"/>
      <c r="O359" s="2" t="n"/>
      <c r="P359" s="2" t="n"/>
      <c r="Q359" s="2">
        <f>IF(G359="","",TODAY()-G359)</f>
        <v/>
      </c>
    </row>
    <row r="360">
      <c r="A360" s="2" t="n"/>
      <c r="B360" s="2" t="n"/>
      <c r="C360" s="2" t="n"/>
      <c r="D360" s="2" t="n"/>
      <c r="E360" s="2" t="n"/>
      <c r="F360" s="2" t="n"/>
      <c r="G360" s="2" t="n"/>
      <c r="H360" s="2" t="n"/>
      <c r="I360" s="2" t="n"/>
      <c r="J360" s="2" t="n"/>
      <c r="K360" s="2" t="n"/>
      <c r="L360" s="2" t="n"/>
      <c r="M360" s="2" t="n"/>
      <c r="N360" s="2" t="n"/>
      <c r="O360" s="2" t="n"/>
      <c r="P360" s="2" t="n"/>
      <c r="Q360" s="2">
        <f>IF(G360="","",TODAY()-G360)</f>
        <v/>
      </c>
    </row>
    <row r="361">
      <c r="A361" s="2" t="n"/>
      <c r="B361" s="2" t="n"/>
      <c r="C361" s="2" t="n"/>
      <c r="D361" s="2" t="n"/>
      <c r="E361" s="2" t="n"/>
      <c r="F361" s="2" t="n"/>
      <c r="G361" s="2" t="n"/>
      <c r="H361" s="2" t="n"/>
      <c r="I361" s="2" t="n"/>
      <c r="J361" s="2" t="n"/>
      <c r="K361" s="2" t="n"/>
      <c r="L361" s="2" t="n"/>
      <c r="M361" s="2" t="n"/>
      <c r="N361" s="2" t="n"/>
      <c r="O361" s="2" t="n"/>
      <c r="P361" s="2" t="n"/>
      <c r="Q361" s="2">
        <f>IF(G361="","",TODAY()-G361)</f>
        <v/>
      </c>
    </row>
    <row r="362">
      <c r="A362" s="2" t="n"/>
      <c r="B362" s="2" t="n"/>
      <c r="C362" s="2" t="n"/>
      <c r="D362" s="2" t="n"/>
      <c r="E362" s="2" t="n"/>
      <c r="F362" s="2" t="n"/>
      <c r="G362" s="2" t="n"/>
      <c r="H362" s="2" t="n"/>
      <c r="I362" s="2" t="n"/>
      <c r="J362" s="2" t="n"/>
      <c r="K362" s="2" t="n"/>
      <c r="L362" s="2" t="n"/>
      <c r="M362" s="2" t="n"/>
      <c r="N362" s="2" t="n"/>
      <c r="O362" s="2" t="n"/>
      <c r="P362" s="2" t="n"/>
      <c r="Q362" s="2">
        <f>IF(G362="","",TODAY()-G362)</f>
        <v/>
      </c>
    </row>
    <row r="363">
      <c r="A363" s="2" t="n"/>
      <c r="B363" s="2" t="n"/>
      <c r="C363" s="2" t="n"/>
      <c r="D363" s="2" t="n"/>
      <c r="E363" s="2" t="n"/>
      <c r="F363" s="2" t="n"/>
      <c r="G363" s="2" t="n"/>
      <c r="H363" s="2" t="n"/>
      <c r="I363" s="2" t="n"/>
      <c r="J363" s="2" t="n"/>
      <c r="K363" s="2" t="n"/>
      <c r="L363" s="2" t="n"/>
      <c r="M363" s="2" t="n"/>
      <c r="N363" s="2" t="n"/>
      <c r="O363" s="2" t="n"/>
      <c r="P363" s="2" t="n"/>
      <c r="Q363" s="2">
        <f>IF(G363="","",TODAY()-G363)</f>
        <v/>
      </c>
    </row>
    <row r="364">
      <c r="A364" s="2" t="n"/>
      <c r="B364" s="2" t="n"/>
      <c r="C364" s="2" t="n"/>
      <c r="D364" s="2" t="n"/>
      <c r="E364" s="2" t="n"/>
      <c r="F364" s="2" t="n"/>
      <c r="G364" s="2" t="n"/>
      <c r="H364" s="2" t="n"/>
      <c r="I364" s="2" t="n"/>
      <c r="J364" s="2" t="n"/>
      <c r="K364" s="2" t="n"/>
      <c r="L364" s="2" t="n"/>
      <c r="M364" s="2" t="n"/>
      <c r="N364" s="2" t="n"/>
      <c r="O364" s="2" t="n"/>
      <c r="P364" s="2" t="n"/>
      <c r="Q364" s="2">
        <f>IF(G364="","",TODAY()-G364)</f>
        <v/>
      </c>
    </row>
    <row r="365">
      <c r="A365" s="2" t="n"/>
      <c r="B365" s="2" t="n"/>
      <c r="C365" s="2" t="n"/>
      <c r="D365" s="2" t="n"/>
      <c r="E365" s="2" t="n"/>
      <c r="F365" s="2" t="n"/>
      <c r="G365" s="2" t="n"/>
      <c r="H365" s="2" t="n"/>
      <c r="I365" s="2" t="n"/>
      <c r="J365" s="2" t="n"/>
      <c r="K365" s="2" t="n"/>
      <c r="L365" s="2" t="n"/>
      <c r="M365" s="2" t="n"/>
      <c r="N365" s="2" t="n"/>
      <c r="O365" s="2" t="n"/>
      <c r="P365" s="2" t="n"/>
      <c r="Q365" s="2">
        <f>IF(G365="","",TODAY()-G365)</f>
        <v/>
      </c>
    </row>
    <row r="366">
      <c r="A366" s="2" t="n"/>
      <c r="B366" s="2" t="n"/>
      <c r="C366" s="2" t="n"/>
      <c r="D366" s="2" t="n"/>
      <c r="E366" s="2" t="n"/>
      <c r="F366" s="2" t="n"/>
      <c r="G366" s="2" t="n"/>
      <c r="H366" s="2" t="n"/>
      <c r="I366" s="2" t="n"/>
      <c r="J366" s="2" t="n"/>
      <c r="K366" s="2" t="n"/>
      <c r="L366" s="2" t="n"/>
      <c r="M366" s="2" t="n"/>
      <c r="N366" s="2" t="n"/>
      <c r="O366" s="2" t="n"/>
      <c r="P366" s="2" t="n"/>
      <c r="Q366" s="2">
        <f>IF(G366="","",TODAY()-G366)</f>
        <v/>
      </c>
    </row>
    <row r="367">
      <c r="A367" s="2" t="n"/>
      <c r="B367" s="2" t="n"/>
      <c r="C367" s="2" t="n"/>
      <c r="D367" s="2" t="n"/>
      <c r="E367" s="2" t="n"/>
      <c r="F367" s="2" t="n"/>
      <c r="G367" s="2" t="n"/>
      <c r="H367" s="2" t="n"/>
      <c r="I367" s="2" t="n"/>
      <c r="J367" s="2" t="n"/>
      <c r="K367" s="2" t="n"/>
      <c r="L367" s="2" t="n"/>
      <c r="M367" s="2" t="n"/>
      <c r="N367" s="2" t="n"/>
      <c r="O367" s="2" t="n"/>
      <c r="P367" s="2" t="n"/>
      <c r="Q367" s="2">
        <f>IF(G367="","",TODAY()-G367)</f>
        <v/>
      </c>
    </row>
    <row r="368">
      <c r="A368" s="2" t="n"/>
      <c r="B368" s="2" t="n"/>
      <c r="C368" s="2" t="n"/>
      <c r="D368" s="2" t="n"/>
      <c r="E368" s="2" t="n"/>
      <c r="F368" s="2" t="n"/>
      <c r="G368" s="2" t="n"/>
      <c r="H368" s="2" t="n"/>
      <c r="I368" s="2" t="n"/>
      <c r="J368" s="2" t="n"/>
      <c r="K368" s="2" t="n"/>
      <c r="L368" s="2" t="n"/>
      <c r="M368" s="2" t="n"/>
      <c r="N368" s="2" t="n"/>
      <c r="O368" s="2" t="n"/>
      <c r="P368" s="2" t="n"/>
      <c r="Q368" s="2">
        <f>IF(G368="","",TODAY()-G368)</f>
        <v/>
      </c>
    </row>
    <row r="369">
      <c r="A369" s="2" t="n"/>
      <c r="B369" s="2" t="n"/>
      <c r="C369" s="2" t="n"/>
      <c r="D369" s="2" t="n"/>
      <c r="E369" s="2" t="n"/>
      <c r="F369" s="2" t="n"/>
      <c r="G369" s="2" t="n"/>
      <c r="H369" s="2" t="n"/>
      <c r="I369" s="2" t="n"/>
      <c r="J369" s="2" t="n"/>
      <c r="K369" s="2" t="n"/>
      <c r="L369" s="2" t="n"/>
      <c r="M369" s="2" t="n"/>
      <c r="N369" s="2" t="n"/>
      <c r="O369" s="2" t="n"/>
      <c r="P369" s="2" t="n"/>
      <c r="Q369" s="2">
        <f>IF(G369="","",TODAY()-G369)</f>
        <v/>
      </c>
    </row>
    <row r="370">
      <c r="A370" s="2" t="n"/>
      <c r="B370" s="2" t="n"/>
      <c r="C370" s="2" t="n"/>
      <c r="D370" s="2" t="n"/>
      <c r="E370" s="2" t="n"/>
      <c r="F370" s="2" t="n"/>
      <c r="G370" s="2" t="n"/>
      <c r="H370" s="2" t="n"/>
      <c r="I370" s="2" t="n"/>
      <c r="J370" s="2" t="n"/>
      <c r="K370" s="2" t="n"/>
      <c r="L370" s="2" t="n"/>
      <c r="M370" s="2" t="n"/>
      <c r="N370" s="2" t="n"/>
      <c r="O370" s="2" t="n"/>
      <c r="P370" s="2" t="n"/>
      <c r="Q370" s="2">
        <f>IF(G370="","",TODAY()-G370)</f>
        <v/>
      </c>
    </row>
    <row r="371">
      <c r="A371" s="2" t="n"/>
      <c r="B371" s="2" t="n"/>
      <c r="C371" s="2" t="n"/>
      <c r="D371" s="2" t="n"/>
      <c r="E371" s="2" t="n"/>
      <c r="F371" s="2" t="n"/>
      <c r="G371" s="2" t="n"/>
      <c r="H371" s="2" t="n"/>
      <c r="I371" s="2" t="n"/>
      <c r="J371" s="2" t="n"/>
      <c r="K371" s="2" t="n"/>
      <c r="L371" s="2" t="n"/>
      <c r="M371" s="2" t="n"/>
      <c r="N371" s="2" t="n"/>
      <c r="O371" s="2" t="n"/>
      <c r="P371" s="2" t="n"/>
      <c r="Q371" s="2">
        <f>IF(G371="","",TODAY()-G371)</f>
        <v/>
      </c>
    </row>
    <row r="372">
      <c r="A372" s="2" t="n"/>
      <c r="B372" s="2" t="n"/>
      <c r="C372" s="2" t="n"/>
      <c r="D372" s="2" t="n"/>
      <c r="E372" s="2" t="n"/>
      <c r="F372" s="2" t="n"/>
      <c r="G372" s="2" t="n"/>
      <c r="H372" s="2" t="n"/>
      <c r="I372" s="2" t="n"/>
      <c r="J372" s="2" t="n"/>
      <c r="K372" s="2" t="n"/>
      <c r="L372" s="2" t="n"/>
      <c r="M372" s="2" t="n"/>
      <c r="N372" s="2" t="n"/>
      <c r="O372" s="2" t="n"/>
      <c r="P372" s="2" t="n"/>
      <c r="Q372" s="2">
        <f>IF(G372="","",TODAY()-G372)</f>
        <v/>
      </c>
    </row>
    <row r="373">
      <c r="A373" s="2" t="n"/>
      <c r="B373" s="2" t="n"/>
      <c r="C373" s="2" t="n"/>
      <c r="D373" s="2" t="n"/>
      <c r="E373" s="2" t="n"/>
      <c r="F373" s="2" t="n"/>
      <c r="G373" s="2" t="n"/>
      <c r="H373" s="2" t="n"/>
      <c r="I373" s="2" t="n"/>
      <c r="J373" s="2" t="n"/>
      <c r="K373" s="2" t="n"/>
      <c r="L373" s="2" t="n"/>
      <c r="M373" s="2" t="n"/>
      <c r="N373" s="2" t="n"/>
      <c r="O373" s="2" t="n"/>
      <c r="P373" s="2" t="n"/>
      <c r="Q373" s="2">
        <f>IF(G373="","",TODAY()-G373)</f>
        <v/>
      </c>
    </row>
    <row r="374">
      <c r="A374" s="2" t="n"/>
      <c r="B374" s="2" t="n"/>
      <c r="C374" s="2" t="n"/>
      <c r="D374" s="2" t="n"/>
      <c r="E374" s="2" t="n"/>
      <c r="F374" s="2" t="n"/>
      <c r="G374" s="2" t="n"/>
      <c r="H374" s="2" t="n"/>
      <c r="I374" s="2" t="n"/>
      <c r="J374" s="2" t="n"/>
      <c r="K374" s="2" t="n"/>
      <c r="L374" s="2" t="n"/>
      <c r="M374" s="2" t="n"/>
      <c r="N374" s="2" t="n"/>
      <c r="O374" s="2" t="n"/>
      <c r="P374" s="2" t="n"/>
      <c r="Q374" s="2">
        <f>IF(G374="","",TODAY()-G374)</f>
        <v/>
      </c>
    </row>
    <row r="375">
      <c r="A375" s="2" t="n"/>
      <c r="B375" s="2" t="n"/>
      <c r="C375" s="2" t="n"/>
      <c r="D375" s="2" t="n"/>
      <c r="E375" s="2" t="n"/>
      <c r="F375" s="2" t="n"/>
      <c r="G375" s="2" t="n"/>
      <c r="H375" s="2" t="n"/>
      <c r="I375" s="2" t="n"/>
      <c r="J375" s="2" t="n"/>
      <c r="K375" s="2" t="n"/>
      <c r="L375" s="2" t="n"/>
      <c r="M375" s="2" t="n"/>
      <c r="N375" s="2" t="n"/>
      <c r="O375" s="2" t="n"/>
      <c r="P375" s="2" t="n"/>
      <c r="Q375" s="2">
        <f>IF(G375="","",TODAY()-G375)</f>
        <v/>
      </c>
    </row>
    <row r="376">
      <c r="A376" s="2" t="n"/>
      <c r="B376" s="2" t="n"/>
      <c r="C376" s="2" t="n"/>
      <c r="D376" s="2" t="n"/>
      <c r="E376" s="2" t="n"/>
      <c r="F376" s="2" t="n"/>
      <c r="G376" s="2" t="n"/>
      <c r="H376" s="2" t="n"/>
      <c r="I376" s="2" t="n"/>
      <c r="J376" s="2" t="n"/>
      <c r="K376" s="2" t="n"/>
      <c r="L376" s="2" t="n"/>
      <c r="M376" s="2" t="n"/>
      <c r="N376" s="2" t="n"/>
      <c r="O376" s="2" t="n"/>
      <c r="P376" s="2" t="n"/>
      <c r="Q376" s="2">
        <f>IF(G376="","",TODAY()-G376)</f>
        <v/>
      </c>
    </row>
    <row r="377">
      <c r="A377" s="2" t="n"/>
      <c r="B377" s="2" t="n"/>
      <c r="C377" s="2" t="n"/>
      <c r="D377" s="2" t="n"/>
      <c r="E377" s="2" t="n"/>
      <c r="F377" s="2" t="n"/>
      <c r="G377" s="2" t="n"/>
      <c r="H377" s="2" t="n"/>
      <c r="I377" s="2" t="n"/>
      <c r="J377" s="2" t="n"/>
      <c r="K377" s="2" t="n"/>
      <c r="L377" s="2" t="n"/>
      <c r="M377" s="2" t="n"/>
      <c r="N377" s="2" t="n"/>
      <c r="O377" s="2" t="n"/>
      <c r="P377" s="2" t="n"/>
      <c r="Q377" s="2">
        <f>IF(G377="","",TODAY()-G377)</f>
        <v/>
      </c>
    </row>
    <row r="378">
      <c r="A378" s="2" t="n"/>
      <c r="B378" s="2" t="n"/>
      <c r="C378" s="2" t="n"/>
      <c r="D378" s="2" t="n"/>
      <c r="E378" s="2" t="n"/>
      <c r="F378" s="2" t="n"/>
      <c r="G378" s="2" t="n"/>
      <c r="H378" s="2" t="n"/>
      <c r="I378" s="2" t="n"/>
      <c r="J378" s="2" t="n"/>
      <c r="K378" s="2" t="n"/>
      <c r="L378" s="2" t="n"/>
      <c r="M378" s="2" t="n"/>
      <c r="N378" s="2" t="n"/>
      <c r="O378" s="2" t="n"/>
      <c r="P378" s="2" t="n"/>
      <c r="Q378" s="2">
        <f>IF(G378="","",TODAY()-G378)</f>
        <v/>
      </c>
    </row>
    <row r="379">
      <c r="A379" s="2" t="n"/>
      <c r="B379" s="2" t="n"/>
      <c r="C379" s="2" t="n"/>
      <c r="D379" s="2" t="n"/>
      <c r="E379" s="2" t="n"/>
      <c r="F379" s="2" t="n"/>
      <c r="G379" s="2" t="n"/>
      <c r="H379" s="2" t="n"/>
      <c r="I379" s="2" t="n"/>
      <c r="J379" s="2" t="n"/>
      <c r="K379" s="2" t="n"/>
      <c r="L379" s="2" t="n"/>
      <c r="M379" s="2" t="n"/>
      <c r="N379" s="2" t="n"/>
      <c r="O379" s="2" t="n"/>
      <c r="P379" s="2" t="n"/>
      <c r="Q379" s="2">
        <f>IF(G379="","",TODAY()-G379)</f>
        <v/>
      </c>
    </row>
    <row r="380">
      <c r="A380" s="2" t="n"/>
      <c r="B380" s="2" t="n"/>
      <c r="C380" s="2" t="n"/>
      <c r="D380" s="2" t="n"/>
      <c r="E380" s="2" t="n"/>
      <c r="F380" s="2" t="n"/>
      <c r="G380" s="2" t="n"/>
      <c r="H380" s="2" t="n"/>
      <c r="I380" s="2" t="n"/>
      <c r="J380" s="2" t="n"/>
      <c r="K380" s="2" t="n"/>
      <c r="L380" s="2" t="n"/>
      <c r="M380" s="2" t="n"/>
      <c r="N380" s="2" t="n"/>
      <c r="O380" s="2" t="n"/>
      <c r="P380" s="2" t="n"/>
      <c r="Q380" s="2">
        <f>IF(G380="","",TODAY()-G380)</f>
        <v/>
      </c>
    </row>
    <row r="381">
      <c r="A381" s="2" t="n"/>
      <c r="B381" s="2" t="n"/>
      <c r="C381" s="2" t="n"/>
      <c r="D381" s="2" t="n"/>
      <c r="E381" s="2" t="n"/>
      <c r="F381" s="2" t="n"/>
      <c r="G381" s="2" t="n"/>
      <c r="H381" s="2" t="n"/>
      <c r="I381" s="2" t="n"/>
      <c r="J381" s="2" t="n"/>
      <c r="K381" s="2" t="n"/>
      <c r="L381" s="2" t="n"/>
      <c r="M381" s="2" t="n"/>
      <c r="N381" s="2" t="n"/>
      <c r="O381" s="2" t="n"/>
      <c r="P381" s="2" t="n"/>
      <c r="Q381" s="2">
        <f>IF(G381="","",TODAY()-G381)</f>
        <v/>
      </c>
    </row>
    <row r="382">
      <c r="A382" s="2" t="n"/>
      <c r="B382" s="2" t="n"/>
      <c r="C382" s="2" t="n"/>
      <c r="D382" s="2" t="n"/>
      <c r="E382" s="2" t="n"/>
      <c r="F382" s="2" t="n"/>
      <c r="G382" s="2" t="n"/>
      <c r="H382" s="2" t="n"/>
      <c r="I382" s="2" t="n"/>
      <c r="J382" s="2" t="n"/>
      <c r="K382" s="2" t="n"/>
      <c r="L382" s="2" t="n"/>
      <c r="M382" s="2" t="n"/>
      <c r="N382" s="2" t="n"/>
      <c r="O382" s="2" t="n"/>
      <c r="P382" s="2" t="n"/>
      <c r="Q382" s="2">
        <f>IF(G382="","",TODAY()-G382)</f>
        <v/>
      </c>
    </row>
    <row r="383">
      <c r="A383" s="2" t="n"/>
      <c r="B383" s="2" t="n"/>
      <c r="C383" s="2" t="n"/>
      <c r="D383" s="2" t="n"/>
      <c r="E383" s="2" t="n"/>
      <c r="F383" s="2" t="n"/>
      <c r="G383" s="2" t="n"/>
      <c r="H383" s="2" t="n"/>
      <c r="I383" s="2" t="n"/>
      <c r="J383" s="2" t="n"/>
      <c r="K383" s="2" t="n"/>
      <c r="L383" s="2" t="n"/>
      <c r="M383" s="2" t="n"/>
      <c r="N383" s="2" t="n"/>
      <c r="O383" s="2" t="n"/>
      <c r="P383" s="2" t="n"/>
      <c r="Q383" s="2">
        <f>IF(G383="","",TODAY()-G383)</f>
        <v/>
      </c>
    </row>
    <row r="384">
      <c r="A384" s="2" t="n"/>
      <c r="B384" s="2" t="n"/>
      <c r="C384" s="2" t="n"/>
      <c r="D384" s="2" t="n"/>
      <c r="E384" s="2" t="n"/>
      <c r="F384" s="2" t="n"/>
      <c r="G384" s="2" t="n"/>
      <c r="H384" s="2" t="n"/>
      <c r="I384" s="2" t="n"/>
      <c r="J384" s="2" t="n"/>
      <c r="K384" s="2" t="n"/>
      <c r="L384" s="2" t="n"/>
      <c r="M384" s="2" t="n"/>
      <c r="N384" s="2" t="n"/>
      <c r="O384" s="2" t="n"/>
      <c r="P384" s="2" t="n"/>
      <c r="Q384" s="2">
        <f>IF(G384="","",TODAY()-G384)</f>
        <v/>
      </c>
    </row>
    <row r="385">
      <c r="A385" s="2" t="n"/>
      <c r="B385" s="2" t="n"/>
      <c r="C385" s="2" t="n"/>
      <c r="D385" s="2" t="n"/>
      <c r="E385" s="2" t="n"/>
      <c r="F385" s="2" t="n"/>
      <c r="G385" s="2" t="n"/>
      <c r="H385" s="2" t="n"/>
      <c r="I385" s="2" t="n"/>
      <c r="J385" s="2" t="n"/>
      <c r="K385" s="2" t="n"/>
      <c r="L385" s="2" t="n"/>
      <c r="M385" s="2" t="n"/>
      <c r="N385" s="2" t="n"/>
      <c r="O385" s="2" t="n"/>
      <c r="P385" s="2" t="n"/>
      <c r="Q385" s="2">
        <f>IF(G385="","",TODAY()-G385)</f>
        <v/>
      </c>
    </row>
    <row r="386">
      <c r="A386" s="2" t="n"/>
      <c r="B386" s="2" t="n"/>
      <c r="C386" s="2" t="n"/>
      <c r="D386" s="2" t="n"/>
      <c r="E386" s="2" t="n"/>
      <c r="F386" s="2" t="n"/>
      <c r="G386" s="2" t="n"/>
      <c r="H386" s="2" t="n"/>
      <c r="I386" s="2" t="n"/>
      <c r="J386" s="2" t="n"/>
      <c r="K386" s="2" t="n"/>
      <c r="L386" s="2" t="n"/>
      <c r="M386" s="2" t="n"/>
      <c r="N386" s="2" t="n"/>
      <c r="O386" s="2" t="n"/>
      <c r="P386" s="2" t="n"/>
      <c r="Q386" s="2">
        <f>IF(G386="","",TODAY()-G386)</f>
        <v/>
      </c>
    </row>
    <row r="387">
      <c r="A387" s="2" t="n"/>
      <c r="B387" s="2" t="n"/>
      <c r="C387" s="2" t="n"/>
      <c r="D387" s="2" t="n"/>
      <c r="E387" s="2" t="n"/>
      <c r="F387" s="2" t="n"/>
      <c r="G387" s="2" t="n"/>
      <c r="H387" s="2" t="n"/>
      <c r="I387" s="2" t="n"/>
      <c r="J387" s="2" t="n"/>
      <c r="K387" s="2" t="n"/>
      <c r="L387" s="2" t="n"/>
      <c r="M387" s="2" t="n"/>
      <c r="N387" s="2" t="n"/>
      <c r="O387" s="2" t="n"/>
      <c r="P387" s="2" t="n"/>
      <c r="Q387" s="2">
        <f>IF(G387="","",TODAY()-G387)</f>
        <v/>
      </c>
    </row>
    <row r="388">
      <c r="A388" s="2" t="n"/>
      <c r="B388" s="2" t="n"/>
      <c r="C388" s="2" t="n"/>
      <c r="D388" s="2" t="n"/>
      <c r="E388" s="2" t="n"/>
      <c r="F388" s="2" t="n"/>
      <c r="G388" s="2" t="n"/>
      <c r="H388" s="2" t="n"/>
      <c r="I388" s="2" t="n"/>
      <c r="J388" s="2" t="n"/>
      <c r="K388" s="2" t="n"/>
      <c r="L388" s="2" t="n"/>
      <c r="M388" s="2" t="n"/>
      <c r="N388" s="2" t="n"/>
      <c r="O388" s="2" t="n"/>
      <c r="P388" s="2" t="n"/>
      <c r="Q388" s="2">
        <f>IF(G388="","",TODAY()-G388)</f>
        <v/>
      </c>
    </row>
    <row r="389">
      <c r="A389" s="2" t="n"/>
      <c r="B389" s="2" t="n"/>
      <c r="C389" s="2" t="n"/>
      <c r="D389" s="2" t="n"/>
      <c r="E389" s="2" t="n"/>
      <c r="F389" s="2" t="n"/>
      <c r="G389" s="2" t="n"/>
      <c r="H389" s="2" t="n"/>
      <c r="I389" s="2" t="n"/>
      <c r="J389" s="2" t="n"/>
      <c r="K389" s="2" t="n"/>
      <c r="L389" s="2" t="n"/>
      <c r="M389" s="2" t="n"/>
      <c r="N389" s="2" t="n"/>
      <c r="O389" s="2" t="n"/>
      <c r="P389" s="2" t="n"/>
      <c r="Q389" s="2">
        <f>IF(G389="","",TODAY()-G389)</f>
        <v/>
      </c>
    </row>
    <row r="390">
      <c r="A390" s="2" t="n"/>
      <c r="B390" s="2" t="n"/>
      <c r="C390" s="2" t="n"/>
      <c r="D390" s="2" t="n"/>
      <c r="E390" s="2" t="n"/>
      <c r="F390" s="2" t="n"/>
      <c r="G390" s="2" t="n"/>
      <c r="H390" s="2" t="n"/>
      <c r="I390" s="2" t="n"/>
      <c r="J390" s="2" t="n"/>
      <c r="K390" s="2" t="n"/>
      <c r="L390" s="2" t="n"/>
      <c r="M390" s="2" t="n"/>
      <c r="N390" s="2" t="n"/>
      <c r="O390" s="2" t="n"/>
      <c r="P390" s="2" t="n"/>
      <c r="Q390" s="2">
        <f>IF(G390="","",TODAY()-G390)</f>
        <v/>
      </c>
    </row>
    <row r="391">
      <c r="A391" s="2" t="n"/>
      <c r="B391" s="2" t="n"/>
      <c r="C391" s="2" t="n"/>
      <c r="D391" s="2" t="n"/>
      <c r="E391" s="2" t="n"/>
      <c r="F391" s="2" t="n"/>
      <c r="G391" s="2" t="n"/>
      <c r="H391" s="2" t="n"/>
      <c r="I391" s="2" t="n"/>
      <c r="J391" s="2" t="n"/>
      <c r="K391" s="2" t="n"/>
      <c r="L391" s="2" t="n"/>
      <c r="M391" s="2" t="n"/>
      <c r="N391" s="2" t="n"/>
      <c r="O391" s="2" t="n"/>
      <c r="P391" s="2" t="n"/>
      <c r="Q391" s="2">
        <f>IF(G391="","",TODAY()-G391)</f>
        <v/>
      </c>
    </row>
    <row r="392">
      <c r="A392" s="2" t="n"/>
      <c r="B392" s="2" t="n"/>
      <c r="C392" s="2" t="n"/>
      <c r="D392" s="2" t="n"/>
      <c r="E392" s="2" t="n"/>
      <c r="F392" s="2" t="n"/>
      <c r="G392" s="2" t="n"/>
      <c r="H392" s="2" t="n"/>
      <c r="I392" s="2" t="n"/>
      <c r="J392" s="2" t="n"/>
      <c r="K392" s="2" t="n"/>
      <c r="L392" s="2" t="n"/>
      <c r="M392" s="2" t="n"/>
      <c r="N392" s="2" t="n"/>
      <c r="O392" s="2" t="n"/>
      <c r="P392" s="2" t="n"/>
      <c r="Q392" s="2">
        <f>IF(G392="","",TODAY()-G392)</f>
        <v/>
      </c>
    </row>
    <row r="393">
      <c r="A393" s="2" t="n"/>
      <c r="B393" s="2" t="n"/>
      <c r="C393" s="2" t="n"/>
      <c r="D393" s="2" t="n"/>
      <c r="E393" s="2" t="n"/>
      <c r="F393" s="2" t="n"/>
      <c r="G393" s="2" t="n"/>
      <c r="H393" s="2" t="n"/>
      <c r="I393" s="2" t="n"/>
      <c r="J393" s="2" t="n"/>
      <c r="K393" s="2" t="n"/>
      <c r="L393" s="2" t="n"/>
      <c r="M393" s="2" t="n"/>
      <c r="N393" s="2" t="n"/>
      <c r="O393" s="2" t="n"/>
      <c r="P393" s="2" t="n"/>
      <c r="Q393" s="2">
        <f>IF(G393="","",TODAY()-G393)</f>
        <v/>
      </c>
    </row>
    <row r="394">
      <c r="A394" s="2" t="n"/>
      <c r="B394" s="2" t="n"/>
      <c r="C394" s="2" t="n"/>
      <c r="D394" s="2" t="n"/>
      <c r="E394" s="2" t="n"/>
      <c r="F394" s="2" t="n"/>
      <c r="G394" s="2" t="n"/>
      <c r="H394" s="2" t="n"/>
      <c r="I394" s="2" t="n"/>
      <c r="J394" s="2" t="n"/>
      <c r="K394" s="2" t="n"/>
      <c r="L394" s="2" t="n"/>
      <c r="M394" s="2" t="n"/>
      <c r="N394" s="2" t="n"/>
      <c r="O394" s="2" t="n"/>
      <c r="P394" s="2" t="n"/>
      <c r="Q394" s="2">
        <f>IF(G394="","",TODAY()-G394)</f>
        <v/>
      </c>
    </row>
    <row r="395">
      <c r="A395" s="2" t="n"/>
      <c r="B395" s="2" t="n"/>
      <c r="C395" s="2" t="n"/>
      <c r="D395" s="2" t="n"/>
      <c r="E395" s="2" t="n"/>
      <c r="F395" s="2" t="n"/>
      <c r="G395" s="2" t="n"/>
      <c r="H395" s="2" t="n"/>
      <c r="I395" s="2" t="n"/>
      <c r="J395" s="2" t="n"/>
      <c r="K395" s="2" t="n"/>
      <c r="L395" s="2" t="n"/>
      <c r="M395" s="2" t="n"/>
      <c r="N395" s="2" t="n"/>
      <c r="O395" s="2" t="n"/>
      <c r="P395" s="2" t="n"/>
      <c r="Q395" s="2">
        <f>IF(G395="","",TODAY()-G395)</f>
        <v/>
      </c>
    </row>
    <row r="396">
      <c r="A396" s="2" t="n"/>
      <c r="B396" s="2" t="n"/>
      <c r="C396" s="2" t="n"/>
      <c r="D396" s="2" t="n"/>
      <c r="E396" s="2" t="n"/>
      <c r="F396" s="2" t="n"/>
      <c r="G396" s="2" t="n"/>
      <c r="H396" s="2" t="n"/>
      <c r="I396" s="2" t="n"/>
      <c r="J396" s="2" t="n"/>
      <c r="K396" s="2" t="n"/>
      <c r="L396" s="2" t="n"/>
      <c r="M396" s="2" t="n"/>
      <c r="N396" s="2" t="n"/>
      <c r="O396" s="2" t="n"/>
      <c r="P396" s="2" t="n"/>
      <c r="Q396" s="2">
        <f>IF(G396="","",TODAY()-G396)</f>
        <v/>
      </c>
    </row>
    <row r="397">
      <c r="A397" s="2" t="n"/>
      <c r="B397" s="2" t="n"/>
      <c r="C397" s="2" t="n"/>
      <c r="D397" s="2" t="n"/>
      <c r="E397" s="2" t="n"/>
      <c r="F397" s="2" t="n"/>
      <c r="G397" s="2" t="n"/>
      <c r="H397" s="2" t="n"/>
      <c r="I397" s="2" t="n"/>
      <c r="J397" s="2" t="n"/>
      <c r="K397" s="2" t="n"/>
      <c r="L397" s="2" t="n"/>
      <c r="M397" s="2" t="n"/>
      <c r="N397" s="2" t="n"/>
      <c r="O397" s="2" t="n"/>
      <c r="P397" s="2" t="n"/>
      <c r="Q397" s="2">
        <f>IF(G397="","",TODAY()-G397)</f>
        <v/>
      </c>
    </row>
    <row r="398">
      <c r="A398" s="2" t="n"/>
      <c r="B398" s="2" t="n"/>
      <c r="C398" s="2" t="n"/>
      <c r="D398" s="2" t="n"/>
      <c r="E398" s="2" t="n"/>
      <c r="F398" s="2" t="n"/>
      <c r="G398" s="2" t="n"/>
      <c r="H398" s="2" t="n"/>
      <c r="I398" s="2" t="n"/>
      <c r="J398" s="2" t="n"/>
      <c r="K398" s="2" t="n"/>
      <c r="L398" s="2" t="n"/>
      <c r="M398" s="2" t="n"/>
      <c r="N398" s="2" t="n"/>
      <c r="O398" s="2" t="n"/>
      <c r="P398" s="2" t="n"/>
      <c r="Q398" s="2">
        <f>IF(G398="","",TODAY()-G398)</f>
        <v/>
      </c>
    </row>
    <row r="399">
      <c r="A399" s="2" t="n"/>
      <c r="B399" s="2" t="n"/>
      <c r="C399" s="2" t="n"/>
      <c r="D399" s="2" t="n"/>
      <c r="E399" s="2" t="n"/>
      <c r="F399" s="2" t="n"/>
      <c r="G399" s="2" t="n"/>
      <c r="H399" s="2" t="n"/>
      <c r="I399" s="2" t="n"/>
      <c r="J399" s="2" t="n"/>
      <c r="K399" s="2" t="n"/>
      <c r="L399" s="2" t="n"/>
      <c r="M399" s="2" t="n"/>
      <c r="N399" s="2" t="n"/>
      <c r="O399" s="2" t="n"/>
      <c r="P399" s="2" t="n"/>
      <c r="Q399" s="2">
        <f>IF(G399="","",TODAY()-G399)</f>
        <v/>
      </c>
    </row>
    <row r="400">
      <c r="A400" s="2" t="n"/>
      <c r="B400" s="2" t="n"/>
      <c r="C400" s="2" t="n"/>
      <c r="D400" s="2" t="n"/>
      <c r="E400" s="2" t="n"/>
      <c r="F400" s="2" t="n"/>
      <c r="G400" s="2" t="n"/>
      <c r="H400" s="2" t="n"/>
      <c r="I400" s="2" t="n"/>
      <c r="J400" s="2" t="n"/>
      <c r="K400" s="2" t="n"/>
      <c r="L400" s="2" t="n"/>
      <c r="M400" s="2" t="n"/>
      <c r="N400" s="2" t="n"/>
      <c r="O400" s="2" t="n"/>
      <c r="P400" s="2" t="n"/>
      <c r="Q400" s="2">
        <f>IF(G400="","",TODAY()-G400)</f>
        <v/>
      </c>
    </row>
    <row r="401">
      <c r="A401" s="2" t="n"/>
      <c r="B401" s="2" t="n"/>
      <c r="C401" s="2" t="n"/>
      <c r="D401" s="2" t="n"/>
      <c r="E401" s="2" t="n"/>
      <c r="F401" s="2" t="n"/>
      <c r="G401" s="2" t="n"/>
      <c r="H401" s="2" t="n"/>
      <c r="I401" s="2" t="n"/>
      <c r="J401" s="2" t="n"/>
      <c r="K401" s="2" t="n"/>
      <c r="L401" s="2" t="n"/>
      <c r="M401" s="2" t="n"/>
      <c r="N401" s="2" t="n"/>
      <c r="O401" s="2" t="n"/>
      <c r="P401" s="2" t="n"/>
      <c r="Q401" s="2">
        <f>IF(G401="","",TODAY()-G401)</f>
        <v/>
      </c>
    </row>
    <row r="402">
      <c r="A402" s="2" t="n"/>
      <c r="B402" s="2" t="n"/>
      <c r="C402" s="2" t="n"/>
      <c r="D402" s="2" t="n"/>
      <c r="E402" s="2" t="n"/>
      <c r="F402" s="2" t="n"/>
      <c r="G402" s="2" t="n"/>
      <c r="H402" s="2" t="n"/>
      <c r="I402" s="2" t="n"/>
      <c r="J402" s="2" t="n"/>
      <c r="K402" s="2" t="n"/>
      <c r="L402" s="2" t="n"/>
      <c r="M402" s="2" t="n"/>
      <c r="N402" s="2" t="n"/>
      <c r="O402" s="2" t="n"/>
      <c r="P402" s="2" t="n"/>
      <c r="Q402" s="2">
        <f>IF(G402="","",TODAY()-G402)</f>
        <v/>
      </c>
    </row>
    <row r="403">
      <c r="A403" s="2" t="n"/>
      <c r="B403" s="2" t="n"/>
      <c r="C403" s="2" t="n"/>
      <c r="D403" s="2" t="n"/>
      <c r="E403" s="2" t="n"/>
      <c r="F403" s="2" t="n"/>
      <c r="G403" s="2" t="n"/>
      <c r="H403" s="2" t="n"/>
      <c r="I403" s="2" t="n"/>
      <c r="J403" s="2" t="n"/>
      <c r="K403" s="2" t="n"/>
      <c r="L403" s="2" t="n"/>
      <c r="M403" s="2" t="n"/>
      <c r="N403" s="2" t="n"/>
      <c r="O403" s="2" t="n"/>
      <c r="P403" s="2" t="n"/>
      <c r="Q403" s="2">
        <f>IF(G403="","",TODAY()-G403)</f>
        <v/>
      </c>
    </row>
    <row r="404">
      <c r="A404" s="2" t="n"/>
      <c r="B404" s="2" t="n"/>
      <c r="C404" s="2" t="n"/>
      <c r="D404" s="2" t="n"/>
      <c r="E404" s="2" t="n"/>
      <c r="F404" s="2" t="n"/>
      <c r="G404" s="2" t="n"/>
      <c r="H404" s="2" t="n"/>
      <c r="I404" s="2" t="n"/>
      <c r="J404" s="2" t="n"/>
      <c r="K404" s="2" t="n"/>
      <c r="L404" s="2" t="n"/>
      <c r="M404" s="2" t="n"/>
      <c r="N404" s="2" t="n"/>
      <c r="O404" s="2" t="n"/>
      <c r="P404" s="2" t="n"/>
      <c r="Q404" s="2">
        <f>IF(G404="","",TODAY()-G404)</f>
        <v/>
      </c>
    </row>
    <row r="405">
      <c r="A405" s="2" t="n"/>
      <c r="B405" s="2" t="n"/>
      <c r="C405" s="2" t="n"/>
      <c r="D405" s="2" t="n"/>
      <c r="E405" s="2" t="n"/>
      <c r="F405" s="2" t="n"/>
      <c r="G405" s="2" t="n"/>
      <c r="H405" s="2" t="n"/>
      <c r="I405" s="2" t="n"/>
      <c r="J405" s="2" t="n"/>
      <c r="K405" s="2" t="n"/>
      <c r="L405" s="2" t="n"/>
      <c r="M405" s="2" t="n"/>
      <c r="N405" s="2" t="n"/>
      <c r="O405" s="2" t="n"/>
      <c r="P405" s="2" t="n"/>
      <c r="Q405" s="2">
        <f>IF(G405="","",TODAY()-G405)</f>
        <v/>
      </c>
    </row>
    <row r="406">
      <c r="A406" s="2" t="n"/>
      <c r="B406" s="2" t="n"/>
      <c r="C406" s="2" t="n"/>
      <c r="D406" s="2" t="n"/>
      <c r="E406" s="2" t="n"/>
      <c r="F406" s="2" t="n"/>
      <c r="G406" s="2" t="n"/>
      <c r="H406" s="2" t="n"/>
      <c r="I406" s="2" t="n"/>
      <c r="J406" s="2" t="n"/>
      <c r="K406" s="2" t="n"/>
      <c r="L406" s="2" t="n"/>
      <c r="M406" s="2" t="n"/>
      <c r="N406" s="2" t="n"/>
      <c r="O406" s="2" t="n"/>
      <c r="P406" s="2" t="n"/>
      <c r="Q406" s="2">
        <f>IF(G406="","",TODAY()-G406)</f>
        <v/>
      </c>
    </row>
    <row r="407">
      <c r="A407" s="2" t="n"/>
      <c r="B407" s="2" t="n"/>
      <c r="C407" s="2" t="n"/>
      <c r="D407" s="2" t="n"/>
      <c r="E407" s="2" t="n"/>
      <c r="F407" s="2" t="n"/>
      <c r="G407" s="2" t="n"/>
      <c r="H407" s="2" t="n"/>
      <c r="I407" s="2" t="n"/>
      <c r="J407" s="2" t="n"/>
      <c r="K407" s="2" t="n"/>
      <c r="L407" s="2" t="n"/>
      <c r="M407" s="2" t="n"/>
      <c r="N407" s="2" t="n"/>
      <c r="O407" s="2" t="n"/>
      <c r="P407" s="2" t="n"/>
      <c r="Q407" s="2">
        <f>IF(G407="","",TODAY()-G407)</f>
        <v/>
      </c>
    </row>
    <row r="408">
      <c r="A408" s="2" t="n"/>
      <c r="B408" s="2" t="n"/>
      <c r="C408" s="2" t="n"/>
      <c r="D408" s="2" t="n"/>
      <c r="E408" s="2" t="n"/>
      <c r="F408" s="2" t="n"/>
      <c r="G408" s="2" t="n"/>
      <c r="H408" s="2" t="n"/>
      <c r="I408" s="2" t="n"/>
      <c r="J408" s="2" t="n"/>
      <c r="K408" s="2" t="n"/>
      <c r="L408" s="2" t="n"/>
      <c r="M408" s="2" t="n"/>
      <c r="N408" s="2" t="n"/>
      <c r="O408" s="2" t="n"/>
      <c r="P408" s="2" t="n"/>
      <c r="Q408" s="2">
        <f>IF(G408="","",TODAY()-G408)</f>
        <v/>
      </c>
    </row>
    <row r="409">
      <c r="A409" s="2" t="n"/>
      <c r="B409" s="2" t="n"/>
      <c r="C409" s="2" t="n"/>
      <c r="D409" s="2" t="n"/>
      <c r="E409" s="2" t="n"/>
      <c r="F409" s="2" t="n"/>
      <c r="G409" s="2" t="n"/>
      <c r="H409" s="2" t="n"/>
      <c r="I409" s="2" t="n"/>
      <c r="J409" s="2" t="n"/>
      <c r="K409" s="2" t="n"/>
      <c r="L409" s="2" t="n"/>
      <c r="M409" s="2" t="n"/>
      <c r="N409" s="2" t="n"/>
      <c r="O409" s="2" t="n"/>
      <c r="P409" s="2" t="n"/>
      <c r="Q409" s="2">
        <f>IF(G409="","",TODAY()-G409)</f>
        <v/>
      </c>
    </row>
    <row r="410">
      <c r="A410" s="2" t="n"/>
      <c r="B410" s="2" t="n"/>
      <c r="C410" s="2" t="n"/>
      <c r="D410" s="2" t="n"/>
      <c r="E410" s="2" t="n"/>
      <c r="F410" s="2" t="n"/>
      <c r="G410" s="2" t="n"/>
      <c r="H410" s="2" t="n"/>
      <c r="I410" s="2" t="n"/>
      <c r="J410" s="2" t="n"/>
      <c r="K410" s="2" t="n"/>
      <c r="L410" s="2" t="n"/>
      <c r="M410" s="2" t="n"/>
      <c r="N410" s="2" t="n"/>
      <c r="O410" s="2" t="n"/>
      <c r="P410" s="2" t="n"/>
      <c r="Q410" s="2">
        <f>IF(G410="","",TODAY()-G410)</f>
        <v/>
      </c>
    </row>
    <row r="411">
      <c r="A411" s="2" t="n"/>
      <c r="B411" s="2" t="n"/>
      <c r="C411" s="2" t="n"/>
      <c r="D411" s="2" t="n"/>
      <c r="E411" s="2" t="n"/>
      <c r="F411" s="2" t="n"/>
      <c r="G411" s="2" t="n"/>
      <c r="H411" s="2" t="n"/>
      <c r="I411" s="2" t="n"/>
      <c r="J411" s="2" t="n"/>
      <c r="K411" s="2" t="n"/>
      <c r="L411" s="2" t="n"/>
      <c r="M411" s="2" t="n"/>
      <c r="N411" s="2" t="n"/>
      <c r="O411" s="2" t="n"/>
      <c r="P411" s="2" t="n"/>
      <c r="Q411" s="2">
        <f>IF(G411="","",TODAY()-G411)</f>
        <v/>
      </c>
    </row>
    <row r="412">
      <c r="A412" s="2" t="n"/>
      <c r="B412" s="2" t="n"/>
      <c r="C412" s="2" t="n"/>
      <c r="D412" s="2" t="n"/>
      <c r="E412" s="2" t="n"/>
      <c r="F412" s="2" t="n"/>
      <c r="G412" s="2" t="n"/>
      <c r="H412" s="2" t="n"/>
      <c r="I412" s="2" t="n"/>
      <c r="J412" s="2" t="n"/>
      <c r="K412" s="2" t="n"/>
      <c r="L412" s="2" t="n"/>
      <c r="M412" s="2" t="n"/>
      <c r="N412" s="2" t="n"/>
      <c r="O412" s="2" t="n"/>
      <c r="P412" s="2" t="n"/>
      <c r="Q412" s="2">
        <f>IF(G412="","",TODAY()-G412)</f>
        <v/>
      </c>
    </row>
    <row r="413">
      <c r="A413" s="2" t="n"/>
      <c r="B413" s="2" t="n"/>
      <c r="C413" s="2" t="n"/>
      <c r="D413" s="2" t="n"/>
      <c r="E413" s="2" t="n"/>
      <c r="F413" s="2" t="n"/>
      <c r="G413" s="2" t="n"/>
      <c r="H413" s="2" t="n"/>
      <c r="I413" s="2" t="n"/>
      <c r="J413" s="2" t="n"/>
      <c r="K413" s="2" t="n"/>
      <c r="L413" s="2" t="n"/>
      <c r="M413" s="2" t="n"/>
      <c r="N413" s="2" t="n"/>
      <c r="O413" s="2" t="n"/>
      <c r="P413" s="2" t="n"/>
      <c r="Q413" s="2">
        <f>IF(G413="","",TODAY()-G413)</f>
        <v/>
      </c>
    </row>
    <row r="414">
      <c r="A414" s="2" t="n"/>
      <c r="B414" s="2" t="n"/>
      <c r="C414" s="2" t="n"/>
      <c r="D414" s="2" t="n"/>
      <c r="E414" s="2" t="n"/>
      <c r="F414" s="2" t="n"/>
      <c r="G414" s="2" t="n"/>
      <c r="H414" s="2" t="n"/>
      <c r="I414" s="2" t="n"/>
      <c r="J414" s="2" t="n"/>
      <c r="K414" s="2" t="n"/>
      <c r="L414" s="2" t="n"/>
      <c r="M414" s="2" t="n"/>
      <c r="N414" s="2" t="n"/>
      <c r="O414" s="2" t="n"/>
      <c r="P414" s="2" t="n"/>
      <c r="Q414" s="2">
        <f>IF(G414="","",TODAY()-G414)</f>
        <v/>
      </c>
    </row>
    <row r="415">
      <c r="A415" s="2" t="n"/>
      <c r="B415" s="2" t="n"/>
      <c r="C415" s="2" t="n"/>
      <c r="D415" s="2" t="n"/>
      <c r="E415" s="2" t="n"/>
      <c r="F415" s="2" t="n"/>
      <c r="G415" s="2" t="n"/>
      <c r="H415" s="2" t="n"/>
      <c r="I415" s="2" t="n"/>
      <c r="J415" s="2" t="n"/>
      <c r="K415" s="2" t="n"/>
      <c r="L415" s="2" t="n"/>
      <c r="M415" s="2" t="n"/>
      <c r="N415" s="2" t="n"/>
      <c r="O415" s="2" t="n"/>
      <c r="P415" s="2" t="n"/>
      <c r="Q415" s="2">
        <f>IF(G415="","",TODAY()-G415)</f>
        <v/>
      </c>
    </row>
    <row r="416">
      <c r="A416" s="2" t="n"/>
      <c r="B416" s="2" t="n"/>
      <c r="C416" s="2" t="n"/>
      <c r="D416" s="2" t="n"/>
      <c r="E416" s="2" t="n"/>
      <c r="F416" s="2" t="n"/>
      <c r="G416" s="2" t="n"/>
      <c r="H416" s="2" t="n"/>
      <c r="I416" s="2" t="n"/>
      <c r="J416" s="2" t="n"/>
      <c r="K416" s="2" t="n"/>
      <c r="L416" s="2" t="n"/>
      <c r="M416" s="2" t="n"/>
      <c r="N416" s="2" t="n"/>
      <c r="O416" s="2" t="n"/>
      <c r="P416" s="2" t="n"/>
      <c r="Q416" s="2">
        <f>IF(G416="","",TODAY()-G416)</f>
        <v/>
      </c>
    </row>
    <row r="417">
      <c r="A417" s="2" t="n"/>
      <c r="B417" s="2" t="n"/>
      <c r="C417" s="2" t="n"/>
      <c r="D417" s="2" t="n"/>
      <c r="E417" s="2" t="n"/>
      <c r="F417" s="2" t="n"/>
      <c r="G417" s="2" t="n"/>
      <c r="H417" s="2" t="n"/>
      <c r="I417" s="2" t="n"/>
      <c r="J417" s="2" t="n"/>
      <c r="K417" s="2" t="n"/>
      <c r="L417" s="2" t="n"/>
      <c r="M417" s="2" t="n"/>
      <c r="N417" s="2" t="n"/>
      <c r="O417" s="2" t="n"/>
      <c r="P417" s="2" t="n"/>
      <c r="Q417" s="2">
        <f>IF(G417="","",TODAY()-G417)</f>
        <v/>
      </c>
    </row>
    <row r="418">
      <c r="A418" s="2" t="n"/>
      <c r="B418" s="2" t="n"/>
      <c r="C418" s="2" t="n"/>
      <c r="D418" s="2" t="n"/>
      <c r="E418" s="2" t="n"/>
      <c r="F418" s="2" t="n"/>
      <c r="G418" s="2" t="n"/>
      <c r="H418" s="2" t="n"/>
      <c r="I418" s="2" t="n"/>
      <c r="J418" s="2" t="n"/>
      <c r="K418" s="2" t="n"/>
      <c r="L418" s="2" t="n"/>
      <c r="M418" s="2" t="n"/>
      <c r="N418" s="2" t="n"/>
      <c r="O418" s="2" t="n"/>
      <c r="P418" s="2" t="n"/>
      <c r="Q418" s="2">
        <f>IF(G418="","",TODAY()-G418)</f>
        <v/>
      </c>
    </row>
    <row r="419">
      <c r="A419" s="2" t="n"/>
      <c r="B419" s="2" t="n"/>
      <c r="C419" s="2" t="n"/>
      <c r="D419" s="2" t="n"/>
      <c r="E419" s="2" t="n"/>
      <c r="F419" s="2" t="n"/>
      <c r="G419" s="2" t="n"/>
      <c r="H419" s="2" t="n"/>
      <c r="I419" s="2" t="n"/>
      <c r="J419" s="2" t="n"/>
      <c r="K419" s="2" t="n"/>
      <c r="L419" s="2" t="n"/>
      <c r="M419" s="2" t="n"/>
      <c r="N419" s="2" t="n"/>
      <c r="O419" s="2" t="n"/>
      <c r="P419" s="2" t="n"/>
      <c r="Q419" s="2">
        <f>IF(G419="","",TODAY()-G419)</f>
        <v/>
      </c>
    </row>
    <row r="420">
      <c r="A420" s="2" t="n"/>
      <c r="B420" s="2" t="n"/>
      <c r="C420" s="2" t="n"/>
      <c r="D420" s="2" t="n"/>
      <c r="E420" s="2" t="n"/>
      <c r="F420" s="2" t="n"/>
      <c r="G420" s="2" t="n"/>
      <c r="H420" s="2" t="n"/>
      <c r="I420" s="2" t="n"/>
      <c r="J420" s="2" t="n"/>
      <c r="K420" s="2" t="n"/>
      <c r="L420" s="2" t="n"/>
      <c r="M420" s="2" t="n"/>
      <c r="N420" s="2" t="n"/>
      <c r="O420" s="2" t="n"/>
      <c r="P420" s="2" t="n"/>
      <c r="Q420" s="2">
        <f>IF(G420="","",TODAY()-G420)</f>
        <v/>
      </c>
    </row>
    <row r="421">
      <c r="A421" s="2" t="n"/>
      <c r="B421" s="2" t="n"/>
      <c r="C421" s="2" t="n"/>
      <c r="D421" s="2" t="n"/>
      <c r="E421" s="2" t="n"/>
      <c r="F421" s="2" t="n"/>
      <c r="G421" s="2" t="n"/>
      <c r="H421" s="2" t="n"/>
      <c r="I421" s="2" t="n"/>
      <c r="J421" s="2" t="n"/>
      <c r="K421" s="2" t="n"/>
      <c r="L421" s="2" t="n"/>
      <c r="M421" s="2" t="n"/>
      <c r="N421" s="2" t="n"/>
      <c r="O421" s="2" t="n"/>
      <c r="P421" s="2" t="n"/>
      <c r="Q421" s="2">
        <f>IF(G421="","",TODAY()-G421)</f>
        <v/>
      </c>
    </row>
    <row r="422">
      <c r="A422" s="2" t="n"/>
      <c r="B422" s="2" t="n"/>
      <c r="C422" s="2" t="n"/>
      <c r="D422" s="2" t="n"/>
      <c r="E422" s="2" t="n"/>
      <c r="F422" s="2" t="n"/>
      <c r="G422" s="2" t="n"/>
      <c r="H422" s="2" t="n"/>
      <c r="I422" s="2" t="n"/>
      <c r="J422" s="2" t="n"/>
      <c r="K422" s="2" t="n"/>
      <c r="L422" s="2" t="n"/>
      <c r="M422" s="2" t="n"/>
      <c r="N422" s="2" t="n"/>
      <c r="O422" s="2" t="n"/>
      <c r="P422" s="2" t="n"/>
      <c r="Q422" s="2">
        <f>IF(G422="","",TODAY()-G422)</f>
        <v/>
      </c>
    </row>
    <row r="423">
      <c r="A423" s="2" t="n"/>
      <c r="B423" s="2" t="n"/>
      <c r="C423" s="2" t="n"/>
      <c r="D423" s="2" t="n"/>
      <c r="E423" s="2" t="n"/>
      <c r="F423" s="2" t="n"/>
      <c r="G423" s="2" t="n"/>
      <c r="H423" s="2" t="n"/>
      <c r="I423" s="2" t="n"/>
      <c r="J423" s="2" t="n"/>
      <c r="K423" s="2" t="n"/>
      <c r="L423" s="2" t="n"/>
      <c r="M423" s="2" t="n"/>
      <c r="N423" s="2" t="n"/>
      <c r="O423" s="2" t="n"/>
      <c r="P423" s="2" t="n"/>
      <c r="Q423" s="2">
        <f>IF(G423="","",TODAY()-G423)</f>
        <v/>
      </c>
    </row>
    <row r="424">
      <c r="A424" s="2" t="n"/>
      <c r="B424" s="2" t="n"/>
      <c r="C424" s="2" t="n"/>
      <c r="D424" s="2" t="n"/>
      <c r="E424" s="2" t="n"/>
      <c r="F424" s="2" t="n"/>
      <c r="G424" s="2" t="n"/>
      <c r="H424" s="2" t="n"/>
      <c r="I424" s="2" t="n"/>
      <c r="J424" s="2" t="n"/>
      <c r="K424" s="2" t="n"/>
      <c r="L424" s="2" t="n"/>
      <c r="M424" s="2" t="n"/>
      <c r="N424" s="2" t="n"/>
      <c r="O424" s="2" t="n"/>
      <c r="P424" s="2" t="n"/>
      <c r="Q424" s="2">
        <f>IF(G424="","",TODAY()-G424)</f>
        <v/>
      </c>
    </row>
    <row r="425">
      <c r="A425" s="2" t="n"/>
      <c r="B425" s="2" t="n"/>
      <c r="C425" s="2" t="n"/>
      <c r="D425" s="2" t="n"/>
      <c r="E425" s="2" t="n"/>
      <c r="F425" s="2" t="n"/>
      <c r="G425" s="2" t="n"/>
      <c r="H425" s="2" t="n"/>
      <c r="I425" s="2" t="n"/>
      <c r="J425" s="2" t="n"/>
      <c r="K425" s="2" t="n"/>
      <c r="L425" s="2" t="n"/>
      <c r="M425" s="2" t="n"/>
      <c r="N425" s="2" t="n"/>
      <c r="O425" s="2" t="n"/>
      <c r="P425" s="2" t="n"/>
      <c r="Q425" s="2">
        <f>IF(G425="","",TODAY()-G425)</f>
        <v/>
      </c>
    </row>
    <row r="426">
      <c r="A426" s="2" t="n"/>
      <c r="B426" s="2" t="n"/>
      <c r="C426" s="2" t="n"/>
      <c r="D426" s="2" t="n"/>
      <c r="E426" s="2" t="n"/>
      <c r="F426" s="2" t="n"/>
      <c r="G426" s="2" t="n"/>
      <c r="H426" s="2" t="n"/>
      <c r="I426" s="2" t="n"/>
      <c r="J426" s="2" t="n"/>
      <c r="K426" s="2" t="n"/>
      <c r="L426" s="2" t="n"/>
      <c r="M426" s="2" t="n"/>
      <c r="N426" s="2" t="n"/>
      <c r="O426" s="2" t="n"/>
      <c r="P426" s="2" t="n"/>
      <c r="Q426" s="2">
        <f>IF(G426="","",TODAY()-G426)</f>
        <v/>
      </c>
    </row>
    <row r="427">
      <c r="A427" s="2" t="n"/>
      <c r="B427" s="2" t="n"/>
      <c r="C427" s="2" t="n"/>
      <c r="D427" s="2" t="n"/>
      <c r="E427" s="2" t="n"/>
      <c r="F427" s="2" t="n"/>
      <c r="G427" s="2" t="n"/>
      <c r="H427" s="2" t="n"/>
      <c r="I427" s="2" t="n"/>
      <c r="J427" s="2" t="n"/>
      <c r="K427" s="2" t="n"/>
      <c r="L427" s="2" t="n"/>
      <c r="M427" s="2" t="n"/>
      <c r="N427" s="2" t="n"/>
      <c r="O427" s="2" t="n"/>
      <c r="P427" s="2" t="n"/>
      <c r="Q427" s="2">
        <f>IF(G427="","",TODAY()-G427)</f>
        <v/>
      </c>
    </row>
    <row r="428">
      <c r="A428" s="2" t="n"/>
      <c r="B428" s="2" t="n"/>
      <c r="C428" s="2" t="n"/>
      <c r="D428" s="2" t="n"/>
      <c r="E428" s="2" t="n"/>
      <c r="F428" s="2" t="n"/>
      <c r="G428" s="2" t="n"/>
      <c r="H428" s="2" t="n"/>
      <c r="I428" s="2" t="n"/>
      <c r="J428" s="2" t="n"/>
      <c r="K428" s="2" t="n"/>
      <c r="L428" s="2" t="n"/>
      <c r="M428" s="2" t="n"/>
      <c r="N428" s="2" t="n"/>
      <c r="O428" s="2" t="n"/>
      <c r="P428" s="2" t="n"/>
      <c r="Q428" s="2">
        <f>IF(G428="","",TODAY()-G428)</f>
        <v/>
      </c>
    </row>
    <row r="429">
      <c r="A429" s="2" t="n"/>
      <c r="B429" s="2" t="n"/>
      <c r="C429" s="2" t="n"/>
      <c r="D429" s="2" t="n"/>
      <c r="E429" s="2" t="n"/>
      <c r="F429" s="2" t="n"/>
      <c r="G429" s="2" t="n"/>
      <c r="H429" s="2" t="n"/>
      <c r="I429" s="2" t="n"/>
      <c r="J429" s="2" t="n"/>
      <c r="K429" s="2" t="n"/>
      <c r="L429" s="2" t="n"/>
      <c r="M429" s="2" t="n"/>
      <c r="N429" s="2" t="n"/>
      <c r="O429" s="2" t="n"/>
      <c r="P429" s="2" t="n"/>
      <c r="Q429" s="2">
        <f>IF(G429="","",TODAY()-G429)</f>
        <v/>
      </c>
    </row>
    <row r="430">
      <c r="A430" s="2" t="n"/>
      <c r="B430" s="2" t="n"/>
      <c r="C430" s="2" t="n"/>
      <c r="D430" s="2" t="n"/>
      <c r="E430" s="2" t="n"/>
      <c r="F430" s="2" t="n"/>
      <c r="G430" s="2" t="n"/>
      <c r="H430" s="2" t="n"/>
      <c r="I430" s="2" t="n"/>
      <c r="J430" s="2" t="n"/>
      <c r="K430" s="2" t="n"/>
      <c r="L430" s="2" t="n"/>
      <c r="M430" s="2" t="n"/>
      <c r="N430" s="2" t="n"/>
      <c r="O430" s="2" t="n"/>
      <c r="P430" s="2" t="n"/>
      <c r="Q430" s="2">
        <f>IF(G430="","",TODAY()-G430)</f>
        <v/>
      </c>
    </row>
    <row r="431">
      <c r="A431" s="2" t="n"/>
      <c r="B431" s="2" t="n"/>
      <c r="C431" s="2" t="n"/>
      <c r="D431" s="2" t="n"/>
      <c r="E431" s="2" t="n"/>
      <c r="F431" s="2" t="n"/>
      <c r="G431" s="2" t="n"/>
      <c r="H431" s="2" t="n"/>
      <c r="I431" s="2" t="n"/>
      <c r="J431" s="2" t="n"/>
      <c r="K431" s="2" t="n"/>
      <c r="L431" s="2" t="n"/>
      <c r="M431" s="2" t="n"/>
      <c r="N431" s="2" t="n"/>
      <c r="O431" s="2" t="n"/>
      <c r="P431" s="2" t="n"/>
      <c r="Q431" s="2">
        <f>IF(G431="","",TODAY()-G431)</f>
        <v/>
      </c>
    </row>
    <row r="432">
      <c r="A432" s="2" t="n"/>
      <c r="B432" s="2" t="n"/>
      <c r="C432" s="2" t="n"/>
      <c r="D432" s="2" t="n"/>
      <c r="E432" s="2" t="n"/>
      <c r="F432" s="2" t="n"/>
      <c r="G432" s="2" t="n"/>
      <c r="H432" s="2" t="n"/>
      <c r="I432" s="2" t="n"/>
      <c r="J432" s="2" t="n"/>
      <c r="K432" s="2" t="n"/>
      <c r="L432" s="2" t="n"/>
      <c r="M432" s="2" t="n"/>
      <c r="N432" s="2" t="n"/>
      <c r="O432" s="2" t="n"/>
      <c r="P432" s="2" t="n"/>
      <c r="Q432" s="2">
        <f>IF(G432="","",TODAY()-G432)</f>
        <v/>
      </c>
    </row>
    <row r="433">
      <c r="A433" s="2" t="n"/>
      <c r="B433" s="2" t="n"/>
      <c r="C433" s="2" t="n"/>
      <c r="D433" s="2" t="n"/>
      <c r="E433" s="2" t="n"/>
      <c r="F433" s="2" t="n"/>
      <c r="G433" s="2" t="n"/>
      <c r="H433" s="2" t="n"/>
      <c r="I433" s="2" t="n"/>
      <c r="J433" s="2" t="n"/>
      <c r="K433" s="2" t="n"/>
      <c r="L433" s="2" t="n"/>
      <c r="M433" s="2" t="n"/>
      <c r="N433" s="2" t="n"/>
      <c r="O433" s="2" t="n"/>
      <c r="P433" s="2" t="n"/>
      <c r="Q433" s="2">
        <f>IF(G433="","",TODAY()-G433)</f>
        <v/>
      </c>
    </row>
    <row r="434">
      <c r="A434" s="2" t="n"/>
      <c r="B434" s="2" t="n"/>
      <c r="C434" s="2" t="n"/>
      <c r="D434" s="2" t="n"/>
      <c r="E434" s="2" t="n"/>
      <c r="F434" s="2" t="n"/>
      <c r="G434" s="2" t="n"/>
      <c r="H434" s="2" t="n"/>
      <c r="I434" s="2" t="n"/>
      <c r="J434" s="2" t="n"/>
      <c r="K434" s="2" t="n"/>
      <c r="L434" s="2" t="n"/>
      <c r="M434" s="2" t="n"/>
      <c r="N434" s="2" t="n"/>
      <c r="O434" s="2" t="n"/>
      <c r="P434" s="2" t="n"/>
      <c r="Q434" s="2">
        <f>IF(G434="","",TODAY()-G434)</f>
        <v/>
      </c>
    </row>
    <row r="435">
      <c r="A435" s="2" t="n"/>
      <c r="B435" s="2" t="n"/>
      <c r="C435" s="2" t="n"/>
      <c r="D435" s="2" t="n"/>
      <c r="E435" s="2" t="n"/>
      <c r="F435" s="2" t="n"/>
      <c r="G435" s="2" t="n"/>
      <c r="H435" s="2" t="n"/>
      <c r="I435" s="2" t="n"/>
      <c r="J435" s="2" t="n"/>
      <c r="K435" s="2" t="n"/>
      <c r="L435" s="2" t="n"/>
      <c r="M435" s="2" t="n"/>
      <c r="N435" s="2" t="n"/>
      <c r="O435" s="2" t="n"/>
      <c r="P435" s="2" t="n"/>
      <c r="Q435" s="2">
        <f>IF(G435="","",TODAY()-G435)</f>
        <v/>
      </c>
    </row>
    <row r="436">
      <c r="A436" s="2" t="n"/>
      <c r="B436" s="2" t="n"/>
      <c r="C436" s="2" t="n"/>
      <c r="D436" s="2" t="n"/>
      <c r="E436" s="2" t="n"/>
      <c r="F436" s="2" t="n"/>
      <c r="G436" s="2" t="n"/>
      <c r="H436" s="2" t="n"/>
      <c r="I436" s="2" t="n"/>
      <c r="J436" s="2" t="n"/>
      <c r="K436" s="2" t="n"/>
      <c r="L436" s="2" t="n"/>
      <c r="M436" s="2" t="n"/>
      <c r="N436" s="2" t="n"/>
      <c r="O436" s="2" t="n"/>
      <c r="P436" s="2" t="n"/>
      <c r="Q436" s="2">
        <f>IF(G436="","",TODAY()-G436)</f>
        <v/>
      </c>
    </row>
    <row r="437">
      <c r="A437" s="2" t="n"/>
      <c r="B437" s="2" t="n"/>
      <c r="C437" s="2" t="n"/>
      <c r="D437" s="2" t="n"/>
      <c r="E437" s="2" t="n"/>
      <c r="F437" s="2" t="n"/>
      <c r="G437" s="2" t="n"/>
      <c r="H437" s="2" t="n"/>
      <c r="I437" s="2" t="n"/>
      <c r="J437" s="2" t="n"/>
      <c r="K437" s="2" t="n"/>
      <c r="L437" s="2" t="n"/>
      <c r="M437" s="2" t="n"/>
      <c r="N437" s="2" t="n"/>
      <c r="O437" s="2" t="n"/>
      <c r="P437" s="2" t="n"/>
      <c r="Q437" s="2">
        <f>IF(G437="","",TODAY()-G437)</f>
        <v/>
      </c>
    </row>
    <row r="438">
      <c r="A438" s="2" t="n"/>
      <c r="B438" s="2" t="n"/>
      <c r="C438" s="2" t="n"/>
      <c r="D438" s="2" t="n"/>
      <c r="E438" s="2" t="n"/>
      <c r="F438" s="2" t="n"/>
      <c r="G438" s="2" t="n"/>
      <c r="H438" s="2" t="n"/>
      <c r="I438" s="2" t="n"/>
      <c r="J438" s="2" t="n"/>
      <c r="K438" s="2" t="n"/>
      <c r="L438" s="2" t="n"/>
      <c r="M438" s="2" t="n"/>
      <c r="N438" s="2" t="n"/>
      <c r="O438" s="2" t="n"/>
      <c r="P438" s="2" t="n"/>
      <c r="Q438" s="2">
        <f>IF(G438="","",TODAY()-G438)</f>
        <v/>
      </c>
    </row>
    <row r="439">
      <c r="A439" s="2" t="n"/>
      <c r="B439" s="2" t="n"/>
      <c r="C439" s="2" t="n"/>
      <c r="D439" s="2" t="n"/>
      <c r="E439" s="2" t="n"/>
      <c r="F439" s="2" t="n"/>
      <c r="G439" s="2" t="n"/>
      <c r="H439" s="2" t="n"/>
      <c r="I439" s="2" t="n"/>
      <c r="J439" s="2" t="n"/>
      <c r="K439" s="2" t="n"/>
      <c r="L439" s="2" t="n"/>
      <c r="M439" s="2" t="n"/>
      <c r="N439" s="2" t="n"/>
      <c r="O439" s="2" t="n"/>
      <c r="P439" s="2" t="n"/>
      <c r="Q439" s="2">
        <f>IF(G439="","",TODAY()-G439)</f>
        <v/>
      </c>
    </row>
    <row r="440">
      <c r="A440" s="2" t="n"/>
      <c r="B440" s="2" t="n"/>
      <c r="C440" s="2" t="n"/>
      <c r="D440" s="2" t="n"/>
      <c r="E440" s="2" t="n"/>
      <c r="F440" s="2" t="n"/>
      <c r="G440" s="2" t="n"/>
      <c r="H440" s="2" t="n"/>
      <c r="I440" s="2" t="n"/>
      <c r="J440" s="2" t="n"/>
      <c r="K440" s="2" t="n"/>
      <c r="L440" s="2" t="n"/>
      <c r="M440" s="2" t="n"/>
      <c r="N440" s="2" t="n"/>
      <c r="O440" s="2" t="n"/>
      <c r="P440" s="2" t="n"/>
      <c r="Q440" s="2">
        <f>IF(G440="","",TODAY()-G440)</f>
        <v/>
      </c>
    </row>
    <row r="441">
      <c r="A441" s="2" t="n"/>
      <c r="B441" s="2" t="n"/>
      <c r="C441" s="2" t="n"/>
      <c r="D441" s="2" t="n"/>
      <c r="E441" s="2" t="n"/>
      <c r="F441" s="2" t="n"/>
      <c r="G441" s="2" t="n"/>
      <c r="H441" s="2" t="n"/>
      <c r="I441" s="2" t="n"/>
      <c r="J441" s="2" t="n"/>
      <c r="K441" s="2" t="n"/>
      <c r="L441" s="2" t="n"/>
      <c r="M441" s="2" t="n"/>
      <c r="N441" s="2" t="n"/>
      <c r="O441" s="2" t="n"/>
      <c r="P441" s="2" t="n"/>
      <c r="Q441" s="2">
        <f>IF(G441="","",TODAY()-G441)</f>
        <v/>
      </c>
    </row>
    <row r="442">
      <c r="A442" s="2" t="n"/>
      <c r="B442" s="2" t="n"/>
      <c r="C442" s="2" t="n"/>
      <c r="D442" s="2" t="n"/>
      <c r="E442" s="2" t="n"/>
      <c r="F442" s="2" t="n"/>
      <c r="G442" s="2" t="n"/>
      <c r="H442" s="2" t="n"/>
      <c r="I442" s="2" t="n"/>
      <c r="J442" s="2" t="n"/>
      <c r="K442" s="2" t="n"/>
      <c r="L442" s="2" t="n"/>
      <c r="M442" s="2" t="n"/>
      <c r="N442" s="2" t="n"/>
      <c r="O442" s="2" t="n"/>
      <c r="P442" s="2" t="n"/>
      <c r="Q442" s="2">
        <f>IF(G442="","",TODAY()-G442)</f>
        <v/>
      </c>
    </row>
    <row r="443">
      <c r="A443" s="2" t="n"/>
      <c r="B443" s="2" t="n"/>
      <c r="C443" s="2" t="n"/>
      <c r="D443" s="2" t="n"/>
      <c r="E443" s="2" t="n"/>
      <c r="F443" s="2" t="n"/>
      <c r="G443" s="2" t="n"/>
      <c r="H443" s="2" t="n"/>
      <c r="I443" s="2" t="n"/>
      <c r="J443" s="2" t="n"/>
      <c r="K443" s="2" t="n"/>
      <c r="L443" s="2" t="n"/>
      <c r="M443" s="2" t="n"/>
      <c r="N443" s="2" t="n"/>
      <c r="O443" s="2" t="n"/>
      <c r="P443" s="2" t="n"/>
      <c r="Q443" s="2">
        <f>IF(G443="","",TODAY()-G443)</f>
        <v/>
      </c>
    </row>
    <row r="444">
      <c r="A444" s="2" t="n"/>
      <c r="B444" s="2" t="n"/>
      <c r="C444" s="2" t="n"/>
      <c r="D444" s="2" t="n"/>
      <c r="E444" s="2" t="n"/>
      <c r="F444" s="2" t="n"/>
      <c r="G444" s="2" t="n"/>
      <c r="H444" s="2" t="n"/>
      <c r="I444" s="2" t="n"/>
      <c r="J444" s="2" t="n"/>
      <c r="K444" s="2" t="n"/>
      <c r="L444" s="2" t="n"/>
      <c r="M444" s="2" t="n"/>
      <c r="N444" s="2" t="n"/>
      <c r="O444" s="2" t="n"/>
      <c r="P444" s="2" t="n"/>
      <c r="Q444" s="2">
        <f>IF(G444="","",TODAY()-G444)</f>
        <v/>
      </c>
    </row>
    <row r="445">
      <c r="A445" s="2" t="n"/>
      <c r="B445" s="2" t="n"/>
      <c r="C445" s="2" t="n"/>
      <c r="D445" s="2" t="n"/>
      <c r="E445" s="2" t="n"/>
      <c r="F445" s="2" t="n"/>
      <c r="G445" s="2" t="n"/>
      <c r="H445" s="2" t="n"/>
      <c r="I445" s="2" t="n"/>
      <c r="J445" s="2" t="n"/>
      <c r="K445" s="2" t="n"/>
      <c r="L445" s="2" t="n"/>
      <c r="M445" s="2" t="n"/>
      <c r="N445" s="2" t="n"/>
      <c r="O445" s="2" t="n"/>
      <c r="P445" s="2" t="n"/>
      <c r="Q445" s="2">
        <f>IF(G445="","",TODAY()-G445)</f>
        <v/>
      </c>
    </row>
    <row r="446">
      <c r="A446" s="2" t="n"/>
      <c r="B446" s="2" t="n"/>
      <c r="C446" s="2" t="n"/>
      <c r="D446" s="2" t="n"/>
      <c r="E446" s="2" t="n"/>
      <c r="F446" s="2" t="n"/>
      <c r="G446" s="2" t="n"/>
      <c r="H446" s="2" t="n"/>
      <c r="I446" s="2" t="n"/>
      <c r="J446" s="2" t="n"/>
      <c r="K446" s="2" t="n"/>
      <c r="L446" s="2" t="n"/>
      <c r="M446" s="2" t="n"/>
      <c r="N446" s="2" t="n"/>
      <c r="O446" s="2" t="n"/>
      <c r="P446" s="2" t="n"/>
      <c r="Q446" s="2">
        <f>IF(G446="","",TODAY()-G446)</f>
        <v/>
      </c>
    </row>
    <row r="447">
      <c r="A447" s="2" t="n"/>
      <c r="B447" s="2" t="n"/>
      <c r="C447" s="2" t="n"/>
      <c r="D447" s="2" t="n"/>
      <c r="E447" s="2" t="n"/>
      <c r="F447" s="2" t="n"/>
      <c r="G447" s="2" t="n"/>
      <c r="H447" s="2" t="n"/>
      <c r="I447" s="2" t="n"/>
      <c r="J447" s="2" t="n"/>
      <c r="K447" s="2" t="n"/>
      <c r="L447" s="2" t="n"/>
      <c r="M447" s="2" t="n"/>
      <c r="N447" s="2" t="n"/>
      <c r="O447" s="2" t="n"/>
      <c r="P447" s="2" t="n"/>
      <c r="Q447" s="2">
        <f>IF(G447="","",TODAY()-G447)</f>
        <v/>
      </c>
    </row>
    <row r="448">
      <c r="A448" s="2" t="n"/>
      <c r="B448" s="2" t="n"/>
      <c r="C448" s="2" t="n"/>
      <c r="D448" s="2" t="n"/>
      <c r="E448" s="2" t="n"/>
      <c r="F448" s="2" t="n"/>
      <c r="G448" s="2" t="n"/>
      <c r="H448" s="2" t="n"/>
      <c r="I448" s="2" t="n"/>
      <c r="J448" s="2" t="n"/>
      <c r="K448" s="2" t="n"/>
      <c r="L448" s="2" t="n"/>
      <c r="M448" s="2" t="n"/>
      <c r="N448" s="2" t="n"/>
      <c r="O448" s="2" t="n"/>
      <c r="P448" s="2" t="n"/>
      <c r="Q448" s="2">
        <f>IF(G448="","",TODAY()-G448)</f>
        <v/>
      </c>
    </row>
    <row r="449">
      <c r="A449" s="2" t="n"/>
      <c r="B449" s="2" t="n"/>
      <c r="C449" s="2" t="n"/>
      <c r="D449" s="2" t="n"/>
      <c r="E449" s="2" t="n"/>
      <c r="F449" s="2" t="n"/>
      <c r="G449" s="2" t="n"/>
      <c r="H449" s="2" t="n"/>
      <c r="I449" s="2" t="n"/>
      <c r="J449" s="2" t="n"/>
      <c r="K449" s="2" t="n"/>
      <c r="L449" s="2" t="n"/>
      <c r="M449" s="2" t="n"/>
      <c r="N449" s="2" t="n"/>
      <c r="O449" s="2" t="n"/>
      <c r="P449" s="2" t="n"/>
      <c r="Q449" s="2">
        <f>IF(G449="","",TODAY()-G449)</f>
        <v/>
      </c>
    </row>
    <row r="450">
      <c r="A450" s="2" t="n"/>
      <c r="B450" s="2" t="n"/>
      <c r="C450" s="2" t="n"/>
      <c r="D450" s="2" t="n"/>
      <c r="E450" s="2" t="n"/>
      <c r="F450" s="2" t="n"/>
      <c r="G450" s="2" t="n"/>
      <c r="H450" s="2" t="n"/>
      <c r="I450" s="2" t="n"/>
      <c r="J450" s="2" t="n"/>
      <c r="K450" s="2" t="n"/>
      <c r="L450" s="2" t="n"/>
      <c r="M450" s="2" t="n"/>
      <c r="N450" s="2" t="n"/>
      <c r="O450" s="2" t="n"/>
      <c r="P450" s="2" t="n"/>
      <c r="Q450" s="2">
        <f>IF(G450="","",TODAY()-G450)</f>
        <v/>
      </c>
    </row>
    <row r="451">
      <c r="A451" s="2" t="n"/>
      <c r="B451" s="2" t="n"/>
      <c r="C451" s="2" t="n"/>
      <c r="D451" s="2" t="n"/>
      <c r="E451" s="2" t="n"/>
      <c r="F451" s="2" t="n"/>
      <c r="G451" s="2" t="n"/>
      <c r="H451" s="2" t="n"/>
      <c r="I451" s="2" t="n"/>
      <c r="J451" s="2" t="n"/>
      <c r="K451" s="2" t="n"/>
      <c r="L451" s="2" t="n"/>
      <c r="M451" s="2" t="n"/>
      <c r="N451" s="2" t="n"/>
      <c r="O451" s="2" t="n"/>
      <c r="P451" s="2" t="n"/>
      <c r="Q451" s="2">
        <f>IF(G451="","",TODAY()-G451)</f>
        <v/>
      </c>
    </row>
    <row r="452">
      <c r="A452" s="2" t="n"/>
      <c r="B452" s="2" t="n"/>
      <c r="C452" s="2" t="n"/>
      <c r="D452" s="2" t="n"/>
      <c r="E452" s="2" t="n"/>
      <c r="F452" s="2" t="n"/>
      <c r="G452" s="2" t="n"/>
      <c r="H452" s="2" t="n"/>
      <c r="I452" s="2" t="n"/>
      <c r="J452" s="2" t="n"/>
      <c r="K452" s="2" t="n"/>
      <c r="L452" s="2" t="n"/>
      <c r="M452" s="2" t="n"/>
      <c r="N452" s="2" t="n"/>
      <c r="O452" s="2" t="n"/>
      <c r="P452" s="2" t="n"/>
      <c r="Q452" s="2">
        <f>IF(G452="","",TODAY()-G452)</f>
        <v/>
      </c>
    </row>
    <row r="453">
      <c r="A453" s="2" t="n"/>
      <c r="B453" s="2" t="n"/>
      <c r="C453" s="2" t="n"/>
      <c r="D453" s="2" t="n"/>
      <c r="E453" s="2" t="n"/>
      <c r="F453" s="2" t="n"/>
      <c r="G453" s="2" t="n"/>
      <c r="H453" s="2" t="n"/>
      <c r="I453" s="2" t="n"/>
      <c r="J453" s="2" t="n"/>
      <c r="K453" s="2" t="n"/>
      <c r="L453" s="2" t="n"/>
      <c r="M453" s="2" t="n"/>
      <c r="N453" s="2" t="n"/>
      <c r="O453" s="2" t="n"/>
      <c r="P453" s="2" t="n"/>
      <c r="Q453" s="2">
        <f>IF(G453="","",TODAY()-G453)</f>
        <v/>
      </c>
    </row>
    <row r="454">
      <c r="A454" s="2" t="n"/>
      <c r="B454" s="2" t="n"/>
      <c r="C454" s="2" t="n"/>
      <c r="D454" s="2" t="n"/>
      <c r="E454" s="2" t="n"/>
      <c r="F454" s="2" t="n"/>
      <c r="G454" s="2" t="n"/>
      <c r="H454" s="2" t="n"/>
      <c r="I454" s="2" t="n"/>
      <c r="J454" s="2" t="n"/>
      <c r="K454" s="2" t="n"/>
      <c r="L454" s="2" t="n"/>
      <c r="M454" s="2" t="n"/>
      <c r="N454" s="2" t="n"/>
      <c r="O454" s="2" t="n"/>
      <c r="P454" s="2" t="n"/>
      <c r="Q454" s="2">
        <f>IF(G454="","",TODAY()-G454)</f>
        <v/>
      </c>
    </row>
    <row r="455">
      <c r="A455" s="2" t="n"/>
      <c r="B455" s="2" t="n"/>
      <c r="C455" s="2" t="n"/>
      <c r="D455" s="2" t="n"/>
      <c r="E455" s="2" t="n"/>
      <c r="F455" s="2" t="n"/>
      <c r="G455" s="2" t="n"/>
      <c r="H455" s="2" t="n"/>
      <c r="I455" s="2" t="n"/>
      <c r="J455" s="2" t="n"/>
      <c r="K455" s="2" t="n"/>
      <c r="L455" s="2" t="n"/>
      <c r="M455" s="2" t="n"/>
      <c r="N455" s="2" t="n"/>
      <c r="O455" s="2" t="n"/>
      <c r="P455" s="2" t="n"/>
      <c r="Q455" s="2">
        <f>IF(G455="","",TODAY()-G455)</f>
        <v/>
      </c>
    </row>
    <row r="456">
      <c r="A456" s="2" t="n"/>
      <c r="B456" s="2" t="n"/>
      <c r="C456" s="2" t="n"/>
      <c r="D456" s="2" t="n"/>
      <c r="E456" s="2" t="n"/>
      <c r="F456" s="2" t="n"/>
      <c r="G456" s="2" t="n"/>
      <c r="H456" s="2" t="n"/>
      <c r="I456" s="2" t="n"/>
      <c r="J456" s="2" t="n"/>
      <c r="K456" s="2" t="n"/>
      <c r="L456" s="2" t="n"/>
      <c r="M456" s="2" t="n"/>
      <c r="N456" s="2" t="n"/>
      <c r="O456" s="2" t="n"/>
      <c r="P456" s="2" t="n"/>
      <c r="Q456" s="2">
        <f>IF(G456="","",TODAY()-G456)</f>
        <v/>
      </c>
    </row>
    <row r="457">
      <c r="A457" s="2" t="n"/>
      <c r="B457" s="2" t="n"/>
      <c r="C457" s="2" t="n"/>
      <c r="D457" s="2" t="n"/>
      <c r="E457" s="2" t="n"/>
      <c r="F457" s="2" t="n"/>
      <c r="G457" s="2" t="n"/>
      <c r="H457" s="2" t="n"/>
      <c r="I457" s="2" t="n"/>
      <c r="J457" s="2" t="n"/>
      <c r="K457" s="2" t="n"/>
      <c r="L457" s="2" t="n"/>
      <c r="M457" s="2" t="n"/>
      <c r="N457" s="2" t="n"/>
      <c r="O457" s="2" t="n"/>
      <c r="P457" s="2" t="n"/>
      <c r="Q457" s="2">
        <f>IF(G457="","",TODAY()-G457)</f>
        <v/>
      </c>
    </row>
    <row r="458">
      <c r="A458" s="2" t="n"/>
      <c r="B458" s="2" t="n"/>
      <c r="C458" s="2" t="n"/>
      <c r="D458" s="2" t="n"/>
      <c r="E458" s="2" t="n"/>
      <c r="F458" s="2" t="n"/>
      <c r="G458" s="2" t="n"/>
      <c r="H458" s="2" t="n"/>
      <c r="I458" s="2" t="n"/>
      <c r="J458" s="2" t="n"/>
      <c r="K458" s="2" t="n"/>
      <c r="L458" s="2" t="n"/>
      <c r="M458" s="2" t="n"/>
      <c r="N458" s="2" t="n"/>
      <c r="O458" s="2" t="n"/>
      <c r="P458" s="2" t="n"/>
      <c r="Q458" s="2">
        <f>IF(G458="","",TODAY()-G458)</f>
        <v/>
      </c>
    </row>
    <row r="459">
      <c r="A459" s="2" t="n"/>
      <c r="B459" s="2" t="n"/>
      <c r="C459" s="2" t="n"/>
      <c r="D459" s="2" t="n"/>
      <c r="E459" s="2" t="n"/>
      <c r="F459" s="2" t="n"/>
      <c r="G459" s="2" t="n"/>
      <c r="H459" s="2" t="n"/>
      <c r="I459" s="2" t="n"/>
      <c r="J459" s="2" t="n"/>
      <c r="K459" s="2" t="n"/>
      <c r="L459" s="2" t="n"/>
      <c r="M459" s="2" t="n"/>
      <c r="N459" s="2" t="n"/>
      <c r="O459" s="2" t="n"/>
      <c r="P459" s="2" t="n"/>
      <c r="Q459" s="2">
        <f>IF(G459="","",TODAY()-G459)</f>
        <v/>
      </c>
    </row>
    <row r="460">
      <c r="A460" s="2" t="n"/>
      <c r="B460" s="2" t="n"/>
      <c r="C460" s="2" t="n"/>
      <c r="D460" s="2" t="n"/>
      <c r="E460" s="2" t="n"/>
      <c r="F460" s="2" t="n"/>
      <c r="G460" s="2" t="n"/>
      <c r="H460" s="2" t="n"/>
      <c r="I460" s="2" t="n"/>
      <c r="J460" s="2" t="n"/>
      <c r="K460" s="2" t="n"/>
      <c r="L460" s="2" t="n"/>
      <c r="M460" s="2" t="n"/>
      <c r="N460" s="2" t="n"/>
      <c r="O460" s="2" t="n"/>
      <c r="P460" s="2" t="n"/>
      <c r="Q460" s="2">
        <f>IF(G460="","",TODAY()-G460)</f>
        <v/>
      </c>
    </row>
    <row r="461">
      <c r="A461" s="2" t="n"/>
      <c r="B461" s="2" t="n"/>
      <c r="C461" s="2" t="n"/>
      <c r="D461" s="2" t="n"/>
      <c r="E461" s="2" t="n"/>
      <c r="F461" s="2" t="n"/>
      <c r="G461" s="2" t="n"/>
      <c r="H461" s="2" t="n"/>
      <c r="I461" s="2" t="n"/>
      <c r="J461" s="2" t="n"/>
      <c r="K461" s="2" t="n"/>
      <c r="L461" s="2" t="n"/>
      <c r="M461" s="2" t="n"/>
      <c r="N461" s="2" t="n"/>
      <c r="O461" s="2" t="n"/>
      <c r="P461" s="2" t="n"/>
      <c r="Q461" s="2">
        <f>IF(G461="","",TODAY()-G461)</f>
        <v/>
      </c>
    </row>
    <row r="462">
      <c r="A462" s="2" t="n"/>
      <c r="B462" s="2" t="n"/>
      <c r="C462" s="2" t="n"/>
      <c r="D462" s="2" t="n"/>
      <c r="E462" s="2" t="n"/>
      <c r="F462" s="2" t="n"/>
      <c r="G462" s="2" t="n"/>
      <c r="H462" s="2" t="n"/>
      <c r="I462" s="2" t="n"/>
      <c r="J462" s="2" t="n"/>
      <c r="K462" s="2" t="n"/>
      <c r="L462" s="2" t="n"/>
      <c r="M462" s="2" t="n"/>
      <c r="N462" s="2" t="n"/>
      <c r="O462" s="2" t="n"/>
      <c r="P462" s="2" t="n"/>
      <c r="Q462" s="2">
        <f>IF(G462="","",TODAY()-G462)</f>
        <v/>
      </c>
    </row>
    <row r="463">
      <c r="A463" s="2" t="n"/>
      <c r="B463" s="2" t="n"/>
      <c r="C463" s="2" t="n"/>
      <c r="D463" s="2" t="n"/>
      <c r="E463" s="2" t="n"/>
      <c r="F463" s="2" t="n"/>
      <c r="G463" s="2" t="n"/>
      <c r="H463" s="2" t="n"/>
      <c r="I463" s="2" t="n"/>
      <c r="J463" s="2" t="n"/>
      <c r="K463" s="2" t="n"/>
      <c r="L463" s="2" t="n"/>
      <c r="M463" s="2" t="n"/>
      <c r="N463" s="2" t="n"/>
      <c r="O463" s="2" t="n"/>
      <c r="P463" s="2" t="n"/>
      <c r="Q463" s="2">
        <f>IF(G463="","",TODAY()-G463)</f>
        <v/>
      </c>
    </row>
    <row r="464">
      <c r="A464" s="2" t="n"/>
      <c r="B464" s="2" t="n"/>
      <c r="C464" s="2" t="n"/>
      <c r="D464" s="2" t="n"/>
      <c r="E464" s="2" t="n"/>
      <c r="F464" s="2" t="n"/>
      <c r="G464" s="2" t="n"/>
      <c r="H464" s="2" t="n"/>
      <c r="I464" s="2" t="n"/>
      <c r="J464" s="2" t="n"/>
      <c r="K464" s="2" t="n"/>
      <c r="L464" s="2" t="n"/>
      <c r="M464" s="2" t="n"/>
      <c r="N464" s="2" t="n"/>
      <c r="O464" s="2" t="n"/>
      <c r="P464" s="2" t="n"/>
      <c r="Q464" s="2">
        <f>IF(G464="","",TODAY()-G464)</f>
        <v/>
      </c>
    </row>
    <row r="465">
      <c r="A465" s="2" t="n"/>
      <c r="B465" s="2" t="n"/>
      <c r="C465" s="2" t="n"/>
      <c r="D465" s="2" t="n"/>
      <c r="E465" s="2" t="n"/>
      <c r="F465" s="2" t="n"/>
      <c r="G465" s="2" t="n"/>
      <c r="H465" s="2" t="n"/>
      <c r="I465" s="2" t="n"/>
      <c r="J465" s="2" t="n"/>
      <c r="K465" s="2" t="n"/>
      <c r="L465" s="2" t="n"/>
      <c r="M465" s="2" t="n"/>
      <c r="N465" s="2" t="n"/>
      <c r="O465" s="2" t="n"/>
      <c r="P465" s="2" t="n"/>
      <c r="Q465" s="2">
        <f>IF(G465="","",TODAY()-G465)</f>
        <v/>
      </c>
    </row>
    <row r="466">
      <c r="A466" s="2" t="n"/>
      <c r="B466" s="2" t="n"/>
      <c r="C466" s="2" t="n"/>
      <c r="D466" s="2" t="n"/>
      <c r="E466" s="2" t="n"/>
      <c r="F466" s="2" t="n"/>
      <c r="G466" s="2" t="n"/>
      <c r="H466" s="2" t="n"/>
      <c r="I466" s="2" t="n"/>
      <c r="J466" s="2" t="n"/>
      <c r="K466" s="2" t="n"/>
      <c r="L466" s="2" t="n"/>
      <c r="M466" s="2" t="n"/>
      <c r="N466" s="2" t="n"/>
      <c r="O466" s="2" t="n"/>
      <c r="P466" s="2" t="n"/>
      <c r="Q466" s="2">
        <f>IF(G466="","",TODAY()-G466)</f>
        <v/>
      </c>
    </row>
    <row r="467">
      <c r="A467" s="2" t="n"/>
      <c r="B467" s="2" t="n"/>
      <c r="C467" s="2" t="n"/>
      <c r="D467" s="2" t="n"/>
      <c r="E467" s="2" t="n"/>
      <c r="F467" s="2" t="n"/>
      <c r="G467" s="2" t="n"/>
      <c r="H467" s="2" t="n"/>
      <c r="I467" s="2" t="n"/>
      <c r="J467" s="2" t="n"/>
      <c r="K467" s="2" t="n"/>
      <c r="L467" s="2" t="n"/>
      <c r="M467" s="2" t="n"/>
      <c r="N467" s="2" t="n"/>
      <c r="O467" s="2" t="n"/>
      <c r="P467" s="2" t="n"/>
      <c r="Q467" s="2">
        <f>IF(G467="","",TODAY()-G467)</f>
        <v/>
      </c>
    </row>
    <row r="468">
      <c r="A468" s="2" t="n"/>
      <c r="B468" s="2" t="n"/>
      <c r="C468" s="2" t="n"/>
      <c r="D468" s="2" t="n"/>
      <c r="E468" s="2" t="n"/>
      <c r="F468" s="2" t="n"/>
      <c r="G468" s="2" t="n"/>
      <c r="H468" s="2" t="n"/>
      <c r="I468" s="2" t="n"/>
      <c r="J468" s="2" t="n"/>
      <c r="K468" s="2" t="n"/>
      <c r="L468" s="2" t="n"/>
      <c r="M468" s="2" t="n"/>
      <c r="N468" s="2" t="n"/>
      <c r="O468" s="2" t="n"/>
      <c r="P468" s="2" t="n"/>
      <c r="Q468" s="2">
        <f>IF(G468="","",TODAY()-G468)</f>
        <v/>
      </c>
    </row>
    <row r="469">
      <c r="A469" s="2" t="n"/>
      <c r="B469" s="2" t="n"/>
      <c r="C469" s="2" t="n"/>
      <c r="D469" s="2" t="n"/>
      <c r="E469" s="2" t="n"/>
      <c r="F469" s="2" t="n"/>
      <c r="G469" s="2" t="n"/>
      <c r="H469" s="2" t="n"/>
      <c r="I469" s="2" t="n"/>
      <c r="J469" s="2" t="n"/>
      <c r="K469" s="2" t="n"/>
      <c r="L469" s="2" t="n"/>
      <c r="M469" s="2" t="n"/>
      <c r="N469" s="2" t="n"/>
      <c r="O469" s="2" t="n"/>
      <c r="P469" s="2" t="n"/>
      <c r="Q469" s="2">
        <f>IF(G469="","",TODAY()-G469)</f>
        <v/>
      </c>
    </row>
    <row r="470">
      <c r="A470" s="2" t="n"/>
      <c r="B470" s="2" t="n"/>
      <c r="C470" s="2" t="n"/>
      <c r="D470" s="2" t="n"/>
      <c r="E470" s="2" t="n"/>
      <c r="F470" s="2" t="n"/>
      <c r="G470" s="2" t="n"/>
      <c r="H470" s="2" t="n"/>
      <c r="I470" s="2" t="n"/>
      <c r="J470" s="2" t="n"/>
      <c r="K470" s="2" t="n"/>
      <c r="L470" s="2" t="n"/>
      <c r="M470" s="2" t="n"/>
      <c r="N470" s="2" t="n"/>
      <c r="O470" s="2" t="n"/>
      <c r="P470" s="2" t="n"/>
      <c r="Q470" s="2">
        <f>IF(G470="","",TODAY()-G470)</f>
        <v/>
      </c>
    </row>
    <row r="471">
      <c r="A471" s="2" t="n"/>
      <c r="B471" s="2" t="n"/>
      <c r="C471" s="2" t="n"/>
      <c r="D471" s="2" t="n"/>
      <c r="E471" s="2" t="n"/>
      <c r="F471" s="2" t="n"/>
      <c r="G471" s="2" t="n"/>
      <c r="H471" s="2" t="n"/>
      <c r="I471" s="2" t="n"/>
      <c r="J471" s="2" t="n"/>
      <c r="K471" s="2" t="n"/>
      <c r="L471" s="2" t="n"/>
      <c r="M471" s="2" t="n"/>
      <c r="N471" s="2" t="n"/>
      <c r="O471" s="2" t="n"/>
      <c r="P471" s="2" t="n"/>
      <c r="Q471" s="2">
        <f>IF(G471="","",TODAY()-G471)</f>
        <v/>
      </c>
    </row>
    <row r="472">
      <c r="A472" s="2" t="n"/>
      <c r="B472" s="2" t="n"/>
      <c r="C472" s="2" t="n"/>
      <c r="D472" s="2" t="n"/>
      <c r="E472" s="2" t="n"/>
      <c r="F472" s="2" t="n"/>
      <c r="G472" s="2" t="n"/>
      <c r="H472" s="2" t="n"/>
      <c r="I472" s="2" t="n"/>
      <c r="J472" s="2" t="n"/>
      <c r="K472" s="2" t="n"/>
      <c r="L472" s="2" t="n"/>
      <c r="M472" s="2" t="n"/>
      <c r="N472" s="2" t="n"/>
      <c r="O472" s="2" t="n"/>
      <c r="P472" s="2" t="n"/>
      <c r="Q472" s="2">
        <f>IF(G472="","",TODAY()-G472)</f>
        <v/>
      </c>
    </row>
    <row r="473">
      <c r="A473" s="2" t="n"/>
      <c r="B473" s="2" t="n"/>
      <c r="C473" s="2" t="n"/>
      <c r="D473" s="2" t="n"/>
      <c r="E473" s="2" t="n"/>
      <c r="F473" s="2" t="n"/>
      <c r="G473" s="2" t="n"/>
      <c r="H473" s="2" t="n"/>
      <c r="I473" s="2" t="n"/>
      <c r="J473" s="2" t="n"/>
      <c r="K473" s="2" t="n"/>
      <c r="L473" s="2" t="n"/>
      <c r="M473" s="2" t="n"/>
      <c r="N473" s="2" t="n"/>
      <c r="O473" s="2" t="n"/>
      <c r="P473" s="2" t="n"/>
      <c r="Q473" s="2">
        <f>IF(G473="","",TODAY()-G473)</f>
        <v/>
      </c>
    </row>
    <row r="474">
      <c r="A474" s="2" t="n"/>
      <c r="B474" s="2" t="n"/>
      <c r="C474" s="2" t="n"/>
      <c r="D474" s="2" t="n"/>
      <c r="E474" s="2" t="n"/>
      <c r="F474" s="2" t="n"/>
      <c r="G474" s="2" t="n"/>
      <c r="H474" s="2" t="n"/>
      <c r="I474" s="2" t="n"/>
      <c r="J474" s="2" t="n"/>
      <c r="K474" s="2" t="n"/>
      <c r="L474" s="2" t="n"/>
      <c r="M474" s="2" t="n"/>
      <c r="N474" s="2" t="n"/>
      <c r="O474" s="2" t="n"/>
      <c r="P474" s="2" t="n"/>
      <c r="Q474" s="2">
        <f>IF(G474="","",TODAY()-G474)</f>
        <v/>
      </c>
    </row>
    <row r="475">
      <c r="A475" s="2" t="n"/>
      <c r="B475" s="2" t="n"/>
      <c r="C475" s="2" t="n"/>
      <c r="D475" s="2" t="n"/>
      <c r="E475" s="2" t="n"/>
      <c r="F475" s="2" t="n"/>
      <c r="G475" s="2" t="n"/>
      <c r="H475" s="2" t="n"/>
      <c r="I475" s="2" t="n"/>
      <c r="J475" s="2" t="n"/>
      <c r="K475" s="2" t="n"/>
      <c r="L475" s="2" t="n"/>
      <c r="M475" s="2" t="n"/>
      <c r="N475" s="2" t="n"/>
      <c r="O475" s="2" t="n"/>
      <c r="P475" s="2" t="n"/>
      <c r="Q475" s="2">
        <f>IF(G475="","",TODAY()-G475)</f>
        <v/>
      </c>
    </row>
    <row r="476">
      <c r="A476" s="2" t="n"/>
      <c r="B476" s="2" t="n"/>
      <c r="C476" s="2" t="n"/>
      <c r="D476" s="2" t="n"/>
      <c r="E476" s="2" t="n"/>
      <c r="F476" s="2" t="n"/>
      <c r="G476" s="2" t="n"/>
      <c r="H476" s="2" t="n"/>
      <c r="I476" s="2" t="n"/>
      <c r="J476" s="2" t="n"/>
      <c r="K476" s="2" t="n"/>
      <c r="L476" s="2" t="n"/>
      <c r="M476" s="2" t="n"/>
      <c r="N476" s="2" t="n"/>
      <c r="O476" s="2" t="n"/>
      <c r="P476" s="2" t="n"/>
      <c r="Q476" s="2">
        <f>IF(G476="","",TODAY()-G476)</f>
        <v/>
      </c>
    </row>
    <row r="477">
      <c r="A477" s="2" t="n"/>
      <c r="B477" s="2" t="n"/>
      <c r="C477" s="2" t="n"/>
      <c r="D477" s="2" t="n"/>
      <c r="E477" s="2" t="n"/>
      <c r="F477" s="2" t="n"/>
      <c r="G477" s="2" t="n"/>
      <c r="H477" s="2" t="n"/>
      <c r="I477" s="2" t="n"/>
      <c r="J477" s="2" t="n"/>
      <c r="K477" s="2" t="n"/>
      <c r="L477" s="2" t="n"/>
      <c r="M477" s="2" t="n"/>
      <c r="N477" s="2" t="n"/>
      <c r="O477" s="2" t="n"/>
      <c r="P477" s="2" t="n"/>
      <c r="Q477" s="2">
        <f>IF(G477="","",TODAY()-G477)</f>
        <v/>
      </c>
    </row>
    <row r="478">
      <c r="A478" s="2" t="n"/>
      <c r="B478" s="2" t="n"/>
      <c r="C478" s="2" t="n"/>
      <c r="D478" s="2" t="n"/>
      <c r="E478" s="2" t="n"/>
      <c r="F478" s="2" t="n"/>
      <c r="G478" s="2" t="n"/>
      <c r="H478" s="2" t="n"/>
      <c r="I478" s="2" t="n"/>
      <c r="J478" s="2" t="n"/>
      <c r="K478" s="2" t="n"/>
      <c r="L478" s="2" t="n"/>
      <c r="M478" s="2" t="n"/>
      <c r="N478" s="2" t="n"/>
      <c r="O478" s="2" t="n"/>
      <c r="P478" s="2" t="n"/>
      <c r="Q478" s="2">
        <f>IF(G478="","",TODAY()-G478)</f>
        <v/>
      </c>
    </row>
    <row r="479">
      <c r="A479" s="2" t="n"/>
      <c r="B479" s="2" t="n"/>
      <c r="C479" s="2" t="n"/>
      <c r="D479" s="2" t="n"/>
      <c r="E479" s="2" t="n"/>
      <c r="F479" s="2" t="n"/>
      <c r="G479" s="2" t="n"/>
      <c r="H479" s="2" t="n"/>
      <c r="I479" s="2" t="n"/>
      <c r="J479" s="2" t="n"/>
      <c r="K479" s="2" t="n"/>
      <c r="L479" s="2" t="n"/>
      <c r="M479" s="2" t="n"/>
      <c r="N479" s="2" t="n"/>
      <c r="O479" s="2" t="n"/>
      <c r="P479" s="2" t="n"/>
      <c r="Q479" s="2">
        <f>IF(G479="","",TODAY()-G479)</f>
        <v/>
      </c>
    </row>
    <row r="480">
      <c r="A480" s="2" t="n"/>
      <c r="B480" s="2" t="n"/>
      <c r="C480" s="2" t="n"/>
      <c r="D480" s="2" t="n"/>
      <c r="E480" s="2" t="n"/>
      <c r="F480" s="2" t="n"/>
      <c r="G480" s="2" t="n"/>
      <c r="H480" s="2" t="n"/>
      <c r="I480" s="2" t="n"/>
      <c r="J480" s="2" t="n"/>
      <c r="K480" s="2" t="n"/>
      <c r="L480" s="2" t="n"/>
      <c r="M480" s="2" t="n"/>
      <c r="N480" s="2" t="n"/>
      <c r="O480" s="2" t="n"/>
      <c r="P480" s="2" t="n"/>
      <c r="Q480" s="2">
        <f>IF(G480="","",TODAY()-G480)</f>
        <v/>
      </c>
    </row>
    <row r="481">
      <c r="A481" s="2" t="n"/>
      <c r="B481" s="2" t="n"/>
      <c r="C481" s="2" t="n"/>
      <c r="D481" s="2" t="n"/>
      <c r="E481" s="2" t="n"/>
      <c r="F481" s="2" t="n"/>
      <c r="G481" s="2" t="n"/>
      <c r="H481" s="2" t="n"/>
      <c r="I481" s="2" t="n"/>
      <c r="J481" s="2" t="n"/>
      <c r="K481" s="2" t="n"/>
      <c r="L481" s="2" t="n"/>
      <c r="M481" s="2" t="n"/>
      <c r="N481" s="2" t="n"/>
      <c r="O481" s="2" t="n"/>
      <c r="P481" s="2" t="n"/>
      <c r="Q481" s="2">
        <f>IF(G481="","",TODAY()-G481)</f>
        <v/>
      </c>
    </row>
    <row r="482">
      <c r="A482" s="2" t="n"/>
      <c r="B482" s="2" t="n"/>
      <c r="C482" s="2" t="n"/>
      <c r="D482" s="2" t="n"/>
      <c r="E482" s="2" t="n"/>
      <c r="F482" s="2" t="n"/>
      <c r="G482" s="2" t="n"/>
      <c r="H482" s="2" t="n"/>
      <c r="I482" s="2" t="n"/>
      <c r="J482" s="2" t="n"/>
      <c r="K482" s="2" t="n"/>
      <c r="L482" s="2" t="n"/>
      <c r="M482" s="2" t="n"/>
      <c r="N482" s="2" t="n"/>
      <c r="O482" s="2" t="n"/>
      <c r="P482" s="2" t="n"/>
      <c r="Q482" s="2">
        <f>IF(G482="","",TODAY()-G482)</f>
        <v/>
      </c>
    </row>
    <row r="483">
      <c r="A483" s="2" t="n"/>
      <c r="B483" s="2" t="n"/>
      <c r="C483" s="2" t="n"/>
      <c r="D483" s="2" t="n"/>
      <c r="E483" s="2" t="n"/>
      <c r="F483" s="2" t="n"/>
      <c r="G483" s="2" t="n"/>
      <c r="H483" s="2" t="n"/>
      <c r="I483" s="2" t="n"/>
      <c r="J483" s="2" t="n"/>
      <c r="K483" s="2" t="n"/>
      <c r="L483" s="2" t="n"/>
      <c r="M483" s="2" t="n"/>
      <c r="N483" s="2" t="n"/>
      <c r="O483" s="2" t="n"/>
      <c r="P483" s="2" t="n"/>
      <c r="Q483" s="2">
        <f>IF(G483="","",TODAY()-G483)</f>
        <v/>
      </c>
    </row>
    <row r="484">
      <c r="A484" s="2" t="n"/>
      <c r="B484" s="2" t="n"/>
      <c r="C484" s="2" t="n"/>
      <c r="D484" s="2" t="n"/>
      <c r="E484" s="2" t="n"/>
      <c r="F484" s="2" t="n"/>
      <c r="G484" s="2" t="n"/>
      <c r="H484" s="2" t="n"/>
      <c r="I484" s="2" t="n"/>
      <c r="J484" s="2" t="n"/>
      <c r="K484" s="2" t="n"/>
      <c r="L484" s="2" t="n"/>
      <c r="M484" s="2" t="n"/>
      <c r="N484" s="2" t="n"/>
      <c r="O484" s="2" t="n"/>
      <c r="P484" s="2" t="n"/>
      <c r="Q484" s="2">
        <f>IF(G484="","",TODAY()-G484)</f>
        <v/>
      </c>
    </row>
    <row r="485">
      <c r="A485" s="2" t="n"/>
      <c r="B485" s="2" t="n"/>
      <c r="C485" s="2" t="n"/>
      <c r="D485" s="2" t="n"/>
      <c r="E485" s="2" t="n"/>
      <c r="F485" s="2" t="n"/>
      <c r="G485" s="2" t="n"/>
      <c r="H485" s="2" t="n"/>
      <c r="I485" s="2" t="n"/>
      <c r="J485" s="2" t="n"/>
      <c r="K485" s="2" t="n"/>
      <c r="L485" s="2" t="n"/>
      <c r="M485" s="2" t="n"/>
      <c r="N485" s="2" t="n"/>
      <c r="O485" s="2" t="n"/>
      <c r="P485" s="2" t="n"/>
      <c r="Q485" s="2">
        <f>IF(G485="","",TODAY()-G485)</f>
        <v/>
      </c>
    </row>
    <row r="486">
      <c r="A486" s="2" t="n"/>
      <c r="B486" s="2" t="n"/>
      <c r="C486" s="2" t="n"/>
      <c r="D486" s="2" t="n"/>
      <c r="E486" s="2" t="n"/>
      <c r="F486" s="2" t="n"/>
      <c r="G486" s="2" t="n"/>
      <c r="H486" s="2" t="n"/>
      <c r="I486" s="2" t="n"/>
      <c r="J486" s="2" t="n"/>
      <c r="K486" s="2" t="n"/>
      <c r="L486" s="2" t="n"/>
      <c r="M486" s="2" t="n"/>
      <c r="N486" s="2" t="n"/>
      <c r="O486" s="2" t="n"/>
      <c r="P486" s="2" t="n"/>
      <c r="Q486" s="2">
        <f>IF(G486="","",TODAY()-G486)</f>
        <v/>
      </c>
    </row>
    <row r="487">
      <c r="A487" s="2" t="n"/>
      <c r="B487" s="2" t="n"/>
      <c r="C487" s="2" t="n"/>
      <c r="D487" s="2" t="n"/>
      <c r="E487" s="2" t="n"/>
      <c r="F487" s="2" t="n"/>
      <c r="G487" s="2" t="n"/>
      <c r="H487" s="2" t="n"/>
      <c r="I487" s="2" t="n"/>
      <c r="J487" s="2" t="n"/>
      <c r="K487" s="2" t="n"/>
      <c r="L487" s="2" t="n"/>
      <c r="M487" s="2" t="n"/>
      <c r="N487" s="2" t="n"/>
      <c r="O487" s="2" t="n"/>
      <c r="P487" s="2" t="n"/>
      <c r="Q487" s="2">
        <f>IF(G487="","",TODAY()-G487)</f>
        <v/>
      </c>
    </row>
    <row r="488">
      <c r="A488" s="2" t="n"/>
      <c r="B488" s="2" t="n"/>
      <c r="C488" s="2" t="n"/>
      <c r="D488" s="2" t="n"/>
      <c r="E488" s="2" t="n"/>
      <c r="F488" s="2" t="n"/>
      <c r="G488" s="2" t="n"/>
      <c r="H488" s="2" t="n"/>
      <c r="I488" s="2" t="n"/>
      <c r="J488" s="2" t="n"/>
      <c r="K488" s="2" t="n"/>
      <c r="L488" s="2" t="n"/>
      <c r="M488" s="2" t="n"/>
      <c r="N488" s="2" t="n"/>
      <c r="O488" s="2" t="n"/>
      <c r="P488" s="2" t="n"/>
      <c r="Q488" s="2">
        <f>IF(G488="","",TODAY()-G488)</f>
        <v/>
      </c>
    </row>
    <row r="489">
      <c r="A489" s="2" t="n"/>
      <c r="B489" s="2" t="n"/>
      <c r="C489" s="2" t="n"/>
      <c r="D489" s="2" t="n"/>
      <c r="E489" s="2" t="n"/>
      <c r="F489" s="2" t="n"/>
      <c r="G489" s="2" t="n"/>
      <c r="H489" s="2" t="n"/>
      <c r="I489" s="2" t="n"/>
      <c r="J489" s="2" t="n"/>
      <c r="K489" s="2" t="n"/>
      <c r="L489" s="2" t="n"/>
      <c r="M489" s="2" t="n"/>
      <c r="N489" s="2" t="n"/>
      <c r="O489" s="2" t="n"/>
      <c r="P489" s="2" t="n"/>
      <c r="Q489" s="2">
        <f>IF(G489="","",TODAY()-G489)</f>
        <v/>
      </c>
    </row>
    <row r="490">
      <c r="A490" s="2" t="n"/>
      <c r="B490" s="2" t="n"/>
      <c r="C490" s="2" t="n"/>
      <c r="D490" s="2" t="n"/>
      <c r="E490" s="2" t="n"/>
      <c r="F490" s="2" t="n"/>
      <c r="G490" s="2" t="n"/>
      <c r="H490" s="2" t="n"/>
      <c r="I490" s="2" t="n"/>
      <c r="J490" s="2" t="n"/>
      <c r="K490" s="2" t="n"/>
      <c r="L490" s="2" t="n"/>
      <c r="M490" s="2" t="n"/>
      <c r="N490" s="2" t="n"/>
      <c r="O490" s="2" t="n"/>
      <c r="P490" s="2" t="n"/>
      <c r="Q490" s="2">
        <f>IF(G490="","",TODAY()-G490)</f>
        <v/>
      </c>
    </row>
    <row r="491">
      <c r="A491" s="2" t="n"/>
      <c r="B491" s="2" t="n"/>
      <c r="C491" s="2" t="n"/>
      <c r="D491" s="2" t="n"/>
      <c r="E491" s="2" t="n"/>
      <c r="F491" s="2" t="n"/>
      <c r="G491" s="2" t="n"/>
      <c r="H491" s="2" t="n"/>
      <c r="I491" s="2" t="n"/>
      <c r="J491" s="2" t="n"/>
      <c r="K491" s="2" t="n"/>
      <c r="L491" s="2" t="n"/>
      <c r="M491" s="2" t="n"/>
      <c r="N491" s="2" t="n"/>
      <c r="O491" s="2" t="n"/>
      <c r="P491" s="2" t="n"/>
      <c r="Q491" s="2">
        <f>IF(G491="","",TODAY()-G491)</f>
        <v/>
      </c>
    </row>
    <row r="492">
      <c r="A492" s="2" t="n"/>
      <c r="B492" s="2" t="n"/>
      <c r="C492" s="2" t="n"/>
      <c r="D492" s="2" t="n"/>
      <c r="E492" s="2" t="n"/>
      <c r="F492" s="2" t="n"/>
      <c r="G492" s="2" t="n"/>
      <c r="H492" s="2" t="n"/>
      <c r="I492" s="2" t="n"/>
      <c r="J492" s="2" t="n"/>
      <c r="K492" s="2" t="n"/>
      <c r="L492" s="2" t="n"/>
      <c r="M492" s="2" t="n"/>
      <c r="N492" s="2" t="n"/>
      <c r="O492" s="2" t="n"/>
      <c r="P492" s="2" t="n"/>
      <c r="Q492" s="2">
        <f>IF(G492="","",TODAY()-G492)</f>
        <v/>
      </c>
    </row>
    <row r="493">
      <c r="A493" s="2" t="n"/>
      <c r="B493" s="2" t="n"/>
      <c r="C493" s="2" t="n"/>
      <c r="D493" s="2" t="n"/>
      <c r="E493" s="2" t="n"/>
      <c r="F493" s="2" t="n"/>
      <c r="G493" s="2" t="n"/>
      <c r="H493" s="2" t="n"/>
      <c r="I493" s="2" t="n"/>
      <c r="J493" s="2" t="n"/>
      <c r="K493" s="2" t="n"/>
      <c r="L493" s="2" t="n"/>
      <c r="M493" s="2" t="n"/>
      <c r="N493" s="2" t="n"/>
      <c r="O493" s="2" t="n"/>
      <c r="P493" s="2" t="n"/>
      <c r="Q493" s="2">
        <f>IF(G493="","",TODAY()-G493)</f>
        <v/>
      </c>
    </row>
    <row r="494">
      <c r="A494" s="2" t="n"/>
      <c r="B494" s="2" t="n"/>
      <c r="C494" s="2" t="n"/>
      <c r="D494" s="2" t="n"/>
      <c r="E494" s="2" t="n"/>
      <c r="F494" s="2" t="n"/>
      <c r="G494" s="2" t="n"/>
      <c r="H494" s="2" t="n"/>
      <c r="I494" s="2" t="n"/>
      <c r="J494" s="2" t="n"/>
      <c r="K494" s="2" t="n"/>
      <c r="L494" s="2" t="n"/>
      <c r="M494" s="2" t="n"/>
      <c r="N494" s="2" t="n"/>
      <c r="O494" s="2" t="n"/>
      <c r="P494" s="2" t="n"/>
      <c r="Q494" s="2">
        <f>IF(G494="","",TODAY()-G494)</f>
        <v/>
      </c>
    </row>
    <row r="495">
      <c r="A495" s="2" t="n"/>
      <c r="B495" s="2" t="n"/>
      <c r="C495" s="2" t="n"/>
      <c r="D495" s="2" t="n"/>
      <c r="E495" s="2" t="n"/>
      <c r="F495" s="2" t="n"/>
      <c r="G495" s="2" t="n"/>
      <c r="H495" s="2" t="n"/>
      <c r="I495" s="2" t="n"/>
      <c r="J495" s="2" t="n"/>
      <c r="K495" s="2" t="n"/>
      <c r="L495" s="2" t="n"/>
      <c r="M495" s="2" t="n"/>
      <c r="N495" s="2" t="n"/>
      <c r="O495" s="2" t="n"/>
      <c r="P495" s="2" t="n"/>
      <c r="Q495" s="2">
        <f>IF(G495="","",TODAY()-G495)</f>
        <v/>
      </c>
    </row>
    <row r="496">
      <c r="A496" s="2" t="n"/>
      <c r="B496" s="2" t="n"/>
      <c r="C496" s="2" t="n"/>
      <c r="D496" s="2" t="n"/>
      <c r="E496" s="2" t="n"/>
      <c r="F496" s="2" t="n"/>
      <c r="G496" s="2" t="n"/>
      <c r="H496" s="2" t="n"/>
      <c r="I496" s="2" t="n"/>
      <c r="J496" s="2" t="n"/>
      <c r="K496" s="2" t="n"/>
      <c r="L496" s="2" t="n"/>
      <c r="M496" s="2" t="n"/>
      <c r="N496" s="2" t="n"/>
      <c r="O496" s="2" t="n"/>
      <c r="P496" s="2" t="n"/>
      <c r="Q496" s="2">
        <f>IF(G496="","",TODAY()-G496)</f>
        <v/>
      </c>
    </row>
    <row r="497">
      <c r="A497" s="2" t="n"/>
      <c r="B497" s="2" t="n"/>
      <c r="C497" s="2" t="n"/>
      <c r="D497" s="2" t="n"/>
      <c r="E497" s="2" t="n"/>
      <c r="F497" s="2" t="n"/>
      <c r="G497" s="2" t="n"/>
      <c r="H497" s="2" t="n"/>
      <c r="I497" s="2" t="n"/>
      <c r="J497" s="2" t="n"/>
      <c r="K497" s="2" t="n"/>
      <c r="L497" s="2" t="n"/>
      <c r="M497" s="2" t="n"/>
      <c r="N497" s="2" t="n"/>
      <c r="O497" s="2" t="n"/>
      <c r="P497" s="2" t="n"/>
      <c r="Q497" s="2">
        <f>IF(G497="","",TODAY()-G497)</f>
        <v/>
      </c>
    </row>
    <row r="498">
      <c r="A498" s="2" t="n"/>
      <c r="B498" s="2" t="n"/>
      <c r="C498" s="2" t="n"/>
      <c r="D498" s="2" t="n"/>
      <c r="E498" s="2" t="n"/>
      <c r="F498" s="2" t="n"/>
      <c r="G498" s="2" t="n"/>
      <c r="H498" s="2" t="n"/>
      <c r="I498" s="2" t="n"/>
      <c r="J498" s="2" t="n"/>
      <c r="K498" s="2" t="n"/>
      <c r="L498" s="2" t="n"/>
      <c r="M498" s="2" t="n"/>
      <c r="N498" s="2" t="n"/>
      <c r="O498" s="2" t="n"/>
      <c r="P498" s="2" t="n"/>
      <c r="Q498" s="2">
        <f>IF(G498="","",TODAY()-G498)</f>
        <v/>
      </c>
    </row>
    <row r="499">
      <c r="A499" s="2" t="n"/>
      <c r="B499" s="2" t="n"/>
      <c r="C499" s="2" t="n"/>
      <c r="D499" s="2" t="n"/>
      <c r="E499" s="2" t="n"/>
      <c r="F499" s="2" t="n"/>
      <c r="G499" s="2" t="n"/>
      <c r="H499" s="2" t="n"/>
      <c r="I499" s="2" t="n"/>
      <c r="J499" s="2" t="n"/>
      <c r="K499" s="2" t="n"/>
      <c r="L499" s="2" t="n"/>
      <c r="M499" s="2" t="n"/>
      <c r="N499" s="2" t="n"/>
      <c r="O499" s="2" t="n"/>
      <c r="P499" s="2" t="n"/>
      <c r="Q499" s="2">
        <f>IF(G499="","",TODAY()-G499)</f>
        <v/>
      </c>
    </row>
    <row r="500">
      <c r="A500" s="2" t="n"/>
      <c r="B500" s="2" t="n"/>
      <c r="C500" s="2" t="n"/>
      <c r="D500" s="2" t="n"/>
      <c r="E500" s="2" t="n"/>
      <c r="F500" s="2" t="n"/>
      <c r="G500" s="2" t="n"/>
      <c r="H500" s="2" t="n"/>
      <c r="I500" s="2" t="n"/>
      <c r="J500" s="2" t="n"/>
      <c r="K500" s="2" t="n"/>
      <c r="L500" s="2" t="n"/>
      <c r="M500" s="2" t="n"/>
      <c r="N500" s="2" t="n"/>
      <c r="O500" s="2" t="n"/>
      <c r="P500" s="2" t="n"/>
      <c r="Q500" s="2">
        <f>IF(G500="","",TODAY()-G500)</f>
        <v/>
      </c>
    </row>
  </sheetData>
  <autoFilter ref="A1:Q500"/>
  <conditionalFormatting sqref="H2:H500">
    <cfRule type="cellIs" priority="1" operator="equal" dxfId="0">
      <formula>"PPO"</formula>
    </cfRule>
  </conditionalFormatting>
  <dataValidations count="3">
    <dataValidation sqref="H2:H500" showDropDown="0" showInputMessage="0" showErrorMessage="0" allowBlank="1" type="list">
      <formula1>"Shortlisted,Applied,Waiting,OA,Technical Interview,HR/Manager,Offer,Rejected,Ghosted,Withdrawn,PPO"</formula1>
    </dataValidation>
    <dataValidation sqref="F2:F500" showDropDown="0" showInputMessage="0" showErrorMessage="0" allowBlank="1" type="list">
      <formula1>"SDE,Backend,Full Stack,Cloud/DevOps"</formula1>
    </dataValidation>
    <dataValidation sqref="P2:P500" showDropDown="0" showInputMessage="0" showErrorMessage="0" allowBlank="1" type="list">
      <formula1>"Yes,No,Unknown"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00"/>
  <sheetViews>
    <sheetView workbookViewId="0">
      <pane ySplit="1" topLeftCell="A2" activePane="bottomLeft" state="frozen"/>
      <selection pane="bottomLeft" activeCell="A1" sqref="A1"/>
    </sheetView>
  </sheetViews>
  <sheetFormatPr baseColWidth="8" defaultRowHeight="15"/>
  <cols>
    <col width="14" customWidth="1" style="15" min="1" max="1"/>
    <col width="16" customWidth="1" style="15" min="2" max="2"/>
    <col width="12" customWidth="1" style="15" min="3" max="6"/>
    <col width="17" customWidth="1" style="15" min="7" max="7"/>
    <col width="12" customWidth="1" style="15" min="8" max="8"/>
    <col width="15" customWidth="1" style="15" min="9" max="9"/>
    <col width="21" customWidth="1" style="15" min="10" max="10"/>
    <col width="38" customWidth="1" style="15" min="11" max="11"/>
    <col width="42" customWidth="1" style="15" min="12" max="15"/>
  </cols>
  <sheetData>
    <row r="1">
      <c r="A1" s="1" t="inlineStr">
        <is>
          <t>Interview ID</t>
        </is>
      </c>
      <c r="B1" s="1" t="inlineStr">
        <is>
          <t>Application ID</t>
        </is>
      </c>
      <c r="C1" s="1" t="inlineStr">
        <is>
          <t>Company</t>
        </is>
      </c>
      <c r="D1" s="1" t="inlineStr">
        <is>
          <t>Role</t>
        </is>
      </c>
      <c r="E1" s="1" t="inlineStr">
        <is>
          <t>Stage</t>
        </is>
      </c>
      <c r="F1" s="1" t="inlineStr">
        <is>
          <t>Date</t>
        </is>
      </c>
      <c r="G1" s="1" t="inlineStr">
        <is>
          <t>Technical Score</t>
        </is>
      </c>
      <c r="H1" s="1" t="inlineStr">
        <is>
          <t>DSA Score</t>
        </is>
      </c>
      <c r="I1" s="1" t="inlineStr">
        <is>
          <t>Project Score</t>
        </is>
      </c>
      <c r="J1" s="1" t="inlineStr">
        <is>
          <t>Communication Score</t>
        </is>
      </c>
      <c r="K1" s="1" t="inlineStr">
        <is>
          <t>Overall Score</t>
        </is>
      </c>
      <c r="L1" s="1" t="inlineStr">
        <is>
          <t>Top Weaknesses</t>
        </is>
      </c>
      <c r="M1" s="1" t="inlineStr">
        <is>
          <t>Questions / Topics</t>
        </is>
      </c>
      <c r="N1" s="1" t="inlineStr">
        <is>
          <t>Next Preparation</t>
        </is>
      </c>
      <c r="O1" s="1" t="inlineStr">
        <is>
          <t>Notes</t>
        </is>
      </c>
    </row>
    <row r="2">
      <c r="A2" s="2" t="n"/>
      <c r="B2" s="2" t="n"/>
      <c r="C2" s="2" t="n"/>
      <c r="D2" s="2" t="n"/>
      <c r="E2" s="2" t="n"/>
      <c r="F2" s="2" t="n"/>
      <c r="G2" s="2" t="n"/>
      <c r="H2" s="2" t="n"/>
      <c r="I2" s="2" t="n"/>
      <c r="J2" s="2" t="n"/>
      <c r="K2" s="2">
        <f>IF(COUNTA(G2:J2)&lt;4,"",ROUND(AVERAGE(G2:J2),1))</f>
        <v/>
      </c>
      <c r="L2" s="2" t="n"/>
      <c r="M2" s="2" t="n"/>
      <c r="N2" s="2" t="n"/>
      <c r="O2" s="2" t="n"/>
    </row>
    <row r="3">
      <c r="A3" s="2" t="n"/>
      <c r="B3" s="2" t="n"/>
      <c r="C3" s="2" t="n"/>
      <c r="D3" s="2" t="n"/>
      <c r="E3" s="2" t="n"/>
      <c r="F3" s="2" t="n"/>
      <c r="G3" s="2" t="n"/>
      <c r="H3" s="2" t="n"/>
      <c r="I3" s="2" t="n"/>
      <c r="J3" s="2" t="n"/>
      <c r="K3" s="2">
        <f>IF(COUNTA(G3:J3)&lt;4,"",ROUND(AVERAGE(G3:J3),1))</f>
        <v/>
      </c>
      <c r="L3" s="2" t="n"/>
      <c r="M3" s="2" t="n"/>
      <c r="N3" s="2" t="n"/>
      <c r="O3" s="2" t="n"/>
    </row>
    <row r="4">
      <c r="A4" s="2" t="n"/>
      <c r="B4" s="2" t="n"/>
      <c r="C4" s="2" t="n"/>
      <c r="D4" s="2" t="n"/>
      <c r="E4" s="2" t="n"/>
      <c r="F4" s="2" t="n"/>
      <c r="G4" s="2" t="n"/>
      <c r="H4" s="2" t="n"/>
      <c r="I4" s="2" t="n"/>
      <c r="J4" s="2" t="n"/>
      <c r="K4" s="2">
        <f>IF(COUNTA(G4:J4)&lt;4,"",ROUND(AVERAGE(G4:J4),1))</f>
        <v/>
      </c>
      <c r="L4" s="2" t="n"/>
      <c r="M4" s="2" t="n"/>
      <c r="N4" s="2" t="n"/>
      <c r="O4" s="2" t="n"/>
    </row>
    <row r="5">
      <c r="A5" s="2" t="n"/>
      <c r="B5" s="2" t="n"/>
      <c r="C5" s="2" t="n"/>
      <c r="D5" s="2" t="n"/>
      <c r="E5" s="2" t="n"/>
      <c r="F5" s="2" t="n"/>
      <c r="G5" s="2" t="n"/>
      <c r="H5" s="2" t="n"/>
      <c r="I5" s="2" t="n"/>
      <c r="J5" s="2" t="n"/>
      <c r="K5" s="2">
        <f>IF(COUNTA(G5:J5)&lt;4,"",ROUND(AVERAGE(G5:J5),1))</f>
        <v/>
      </c>
      <c r="L5" s="2" t="n"/>
      <c r="M5" s="2" t="n"/>
      <c r="N5" s="2" t="n"/>
      <c r="O5" s="2" t="n"/>
    </row>
    <row r="6">
      <c r="A6" s="2" t="n"/>
      <c r="B6" s="2" t="n"/>
      <c r="C6" s="2" t="n"/>
      <c r="D6" s="2" t="n"/>
      <c r="E6" s="2" t="n"/>
      <c r="F6" s="2" t="n"/>
      <c r="G6" s="2" t="n"/>
      <c r="H6" s="2" t="n"/>
      <c r="I6" s="2" t="n"/>
      <c r="J6" s="2" t="n"/>
      <c r="K6" s="2">
        <f>IF(COUNTA(G6:J6)&lt;4,"",ROUND(AVERAGE(G6:J6),1))</f>
        <v/>
      </c>
      <c r="L6" s="2" t="n"/>
      <c r="M6" s="2" t="n"/>
      <c r="N6" s="2" t="n"/>
      <c r="O6" s="2" t="n"/>
    </row>
    <row r="7">
      <c r="A7" s="2" t="n"/>
      <c r="B7" s="2" t="n"/>
      <c r="C7" s="2" t="n"/>
      <c r="D7" s="2" t="n"/>
      <c r="E7" s="2" t="n"/>
      <c r="F7" s="2" t="n"/>
      <c r="G7" s="2" t="n"/>
      <c r="H7" s="2" t="n"/>
      <c r="I7" s="2" t="n"/>
      <c r="J7" s="2" t="n"/>
      <c r="K7" s="2">
        <f>IF(COUNTA(G7:J7)&lt;4,"",ROUND(AVERAGE(G7:J7),1))</f>
        <v/>
      </c>
      <c r="L7" s="2" t="n"/>
      <c r="M7" s="2" t="n"/>
      <c r="N7" s="2" t="n"/>
      <c r="O7" s="2" t="n"/>
    </row>
    <row r="8">
      <c r="A8" s="2" t="n"/>
      <c r="B8" s="2" t="n"/>
      <c r="C8" s="2" t="n"/>
      <c r="D8" s="2" t="n"/>
      <c r="E8" s="2" t="n"/>
      <c r="F8" s="2" t="n"/>
      <c r="G8" s="2" t="n"/>
      <c r="H8" s="2" t="n"/>
      <c r="I8" s="2" t="n"/>
      <c r="J8" s="2" t="n"/>
      <c r="K8" s="2">
        <f>IF(COUNTA(G8:J8)&lt;4,"",ROUND(AVERAGE(G8:J8),1))</f>
        <v/>
      </c>
      <c r="L8" s="2" t="n"/>
      <c r="M8" s="2" t="n"/>
      <c r="N8" s="2" t="n"/>
      <c r="O8" s="2" t="n"/>
    </row>
    <row r="9">
      <c r="A9" s="2" t="n"/>
      <c r="B9" s="2" t="n"/>
      <c r="C9" s="2" t="n"/>
      <c r="D9" s="2" t="n"/>
      <c r="E9" s="2" t="n"/>
      <c r="F9" s="2" t="n"/>
      <c r="G9" s="2" t="n"/>
      <c r="H9" s="2" t="n"/>
      <c r="I9" s="2" t="n"/>
      <c r="J9" s="2" t="n"/>
      <c r="K9" s="2">
        <f>IF(COUNTA(G9:J9)&lt;4,"",ROUND(AVERAGE(G9:J9),1))</f>
        <v/>
      </c>
      <c r="L9" s="2" t="n"/>
      <c r="M9" s="2" t="n"/>
      <c r="N9" s="2" t="n"/>
      <c r="O9" s="2" t="n"/>
    </row>
    <row r="10">
      <c r="A10" s="2" t="n"/>
      <c r="B10" s="2" t="n"/>
      <c r="C10" s="2" t="n"/>
      <c r="D10" s="2" t="n"/>
      <c r="E10" s="2" t="n"/>
      <c r="F10" s="2" t="n"/>
      <c r="G10" s="2" t="n"/>
      <c r="H10" s="2" t="n"/>
      <c r="I10" s="2" t="n"/>
      <c r="J10" s="2" t="n"/>
      <c r="K10" s="2">
        <f>IF(COUNTA(G10:J10)&lt;4,"",ROUND(AVERAGE(G10:J10),1))</f>
        <v/>
      </c>
      <c r="L10" s="2" t="n"/>
      <c r="M10" s="2" t="n"/>
      <c r="N10" s="2" t="n"/>
      <c r="O10" s="2" t="n"/>
    </row>
    <row r="11">
      <c r="A11" s="2" t="n"/>
      <c r="B11" s="2" t="n"/>
      <c r="C11" s="2" t="n"/>
      <c r="D11" s="2" t="n"/>
      <c r="E11" s="2" t="n"/>
      <c r="F11" s="2" t="n"/>
      <c r="G11" s="2" t="n"/>
      <c r="H11" s="2" t="n"/>
      <c r="I11" s="2" t="n"/>
      <c r="J11" s="2" t="n"/>
      <c r="K11" s="2">
        <f>IF(COUNTA(G11:J11)&lt;4,"",ROUND(AVERAGE(G11:J11),1))</f>
        <v/>
      </c>
      <c r="L11" s="2" t="n"/>
      <c r="M11" s="2" t="n"/>
      <c r="N11" s="2" t="n"/>
      <c r="O11" s="2" t="n"/>
    </row>
    <row r="12">
      <c r="A12" s="2" t="n"/>
      <c r="B12" s="2" t="n"/>
      <c r="C12" s="2" t="n"/>
      <c r="D12" s="2" t="n"/>
      <c r="E12" s="2" t="n"/>
      <c r="F12" s="2" t="n"/>
      <c r="G12" s="2" t="n"/>
      <c r="H12" s="2" t="n"/>
      <c r="I12" s="2" t="n"/>
      <c r="J12" s="2" t="n"/>
      <c r="K12" s="2">
        <f>IF(COUNTA(G12:J12)&lt;4,"",ROUND(AVERAGE(G12:J12),1))</f>
        <v/>
      </c>
      <c r="L12" s="2" t="n"/>
      <c r="M12" s="2" t="n"/>
      <c r="N12" s="2" t="n"/>
      <c r="O12" s="2" t="n"/>
    </row>
    <row r="13">
      <c r="A13" s="2" t="n"/>
      <c r="B13" s="2" t="n"/>
      <c r="C13" s="2" t="n"/>
      <c r="D13" s="2" t="n"/>
      <c r="E13" s="2" t="n"/>
      <c r="F13" s="2" t="n"/>
      <c r="G13" s="2" t="n"/>
      <c r="H13" s="2" t="n"/>
      <c r="I13" s="2" t="n"/>
      <c r="J13" s="2" t="n"/>
      <c r="K13" s="2">
        <f>IF(COUNTA(G13:J13)&lt;4,"",ROUND(AVERAGE(G13:J13),1))</f>
        <v/>
      </c>
      <c r="L13" s="2" t="n"/>
      <c r="M13" s="2" t="n"/>
      <c r="N13" s="2" t="n"/>
      <c r="O13" s="2" t="n"/>
    </row>
    <row r="14">
      <c r="A14" s="2" t="n"/>
      <c r="B14" s="2" t="n"/>
      <c r="C14" s="2" t="n"/>
      <c r="D14" s="2" t="n"/>
      <c r="E14" s="2" t="n"/>
      <c r="F14" s="2" t="n"/>
      <c r="G14" s="2" t="n"/>
      <c r="H14" s="2" t="n"/>
      <c r="I14" s="2" t="n"/>
      <c r="J14" s="2" t="n"/>
      <c r="K14" s="2">
        <f>IF(COUNTA(G14:J14)&lt;4,"",ROUND(AVERAGE(G14:J14),1))</f>
        <v/>
      </c>
      <c r="L14" s="2" t="n"/>
      <c r="M14" s="2" t="n"/>
      <c r="N14" s="2" t="n"/>
      <c r="O14" s="2" t="n"/>
    </row>
    <row r="15">
      <c r="A15" s="2" t="n"/>
      <c r="B15" s="2" t="n"/>
      <c r="C15" s="2" t="n"/>
      <c r="D15" s="2" t="n"/>
      <c r="E15" s="2" t="n"/>
      <c r="F15" s="2" t="n"/>
      <c r="G15" s="2" t="n"/>
      <c r="H15" s="2" t="n"/>
      <c r="I15" s="2" t="n"/>
      <c r="J15" s="2" t="n"/>
      <c r="K15" s="2">
        <f>IF(COUNTA(G15:J15)&lt;4,"",ROUND(AVERAGE(G15:J15),1))</f>
        <v/>
      </c>
      <c r="L15" s="2" t="n"/>
      <c r="M15" s="2" t="n"/>
      <c r="N15" s="2" t="n"/>
      <c r="O15" s="2" t="n"/>
    </row>
    <row r="16">
      <c r="A16" s="2" t="n"/>
      <c r="B16" s="2" t="n"/>
      <c r="C16" s="2" t="n"/>
      <c r="D16" s="2" t="n"/>
      <c r="E16" s="2" t="n"/>
      <c r="F16" s="2" t="n"/>
      <c r="G16" s="2" t="n"/>
      <c r="H16" s="2" t="n"/>
      <c r="I16" s="2" t="n"/>
      <c r="J16" s="2" t="n"/>
      <c r="K16" s="2">
        <f>IF(COUNTA(G16:J16)&lt;4,"",ROUND(AVERAGE(G16:J16),1))</f>
        <v/>
      </c>
      <c r="L16" s="2" t="n"/>
      <c r="M16" s="2" t="n"/>
      <c r="N16" s="2" t="n"/>
      <c r="O16" s="2" t="n"/>
    </row>
    <row r="17">
      <c r="A17" s="2" t="n"/>
      <c r="B17" s="2" t="n"/>
      <c r="C17" s="2" t="n"/>
      <c r="D17" s="2" t="n"/>
      <c r="E17" s="2" t="n"/>
      <c r="F17" s="2" t="n"/>
      <c r="G17" s="2" t="n"/>
      <c r="H17" s="2" t="n"/>
      <c r="I17" s="2" t="n"/>
      <c r="J17" s="2" t="n"/>
      <c r="K17" s="2">
        <f>IF(COUNTA(G17:J17)&lt;4,"",ROUND(AVERAGE(G17:J17),1))</f>
        <v/>
      </c>
      <c r="L17" s="2" t="n"/>
      <c r="M17" s="2" t="n"/>
      <c r="N17" s="2" t="n"/>
      <c r="O17" s="2" t="n"/>
    </row>
    <row r="18">
      <c r="A18" s="2" t="n"/>
      <c r="B18" s="2" t="n"/>
      <c r="C18" s="2" t="n"/>
      <c r="D18" s="2" t="n"/>
      <c r="E18" s="2" t="n"/>
      <c r="F18" s="2" t="n"/>
      <c r="G18" s="2" t="n"/>
      <c r="H18" s="2" t="n"/>
      <c r="I18" s="2" t="n"/>
      <c r="J18" s="2" t="n"/>
      <c r="K18" s="2">
        <f>IF(COUNTA(G18:J18)&lt;4,"",ROUND(AVERAGE(G18:J18),1))</f>
        <v/>
      </c>
      <c r="L18" s="2" t="n"/>
      <c r="M18" s="2" t="n"/>
      <c r="N18" s="2" t="n"/>
      <c r="O18" s="2" t="n"/>
    </row>
    <row r="19">
      <c r="A19" s="2" t="n"/>
      <c r="B19" s="2" t="n"/>
      <c r="C19" s="2" t="n"/>
      <c r="D19" s="2" t="n"/>
      <c r="E19" s="2" t="n"/>
      <c r="F19" s="2" t="n"/>
      <c r="G19" s="2" t="n"/>
      <c r="H19" s="2" t="n"/>
      <c r="I19" s="2" t="n"/>
      <c r="J19" s="2" t="n"/>
      <c r="K19" s="2">
        <f>IF(COUNTA(G19:J19)&lt;4,"",ROUND(AVERAGE(G19:J19),1))</f>
        <v/>
      </c>
      <c r="L19" s="2" t="n"/>
      <c r="M19" s="2" t="n"/>
      <c r="N19" s="2" t="n"/>
      <c r="O19" s="2" t="n"/>
    </row>
    <row r="20">
      <c r="A20" s="2" t="n"/>
      <c r="B20" s="2" t="n"/>
      <c r="C20" s="2" t="n"/>
      <c r="D20" s="2" t="n"/>
      <c r="E20" s="2" t="n"/>
      <c r="F20" s="2" t="n"/>
      <c r="G20" s="2" t="n"/>
      <c r="H20" s="2" t="n"/>
      <c r="I20" s="2" t="n"/>
      <c r="J20" s="2" t="n"/>
      <c r="K20" s="2">
        <f>IF(COUNTA(G20:J20)&lt;4,"",ROUND(AVERAGE(G20:J20),1))</f>
        <v/>
      </c>
      <c r="L20" s="2" t="n"/>
      <c r="M20" s="2" t="n"/>
      <c r="N20" s="2" t="n"/>
      <c r="O20" s="2" t="n"/>
    </row>
    <row r="21">
      <c r="A21" s="2" t="n"/>
      <c r="B21" s="2" t="n"/>
      <c r="C21" s="2" t="n"/>
      <c r="D21" s="2" t="n"/>
      <c r="E21" s="2" t="n"/>
      <c r="F21" s="2" t="n"/>
      <c r="G21" s="2" t="n"/>
      <c r="H21" s="2" t="n"/>
      <c r="I21" s="2" t="n"/>
      <c r="J21" s="2" t="n"/>
      <c r="K21" s="2">
        <f>IF(COUNTA(G21:J21)&lt;4,"",ROUND(AVERAGE(G21:J21),1))</f>
        <v/>
      </c>
      <c r="L21" s="2" t="n"/>
      <c r="M21" s="2" t="n"/>
      <c r="N21" s="2" t="n"/>
      <c r="O21" s="2" t="n"/>
    </row>
    <row r="22">
      <c r="A22" s="2" t="n"/>
      <c r="B22" s="2" t="n"/>
      <c r="C22" s="2" t="n"/>
      <c r="D22" s="2" t="n"/>
      <c r="E22" s="2" t="n"/>
      <c r="F22" s="2" t="n"/>
      <c r="G22" s="2" t="n"/>
      <c r="H22" s="2" t="n"/>
      <c r="I22" s="2" t="n"/>
      <c r="J22" s="2" t="n"/>
      <c r="K22" s="2">
        <f>IF(COUNTA(G22:J22)&lt;4,"",ROUND(AVERAGE(G22:J22),1))</f>
        <v/>
      </c>
      <c r="L22" s="2" t="n"/>
      <c r="M22" s="2" t="n"/>
      <c r="N22" s="2" t="n"/>
      <c r="O22" s="2" t="n"/>
    </row>
    <row r="23">
      <c r="A23" s="2" t="n"/>
      <c r="B23" s="2" t="n"/>
      <c r="C23" s="2" t="n"/>
      <c r="D23" s="2" t="n"/>
      <c r="E23" s="2" t="n"/>
      <c r="F23" s="2" t="n"/>
      <c r="G23" s="2" t="n"/>
      <c r="H23" s="2" t="n"/>
      <c r="I23" s="2" t="n"/>
      <c r="J23" s="2" t="n"/>
      <c r="K23" s="2">
        <f>IF(COUNTA(G23:J23)&lt;4,"",ROUND(AVERAGE(G23:J23),1))</f>
        <v/>
      </c>
      <c r="L23" s="2" t="n"/>
      <c r="M23" s="2" t="n"/>
      <c r="N23" s="2" t="n"/>
      <c r="O23" s="2" t="n"/>
    </row>
    <row r="24">
      <c r="A24" s="2" t="n"/>
      <c r="B24" s="2" t="n"/>
      <c r="C24" s="2" t="n"/>
      <c r="D24" s="2" t="n"/>
      <c r="E24" s="2" t="n"/>
      <c r="F24" s="2" t="n"/>
      <c r="G24" s="2" t="n"/>
      <c r="H24" s="2" t="n"/>
      <c r="I24" s="2" t="n"/>
      <c r="J24" s="2" t="n"/>
      <c r="K24" s="2">
        <f>IF(COUNTA(G24:J24)&lt;4,"",ROUND(AVERAGE(G24:J24),1))</f>
        <v/>
      </c>
      <c r="L24" s="2" t="n"/>
      <c r="M24" s="2" t="n"/>
      <c r="N24" s="2" t="n"/>
      <c r="O24" s="2" t="n"/>
    </row>
    <row r="25">
      <c r="A25" s="2" t="n"/>
      <c r="B25" s="2" t="n"/>
      <c r="C25" s="2" t="n"/>
      <c r="D25" s="2" t="n"/>
      <c r="E25" s="2" t="n"/>
      <c r="F25" s="2" t="n"/>
      <c r="G25" s="2" t="n"/>
      <c r="H25" s="2" t="n"/>
      <c r="I25" s="2" t="n"/>
      <c r="J25" s="2" t="n"/>
      <c r="K25" s="2">
        <f>IF(COUNTA(G25:J25)&lt;4,"",ROUND(AVERAGE(G25:J25),1))</f>
        <v/>
      </c>
      <c r="L25" s="2" t="n"/>
      <c r="M25" s="2" t="n"/>
      <c r="N25" s="2" t="n"/>
      <c r="O25" s="2" t="n"/>
    </row>
    <row r="26">
      <c r="A26" s="2" t="n"/>
      <c r="B26" s="2" t="n"/>
      <c r="C26" s="2" t="n"/>
      <c r="D26" s="2" t="n"/>
      <c r="E26" s="2" t="n"/>
      <c r="F26" s="2" t="n"/>
      <c r="G26" s="2" t="n"/>
      <c r="H26" s="2" t="n"/>
      <c r="I26" s="2" t="n"/>
      <c r="J26" s="2" t="n"/>
      <c r="K26" s="2">
        <f>IF(COUNTA(G26:J26)&lt;4,"",ROUND(AVERAGE(G26:J26),1))</f>
        <v/>
      </c>
      <c r="L26" s="2" t="n"/>
      <c r="M26" s="2" t="n"/>
      <c r="N26" s="2" t="n"/>
      <c r="O26" s="2" t="n"/>
    </row>
    <row r="27">
      <c r="A27" s="2" t="n"/>
      <c r="B27" s="2" t="n"/>
      <c r="C27" s="2" t="n"/>
      <c r="D27" s="2" t="n"/>
      <c r="E27" s="2" t="n"/>
      <c r="F27" s="2" t="n"/>
      <c r="G27" s="2" t="n"/>
      <c r="H27" s="2" t="n"/>
      <c r="I27" s="2" t="n"/>
      <c r="J27" s="2" t="n"/>
      <c r="K27" s="2">
        <f>IF(COUNTA(G27:J27)&lt;4,"",ROUND(AVERAGE(G27:J27),1))</f>
        <v/>
      </c>
      <c r="L27" s="2" t="n"/>
      <c r="M27" s="2" t="n"/>
      <c r="N27" s="2" t="n"/>
      <c r="O27" s="2" t="n"/>
    </row>
    <row r="28">
      <c r="A28" s="2" t="n"/>
      <c r="B28" s="2" t="n"/>
      <c r="C28" s="2" t="n"/>
      <c r="D28" s="2" t="n"/>
      <c r="E28" s="2" t="n"/>
      <c r="F28" s="2" t="n"/>
      <c r="G28" s="2" t="n"/>
      <c r="H28" s="2" t="n"/>
      <c r="I28" s="2" t="n"/>
      <c r="J28" s="2" t="n"/>
      <c r="K28" s="2">
        <f>IF(COUNTA(G28:J28)&lt;4,"",ROUND(AVERAGE(G28:J28),1))</f>
        <v/>
      </c>
      <c r="L28" s="2" t="n"/>
      <c r="M28" s="2" t="n"/>
      <c r="N28" s="2" t="n"/>
      <c r="O28" s="2" t="n"/>
    </row>
    <row r="29">
      <c r="A29" s="2" t="n"/>
      <c r="B29" s="2" t="n"/>
      <c r="C29" s="2" t="n"/>
      <c r="D29" s="2" t="n"/>
      <c r="E29" s="2" t="n"/>
      <c r="F29" s="2" t="n"/>
      <c r="G29" s="2" t="n"/>
      <c r="H29" s="2" t="n"/>
      <c r="I29" s="2" t="n"/>
      <c r="J29" s="2" t="n"/>
      <c r="K29" s="2">
        <f>IF(COUNTA(G29:J29)&lt;4,"",ROUND(AVERAGE(G29:J29),1))</f>
        <v/>
      </c>
      <c r="L29" s="2" t="n"/>
      <c r="M29" s="2" t="n"/>
      <c r="N29" s="2" t="n"/>
      <c r="O29" s="2" t="n"/>
    </row>
    <row r="30">
      <c r="A30" s="2" t="n"/>
      <c r="B30" s="2" t="n"/>
      <c r="C30" s="2" t="n"/>
      <c r="D30" s="2" t="n"/>
      <c r="E30" s="2" t="n"/>
      <c r="F30" s="2" t="n"/>
      <c r="G30" s="2" t="n"/>
      <c r="H30" s="2" t="n"/>
      <c r="I30" s="2" t="n"/>
      <c r="J30" s="2" t="n"/>
      <c r="K30" s="2">
        <f>IF(COUNTA(G30:J30)&lt;4,"",ROUND(AVERAGE(G30:J30),1))</f>
        <v/>
      </c>
      <c r="L30" s="2" t="n"/>
      <c r="M30" s="2" t="n"/>
      <c r="N30" s="2" t="n"/>
      <c r="O30" s="2" t="n"/>
    </row>
    <row r="31">
      <c r="A31" s="2" t="n"/>
      <c r="B31" s="2" t="n"/>
      <c r="C31" s="2" t="n"/>
      <c r="D31" s="2" t="n"/>
      <c r="E31" s="2" t="n"/>
      <c r="F31" s="2" t="n"/>
      <c r="G31" s="2" t="n"/>
      <c r="H31" s="2" t="n"/>
      <c r="I31" s="2" t="n"/>
      <c r="J31" s="2" t="n"/>
      <c r="K31" s="2">
        <f>IF(COUNTA(G31:J31)&lt;4,"",ROUND(AVERAGE(G31:J31),1))</f>
        <v/>
      </c>
      <c r="L31" s="2" t="n"/>
      <c r="M31" s="2" t="n"/>
      <c r="N31" s="2" t="n"/>
      <c r="O31" s="2" t="n"/>
    </row>
    <row r="32">
      <c r="A32" s="2" t="n"/>
      <c r="B32" s="2" t="n"/>
      <c r="C32" s="2" t="n"/>
      <c r="D32" s="2" t="n"/>
      <c r="E32" s="2" t="n"/>
      <c r="F32" s="2" t="n"/>
      <c r="G32" s="2" t="n"/>
      <c r="H32" s="2" t="n"/>
      <c r="I32" s="2" t="n"/>
      <c r="J32" s="2" t="n"/>
      <c r="K32" s="2">
        <f>IF(COUNTA(G32:J32)&lt;4,"",ROUND(AVERAGE(G32:J32),1))</f>
        <v/>
      </c>
      <c r="L32" s="2" t="n"/>
      <c r="M32" s="2" t="n"/>
      <c r="N32" s="2" t="n"/>
      <c r="O32" s="2" t="n"/>
    </row>
    <row r="33">
      <c r="A33" s="2" t="n"/>
      <c r="B33" s="2" t="n"/>
      <c r="C33" s="2" t="n"/>
      <c r="D33" s="2" t="n"/>
      <c r="E33" s="2" t="n"/>
      <c r="F33" s="2" t="n"/>
      <c r="G33" s="2" t="n"/>
      <c r="H33" s="2" t="n"/>
      <c r="I33" s="2" t="n"/>
      <c r="J33" s="2" t="n"/>
      <c r="K33" s="2">
        <f>IF(COUNTA(G33:J33)&lt;4,"",ROUND(AVERAGE(G33:J33),1))</f>
        <v/>
      </c>
      <c r="L33" s="2" t="n"/>
      <c r="M33" s="2" t="n"/>
      <c r="N33" s="2" t="n"/>
      <c r="O33" s="2" t="n"/>
    </row>
    <row r="34">
      <c r="A34" s="2" t="n"/>
      <c r="B34" s="2" t="n"/>
      <c r="C34" s="2" t="n"/>
      <c r="D34" s="2" t="n"/>
      <c r="E34" s="2" t="n"/>
      <c r="F34" s="2" t="n"/>
      <c r="G34" s="2" t="n"/>
      <c r="H34" s="2" t="n"/>
      <c r="I34" s="2" t="n"/>
      <c r="J34" s="2" t="n"/>
      <c r="K34" s="2">
        <f>IF(COUNTA(G34:J34)&lt;4,"",ROUND(AVERAGE(G34:J34),1))</f>
        <v/>
      </c>
      <c r="L34" s="2" t="n"/>
      <c r="M34" s="2" t="n"/>
      <c r="N34" s="2" t="n"/>
      <c r="O34" s="2" t="n"/>
    </row>
    <row r="35">
      <c r="A35" s="2" t="n"/>
      <c r="B35" s="2" t="n"/>
      <c r="C35" s="2" t="n"/>
      <c r="D35" s="2" t="n"/>
      <c r="E35" s="2" t="n"/>
      <c r="F35" s="2" t="n"/>
      <c r="G35" s="2" t="n"/>
      <c r="H35" s="2" t="n"/>
      <c r="I35" s="2" t="n"/>
      <c r="J35" s="2" t="n"/>
      <c r="K35" s="2">
        <f>IF(COUNTA(G35:J35)&lt;4,"",ROUND(AVERAGE(G35:J35),1))</f>
        <v/>
      </c>
      <c r="L35" s="2" t="n"/>
      <c r="M35" s="2" t="n"/>
      <c r="N35" s="2" t="n"/>
      <c r="O35" s="2" t="n"/>
    </row>
    <row r="36">
      <c r="A36" s="2" t="n"/>
      <c r="B36" s="2" t="n"/>
      <c r="C36" s="2" t="n"/>
      <c r="D36" s="2" t="n"/>
      <c r="E36" s="2" t="n"/>
      <c r="F36" s="2" t="n"/>
      <c r="G36" s="2" t="n"/>
      <c r="H36" s="2" t="n"/>
      <c r="I36" s="2" t="n"/>
      <c r="J36" s="2" t="n"/>
      <c r="K36" s="2">
        <f>IF(COUNTA(G36:J36)&lt;4,"",ROUND(AVERAGE(G36:J36),1))</f>
        <v/>
      </c>
      <c r="L36" s="2" t="n"/>
      <c r="M36" s="2" t="n"/>
      <c r="N36" s="2" t="n"/>
      <c r="O36" s="2" t="n"/>
    </row>
    <row r="37">
      <c r="A37" s="2" t="n"/>
      <c r="B37" s="2" t="n"/>
      <c r="C37" s="2" t="n"/>
      <c r="D37" s="2" t="n"/>
      <c r="E37" s="2" t="n"/>
      <c r="F37" s="2" t="n"/>
      <c r="G37" s="2" t="n"/>
      <c r="H37" s="2" t="n"/>
      <c r="I37" s="2" t="n"/>
      <c r="J37" s="2" t="n"/>
      <c r="K37" s="2">
        <f>IF(COUNTA(G37:J37)&lt;4,"",ROUND(AVERAGE(G37:J37),1))</f>
        <v/>
      </c>
      <c r="L37" s="2" t="n"/>
      <c r="M37" s="2" t="n"/>
      <c r="N37" s="2" t="n"/>
      <c r="O37" s="2" t="n"/>
    </row>
    <row r="38">
      <c r="A38" s="2" t="n"/>
      <c r="B38" s="2" t="n"/>
      <c r="C38" s="2" t="n"/>
      <c r="D38" s="2" t="n"/>
      <c r="E38" s="2" t="n"/>
      <c r="F38" s="2" t="n"/>
      <c r="G38" s="2" t="n"/>
      <c r="H38" s="2" t="n"/>
      <c r="I38" s="2" t="n"/>
      <c r="J38" s="2" t="n"/>
      <c r="K38" s="2">
        <f>IF(COUNTA(G38:J38)&lt;4,"",ROUND(AVERAGE(G38:J38),1))</f>
        <v/>
      </c>
      <c r="L38" s="2" t="n"/>
      <c r="M38" s="2" t="n"/>
      <c r="N38" s="2" t="n"/>
      <c r="O38" s="2" t="n"/>
    </row>
    <row r="39">
      <c r="A39" s="2" t="n"/>
      <c r="B39" s="2" t="n"/>
      <c r="C39" s="2" t="n"/>
      <c r="D39" s="2" t="n"/>
      <c r="E39" s="2" t="n"/>
      <c r="F39" s="2" t="n"/>
      <c r="G39" s="2" t="n"/>
      <c r="H39" s="2" t="n"/>
      <c r="I39" s="2" t="n"/>
      <c r="J39" s="2" t="n"/>
      <c r="K39" s="2">
        <f>IF(COUNTA(G39:J39)&lt;4,"",ROUND(AVERAGE(G39:J39),1))</f>
        <v/>
      </c>
      <c r="L39" s="2" t="n"/>
      <c r="M39" s="2" t="n"/>
      <c r="N39" s="2" t="n"/>
      <c r="O39" s="2" t="n"/>
    </row>
    <row r="40">
      <c r="A40" s="2" t="n"/>
      <c r="B40" s="2" t="n"/>
      <c r="C40" s="2" t="n"/>
      <c r="D40" s="2" t="n"/>
      <c r="E40" s="2" t="n"/>
      <c r="F40" s="2" t="n"/>
      <c r="G40" s="2" t="n"/>
      <c r="H40" s="2" t="n"/>
      <c r="I40" s="2" t="n"/>
      <c r="J40" s="2" t="n"/>
      <c r="K40" s="2">
        <f>IF(COUNTA(G40:J40)&lt;4,"",ROUND(AVERAGE(G40:J40),1))</f>
        <v/>
      </c>
      <c r="L40" s="2" t="n"/>
      <c r="M40" s="2" t="n"/>
      <c r="N40" s="2" t="n"/>
      <c r="O40" s="2" t="n"/>
    </row>
    <row r="41">
      <c r="A41" s="2" t="n"/>
      <c r="B41" s="2" t="n"/>
      <c r="C41" s="2" t="n"/>
      <c r="D41" s="2" t="n"/>
      <c r="E41" s="2" t="n"/>
      <c r="F41" s="2" t="n"/>
      <c r="G41" s="2" t="n"/>
      <c r="H41" s="2" t="n"/>
      <c r="I41" s="2" t="n"/>
      <c r="J41" s="2" t="n"/>
      <c r="K41" s="2">
        <f>IF(COUNTA(G41:J41)&lt;4,"",ROUND(AVERAGE(G41:J41),1))</f>
        <v/>
      </c>
      <c r="L41" s="2" t="n"/>
      <c r="M41" s="2" t="n"/>
      <c r="N41" s="2" t="n"/>
      <c r="O41" s="2" t="n"/>
    </row>
    <row r="42">
      <c r="A42" s="2" t="n"/>
      <c r="B42" s="2" t="n"/>
      <c r="C42" s="2" t="n"/>
      <c r="D42" s="2" t="n"/>
      <c r="E42" s="2" t="n"/>
      <c r="F42" s="2" t="n"/>
      <c r="G42" s="2" t="n"/>
      <c r="H42" s="2" t="n"/>
      <c r="I42" s="2" t="n"/>
      <c r="J42" s="2" t="n"/>
      <c r="K42" s="2">
        <f>IF(COUNTA(G42:J42)&lt;4,"",ROUND(AVERAGE(G42:J42),1))</f>
        <v/>
      </c>
      <c r="L42" s="2" t="n"/>
      <c r="M42" s="2" t="n"/>
      <c r="N42" s="2" t="n"/>
      <c r="O42" s="2" t="n"/>
    </row>
    <row r="43">
      <c r="A43" s="2" t="n"/>
      <c r="B43" s="2" t="n"/>
      <c r="C43" s="2" t="n"/>
      <c r="D43" s="2" t="n"/>
      <c r="E43" s="2" t="n"/>
      <c r="F43" s="2" t="n"/>
      <c r="G43" s="2" t="n"/>
      <c r="H43" s="2" t="n"/>
      <c r="I43" s="2" t="n"/>
      <c r="J43" s="2" t="n"/>
      <c r="K43" s="2">
        <f>IF(COUNTA(G43:J43)&lt;4,"",ROUND(AVERAGE(G43:J43),1))</f>
        <v/>
      </c>
      <c r="L43" s="2" t="n"/>
      <c r="M43" s="2" t="n"/>
      <c r="N43" s="2" t="n"/>
      <c r="O43" s="2" t="n"/>
    </row>
    <row r="44">
      <c r="A44" s="2" t="n"/>
      <c r="B44" s="2" t="n"/>
      <c r="C44" s="2" t="n"/>
      <c r="D44" s="2" t="n"/>
      <c r="E44" s="2" t="n"/>
      <c r="F44" s="2" t="n"/>
      <c r="G44" s="2" t="n"/>
      <c r="H44" s="2" t="n"/>
      <c r="I44" s="2" t="n"/>
      <c r="J44" s="2" t="n"/>
      <c r="K44" s="2">
        <f>IF(COUNTA(G44:J44)&lt;4,"",ROUND(AVERAGE(G44:J44),1))</f>
        <v/>
      </c>
      <c r="L44" s="2" t="n"/>
      <c r="M44" s="2" t="n"/>
      <c r="N44" s="2" t="n"/>
      <c r="O44" s="2" t="n"/>
    </row>
    <row r="45">
      <c r="A45" s="2" t="n"/>
      <c r="B45" s="2" t="n"/>
      <c r="C45" s="2" t="n"/>
      <c r="D45" s="2" t="n"/>
      <c r="E45" s="2" t="n"/>
      <c r="F45" s="2" t="n"/>
      <c r="G45" s="2" t="n"/>
      <c r="H45" s="2" t="n"/>
      <c r="I45" s="2" t="n"/>
      <c r="J45" s="2" t="n"/>
      <c r="K45" s="2">
        <f>IF(COUNTA(G45:J45)&lt;4,"",ROUND(AVERAGE(G45:J45),1))</f>
        <v/>
      </c>
      <c r="L45" s="2" t="n"/>
      <c r="M45" s="2" t="n"/>
      <c r="N45" s="2" t="n"/>
      <c r="O45" s="2" t="n"/>
    </row>
    <row r="46">
      <c r="A46" s="2" t="n"/>
      <c r="B46" s="2" t="n"/>
      <c r="C46" s="2" t="n"/>
      <c r="D46" s="2" t="n"/>
      <c r="E46" s="2" t="n"/>
      <c r="F46" s="2" t="n"/>
      <c r="G46" s="2" t="n"/>
      <c r="H46" s="2" t="n"/>
      <c r="I46" s="2" t="n"/>
      <c r="J46" s="2" t="n"/>
      <c r="K46" s="2">
        <f>IF(COUNTA(G46:J46)&lt;4,"",ROUND(AVERAGE(G46:J46),1))</f>
        <v/>
      </c>
      <c r="L46" s="2" t="n"/>
      <c r="M46" s="2" t="n"/>
      <c r="N46" s="2" t="n"/>
      <c r="O46" s="2" t="n"/>
    </row>
    <row r="47">
      <c r="A47" s="2" t="n"/>
      <c r="B47" s="2" t="n"/>
      <c r="C47" s="2" t="n"/>
      <c r="D47" s="2" t="n"/>
      <c r="E47" s="2" t="n"/>
      <c r="F47" s="2" t="n"/>
      <c r="G47" s="2" t="n"/>
      <c r="H47" s="2" t="n"/>
      <c r="I47" s="2" t="n"/>
      <c r="J47" s="2" t="n"/>
      <c r="K47" s="2">
        <f>IF(COUNTA(G47:J47)&lt;4,"",ROUND(AVERAGE(G47:J47),1))</f>
        <v/>
      </c>
      <c r="L47" s="2" t="n"/>
      <c r="M47" s="2" t="n"/>
      <c r="N47" s="2" t="n"/>
      <c r="O47" s="2" t="n"/>
    </row>
    <row r="48">
      <c r="A48" s="2" t="n"/>
      <c r="B48" s="2" t="n"/>
      <c r="C48" s="2" t="n"/>
      <c r="D48" s="2" t="n"/>
      <c r="E48" s="2" t="n"/>
      <c r="F48" s="2" t="n"/>
      <c r="G48" s="2" t="n"/>
      <c r="H48" s="2" t="n"/>
      <c r="I48" s="2" t="n"/>
      <c r="J48" s="2" t="n"/>
      <c r="K48" s="2">
        <f>IF(COUNTA(G48:J48)&lt;4,"",ROUND(AVERAGE(G48:J48),1))</f>
        <v/>
      </c>
      <c r="L48" s="2" t="n"/>
      <c r="M48" s="2" t="n"/>
      <c r="N48" s="2" t="n"/>
      <c r="O48" s="2" t="n"/>
    </row>
    <row r="49">
      <c r="A49" s="2" t="n"/>
      <c r="B49" s="2" t="n"/>
      <c r="C49" s="2" t="n"/>
      <c r="D49" s="2" t="n"/>
      <c r="E49" s="2" t="n"/>
      <c r="F49" s="2" t="n"/>
      <c r="G49" s="2" t="n"/>
      <c r="H49" s="2" t="n"/>
      <c r="I49" s="2" t="n"/>
      <c r="J49" s="2" t="n"/>
      <c r="K49" s="2">
        <f>IF(COUNTA(G49:J49)&lt;4,"",ROUND(AVERAGE(G49:J49),1))</f>
        <v/>
      </c>
      <c r="L49" s="2" t="n"/>
      <c r="M49" s="2" t="n"/>
      <c r="N49" s="2" t="n"/>
      <c r="O49" s="2" t="n"/>
    </row>
    <row r="50">
      <c r="A50" s="2" t="n"/>
      <c r="B50" s="2" t="n"/>
      <c r="C50" s="2" t="n"/>
      <c r="D50" s="2" t="n"/>
      <c r="E50" s="2" t="n"/>
      <c r="F50" s="2" t="n"/>
      <c r="G50" s="2" t="n"/>
      <c r="H50" s="2" t="n"/>
      <c r="I50" s="2" t="n"/>
      <c r="J50" s="2" t="n"/>
      <c r="K50" s="2">
        <f>IF(COUNTA(G50:J50)&lt;4,"",ROUND(AVERAGE(G50:J50),1))</f>
        <v/>
      </c>
      <c r="L50" s="2" t="n"/>
      <c r="M50" s="2" t="n"/>
      <c r="N50" s="2" t="n"/>
      <c r="O50" s="2" t="n"/>
    </row>
    <row r="51">
      <c r="A51" s="2" t="n"/>
      <c r="B51" s="2" t="n"/>
      <c r="C51" s="2" t="n"/>
      <c r="D51" s="2" t="n"/>
      <c r="E51" s="2" t="n"/>
      <c r="F51" s="2" t="n"/>
      <c r="G51" s="2" t="n"/>
      <c r="H51" s="2" t="n"/>
      <c r="I51" s="2" t="n"/>
      <c r="J51" s="2" t="n"/>
      <c r="K51" s="2">
        <f>IF(COUNTA(G51:J51)&lt;4,"",ROUND(AVERAGE(G51:J51),1))</f>
        <v/>
      </c>
      <c r="L51" s="2" t="n"/>
      <c r="M51" s="2" t="n"/>
      <c r="N51" s="2" t="n"/>
      <c r="O51" s="2" t="n"/>
    </row>
    <row r="52">
      <c r="A52" s="2" t="n"/>
      <c r="B52" s="2" t="n"/>
      <c r="C52" s="2" t="n"/>
      <c r="D52" s="2" t="n"/>
      <c r="E52" s="2" t="n"/>
      <c r="F52" s="2" t="n"/>
      <c r="G52" s="2" t="n"/>
      <c r="H52" s="2" t="n"/>
      <c r="I52" s="2" t="n"/>
      <c r="J52" s="2" t="n"/>
      <c r="K52" s="2">
        <f>IF(COUNTA(G52:J52)&lt;4,"",ROUND(AVERAGE(G52:J52),1))</f>
        <v/>
      </c>
      <c r="L52" s="2" t="n"/>
      <c r="M52" s="2" t="n"/>
      <c r="N52" s="2" t="n"/>
      <c r="O52" s="2" t="n"/>
    </row>
    <row r="53">
      <c r="A53" s="2" t="n"/>
      <c r="B53" s="2" t="n"/>
      <c r="C53" s="2" t="n"/>
      <c r="D53" s="2" t="n"/>
      <c r="E53" s="2" t="n"/>
      <c r="F53" s="2" t="n"/>
      <c r="G53" s="2" t="n"/>
      <c r="H53" s="2" t="n"/>
      <c r="I53" s="2" t="n"/>
      <c r="J53" s="2" t="n"/>
      <c r="K53" s="2">
        <f>IF(COUNTA(G53:J53)&lt;4,"",ROUND(AVERAGE(G53:J53),1))</f>
        <v/>
      </c>
      <c r="L53" s="2" t="n"/>
      <c r="M53" s="2" t="n"/>
      <c r="N53" s="2" t="n"/>
      <c r="O53" s="2" t="n"/>
    </row>
    <row r="54">
      <c r="A54" s="2" t="n"/>
      <c r="B54" s="2" t="n"/>
      <c r="C54" s="2" t="n"/>
      <c r="D54" s="2" t="n"/>
      <c r="E54" s="2" t="n"/>
      <c r="F54" s="2" t="n"/>
      <c r="G54" s="2" t="n"/>
      <c r="H54" s="2" t="n"/>
      <c r="I54" s="2" t="n"/>
      <c r="J54" s="2" t="n"/>
      <c r="K54" s="2">
        <f>IF(COUNTA(G54:J54)&lt;4,"",ROUND(AVERAGE(G54:J54),1))</f>
        <v/>
      </c>
      <c r="L54" s="2" t="n"/>
      <c r="M54" s="2" t="n"/>
      <c r="N54" s="2" t="n"/>
      <c r="O54" s="2" t="n"/>
    </row>
    <row r="55">
      <c r="A55" s="2" t="n"/>
      <c r="B55" s="2" t="n"/>
      <c r="C55" s="2" t="n"/>
      <c r="D55" s="2" t="n"/>
      <c r="E55" s="2" t="n"/>
      <c r="F55" s="2" t="n"/>
      <c r="G55" s="2" t="n"/>
      <c r="H55" s="2" t="n"/>
      <c r="I55" s="2" t="n"/>
      <c r="J55" s="2" t="n"/>
      <c r="K55" s="2">
        <f>IF(COUNTA(G55:J55)&lt;4,"",ROUND(AVERAGE(G55:J55),1))</f>
        <v/>
      </c>
      <c r="L55" s="2" t="n"/>
      <c r="M55" s="2" t="n"/>
      <c r="N55" s="2" t="n"/>
      <c r="O55" s="2" t="n"/>
    </row>
    <row r="56">
      <c r="A56" s="2" t="n"/>
      <c r="B56" s="2" t="n"/>
      <c r="C56" s="2" t="n"/>
      <c r="D56" s="2" t="n"/>
      <c r="E56" s="2" t="n"/>
      <c r="F56" s="2" t="n"/>
      <c r="G56" s="2" t="n"/>
      <c r="H56" s="2" t="n"/>
      <c r="I56" s="2" t="n"/>
      <c r="J56" s="2" t="n"/>
      <c r="K56" s="2">
        <f>IF(COUNTA(G56:J56)&lt;4,"",ROUND(AVERAGE(G56:J56),1))</f>
        <v/>
      </c>
      <c r="L56" s="2" t="n"/>
      <c r="M56" s="2" t="n"/>
      <c r="N56" s="2" t="n"/>
      <c r="O56" s="2" t="n"/>
    </row>
    <row r="57">
      <c r="A57" s="2" t="n"/>
      <c r="B57" s="2" t="n"/>
      <c r="C57" s="2" t="n"/>
      <c r="D57" s="2" t="n"/>
      <c r="E57" s="2" t="n"/>
      <c r="F57" s="2" t="n"/>
      <c r="G57" s="2" t="n"/>
      <c r="H57" s="2" t="n"/>
      <c r="I57" s="2" t="n"/>
      <c r="J57" s="2" t="n"/>
      <c r="K57" s="2">
        <f>IF(COUNTA(G57:J57)&lt;4,"",ROUND(AVERAGE(G57:J57),1))</f>
        <v/>
      </c>
      <c r="L57" s="2" t="n"/>
      <c r="M57" s="2" t="n"/>
      <c r="N57" s="2" t="n"/>
      <c r="O57" s="2" t="n"/>
    </row>
    <row r="58">
      <c r="A58" s="2" t="n"/>
      <c r="B58" s="2" t="n"/>
      <c r="C58" s="2" t="n"/>
      <c r="D58" s="2" t="n"/>
      <c r="E58" s="2" t="n"/>
      <c r="F58" s="2" t="n"/>
      <c r="G58" s="2" t="n"/>
      <c r="H58" s="2" t="n"/>
      <c r="I58" s="2" t="n"/>
      <c r="J58" s="2" t="n"/>
      <c r="K58" s="2">
        <f>IF(COUNTA(G58:J58)&lt;4,"",ROUND(AVERAGE(G58:J58),1))</f>
        <v/>
      </c>
      <c r="L58" s="2" t="n"/>
      <c r="M58" s="2" t="n"/>
      <c r="N58" s="2" t="n"/>
      <c r="O58" s="2" t="n"/>
    </row>
    <row r="59">
      <c r="A59" s="2" t="n"/>
      <c r="B59" s="2" t="n"/>
      <c r="C59" s="2" t="n"/>
      <c r="D59" s="2" t="n"/>
      <c r="E59" s="2" t="n"/>
      <c r="F59" s="2" t="n"/>
      <c r="G59" s="2" t="n"/>
      <c r="H59" s="2" t="n"/>
      <c r="I59" s="2" t="n"/>
      <c r="J59" s="2" t="n"/>
      <c r="K59" s="2">
        <f>IF(COUNTA(G59:J59)&lt;4,"",ROUND(AVERAGE(G59:J59),1))</f>
        <v/>
      </c>
      <c r="L59" s="2" t="n"/>
      <c r="M59" s="2" t="n"/>
      <c r="N59" s="2" t="n"/>
      <c r="O59" s="2" t="n"/>
    </row>
    <row r="60">
      <c r="A60" s="2" t="n"/>
      <c r="B60" s="2" t="n"/>
      <c r="C60" s="2" t="n"/>
      <c r="D60" s="2" t="n"/>
      <c r="E60" s="2" t="n"/>
      <c r="F60" s="2" t="n"/>
      <c r="G60" s="2" t="n"/>
      <c r="H60" s="2" t="n"/>
      <c r="I60" s="2" t="n"/>
      <c r="J60" s="2" t="n"/>
      <c r="K60" s="2">
        <f>IF(COUNTA(G60:J60)&lt;4,"",ROUND(AVERAGE(G60:J60),1))</f>
        <v/>
      </c>
      <c r="L60" s="2" t="n"/>
      <c r="M60" s="2" t="n"/>
      <c r="N60" s="2" t="n"/>
      <c r="O60" s="2" t="n"/>
    </row>
    <row r="61">
      <c r="A61" s="2" t="n"/>
      <c r="B61" s="2" t="n"/>
      <c r="C61" s="2" t="n"/>
      <c r="D61" s="2" t="n"/>
      <c r="E61" s="2" t="n"/>
      <c r="F61" s="2" t="n"/>
      <c r="G61" s="2" t="n"/>
      <c r="H61" s="2" t="n"/>
      <c r="I61" s="2" t="n"/>
      <c r="J61" s="2" t="n"/>
      <c r="K61" s="2">
        <f>IF(COUNTA(G61:J61)&lt;4,"",ROUND(AVERAGE(G61:J61),1))</f>
        <v/>
      </c>
      <c r="L61" s="2" t="n"/>
      <c r="M61" s="2" t="n"/>
      <c r="N61" s="2" t="n"/>
      <c r="O61" s="2" t="n"/>
    </row>
    <row r="62">
      <c r="A62" s="2" t="n"/>
      <c r="B62" s="2" t="n"/>
      <c r="C62" s="2" t="n"/>
      <c r="D62" s="2" t="n"/>
      <c r="E62" s="2" t="n"/>
      <c r="F62" s="2" t="n"/>
      <c r="G62" s="2" t="n"/>
      <c r="H62" s="2" t="n"/>
      <c r="I62" s="2" t="n"/>
      <c r="J62" s="2" t="n"/>
      <c r="K62" s="2">
        <f>IF(COUNTA(G62:J62)&lt;4,"",ROUND(AVERAGE(G62:J62),1))</f>
        <v/>
      </c>
      <c r="L62" s="2" t="n"/>
      <c r="M62" s="2" t="n"/>
      <c r="N62" s="2" t="n"/>
      <c r="O62" s="2" t="n"/>
    </row>
    <row r="63">
      <c r="A63" s="2" t="n"/>
      <c r="B63" s="2" t="n"/>
      <c r="C63" s="2" t="n"/>
      <c r="D63" s="2" t="n"/>
      <c r="E63" s="2" t="n"/>
      <c r="F63" s="2" t="n"/>
      <c r="G63" s="2" t="n"/>
      <c r="H63" s="2" t="n"/>
      <c r="I63" s="2" t="n"/>
      <c r="J63" s="2" t="n"/>
      <c r="K63" s="2">
        <f>IF(COUNTA(G63:J63)&lt;4,"",ROUND(AVERAGE(G63:J63),1))</f>
        <v/>
      </c>
      <c r="L63" s="2" t="n"/>
      <c r="M63" s="2" t="n"/>
      <c r="N63" s="2" t="n"/>
      <c r="O63" s="2" t="n"/>
    </row>
    <row r="64">
      <c r="A64" s="2" t="n"/>
      <c r="B64" s="2" t="n"/>
      <c r="C64" s="2" t="n"/>
      <c r="D64" s="2" t="n"/>
      <c r="E64" s="2" t="n"/>
      <c r="F64" s="2" t="n"/>
      <c r="G64" s="2" t="n"/>
      <c r="H64" s="2" t="n"/>
      <c r="I64" s="2" t="n"/>
      <c r="J64" s="2" t="n"/>
      <c r="K64" s="2">
        <f>IF(COUNTA(G64:J64)&lt;4,"",ROUND(AVERAGE(G64:J64),1))</f>
        <v/>
      </c>
      <c r="L64" s="2" t="n"/>
      <c r="M64" s="2" t="n"/>
      <c r="N64" s="2" t="n"/>
      <c r="O64" s="2" t="n"/>
    </row>
    <row r="65">
      <c r="A65" s="2" t="n"/>
      <c r="B65" s="2" t="n"/>
      <c r="C65" s="2" t="n"/>
      <c r="D65" s="2" t="n"/>
      <c r="E65" s="2" t="n"/>
      <c r="F65" s="2" t="n"/>
      <c r="G65" s="2" t="n"/>
      <c r="H65" s="2" t="n"/>
      <c r="I65" s="2" t="n"/>
      <c r="J65" s="2" t="n"/>
      <c r="K65" s="2">
        <f>IF(COUNTA(G65:J65)&lt;4,"",ROUND(AVERAGE(G65:J65),1))</f>
        <v/>
      </c>
      <c r="L65" s="2" t="n"/>
      <c r="M65" s="2" t="n"/>
      <c r="N65" s="2" t="n"/>
      <c r="O65" s="2" t="n"/>
    </row>
    <row r="66">
      <c r="A66" s="2" t="n"/>
      <c r="B66" s="2" t="n"/>
      <c r="C66" s="2" t="n"/>
      <c r="D66" s="2" t="n"/>
      <c r="E66" s="2" t="n"/>
      <c r="F66" s="2" t="n"/>
      <c r="G66" s="2" t="n"/>
      <c r="H66" s="2" t="n"/>
      <c r="I66" s="2" t="n"/>
      <c r="J66" s="2" t="n"/>
      <c r="K66" s="2">
        <f>IF(COUNTA(G66:J66)&lt;4,"",ROUND(AVERAGE(G66:J66),1))</f>
        <v/>
      </c>
      <c r="L66" s="2" t="n"/>
      <c r="M66" s="2" t="n"/>
      <c r="N66" s="2" t="n"/>
      <c r="O66" s="2" t="n"/>
    </row>
    <row r="67">
      <c r="A67" s="2" t="n"/>
      <c r="B67" s="2" t="n"/>
      <c r="C67" s="2" t="n"/>
      <c r="D67" s="2" t="n"/>
      <c r="E67" s="2" t="n"/>
      <c r="F67" s="2" t="n"/>
      <c r="G67" s="2" t="n"/>
      <c r="H67" s="2" t="n"/>
      <c r="I67" s="2" t="n"/>
      <c r="J67" s="2" t="n"/>
      <c r="K67" s="2">
        <f>IF(COUNTA(G67:J67)&lt;4,"",ROUND(AVERAGE(G67:J67),1))</f>
        <v/>
      </c>
      <c r="L67" s="2" t="n"/>
      <c r="M67" s="2" t="n"/>
      <c r="N67" s="2" t="n"/>
      <c r="O67" s="2" t="n"/>
    </row>
    <row r="68">
      <c r="A68" s="2" t="n"/>
      <c r="B68" s="2" t="n"/>
      <c r="C68" s="2" t="n"/>
      <c r="D68" s="2" t="n"/>
      <c r="E68" s="2" t="n"/>
      <c r="F68" s="2" t="n"/>
      <c r="G68" s="2" t="n"/>
      <c r="H68" s="2" t="n"/>
      <c r="I68" s="2" t="n"/>
      <c r="J68" s="2" t="n"/>
      <c r="K68" s="2">
        <f>IF(COUNTA(G68:J68)&lt;4,"",ROUND(AVERAGE(G68:J68),1))</f>
        <v/>
      </c>
      <c r="L68" s="2" t="n"/>
      <c r="M68" s="2" t="n"/>
      <c r="N68" s="2" t="n"/>
      <c r="O68" s="2" t="n"/>
    </row>
    <row r="69">
      <c r="A69" s="2" t="n"/>
      <c r="B69" s="2" t="n"/>
      <c r="C69" s="2" t="n"/>
      <c r="D69" s="2" t="n"/>
      <c r="E69" s="2" t="n"/>
      <c r="F69" s="2" t="n"/>
      <c r="G69" s="2" t="n"/>
      <c r="H69" s="2" t="n"/>
      <c r="I69" s="2" t="n"/>
      <c r="J69" s="2" t="n"/>
      <c r="K69" s="2">
        <f>IF(COUNTA(G69:J69)&lt;4,"",ROUND(AVERAGE(G69:J69),1))</f>
        <v/>
      </c>
      <c r="L69" s="2" t="n"/>
      <c r="M69" s="2" t="n"/>
      <c r="N69" s="2" t="n"/>
      <c r="O69" s="2" t="n"/>
    </row>
    <row r="70">
      <c r="A70" s="2" t="n"/>
      <c r="B70" s="2" t="n"/>
      <c r="C70" s="2" t="n"/>
      <c r="D70" s="2" t="n"/>
      <c r="E70" s="2" t="n"/>
      <c r="F70" s="2" t="n"/>
      <c r="G70" s="2" t="n"/>
      <c r="H70" s="2" t="n"/>
      <c r="I70" s="2" t="n"/>
      <c r="J70" s="2" t="n"/>
      <c r="K70" s="2">
        <f>IF(COUNTA(G70:J70)&lt;4,"",ROUND(AVERAGE(G70:J70),1))</f>
        <v/>
      </c>
      <c r="L70" s="2" t="n"/>
      <c r="M70" s="2" t="n"/>
      <c r="N70" s="2" t="n"/>
      <c r="O70" s="2" t="n"/>
    </row>
    <row r="71">
      <c r="A71" s="2" t="n"/>
      <c r="B71" s="2" t="n"/>
      <c r="C71" s="2" t="n"/>
      <c r="D71" s="2" t="n"/>
      <c r="E71" s="2" t="n"/>
      <c r="F71" s="2" t="n"/>
      <c r="G71" s="2" t="n"/>
      <c r="H71" s="2" t="n"/>
      <c r="I71" s="2" t="n"/>
      <c r="J71" s="2" t="n"/>
      <c r="K71" s="2">
        <f>IF(COUNTA(G71:J71)&lt;4,"",ROUND(AVERAGE(G71:J71),1))</f>
        <v/>
      </c>
      <c r="L71" s="2" t="n"/>
      <c r="M71" s="2" t="n"/>
      <c r="N71" s="2" t="n"/>
      <c r="O71" s="2" t="n"/>
    </row>
    <row r="72">
      <c r="A72" s="2" t="n"/>
      <c r="B72" s="2" t="n"/>
      <c r="C72" s="2" t="n"/>
      <c r="D72" s="2" t="n"/>
      <c r="E72" s="2" t="n"/>
      <c r="F72" s="2" t="n"/>
      <c r="G72" s="2" t="n"/>
      <c r="H72" s="2" t="n"/>
      <c r="I72" s="2" t="n"/>
      <c r="J72" s="2" t="n"/>
      <c r="K72" s="2">
        <f>IF(COUNTA(G72:J72)&lt;4,"",ROUND(AVERAGE(G72:J72),1))</f>
        <v/>
      </c>
      <c r="L72" s="2" t="n"/>
      <c r="M72" s="2" t="n"/>
      <c r="N72" s="2" t="n"/>
      <c r="O72" s="2" t="n"/>
    </row>
    <row r="73">
      <c r="A73" s="2" t="n"/>
      <c r="B73" s="2" t="n"/>
      <c r="C73" s="2" t="n"/>
      <c r="D73" s="2" t="n"/>
      <c r="E73" s="2" t="n"/>
      <c r="F73" s="2" t="n"/>
      <c r="G73" s="2" t="n"/>
      <c r="H73" s="2" t="n"/>
      <c r="I73" s="2" t="n"/>
      <c r="J73" s="2" t="n"/>
      <c r="K73" s="2">
        <f>IF(COUNTA(G73:J73)&lt;4,"",ROUND(AVERAGE(G73:J73),1))</f>
        <v/>
      </c>
      <c r="L73" s="2" t="n"/>
      <c r="M73" s="2" t="n"/>
      <c r="N73" s="2" t="n"/>
      <c r="O73" s="2" t="n"/>
    </row>
    <row r="74">
      <c r="A74" s="2" t="n"/>
      <c r="B74" s="2" t="n"/>
      <c r="C74" s="2" t="n"/>
      <c r="D74" s="2" t="n"/>
      <c r="E74" s="2" t="n"/>
      <c r="F74" s="2" t="n"/>
      <c r="G74" s="2" t="n"/>
      <c r="H74" s="2" t="n"/>
      <c r="I74" s="2" t="n"/>
      <c r="J74" s="2" t="n"/>
      <c r="K74" s="2">
        <f>IF(COUNTA(G74:J74)&lt;4,"",ROUND(AVERAGE(G74:J74),1))</f>
        <v/>
      </c>
      <c r="L74" s="2" t="n"/>
      <c r="M74" s="2" t="n"/>
      <c r="N74" s="2" t="n"/>
      <c r="O74" s="2" t="n"/>
    </row>
    <row r="75">
      <c r="A75" s="2" t="n"/>
      <c r="B75" s="2" t="n"/>
      <c r="C75" s="2" t="n"/>
      <c r="D75" s="2" t="n"/>
      <c r="E75" s="2" t="n"/>
      <c r="F75" s="2" t="n"/>
      <c r="G75" s="2" t="n"/>
      <c r="H75" s="2" t="n"/>
      <c r="I75" s="2" t="n"/>
      <c r="J75" s="2" t="n"/>
      <c r="K75" s="2">
        <f>IF(COUNTA(G75:J75)&lt;4,"",ROUND(AVERAGE(G75:J75),1))</f>
        <v/>
      </c>
      <c r="L75" s="2" t="n"/>
      <c r="M75" s="2" t="n"/>
      <c r="N75" s="2" t="n"/>
      <c r="O75" s="2" t="n"/>
    </row>
    <row r="76">
      <c r="A76" s="2" t="n"/>
      <c r="B76" s="2" t="n"/>
      <c r="C76" s="2" t="n"/>
      <c r="D76" s="2" t="n"/>
      <c r="E76" s="2" t="n"/>
      <c r="F76" s="2" t="n"/>
      <c r="G76" s="2" t="n"/>
      <c r="H76" s="2" t="n"/>
      <c r="I76" s="2" t="n"/>
      <c r="J76" s="2" t="n"/>
      <c r="K76" s="2">
        <f>IF(COUNTA(G76:J76)&lt;4,"",ROUND(AVERAGE(G76:J76),1))</f>
        <v/>
      </c>
      <c r="L76" s="2" t="n"/>
      <c r="M76" s="2" t="n"/>
      <c r="N76" s="2" t="n"/>
      <c r="O76" s="2" t="n"/>
    </row>
    <row r="77">
      <c r="A77" s="2" t="n"/>
      <c r="B77" s="2" t="n"/>
      <c r="C77" s="2" t="n"/>
      <c r="D77" s="2" t="n"/>
      <c r="E77" s="2" t="n"/>
      <c r="F77" s="2" t="n"/>
      <c r="G77" s="2" t="n"/>
      <c r="H77" s="2" t="n"/>
      <c r="I77" s="2" t="n"/>
      <c r="J77" s="2" t="n"/>
      <c r="K77" s="2">
        <f>IF(COUNTA(G77:J77)&lt;4,"",ROUND(AVERAGE(G77:J77),1))</f>
        <v/>
      </c>
      <c r="L77" s="2" t="n"/>
      <c r="M77" s="2" t="n"/>
      <c r="N77" s="2" t="n"/>
      <c r="O77" s="2" t="n"/>
    </row>
    <row r="78">
      <c r="A78" s="2" t="n"/>
      <c r="B78" s="2" t="n"/>
      <c r="C78" s="2" t="n"/>
      <c r="D78" s="2" t="n"/>
      <c r="E78" s="2" t="n"/>
      <c r="F78" s="2" t="n"/>
      <c r="G78" s="2" t="n"/>
      <c r="H78" s="2" t="n"/>
      <c r="I78" s="2" t="n"/>
      <c r="J78" s="2" t="n"/>
      <c r="K78" s="2">
        <f>IF(COUNTA(G78:J78)&lt;4,"",ROUND(AVERAGE(G78:J78),1))</f>
        <v/>
      </c>
      <c r="L78" s="2" t="n"/>
      <c r="M78" s="2" t="n"/>
      <c r="N78" s="2" t="n"/>
      <c r="O78" s="2" t="n"/>
    </row>
    <row r="79">
      <c r="A79" s="2" t="n"/>
      <c r="B79" s="2" t="n"/>
      <c r="C79" s="2" t="n"/>
      <c r="D79" s="2" t="n"/>
      <c r="E79" s="2" t="n"/>
      <c r="F79" s="2" t="n"/>
      <c r="G79" s="2" t="n"/>
      <c r="H79" s="2" t="n"/>
      <c r="I79" s="2" t="n"/>
      <c r="J79" s="2" t="n"/>
      <c r="K79" s="2">
        <f>IF(COUNTA(G79:J79)&lt;4,"",ROUND(AVERAGE(G79:J79),1))</f>
        <v/>
      </c>
      <c r="L79" s="2" t="n"/>
      <c r="M79" s="2" t="n"/>
      <c r="N79" s="2" t="n"/>
      <c r="O79" s="2" t="n"/>
    </row>
    <row r="80">
      <c r="A80" s="2" t="n"/>
      <c r="B80" s="2" t="n"/>
      <c r="C80" s="2" t="n"/>
      <c r="D80" s="2" t="n"/>
      <c r="E80" s="2" t="n"/>
      <c r="F80" s="2" t="n"/>
      <c r="G80" s="2" t="n"/>
      <c r="H80" s="2" t="n"/>
      <c r="I80" s="2" t="n"/>
      <c r="J80" s="2" t="n"/>
      <c r="K80" s="2">
        <f>IF(COUNTA(G80:J80)&lt;4,"",ROUND(AVERAGE(G80:J80),1))</f>
        <v/>
      </c>
      <c r="L80" s="2" t="n"/>
      <c r="M80" s="2" t="n"/>
      <c r="N80" s="2" t="n"/>
      <c r="O80" s="2" t="n"/>
    </row>
    <row r="81">
      <c r="A81" s="2" t="n"/>
      <c r="B81" s="2" t="n"/>
      <c r="C81" s="2" t="n"/>
      <c r="D81" s="2" t="n"/>
      <c r="E81" s="2" t="n"/>
      <c r="F81" s="2" t="n"/>
      <c r="G81" s="2" t="n"/>
      <c r="H81" s="2" t="n"/>
      <c r="I81" s="2" t="n"/>
      <c r="J81" s="2" t="n"/>
      <c r="K81" s="2">
        <f>IF(COUNTA(G81:J81)&lt;4,"",ROUND(AVERAGE(G81:J81),1))</f>
        <v/>
      </c>
      <c r="L81" s="2" t="n"/>
      <c r="M81" s="2" t="n"/>
      <c r="N81" s="2" t="n"/>
      <c r="O81" s="2" t="n"/>
    </row>
    <row r="82">
      <c r="A82" s="2" t="n"/>
      <c r="B82" s="2" t="n"/>
      <c r="C82" s="2" t="n"/>
      <c r="D82" s="2" t="n"/>
      <c r="E82" s="2" t="n"/>
      <c r="F82" s="2" t="n"/>
      <c r="G82" s="2" t="n"/>
      <c r="H82" s="2" t="n"/>
      <c r="I82" s="2" t="n"/>
      <c r="J82" s="2" t="n"/>
      <c r="K82" s="2">
        <f>IF(COUNTA(G82:J82)&lt;4,"",ROUND(AVERAGE(G82:J82),1))</f>
        <v/>
      </c>
      <c r="L82" s="2" t="n"/>
      <c r="M82" s="2" t="n"/>
      <c r="N82" s="2" t="n"/>
      <c r="O82" s="2" t="n"/>
    </row>
    <row r="83">
      <c r="A83" s="2" t="n"/>
      <c r="B83" s="2" t="n"/>
      <c r="C83" s="2" t="n"/>
      <c r="D83" s="2" t="n"/>
      <c r="E83" s="2" t="n"/>
      <c r="F83" s="2" t="n"/>
      <c r="G83" s="2" t="n"/>
      <c r="H83" s="2" t="n"/>
      <c r="I83" s="2" t="n"/>
      <c r="J83" s="2" t="n"/>
      <c r="K83" s="2">
        <f>IF(COUNTA(G83:J83)&lt;4,"",ROUND(AVERAGE(G83:J83),1))</f>
        <v/>
      </c>
      <c r="L83" s="2" t="n"/>
      <c r="M83" s="2" t="n"/>
      <c r="N83" s="2" t="n"/>
      <c r="O83" s="2" t="n"/>
    </row>
    <row r="84">
      <c r="A84" s="2" t="n"/>
      <c r="B84" s="2" t="n"/>
      <c r="C84" s="2" t="n"/>
      <c r="D84" s="2" t="n"/>
      <c r="E84" s="2" t="n"/>
      <c r="F84" s="2" t="n"/>
      <c r="G84" s="2" t="n"/>
      <c r="H84" s="2" t="n"/>
      <c r="I84" s="2" t="n"/>
      <c r="J84" s="2" t="n"/>
      <c r="K84" s="2">
        <f>IF(COUNTA(G84:J84)&lt;4,"",ROUND(AVERAGE(G84:J84),1))</f>
        <v/>
      </c>
      <c r="L84" s="2" t="n"/>
      <c r="M84" s="2" t="n"/>
      <c r="N84" s="2" t="n"/>
      <c r="O84" s="2" t="n"/>
    </row>
    <row r="85">
      <c r="A85" s="2" t="n"/>
      <c r="B85" s="2" t="n"/>
      <c r="C85" s="2" t="n"/>
      <c r="D85" s="2" t="n"/>
      <c r="E85" s="2" t="n"/>
      <c r="F85" s="2" t="n"/>
      <c r="G85" s="2" t="n"/>
      <c r="H85" s="2" t="n"/>
      <c r="I85" s="2" t="n"/>
      <c r="J85" s="2" t="n"/>
      <c r="K85" s="2">
        <f>IF(COUNTA(G85:J85)&lt;4,"",ROUND(AVERAGE(G85:J85),1))</f>
        <v/>
      </c>
      <c r="L85" s="2" t="n"/>
      <c r="M85" s="2" t="n"/>
      <c r="N85" s="2" t="n"/>
      <c r="O85" s="2" t="n"/>
    </row>
    <row r="86">
      <c r="A86" s="2" t="n"/>
      <c r="B86" s="2" t="n"/>
      <c r="C86" s="2" t="n"/>
      <c r="D86" s="2" t="n"/>
      <c r="E86" s="2" t="n"/>
      <c r="F86" s="2" t="n"/>
      <c r="G86" s="2" t="n"/>
      <c r="H86" s="2" t="n"/>
      <c r="I86" s="2" t="n"/>
      <c r="J86" s="2" t="n"/>
      <c r="K86" s="2">
        <f>IF(COUNTA(G86:J86)&lt;4,"",ROUND(AVERAGE(G86:J86),1))</f>
        <v/>
      </c>
      <c r="L86" s="2" t="n"/>
      <c r="M86" s="2" t="n"/>
      <c r="N86" s="2" t="n"/>
      <c r="O86" s="2" t="n"/>
    </row>
    <row r="87">
      <c r="A87" s="2" t="n"/>
      <c r="B87" s="2" t="n"/>
      <c r="C87" s="2" t="n"/>
      <c r="D87" s="2" t="n"/>
      <c r="E87" s="2" t="n"/>
      <c r="F87" s="2" t="n"/>
      <c r="G87" s="2" t="n"/>
      <c r="H87" s="2" t="n"/>
      <c r="I87" s="2" t="n"/>
      <c r="J87" s="2" t="n"/>
      <c r="K87" s="2">
        <f>IF(COUNTA(G87:J87)&lt;4,"",ROUND(AVERAGE(G87:J87),1))</f>
        <v/>
      </c>
      <c r="L87" s="2" t="n"/>
      <c r="M87" s="2" t="n"/>
      <c r="N87" s="2" t="n"/>
      <c r="O87" s="2" t="n"/>
    </row>
    <row r="88">
      <c r="A88" s="2" t="n"/>
      <c r="B88" s="2" t="n"/>
      <c r="C88" s="2" t="n"/>
      <c r="D88" s="2" t="n"/>
      <c r="E88" s="2" t="n"/>
      <c r="F88" s="2" t="n"/>
      <c r="G88" s="2" t="n"/>
      <c r="H88" s="2" t="n"/>
      <c r="I88" s="2" t="n"/>
      <c r="J88" s="2" t="n"/>
      <c r="K88" s="2">
        <f>IF(COUNTA(G88:J88)&lt;4,"",ROUND(AVERAGE(G88:J88),1))</f>
        <v/>
      </c>
      <c r="L88" s="2" t="n"/>
      <c r="M88" s="2" t="n"/>
      <c r="N88" s="2" t="n"/>
      <c r="O88" s="2" t="n"/>
    </row>
    <row r="89">
      <c r="A89" s="2" t="n"/>
      <c r="B89" s="2" t="n"/>
      <c r="C89" s="2" t="n"/>
      <c r="D89" s="2" t="n"/>
      <c r="E89" s="2" t="n"/>
      <c r="F89" s="2" t="n"/>
      <c r="G89" s="2" t="n"/>
      <c r="H89" s="2" t="n"/>
      <c r="I89" s="2" t="n"/>
      <c r="J89" s="2" t="n"/>
      <c r="K89" s="2">
        <f>IF(COUNTA(G89:J89)&lt;4,"",ROUND(AVERAGE(G89:J89),1))</f>
        <v/>
      </c>
      <c r="L89" s="2" t="n"/>
      <c r="M89" s="2" t="n"/>
      <c r="N89" s="2" t="n"/>
      <c r="O89" s="2" t="n"/>
    </row>
    <row r="90">
      <c r="A90" s="2" t="n"/>
      <c r="B90" s="2" t="n"/>
      <c r="C90" s="2" t="n"/>
      <c r="D90" s="2" t="n"/>
      <c r="E90" s="2" t="n"/>
      <c r="F90" s="2" t="n"/>
      <c r="G90" s="2" t="n"/>
      <c r="H90" s="2" t="n"/>
      <c r="I90" s="2" t="n"/>
      <c r="J90" s="2" t="n"/>
      <c r="K90" s="2">
        <f>IF(COUNTA(G90:J90)&lt;4,"",ROUND(AVERAGE(G90:J90),1))</f>
        <v/>
      </c>
      <c r="L90" s="2" t="n"/>
      <c r="M90" s="2" t="n"/>
      <c r="N90" s="2" t="n"/>
      <c r="O90" s="2" t="n"/>
    </row>
    <row r="91">
      <c r="A91" s="2" t="n"/>
      <c r="B91" s="2" t="n"/>
      <c r="C91" s="2" t="n"/>
      <c r="D91" s="2" t="n"/>
      <c r="E91" s="2" t="n"/>
      <c r="F91" s="2" t="n"/>
      <c r="G91" s="2" t="n"/>
      <c r="H91" s="2" t="n"/>
      <c r="I91" s="2" t="n"/>
      <c r="J91" s="2" t="n"/>
      <c r="K91" s="2">
        <f>IF(COUNTA(G91:J91)&lt;4,"",ROUND(AVERAGE(G91:J91),1))</f>
        <v/>
      </c>
      <c r="L91" s="2" t="n"/>
      <c r="M91" s="2" t="n"/>
      <c r="N91" s="2" t="n"/>
      <c r="O91" s="2" t="n"/>
    </row>
    <row r="92">
      <c r="A92" s="2" t="n"/>
      <c r="B92" s="2" t="n"/>
      <c r="C92" s="2" t="n"/>
      <c r="D92" s="2" t="n"/>
      <c r="E92" s="2" t="n"/>
      <c r="F92" s="2" t="n"/>
      <c r="G92" s="2" t="n"/>
      <c r="H92" s="2" t="n"/>
      <c r="I92" s="2" t="n"/>
      <c r="J92" s="2" t="n"/>
      <c r="K92" s="2">
        <f>IF(COUNTA(G92:J92)&lt;4,"",ROUND(AVERAGE(G92:J92),1))</f>
        <v/>
      </c>
      <c r="L92" s="2" t="n"/>
      <c r="M92" s="2" t="n"/>
      <c r="N92" s="2" t="n"/>
      <c r="O92" s="2" t="n"/>
    </row>
    <row r="93">
      <c r="A93" s="2" t="n"/>
      <c r="B93" s="2" t="n"/>
      <c r="C93" s="2" t="n"/>
      <c r="D93" s="2" t="n"/>
      <c r="E93" s="2" t="n"/>
      <c r="F93" s="2" t="n"/>
      <c r="G93" s="2" t="n"/>
      <c r="H93" s="2" t="n"/>
      <c r="I93" s="2" t="n"/>
      <c r="J93" s="2" t="n"/>
      <c r="K93" s="2">
        <f>IF(COUNTA(G93:J93)&lt;4,"",ROUND(AVERAGE(G93:J93),1))</f>
        <v/>
      </c>
      <c r="L93" s="2" t="n"/>
      <c r="M93" s="2" t="n"/>
      <c r="N93" s="2" t="n"/>
      <c r="O93" s="2" t="n"/>
    </row>
    <row r="94">
      <c r="A94" s="2" t="n"/>
      <c r="B94" s="2" t="n"/>
      <c r="C94" s="2" t="n"/>
      <c r="D94" s="2" t="n"/>
      <c r="E94" s="2" t="n"/>
      <c r="F94" s="2" t="n"/>
      <c r="G94" s="2" t="n"/>
      <c r="H94" s="2" t="n"/>
      <c r="I94" s="2" t="n"/>
      <c r="J94" s="2" t="n"/>
      <c r="K94" s="2">
        <f>IF(COUNTA(G94:J94)&lt;4,"",ROUND(AVERAGE(G94:J94),1))</f>
        <v/>
      </c>
      <c r="L94" s="2" t="n"/>
      <c r="M94" s="2" t="n"/>
      <c r="N94" s="2" t="n"/>
      <c r="O94" s="2" t="n"/>
    </row>
    <row r="95">
      <c r="A95" s="2" t="n"/>
      <c r="B95" s="2" t="n"/>
      <c r="C95" s="2" t="n"/>
      <c r="D95" s="2" t="n"/>
      <c r="E95" s="2" t="n"/>
      <c r="F95" s="2" t="n"/>
      <c r="G95" s="2" t="n"/>
      <c r="H95" s="2" t="n"/>
      <c r="I95" s="2" t="n"/>
      <c r="J95" s="2" t="n"/>
      <c r="K95" s="2">
        <f>IF(COUNTA(G95:J95)&lt;4,"",ROUND(AVERAGE(G95:J95),1))</f>
        <v/>
      </c>
      <c r="L95" s="2" t="n"/>
      <c r="M95" s="2" t="n"/>
      <c r="N95" s="2" t="n"/>
      <c r="O95" s="2" t="n"/>
    </row>
    <row r="96">
      <c r="A96" s="2" t="n"/>
      <c r="B96" s="2" t="n"/>
      <c r="C96" s="2" t="n"/>
      <c r="D96" s="2" t="n"/>
      <c r="E96" s="2" t="n"/>
      <c r="F96" s="2" t="n"/>
      <c r="G96" s="2" t="n"/>
      <c r="H96" s="2" t="n"/>
      <c r="I96" s="2" t="n"/>
      <c r="J96" s="2" t="n"/>
      <c r="K96" s="2">
        <f>IF(COUNTA(G96:J96)&lt;4,"",ROUND(AVERAGE(G96:J96),1))</f>
        <v/>
      </c>
      <c r="L96" s="2" t="n"/>
      <c r="M96" s="2" t="n"/>
      <c r="N96" s="2" t="n"/>
      <c r="O96" s="2" t="n"/>
    </row>
    <row r="97">
      <c r="A97" s="2" t="n"/>
      <c r="B97" s="2" t="n"/>
      <c r="C97" s="2" t="n"/>
      <c r="D97" s="2" t="n"/>
      <c r="E97" s="2" t="n"/>
      <c r="F97" s="2" t="n"/>
      <c r="G97" s="2" t="n"/>
      <c r="H97" s="2" t="n"/>
      <c r="I97" s="2" t="n"/>
      <c r="J97" s="2" t="n"/>
      <c r="K97" s="2">
        <f>IF(COUNTA(G97:J97)&lt;4,"",ROUND(AVERAGE(G97:J97),1))</f>
        <v/>
      </c>
      <c r="L97" s="2" t="n"/>
      <c r="M97" s="2" t="n"/>
      <c r="N97" s="2" t="n"/>
      <c r="O97" s="2" t="n"/>
    </row>
    <row r="98">
      <c r="A98" s="2" t="n"/>
      <c r="B98" s="2" t="n"/>
      <c r="C98" s="2" t="n"/>
      <c r="D98" s="2" t="n"/>
      <c r="E98" s="2" t="n"/>
      <c r="F98" s="2" t="n"/>
      <c r="G98" s="2" t="n"/>
      <c r="H98" s="2" t="n"/>
      <c r="I98" s="2" t="n"/>
      <c r="J98" s="2" t="n"/>
      <c r="K98" s="2">
        <f>IF(COUNTA(G98:J98)&lt;4,"",ROUND(AVERAGE(G98:J98),1))</f>
        <v/>
      </c>
      <c r="L98" s="2" t="n"/>
      <c r="M98" s="2" t="n"/>
      <c r="N98" s="2" t="n"/>
      <c r="O98" s="2" t="n"/>
    </row>
    <row r="99">
      <c r="A99" s="2" t="n"/>
      <c r="B99" s="2" t="n"/>
      <c r="C99" s="2" t="n"/>
      <c r="D99" s="2" t="n"/>
      <c r="E99" s="2" t="n"/>
      <c r="F99" s="2" t="n"/>
      <c r="G99" s="2" t="n"/>
      <c r="H99" s="2" t="n"/>
      <c r="I99" s="2" t="n"/>
      <c r="J99" s="2" t="n"/>
      <c r="K99" s="2">
        <f>IF(COUNTA(G99:J99)&lt;4,"",ROUND(AVERAGE(G99:J99),1))</f>
        <v/>
      </c>
      <c r="L99" s="2" t="n"/>
      <c r="M99" s="2" t="n"/>
      <c r="N99" s="2" t="n"/>
      <c r="O99" s="2" t="n"/>
    </row>
    <row r="100">
      <c r="A100" s="2" t="n"/>
      <c r="B100" s="2" t="n"/>
      <c r="C100" s="2" t="n"/>
      <c r="D100" s="2" t="n"/>
      <c r="E100" s="2" t="n"/>
      <c r="F100" s="2" t="n"/>
      <c r="G100" s="2" t="n"/>
      <c r="H100" s="2" t="n"/>
      <c r="I100" s="2" t="n"/>
      <c r="J100" s="2" t="n"/>
      <c r="K100" s="2">
        <f>IF(COUNTA(G100:J100)&lt;4,"",ROUND(AVERAGE(G100:J100),1))</f>
        <v/>
      </c>
      <c r="L100" s="2" t="n"/>
      <c r="M100" s="2" t="n"/>
      <c r="N100" s="2" t="n"/>
      <c r="O100" s="2" t="n"/>
    </row>
    <row r="101">
      <c r="A101" s="2" t="n"/>
      <c r="B101" s="2" t="n"/>
      <c r="C101" s="2" t="n"/>
      <c r="D101" s="2" t="n"/>
      <c r="E101" s="2" t="n"/>
      <c r="F101" s="2" t="n"/>
      <c r="G101" s="2" t="n"/>
      <c r="H101" s="2" t="n"/>
      <c r="I101" s="2" t="n"/>
      <c r="J101" s="2" t="n"/>
      <c r="K101" s="2">
        <f>IF(COUNTA(G101:J101)&lt;4,"",ROUND(AVERAGE(G101:J101),1))</f>
        <v/>
      </c>
      <c r="L101" s="2" t="n"/>
      <c r="M101" s="2" t="n"/>
      <c r="N101" s="2" t="n"/>
      <c r="O101" s="2" t="n"/>
    </row>
    <row r="102">
      <c r="A102" s="2" t="n"/>
      <c r="B102" s="2" t="n"/>
      <c r="C102" s="2" t="n"/>
      <c r="D102" s="2" t="n"/>
      <c r="E102" s="2" t="n"/>
      <c r="F102" s="2" t="n"/>
      <c r="G102" s="2" t="n"/>
      <c r="H102" s="2" t="n"/>
      <c r="I102" s="2" t="n"/>
      <c r="J102" s="2" t="n"/>
      <c r="K102" s="2">
        <f>IF(COUNTA(G102:J102)&lt;4,"",ROUND(AVERAGE(G102:J102),1))</f>
        <v/>
      </c>
      <c r="L102" s="2" t="n"/>
      <c r="M102" s="2" t="n"/>
      <c r="N102" s="2" t="n"/>
      <c r="O102" s="2" t="n"/>
    </row>
    <row r="103">
      <c r="A103" s="2" t="n"/>
      <c r="B103" s="2" t="n"/>
      <c r="C103" s="2" t="n"/>
      <c r="D103" s="2" t="n"/>
      <c r="E103" s="2" t="n"/>
      <c r="F103" s="2" t="n"/>
      <c r="G103" s="2" t="n"/>
      <c r="H103" s="2" t="n"/>
      <c r="I103" s="2" t="n"/>
      <c r="J103" s="2" t="n"/>
      <c r="K103" s="2">
        <f>IF(COUNTA(G103:J103)&lt;4,"",ROUND(AVERAGE(G103:J103),1))</f>
        <v/>
      </c>
      <c r="L103" s="2" t="n"/>
      <c r="M103" s="2" t="n"/>
      <c r="N103" s="2" t="n"/>
      <c r="O103" s="2" t="n"/>
    </row>
    <row r="104">
      <c r="A104" s="2" t="n"/>
      <c r="B104" s="2" t="n"/>
      <c r="C104" s="2" t="n"/>
      <c r="D104" s="2" t="n"/>
      <c r="E104" s="2" t="n"/>
      <c r="F104" s="2" t="n"/>
      <c r="G104" s="2" t="n"/>
      <c r="H104" s="2" t="n"/>
      <c r="I104" s="2" t="n"/>
      <c r="J104" s="2" t="n"/>
      <c r="K104" s="2">
        <f>IF(COUNTA(G104:J104)&lt;4,"",ROUND(AVERAGE(G104:J104),1))</f>
        <v/>
      </c>
      <c r="L104" s="2" t="n"/>
      <c r="M104" s="2" t="n"/>
      <c r="N104" s="2" t="n"/>
      <c r="O104" s="2" t="n"/>
    </row>
    <row r="105">
      <c r="A105" s="2" t="n"/>
      <c r="B105" s="2" t="n"/>
      <c r="C105" s="2" t="n"/>
      <c r="D105" s="2" t="n"/>
      <c r="E105" s="2" t="n"/>
      <c r="F105" s="2" t="n"/>
      <c r="G105" s="2" t="n"/>
      <c r="H105" s="2" t="n"/>
      <c r="I105" s="2" t="n"/>
      <c r="J105" s="2" t="n"/>
      <c r="K105" s="2">
        <f>IF(COUNTA(G105:J105)&lt;4,"",ROUND(AVERAGE(G105:J105),1))</f>
        <v/>
      </c>
      <c r="L105" s="2" t="n"/>
      <c r="M105" s="2" t="n"/>
      <c r="N105" s="2" t="n"/>
      <c r="O105" s="2" t="n"/>
    </row>
    <row r="106">
      <c r="A106" s="2" t="n"/>
      <c r="B106" s="2" t="n"/>
      <c r="C106" s="2" t="n"/>
      <c r="D106" s="2" t="n"/>
      <c r="E106" s="2" t="n"/>
      <c r="F106" s="2" t="n"/>
      <c r="G106" s="2" t="n"/>
      <c r="H106" s="2" t="n"/>
      <c r="I106" s="2" t="n"/>
      <c r="J106" s="2" t="n"/>
      <c r="K106" s="2">
        <f>IF(COUNTA(G106:J106)&lt;4,"",ROUND(AVERAGE(G106:J106),1))</f>
        <v/>
      </c>
      <c r="L106" s="2" t="n"/>
      <c r="M106" s="2" t="n"/>
      <c r="N106" s="2" t="n"/>
      <c r="O106" s="2" t="n"/>
    </row>
    <row r="107">
      <c r="A107" s="2" t="n"/>
      <c r="B107" s="2" t="n"/>
      <c r="C107" s="2" t="n"/>
      <c r="D107" s="2" t="n"/>
      <c r="E107" s="2" t="n"/>
      <c r="F107" s="2" t="n"/>
      <c r="G107" s="2" t="n"/>
      <c r="H107" s="2" t="n"/>
      <c r="I107" s="2" t="n"/>
      <c r="J107" s="2" t="n"/>
      <c r="K107" s="2">
        <f>IF(COUNTA(G107:J107)&lt;4,"",ROUND(AVERAGE(G107:J107),1))</f>
        <v/>
      </c>
      <c r="L107" s="2" t="n"/>
      <c r="M107" s="2" t="n"/>
      <c r="N107" s="2" t="n"/>
      <c r="O107" s="2" t="n"/>
    </row>
    <row r="108">
      <c r="A108" s="2" t="n"/>
      <c r="B108" s="2" t="n"/>
      <c r="C108" s="2" t="n"/>
      <c r="D108" s="2" t="n"/>
      <c r="E108" s="2" t="n"/>
      <c r="F108" s="2" t="n"/>
      <c r="G108" s="2" t="n"/>
      <c r="H108" s="2" t="n"/>
      <c r="I108" s="2" t="n"/>
      <c r="J108" s="2" t="n"/>
      <c r="K108" s="2">
        <f>IF(COUNTA(G108:J108)&lt;4,"",ROUND(AVERAGE(G108:J108),1))</f>
        <v/>
      </c>
      <c r="L108" s="2" t="n"/>
      <c r="M108" s="2" t="n"/>
      <c r="N108" s="2" t="n"/>
      <c r="O108" s="2" t="n"/>
    </row>
    <row r="109">
      <c r="A109" s="2" t="n"/>
      <c r="B109" s="2" t="n"/>
      <c r="C109" s="2" t="n"/>
      <c r="D109" s="2" t="n"/>
      <c r="E109" s="2" t="n"/>
      <c r="F109" s="2" t="n"/>
      <c r="G109" s="2" t="n"/>
      <c r="H109" s="2" t="n"/>
      <c r="I109" s="2" t="n"/>
      <c r="J109" s="2" t="n"/>
      <c r="K109" s="2">
        <f>IF(COUNTA(G109:J109)&lt;4,"",ROUND(AVERAGE(G109:J109),1))</f>
        <v/>
      </c>
      <c r="L109" s="2" t="n"/>
      <c r="M109" s="2" t="n"/>
      <c r="N109" s="2" t="n"/>
      <c r="O109" s="2" t="n"/>
    </row>
    <row r="110">
      <c r="A110" s="2" t="n"/>
      <c r="B110" s="2" t="n"/>
      <c r="C110" s="2" t="n"/>
      <c r="D110" s="2" t="n"/>
      <c r="E110" s="2" t="n"/>
      <c r="F110" s="2" t="n"/>
      <c r="G110" s="2" t="n"/>
      <c r="H110" s="2" t="n"/>
      <c r="I110" s="2" t="n"/>
      <c r="J110" s="2" t="n"/>
      <c r="K110" s="2">
        <f>IF(COUNTA(G110:J110)&lt;4,"",ROUND(AVERAGE(G110:J110),1))</f>
        <v/>
      </c>
      <c r="L110" s="2" t="n"/>
      <c r="M110" s="2" t="n"/>
      <c r="N110" s="2" t="n"/>
      <c r="O110" s="2" t="n"/>
    </row>
    <row r="111">
      <c r="A111" s="2" t="n"/>
      <c r="B111" s="2" t="n"/>
      <c r="C111" s="2" t="n"/>
      <c r="D111" s="2" t="n"/>
      <c r="E111" s="2" t="n"/>
      <c r="F111" s="2" t="n"/>
      <c r="G111" s="2" t="n"/>
      <c r="H111" s="2" t="n"/>
      <c r="I111" s="2" t="n"/>
      <c r="J111" s="2" t="n"/>
      <c r="K111" s="2">
        <f>IF(COUNTA(G111:J111)&lt;4,"",ROUND(AVERAGE(G111:J111),1))</f>
        <v/>
      </c>
      <c r="L111" s="2" t="n"/>
      <c r="M111" s="2" t="n"/>
      <c r="N111" s="2" t="n"/>
      <c r="O111" s="2" t="n"/>
    </row>
    <row r="112">
      <c r="A112" s="2" t="n"/>
      <c r="B112" s="2" t="n"/>
      <c r="C112" s="2" t="n"/>
      <c r="D112" s="2" t="n"/>
      <c r="E112" s="2" t="n"/>
      <c r="F112" s="2" t="n"/>
      <c r="G112" s="2" t="n"/>
      <c r="H112" s="2" t="n"/>
      <c r="I112" s="2" t="n"/>
      <c r="J112" s="2" t="n"/>
      <c r="K112" s="2">
        <f>IF(COUNTA(G112:J112)&lt;4,"",ROUND(AVERAGE(G112:J112),1))</f>
        <v/>
      </c>
      <c r="L112" s="2" t="n"/>
      <c r="M112" s="2" t="n"/>
      <c r="N112" s="2" t="n"/>
      <c r="O112" s="2" t="n"/>
    </row>
    <row r="113">
      <c r="A113" s="2" t="n"/>
      <c r="B113" s="2" t="n"/>
      <c r="C113" s="2" t="n"/>
      <c r="D113" s="2" t="n"/>
      <c r="E113" s="2" t="n"/>
      <c r="F113" s="2" t="n"/>
      <c r="G113" s="2" t="n"/>
      <c r="H113" s="2" t="n"/>
      <c r="I113" s="2" t="n"/>
      <c r="J113" s="2" t="n"/>
      <c r="K113" s="2">
        <f>IF(COUNTA(G113:J113)&lt;4,"",ROUND(AVERAGE(G113:J113),1))</f>
        <v/>
      </c>
      <c r="L113" s="2" t="n"/>
      <c r="M113" s="2" t="n"/>
      <c r="N113" s="2" t="n"/>
      <c r="O113" s="2" t="n"/>
    </row>
    <row r="114">
      <c r="A114" s="2" t="n"/>
      <c r="B114" s="2" t="n"/>
      <c r="C114" s="2" t="n"/>
      <c r="D114" s="2" t="n"/>
      <c r="E114" s="2" t="n"/>
      <c r="F114" s="2" t="n"/>
      <c r="G114" s="2" t="n"/>
      <c r="H114" s="2" t="n"/>
      <c r="I114" s="2" t="n"/>
      <c r="J114" s="2" t="n"/>
      <c r="K114" s="2">
        <f>IF(COUNTA(G114:J114)&lt;4,"",ROUND(AVERAGE(G114:J114),1))</f>
        <v/>
      </c>
      <c r="L114" s="2" t="n"/>
      <c r="M114" s="2" t="n"/>
      <c r="N114" s="2" t="n"/>
      <c r="O114" s="2" t="n"/>
    </row>
    <row r="115">
      <c r="A115" s="2" t="n"/>
      <c r="B115" s="2" t="n"/>
      <c r="C115" s="2" t="n"/>
      <c r="D115" s="2" t="n"/>
      <c r="E115" s="2" t="n"/>
      <c r="F115" s="2" t="n"/>
      <c r="G115" s="2" t="n"/>
      <c r="H115" s="2" t="n"/>
      <c r="I115" s="2" t="n"/>
      <c r="J115" s="2" t="n"/>
      <c r="K115" s="2">
        <f>IF(COUNTA(G115:J115)&lt;4,"",ROUND(AVERAGE(G115:J115),1))</f>
        <v/>
      </c>
      <c r="L115" s="2" t="n"/>
      <c r="M115" s="2" t="n"/>
      <c r="N115" s="2" t="n"/>
      <c r="O115" s="2" t="n"/>
    </row>
    <row r="116">
      <c r="A116" s="2" t="n"/>
      <c r="B116" s="2" t="n"/>
      <c r="C116" s="2" t="n"/>
      <c r="D116" s="2" t="n"/>
      <c r="E116" s="2" t="n"/>
      <c r="F116" s="2" t="n"/>
      <c r="G116" s="2" t="n"/>
      <c r="H116" s="2" t="n"/>
      <c r="I116" s="2" t="n"/>
      <c r="J116" s="2" t="n"/>
      <c r="K116" s="2">
        <f>IF(COUNTA(G116:J116)&lt;4,"",ROUND(AVERAGE(G116:J116),1))</f>
        <v/>
      </c>
      <c r="L116" s="2" t="n"/>
      <c r="M116" s="2" t="n"/>
      <c r="N116" s="2" t="n"/>
      <c r="O116" s="2" t="n"/>
    </row>
    <row r="117">
      <c r="A117" s="2" t="n"/>
      <c r="B117" s="2" t="n"/>
      <c r="C117" s="2" t="n"/>
      <c r="D117" s="2" t="n"/>
      <c r="E117" s="2" t="n"/>
      <c r="F117" s="2" t="n"/>
      <c r="G117" s="2" t="n"/>
      <c r="H117" s="2" t="n"/>
      <c r="I117" s="2" t="n"/>
      <c r="J117" s="2" t="n"/>
      <c r="K117" s="2">
        <f>IF(COUNTA(G117:J117)&lt;4,"",ROUND(AVERAGE(G117:J117),1))</f>
        <v/>
      </c>
      <c r="L117" s="2" t="n"/>
      <c r="M117" s="2" t="n"/>
      <c r="N117" s="2" t="n"/>
      <c r="O117" s="2" t="n"/>
    </row>
    <row r="118">
      <c r="A118" s="2" t="n"/>
      <c r="B118" s="2" t="n"/>
      <c r="C118" s="2" t="n"/>
      <c r="D118" s="2" t="n"/>
      <c r="E118" s="2" t="n"/>
      <c r="F118" s="2" t="n"/>
      <c r="G118" s="2" t="n"/>
      <c r="H118" s="2" t="n"/>
      <c r="I118" s="2" t="n"/>
      <c r="J118" s="2" t="n"/>
      <c r="K118" s="2">
        <f>IF(COUNTA(G118:J118)&lt;4,"",ROUND(AVERAGE(G118:J118),1))</f>
        <v/>
      </c>
      <c r="L118" s="2" t="n"/>
      <c r="M118" s="2" t="n"/>
      <c r="N118" s="2" t="n"/>
      <c r="O118" s="2" t="n"/>
    </row>
    <row r="119">
      <c r="A119" s="2" t="n"/>
      <c r="B119" s="2" t="n"/>
      <c r="C119" s="2" t="n"/>
      <c r="D119" s="2" t="n"/>
      <c r="E119" s="2" t="n"/>
      <c r="F119" s="2" t="n"/>
      <c r="G119" s="2" t="n"/>
      <c r="H119" s="2" t="n"/>
      <c r="I119" s="2" t="n"/>
      <c r="J119" s="2" t="n"/>
      <c r="K119" s="2">
        <f>IF(COUNTA(G119:J119)&lt;4,"",ROUND(AVERAGE(G119:J119),1))</f>
        <v/>
      </c>
      <c r="L119" s="2" t="n"/>
      <c r="M119" s="2" t="n"/>
      <c r="N119" s="2" t="n"/>
      <c r="O119" s="2" t="n"/>
    </row>
    <row r="120">
      <c r="A120" s="2" t="n"/>
      <c r="B120" s="2" t="n"/>
      <c r="C120" s="2" t="n"/>
      <c r="D120" s="2" t="n"/>
      <c r="E120" s="2" t="n"/>
      <c r="F120" s="2" t="n"/>
      <c r="G120" s="2" t="n"/>
      <c r="H120" s="2" t="n"/>
      <c r="I120" s="2" t="n"/>
      <c r="J120" s="2" t="n"/>
      <c r="K120" s="2">
        <f>IF(COUNTA(G120:J120)&lt;4,"",ROUND(AVERAGE(G120:J120),1))</f>
        <v/>
      </c>
      <c r="L120" s="2" t="n"/>
      <c r="M120" s="2" t="n"/>
      <c r="N120" s="2" t="n"/>
      <c r="O120" s="2" t="n"/>
    </row>
    <row r="121">
      <c r="A121" s="2" t="n"/>
      <c r="B121" s="2" t="n"/>
      <c r="C121" s="2" t="n"/>
      <c r="D121" s="2" t="n"/>
      <c r="E121" s="2" t="n"/>
      <c r="F121" s="2" t="n"/>
      <c r="G121" s="2" t="n"/>
      <c r="H121" s="2" t="n"/>
      <c r="I121" s="2" t="n"/>
      <c r="J121" s="2" t="n"/>
      <c r="K121" s="2">
        <f>IF(COUNTA(G121:J121)&lt;4,"",ROUND(AVERAGE(G121:J121),1))</f>
        <v/>
      </c>
      <c r="L121" s="2" t="n"/>
      <c r="M121" s="2" t="n"/>
      <c r="N121" s="2" t="n"/>
      <c r="O121" s="2" t="n"/>
    </row>
    <row r="122">
      <c r="A122" s="2" t="n"/>
      <c r="B122" s="2" t="n"/>
      <c r="C122" s="2" t="n"/>
      <c r="D122" s="2" t="n"/>
      <c r="E122" s="2" t="n"/>
      <c r="F122" s="2" t="n"/>
      <c r="G122" s="2" t="n"/>
      <c r="H122" s="2" t="n"/>
      <c r="I122" s="2" t="n"/>
      <c r="J122" s="2" t="n"/>
      <c r="K122" s="2">
        <f>IF(COUNTA(G122:J122)&lt;4,"",ROUND(AVERAGE(G122:J122),1))</f>
        <v/>
      </c>
      <c r="L122" s="2" t="n"/>
      <c r="M122" s="2" t="n"/>
      <c r="N122" s="2" t="n"/>
      <c r="O122" s="2" t="n"/>
    </row>
    <row r="123">
      <c r="A123" s="2" t="n"/>
      <c r="B123" s="2" t="n"/>
      <c r="C123" s="2" t="n"/>
      <c r="D123" s="2" t="n"/>
      <c r="E123" s="2" t="n"/>
      <c r="F123" s="2" t="n"/>
      <c r="G123" s="2" t="n"/>
      <c r="H123" s="2" t="n"/>
      <c r="I123" s="2" t="n"/>
      <c r="J123" s="2" t="n"/>
      <c r="K123" s="2">
        <f>IF(COUNTA(G123:J123)&lt;4,"",ROUND(AVERAGE(G123:J123),1))</f>
        <v/>
      </c>
      <c r="L123" s="2" t="n"/>
      <c r="M123" s="2" t="n"/>
      <c r="N123" s="2" t="n"/>
      <c r="O123" s="2" t="n"/>
    </row>
    <row r="124">
      <c r="A124" s="2" t="n"/>
      <c r="B124" s="2" t="n"/>
      <c r="C124" s="2" t="n"/>
      <c r="D124" s="2" t="n"/>
      <c r="E124" s="2" t="n"/>
      <c r="F124" s="2" t="n"/>
      <c r="G124" s="2" t="n"/>
      <c r="H124" s="2" t="n"/>
      <c r="I124" s="2" t="n"/>
      <c r="J124" s="2" t="n"/>
      <c r="K124" s="2">
        <f>IF(COUNTA(G124:J124)&lt;4,"",ROUND(AVERAGE(G124:J124),1))</f>
        <v/>
      </c>
      <c r="L124" s="2" t="n"/>
      <c r="M124" s="2" t="n"/>
      <c r="N124" s="2" t="n"/>
      <c r="O124" s="2" t="n"/>
    </row>
    <row r="125">
      <c r="A125" s="2" t="n"/>
      <c r="B125" s="2" t="n"/>
      <c r="C125" s="2" t="n"/>
      <c r="D125" s="2" t="n"/>
      <c r="E125" s="2" t="n"/>
      <c r="F125" s="2" t="n"/>
      <c r="G125" s="2" t="n"/>
      <c r="H125" s="2" t="n"/>
      <c r="I125" s="2" t="n"/>
      <c r="J125" s="2" t="n"/>
      <c r="K125" s="2">
        <f>IF(COUNTA(G125:J125)&lt;4,"",ROUND(AVERAGE(G125:J125),1))</f>
        <v/>
      </c>
      <c r="L125" s="2" t="n"/>
      <c r="M125" s="2" t="n"/>
      <c r="N125" s="2" t="n"/>
      <c r="O125" s="2" t="n"/>
    </row>
    <row r="126">
      <c r="A126" s="2" t="n"/>
      <c r="B126" s="2" t="n"/>
      <c r="C126" s="2" t="n"/>
      <c r="D126" s="2" t="n"/>
      <c r="E126" s="2" t="n"/>
      <c r="F126" s="2" t="n"/>
      <c r="G126" s="2" t="n"/>
      <c r="H126" s="2" t="n"/>
      <c r="I126" s="2" t="n"/>
      <c r="J126" s="2" t="n"/>
      <c r="K126" s="2">
        <f>IF(COUNTA(G126:J126)&lt;4,"",ROUND(AVERAGE(G126:J126),1))</f>
        <v/>
      </c>
      <c r="L126" s="2" t="n"/>
      <c r="M126" s="2" t="n"/>
      <c r="N126" s="2" t="n"/>
      <c r="O126" s="2" t="n"/>
    </row>
    <row r="127">
      <c r="A127" s="2" t="n"/>
      <c r="B127" s="2" t="n"/>
      <c r="C127" s="2" t="n"/>
      <c r="D127" s="2" t="n"/>
      <c r="E127" s="2" t="n"/>
      <c r="F127" s="2" t="n"/>
      <c r="G127" s="2" t="n"/>
      <c r="H127" s="2" t="n"/>
      <c r="I127" s="2" t="n"/>
      <c r="J127" s="2" t="n"/>
      <c r="K127" s="2">
        <f>IF(COUNTA(G127:J127)&lt;4,"",ROUND(AVERAGE(G127:J127),1))</f>
        <v/>
      </c>
      <c r="L127" s="2" t="n"/>
      <c r="M127" s="2" t="n"/>
      <c r="N127" s="2" t="n"/>
      <c r="O127" s="2" t="n"/>
    </row>
    <row r="128">
      <c r="A128" s="2" t="n"/>
      <c r="B128" s="2" t="n"/>
      <c r="C128" s="2" t="n"/>
      <c r="D128" s="2" t="n"/>
      <c r="E128" s="2" t="n"/>
      <c r="F128" s="2" t="n"/>
      <c r="G128" s="2" t="n"/>
      <c r="H128" s="2" t="n"/>
      <c r="I128" s="2" t="n"/>
      <c r="J128" s="2" t="n"/>
      <c r="K128" s="2">
        <f>IF(COUNTA(G128:J128)&lt;4,"",ROUND(AVERAGE(G128:J128),1))</f>
        <v/>
      </c>
      <c r="L128" s="2" t="n"/>
      <c r="M128" s="2" t="n"/>
      <c r="N128" s="2" t="n"/>
      <c r="O128" s="2" t="n"/>
    </row>
    <row r="129">
      <c r="A129" s="2" t="n"/>
      <c r="B129" s="2" t="n"/>
      <c r="C129" s="2" t="n"/>
      <c r="D129" s="2" t="n"/>
      <c r="E129" s="2" t="n"/>
      <c r="F129" s="2" t="n"/>
      <c r="G129" s="2" t="n"/>
      <c r="H129" s="2" t="n"/>
      <c r="I129" s="2" t="n"/>
      <c r="J129" s="2" t="n"/>
      <c r="K129" s="2">
        <f>IF(COUNTA(G129:J129)&lt;4,"",ROUND(AVERAGE(G129:J129),1))</f>
        <v/>
      </c>
      <c r="L129" s="2" t="n"/>
      <c r="M129" s="2" t="n"/>
      <c r="N129" s="2" t="n"/>
      <c r="O129" s="2" t="n"/>
    </row>
    <row r="130">
      <c r="A130" s="2" t="n"/>
      <c r="B130" s="2" t="n"/>
      <c r="C130" s="2" t="n"/>
      <c r="D130" s="2" t="n"/>
      <c r="E130" s="2" t="n"/>
      <c r="F130" s="2" t="n"/>
      <c r="G130" s="2" t="n"/>
      <c r="H130" s="2" t="n"/>
      <c r="I130" s="2" t="n"/>
      <c r="J130" s="2" t="n"/>
      <c r="K130" s="2">
        <f>IF(COUNTA(G130:J130)&lt;4,"",ROUND(AVERAGE(G130:J130),1))</f>
        <v/>
      </c>
      <c r="L130" s="2" t="n"/>
      <c r="M130" s="2" t="n"/>
      <c r="N130" s="2" t="n"/>
      <c r="O130" s="2" t="n"/>
    </row>
    <row r="131">
      <c r="A131" s="2" t="n"/>
      <c r="B131" s="2" t="n"/>
      <c r="C131" s="2" t="n"/>
      <c r="D131" s="2" t="n"/>
      <c r="E131" s="2" t="n"/>
      <c r="F131" s="2" t="n"/>
      <c r="G131" s="2" t="n"/>
      <c r="H131" s="2" t="n"/>
      <c r="I131" s="2" t="n"/>
      <c r="J131" s="2" t="n"/>
      <c r="K131" s="2">
        <f>IF(COUNTA(G131:J131)&lt;4,"",ROUND(AVERAGE(G131:J131),1))</f>
        <v/>
      </c>
      <c r="L131" s="2" t="n"/>
      <c r="M131" s="2" t="n"/>
      <c r="N131" s="2" t="n"/>
      <c r="O131" s="2" t="n"/>
    </row>
    <row r="132">
      <c r="A132" s="2" t="n"/>
      <c r="B132" s="2" t="n"/>
      <c r="C132" s="2" t="n"/>
      <c r="D132" s="2" t="n"/>
      <c r="E132" s="2" t="n"/>
      <c r="F132" s="2" t="n"/>
      <c r="G132" s="2" t="n"/>
      <c r="H132" s="2" t="n"/>
      <c r="I132" s="2" t="n"/>
      <c r="J132" s="2" t="n"/>
      <c r="K132" s="2">
        <f>IF(COUNTA(G132:J132)&lt;4,"",ROUND(AVERAGE(G132:J132),1))</f>
        <v/>
      </c>
      <c r="L132" s="2" t="n"/>
      <c r="M132" s="2" t="n"/>
      <c r="N132" s="2" t="n"/>
      <c r="O132" s="2" t="n"/>
    </row>
    <row r="133">
      <c r="A133" s="2" t="n"/>
      <c r="B133" s="2" t="n"/>
      <c r="C133" s="2" t="n"/>
      <c r="D133" s="2" t="n"/>
      <c r="E133" s="2" t="n"/>
      <c r="F133" s="2" t="n"/>
      <c r="G133" s="2" t="n"/>
      <c r="H133" s="2" t="n"/>
      <c r="I133" s="2" t="n"/>
      <c r="J133" s="2" t="n"/>
      <c r="K133" s="2">
        <f>IF(COUNTA(G133:J133)&lt;4,"",ROUND(AVERAGE(G133:J133),1))</f>
        <v/>
      </c>
      <c r="L133" s="2" t="n"/>
      <c r="M133" s="2" t="n"/>
      <c r="N133" s="2" t="n"/>
      <c r="O133" s="2" t="n"/>
    </row>
    <row r="134">
      <c r="A134" s="2" t="n"/>
      <c r="B134" s="2" t="n"/>
      <c r="C134" s="2" t="n"/>
      <c r="D134" s="2" t="n"/>
      <c r="E134" s="2" t="n"/>
      <c r="F134" s="2" t="n"/>
      <c r="G134" s="2" t="n"/>
      <c r="H134" s="2" t="n"/>
      <c r="I134" s="2" t="n"/>
      <c r="J134" s="2" t="n"/>
      <c r="K134" s="2">
        <f>IF(COUNTA(G134:J134)&lt;4,"",ROUND(AVERAGE(G134:J134),1))</f>
        <v/>
      </c>
      <c r="L134" s="2" t="n"/>
      <c r="M134" s="2" t="n"/>
      <c r="N134" s="2" t="n"/>
      <c r="O134" s="2" t="n"/>
    </row>
    <row r="135">
      <c r="A135" s="2" t="n"/>
      <c r="B135" s="2" t="n"/>
      <c r="C135" s="2" t="n"/>
      <c r="D135" s="2" t="n"/>
      <c r="E135" s="2" t="n"/>
      <c r="F135" s="2" t="n"/>
      <c r="G135" s="2" t="n"/>
      <c r="H135" s="2" t="n"/>
      <c r="I135" s="2" t="n"/>
      <c r="J135" s="2" t="n"/>
      <c r="K135" s="2">
        <f>IF(COUNTA(G135:J135)&lt;4,"",ROUND(AVERAGE(G135:J135),1))</f>
        <v/>
      </c>
      <c r="L135" s="2" t="n"/>
      <c r="M135" s="2" t="n"/>
      <c r="N135" s="2" t="n"/>
      <c r="O135" s="2" t="n"/>
    </row>
    <row r="136">
      <c r="A136" s="2" t="n"/>
      <c r="B136" s="2" t="n"/>
      <c r="C136" s="2" t="n"/>
      <c r="D136" s="2" t="n"/>
      <c r="E136" s="2" t="n"/>
      <c r="F136" s="2" t="n"/>
      <c r="G136" s="2" t="n"/>
      <c r="H136" s="2" t="n"/>
      <c r="I136" s="2" t="n"/>
      <c r="J136" s="2" t="n"/>
      <c r="K136" s="2">
        <f>IF(COUNTA(G136:J136)&lt;4,"",ROUND(AVERAGE(G136:J136),1))</f>
        <v/>
      </c>
      <c r="L136" s="2" t="n"/>
      <c r="M136" s="2" t="n"/>
      <c r="N136" s="2" t="n"/>
      <c r="O136" s="2" t="n"/>
    </row>
    <row r="137">
      <c r="A137" s="2" t="n"/>
      <c r="B137" s="2" t="n"/>
      <c r="C137" s="2" t="n"/>
      <c r="D137" s="2" t="n"/>
      <c r="E137" s="2" t="n"/>
      <c r="F137" s="2" t="n"/>
      <c r="G137" s="2" t="n"/>
      <c r="H137" s="2" t="n"/>
      <c r="I137" s="2" t="n"/>
      <c r="J137" s="2" t="n"/>
      <c r="K137" s="2">
        <f>IF(COUNTA(G137:J137)&lt;4,"",ROUND(AVERAGE(G137:J137),1))</f>
        <v/>
      </c>
      <c r="L137" s="2" t="n"/>
      <c r="M137" s="2" t="n"/>
      <c r="N137" s="2" t="n"/>
      <c r="O137" s="2" t="n"/>
    </row>
    <row r="138">
      <c r="A138" s="2" t="n"/>
      <c r="B138" s="2" t="n"/>
      <c r="C138" s="2" t="n"/>
      <c r="D138" s="2" t="n"/>
      <c r="E138" s="2" t="n"/>
      <c r="F138" s="2" t="n"/>
      <c r="G138" s="2" t="n"/>
      <c r="H138" s="2" t="n"/>
      <c r="I138" s="2" t="n"/>
      <c r="J138" s="2" t="n"/>
      <c r="K138" s="2">
        <f>IF(COUNTA(G138:J138)&lt;4,"",ROUND(AVERAGE(G138:J138),1))</f>
        <v/>
      </c>
      <c r="L138" s="2" t="n"/>
      <c r="M138" s="2" t="n"/>
      <c r="N138" s="2" t="n"/>
      <c r="O138" s="2" t="n"/>
    </row>
    <row r="139">
      <c r="A139" s="2" t="n"/>
      <c r="B139" s="2" t="n"/>
      <c r="C139" s="2" t="n"/>
      <c r="D139" s="2" t="n"/>
      <c r="E139" s="2" t="n"/>
      <c r="F139" s="2" t="n"/>
      <c r="G139" s="2" t="n"/>
      <c r="H139" s="2" t="n"/>
      <c r="I139" s="2" t="n"/>
      <c r="J139" s="2" t="n"/>
      <c r="K139" s="2">
        <f>IF(COUNTA(G139:J139)&lt;4,"",ROUND(AVERAGE(G139:J139),1))</f>
        <v/>
      </c>
      <c r="L139" s="2" t="n"/>
      <c r="M139" s="2" t="n"/>
      <c r="N139" s="2" t="n"/>
      <c r="O139" s="2" t="n"/>
    </row>
    <row r="140">
      <c r="A140" s="2" t="n"/>
      <c r="B140" s="2" t="n"/>
      <c r="C140" s="2" t="n"/>
      <c r="D140" s="2" t="n"/>
      <c r="E140" s="2" t="n"/>
      <c r="F140" s="2" t="n"/>
      <c r="G140" s="2" t="n"/>
      <c r="H140" s="2" t="n"/>
      <c r="I140" s="2" t="n"/>
      <c r="J140" s="2" t="n"/>
      <c r="K140" s="2">
        <f>IF(COUNTA(G140:J140)&lt;4,"",ROUND(AVERAGE(G140:J140),1))</f>
        <v/>
      </c>
      <c r="L140" s="2" t="n"/>
      <c r="M140" s="2" t="n"/>
      <c r="N140" s="2" t="n"/>
      <c r="O140" s="2" t="n"/>
    </row>
    <row r="141">
      <c r="A141" s="2" t="n"/>
      <c r="B141" s="2" t="n"/>
      <c r="C141" s="2" t="n"/>
      <c r="D141" s="2" t="n"/>
      <c r="E141" s="2" t="n"/>
      <c r="F141" s="2" t="n"/>
      <c r="G141" s="2" t="n"/>
      <c r="H141" s="2" t="n"/>
      <c r="I141" s="2" t="n"/>
      <c r="J141" s="2" t="n"/>
      <c r="K141" s="2">
        <f>IF(COUNTA(G141:J141)&lt;4,"",ROUND(AVERAGE(G141:J141),1))</f>
        <v/>
      </c>
      <c r="L141" s="2" t="n"/>
      <c r="M141" s="2" t="n"/>
      <c r="N141" s="2" t="n"/>
      <c r="O141" s="2" t="n"/>
    </row>
    <row r="142">
      <c r="A142" s="2" t="n"/>
      <c r="B142" s="2" t="n"/>
      <c r="C142" s="2" t="n"/>
      <c r="D142" s="2" t="n"/>
      <c r="E142" s="2" t="n"/>
      <c r="F142" s="2" t="n"/>
      <c r="G142" s="2" t="n"/>
      <c r="H142" s="2" t="n"/>
      <c r="I142" s="2" t="n"/>
      <c r="J142" s="2" t="n"/>
      <c r="K142" s="2">
        <f>IF(COUNTA(G142:J142)&lt;4,"",ROUND(AVERAGE(G142:J142),1))</f>
        <v/>
      </c>
      <c r="L142" s="2" t="n"/>
      <c r="M142" s="2" t="n"/>
      <c r="N142" s="2" t="n"/>
      <c r="O142" s="2" t="n"/>
    </row>
    <row r="143">
      <c r="A143" s="2" t="n"/>
      <c r="B143" s="2" t="n"/>
      <c r="C143" s="2" t="n"/>
      <c r="D143" s="2" t="n"/>
      <c r="E143" s="2" t="n"/>
      <c r="F143" s="2" t="n"/>
      <c r="G143" s="2" t="n"/>
      <c r="H143" s="2" t="n"/>
      <c r="I143" s="2" t="n"/>
      <c r="J143" s="2" t="n"/>
      <c r="K143" s="2">
        <f>IF(COUNTA(G143:J143)&lt;4,"",ROUND(AVERAGE(G143:J143),1))</f>
        <v/>
      </c>
      <c r="L143" s="2" t="n"/>
      <c r="M143" s="2" t="n"/>
      <c r="N143" s="2" t="n"/>
      <c r="O143" s="2" t="n"/>
    </row>
    <row r="144">
      <c r="A144" s="2" t="n"/>
      <c r="B144" s="2" t="n"/>
      <c r="C144" s="2" t="n"/>
      <c r="D144" s="2" t="n"/>
      <c r="E144" s="2" t="n"/>
      <c r="F144" s="2" t="n"/>
      <c r="G144" s="2" t="n"/>
      <c r="H144" s="2" t="n"/>
      <c r="I144" s="2" t="n"/>
      <c r="J144" s="2" t="n"/>
      <c r="K144" s="2">
        <f>IF(COUNTA(G144:J144)&lt;4,"",ROUND(AVERAGE(G144:J144),1))</f>
        <v/>
      </c>
      <c r="L144" s="2" t="n"/>
      <c r="M144" s="2" t="n"/>
      <c r="N144" s="2" t="n"/>
      <c r="O144" s="2" t="n"/>
    </row>
    <row r="145">
      <c r="A145" s="2" t="n"/>
      <c r="B145" s="2" t="n"/>
      <c r="C145" s="2" t="n"/>
      <c r="D145" s="2" t="n"/>
      <c r="E145" s="2" t="n"/>
      <c r="F145" s="2" t="n"/>
      <c r="G145" s="2" t="n"/>
      <c r="H145" s="2" t="n"/>
      <c r="I145" s="2" t="n"/>
      <c r="J145" s="2" t="n"/>
      <c r="K145" s="2">
        <f>IF(COUNTA(G145:J145)&lt;4,"",ROUND(AVERAGE(G145:J145),1))</f>
        <v/>
      </c>
      <c r="L145" s="2" t="n"/>
      <c r="M145" s="2" t="n"/>
      <c r="N145" s="2" t="n"/>
      <c r="O145" s="2" t="n"/>
    </row>
    <row r="146">
      <c r="A146" s="2" t="n"/>
      <c r="B146" s="2" t="n"/>
      <c r="C146" s="2" t="n"/>
      <c r="D146" s="2" t="n"/>
      <c r="E146" s="2" t="n"/>
      <c r="F146" s="2" t="n"/>
      <c r="G146" s="2" t="n"/>
      <c r="H146" s="2" t="n"/>
      <c r="I146" s="2" t="n"/>
      <c r="J146" s="2" t="n"/>
      <c r="K146" s="2">
        <f>IF(COUNTA(G146:J146)&lt;4,"",ROUND(AVERAGE(G146:J146),1))</f>
        <v/>
      </c>
      <c r="L146" s="2" t="n"/>
      <c r="M146" s="2" t="n"/>
      <c r="N146" s="2" t="n"/>
      <c r="O146" s="2" t="n"/>
    </row>
    <row r="147">
      <c r="A147" s="2" t="n"/>
      <c r="B147" s="2" t="n"/>
      <c r="C147" s="2" t="n"/>
      <c r="D147" s="2" t="n"/>
      <c r="E147" s="2" t="n"/>
      <c r="F147" s="2" t="n"/>
      <c r="G147" s="2" t="n"/>
      <c r="H147" s="2" t="n"/>
      <c r="I147" s="2" t="n"/>
      <c r="J147" s="2" t="n"/>
      <c r="K147" s="2">
        <f>IF(COUNTA(G147:J147)&lt;4,"",ROUND(AVERAGE(G147:J147),1))</f>
        <v/>
      </c>
      <c r="L147" s="2" t="n"/>
      <c r="M147" s="2" t="n"/>
      <c r="N147" s="2" t="n"/>
      <c r="O147" s="2" t="n"/>
    </row>
    <row r="148">
      <c r="A148" s="2" t="n"/>
      <c r="B148" s="2" t="n"/>
      <c r="C148" s="2" t="n"/>
      <c r="D148" s="2" t="n"/>
      <c r="E148" s="2" t="n"/>
      <c r="F148" s="2" t="n"/>
      <c r="G148" s="2" t="n"/>
      <c r="H148" s="2" t="n"/>
      <c r="I148" s="2" t="n"/>
      <c r="J148" s="2" t="n"/>
      <c r="K148" s="2">
        <f>IF(COUNTA(G148:J148)&lt;4,"",ROUND(AVERAGE(G148:J148),1))</f>
        <v/>
      </c>
      <c r="L148" s="2" t="n"/>
      <c r="M148" s="2" t="n"/>
      <c r="N148" s="2" t="n"/>
      <c r="O148" s="2" t="n"/>
    </row>
    <row r="149">
      <c r="A149" s="2" t="n"/>
      <c r="B149" s="2" t="n"/>
      <c r="C149" s="2" t="n"/>
      <c r="D149" s="2" t="n"/>
      <c r="E149" s="2" t="n"/>
      <c r="F149" s="2" t="n"/>
      <c r="G149" s="2" t="n"/>
      <c r="H149" s="2" t="n"/>
      <c r="I149" s="2" t="n"/>
      <c r="J149" s="2" t="n"/>
      <c r="K149" s="2">
        <f>IF(COUNTA(G149:J149)&lt;4,"",ROUND(AVERAGE(G149:J149),1))</f>
        <v/>
      </c>
      <c r="L149" s="2" t="n"/>
      <c r="M149" s="2" t="n"/>
      <c r="N149" s="2" t="n"/>
      <c r="O149" s="2" t="n"/>
    </row>
    <row r="150">
      <c r="A150" s="2" t="n"/>
      <c r="B150" s="2" t="n"/>
      <c r="C150" s="2" t="n"/>
      <c r="D150" s="2" t="n"/>
      <c r="E150" s="2" t="n"/>
      <c r="F150" s="2" t="n"/>
      <c r="G150" s="2" t="n"/>
      <c r="H150" s="2" t="n"/>
      <c r="I150" s="2" t="n"/>
      <c r="J150" s="2" t="n"/>
      <c r="K150" s="2">
        <f>IF(COUNTA(G150:J150)&lt;4,"",ROUND(AVERAGE(G150:J150),1))</f>
        <v/>
      </c>
      <c r="L150" s="2" t="n"/>
      <c r="M150" s="2" t="n"/>
      <c r="N150" s="2" t="n"/>
      <c r="O150" s="2" t="n"/>
    </row>
    <row r="151">
      <c r="A151" s="2" t="n"/>
      <c r="B151" s="2" t="n"/>
      <c r="C151" s="2" t="n"/>
      <c r="D151" s="2" t="n"/>
      <c r="E151" s="2" t="n"/>
      <c r="F151" s="2" t="n"/>
      <c r="G151" s="2" t="n"/>
      <c r="H151" s="2" t="n"/>
      <c r="I151" s="2" t="n"/>
      <c r="J151" s="2" t="n"/>
      <c r="K151" s="2">
        <f>IF(COUNTA(G151:J151)&lt;4,"",ROUND(AVERAGE(G151:J151),1))</f>
        <v/>
      </c>
      <c r="L151" s="2" t="n"/>
      <c r="M151" s="2" t="n"/>
      <c r="N151" s="2" t="n"/>
      <c r="O151" s="2" t="n"/>
    </row>
    <row r="152">
      <c r="A152" s="2" t="n"/>
      <c r="B152" s="2" t="n"/>
      <c r="C152" s="2" t="n"/>
      <c r="D152" s="2" t="n"/>
      <c r="E152" s="2" t="n"/>
      <c r="F152" s="2" t="n"/>
      <c r="G152" s="2" t="n"/>
      <c r="H152" s="2" t="n"/>
      <c r="I152" s="2" t="n"/>
      <c r="J152" s="2" t="n"/>
      <c r="K152" s="2">
        <f>IF(COUNTA(G152:J152)&lt;4,"",ROUND(AVERAGE(G152:J152),1))</f>
        <v/>
      </c>
      <c r="L152" s="2" t="n"/>
      <c r="M152" s="2" t="n"/>
      <c r="N152" s="2" t="n"/>
      <c r="O152" s="2" t="n"/>
    </row>
    <row r="153">
      <c r="A153" s="2" t="n"/>
      <c r="B153" s="2" t="n"/>
      <c r="C153" s="2" t="n"/>
      <c r="D153" s="2" t="n"/>
      <c r="E153" s="2" t="n"/>
      <c r="F153" s="2" t="n"/>
      <c r="G153" s="2" t="n"/>
      <c r="H153" s="2" t="n"/>
      <c r="I153" s="2" t="n"/>
      <c r="J153" s="2" t="n"/>
      <c r="K153" s="2">
        <f>IF(COUNTA(G153:J153)&lt;4,"",ROUND(AVERAGE(G153:J153),1))</f>
        <v/>
      </c>
      <c r="L153" s="2" t="n"/>
      <c r="M153" s="2" t="n"/>
      <c r="N153" s="2" t="n"/>
      <c r="O153" s="2" t="n"/>
    </row>
    <row r="154">
      <c r="A154" s="2" t="n"/>
      <c r="B154" s="2" t="n"/>
      <c r="C154" s="2" t="n"/>
      <c r="D154" s="2" t="n"/>
      <c r="E154" s="2" t="n"/>
      <c r="F154" s="2" t="n"/>
      <c r="G154" s="2" t="n"/>
      <c r="H154" s="2" t="n"/>
      <c r="I154" s="2" t="n"/>
      <c r="J154" s="2" t="n"/>
      <c r="K154" s="2">
        <f>IF(COUNTA(G154:J154)&lt;4,"",ROUND(AVERAGE(G154:J154),1))</f>
        <v/>
      </c>
      <c r="L154" s="2" t="n"/>
      <c r="M154" s="2" t="n"/>
      <c r="N154" s="2" t="n"/>
      <c r="O154" s="2" t="n"/>
    </row>
    <row r="155">
      <c r="A155" s="2" t="n"/>
      <c r="B155" s="2" t="n"/>
      <c r="C155" s="2" t="n"/>
      <c r="D155" s="2" t="n"/>
      <c r="E155" s="2" t="n"/>
      <c r="F155" s="2" t="n"/>
      <c r="G155" s="2" t="n"/>
      <c r="H155" s="2" t="n"/>
      <c r="I155" s="2" t="n"/>
      <c r="J155" s="2" t="n"/>
      <c r="K155" s="2">
        <f>IF(COUNTA(G155:J155)&lt;4,"",ROUND(AVERAGE(G155:J155),1))</f>
        <v/>
      </c>
      <c r="L155" s="2" t="n"/>
      <c r="M155" s="2" t="n"/>
      <c r="N155" s="2" t="n"/>
      <c r="O155" s="2" t="n"/>
    </row>
    <row r="156">
      <c r="A156" s="2" t="n"/>
      <c r="B156" s="2" t="n"/>
      <c r="C156" s="2" t="n"/>
      <c r="D156" s="2" t="n"/>
      <c r="E156" s="2" t="n"/>
      <c r="F156" s="2" t="n"/>
      <c r="G156" s="2" t="n"/>
      <c r="H156" s="2" t="n"/>
      <c r="I156" s="2" t="n"/>
      <c r="J156" s="2" t="n"/>
      <c r="K156" s="2">
        <f>IF(COUNTA(G156:J156)&lt;4,"",ROUND(AVERAGE(G156:J156),1))</f>
        <v/>
      </c>
      <c r="L156" s="2" t="n"/>
      <c r="M156" s="2" t="n"/>
      <c r="N156" s="2" t="n"/>
      <c r="O156" s="2" t="n"/>
    </row>
    <row r="157">
      <c r="A157" s="2" t="n"/>
      <c r="B157" s="2" t="n"/>
      <c r="C157" s="2" t="n"/>
      <c r="D157" s="2" t="n"/>
      <c r="E157" s="2" t="n"/>
      <c r="F157" s="2" t="n"/>
      <c r="G157" s="2" t="n"/>
      <c r="H157" s="2" t="n"/>
      <c r="I157" s="2" t="n"/>
      <c r="J157" s="2" t="n"/>
      <c r="K157" s="2">
        <f>IF(COUNTA(G157:J157)&lt;4,"",ROUND(AVERAGE(G157:J157),1))</f>
        <v/>
      </c>
      <c r="L157" s="2" t="n"/>
      <c r="M157" s="2" t="n"/>
      <c r="N157" s="2" t="n"/>
      <c r="O157" s="2" t="n"/>
    </row>
    <row r="158">
      <c r="A158" s="2" t="n"/>
      <c r="B158" s="2" t="n"/>
      <c r="C158" s="2" t="n"/>
      <c r="D158" s="2" t="n"/>
      <c r="E158" s="2" t="n"/>
      <c r="F158" s="2" t="n"/>
      <c r="G158" s="2" t="n"/>
      <c r="H158" s="2" t="n"/>
      <c r="I158" s="2" t="n"/>
      <c r="J158" s="2" t="n"/>
      <c r="K158" s="2">
        <f>IF(COUNTA(G158:J158)&lt;4,"",ROUND(AVERAGE(G158:J158),1))</f>
        <v/>
      </c>
      <c r="L158" s="2" t="n"/>
      <c r="M158" s="2" t="n"/>
      <c r="N158" s="2" t="n"/>
      <c r="O158" s="2" t="n"/>
    </row>
    <row r="159">
      <c r="A159" s="2" t="n"/>
      <c r="B159" s="2" t="n"/>
      <c r="C159" s="2" t="n"/>
      <c r="D159" s="2" t="n"/>
      <c r="E159" s="2" t="n"/>
      <c r="F159" s="2" t="n"/>
      <c r="G159" s="2" t="n"/>
      <c r="H159" s="2" t="n"/>
      <c r="I159" s="2" t="n"/>
      <c r="J159" s="2" t="n"/>
      <c r="K159" s="2">
        <f>IF(COUNTA(G159:J159)&lt;4,"",ROUND(AVERAGE(G159:J159),1))</f>
        <v/>
      </c>
      <c r="L159" s="2" t="n"/>
      <c r="M159" s="2" t="n"/>
      <c r="N159" s="2" t="n"/>
      <c r="O159" s="2" t="n"/>
    </row>
    <row r="160">
      <c r="A160" s="2" t="n"/>
      <c r="B160" s="2" t="n"/>
      <c r="C160" s="2" t="n"/>
      <c r="D160" s="2" t="n"/>
      <c r="E160" s="2" t="n"/>
      <c r="F160" s="2" t="n"/>
      <c r="G160" s="2" t="n"/>
      <c r="H160" s="2" t="n"/>
      <c r="I160" s="2" t="n"/>
      <c r="J160" s="2" t="n"/>
      <c r="K160" s="2">
        <f>IF(COUNTA(G160:J160)&lt;4,"",ROUND(AVERAGE(G160:J160),1))</f>
        <v/>
      </c>
      <c r="L160" s="2" t="n"/>
      <c r="M160" s="2" t="n"/>
      <c r="N160" s="2" t="n"/>
      <c r="O160" s="2" t="n"/>
    </row>
    <row r="161">
      <c r="A161" s="2" t="n"/>
      <c r="B161" s="2" t="n"/>
      <c r="C161" s="2" t="n"/>
      <c r="D161" s="2" t="n"/>
      <c r="E161" s="2" t="n"/>
      <c r="F161" s="2" t="n"/>
      <c r="G161" s="2" t="n"/>
      <c r="H161" s="2" t="n"/>
      <c r="I161" s="2" t="n"/>
      <c r="J161" s="2" t="n"/>
      <c r="K161" s="2">
        <f>IF(COUNTA(G161:J161)&lt;4,"",ROUND(AVERAGE(G161:J161),1))</f>
        <v/>
      </c>
      <c r="L161" s="2" t="n"/>
      <c r="M161" s="2" t="n"/>
      <c r="N161" s="2" t="n"/>
      <c r="O161" s="2" t="n"/>
    </row>
    <row r="162">
      <c r="A162" s="2" t="n"/>
      <c r="B162" s="2" t="n"/>
      <c r="C162" s="2" t="n"/>
      <c r="D162" s="2" t="n"/>
      <c r="E162" s="2" t="n"/>
      <c r="F162" s="2" t="n"/>
      <c r="G162" s="2" t="n"/>
      <c r="H162" s="2" t="n"/>
      <c r="I162" s="2" t="n"/>
      <c r="J162" s="2" t="n"/>
      <c r="K162" s="2">
        <f>IF(COUNTA(G162:J162)&lt;4,"",ROUND(AVERAGE(G162:J162),1))</f>
        <v/>
      </c>
      <c r="L162" s="2" t="n"/>
      <c r="M162" s="2" t="n"/>
      <c r="N162" s="2" t="n"/>
      <c r="O162" s="2" t="n"/>
    </row>
    <row r="163">
      <c r="A163" s="2" t="n"/>
      <c r="B163" s="2" t="n"/>
      <c r="C163" s="2" t="n"/>
      <c r="D163" s="2" t="n"/>
      <c r="E163" s="2" t="n"/>
      <c r="F163" s="2" t="n"/>
      <c r="G163" s="2" t="n"/>
      <c r="H163" s="2" t="n"/>
      <c r="I163" s="2" t="n"/>
      <c r="J163" s="2" t="n"/>
      <c r="K163" s="2">
        <f>IF(COUNTA(G163:J163)&lt;4,"",ROUND(AVERAGE(G163:J163),1))</f>
        <v/>
      </c>
      <c r="L163" s="2" t="n"/>
      <c r="M163" s="2" t="n"/>
      <c r="N163" s="2" t="n"/>
      <c r="O163" s="2" t="n"/>
    </row>
    <row r="164">
      <c r="A164" s="2" t="n"/>
      <c r="B164" s="2" t="n"/>
      <c r="C164" s="2" t="n"/>
      <c r="D164" s="2" t="n"/>
      <c r="E164" s="2" t="n"/>
      <c r="F164" s="2" t="n"/>
      <c r="G164" s="2" t="n"/>
      <c r="H164" s="2" t="n"/>
      <c r="I164" s="2" t="n"/>
      <c r="J164" s="2" t="n"/>
      <c r="K164" s="2">
        <f>IF(COUNTA(G164:J164)&lt;4,"",ROUND(AVERAGE(G164:J164),1))</f>
        <v/>
      </c>
      <c r="L164" s="2" t="n"/>
      <c r="M164" s="2" t="n"/>
      <c r="N164" s="2" t="n"/>
      <c r="O164" s="2" t="n"/>
    </row>
    <row r="165">
      <c r="A165" s="2" t="n"/>
      <c r="B165" s="2" t="n"/>
      <c r="C165" s="2" t="n"/>
      <c r="D165" s="2" t="n"/>
      <c r="E165" s="2" t="n"/>
      <c r="F165" s="2" t="n"/>
      <c r="G165" s="2" t="n"/>
      <c r="H165" s="2" t="n"/>
      <c r="I165" s="2" t="n"/>
      <c r="J165" s="2" t="n"/>
      <c r="K165" s="2">
        <f>IF(COUNTA(G165:J165)&lt;4,"",ROUND(AVERAGE(G165:J165),1))</f>
        <v/>
      </c>
      <c r="L165" s="2" t="n"/>
      <c r="M165" s="2" t="n"/>
      <c r="N165" s="2" t="n"/>
      <c r="O165" s="2" t="n"/>
    </row>
    <row r="166">
      <c r="A166" s="2" t="n"/>
      <c r="B166" s="2" t="n"/>
      <c r="C166" s="2" t="n"/>
      <c r="D166" s="2" t="n"/>
      <c r="E166" s="2" t="n"/>
      <c r="F166" s="2" t="n"/>
      <c r="G166" s="2" t="n"/>
      <c r="H166" s="2" t="n"/>
      <c r="I166" s="2" t="n"/>
      <c r="J166" s="2" t="n"/>
      <c r="K166" s="2">
        <f>IF(COUNTA(G166:J166)&lt;4,"",ROUND(AVERAGE(G166:J166),1))</f>
        <v/>
      </c>
      <c r="L166" s="2" t="n"/>
      <c r="M166" s="2" t="n"/>
      <c r="N166" s="2" t="n"/>
      <c r="O166" s="2" t="n"/>
    </row>
    <row r="167">
      <c r="A167" s="2" t="n"/>
      <c r="B167" s="2" t="n"/>
      <c r="C167" s="2" t="n"/>
      <c r="D167" s="2" t="n"/>
      <c r="E167" s="2" t="n"/>
      <c r="F167" s="2" t="n"/>
      <c r="G167" s="2" t="n"/>
      <c r="H167" s="2" t="n"/>
      <c r="I167" s="2" t="n"/>
      <c r="J167" s="2" t="n"/>
      <c r="K167" s="2">
        <f>IF(COUNTA(G167:J167)&lt;4,"",ROUND(AVERAGE(G167:J167),1))</f>
        <v/>
      </c>
      <c r="L167" s="2" t="n"/>
      <c r="M167" s="2" t="n"/>
      <c r="N167" s="2" t="n"/>
      <c r="O167" s="2" t="n"/>
    </row>
    <row r="168">
      <c r="A168" s="2" t="n"/>
      <c r="B168" s="2" t="n"/>
      <c r="C168" s="2" t="n"/>
      <c r="D168" s="2" t="n"/>
      <c r="E168" s="2" t="n"/>
      <c r="F168" s="2" t="n"/>
      <c r="G168" s="2" t="n"/>
      <c r="H168" s="2" t="n"/>
      <c r="I168" s="2" t="n"/>
      <c r="J168" s="2" t="n"/>
      <c r="K168" s="2">
        <f>IF(COUNTA(G168:J168)&lt;4,"",ROUND(AVERAGE(G168:J168),1))</f>
        <v/>
      </c>
      <c r="L168" s="2" t="n"/>
      <c r="M168" s="2" t="n"/>
      <c r="N168" s="2" t="n"/>
      <c r="O168" s="2" t="n"/>
    </row>
    <row r="169">
      <c r="A169" s="2" t="n"/>
      <c r="B169" s="2" t="n"/>
      <c r="C169" s="2" t="n"/>
      <c r="D169" s="2" t="n"/>
      <c r="E169" s="2" t="n"/>
      <c r="F169" s="2" t="n"/>
      <c r="G169" s="2" t="n"/>
      <c r="H169" s="2" t="n"/>
      <c r="I169" s="2" t="n"/>
      <c r="J169" s="2" t="n"/>
      <c r="K169" s="2">
        <f>IF(COUNTA(G169:J169)&lt;4,"",ROUND(AVERAGE(G169:J169),1))</f>
        <v/>
      </c>
      <c r="L169" s="2" t="n"/>
      <c r="M169" s="2" t="n"/>
      <c r="N169" s="2" t="n"/>
      <c r="O169" s="2" t="n"/>
    </row>
    <row r="170">
      <c r="A170" s="2" t="n"/>
      <c r="B170" s="2" t="n"/>
      <c r="C170" s="2" t="n"/>
      <c r="D170" s="2" t="n"/>
      <c r="E170" s="2" t="n"/>
      <c r="F170" s="2" t="n"/>
      <c r="G170" s="2" t="n"/>
      <c r="H170" s="2" t="n"/>
      <c r="I170" s="2" t="n"/>
      <c r="J170" s="2" t="n"/>
      <c r="K170" s="2">
        <f>IF(COUNTA(G170:J170)&lt;4,"",ROUND(AVERAGE(G170:J170),1))</f>
        <v/>
      </c>
      <c r="L170" s="2" t="n"/>
      <c r="M170" s="2" t="n"/>
      <c r="N170" s="2" t="n"/>
      <c r="O170" s="2" t="n"/>
    </row>
    <row r="171">
      <c r="A171" s="2" t="n"/>
      <c r="B171" s="2" t="n"/>
      <c r="C171" s="2" t="n"/>
      <c r="D171" s="2" t="n"/>
      <c r="E171" s="2" t="n"/>
      <c r="F171" s="2" t="n"/>
      <c r="G171" s="2" t="n"/>
      <c r="H171" s="2" t="n"/>
      <c r="I171" s="2" t="n"/>
      <c r="J171" s="2" t="n"/>
      <c r="K171" s="2">
        <f>IF(COUNTA(G171:J171)&lt;4,"",ROUND(AVERAGE(G171:J171),1))</f>
        <v/>
      </c>
      <c r="L171" s="2" t="n"/>
      <c r="M171" s="2" t="n"/>
      <c r="N171" s="2" t="n"/>
      <c r="O171" s="2" t="n"/>
    </row>
    <row r="172">
      <c r="A172" s="2" t="n"/>
      <c r="B172" s="2" t="n"/>
      <c r="C172" s="2" t="n"/>
      <c r="D172" s="2" t="n"/>
      <c r="E172" s="2" t="n"/>
      <c r="F172" s="2" t="n"/>
      <c r="G172" s="2" t="n"/>
      <c r="H172" s="2" t="n"/>
      <c r="I172" s="2" t="n"/>
      <c r="J172" s="2" t="n"/>
      <c r="K172" s="2">
        <f>IF(COUNTA(G172:J172)&lt;4,"",ROUND(AVERAGE(G172:J172),1))</f>
        <v/>
      </c>
      <c r="L172" s="2" t="n"/>
      <c r="M172" s="2" t="n"/>
      <c r="N172" s="2" t="n"/>
      <c r="O172" s="2" t="n"/>
    </row>
    <row r="173">
      <c r="A173" s="2" t="n"/>
      <c r="B173" s="2" t="n"/>
      <c r="C173" s="2" t="n"/>
      <c r="D173" s="2" t="n"/>
      <c r="E173" s="2" t="n"/>
      <c r="F173" s="2" t="n"/>
      <c r="G173" s="2" t="n"/>
      <c r="H173" s="2" t="n"/>
      <c r="I173" s="2" t="n"/>
      <c r="J173" s="2" t="n"/>
      <c r="K173" s="2">
        <f>IF(COUNTA(G173:J173)&lt;4,"",ROUND(AVERAGE(G173:J173),1))</f>
        <v/>
      </c>
      <c r="L173" s="2" t="n"/>
      <c r="M173" s="2" t="n"/>
      <c r="N173" s="2" t="n"/>
      <c r="O173" s="2" t="n"/>
    </row>
    <row r="174">
      <c r="A174" s="2" t="n"/>
      <c r="B174" s="2" t="n"/>
      <c r="C174" s="2" t="n"/>
      <c r="D174" s="2" t="n"/>
      <c r="E174" s="2" t="n"/>
      <c r="F174" s="2" t="n"/>
      <c r="G174" s="2" t="n"/>
      <c r="H174" s="2" t="n"/>
      <c r="I174" s="2" t="n"/>
      <c r="J174" s="2" t="n"/>
      <c r="K174" s="2">
        <f>IF(COUNTA(G174:J174)&lt;4,"",ROUND(AVERAGE(G174:J174),1))</f>
        <v/>
      </c>
      <c r="L174" s="2" t="n"/>
      <c r="M174" s="2" t="n"/>
      <c r="N174" s="2" t="n"/>
      <c r="O174" s="2" t="n"/>
    </row>
    <row r="175">
      <c r="A175" s="2" t="n"/>
      <c r="B175" s="2" t="n"/>
      <c r="C175" s="2" t="n"/>
      <c r="D175" s="2" t="n"/>
      <c r="E175" s="2" t="n"/>
      <c r="F175" s="2" t="n"/>
      <c r="G175" s="2" t="n"/>
      <c r="H175" s="2" t="n"/>
      <c r="I175" s="2" t="n"/>
      <c r="J175" s="2" t="n"/>
      <c r="K175" s="2">
        <f>IF(COUNTA(G175:J175)&lt;4,"",ROUND(AVERAGE(G175:J175),1))</f>
        <v/>
      </c>
      <c r="L175" s="2" t="n"/>
      <c r="M175" s="2" t="n"/>
      <c r="N175" s="2" t="n"/>
      <c r="O175" s="2" t="n"/>
    </row>
    <row r="176">
      <c r="A176" s="2" t="n"/>
      <c r="B176" s="2" t="n"/>
      <c r="C176" s="2" t="n"/>
      <c r="D176" s="2" t="n"/>
      <c r="E176" s="2" t="n"/>
      <c r="F176" s="2" t="n"/>
      <c r="G176" s="2" t="n"/>
      <c r="H176" s="2" t="n"/>
      <c r="I176" s="2" t="n"/>
      <c r="J176" s="2" t="n"/>
      <c r="K176" s="2">
        <f>IF(COUNTA(G176:J176)&lt;4,"",ROUND(AVERAGE(G176:J176),1))</f>
        <v/>
      </c>
      <c r="L176" s="2" t="n"/>
      <c r="M176" s="2" t="n"/>
      <c r="N176" s="2" t="n"/>
      <c r="O176" s="2" t="n"/>
    </row>
    <row r="177">
      <c r="A177" s="2" t="n"/>
      <c r="B177" s="2" t="n"/>
      <c r="C177" s="2" t="n"/>
      <c r="D177" s="2" t="n"/>
      <c r="E177" s="2" t="n"/>
      <c r="F177" s="2" t="n"/>
      <c r="G177" s="2" t="n"/>
      <c r="H177" s="2" t="n"/>
      <c r="I177" s="2" t="n"/>
      <c r="J177" s="2" t="n"/>
      <c r="K177" s="2">
        <f>IF(COUNTA(G177:J177)&lt;4,"",ROUND(AVERAGE(G177:J177),1))</f>
        <v/>
      </c>
      <c r="L177" s="2" t="n"/>
      <c r="M177" s="2" t="n"/>
      <c r="N177" s="2" t="n"/>
      <c r="O177" s="2" t="n"/>
    </row>
    <row r="178">
      <c r="A178" s="2" t="n"/>
      <c r="B178" s="2" t="n"/>
      <c r="C178" s="2" t="n"/>
      <c r="D178" s="2" t="n"/>
      <c r="E178" s="2" t="n"/>
      <c r="F178" s="2" t="n"/>
      <c r="G178" s="2" t="n"/>
      <c r="H178" s="2" t="n"/>
      <c r="I178" s="2" t="n"/>
      <c r="J178" s="2" t="n"/>
      <c r="K178" s="2">
        <f>IF(COUNTA(G178:J178)&lt;4,"",ROUND(AVERAGE(G178:J178),1))</f>
        <v/>
      </c>
      <c r="L178" s="2" t="n"/>
      <c r="M178" s="2" t="n"/>
      <c r="N178" s="2" t="n"/>
      <c r="O178" s="2" t="n"/>
    </row>
    <row r="179">
      <c r="A179" s="2" t="n"/>
      <c r="B179" s="2" t="n"/>
      <c r="C179" s="2" t="n"/>
      <c r="D179" s="2" t="n"/>
      <c r="E179" s="2" t="n"/>
      <c r="F179" s="2" t="n"/>
      <c r="G179" s="2" t="n"/>
      <c r="H179" s="2" t="n"/>
      <c r="I179" s="2" t="n"/>
      <c r="J179" s="2" t="n"/>
      <c r="K179" s="2">
        <f>IF(COUNTA(G179:J179)&lt;4,"",ROUND(AVERAGE(G179:J179),1))</f>
        <v/>
      </c>
      <c r="L179" s="2" t="n"/>
      <c r="M179" s="2" t="n"/>
      <c r="N179" s="2" t="n"/>
      <c r="O179" s="2" t="n"/>
    </row>
    <row r="180">
      <c r="A180" s="2" t="n"/>
      <c r="B180" s="2" t="n"/>
      <c r="C180" s="2" t="n"/>
      <c r="D180" s="2" t="n"/>
      <c r="E180" s="2" t="n"/>
      <c r="F180" s="2" t="n"/>
      <c r="G180" s="2" t="n"/>
      <c r="H180" s="2" t="n"/>
      <c r="I180" s="2" t="n"/>
      <c r="J180" s="2" t="n"/>
      <c r="K180" s="2">
        <f>IF(COUNTA(G180:J180)&lt;4,"",ROUND(AVERAGE(G180:J180),1))</f>
        <v/>
      </c>
      <c r="L180" s="2" t="n"/>
      <c r="M180" s="2" t="n"/>
      <c r="N180" s="2" t="n"/>
      <c r="O180" s="2" t="n"/>
    </row>
    <row r="181">
      <c r="A181" s="2" t="n"/>
      <c r="B181" s="2" t="n"/>
      <c r="C181" s="2" t="n"/>
      <c r="D181" s="2" t="n"/>
      <c r="E181" s="2" t="n"/>
      <c r="F181" s="2" t="n"/>
      <c r="G181" s="2" t="n"/>
      <c r="H181" s="2" t="n"/>
      <c r="I181" s="2" t="n"/>
      <c r="J181" s="2" t="n"/>
      <c r="K181" s="2">
        <f>IF(COUNTA(G181:J181)&lt;4,"",ROUND(AVERAGE(G181:J181),1))</f>
        <v/>
      </c>
      <c r="L181" s="2" t="n"/>
      <c r="M181" s="2" t="n"/>
      <c r="N181" s="2" t="n"/>
      <c r="O181" s="2" t="n"/>
    </row>
    <row r="182">
      <c r="A182" s="2" t="n"/>
      <c r="B182" s="2" t="n"/>
      <c r="C182" s="2" t="n"/>
      <c r="D182" s="2" t="n"/>
      <c r="E182" s="2" t="n"/>
      <c r="F182" s="2" t="n"/>
      <c r="G182" s="2" t="n"/>
      <c r="H182" s="2" t="n"/>
      <c r="I182" s="2" t="n"/>
      <c r="J182" s="2" t="n"/>
      <c r="K182" s="2">
        <f>IF(COUNTA(G182:J182)&lt;4,"",ROUND(AVERAGE(G182:J182),1))</f>
        <v/>
      </c>
      <c r="L182" s="2" t="n"/>
      <c r="M182" s="2" t="n"/>
      <c r="N182" s="2" t="n"/>
      <c r="O182" s="2" t="n"/>
    </row>
    <row r="183">
      <c r="A183" s="2" t="n"/>
      <c r="B183" s="2" t="n"/>
      <c r="C183" s="2" t="n"/>
      <c r="D183" s="2" t="n"/>
      <c r="E183" s="2" t="n"/>
      <c r="F183" s="2" t="n"/>
      <c r="G183" s="2" t="n"/>
      <c r="H183" s="2" t="n"/>
      <c r="I183" s="2" t="n"/>
      <c r="J183" s="2" t="n"/>
      <c r="K183" s="2">
        <f>IF(COUNTA(G183:J183)&lt;4,"",ROUND(AVERAGE(G183:J183),1))</f>
        <v/>
      </c>
      <c r="L183" s="2" t="n"/>
      <c r="M183" s="2" t="n"/>
      <c r="N183" s="2" t="n"/>
      <c r="O183" s="2" t="n"/>
    </row>
    <row r="184">
      <c r="A184" s="2" t="n"/>
      <c r="B184" s="2" t="n"/>
      <c r="C184" s="2" t="n"/>
      <c r="D184" s="2" t="n"/>
      <c r="E184" s="2" t="n"/>
      <c r="F184" s="2" t="n"/>
      <c r="G184" s="2" t="n"/>
      <c r="H184" s="2" t="n"/>
      <c r="I184" s="2" t="n"/>
      <c r="J184" s="2" t="n"/>
      <c r="K184" s="2">
        <f>IF(COUNTA(G184:J184)&lt;4,"",ROUND(AVERAGE(G184:J184),1))</f>
        <v/>
      </c>
      <c r="L184" s="2" t="n"/>
      <c r="M184" s="2" t="n"/>
      <c r="N184" s="2" t="n"/>
      <c r="O184" s="2" t="n"/>
    </row>
    <row r="185">
      <c r="A185" s="2" t="n"/>
      <c r="B185" s="2" t="n"/>
      <c r="C185" s="2" t="n"/>
      <c r="D185" s="2" t="n"/>
      <c r="E185" s="2" t="n"/>
      <c r="F185" s="2" t="n"/>
      <c r="G185" s="2" t="n"/>
      <c r="H185" s="2" t="n"/>
      <c r="I185" s="2" t="n"/>
      <c r="J185" s="2" t="n"/>
      <c r="K185" s="2">
        <f>IF(COUNTA(G185:J185)&lt;4,"",ROUND(AVERAGE(G185:J185),1))</f>
        <v/>
      </c>
      <c r="L185" s="2" t="n"/>
      <c r="M185" s="2" t="n"/>
      <c r="N185" s="2" t="n"/>
      <c r="O185" s="2" t="n"/>
    </row>
    <row r="186">
      <c r="A186" s="2" t="n"/>
      <c r="B186" s="2" t="n"/>
      <c r="C186" s="2" t="n"/>
      <c r="D186" s="2" t="n"/>
      <c r="E186" s="2" t="n"/>
      <c r="F186" s="2" t="n"/>
      <c r="G186" s="2" t="n"/>
      <c r="H186" s="2" t="n"/>
      <c r="I186" s="2" t="n"/>
      <c r="J186" s="2" t="n"/>
      <c r="K186" s="2">
        <f>IF(COUNTA(G186:J186)&lt;4,"",ROUND(AVERAGE(G186:J186),1))</f>
        <v/>
      </c>
      <c r="L186" s="2" t="n"/>
      <c r="M186" s="2" t="n"/>
      <c r="N186" s="2" t="n"/>
      <c r="O186" s="2" t="n"/>
    </row>
    <row r="187">
      <c r="A187" s="2" t="n"/>
      <c r="B187" s="2" t="n"/>
      <c r="C187" s="2" t="n"/>
      <c r="D187" s="2" t="n"/>
      <c r="E187" s="2" t="n"/>
      <c r="F187" s="2" t="n"/>
      <c r="G187" s="2" t="n"/>
      <c r="H187" s="2" t="n"/>
      <c r="I187" s="2" t="n"/>
      <c r="J187" s="2" t="n"/>
      <c r="K187" s="2">
        <f>IF(COUNTA(G187:J187)&lt;4,"",ROUND(AVERAGE(G187:J187),1))</f>
        <v/>
      </c>
      <c r="L187" s="2" t="n"/>
      <c r="M187" s="2" t="n"/>
      <c r="N187" s="2" t="n"/>
      <c r="O187" s="2" t="n"/>
    </row>
    <row r="188">
      <c r="A188" s="2" t="n"/>
      <c r="B188" s="2" t="n"/>
      <c r="C188" s="2" t="n"/>
      <c r="D188" s="2" t="n"/>
      <c r="E188" s="2" t="n"/>
      <c r="F188" s="2" t="n"/>
      <c r="G188" s="2" t="n"/>
      <c r="H188" s="2" t="n"/>
      <c r="I188" s="2" t="n"/>
      <c r="J188" s="2" t="n"/>
      <c r="K188" s="2">
        <f>IF(COUNTA(G188:J188)&lt;4,"",ROUND(AVERAGE(G188:J188),1))</f>
        <v/>
      </c>
      <c r="L188" s="2" t="n"/>
      <c r="M188" s="2" t="n"/>
      <c r="N188" s="2" t="n"/>
      <c r="O188" s="2" t="n"/>
    </row>
    <row r="189">
      <c r="A189" s="2" t="n"/>
      <c r="B189" s="2" t="n"/>
      <c r="C189" s="2" t="n"/>
      <c r="D189" s="2" t="n"/>
      <c r="E189" s="2" t="n"/>
      <c r="F189" s="2" t="n"/>
      <c r="G189" s="2" t="n"/>
      <c r="H189" s="2" t="n"/>
      <c r="I189" s="2" t="n"/>
      <c r="J189" s="2" t="n"/>
      <c r="K189" s="2">
        <f>IF(COUNTA(G189:J189)&lt;4,"",ROUND(AVERAGE(G189:J189),1))</f>
        <v/>
      </c>
      <c r="L189" s="2" t="n"/>
      <c r="M189" s="2" t="n"/>
      <c r="N189" s="2" t="n"/>
      <c r="O189" s="2" t="n"/>
    </row>
    <row r="190">
      <c r="A190" s="2" t="n"/>
      <c r="B190" s="2" t="n"/>
      <c r="C190" s="2" t="n"/>
      <c r="D190" s="2" t="n"/>
      <c r="E190" s="2" t="n"/>
      <c r="F190" s="2" t="n"/>
      <c r="G190" s="2" t="n"/>
      <c r="H190" s="2" t="n"/>
      <c r="I190" s="2" t="n"/>
      <c r="J190" s="2" t="n"/>
      <c r="K190" s="2">
        <f>IF(COUNTA(G190:J190)&lt;4,"",ROUND(AVERAGE(G190:J190),1))</f>
        <v/>
      </c>
      <c r="L190" s="2" t="n"/>
      <c r="M190" s="2" t="n"/>
      <c r="N190" s="2" t="n"/>
      <c r="O190" s="2" t="n"/>
    </row>
    <row r="191">
      <c r="A191" s="2" t="n"/>
      <c r="B191" s="2" t="n"/>
      <c r="C191" s="2" t="n"/>
      <c r="D191" s="2" t="n"/>
      <c r="E191" s="2" t="n"/>
      <c r="F191" s="2" t="n"/>
      <c r="G191" s="2" t="n"/>
      <c r="H191" s="2" t="n"/>
      <c r="I191" s="2" t="n"/>
      <c r="J191" s="2" t="n"/>
      <c r="K191" s="2">
        <f>IF(COUNTA(G191:J191)&lt;4,"",ROUND(AVERAGE(G191:J191),1))</f>
        <v/>
      </c>
      <c r="L191" s="2" t="n"/>
      <c r="M191" s="2" t="n"/>
      <c r="N191" s="2" t="n"/>
      <c r="O191" s="2" t="n"/>
    </row>
    <row r="192">
      <c r="A192" s="2" t="n"/>
      <c r="B192" s="2" t="n"/>
      <c r="C192" s="2" t="n"/>
      <c r="D192" s="2" t="n"/>
      <c r="E192" s="2" t="n"/>
      <c r="F192" s="2" t="n"/>
      <c r="G192" s="2" t="n"/>
      <c r="H192" s="2" t="n"/>
      <c r="I192" s="2" t="n"/>
      <c r="J192" s="2" t="n"/>
      <c r="K192" s="2">
        <f>IF(COUNTA(G192:J192)&lt;4,"",ROUND(AVERAGE(G192:J192),1))</f>
        <v/>
      </c>
      <c r="L192" s="2" t="n"/>
      <c r="M192" s="2" t="n"/>
      <c r="N192" s="2" t="n"/>
      <c r="O192" s="2" t="n"/>
    </row>
    <row r="193">
      <c r="A193" s="2" t="n"/>
      <c r="B193" s="2" t="n"/>
      <c r="C193" s="2" t="n"/>
      <c r="D193" s="2" t="n"/>
      <c r="E193" s="2" t="n"/>
      <c r="F193" s="2" t="n"/>
      <c r="G193" s="2" t="n"/>
      <c r="H193" s="2" t="n"/>
      <c r="I193" s="2" t="n"/>
      <c r="J193" s="2" t="n"/>
      <c r="K193" s="2">
        <f>IF(COUNTA(G193:J193)&lt;4,"",ROUND(AVERAGE(G193:J193),1))</f>
        <v/>
      </c>
      <c r="L193" s="2" t="n"/>
      <c r="M193" s="2" t="n"/>
      <c r="N193" s="2" t="n"/>
      <c r="O193" s="2" t="n"/>
    </row>
    <row r="194">
      <c r="A194" s="2" t="n"/>
      <c r="B194" s="2" t="n"/>
      <c r="C194" s="2" t="n"/>
      <c r="D194" s="2" t="n"/>
      <c r="E194" s="2" t="n"/>
      <c r="F194" s="2" t="n"/>
      <c r="G194" s="2" t="n"/>
      <c r="H194" s="2" t="n"/>
      <c r="I194" s="2" t="n"/>
      <c r="J194" s="2" t="n"/>
      <c r="K194" s="2">
        <f>IF(COUNTA(G194:J194)&lt;4,"",ROUND(AVERAGE(G194:J194),1))</f>
        <v/>
      </c>
      <c r="L194" s="2" t="n"/>
      <c r="M194" s="2" t="n"/>
      <c r="N194" s="2" t="n"/>
      <c r="O194" s="2" t="n"/>
    </row>
    <row r="195">
      <c r="A195" s="2" t="n"/>
      <c r="B195" s="2" t="n"/>
      <c r="C195" s="2" t="n"/>
      <c r="D195" s="2" t="n"/>
      <c r="E195" s="2" t="n"/>
      <c r="F195" s="2" t="n"/>
      <c r="G195" s="2" t="n"/>
      <c r="H195" s="2" t="n"/>
      <c r="I195" s="2" t="n"/>
      <c r="J195" s="2" t="n"/>
      <c r="K195" s="2">
        <f>IF(COUNTA(G195:J195)&lt;4,"",ROUND(AVERAGE(G195:J195),1))</f>
        <v/>
      </c>
      <c r="L195" s="2" t="n"/>
      <c r="M195" s="2" t="n"/>
      <c r="N195" s="2" t="n"/>
      <c r="O195" s="2" t="n"/>
    </row>
    <row r="196">
      <c r="A196" s="2" t="n"/>
      <c r="B196" s="2" t="n"/>
      <c r="C196" s="2" t="n"/>
      <c r="D196" s="2" t="n"/>
      <c r="E196" s="2" t="n"/>
      <c r="F196" s="2" t="n"/>
      <c r="G196" s="2" t="n"/>
      <c r="H196" s="2" t="n"/>
      <c r="I196" s="2" t="n"/>
      <c r="J196" s="2" t="n"/>
      <c r="K196" s="2">
        <f>IF(COUNTA(G196:J196)&lt;4,"",ROUND(AVERAGE(G196:J196),1))</f>
        <v/>
      </c>
      <c r="L196" s="2" t="n"/>
      <c r="M196" s="2" t="n"/>
      <c r="N196" s="2" t="n"/>
      <c r="O196" s="2" t="n"/>
    </row>
    <row r="197">
      <c r="A197" s="2" t="n"/>
      <c r="B197" s="2" t="n"/>
      <c r="C197" s="2" t="n"/>
      <c r="D197" s="2" t="n"/>
      <c r="E197" s="2" t="n"/>
      <c r="F197" s="2" t="n"/>
      <c r="G197" s="2" t="n"/>
      <c r="H197" s="2" t="n"/>
      <c r="I197" s="2" t="n"/>
      <c r="J197" s="2" t="n"/>
      <c r="K197" s="2">
        <f>IF(COUNTA(G197:J197)&lt;4,"",ROUND(AVERAGE(G197:J197),1))</f>
        <v/>
      </c>
      <c r="L197" s="2" t="n"/>
      <c r="M197" s="2" t="n"/>
      <c r="N197" s="2" t="n"/>
      <c r="O197" s="2" t="n"/>
    </row>
    <row r="198">
      <c r="A198" s="2" t="n"/>
      <c r="B198" s="2" t="n"/>
      <c r="C198" s="2" t="n"/>
      <c r="D198" s="2" t="n"/>
      <c r="E198" s="2" t="n"/>
      <c r="F198" s="2" t="n"/>
      <c r="G198" s="2" t="n"/>
      <c r="H198" s="2" t="n"/>
      <c r="I198" s="2" t="n"/>
      <c r="J198" s="2" t="n"/>
      <c r="K198" s="2">
        <f>IF(COUNTA(G198:J198)&lt;4,"",ROUND(AVERAGE(G198:J198),1))</f>
        <v/>
      </c>
      <c r="L198" s="2" t="n"/>
      <c r="M198" s="2" t="n"/>
      <c r="N198" s="2" t="n"/>
      <c r="O198" s="2" t="n"/>
    </row>
    <row r="199">
      <c r="A199" s="2" t="n"/>
      <c r="B199" s="2" t="n"/>
      <c r="C199" s="2" t="n"/>
      <c r="D199" s="2" t="n"/>
      <c r="E199" s="2" t="n"/>
      <c r="F199" s="2" t="n"/>
      <c r="G199" s="2" t="n"/>
      <c r="H199" s="2" t="n"/>
      <c r="I199" s="2" t="n"/>
      <c r="J199" s="2" t="n"/>
      <c r="K199" s="2">
        <f>IF(COUNTA(G199:J199)&lt;4,"",ROUND(AVERAGE(G199:J199),1))</f>
        <v/>
      </c>
      <c r="L199" s="2" t="n"/>
      <c r="M199" s="2" t="n"/>
      <c r="N199" s="2" t="n"/>
      <c r="O199" s="2" t="n"/>
    </row>
    <row r="200">
      <c r="A200" s="2" t="n"/>
      <c r="B200" s="2" t="n"/>
      <c r="C200" s="2" t="n"/>
      <c r="D200" s="2" t="n"/>
      <c r="E200" s="2" t="n"/>
      <c r="F200" s="2" t="n"/>
      <c r="G200" s="2" t="n"/>
      <c r="H200" s="2" t="n"/>
      <c r="I200" s="2" t="n"/>
      <c r="J200" s="2" t="n"/>
      <c r="K200" s="2">
        <f>IF(COUNTA(G200:J200)&lt;4,"",ROUND(AVERAGE(G200:J200),1))</f>
        <v/>
      </c>
      <c r="L200" s="2" t="n"/>
      <c r="M200" s="2" t="n"/>
      <c r="N200" s="2" t="n"/>
      <c r="O200" s="2" t="n"/>
    </row>
    <row r="201">
      <c r="A201" s="2" t="n"/>
      <c r="B201" s="2" t="n"/>
      <c r="C201" s="2" t="n"/>
      <c r="D201" s="2" t="n"/>
      <c r="E201" s="2" t="n"/>
      <c r="F201" s="2" t="n"/>
      <c r="G201" s="2" t="n"/>
      <c r="H201" s="2" t="n"/>
      <c r="I201" s="2" t="n"/>
      <c r="J201" s="2" t="n"/>
      <c r="K201" s="2">
        <f>IF(COUNTA(G201:J201)&lt;4,"",ROUND(AVERAGE(G201:J201),1))</f>
        <v/>
      </c>
      <c r="L201" s="2" t="n"/>
      <c r="M201" s="2" t="n"/>
      <c r="N201" s="2" t="n"/>
      <c r="O201" s="2" t="n"/>
    </row>
    <row r="202">
      <c r="A202" s="2" t="n"/>
      <c r="B202" s="2" t="n"/>
      <c r="C202" s="2" t="n"/>
      <c r="D202" s="2" t="n"/>
      <c r="E202" s="2" t="n"/>
      <c r="F202" s="2" t="n"/>
      <c r="G202" s="2" t="n"/>
      <c r="H202" s="2" t="n"/>
      <c r="I202" s="2" t="n"/>
      <c r="J202" s="2" t="n"/>
      <c r="K202" s="2">
        <f>IF(COUNTA(G202:J202)&lt;4,"",ROUND(AVERAGE(G202:J202),1))</f>
        <v/>
      </c>
      <c r="L202" s="2" t="n"/>
      <c r="M202" s="2" t="n"/>
      <c r="N202" s="2" t="n"/>
      <c r="O202" s="2" t="n"/>
    </row>
    <row r="203">
      <c r="A203" s="2" t="n"/>
      <c r="B203" s="2" t="n"/>
      <c r="C203" s="2" t="n"/>
      <c r="D203" s="2" t="n"/>
      <c r="E203" s="2" t="n"/>
      <c r="F203" s="2" t="n"/>
      <c r="G203" s="2" t="n"/>
      <c r="H203" s="2" t="n"/>
      <c r="I203" s="2" t="n"/>
      <c r="J203" s="2" t="n"/>
      <c r="K203" s="2">
        <f>IF(COUNTA(G203:J203)&lt;4,"",ROUND(AVERAGE(G203:J203),1))</f>
        <v/>
      </c>
      <c r="L203" s="2" t="n"/>
      <c r="M203" s="2" t="n"/>
      <c r="N203" s="2" t="n"/>
      <c r="O203" s="2" t="n"/>
    </row>
    <row r="204">
      <c r="A204" s="2" t="n"/>
      <c r="B204" s="2" t="n"/>
      <c r="C204" s="2" t="n"/>
      <c r="D204" s="2" t="n"/>
      <c r="E204" s="2" t="n"/>
      <c r="F204" s="2" t="n"/>
      <c r="G204" s="2" t="n"/>
      <c r="H204" s="2" t="n"/>
      <c r="I204" s="2" t="n"/>
      <c r="J204" s="2" t="n"/>
      <c r="K204" s="2">
        <f>IF(COUNTA(G204:J204)&lt;4,"",ROUND(AVERAGE(G204:J204),1))</f>
        <v/>
      </c>
      <c r="L204" s="2" t="n"/>
      <c r="M204" s="2" t="n"/>
      <c r="N204" s="2" t="n"/>
      <c r="O204" s="2" t="n"/>
    </row>
    <row r="205">
      <c r="A205" s="2" t="n"/>
      <c r="B205" s="2" t="n"/>
      <c r="C205" s="2" t="n"/>
      <c r="D205" s="2" t="n"/>
      <c r="E205" s="2" t="n"/>
      <c r="F205" s="2" t="n"/>
      <c r="G205" s="2" t="n"/>
      <c r="H205" s="2" t="n"/>
      <c r="I205" s="2" t="n"/>
      <c r="J205" s="2" t="n"/>
      <c r="K205" s="2">
        <f>IF(COUNTA(G205:J205)&lt;4,"",ROUND(AVERAGE(G205:J205),1))</f>
        <v/>
      </c>
      <c r="L205" s="2" t="n"/>
      <c r="M205" s="2" t="n"/>
      <c r="N205" s="2" t="n"/>
      <c r="O205" s="2" t="n"/>
    </row>
    <row r="206">
      <c r="A206" s="2" t="n"/>
      <c r="B206" s="2" t="n"/>
      <c r="C206" s="2" t="n"/>
      <c r="D206" s="2" t="n"/>
      <c r="E206" s="2" t="n"/>
      <c r="F206" s="2" t="n"/>
      <c r="G206" s="2" t="n"/>
      <c r="H206" s="2" t="n"/>
      <c r="I206" s="2" t="n"/>
      <c r="J206" s="2" t="n"/>
      <c r="K206" s="2">
        <f>IF(COUNTA(G206:J206)&lt;4,"",ROUND(AVERAGE(G206:J206),1))</f>
        <v/>
      </c>
      <c r="L206" s="2" t="n"/>
      <c r="M206" s="2" t="n"/>
      <c r="N206" s="2" t="n"/>
      <c r="O206" s="2" t="n"/>
    </row>
    <row r="207">
      <c r="A207" s="2" t="n"/>
      <c r="B207" s="2" t="n"/>
      <c r="C207" s="2" t="n"/>
      <c r="D207" s="2" t="n"/>
      <c r="E207" s="2" t="n"/>
      <c r="F207" s="2" t="n"/>
      <c r="G207" s="2" t="n"/>
      <c r="H207" s="2" t="n"/>
      <c r="I207" s="2" t="n"/>
      <c r="J207" s="2" t="n"/>
      <c r="K207" s="2">
        <f>IF(COUNTA(G207:J207)&lt;4,"",ROUND(AVERAGE(G207:J207),1))</f>
        <v/>
      </c>
      <c r="L207" s="2" t="n"/>
      <c r="M207" s="2" t="n"/>
      <c r="N207" s="2" t="n"/>
      <c r="O207" s="2" t="n"/>
    </row>
    <row r="208">
      <c r="A208" s="2" t="n"/>
      <c r="B208" s="2" t="n"/>
      <c r="C208" s="2" t="n"/>
      <c r="D208" s="2" t="n"/>
      <c r="E208" s="2" t="n"/>
      <c r="F208" s="2" t="n"/>
      <c r="G208" s="2" t="n"/>
      <c r="H208" s="2" t="n"/>
      <c r="I208" s="2" t="n"/>
      <c r="J208" s="2" t="n"/>
      <c r="K208" s="2">
        <f>IF(COUNTA(G208:J208)&lt;4,"",ROUND(AVERAGE(G208:J208),1))</f>
        <v/>
      </c>
      <c r="L208" s="2" t="n"/>
      <c r="M208" s="2" t="n"/>
      <c r="N208" s="2" t="n"/>
      <c r="O208" s="2" t="n"/>
    </row>
    <row r="209">
      <c r="A209" s="2" t="n"/>
      <c r="B209" s="2" t="n"/>
      <c r="C209" s="2" t="n"/>
      <c r="D209" s="2" t="n"/>
      <c r="E209" s="2" t="n"/>
      <c r="F209" s="2" t="n"/>
      <c r="G209" s="2" t="n"/>
      <c r="H209" s="2" t="n"/>
      <c r="I209" s="2" t="n"/>
      <c r="J209" s="2" t="n"/>
      <c r="K209" s="2">
        <f>IF(COUNTA(G209:J209)&lt;4,"",ROUND(AVERAGE(G209:J209),1))</f>
        <v/>
      </c>
      <c r="L209" s="2" t="n"/>
      <c r="M209" s="2" t="n"/>
      <c r="N209" s="2" t="n"/>
      <c r="O209" s="2" t="n"/>
    </row>
    <row r="210">
      <c r="A210" s="2" t="n"/>
      <c r="B210" s="2" t="n"/>
      <c r="C210" s="2" t="n"/>
      <c r="D210" s="2" t="n"/>
      <c r="E210" s="2" t="n"/>
      <c r="F210" s="2" t="n"/>
      <c r="G210" s="2" t="n"/>
      <c r="H210" s="2" t="n"/>
      <c r="I210" s="2" t="n"/>
      <c r="J210" s="2" t="n"/>
      <c r="K210" s="2">
        <f>IF(COUNTA(G210:J210)&lt;4,"",ROUND(AVERAGE(G210:J210),1))</f>
        <v/>
      </c>
      <c r="L210" s="2" t="n"/>
      <c r="M210" s="2" t="n"/>
      <c r="N210" s="2" t="n"/>
      <c r="O210" s="2" t="n"/>
    </row>
    <row r="211">
      <c r="A211" s="2" t="n"/>
      <c r="B211" s="2" t="n"/>
      <c r="C211" s="2" t="n"/>
      <c r="D211" s="2" t="n"/>
      <c r="E211" s="2" t="n"/>
      <c r="F211" s="2" t="n"/>
      <c r="G211" s="2" t="n"/>
      <c r="H211" s="2" t="n"/>
      <c r="I211" s="2" t="n"/>
      <c r="J211" s="2" t="n"/>
      <c r="K211" s="2">
        <f>IF(COUNTA(G211:J211)&lt;4,"",ROUND(AVERAGE(G211:J211),1))</f>
        <v/>
      </c>
      <c r="L211" s="2" t="n"/>
      <c r="M211" s="2" t="n"/>
      <c r="N211" s="2" t="n"/>
      <c r="O211" s="2" t="n"/>
    </row>
    <row r="212">
      <c r="A212" s="2" t="n"/>
      <c r="B212" s="2" t="n"/>
      <c r="C212" s="2" t="n"/>
      <c r="D212" s="2" t="n"/>
      <c r="E212" s="2" t="n"/>
      <c r="F212" s="2" t="n"/>
      <c r="G212" s="2" t="n"/>
      <c r="H212" s="2" t="n"/>
      <c r="I212" s="2" t="n"/>
      <c r="J212" s="2" t="n"/>
      <c r="K212" s="2">
        <f>IF(COUNTA(G212:J212)&lt;4,"",ROUND(AVERAGE(G212:J212),1))</f>
        <v/>
      </c>
      <c r="L212" s="2" t="n"/>
      <c r="M212" s="2" t="n"/>
      <c r="N212" s="2" t="n"/>
      <c r="O212" s="2" t="n"/>
    </row>
    <row r="213">
      <c r="A213" s="2" t="n"/>
      <c r="B213" s="2" t="n"/>
      <c r="C213" s="2" t="n"/>
      <c r="D213" s="2" t="n"/>
      <c r="E213" s="2" t="n"/>
      <c r="F213" s="2" t="n"/>
      <c r="G213" s="2" t="n"/>
      <c r="H213" s="2" t="n"/>
      <c r="I213" s="2" t="n"/>
      <c r="J213" s="2" t="n"/>
      <c r="K213" s="2">
        <f>IF(COUNTA(G213:J213)&lt;4,"",ROUND(AVERAGE(G213:J213),1))</f>
        <v/>
      </c>
      <c r="L213" s="2" t="n"/>
      <c r="M213" s="2" t="n"/>
      <c r="N213" s="2" t="n"/>
      <c r="O213" s="2" t="n"/>
    </row>
    <row r="214">
      <c r="A214" s="2" t="n"/>
      <c r="B214" s="2" t="n"/>
      <c r="C214" s="2" t="n"/>
      <c r="D214" s="2" t="n"/>
      <c r="E214" s="2" t="n"/>
      <c r="F214" s="2" t="n"/>
      <c r="G214" s="2" t="n"/>
      <c r="H214" s="2" t="n"/>
      <c r="I214" s="2" t="n"/>
      <c r="J214" s="2" t="n"/>
      <c r="K214" s="2">
        <f>IF(COUNTA(G214:J214)&lt;4,"",ROUND(AVERAGE(G214:J214),1))</f>
        <v/>
      </c>
      <c r="L214" s="2" t="n"/>
      <c r="M214" s="2" t="n"/>
      <c r="N214" s="2" t="n"/>
      <c r="O214" s="2" t="n"/>
    </row>
    <row r="215">
      <c r="A215" s="2" t="n"/>
      <c r="B215" s="2" t="n"/>
      <c r="C215" s="2" t="n"/>
      <c r="D215" s="2" t="n"/>
      <c r="E215" s="2" t="n"/>
      <c r="F215" s="2" t="n"/>
      <c r="G215" s="2" t="n"/>
      <c r="H215" s="2" t="n"/>
      <c r="I215" s="2" t="n"/>
      <c r="J215" s="2" t="n"/>
      <c r="K215" s="2">
        <f>IF(COUNTA(G215:J215)&lt;4,"",ROUND(AVERAGE(G215:J215),1))</f>
        <v/>
      </c>
      <c r="L215" s="2" t="n"/>
      <c r="M215" s="2" t="n"/>
      <c r="N215" s="2" t="n"/>
      <c r="O215" s="2" t="n"/>
    </row>
    <row r="216">
      <c r="A216" s="2" t="n"/>
      <c r="B216" s="2" t="n"/>
      <c r="C216" s="2" t="n"/>
      <c r="D216" s="2" t="n"/>
      <c r="E216" s="2" t="n"/>
      <c r="F216" s="2" t="n"/>
      <c r="G216" s="2" t="n"/>
      <c r="H216" s="2" t="n"/>
      <c r="I216" s="2" t="n"/>
      <c r="J216" s="2" t="n"/>
      <c r="K216" s="2">
        <f>IF(COUNTA(G216:J216)&lt;4,"",ROUND(AVERAGE(G216:J216),1))</f>
        <v/>
      </c>
      <c r="L216" s="2" t="n"/>
      <c r="M216" s="2" t="n"/>
      <c r="N216" s="2" t="n"/>
      <c r="O216" s="2" t="n"/>
    </row>
    <row r="217">
      <c r="A217" s="2" t="n"/>
      <c r="B217" s="2" t="n"/>
      <c r="C217" s="2" t="n"/>
      <c r="D217" s="2" t="n"/>
      <c r="E217" s="2" t="n"/>
      <c r="F217" s="2" t="n"/>
      <c r="G217" s="2" t="n"/>
      <c r="H217" s="2" t="n"/>
      <c r="I217" s="2" t="n"/>
      <c r="J217" s="2" t="n"/>
      <c r="K217" s="2">
        <f>IF(COUNTA(G217:J217)&lt;4,"",ROUND(AVERAGE(G217:J217),1))</f>
        <v/>
      </c>
      <c r="L217" s="2" t="n"/>
      <c r="M217" s="2" t="n"/>
      <c r="N217" s="2" t="n"/>
      <c r="O217" s="2" t="n"/>
    </row>
    <row r="218">
      <c r="A218" s="2" t="n"/>
      <c r="B218" s="2" t="n"/>
      <c r="C218" s="2" t="n"/>
      <c r="D218" s="2" t="n"/>
      <c r="E218" s="2" t="n"/>
      <c r="F218" s="2" t="n"/>
      <c r="G218" s="2" t="n"/>
      <c r="H218" s="2" t="n"/>
      <c r="I218" s="2" t="n"/>
      <c r="J218" s="2" t="n"/>
      <c r="K218" s="2">
        <f>IF(COUNTA(G218:J218)&lt;4,"",ROUND(AVERAGE(G218:J218),1))</f>
        <v/>
      </c>
      <c r="L218" s="2" t="n"/>
      <c r="M218" s="2" t="n"/>
      <c r="N218" s="2" t="n"/>
      <c r="O218" s="2" t="n"/>
    </row>
    <row r="219">
      <c r="A219" s="2" t="n"/>
      <c r="B219" s="2" t="n"/>
      <c r="C219" s="2" t="n"/>
      <c r="D219" s="2" t="n"/>
      <c r="E219" s="2" t="n"/>
      <c r="F219" s="2" t="n"/>
      <c r="G219" s="2" t="n"/>
      <c r="H219" s="2" t="n"/>
      <c r="I219" s="2" t="n"/>
      <c r="J219" s="2" t="n"/>
      <c r="K219" s="2">
        <f>IF(COUNTA(G219:J219)&lt;4,"",ROUND(AVERAGE(G219:J219),1))</f>
        <v/>
      </c>
      <c r="L219" s="2" t="n"/>
      <c r="M219" s="2" t="n"/>
      <c r="N219" s="2" t="n"/>
      <c r="O219" s="2" t="n"/>
    </row>
    <row r="220">
      <c r="A220" s="2" t="n"/>
      <c r="B220" s="2" t="n"/>
      <c r="C220" s="2" t="n"/>
      <c r="D220" s="2" t="n"/>
      <c r="E220" s="2" t="n"/>
      <c r="F220" s="2" t="n"/>
      <c r="G220" s="2" t="n"/>
      <c r="H220" s="2" t="n"/>
      <c r="I220" s="2" t="n"/>
      <c r="J220" s="2" t="n"/>
      <c r="K220" s="2">
        <f>IF(COUNTA(G220:J220)&lt;4,"",ROUND(AVERAGE(G220:J220),1))</f>
        <v/>
      </c>
      <c r="L220" s="2" t="n"/>
      <c r="M220" s="2" t="n"/>
      <c r="N220" s="2" t="n"/>
      <c r="O220" s="2" t="n"/>
    </row>
    <row r="221">
      <c r="A221" s="2" t="n"/>
      <c r="B221" s="2" t="n"/>
      <c r="C221" s="2" t="n"/>
      <c r="D221" s="2" t="n"/>
      <c r="E221" s="2" t="n"/>
      <c r="F221" s="2" t="n"/>
      <c r="G221" s="2" t="n"/>
      <c r="H221" s="2" t="n"/>
      <c r="I221" s="2" t="n"/>
      <c r="J221" s="2" t="n"/>
      <c r="K221" s="2">
        <f>IF(COUNTA(G221:J221)&lt;4,"",ROUND(AVERAGE(G221:J221),1))</f>
        <v/>
      </c>
      <c r="L221" s="2" t="n"/>
      <c r="M221" s="2" t="n"/>
      <c r="N221" s="2" t="n"/>
      <c r="O221" s="2" t="n"/>
    </row>
    <row r="222">
      <c r="A222" s="2" t="n"/>
      <c r="B222" s="2" t="n"/>
      <c r="C222" s="2" t="n"/>
      <c r="D222" s="2" t="n"/>
      <c r="E222" s="2" t="n"/>
      <c r="F222" s="2" t="n"/>
      <c r="G222" s="2" t="n"/>
      <c r="H222" s="2" t="n"/>
      <c r="I222" s="2" t="n"/>
      <c r="J222" s="2" t="n"/>
      <c r="K222" s="2">
        <f>IF(COUNTA(G222:J222)&lt;4,"",ROUND(AVERAGE(G222:J222),1))</f>
        <v/>
      </c>
      <c r="L222" s="2" t="n"/>
      <c r="M222" s="2" t="n"/>
      <c r="N222" s="2" t="n"/>
      <c r="O222" s="2" t="n"/>
    </row>
    <row r="223">
      <c r="A223" s="2" t="n"/>
      <c r="B223" s="2" t="n"/>
      <c r="C223" s="2" t="n"/>
      <c r="D223" s="2" t="n"/>
      <c r="E223" s="2" t="n"/>
      <c r="F223" s="2" t="n"/>
      <c r="G223" s="2" t="n"/>
      <c r="H223" s="2" t="n"/>
      <c r="I223" s="2" t="n"/>
      <c r="J223" s="2" t="n"/>
      <c r="K223" s="2">
        <f>IF(COUNTA(G223:J223)&lt;4,"",ROUND(AVERAGE(G223:J223),1))</f>
        <v/>
      </c>
      <c r="L223" s="2" t="n"/>
      <c r="M223" s="2" t="n"/>
      <c r="N223" s="2" t="n"/>
      <c r="O223" s="2" t="n"/>
    </row>
    <row r="224">
      <c r="A224" s="2" t="n"/>
      <c r="B224" s="2" t="n"/>
      <c r="C224" s="2" t="n"/>
      <c r="D224" s="2" t="n"/>
      <c r="E224" s="2" t="n"/>
      <c r="F224" s="2" t="n"/>
      <c r="G224" s="2" t="n"/>
      <c r="H224" s="2" t="n"/>
      <c r="I224" s="2" t="n"/>
      <c r="J224" s="2" t="n"/>
      <c r="K224" s="2">
        <f>IF(COUNTA(G224:J224)&lt;4,"",ROUND(AVERAGE(G224:J224),1))</f>
        <v/>
      </c>
      <c r="L224" s="2" t="n"/>
      <c r="M224" s="2" t="n"/>
      <c r="N224" s="2" t="n"/>
      <c r="O224" s="2" t="n"/>
    </row>
    <row r="225">
      <c r="A225" s="2" t="n"/>
      <c r="B225" s="2" t="n"/>
      <c r="C225" s="2" t="n"/>
      <c r="D225" s="2" t="n"/>
      <c r="E225" s="2" t="n"/>
      <c r="F225" s="2" t="n"/>
      <c r="G225" s="2" t="n"/>
      <c r="H225" s="2" t="n"/>
      <c r="I225" s="2" t="n"/>
      <c r="J225" s="2" t="n"/>
      <c r="K225" s="2">
        <f>IF(COUNTA(G225:J225)&lt;4,"",ROUND(AVERAGE(G225:J225),1))</f>
        <v/>
      </c>
      <c r="L225" s="2" t="n"/>
      <c r="M225" s="2" t="n"/>
      <c r="N225" s="2" t="n"/>
      <c r="O225" s="2" t="n"/>
    </row>
    <row r="226">
      <c r="A226" s="2" t="n"/>
      <c r="B226" s="2" t="n"/>
      <c r="C226" s="2" t="n"/>
      <c r="D226" s="2" t="n"/>
      <c r="E226" s="2" t="n"/>
      <c r="F226" s="2" t="n"/>
      <c r="G226" s="2" t="n"/>
      <c r="H226" s="2" t="n"/>
      <c r="I226" s="2" t="n"/>
      <c r="J226" s="2" t="n"/>
      <c r="K226" s="2">
        <f>IF(COUNTA(G226:J226)&lt;4,"",ROUND(AVERAGE(G226:J226),1))</f>
        <v/>
      </c>
      <c r="L226" s="2" t="n"/>
      <c r="M226" s="2" t="n"/>
      <c r="N226" s="2" t="n"/>
      <c r="O226" s="2" t="n"/>
    </row>
    <row r="227">
      <c r="A227" s="2" t="n"/>
      <c r="B227" s="2" t="n"/>
      <c r="C227" s="2" t="n"/>
      <c r="D227" s="2" t="n"/>
      <c r="E227" s="2" t="n"/>
      <c r="F227" s="2" t="n"/>
      <c r="G227" s="2" t="n"/>
      <c r="H227" s="2" t="n"/>
      <c r="I227" s="2" t="n"/>
      <c r="J227" s="2" t="n"/>
      <c r="K227" s="2">
        <f>IF(COUNTA(G227:J227)&lt;4,"",ROUND(AVERAGE(G227:J227),1))</f>
        <v/>
      </c>
      <c r="L227" s="2" t="n"/>
      <c r="M227" s="2" t="n"/>
      <c r="N227" s="2" t="n"/>
      <c r="O227" s="2" t="n"/>
    </row>
    <row r="228">
      <c r="A228" s="2" t="n"/>
      <c r="B228" s="2" t="n"/>
      <c r="C228" s="2" t="n"/>
      <c r="D228" s="2" t="n"/>
      <c r="E228" s="2" t="n"/>
      <c r="F228" s="2" t="n"/>
      <c r="G228" s="2" t="n"/>
      <c r="H228" s="2" t="n"/>
      <c r="I228" s="2" t="n"/>
      <c r="J228" s="2" t="n"/>
      <c r="K228" s="2">
        <f>IF(COUNTA(G228:J228)&lt;4,"",ROUND(AVERAGE(G228:J228),1))</f>
        <v/>
      </c>
      <c r="L228" s="2" t="n"/>
      <c r="M228" s="2" t="n"/>
      <c r="N228" s="2" t="n"/>
      <c r="O228" s="2" t="n"/>
    </row>
    <row r="229">
      <c r="A229" s="2" t="n"/>
      <c r="B229" s="2" t="n"/>
      <c r="C229" s="2" t="n"/>
      <c r="D229" s="2" t="n"/>
      <c r="E229" s="2" t="n"/>
      <c r="F229" s="2" t="n"/>
      <c r="G229" s="2" t="n"/>
      <c r="H229" s="2" t="n"/>
      <c r="I229" s="2" t="n"/>
      <c r="J229" s="2" t="n"/>
      <c r="K229" s="2">
        <f>IF(COUNTA(G229:J229)&lt;4,"",ROUND(AVERAGE(G229:J229),1))</f>
        <v/>
      </c>
      <c r="L229" s="2" t="n"/>
      <c r="M229" s="2" t="n"/>
      <c r="N229" s="2" t="n"/>
      <c r="O229" s="2" t="n"/>
    </row>
    <row r="230">
      <c r="A230" s="2" t="n"/>
      <c r="B230" s="2" t="n"/>
      <c r="C230" s="2" t="n"/>
      <c r="D230" s="2" t="n"/>
      <c r="E230" s="2" t="n"/>
      <c r="F230" s="2" t="n"/>
      <c r="G230" s="2" t="n"/>
      <c r="H230" s="2" t="n"/>
      <c r="I230" s="2" t="n"/>
      <c r="J230" s="2" t="n"/>
      <c r="K230" s="2">
        <f>IF(COUNTA(G230:J230)&lt;4,"",ROUND(AVERAGE(G230:J230),1))</f>
        <v/>
      </c>
      <c r="L230" s="2" t="n"/>
      <c r="M230" s="2" t="n"/>
      <c r="N230" s="2" t="n"/>
      <c r="O230" s="2" t="n"/>
    </row>
    <row r="231">
      <c r="A231" s="2" t="n"/>
      <c r="B231" s="2" t="n"/>
      <c r="C231" s="2" t="n"/>
      <c r="D231" s="2" t="n"/>
      <c r="E231" s="2" t="n"/>
      <c r="F231" s="2" t="n"/>
      <c r="G231" s="2" t="n"/>
      <c r="H231" s="2" t="n"/>
      <c r="I231" s="2" t="n"/>
      <c r="J231" s="2" t="n"/>
      <c r="K231" s="2">
        <f>IF(COUNTA(G231:J231)&lt;4,"",ROUND(AVERAGE(G231:J231),1))</f>
        <v/>
      </c>
      <c r="L231" s="2" t="n"/>
      <c r="M231" s="2" t="n"/>
      <c r="N231" s="2" t="n"/>
      <c r="O231" s="2" t="n"/>
    </row>
    <row r="232">
      <c r="A232" s="2" t="n"/>
      <c r="B232" s="2" t="n"/>
      <c r="C232" s="2" t="n"/>
      <c r="D232" s="2" t="n"/>
      <c r="E232" s="2" t="n"/>
      <c r="F232" s="2" t="n"/>
      <c r="G232" s="2" t="n"/>
      <c r="H232" s="2" t="n"/>
      <c r="I232" s="2" t="n"/>
      <c r="J232" s="2" t="n"/>
      <c r="K232" s="2">
        <f>IF(COUNTA(G232:J232)&lt;4,"",ROUND(AVERAGE(G232:J232),1))</f>
        <v/>
      </c>
      <c r="L232" s="2" t="n"/>
      <c r="M232" s="2" t="n"/>
      <c r="N232" s="2" t="n"/>
      <c r="O232" s="2" t="n"/>
    </row>
    <row r="233">
      <c r="A233" s="2" t="n"/>
      <c r="B233" s="2" t="n"/>
      <c r="C233" s="2" t="n"/>
      <c r="D233" s="2" t="n"/>
      <c r="E233" s="2" t="n"/>
      <c r="F233" s="2" t="n"/>
      <c r="G233" s="2" t="n"/>
      <c r="H233" s="2" t="n"/>
      <c r="I233" s="2" t="n"/>
      <c r="J233" s="2" t="n"/>
      <c r="K233" s="2">
        <f>IF(COUNTA(G233:J233)&lt;4,"",ROUND(AVERAGE(G233:J233),1))</f>
        <v/>
      </c>
      <c r="L233" s="2" t="n"/>
      <c r="M233" s="2" t="n"/>
      <c r="N233" s="2" t="n"/>
      <c r="O233" s="2" t="n"/>
    </row>
    <row r="234">
      <c r="A234" s="2" t="n"/>
      <c r="B234" s="2" t="n"/>
      <c r="C234" s="2" t="n"/>
      <c r="D234" s="2" t="n"/>
      <c r="E234" s="2" t="n"/>
      <c r="F234" s="2" t="n"/>
      <c r="G234" s="2" t="n"/>
      <c r="H234" s="2" t="n"/>
      <c r="I234" s="2" t="n"/>
      <c r="J234" s="2" t="n"/>
      <c r="K234" s="2">
        <f>IF(COUNTA(G234:J234)&lt;4,"",ROUND(AVERAGE(G234:J234),1))</f>
        <v/>
      </c>
      <c r="L234" s="2" t="n"/>
      <c r="M234" s="2" t="n"/>
      <c r="N234" s="2" t="n"/>
      <c r="O234" s="2" t="n"/>
    </row>
    <row r="235">
      <c r="A235" s="2" t="n"/>
      <c r="B235" s="2" t="n"/>
      <c r="C235" s="2" t="n"/>
      <c r="D235" s="2" t="n"/>
      <c r="E235" s="2" t="n"/>
      <c r="F235" s="2" t="n"/>
      <c r="G235" s="2" t="n"/>
      <c r="H235" s="2" t="n"/>
      <c r="I235" s="2" t="n"/>
      <c r="J235" s="2" t="n"/>
      <c r="K235" s="2">
        <f>IF(COUNTA(G235:J235)&lt;4,"",ROUND(AVERAGE(G235:J235),1))</f>
        <v/>
      </c>
      <c r="L235" s="2" t="n"/>
      <c r="M235" s="2" t="n"/>
      <c r="N235" s="2" t="n"/>
      <c r="O235" s="2" t="n"/>
    </row>
    <row r="236">
      <c r="A236" s="2" t="n"/>
      <c r="B236" s="2" t="n"/>
      <c r="C236" s="2" t="n"/>
      <c r="D236" s="2" t="n"/>
      <c r="E236" s="2" t="n"/>
      <c r="F236" s="2" t="n"/>
      <c r="G236" s="2" t="n"/>
      <c r="H236" s="2" t="n"/>
      <c r="I236" s="2" t="n"/>
      <c r="J236" s="2" t="n"/>
      <c r="K236" s="2">
        <f>IF(COUNTA(G236:J236)&lt;4,"",ROUND(AVERAGE(G236:J236),1))</f>
        <v/>
      </c>
      <c r="L236" s="2" t="n"/>
      <c r="M236" s="2" t="n"/>
      <c r="N236" s="2" t="n"/>
      <c r="O236" s="2" t="n"/>
    </row>
    <row r="237">
      <c r="A237" s="2" t="n"/>
      <c r="B237" s="2" t="n"/>
      <c r="C237" s="2" t="n"/>
      <c r="D237" s="2" t="n"/>
      <c r="E237" s="2" t="n"/>
      <c r="F237" s="2" t="n"/>
      <c r="G237" s="2" t="n"/>
      <c r="H237" s="2" t="n"/>
      <c r="I237" s="2" t="n"/>
      <c r="J237" s="2" t="n"/>
      <c r="K237" s="2">
        <f>IF(COUNTA(G237:J237)&lt;4,"",ROUND(AVERAGE(G237:J237),1))</f>
        <v/>
      </c>
      <c r="L237" s="2" t="n"/>
      <c r="M237" s="2" t="n"/>
      <c r="N237" s="2" t="n"/>
      <c r="O237" s="2" t="n"/>
    </row>
    <row r="238">
      <c r="A238" s="2" t="n"/>
      <c r="B238" s="2" t="n"/>
      <c r="C238" s="2" t="n"/>
      <c r="D238" s="2" t="n"/>
      <c r="E238" s="2" t="n"/>
      <c r="F238" s="2" t="n"/>
      <c r="G238" s="2" t="n"/>
      <c r="H238" s="2" t="n"/>
      <c r="I238" s="2" t="n"/>
      <c r="J238" s="2" t="n"/>
      <c r="K238" s="2">
        <f>IF(COUNTA(G238:J238)&lt;4,"",ROUND(AVERAGE(G238:J238),1))</f>
        <v/>
      </c>
      <c r="L238" s="2" t="n"/>
      <c r="M238" s="2" t="n"/>
      <c r="N238" s="2" t="n"/>
      <c r="O238" s="2" t="n"/>
    </row>
    <row r="239">
      <c r="A239" s="2" t="n"/>
      <c r="B239" s="2" t="n"/>
      <c r="C239" s="2" t="n"/>
      <c r="D239" s="2" t="n"/>
      <c r="E239" s="2" t="n"/>
      <c r="F239" s="2" t="n"/>
      <c r="G239" s="2" t="n"/>
      <c r="H239" s="2" t="n"/>
      <c r="I239" s="2" t="n"/>
      <c r="J239" s="2" t="n"/>
      <c r="K239" s="2">
        <f>IF(COUNTA(G239:J239)&lt;4,"",ROUND(AVERAGE(G239:J239),1))</f>
        <v/>
      </c>
      <c r="L239" s="2" t="n"/>
      <c r="M239" s="2" t="n"/>
      <c r="N239" s="2" t="n"/>
      <c r="O239" s="2" t="n"/>
    </row>
    <row r="240">
      <c r="A240" s="2" t="n"/>
      <c r="B240" s="2" t="n"/>
      <c r="C240" s="2" t="n"/>
      <c r="D240" s="2" t="n"/>
      <c r="E240" s="2" t="n"/>
      <c r="F240" s="2" t="n"/>
      <c r="G240" s="2" t="n"/>
      <c r="H240" s="2" t="n"/>
      <c r="I240" s="2" t="n"/>
      <c r="J240" s="2" t="n"/>
      <c r="K240" s="2">
        <f>IF(COUNTA(G240:J240)&lt;4,"",ROUND(AVERAGE(G240:J240),1))</f>
        <v/>
      </c>
      <c r="L240" s="2" t="n"/>
      <c r="M240" s="2" t="n"/>
      <c r="N240" s="2" t="n"/>
      <c r="O240" s="2" t="n"/>
    </row>
    <row r="241">
      <c r="A241" s="2" t="n"/>
      <c r="B241" s="2" t="n"/>
      <c r="C241" s="2" t="n"/>
      <c r="D241" s="2" t="n"/>
      <c r="E241" s="2" t="n"/>
      <c r="F241" s="2" t="n"/>
      <c r="G241" s="2" t="n"/>
      <c r="H241" s="2" t="n"/>
      <c r="I241" s="2" t="n"/>
      <c r="J241" s="2" t="n"/>
      <c r="K241" s="2">
        <f>IF(COUNTA(G241:J241)&lt;4,"",ROUND(AVERAGE(G241:J241),1))</f>
        <v/>
      </c>
      <c r="L241" s="2" t="n"/>
      <c r="M241" s="2" t="n"/>
      <c r="N241" s="2" t="n"/>
      <c r="O241" s="2" t="n"/>
    </row>
    <row r="242">
      <c r="A242" s="2" t="n"/>
      <c r="B242" s="2" t="n"/>
      <c r="C242" s="2" t="n"/>
      <c r="D242" s="2" t="n"/>
      <c r="E242" s="2" t="n"/>
      <c r="F242" s="2" t="n"/>
      <c r="G242" s="2" t="n"/>
      <c r="H242" s="2" t="n"/>
      <c r="I242" s="2" t="n"/>
      <c r="J242" s="2" t="n"/>
      <c r="K242" s="2">
        <f>IF(COUNTA(G242:J242)&lt;4,"",ROUND(AVERAGE(G242:J242),1))</f>
        <v/>
      </c>
      <c r="L242" s="2" t="n"/>
      <c r="M242" s="2" t="n"/>
      <c r="N242" s="2" t="n"/>
      <c r="O242" s="2" t="n"/>
    </row>
    <row r="243">
      <c r="A243" s="2" t="n"/>
      <c r="B243" s="2" t="n"/>
      <c r="C243" s="2" t="n"/>
      <c r="D243" s="2" t="n"/>
      <c r="E243" s="2" t="n"/>
      <c r="F243" s="2" t="n"/>
      <c r="G243" s="2" t="n"/>
      <c r="H243" s="2" t="n"/>
      <c r="I243" s="2" t="n"/>
      <c r="J243" s="2" t="n"/>
      <c r="K243" s="2">
        <f>IF(COUNTA(G243:J243)&lt;4,"",ROUND(AVERAGE(G243:J243),1))</f>
        <v/>
      </c>
      <c r="L243" s="2" t="n"/>
      <c r="M243" s="2" t="n"/>
      <c r="N243" s="2" t="n"/>
      <c r="O243" s="2" t="n"/>
    </row>
    <row r="244">
      <c r="A244" s="2" t="n"/>
      <c r="B244" s="2" t="n"/>
      <c r="C244" s="2" t="n"/>
      <c r="D244" s="2" t="n"/>
      <c r="E244" s="2" t="n"/>
      <c r="F244" s="2" t="n"/>
      <c r="G244" s="2" t="n"/>
      <c r="H244" s="2" t="n"/>
      <c r="I244" s="2" t="n"/>
      <c r="J244" s="2" t="n"/>
      <c r="K244" s="2">
        <f>IF(COUNTA(G244:J244)&lt;4,"",ROUND(AVERAGE(G244:J244),1))</f>
        <v/>
      </c>
      <c r="L244" s="2" t="n"/>
      <c r="M244" s="2" t="n"/>
      <c r="N244" s="2" t="n"/>
      <c r="O244" s="2" t="n"/>
    </row>
    <row r="245">
      <c r="A245" s="2" t="n"/>
      <c r="B245" s="2" t="n"/>
      <c r="C245" s="2" t="n"/>
      <c r="D245" s="2" t="n"/>
      <c r="E245" s="2" t="n"/>
      <c r="F245" s="2" t="n"/>
      <c r="G245" s="2" t="n"/>
      <c r="H245" s="2" t="n"/>
      <c r="I245" s="2" t="n"/>
      <c r="J245" s="2" t="n"/>
      <c r="K245" s="2">
        <f>IF(COUNTA(G245:J245)&lt;4,"",ROUND(AVERAGE(G245:J245),1))</f>
        <v/>
      </c>
      <c r="L245" s="2" t="n"/>
      <c r="M245" s="2" t="n"/>
      <c r="N245" s="2" t="n"/>
      <c r="O245" s="2" t="n"/>
    </row>
    <row r="246">
      <c r="A246" s="2" t="n"/>
      <c r="B246" s="2" t="n"/>
      <c r="C246" s="2" t="n"/>
      <c r="D246" s="2" t="n"/>
      <c r="E246" s="2" t="n"/>
      <c r="F246" s="2" t="n"/>
      <c r="G246" s="2" t="n"/>
      <c r="H246" s="2" t="n"/>
      <c r="I246" s="2" t="n"/>
      <c r="J246" s="2" t="n"/>
      <c r="K246" s="2">
        <f>IF(COUNTA(G246:J246)&lt;4,"",ROUND(AVERAGE(G246:J246),1))</f>
        <v/>
      </c>
      <c r="L246" s="2" t="n"/>
      <c r="M246" s="2" t="n"/>
      <c r="N246" s="2" t="n"/>
      <c r="O246" s="2" t="n"/>
    </row>
    <row r="247">
      <c r="A247" s="2" t="n"/>
      <c r="B247" s="2" t="n"/>
      <c r="C247" s="2" t="n"/>
      <c r="D247" s="2" t="n"/>
      <c r="E247" s="2" t="n"/>
      <c r="F247" s="2" t="n"/>
      <c r="G247" s="2" t="n"/>
      <c r="H247" s="2" t="n"/>
      <c r="I247" s="2" t="n"/>
      <c r="J247" s="2" t="n"/>
      <c r="K247" s="2">
        <f>IF(COUNTA(G247:J247)&lt;4,"",ROUND(AVERAGE(G247:J247),1))</f>
        <v/>
      </c>
      <c r="L247" s="2" t="n"/>
      <c r="M247" s="2" t="n"/>
      <c r="N247" s="2" t="n"/>
      <c r="O247" s="2" t="n"/>
    </row>
    <row r="248">
      <c r="A248" s="2" t="n"/>
      <c r="B248" s="2" t="n"/>
      <c r="C248" s="2" t="n"/>
      <c r="D248" s="2" t="n"/>
      <c r="E248" s="2" t="n"/>
      <c r="F248" s="2" t="n"/>
      <c r="G248" s="2" t="n"/>
      <c r="H248" s="2" t="n"/>
      <c r="I248" s="2" t="n"/>
      <c r="J248" s="2" t="n"/>
      <c r="K248" s="2">
        <f>IF(COUNTA(G248:J248)&lt;4,"",ROUND(AVERAGE(G248:J248),1))</f>
        <v/>
      </c>
      <c r="L248" s="2" t="n"/>
      <c r="M248" s="2" t="n"/>
      <c r="N248" s="2" t="n"/>
      <c r="O248" s="2" t="n"/>
    </row>
    <row r="249">
      <c r="A249" s="2" t="n"/>
      <c r="B249" s="2" t="n"/>
      <c r="C249" s="2" t="n"/>
      <c r="D249" s="2" t="n"/>
      <c r="E249" s="2" t="n"/>
      <c r="F249" s="2" t="n"/>
      <c r="G249" s="2" t="n"/>
      <c r="H249" s="2" t="n"/>
      <c r="I249" s="2" t="n"/>
      <c r="J249" s="2" t="n"/>
      <c r="K249" s="2">
        <f>IF(COUNTA(G249:J249)&lt;4,"",ROUND(AVERAGE(G249:J249),1))</f>
        <v/>
      </c>
      <c r="L249" s="2" t="n"/>
      <c r="M249" s="2" t="n"/>
      <c r="N249" s="2" t="n"/>
      <c r="O249" s="2" t="n"/>
    </row>
    <row r="250">
      <c r="A250" s="2" t="n"/>
      <c r="B250" s="2" t="n"/>
      <c r="C250" s="2" t="n"/>
      <c r="D250" s="2" t="n"/>
      <c r="E250" s="2" t="n"/>
      <c r="F250" s="2" t="n"/>
      <c r="G250" s="2" t="n"/>
      <c r="H250" s="2" t="n"/>
      <c r="I250" s="2" t="n"/>
      <c r="J250" s="2" t="n"/>
      <c r="K250" s="2">
        <f>IF(COUNTA(G250:J250)&lt;4,"",ROUND(AVERAGE(G250:J250),1))</f>
        <v/>
      </c>
      <c r="L250" s="2" t="n"/>
      <c r="M250" s="2" t="n"/>
      <c r="N250" s="2" t="n"/>
      <c r="O250" s="2" t="n"/>
    </row>
    <row r="251">
      <c r="A251" s="2" t="n"/>
      <c r="B251" s="2" t="n"/>
      <c r="C251" s="2" t="n"/>
      <c r="D251" s="2" t="n"/>
      <c r="E251" s="2" t="n"/>
      <c r="F251" s="2" t="n"/>
      <c r="G251" s="2" t="n"/>
      <c r="H251" s="2" t="n"/>
      <c r="I251" s="2" t="n"/>
      <c r="J251" s="2" t="n"/>
      <c r="K251" s="2">
        <f>IF(COUNTA(G251:J251)&lt;4,"",ROUND(AVERAGE(G251:J251),1))</f>
        <v/>
      </c>
      <c r="L251" s="2" t="n"/>
      <c r="M251" s="2" t="n"/>
      <c r="N251" s="2" t="n"/>
      <c r="O251" s="2" t="n"/>
    </row>
    <row r="252">
      <c r="A252" s="2" t="n"/>
      <c r="B252" s="2" t="n"/>
      <c r="C252" s="2" t="n"/>
      <c r="D252" s="2" t="n"/>
      <c r="E252" s="2" t="n"/>
      <c r="F252" s="2" t="n"/>
      <c r="G252" s="2" t="n"/>
      <c r="H252" s="2" t="n"/>
      <c r="I252" s="2" t="n"/>
      <c r="J252" s="2" t="n"/>
      <c r="K252" s="2">
        <f>IF(COUNTA(G252:J252)&lt;4,"",ROUND(AVERAGE(G252:J252),1))</f>
        <v/>
      </c>
      <c r="L252" s="2" t="n"/>
      <c r="M252" s="2" t="n"/>
      <c r="N252" s="2" t="n"/>
      <c r="O252" s="2" t="n"/>
    </row>
    <row r="253">
      <c r="A253" s="2" t="n"/>
      <c r="B253" s="2" t="n"/>
      <c r="C253" s="2" t="n"/>
      <c r="D253" s="2" t="n"/>
      <c r="E253" s="2" t="n"/>
      <c r="F253" s="2" t="n"/>
      <c r="G253" s="2" t="n"/>
      <c r="H253" s="2" t="n"/>
      <c r="I253" s="2" t="n"/>
      <c r="J253" s="2" t="n"/>
      <c r="K253" s="2">
        <f>IF(COUNTA(G253:J253)&lt;4,"",ROUND(AVERAGE(G253:J253),1))</f>
        <v/>
      </c>
      <c r="L253" s="2" t="n"/>
      <c r="M253" s="2" t="n"/>
      <c r="N253" s="2" t="n"/>
      <c r="O253" s="2" t="n"/>
    </row>
    <row r="254">
      <c r="A254" s="2" t="n"/>
      <c r="B254" s="2" t="n"/>
      <c r="C254" s="2" t="n"/>
      <c r="D254" s="2" t="n"/>
      <c r="E254" s="2" t="n"/>
      <c r="F254" s="2" t="n"/>
      <c r="G254" s="2" t="n"/>
      <c r="H254" s="2" t="n"/>
      <c r="I254" s="2" t="n"/>
      <c r="J254" s="2" t="n"/>
      <c r="K254" s="2">
        <f>IF(COUNTA(G254:J254)&lt;4,"",ROUND(AVERAGE(G254:J254),1))</f>
        <v/>
      </c>
      <c r="L254" s="2" t="n"/>
      <c r="M254" s="2" t="n"/>
      <c r="N254" s="2" t="n"/>
      <c r="O254" s="2" t="n"/>
    </row>
    <row r="255">
      <c r="A255" s="2" t="n"/>
      <c r="B255" s="2" t="n"/>
      <c r="C255" s="2" t="n"/>
      <c r="D255" s="2" t="n"/>
      <c r="E255" s="2" t="n"/>
      <c r="F255" s="2" t="n"/>
      <c r="G255" s="2" t="n"/>
      <c r="H255" s="2" t="n"/>
      <c r="I255" s="2" t="n"/>
      <c r="J255" s="2" t="n"/>
      <c r="K255" s="2">
        <f>IF(COUNTA(G255:J255)&lt;4,"",ROUND(AVERAGE(G255:J255),1))</f>
        <v/>
      </c>
      <c r="L255" s="2" t="n"/>
      <c r="M255" s="2" t="n"/>
      <c r="N255" s="2" t="n"/>
      <c r="O255" s="2" t="n"/>
    </row>
    <row r="256">
      <c r="A256" s="2" t="n"/>
      <c r="B256" s="2" t="n"/>
      <c r="C256" s="2" t="n"/>
      <c r="D256" s="2" t="n"/>
      <c r="E256" s="2" t="n"/>
      <c r="F256" s="2" t="n"/>
      <c r="G256" s="2" t="n"/>
      <c r="H256" s="2" t="n"/>
      <c r="I256" s="2" t="n"/>
      <c r="J256" s="2" t="n"/>
      <c r="K256" s="2">
        <f>IF(COUNTA(G256:J256)&lt;4,"",ROUND(AVERAGE(G256:J256),1))</f>
        <v/>
      </c>
      <c r="L256" s="2" t="n"/>
      <c r="M256" s="2" t="n"/>
      <c r="N256" s="2" t="n"/>
      <c r="O256" s="2" t="n"/>
    </row>
    <row r="257">
      <c r="A257" s="2" t="n"/>
      <c r="B257" s="2" t="n"/>
      <c r="C257" s="2" t="n"/>
      <c r="D257" s="2" t="n"/>
      <c r="E257" s="2" t="n"/>
      <c r="F257" s="2" t="n"/>
      <c r="G257" s="2" t="n"/>
      <c r="H257" s="2" t="n"/>
      <c r="I257" s="2" t="n"/>
      <c r="J257" s="2" t="n"/>
      <c r="K257" s="2">
        <f>IF(COUNTA(G257:J257)&lt;4,"",ROUND(AVERAGE(G257:J257),1))</f>
        <v/>
      </c>
      <c r="L257" s="2" t="n"/>
      <c r="M257" s="2" t="n"/>
      <c r="N257" s="2" t="n"/>
      <c r="O257" s="2" t="n"/>
    </row>
    <row r="258">
      <c r="A258" s="2" t="n"/>
      <c r="B258" s="2" t="n"/>
      <c r="C258" s="2" t="n"/>
      <c r="D258" s="2" t="n"/>
      <c r="E258" s="2" t="n"/>
      <c r="F258" s="2" t="n"/>
      <c r="G258" s="2" t="n"/>
      <c r="H258" s="2" t="n"/>
      <c r="I258" s="2" t="n"/>
      <c r="J258" s="2" t="n"/>
      <c r="K258" s="2">
        <f>IF(COUNTA(G258:J258)&lt;4,"",ROUND(AVERAGE(G258:J258),1))</f>
        <v/>
      </c>
      <c r="L258" s="2" t="n"/>
      <c r="M258" s="2" t="n"/>
      <c r="N258" s="2" t="n"/>
      <c r="O258" s="2" t="n"/>
    </row>
    <row r="259">
      <c r="A259" s="2" t="n"/>
      <c r="B259" s="2" t="n"/>
      <c r="C259" s="2" t="n"/>
      <c r="D259" s="2" t="n"/>
      <c r="E259" s="2" t="n"/>
      <c r="F259" s="2" t="n"/>
      <c r="G259" s="2" t="n"/>
      <c r="H259" s="2" t="n"/>
      <c r="I259" s="2" t="n"/>
      <c r="J259" s="2" t="n"/>
      <c r="K259" s="2">
        <f>IF(COUNTA(G259:J259)&lt;4,"",ROUND(AVERAGE(G259:J259),1))</f>
        <v/>
      </c>
      <c r="L259" s="2" t="n"/>
      <c r="M259" s="2" t="n"/>
      <c r="N259" s="2" t="n"/>
      <c r="O259" s="2" t="n"/>
    </row>
    <row r="260">
      <c r="A260" s="2" t="n"/>
      <c r="B260" s="2" t="n"/>
      <c r="C260" s="2" t="n"/>
      <c r="D260" s="2" t="n"/>
      <c r="E260" s="2" t="n"/>
      <c r="F260" s="2" t="n"/>
      <c r="G260" s="2" t="n"/>
      <c r="H260" s="2" t="n"/>
      <c r="I260" s="2" t="n"/>
      <c r="J260" s="2" t="n"/>
      <c r="K260" s="2">
        <f>IF(COUNTA(G260:J260)&lt;4,"",ROUND(AVERAGE(G260:J260),1))</f>
        <v/>
      </c>
      <c r="L260" s="2" t="n"/>
      <c r="M260" s="2" t="n"/>
      <c r="N260" s="2" t="n"/>
      <c r="O260" s="2" t="n"/>
    </row>
    <row r="261">
      <c r="A261" s="2" t="n"/>
      <c r="B261" s="2" t="n"/>
      <c r="C261" s="2" t="n"/>
      <c r="D261" s="2" t="n"/>
      <c r="E261" s="2" t="n"/>
      <c r="F261" s="2" t="n"/>
      <c r="G261" s="2" t="n"/>
      <c r="H261" s="2" t="n"/>
      <c r="I261" s="2" t="n"/>
      <c r="J261" s="2" t="n"/>
      <c r="K261" s="2">
        <f>IF(COUNTA(G261:J261)&lt;4,"",ROUND(AVERAGE(G261:J261),1))</f>
        <v/>
      </c>
      <c r="L261" s="2" t="n"/>
      <c r="M261" s="2" t="n"/>
      <c r="N261" s="2" t="n"/>
      <c r="O261" s="2" t="n"/>
    </row>
    <row r="262">
      <c r="A262" s="2" t="n"/>
      <c r="B262" s="2" t="n"/>
      <c r="C262" s="2" t="n"/>
      <c r="D262" s="2" t="n"/>
      <c r="E262" s="2" t="n"/>
      <c r="F262" s="2" t="n"/>
      <c r="G262" s="2" t="n"/>
      <c r="H262" s="2" t="n"/>
      <c r="I262" s="2" t="n"/>
      <c r="J262" s="2" t="n"/>
      <c r="K262" s="2">
        <f>IF(COUNTA(G262:J262)&lt;4,"",ROUND(AVERAGE(G262:J262),1))</f>
        <v/>
      </c>
      <c r="L262" s="2" t="n"/>
      <c r="M262" s="2" t="n"/>
      <c r="N262" s="2" t="n"/>
      <c r="O262" s="2" t="n"/>
    </row>
    <row r="263">
      <c r="A263" s="2" t="n"/>
      <c r="B263" s="2" t="n"/>
      <c r="C263" s="2" t="n"/>
      <c r="D263" s="2" t="n"/>
      <c r="E263" s="2" t="n"/>
      <c r="F263" s="2" t="n"/>
      <c r="G263" s="2" t="n"/>
      <c r="H263" s="2" t="n"/>
      <c r="I263" s="2" t="n"/>
      <c r="J263" s="2" t="n"/>
      <c r="K263" s="2">
        <f>IF(COUNTA(G263:J263)&lt;4,"",ROUND(AVERAGE(G263:J263),1))</f>
        <v/>
      </c>
      <c r="L263" s="2" t="n"/>
      <c r="M263" s="2" t="n"/>
      <c r="N263" s="2" t="n"/>
      <c r="O263" s="2" t="n"/>
    </row>
    <row r="264">
      <c r="A264" s="2" t="n"/>
      <c r="B264" s="2" t="n"/>
      <c r="C264" s="2" t="n"/>
      <c r="D264" s="2" t="n"/>
      <c r="E264" s="2" t="n"/>
      <c r="F264" s="2" t="n"/>
      <c r="G264" s="2" t="n"/>
      <c r="H264" s="2" t="n"/>
      <c r="I264" s="2" t="n"/>
      <c r="J264" s="2" t="n"/>
      <c r="K264" s="2">
        <f>IF(COUNTA(G264:J264)&lt;4,"",ROUND(AVERAGE(G264:J264),1))</f>
        <v/>
      </c>
      <c r="L264" s="2" t="n"/>
      <c r="M264" s="2" t="n"/>
      <c r="N264" s="2" t="n"/>
      <c r="O264" s="2" t="n"/>
    </row>
    <row r="265">
      <c r="A265" s="2" t="n"/>
      <c r="B265" s="2" t="n"/>
      <c r="C265" s="2" t="n"/>
      <c r="D265" s="2" t="n"/>
      <c r="E265" s="2" t="n"/>
      <c r="F265" s="2" t="n"/>
      <c r="G265" s="2" t="n"/>
      <c r="H265" s="2" t="n"/>
      <c r="I265" s="2" t="n"/>
      <c r="J265" s="2" t="n"/>
      <c r="K265" s="2">
        <f>IF(COUNTA(G265:J265)&lt;4,"",ROUND(AVERAGE(G265:J265),1))</f>
        <v/>
      </c>
      <c r="L265" s="2" t="n"/>
      <c r="M265" s="2" t="n"/>
      <c r="N265" s="2" t="n"/>
      <c r="O265" s="2" t="n"/>
    </row>
    <row r="266">
      <c r="A266" s="2" t="n"/>
      <c r="B266" s="2" t="n"/>
      <c r="C266" s="2" t="n"/>
      <c r="D266" s="2" t="n"/>
      <c r="E266" s="2" t="n"/>
      <c r="F266" s="2" t="n"/>
      <c r="G266" s="2" t="n"/>
      <c r="H266" s="2" t="n"/>
      <c r="I266" s="2" t="n"/>
      <c r="J266" s="2" t="n"/>
      <c r="K266" s="2">
        <f>IF(COUNTA(G266:J266)&lt;4,"",ROUND(AVERAGE(G266:J266),1))</f>
        <v/>
      </c>
      <c r="L266" s="2" t="n"/>
      <c r="M266" s="2" t="n"/>
      <c r="N266" s="2" t="n"/>
      <c r="O266" s="2" t="n"/>
    </row>
    <row r="267">
      <c r="A267" s="2" t="n"/>
      <c r="B267" s="2" t="n"/>
      <c r="C267" s="2" t="n"/>
      <c r="D267" s="2" t="n"/>
      <c r="E267" s="2" t="n"/>
      <c r="F267" s="2" t="n"/>
      <c r="G267" s="2" t="n"/>
      <c r="H267" s="2" t="n"/>
      <c r="I267" s="2" t="n"/>
      <c r="J267" s="2" t="n"/>
      <c r="K267" s="2">
        <f>IF(COUNTA(G267:J267)&lt;4,"",ROUND(AVERAGE(G267:J267),1))</f>
        <v/>
      </c>
      <c r="L267" s="2" t="n"/>
      <c r="M267" s="2" t="n"/>
      <c r="N267" s="2" t="n"/>
      <c r="O267" s="2" t="n"/>
    </row>
    <row r="268">
      <c r="A268" s="2" t="n"/>
      <c r="B268" s="2" t="n"/>
      <c r="C268" s="2" t="n"/>
      <c r="D268" s="2" t="n"/>
      <c r="E268" s="2" t="n"/>
      <c r="F268" s="2" t="n"/>
      <c r="G268" s="2" t="n"/>
      <c r="H268" s="2" t="n"/>
      <c r="I268" s="2" t="n"/>
      <c r="J268" s="2" t="n"/>
      <c r="K268" s="2">
        <f>IF(COUNTA(G268:J268)&lt;4,"",ROUND(AVERAGE(G268:J268),1))</f>
        <v/>
      </c>
      <c r="L268" s="2" t="n"/>
      <c r="M268" s="2" t="n"/>
      <c r="N268" s="2" t="n"/>
      <c r="O268" s="2" t="n"/>
    </row>
    <row r="269">
      <c r="A269" s="2" t="n"/>
      <c r="B269" s="2" t="n"/>
      <c r="C269" s="2" t="n"/>
      <c r="D269" s="2" t="n"/>
      <c r="E269" s="2" t="n"/>
      <c r="F269" s="2" t="n"/>
      <c r="G269" s="2" t="n"/>
      <c r="H269" s="2" t="n"/>
      <c r="I269" s="2" t="n"/>
      <c r="J269" s="2" t="n"/>
      <c r="K269" s="2">
        <f>IF(COUNTA(G269:J269)&lt;4,"",ROUND(AVERAGE(G269:J269),1))</f>
        <v/>
      </c>
      <c r="L269" s="2" t="n"/>
      <c r="M269" s="2" t="n"/>
      <c r="N269" s="2" t="n"/>
      <c r="O269" s="2" t="n"/>
    </row>
    <row r="270">
      <c r="A270" s="2" t="n"/>
      <c r="B270" s="2" t="n"/>
      <c r="C270" s="2" t="n"/>
      <c r="D270" s="2" t="n"/>
      <c r="E270" s="2" t="n"/>
      <c r="F270" s="2" t="n"/>
      <c r="G270" s="2" t="n"/>
      <c r="H270" s="2" t="n"/>
      <c r="I270" s="2" t="n"/>
      <c r="J270" s="2" t="n"/>
      <c r="K270" s="2">
        <f>IF(COUNTA(G270:J270)&lt;4,"",ROUND(AVERAGE(G270:J270),1))</f>
        <v/>
      </c>
      <c r="L270" s="2" t="n"/>
      <c r="M270" s="2" t="n"/>
      <c r="N270" s="2" t="n"/>
      <c r="O270" s="2" t="n"/>
    </row>
    <row r="271">
      <c r="A271" s="2" t="n"/>
      <c r="B271" s="2" t="n"/>
      <c r="C271" s="2" t="n"/>
      <c r="D271" s="2" t="n"/>
      <c r="E271" s="2" t="n"/>
      <c r="F271" s="2" t="n"/>
      <c r="G271" s="2" t="n"/>
      <c r="H271" s="2" t="n"/>
      <c r="I271" s="2" t="n"/>
      <c r="J271" s="2" t="n"/>
      <c r="K271" s="2">
        <f>IF(COUNTA(G271:J271)&lt;4,"",ROUND(AVERAGE(G271:J271),1))</f>
        <v/>
      </c>
      <c r="L271" s="2" t="n"/>
      <c r="M271" s="2" t="n"/>
      <c r="N271" s="2" t="n"/>
      <c r="O271" s="2" t="n"/>
    </row>
    <row r="272">
      <c r="A272" s="2" t="n"/>
      <c r="B272" s="2" t="n"/>
      <c r="C272" s="2" t="n"/>
      <c r="D272" s="2" t="n"/>
      <c r="E272" s="2" t="n"/>
      <c r="F272" s="2" t="n"/>
      <c r="G272" s="2" t="n"/>
      <c r="H272" s="2" t="n"/>
      <c r="I272" s="2" t="n"/>
      <c r="J272" s="2" t="n"/>
      <c r="K272" s="2">
        <f>IF(COUNTA(G272:J272)&lt;4,"",ROUND(AVERAGE(G272:J272),1))</f>
        <v/>
      </c>
      <c r="L272" s="2" t="n"/>
      <c r="M272" s="2" t="n"/>
      <c r="N272" s="2" t="n"/>
      <c r="O272" s="2" t="n"/>
    </row>
    <row r="273">
      <c r="A273" s="2" t="n"/>
      <c r="B273" s="2" t="n"/>
      <c r="C273" s="2" t="n"/>
      <c r="D273" s="2" t="n"/>
      <c r="E273" s="2" t="n"/>
      <c r="F273" s="2" t="n"/>
      <c r="G273" s="2" t="n"/>
      <c r="H273" s="2" t="n"/>
      <c r="I273" s="2" t="n"/>
      <c r="J273" s="2" t="n"/>
      <c r="K273" s="2">
        <f>IF(COUNTA(G273:J273)&lt;4,"",ROUND(AVERAGE(G273:J273),1))</f>
        <v/>
      </c>
      <c r="L273" s="2" t="n"/>
      <c r="M273" s="2" t="n"/>
      <c r="N273" s="2" t="n"/>
      <c r="O273" s="2" t="n"/>
    </row>
    <row r="274">
      <c r="A274" s="2" t="n"/>
      <c r="B274" s="2" t="n"/>
      <c r="C274" s="2" t="n"/>
      <c r="D274" s="2" t="n"/>
      <c r="E274" s="2" t="n"/>
      <c r="F274" s="2" t="n"/>
      <c r="G274" s="2" t="n"/>
      <c r="H274" s="2" t="n"/>
      <c r="I274" s="2" t="n"/>
      <c r="J274" s="2" t="n"/>
      <c r="K274" s="2">
        <f>IF(COUNTA(G274:J274)&lt;4,"",ROUND(AVERAGE(G274:J274),1))</f>
        <v/>
      </c>
      <c r="L274" s="2" t="n"/>
      <c r="M274" s="2" t="n"/>
      <c r="N274" s="2" t="n"/>
      <c r="O274" s="2" t="n"/>
    </row>
    <row r="275">
      <c r="A275" s="2" t="n"/>
      <c r="B275" s="2" t="n"/>
      <c r="C275" s="2" t="n"/>
      <c r="D275" s="2" t="n"/>
      <c r="E275" s="2" t="n"/>
      <c r="F275" s="2" t="n"/>
      <c r="G275" s="2" t="n"/>
      <c r="H275" s="2" t="n"/>
      <c r="I275" s="2" t="n"/>
      <c r="J275" s="2" t="n"/>
      <c r="K275" s="2">
        <f>IF(COUNTA(G275:J275)&lt;4,"",ROUND(AVERAGE(G275:J275),1))</f>
        <v/>
      </c>
      <c r="L275" s="2" t="n"/>
      <c r="M275" s="2" t="n"/>
      <c r="N275" s="2" t="n"/>
      <c r="O275" s="2" t="n"/>
    </row>
    <row r="276">
      <c r="A276" s="2" t="n"/>
      <c r="B276" s="2" t="n"/>
      <c r="C276" s="2" t="n"/>
      <c r="D276" s="2" t="n"/>
      <c r="E276" s="2" t="n"/>
      <c r="F276" s="2" t="n"/>
      <c r="G276" s="2" t="n"/>
      <c r="H276" s="2" t="n"/>
      <c r="I276" s="2" t="n"/>
      <c r="J276" s="2" t="n"/>
      <c r="K276" s="2">
        <f>IF(COUNTA(G276:J276)&lt;4,"",ROUND(AVERAGE(G276:J276),1))</f>
        <v/>
      </c>
      <c r="L276" s="2" t="n"/>
      <c r="M276" s="2" t="n"/>
      <c r="N276" s="2" t="n"/>
      <c r="O276" s="2" t="n"/>
    </row>
    <row r="277">
      <c r="A277" s="2" t="n"/>
      <c r="B277" s="2" t="n"/>
      <c r="C277" s="2" t="n"/>
      <c r="D277" s="2" t="n"/>
      <c r="E277" s="2" t="n"/>
      <c r="F277" s="2" t="n"/>
      <c r="G277" s="2" t="n"/>
      <c r="H277" s="2" t="n"/>
      <c r="I277" s="2" t="n"/>
      <c r="J277" s="2" t="n"/>
      <c r="K277" s="2">
        <f>IF(COUNTA(G277:J277)&lt;4,"",ROUND(AVERAGE(G277:J277),1))</f>
        <v/>
      </c>
      <c r="L277" s="2" t="n"/>
      <c r="M277" s="2" t="n"/>
      <c r="N277" s="2" t="n"/>
      <c r="O277" s="2" t="n"/>
    </row>
    <row r="278">
      <c r="A278" s="2" t="n"/>
      <c r="B278" s="2" t="n"/>
      <c r="C278" s="2" t="n"/>
      <c r="D278" s="2" t="n"/>
      <c r="E278" s="2" t="n"/>
      <c r="F278" s="2" t="n"/>
      <c r="G278" s="2" t="n"/>
      <c r="H278" s="2" t="n"/>
      <c r="I278" s="2" t="n"/>
      <c r="J278" s="2" t="n"/>
      <c r="K278" s="2">
        <f>IF(COUNTA(G278:J278)&lt;4,"",ROUND(AVERAGE(G278:J278),1))</f>
        <v/>
      </c>
      <c r="L278" s="2" t="n"/>
      <c r="M278" s="2" t="n"/>
      <c r="N278" s="2" t="n"/>
      <c r="O278" s="2" t="n"/>
    </row>
    <row r="279">
      <c r="A279" s="2" t="n"/>
      <c r="B279" s="2" t="n"/>
      <c r="C279" s="2" t="n"/>
      <c r="D279" s="2" t="n"/>
      <c r="E279" s="2" t="n"/>
      <c r="F279" s="2" t="n"/>
      <c r="G279" s="2" t="n"/>
      <c r="H279" s="2" t="n"/>
      <c r="I279" s="2" t="n"/>
      <c r="J279" s="2" t="n"/>
      <c r="K279" s="2">
        <f>IF(COUNTA(G279:J279)&lt;4,"",ROUND(AVERAGE(G279:J279),1))</f>
        <v/>
      </c>
      <c r="L279" s="2" t="n"/>
      <c r="M279" s="2" t="n"/>
      <c r="N279" s="2" t="n"/>
      <c r="O279" s="2" t="n"/>
    </row>
    <row r="280">
      <c r="A280" s="2" t="n"/>
      <c r="B280" s="2" t="n"/>
      <c r="C280" s="2" t="n"/>
      <c r="D280" s="2" t="n"/>
      <c r="E280" s="2" t="n"/>
      <c r="F280" s="2" t="n"/>
      <c r="G280" s="2" t="n"/>
      <c r="H280" s="2" t="n"/>
      <c r="I280" s="2" t="n"/>
      <c r="J280" s="2" t="n"/>
      <c r="K280" s="2">
        <f>IF(COUNTA(G280:J280)&lt;4,"",ROUND(AVERAGE(G280:J280),1))</f>
        <v/>
      </c>
      <c r="L280" s="2" t="n"/>
      <c r="M280" s="2" t="n"/>
      <c r="N280" s="2" t="n"/>
      <c r="O280" s="2" t="n"/>
    </row>
    <row r="281">
      <c r="A281" s="2" t="n"/>
      <c r="B281" s="2" t="n"/>
      <c r="C281" s="2" t="n"/>
      <c r="D281" s="2" t="n"/>
      <c r="E281" s="2" t="n"/>
      <c r="F281" s="2" t="n"/>
      <c r="G281" s="2" t="n"/>
      <c r="H281" s="2" t="n"/>
      <c r="I281" s="2" t="n"/>
      <c r="J281" s="2" t="n"/>
      <c r="K281" s="2">
        <f>IF(COUNTA(G281:J281)&lt;4,"",ROUND(AVERAGE(G281:J281),1))</f>
        <v/>
      </c>
      <c r="L281" s="2" t="n"/>
      <c r="M281" s="2" t="n"/>
      <c r="N281" s="2" t="n"/>
      <c r="O281" s="2" t="n"/>
    </row>
    <row r="282">
      <c r="A282" s="2" t="n"/>
      <c r="B282" s="2" t="n"/>
      <c r="C282" s="2" t="n"/>
      <c r="D282" s="2" t="n"/>
      <c r="E282" s="2" t="n"/>
      <c r="F282" s="2" t="n"/>
      <c r="G282" s="2" t="n"/>
      <c r="H282" s="2" t="n"/>
      <c r="I282" s="2" t="n"/>
      <c r="J282" s="2" t="n"/>
      <c r="K282" s="2">
        <f>IF(COUNTA(G282:J282)&lt;4,"",ROUND(AVERAGE(G282:J282),1))</f>
        <v/>
      </c>
      <c r="L282" s="2" t="n"/>
      <c r="M282" s="2" t="n"/>
      <c r="N282" s="2" t="n"/>
      <c r="O282" s="2" t="n"/>
    </row>
    <row r="283">
      <c r="A283" s="2" t="n"/>
      <c r="B283" s="2" t="n"/>
      <c r="C283" s="2" t="n"/>
      <c r="D283" s="2" t="n"/>
      <c r="E283" s="2" t="n"/>
      <c r="F283" s="2" t="n"/>
      <c r="G283" s="2" t="n"/>
      <c r="H283" s="2" t="n"/>
      <c r="I283" s="2" t="n"/>
      <c r="J283" s="2" t="n"/>
      <c r="K283" s="2">
        <f>IF(COUNTA(G283:J283)&lt;4,"",ROUND(AVERAGE(G283:J283),1))</f>
        <v/>
      </c>
      <c r="L283" s="2" t="n"/>
      <c r="M283" s="2" t="n"/>
      <c r="N283" s="2" t="n"/>
      <c r="O283" s="2" t="n"/>
    </row>
    <row r="284">
      <c r="A284" s="2" t="n"/>
      <c r="B284" s="2" t="n"/>
      <c r="C284" s="2" t="n"/>
      <c r="D284" s="2" t="n"/>
      <c r="E284" s="2" t="n"/>
      <c r="F284" s="2" t="n"/>
      <c r="G284" s="2" t="n"/>
      <c r="H284" s="2" t="n"/>
      <c r="I284" s="2" t="n"/>
      <c r="J284" s="2" t="n"/>
      <c r="K284" s="2">
        <f>IF(COUNTA(G284:J284)&lt;4,"",ROUND(AVERAGE(G284:J284),1))</f>
        <v/>
      </c>
      <c r="L284" s="2" t="n"/>
      <c r="M284" s="2" t="n"/>
      <c r="N284" s="2" t="n"/>
      <c r="O284" s="2" t="n"/>
    </row>
    <row r="285">
      <c r="A285" s="2" t="n"/>
      <c r="B285" s="2" t="n"/>
      <c r="C285" s="2" t="n"/>
      <c r="D285" s="2" t="n"/>
      <c r="E285" s="2" t="n"/>
      <c r="F285" s="2" t="n"/>
      <c r="G285" s="2" t="n"/>
      <c r="H285" s="2" t="n"/>
      <c r="I285" s="2" t="n"/>
      <c r="J285" s="2" t="n"/>
      <c r="K285" s="2">
        <f>IF(COUNTA(G285:J285)&lt;4,"",ROUND(AVERAGE(G285:J285),1))</f>
        <v/>
      </c>
      <c r="L285" s="2" t="n"/>
      <c r="M285" s="2" t="n"/>
      <c r="N285" s="2" t="n"/>
      <c r="O285" s="2" t="n"/>
    </row>
    <row r="286">
      <c r="A286" s="2" t="n"/>
      <c r="B286" s="2" t="n"/>
      <c r="C286" s="2" t="n"/>
      <c r="D286" s="2" t="n"/>
      <c r="E286" s="2" t="n"/>
      <c r="F286" s="2" t="n"/>
      <c r="G286" s="2" t="n"/>
      <c r="H286" s="2" t="n"/>
      <c r="I286" s="2" t="n"/>
      <c r="J286" s="2" t="n"/>
      <c r="K286" s="2">
        <f>IF(COUNTA(G286:J286)&lt;4,"",ROUND(AVERAGE(G286:J286),1))</f>
        <v/>
      </c>
      <c r="L286" s="2" t="n"/>
      <c r="M286" s="2" t="n"/>
      <c r="N286" s="2" t="n"/>
      <c r="O286" s="2" t="n"/>
    </row>
    <row r="287">
      <c r="A287" s="2" t="n"/>
      <c r="B287" s="2" t="n"/>
      <c r="C287" s="2" t="n"/>
      <c r="D287" s="2" t="n"/>
      <c r="E287" s="2" t="n"/>
      <c r="F287" s="2" t="n"/>
      <c r="G287" s="2" t="n"/>
      <c r="H287" s="2" t="n"/>
      <c r="I287" s="2" t="n"/>
      <c r="J287" s="2" t="n"/>
      <c r="K287" s="2">
        <f>IF(COUNTA(G287:J287)&lt;4,"",ROUND(AVERAGE(G287:J287),1))</f>
        <v/>
      </c>
      <c r="L287" s="2" t="n"/>
      <c r="M287" s="2" t="n"/>
      <c r="N287" s="2" t="n"/>
      <c r="O287" s="2" t="n"/>
    </row>
    <row r="288">
      <c r="A288" s="2" t="n"/>
      <c r="B288" s="2" t="n"/>
      <c r="C288" s="2" t="n"/>
      <c r="D288" s="2" t="n"/>
      <c r="E288" s="2" t="n"/>
      <c r="F288" s="2" t="n"/>
      <c r="G288" s="2" t="n"/>
      <c r="H288" s="2" t="n"/>
      <c r="I288" s="2" t="n"/>
      <c r="J288" s="2" t="n"/>
      <c r="K288" s="2">
        <f>IF(COUNTA(G288:J288)&lt;4,"",ROUND(AVERAGE(G288:J288),1))</f>
        <v/>
      </c>
      <c r="L288" s="2" t="n"/>
      <c r="M288" s="2" t="n"/>
      <c r="N288" s="2" t="n"/>
      <c r="O288" s="2" t="n"/>
    </row>
    <row r="289">
      <c r="A289" s="2" t="n"/>
      <c r="B289" s="2" t="n"/>
      <c r="C289" s="2" t="n"/>
      <c r="D289" s="2" t="n"/>
      <c r="E289" s="2" t="n"/>
      <c r="F289" s="2" t="n"/>
      <c r="G289" s="2" t="n"/>
      <c r="H289" s="2" t="n"/>
      <c r="I289" s="2" t="n"/>
      <c r="J289" s="2" t="n"/>
      <c r="K289" s="2">
        <f>IF(COUNTA(G289:J289)&lt;4,"",ROUND(AVERAGE(G289:J289),1))</f>
        <v/>
      </c>
      <c r="L289" s="2" t="n"/>
      <c r="M289" s="2" t="n"/>
      <c r="N289" s="2" t="n"/>
      <c r="O289" s="2" t="n"/>
    </row>
    <row r="290">
      <c r="A290" s="2" t="n"/>
      <c r="B290" s="2" t="n"/>
      <c r="C290" s="2" t="n"/>
      <c r="D290" s="2" t="n"/>
      <c r="E290" s="2" t="n"/>
      <c r="F290" s="2" t="n"/>
      <c r="G290" s="2" t="n"/>
      <c r="H290" s="2" t="n"/>
      <c r="I290" s="2" t="n"/>
      <c r="J290" s="2" t="n"/>
      <c r="K290" s="2">
        <f>IF(COUNTA(G290:J290)&lt;4,"",ROUND(AVERAGE(G290:J290),1))</f>
        <v/>
      </c>
      <c r="L290" s="2" t="n"/>
      <c r="M290" s="2" t="n"/>
      <c r="N290" s="2" t="n"/>
      <c r="O290" s="2" t="n"/>
    </row>
    <row r="291">
      <c r="A291" s="2" t="n"/>
      <c r="B291" s="2" t="n"/>
      <c r="C291" s="2" t="n"/>
      <c r="D291" s="2" t="n"/>
      <c r="E291" s="2" t="n"/>
      <c r="F291" s="2" t="n"/>
      <c r="G291" s="2" t="n"/>
      <c r="H291" s="2" t="n"/>
      <c r="I291" s="2" t="n"/>
      <c r="J291" s="2" t="n"/>
      <c r="K291" s="2">
        <f>IF(COUNTA(G291:J291)&lt;4,"",ROUND(AVERAGE(G291:J291),1))</f>
        <v/>
      </c>
      <c r="L291" s="2" t="n"/>
      <c r="M291" s="2" t="n"/>
      <c r="N291" s="2" t="n"/>
      <c r="O291" s="2" t="n"/>
    </row>
    <row r="292">
      <c r="A292" s="2" t="n"/>
      <c r="B292" s="2" t="n"/>
      <c r="C292" s="2" t="n"/>
      <c r="D292" s="2" t="n"/>
      <c r="E292" s="2" t="n"/>
      <c r="F292" s="2" t="n"/>
      <c r="G292" s="2" t="n"/>
      <c r="H292" s="2" t="n"/>
      <c r="I292" s="2" t="n"/>
      <c r="J292" s="2" t="n"/>
      <c r="K292" s="2">
        <f>IF(COUNTA(G292:J292)&lt;4,"",ROUND(AVERAGE(G292:J292),1))</f>
        <v/>
      </c>
      <c r="L292" s="2" t="n"/>
      <c r="M292" s="2" t="n"/>
      <c r="N292" s="2" t="n"/>
      <c r="O292" s="2" t="n"/>
    </row>
    <row r="293">
      <c r="A293" s="2" t="n"/>
      <c r="B293" s="2" t="n"/>
      <c r="C293" s="2" t="n"/>
      <c r="D293" s="2" t="n"/>
      <c r="E293" s="2" t="n"/>
      <c r="F293" s="2" t="n"/>
      <c r="G293" s="2" t="n"/>
      <c r="H293" s="2" t="n"/>
      <c r="I293" s="2" t="n"/>
      <c r="J293" s="2" t="n"/>
      <c r="K293" s="2">
        <f>IF(COUNTA(G293:J293)&lt;4,"",ROUND(AVERAGE(G293:J293),1))</f>
        <v/>
      </c>
      <c r="L293" s="2" t="n"/>
      <c r="M293" s="2" t="n"/>
      <c r="N293" s="2" t="n"/>
      <c r="O293" s="2" t="n"/>
    </row>
    <row r="294">
      <c r="A294" s="2" t="n"/>
      <c r="B294" s="2" t="n"/>
      <c r="C294" s="2" t="n"/>
      <c r="D294" s="2" t="n"/>
      <c r="E294" s="2" t="n"/>
      <c r="F294" s="2" t="n"/>
      <c r="G294" s="2" t="n"/>
      <c r="H294" s="2" t="n"/>
      <c r="I294" s="2" t="n"/>
      <c r="J294" s="2" t="n"/>
      <c r="K294" s="2">
        <f>IF(COUNTA(G294:J294)&lt;4,"",ROUND(AVERAGE(G294:J294),1))</f>
        <v/>
      </c>
      <c r="L294" s="2" t="n"/>
      <c r="M294" s="2" t="n"/>
      <c r="N294" s="2" t="n"/>
      <c r="O294" s="2" t="n"/>
    </row>
    <row r="295">
      <c r="A295" s="2" t="n"/>
      <c r="B295" s="2" t="n"/>
      <c r="C295" s="2" t="n"/>
      <c r="D295" s="2" t="n"/>
      <c r="E295" s="2" t="n"/>
      <c r="F295" s="2" t="n"/>
      <c r="G295" s="2" t="n"/>
      <c r="H295" s="2" t="n"/>
      <c r="I295" s="2" t="n"/>
      <c r="J295" s="2" t="n"/>
      <c r="K295" s="2">
        <f>IF(COUNTA(G295:J295)&lt;4,"",ROUND(AVERAGE(G295:J295),1))</f>
        <v/>
      </c>
      <c r="L295" s="2" t="n"/>
      <c r="M295" s="2" t="n"/>
      <c r="N295" s="2" t="n"/>
      <c r="O295" s="2" t="n"/>
    </row>
    <row r="296">
      <c r="A296" s="2" t="n"/>
      <c r="B296" s="2" t="n"/>
      <c r="C296" s="2" t="n"/>
      <c r="D296" s="2" t="n"/>
      <c r="E296" s="2" t="n"/>
      <c r="F296" s="2" t="n"/>
      <c r="G296" s="2" t="n"/>
      <c r="H296" s="2" t="n"/>
      <c r="I296" s="2" t="n"/>
      <c r="J296" s="2" t="n"/>
      <c r="K296" s="2">
        <f>IF(COUNTA(G296:J296)&lt;4,"",ROUND(AVERAGE(G296:J296),1))</f>
        <v/>
      </c>
      <c r="L296" s="2" t="n"/>
      <c r="M296" s="2" t="n"/>
      <c r="N296" s="2" t="n"/>
      <c r="O296" s="2" t="n"/>
    </row>
    <row r="297">
      <c r="A297" s="2" t="n"/>
      <c r="B297" s="2" t="n"/>
      <c r="C297" s="2" t="n"/>
      <c r="D297" s="2" t="n"/>
      <c r="E297" s="2" t="n"/>
      <c r="F297" s="2" t="n"/>
      <c r="G297" s="2" t="n"/>
      <c r="H297" s="2" t="n"/>
      <c r="I297" s="2" t="n"/>
      <c r="J297" s="2" t="n"/>
      <c r="K297" s="2">
        <f>IF(COUNTA(G297:J297)&lt;4,"",ROUND(AVERAGE(G297:J297),1))</f>
        <v/>
      </c>
      <c r="L297" s="2" t="n"/>
      <c r="M297" s="2" t="n"/>
      <c r="N297" s="2" t="n"/>
      <c r="O297" s="2" t="n"/>
    </row>
    <row r="298">
      <c r="A298" s="2" t="n"/>
      <c r="B298" s="2" t="n"/>
      <c r="C298" s="2" t="n"/>
      <c r="D298" s="2" t="n"/>
      <c r="E298" s="2" t="n"/>
      <c r="F298" s="2" t="n"/>
      <c r="G298" s="2" t="n"/>
      <c r="H298" s="2" t="n"/>
      <c r="I298" s="2" t="n"/>
      <c r="J298" s="2" t="n"/>
      <c r="K298" s="2">
        <f>IF(COUNTA(G298:J298)&lt;4,"",ROUND(AVERAGE(G298:J298),1))</f>
        <v/>
      </c>
      <c r="L298" s="2" t="n"/>
      <c r="M298" s="2" t="n"/>
      <c r="N298" s="2" t="n"/>
      <c r="O298" s="2" t="n"/>
    </row>
    <row r="299">
      <c r="A299" s="2" t="n"/>
      <c r="B299" s="2" t="n"/>
      <c r="C299" s="2" t="n"/>
      <c r="D299" s="2" t="n"/>
      <c r="E299" s="2" t="n"/>
      <c r="F299" s="2" t="n"/>
      <c r="G299" s="2" t="n"/>
      <c r="H299" s="2" t="n"/>
      <c r="I299" s="2" t="n"/>
      <c r="J299" s="2" t="n"/>
      <c r="K299" s="2">
        <f>IF(COUNTA(G299:J299)&lt;4,"",ROUND(AVERAGE(G299:J299),1))</f>
        <v/>
      </c>
      <c r="L299" s="2" t="n"/>
      <c r="M299" s="2" t="n"/>
      <c r="N299" s="2" t="n"/>
      <c r="O299" s="2" t="n"/>
    </row>
    <row r="300">
      <c r="A300" s="2" t="n"/>
      <c r="B300" s="2" t="n"/>
      <c r="C300" s="2" t="n"/>
      <c r="D300" s="2" t="n"/>
      <c r="E300" s="2" t="n"/>
      <c r="F300" s="2" t="n"/>
      <c r="G300" s="2" t="n"/>
      <c r="H300" s="2" t="n"/>
      <c r="I300" s="2" t="n"/>
      <c r="J300" s="2" t="n"/>
      <c r="K300" s="2">
        <f>IF(COUNTA(G300:J300)&lt;4,"",ROUND(AVERAGE(G300:J300),1))</f>
        <v/>
      </c>
      <c r="L300" s="2" t="n"/>
      <c r="M300" s="2" t="n"/>
      <c r="N300" s="2" t="n"/>
      <c r="O300" s="2" t="n"/>
    </row>
    <row r="301">
      <c r="A301" s="2" t="n"/>
      <c r="B301" s="2" t="n"/>
      <c r="C301" s="2" t="n"/>
      <c r="D301" s="2" t="n"/>
      <c r="E301" s="2" t="n"/>
      <c r="F301" s="2" t="n"/>
      <c r="G301" s="2" t="n"/>
      <c r="H301" s="2" t="n"/>
      <c r="I301" s="2" t="n"/>
      <c r="J301" s="2" t="n"/>
      <c r="K301" s="2">
        <f>IF(COUNTA(G301:J301)&lt;4,"",ROUND(AVERAGE(G301:J301),1))</f>
        <v/>
      </c>
      <c r="L301" s="2" t="n"/>
      <c r="M301" s="2" t="n"/>
      <c r="N301" s="2" t="n"/>
      <c r="O301" s="2" t="n"/>
    </row>
    <row r="302">
      <c r="A302" s="2" t="n"/>
      <c r="B302" s="2" t="n"/>
      <c r="C302" s="2" t="n"/>
      <c r="D302" s="2" t="n"/>
      <c r="E302" s="2" t="n"/>
      <c r="F302" s="2" t="n"/>
      <c r="G302" s="2" t="n"/>
      <c r="H302" s="2" t="n"/>
      <c r="I302" s="2" t="n"/>
      <c r="J302" s="2" t="n"/>
      <c r="K302" s="2">
        <f>IF(COUNTA(G302:J302)&lt;4,"",ROUND(AVERAGE(G302:J302),1))</f>
        <v/>
      </c>
      <c r="L302" s="2" t="n"/>
      <c r="M302" s="2" t="n"/>
      <c r="N302" s="2" t="n"/>
      <c r="O302" s="2" t="n"/>
    </row>
    <row r="303">
      <c r="A303" s="2" t="n"/>
      <c r="B303" s="2" t="n"/>
      <c r="C303" s="2" t="n"/>
      <c r="D303" s="2" t="n"/>
      <c r="E303" s="2" t="n"/>
      <c r="F303" s="2" t="n"/>
      <c r="G303" s="2" t="n"/>
      <c r="H303" s="2" t="n"/>
      <c r="I303" s="2" t="n"/>
      <c r="J303" s="2" t="n"/>
      <c r="K303" s="2">
        <f>IF(COUNTA(G303:J303)&lt;4,"",ROUND(AVERAGE(G303:J303),1))</f>
        <v/>
      </c>
      <c r="L303" s="2" t="n"/>
      <c r="M303" s="2" t="n"/>
      <c r="N303" s="2" t="n"/>
      <c r="O303" s="2" t="n"/>
    </row>
    <row r="304">
      <c r="A304" s="2" t="n"/>
      <c r="B304" s="2" t="n"/>
      <c r="C304" s="2" t="n"/>
      <c r="D304" s="2" t="n"/>
      <c r="E304" s="2" t="n"/>
      <c r="F304" s="2" t="n"/>
      <c r="G304" s="2" t="n"/>
      <c r="H304" s="2" t="n"/>
      <c r="I304" s="2" t="n"/>
      <c r="J304" s="2" t="n"/>
      <c r="K304" s="2">
        <f>IF(COUNTA(G304:J304)&lt;4,"",ROUND(AVERAGE(G304:J304),1))</f>
        <v/>
      </c>
      <c r="L304" s="2" t="n"/>
      <c r="M304" s="2" t="n"/>
      <c r="N304" s="2" t="n"/>
      <c r="O304" s="2" t="n"/>
    </row>
    <row r="305">
      <c r="A305" s="2" t="n"/>
      <c r="B305" s="2" t="n"/>
      <c r="C305" s="2" t="n"/>
      <c r="D305" s="2" t="n"/>
      <c r="E305" s="2" t="n"/>
      <c r="F305" s="2" t="n"/>
      <c r="G305" s="2" t="n"/>
      <c r="H305" s="2" t="n"/>
      <c r="I305" s="2" t="n"/>
      <c r="J305" s="2" t="n"/>
      <c r="K305" s="2">
        <f>IF(COUNTA(G305:J305)&lt;4,"",ROUND(AVERAGE(G305:J305),1))</f>
        <v/>
      </c>
      <c r="L305" s="2" t="n"/>
      <c r="M305" s="2" t="n"/>
      <c r="N305" s="2" t="n"/>
      <c r="O305" s="2" t="n"/>
    </row>
    <row r="306">
      <c r="A306" s="2" t="n"/>
      <c r="B306" s="2" t="n"/>
      <c r="C306" s="2" t="n"/>
      <c r="D306" s="2" t="n"/>
      <c r="E306" s="2" t="n"/>
      <c r="F306" s="2" t="n"/>
      <c r="G306" s="2" t="n"/>
      <c r="H306" s="2" t="n"/>
      <c r="I306" s="2" t="n"/>
      <c r="J306" s="2" t="n"/>
      <c r="K306" s="2">
        <f>IF(COUNTA(G306:J306)&lt;4,"",ROUND(AVERAGE(G306:J306),1))</f>
        <v/>
      </c>
      <c r="L306" s="2" t="n"/>
      <c r="M306" s="2" t="n"/>
      <c r="N306" s="2" t="n"/>
      <c r="O306" s="2" t="n"/>
    </row>
    <row r="307">
      <c r="A307" s="2" t="n"/>
      <c r="B307" s="2" t="n"/>
      <c r="C307" s="2" t="n"/>
      <c r="D307" s="2" t="n"/>
      <c r="E307" s="2" t="n"/>
      <c r="F307" s="2" t="n"/>
      <c r="G307" s="2" t="n"/>
      <c r="H307" s="2" t="n"/>
      <c r="I307" s="2" t="n"/>
      <c r="J307" s="2" t="n"/>
      <c r="K307" s="2">
        <f>IF(COUNTA(G307:J307)&lt;4,"",ROUND(AVERAGE(G307:J307),1))</f>
        <v/>
      </c>
      <c r="L307" s="2" t="n"/>
      <c r="M307" s="2" t="n"/>
      <c r="N307" s="2" t="n"/>
      <c r="O307" s="2" t="n"/>
    </row>
    <row r="308">
      <c r="A308" s="2" t="n"/>
      <c r="B308" s="2" t="n"/>
      <c r="C308" s="2" t="n"/>
      <c r="D308" s="2" t="n"/>
      <c r="E308" s="2" t="n"/>
      <c r="F308" s="2" t="n"/>
      <c r="G308" s="2" t="n"/>
      <c r="H308" s="2" t="n"/>
      <c r="I308" s="2" t="n"/>
      <c r="J308" s="2" t="n"/>
      <c r="K308" s="2">
        <f>IF(COUNTA(G308:J308)&lt;4,"",ROUND(AVERAGE(G308:J308),1))</f>
        <v/>
      </c>
      <c r="L308" s="2" t="n"/>
      <c r="M308" s="2" t="n"/>
      <c r="N308" s="2" t="n"/>
      <c r="O308" s="2" t="n"/>
    </row>
    <row r="309">
      <c r="A309" s="2" t="n"/>
      <c r="B309" s="2" t="n"/>
      <c r="C309" s="2" t="n"/>
      <c r="D309" s="2" t="n"/>
      <c r="E309" s="2" t="n"/>
      <c r="F309" s="2" t="n"/>
      <c r="G309" s="2" t="n"/>
      <c r="H309" s="2" t="n"/>
      <c r="I309" s="2" t="n"/>
      <c r="J309" s="2" t="n"/>
      <c r="K309" s="2">
        <f>IF(COUNTA(G309:J309)&lt;4,"",ROUND(AVERAGE(G309:J309),1))</f>
        <v/>
      </c>
      <c r="L309" s="2" t="n"/>
      <c r="M309" s="2" t="n"/>
      <c r="N309" s="2" t="n"/>
      <c r="O309" s="2" t="n"/>
    </row>
    <row r="310">
      <c r="A310" s="2" t="n"/>
      <c r="B310" s="2" t="n"/>
      <c r="C310" s="2" t="n"/>
      <c r="D310" s="2" t="n"/>
      <c r="E310" s="2" t="n"/>
      <c r="F310" s="2" t="n"/>
      <c r="G310" s="2" t="n"/>
      <c r="H310" s="2" t="n"/>
      <c r="I310" s="2" t="n"/>
      <c r="J310" s="2" t="n"/>
      <c r="K310" s="2">
        <f>IF(COUNTA(G310:J310)&lt;4,"",ROUND(AVERAGE(G310:J310),1))</f>
        <v/>
      </c>
      <c r="L310" s="2" t="n"/>
      <c r="M310" s="2" t="n"/>
      <c r="N310" s="2" t="n"/>
      <c r="O310" s="2" t="n"/>
    </row>
    <row r="311">
      <c r="A311" s="2" t="n"/>
      <c r="B311" s="2" t="n"/>
      <c r="C311" s="2" t="n"/>
      <c r="D311" s="2" t="n"/>
      <c r="E311" s="2" t="n"/>
      <c r="F311" s="2" t="n"/>
      <c r="G311" s="2" t="n"/>
      <c r="H311" s="2" t="n"/>
      <c r="I311" s="2" t="n"/>
      <c r="J311" s="2" t="n"/>
      <c r="K311" s="2">
        <f>IF(COUNTA(G311:J311)&lt;4,"",ROUND(AVERAGE(G311:J311),1))</f>
        <v/>
      </c>
      <c r="L311" s="2" t="n"/>
      <c r="M311" s="2" t="n"/>
      <c r="N311" s="2" t="n"/>
      <c r="O311" s="2" t="n"/>
    </row>
    <row r="312">
      <c r="A312" s="2" t="n"/>
      <c r="B312" s="2" t="n"/>
      <c r="C312" s="2" t="n"/>
      <c r="D312" s="2" t="n"/>
      <c r="E312" s="2" t="n"/>
      <c r="F312" s="2" t="n"/>
      <c r="G312" s="2" t="n"/>
      <c r="H312" s="2" t="n"/>
      <c r="I312" s="2" t="n"/>
      <c r="J312" s="2" t="n"/>
      <c r="K312" s="2">
        <f>IF(COUNTA(G312:J312)&lt;4,"",ROUND(AVERAGE(G312:J312),1))</f>
        <v/>
      </c>
      <c r="L312" s="2" t="n"/>
      <c r="M312" s="2" t="n"/>
      <c r="N312" s="2" t="n"/>
      <c r="O312" s="2" t="n"/>
    </row>
    <row r="313">
      <c r="A313" s="2" t="n"/>
      <c r="B313" s="2" t="n"/>
      <c r="C313" s="2" t="n"/>
      <c r="D313" s="2" t="n"/>
      <c r="E313" s="2" t="n"/>
      <c r="F313" s="2" t="n"/>
      <c r="G313" s="2" t="n"/>
      <c r="H313" s="2" t="n"/>
      <c r="I313" s="2" t="n"/>
      <c r="J313" s="2" t="n"/>
      <c r="K313" s="2">
        <f>IF(COUNTA(G313:J313)&lt;4,"",ROUND(AVERAGE(G313:J313),1))</f>
        <v/>
      </c>
      <c r="L313" s="2" t="n"/>
      <c r="M313" s="2" t="n"/>
      <c r="N313" s="2" t="n"/>
      <c r="O313" s="2" t="n"/>
    </row>
    <row r="314">
      <c r="A314" s="2" t="n"/>
      <c r="B314" s="2" t="n"/>
      <c r="C314" s="2" t="n"/>
      <c r="D314" s="2" t="n"/>
      <c r="E314" s="2" t="n"/>
      <c r="F314" s="2" t="n"/>
      <c r="G314" s="2" t="n"/>
      <c r="H314" s="2" t="n"/>
      <c r="I314" s="2" t="n"/>
      <c r="J314" s="2" t="n"/>
      <c r="K314" s="2">
        <f>IF(COUNTA(G314:J314)&lt;4,"",ROUND(AVERAGE(G314:J314),1))</f>
        <v/>
      </c>
      <c r="L314" s="2" t="n"/>
      <c r="M314" s="2" t="n"/>
      <c r="N314" s="2" t="n"/>
      <c r="O314" s="2" t="n"/>
    </row>
    <row r="315">
      <c r="A315" s="2" t="n"/>
      <c r="B315" s="2" t="n"/>
      <c r="C315" s="2" t="n"/>
      <c r="D315" s="2" t="n"/>
      <c r="E315" s="2" t="n"/>
      <c r="F315" s="2" t="n"/>
      <c r="G315" s="2" t="n"/>
      <c r="H315" s="2" t="n"/>
      <c r="I315" s="2" t="n"/>
      <c r="J315" s="2" t="n"/>
      <c r="K315" s="2">
        <f>IF(COUNTA(G315:J315)&lt;4,"",ROUND(AVERAGE(G315:J315),1))</f>
        <v/>
      </c>
      <c r="L315" s="2" t="n"/>
      <c r="M315" s="2" t="n"/>
      <c r="N315" s="2" t="n"/>
      <c r="O315" s="2" t="n"/>
    </row>
    <row r="316">
      <c r="A316" s="2" t="n"/>
      <c r="B316" s="2" t="n"/>
      <c r="C316" s="2" t="n"/>
      <c r="D316" s="2" t="n"/>
      <c r="E316" s="2" t="n"/>
      <c r="F316" s="2" t="n"/>
      <c r="G316" s="2" t="n"/>
      <c r="H316" s="2" t="n"/>
      <c r="I316" s="2" t="n"/>
      <c r="J316" s="2" t="n"/>
      <c r="K316" s="2">
        <f>IF(COUNTA(G316:J316)&lt;4,"",ROUND(AVERAGE(G316:J316),1))</f>
        <v/>
      </c>
      <c r="L316" s="2" t="n"/>
      <c r="M316" s="2" t="n"/>
      <c r="N316" s="2" t="n"/>
      <c r="O316" s="2" t="n"/>
    </row>
    <row r="317">
      <c r="A317" s="2" t="n"/>
      <c r="B317" s="2" t="n"/>
      <c r="C317" s="2" t="n"/>
      <c r="D317" s="2" t="n"/>
      <c r="E317" s="2" t="n"/>
      <c r="F317" s="2" t="n"/>
      <c r="G317" s="2" t="n"/>
      <c r="H317" s="2" t="n"/>
      <c r="I317" s="2" t="n"/>
      <c r="J317" s="2" t="n"/>
      <c r="K317" s="2">
        <f>IF(COUNTA(G317:J317)&lt;4,"",ROUND(AVERAGE(G317:J317),1))</f>
        <v/>
      </c>
      <c r="L317" s="2" t="n"/>
      <c r="M317" s="2" t="n"/>
      <c r="N317" s="2" t="n"/>
      <c r="O317" s="2" t="n"/>
    </row>
    <row r="318">
      <c r="A318" s="2" t="n"/>
      <c r="B318" s="2" t="n"/>
      <c r="C318" s="2" t="n"/>
      <c r="D318" s="2" t="n"/>
      <c r="E318" s="2" t="n"/>
      <c r="F318" s="2" t="n"/>
      <c r="G318" s="2" t="n"/>
      <c r="H318" s="2" t="n"/>
      <c r="I318" s="2" t="n"/>
      <c r="J318" s="2" t="n"/>
      <c r="K318" s="2">
        <f>IF(COUNTA(G318:J318)&lt;4,"",ROUND(AVERAGE(G318:J318),1))</f>
        <v/>
      </c>
      <c r="L318" s="2" t="n"/>
      <c r="M318" s="2" t="n"/>
      <c r="N318" s="2" t="n"/>
      <c r="O318" s="2" t="n"/>
    </row>
    <row r="319">
      <c r="A319" s="2" t="n"/>
      <c r="B319" s="2" t="n"/>
      <c r="C319" s="2" t="n"/>
      <c r="D319" s="2" t="n"/>
      <c r="E319" s="2" t="n"/>
      <c r="F319" s="2" t="n"/>
      <c r="G319" s="2" t="n"/>
      <c r="H319" s="2" t="n"/>
      <c r="I319" s="2" t="n"/>
      <c r="J319" s="2" t="n"/>
      <c r="K319" s="2">
        <f>IF(COUNTA(G319:J319)&lt;4,"",ROUND(AVERAGE(G319:J319),1))</f>
        <v/>
      </c>
      <c r="L319" s="2" t="n"/>
      <c r="M319" s="2" t="n"/>
      <c r="N319" s="2" t="n"/>
      <c r="O319" s="2" t="n"/>
    </row>
    <row r="320">
      <c r="A320" s="2" t="n"/>
      <c r="B320" s="2" t="n"/>
      <c r="C320" s="2" t="n"/>
      <c r="D320" s="2" t="n"/>
      <c r="E320" s="2" t="n"/>
      <c r="F320" s="2" t="n"/>
      <c r="G320" s="2" t="n"/>
      <c r="H320" s="2" t="n"/>
      <c r="I320" s="2" t="n"/>
      <c r="J320" s="2" t="n"/>
      <c r="K320" s="2">
        <f>IF(COUNTA(G320:J320)&lt;4,"",ROUND(AVERAGE(G320:J320),1))</f>
        <v/>
      </c>
      <c r="L320" s="2" t="n"/>
      <c r="M320" s="2" t="n"/>
      <c r="N320" s="2" t="n"/>
      <c r="O320" s="2" t="n"/>
    </row>
    <row r="321">
      <c r="A321" s="2" t="n"/>
      <c r="B321" s="2" t="n"/>
      <c r="C321" s="2" t="n"/>
      <c r="D321" s="2" t="n"/>
      <c r="E321" s="2" t="n"/>
      <c r="F321" s="2" t="n"/>
      <c r="G321" s="2" t="n"/>
      <c r="H321" s="2" t="n"/>
      <c r="I321" s="2" t="n"/>
      <c r="J321" s="2" t="n"/>
      <c r="K321" s="2">
        <f>IF(COUNTA(G321:J321)&lt;4,"",ROUND(AVERAGE(G321:J321),1))</f>
        <v/>
      </c>
      <c r="L321" s="2" t="n"/>
      <c r="M321" s="2" t="n"/>
      <c r="N321" s="2" t="n"/>
      <c r="O321" s="2" t="n"/>
    </row>
    <row r="322">
      <c r="A322" s="2" t="n"/>
      <c r="B322" s="2" t="n"/>
      <c r="C322" s="2" t="n"/>
      <c r="D322" s="2" t="n"/>
      <c r="E322" s="2" t="n"/>
      <c r="F322" s="2" t="n"/>
      <c r="G322" s="2" t="n"/>
      <c r="H322" s="2" t="n"/>
      <c r="I322" s="2" t="n"/>
      <c r="J322" s="2" t="n"/>
      <c r="K322" s="2">
        <f>IF(COUNTA(G322:J322)&lt;4,"",ROUND(AVERAGE(G322:J322),1))</f>
        <v/>
      </c>
      <c r="L322" s="2" t="n"/>
      <c r="M322" s="2" t="n"/>
      <c r="N322" s="2" t="n"/>
      <c r="O322" s="2" t="n"/>
    </row>
    <row r="323">
      <c r="A323" s="2" t="n"/>
      <c r="B323" s="2" t="n"/>
      <c r="C323" s="2" t="n"/>
      <c r="D323" s="2" t="n"/>
      <c r="E323" s="2" t="n"/>
      <c r="F323" s="2" t="n"/>
      <c r="G323" s="2" t="n"/>
      <c r="H323" s="2" t="n"/>
      <c r="I323" s="2" t="n"/>
      <c r="J323" s="2" t="n"/>
      <c r="K323" s="2">
        <f>IF(COUNTA(G323:J323)&lt;4,"",ROUND(AVERAGE(G323:J323),1))</f>
        <v/>
      </c>
      <c r="L323" s="2" t="n"/>
      <c r="M323" s="2" t="n"/>
      <c r="N323" s="2" t="n"/>
      <c r="O323" s="2" t="n"/>
    </row>
    <row r="324">
      <c r="A324" s="2" t="n"/>
      <c r="B324" s="2" t="n"/>
      <c r="C324" s="2" t="n"/>
      <c r="D324" s="2" t="n"/>
      <c r="E324" s="2" t="n"/>
      <c r="F324" s="2" t="n"/>
      <c r="G324" s="2" t="n"/>
      <c r="H324" s="2" t="n"/>
      <c r="I324" s="2" t="n"/>
      <c r="J324" s="2" t="n"/>
      <c r="K324" s="2">
        <f>IF(COUNTA(G324:J324)&lt;4,"",ROUND(AVERAGE(G324:J324),1))</f>
        <v/>
      </c>
      <c r="L324" s="2" t="n"/>
      <c r="M324" s="2" t="n"/>
      <c r="N324" s="2" t="n"/>
      <c r="O324" s="2" t="n"/>
    </row>
    <row r="325">
      <c r="A325" s="2" t="n"/>
      <c r="B325" s="2" t="n"/>
      <c r="C325" s="2" t="n"/>
      <c r="D325" s="2" t="n"/>
      <c r="E325" s="2" t="n"/>
      <c r="F325" s="2" t="n"/>
      <c r="G325" s="2" t="n"/>
      <c r="H325" s="2" t="n"/>
      <c r="I325" s="2" t="n"/>
      <c r="J325" s="2" t="n"/>
      <c r="K325" s="2">
        <f>IF(COUNTA(G325:J325)&lt;4,"",ROUND(AVERAGE(G325:J325),1))</f>
        <v/>
      </c>
      <c r="L325" s="2" t="n"/>
      <c r="M325" s="2" t="n"/>
      <c r="N325" s="2" t="n"/>
      <c r="O325" s="2" t="n"/>
    </row>
    <row r="326">
      <c r="A326" s="2" t="n"/>
      <c r="B326" s="2" t="n"/>
      <c r="C326" s="2" t="n"/>
      <c r="D326" s="2" t="n"/>
      <c r="E326" s="2" t="n"/>
      <c r="F326" s="2" t="n"/>
      <c r="G326" s="2" t="n"/>
      <c r="H326" s="2" t="n"/>
      <c r="I326" s="2" t="n"/>
      <c r="J326" s="2" t="n"/>
      <c r="K326" s="2">
        <f>IF(COUNTA(G326:J326)&lt;4,"",ROUND(AVERAGE(G326:J326),1))</f>
        <v/>
      </c>
      <c r="L326" s="2" t="n"/>
      <c r="M326" s="2" t="n"/>
      <c r="N326" s="2" t="n"/>
      <c r="O326" s="2" t="n"/>
    </row>
    <row r="327">
      <c r="A327" s="2" t="n"/>
      <c r="B327" s="2" t="n"/>
      <c r="C327" s="2" t="n"/>
      <c r="D327" s="2" t="n"/>
      <c r="E327" s="2" t="n"/>
      <c r="F327" s="2" t="n"/>
      <c r="G327" s="2" t="n"/>
      <c r="H327" s="2" t="n"/>
      <c r="I327" s="2" t="n"/>
      <c r="J327" s="2" t="n"/>
      <c r="K327" s="2">
        <f>IF(COUNTA(G327:J327)&lt;4,"",ROUND(AVERAGE(G327:J327),1))</f>
        <v/>
      </c>
      <c r="L327" s="2" t="n"/>
      <c r="M327" s="2" t="n"/>
      <c r="N327" s="2" t="n"/>
      <c r="O327" s="2" t="n"/>
    </row>
    <row r="328">
      <c r="A328" s="2" t="n"/>
      <c r="B328" s="2" t="n"/>
      <c r="C328" s="2" t="n"/>
      <c r="D328" s="2" t="n"/>
      <c r="E328" s="2" t="n"/>
      <c r="F328" s="2" t="n"/>
      <c r="G328" s="2" t="n"/>
      <c r="H328" s="2" t="n"/>
      <c r="I328" s="2" t="n"/>
      <c r="J328" s="2" t="n"/>
      <c r="K328" s="2">
        <f>IF(COUNTA(G328:J328)&lt;4,"",ROUND(AVERAGE(G328:J328),1))</f>
        <v/>
      </c>
      <c r="L328" s="2" t="n"/>
      <c r="M328" s="2" t="n"/>
      <c r="N328" s="2" t="n"/>
      <c r="O328" s="2" t="n"/>
    </row>
    <row r="329">
      <c r="A329" s="2" t="n"/>
      <c r="B329" s="2" t="n"/>
      <c r="C329" s="2" t="n"/>
      <c r="D329" s="2" t="n"/>
      <c r="E329" s="2" t="n"/>
      <c r="F329" s="2" t="n"/>
      <c r="G329" s="2" t="n"/>
      <c r="H329" s="2" t="n"/>
      <c r="I329" s="2" t="n"/>
      <c r="J329" s="2" t="n"/>
      <c r="K329" s="2">
        <f>IF(COUNTA(G329:J329)&lt;4,"",ROUND(AVERAGE(G329:J329),1))</f>
        <v/>
      </c>
      <c r="L329" s="2" t="n"/>
      <c r="M329" s="2" t="n"/>
      <c r="N329" s="2" t="n"/>
      <c r="O329" s="2" t="n"/>
    </row>
    <row r="330">
      <c r="A330" s="2" t="n"/>
      <c r="B330" s="2" t="n"/>
      <c r="C330" s="2" t="n"/>
      <c r="D330" s="2" t="n"/>
      <c r="E330" s="2" t="n"/>
      <c r="F330" s="2" t="n"/>
      <c r="G330" s="2" t="n"/>
      <c r="H330" s="2" t="n"/>
      <c r="I330" s="2" t="n"/>
      <c r="J330" s="2" t="n"/>
      <c r="K330" s="2">
        <f>IF(COUNTA(G330:J330)&lt;4,"",ROUND(AVERAGE(G330:J330),1))</f>
        <v/>
      </c>
      <c r="L330" s="2" t="n"/>
      <c r="M330" s="2" t="n"/>
      <c r="N330" s="2" t="n"/>
      <c r="O330" s="2" t="n"/>
    </row>
    <row r="331">
      <c r="A331" s="2" t="n"/>
      <c r="B331" s="2" t="n"/>
      <c r="C331" s="2" t="n"/>
      <c r="D331" s="2" t="n"/>
      <c r="E331" s="2" t="n"/>
      <c r="F331" s="2" t="n"/>
      <c r="G331" s="2" t="n"/>
      <c r="H331" s="2" t="n"/>
      <c r="I331" s="2" t="n"/>
      <c r="J331" s="2" t="n"/>
      <c r="K331" s="2">
        <f>IF(COUNTA(G331:J331)&lt;4,"",ROUND(AVERAGE(G331:J331),1))</f>
        <v/>
      </c>
      <c r="L331" s="2" t="n"/>
      <c r="M331" s="2" t="n"/>
      <c r="N331" s="2" t="n"/>
      <c r="O331" s="2" t="n"/>
    </row>
    <row r="332">
      <c r="A332" s="2" t="n"/>
      <c r="B332" s="2" t="n"/>
      <c r="C332" s="2" t="n"/>
      <c r="D332" s="2" t="n"/>
      <c r="E332" s="2" t="n"/>
      <c r="F332" s="2" t="n"/>
      <c r="G332" s="2" t="n"/>
      <c r="H332" s="2" t="n"/>
      <c r="I332" s="2" t="n"/>
      <c r="J332" s="2" t="n"/>
      <c r="K332" s="2">
        <f>IF(COUNTA(G332:J332)&lt;4,"",ROUND(AVERAGE(G332:J332),1))</f>
        <v/>
      </c>
      <c r="L332" s="2" t="n"/>
      <c r="M332" s="2" t="n"/>
      <c r="N332" s="2" t="n"/>
      <c r="O332" s="2" t="n"/>
    </row>
    <row r="333">
      <c r="A333" s="2" t="n"/>
      <c r="B333" s="2" t="n"/>
      <c r="C333" s="2" t="n"/>
      <c r="D333" s="2" t="n"/>
      <c r="E333" s="2" t="n"/>
      <c r="F333" s="2" t="n"/>
      <c r="G333" s="2" t="n"/>
      <c r="H333" s="2" t="n"/>
      <c r="I333" s="2" t="n"/>
      <c r="J333" s="2" t="n"/>
      <c r="K333" s="2">
        <f>IF(COUNTA(G333:J333)&lt;4,"",ROUND(AVERAGE(G333:J333),1))</f>
        <v/>
      </c>
      <c r="L333" s="2" t="n"/>
      <c r="M333" s="2" t="n"/>
      <c r="N333" s="2" t="n"/>
      <c r="O333" s="2" t="n"/>
    </row>
    <row r="334">
      <c r="A334" s="2" t="n"/>
      <c r="B334" s="2" t="n"/>
      <c r="C334" s="2" t="n"/>
      <c r="D334" s="2" t="n"/>
      <c r="E334" s="2" t="n"/>
      <c r="F334" s="2" t="n"/>
      <c r="G334" s="2" t="n"/>
      <c r="H334" s="2" t="n"/>
      <c r="I334" s="2" t="n"/>
      <c r="J334" s="2" t="n"/>
      <c r="K334" s="2">
        <f>IF(COUNTA(G334:J334)&lt;4,"",ROUND(AVERAGE(G334:J334),1))</f>
        <v/>
      </c>
      <c r="L334" s="2" t="n"/>
      <c r="M334" s="2" t="n"/>
      <c r="N334" s="2" t="n"/>
      <c r="O334" s="2" t="n"/>
    </row>
    <row r="335">
      <c r="A335" s="2" t="n"/>
      <c r="B335" s="2" t="n"/>
      <c r="C335" s="2" t="n"/>
      <c r="D335" s="2" t="n"/>
      <c r="E335" s="2" t="n"/>
      <c r="F335" s="2" t="n"/>
      <c r="G335" s="2" t="n"/>
      <c r="H335" s="2" t="n"/>
      <c r="I335" s="2" t="n"/>
      <c r="J335" s="2" t="n"/>
      <c r="K335" s="2">
        <f>IF(COUNTA(G335:J335)&lt;4,"",ROUND(AVERAGE(G335:J335),1))</f>
        <v/>
      </c>
      <c r="L335" s="2" t="n"/>
      <c r="M335" s="2" t="n"/>
      <c r="N335" s="2" t="n"/>
      <c r="O335" s="2" t="n"/>
    </row>
    <row r="336">
      <c r="A336" s="2" t="n"/>
      <c r="B336" s="2" t="n"/>
      <c r="C336" s="2" t="n"/>
      <c r="D336" s="2" t="n"/>
      <c r="E336" s="2" t="n"/>
      <c r="F336" s="2" t="n"/>
      <c r="G336" s="2" t="n"/>
      <c r="H336" s="2" t="n"/>
      <c r="I336" s="2" t="n"/>
      <c r="J336" s="2" t="n"/>
      <c r="K336" s="2">
        <f>IF(COUNTA(G336:J336)&lt;4,"",ROUND(AVERAGE(G336:J336),1))</f>
        <v/>
      </c>
      <c r="L336" s="2" t="n"/>
      <c r="M336" s="2" t="n"/>
      <c r="N336" s="2" t="n"/>
      <c r="O336" s="2" t="n"/>
    </row>
    <row r="337">
      <c r="A337" s="2" t="n"/>
      <c r="B337" s="2" t="n"/>
      <c r="C337" s="2" t="n"/>
      <c r="D337" s="2" t="n"/>
      <c r="E337" s="2" t="n"/>
      <c r="F337" s="2" t="n"/>
      <c r="G337" s="2" t="n"/>
      <c r="H337" s="2" t="n"/>
      <c r="I337" s="2" t="n"/>
      <c r="J337" s="2" t="n"/>
      <c r="K337" s="2">
        <f>IF(COUNTA(G337:J337)&lt;4,"",ROUND(AVERAGE(G337:J337),1))</f>
        <v/>
      </c>
      <c r="L337" s="2" t="n"/>
      <c r="M337" s="2" t="n"/>
      <c r="N337" s="2" t="n"/>
      <c r="O337" s="2" t="n"/>
    </row>
    <row r="338">
      <c r="A338" s="2" t="n"/>
      <c r="B338" s="2" t="n"/>
      <c r="C338" s="2" t="n"/>
      <c r="D338" s="2" t="n"/>
      <c r="E338" s="2" t="n"/>
      <c r="F338" s="2" t="n"/>
      <c r="G338" s="2" t="n"/>
      <c r="H338" s="2" t="n"/>
      <c r="I338" s="2" t="n"/>
      <c r="J338" s="2" t="n"/>
      <c r="K338" s="2">
        <f>IF(COUNTA(G338:J338)&lt;4,"",ROUND(AVERAGE(G338:J338),1))</f>
        <v/>
      </c>
      <c r="L338" s="2" t="n"/>
      <c r="M338" s="2" t="n"/>
      <c r="N338" s="2" t="n"/>
      <c r="O338" s="2" t="n"/>
    </row>
    <row r="339">
      <c r="A339" s="2" t="n"/>
      <c r="B339" s="2" t="n"/>
      <c r="C339" s="2" t="n"/>
      <c r="D339" s="2" t="n"/>
      <c r="E339" s="2" t="n"/>
      <c r="F339" s="2" t="n"/>
      <c r="G339" s="2" t="n"/>
      <c r="H339" s="2" t="n"/>
      <c r="I339" s="2" t="n"/>
      <c r="J339" s="2" t="n"/>
      <c r="K339" s="2">
        <f>IF(COUNTA(G339:J339)&lt;4,"",ROUND(AVERAGE(G339:J339),1))</f>
        <v/>
      </c>
      <c r="L339" s="2" t="n"/>
      <c r="M339" s="2" t="n"/>
      <c r="N339" s="2" t="n"/>
      <c r="O339" s="2" t="n"/>
    </row>
    <row r="340">
      <c r="A340" s="2" t="n"/>
      <c r="B340" s="2" t="n"/>
      <c r="C340" s="2" t="n"/>
      <c r="D340" s="2" t="n"/>
      <c r="E340" s="2" t="n"/>
      <c r="F340" s="2" t="n"/>
      <c r="G340" s="2" t="n"/>
      <c r="H340" s="2" t="n"/>
      <c r="I340" s="2" t="n"/>
      <c r="J340" s="2" t="n"/>
      <c r="K340" s="2">
        <f>IF(COUNTA(G340:J340)&lt;4,"",ROUND(AVERAGE(G340:J340),1))</f>
        <v/>
      </c>
      <c r="L340" s="2" t="n"/>
      <c r="M340" s="2" t="n"/>
      <c r="N340" s="2" t="n"/>
      <c r="O340" s="2" t="n"/>
    </row>
    <row r="341">
      <c r="A341" s="2" t="n"/>
      <c r="B341" s="2" t="n"/>
      <c r="C341" s="2" t="n"/>
      <c r="D341" s="2" t="n"/>
      <c r="E341" s="2" t="n"/>
      <c r="F341" s="2" t="n"/>
      <c r="G341" s="2" t="n"/>
      <c r="H341" s="2" t="n"/>
      <c r="I341" s="2" t="n"/>
      <c r="J341" s="2" t="n"/>
      <c r="K341" s="2">
        <f>IF(COUNTA(G341:J341)&lt;4,"",ROUND(AVERAGE(G341:J341),1))</f>
        <v/>
      </c>
      <c r="L341" s="2" t="n"/>
      <c r="M341" s="2" t="n"/>
      <c r="N341" s="2" t="n"/>
      <c r="O341" s="2" t="n"/>
    </row>
    <row r="342">
      <c r="A342" s="2" t="n"/>
      <c r="B342" s="2" t="n"/>
      <c r="C342" s="2" t="n"/>
      <c r="D342" s="2" t="n"/>
      <c r="E342" s="2" t="n"/>
      <c r="F342" s="2" t="n"/>
      <c r="G342" s="2" t="n"/>
      <c r="H342" s="2" t="n"/>
      <c r="I342" s="2" t="n"/>
      <c r="J342" s="2" t="n"/>
      <c r="K342" s="2">
        <f>IF(COUNTA(G342:J342)&lt;4,"",ROUND(AVERAGE(G342:J342),1))</f>
        <v/>
      </c>
      <c r="L342" s="2" t="n"/>
      <c r="M342" s="2" t="n"/>
      <c r="N342" s="2" t="n"/>
      <c r="O342" s="2" t="n"/>
    </row>
    <row r="343">
      <c r="A343" s="2" t="n"/>
      <c r="B343" s="2" t="n"/>
      <c r="C343" s="2" t="n"/>
      <c r="D343" s="2" t="n"/>
      <c r="E343" s="2" t="n"/>
      <c r="F343" s="2" t="n"/>
      <c r="G343" s="2" t="n"/>
      <c r="H343" s="2" t="n"/>
      <c r="I343" s="2" t="n"/>
      <c r="J343" s="2" t="n"/>
      <c r="K343" s="2">
        <f>IF(COUNTA(G343:J343)&lt;4,"",ROUND(AVERAGE(G343:J343),1))</f>
        <v/>
      </c>
      <c r="L343" s="2" t="n"/>
      <c r="M343" s="2" t="n"/>
      <c r="N343" s="2" t="n"/>
      <c r="O343" s="2" t="n"/>
    </row>
    <row r="344">
      <c r="A344" s="2" t="n"/>
      <c r="B344" s="2" t="n"/>
      <c r="C344" s="2" t="n"/>
      <c r="D344" s="2" t="n"/>
      <c r="E344" s="2" t="n"/>
      <c r="F344" s="2" t="n"/>
      <c r="G344" s="2" t="n"/>
      <c r="H344" s="2" t="n"/>
      <c r="I344" s="2" t="n"/>
      <c r="J344" s="2" t="n"/>
      <c r="K344" s="2">
        <f>IF(COUNTA(G344:J344)&lt;4,"",ROUND(AVERAGE(G344:J344),1))</f>
        <v/>
      </c>
      <c r="L344" s="2" t="n"/>
      <c r="M344" s="2" t="n"/>
      <c r="N344" s="2" t="n"/>
      <c r="O344" s="2" t="n"/>
    </row>
    <row r="345">
      <c r="A345" s="2" t="n"/>
      <c r="B345" s="2" t="n"/>
      <c r="C345" s="2" t="n"/>
      <c r="D345" s="2" t="n"/>
      <c r="E345" s="2" t="n"/>
      <c r="F345" s="2" t="n"/>
      <c r="G345" s="2" t="n"/>
      <c r="H345" s="2" t="n"/>
      <c r="I345" s="2" t="n"/>
      <c r="J345" s="2" t="n"/>
      <c r="K345" s="2">
        <f>IF(COUNTA(G345:J345)&lt;4,"",ROUND(AVERAGE(G345:J345),1))</f>
        <v/>
      </c>
      <c r="L345" s="2" t="n"/>
      <c r="M345" s="2" t="n"/>
      <c r="N345" s="2" t="n"/>
      <c r="O345" s="2" t="n"/>
    </row>
    <row r="346">
      <c r="A346" s="2" t="n"/>
      <c r="B346" s="2" t="n"/>
      <c r="C346" s="2" t="n"/>
      <c r="D346" s="2" t="n"/>
      <c r="E346" s="2" t="n"/>
      <c r="F346" s="2" t="n"/>
      <c r="G346" s="2" t="n"/>
      <c r="H346" s="2" t="n"/>
      <c r="I346" s="2" t="n"/>
      <c r="J346" s="2" t="n"/>
      <c r="K346" s="2">
        <f>IF(COUNTA(G346:J346)&lt;4,"",ROUND(AVERAGE(G346:J346),1))</f>
        <v/>
      </c>
      <c r="L346" s="2" t="n"/>
      <c r="M346" s="2" t="n"/>
      <c r="N346" s="2" t="n"/>
      <c r="O346" s="2" t="n"/>
    </row>
    <row r="347">
      <c r="A347" s="2" t="n"/>
      <c r="B347" s="2" t="n"/>
      <c r="C347" s="2" t="n"/>
      <c r="D347" s="2" t="n"/>
      <c r="E347" s="2" t="n"/>
      <c r="F347" s="2" t="n"/>
      <c r="G347" s="2" t="n"/>
      <c r="H347" s="2" t="n"/>
      <c r="I347" s="2" t="n"/>
      <c r="J347" s="2" t="n"/>
      <c r="K347" s="2">
        <f>IF(COUNTA(G347:J347)&lt;4,"",ROUND(AVERAGE(G347:J347),1))</f>
        <v/>
      </c>
      <c r="L347" s="2" t="n"/>
      <c r="M347" s="2" t="n"/>
      <c r="N347" s="2" t="n"/>
      <c r="O347" s="2" t="n"/>
    </row>
    <row r="348">
      <c r="A348" s="2" t="n"/>
      <c r="B348" s="2" t="n"/>
      <c r="C348" s="2" t="n"/>
      <c r="D348" s="2" t="n"/>
      <c r="E348" s="2" t="n"/>
      <c r="F348" s="2" t="n"/>
      <c r="G348" s="2" t="n"/>
      <c r="H348" s="2" t="n"/>
      <c r="I348" s="2" t="n"/>
      <c r="J348" s="2" t="n"/>
      <c r="K348" s="2">
        <f>IF(COUNTA(G348:J348)&lt;4,"",ROUND(AVERAGE(G348:J348),1))</f>
        <v/>
      </c>
      <c r="L348" s="2" t="n"/>
      <c r="M348" s="2" t="n"/>
      <c r="N348" s="2" t="n"/>
      <c r="O348" s="2" t="n"/>
    </row>
    <row r="349">
      <c r="A349" s="2" t="n"/>
      <c r="B349" s="2" t="n"/>
      <c r="C349" s="2" t="n"/>
      <c r="D349" s="2" t="n"/>
      <c r="E349" s="2" t="n"/>
      <c r="F349" s="2" t="n"/>
      <c r="G349" s="2" t="n"/>
      <c r="H349" s="2" t="n"/>
      <c r="I349" s="2" t="n"/>
      <c r="J349" s="2" t="n"/>
      <c r="K349" s="2">
        <f>IF(COUNTA(G349:J349)&lt;4,"",ROUND(AVERAGE(G349:J349),1))</f>
        <v/>
      </c>
      <c r="L349" s="2" t="n"/>
      <c r="M349" s="2" t="n"/>
      <c r="N349" s="2" t="n"/>
      <c r="O349" s="2" t="n"/>
    </row>
    <row r="350">
      <c r="A350" s="2" t="n"/>
      <c r="B350" s="2" t="n"/>
      <c r="C350" s="2" t="n"/>
      <c r="D350" s="2" t="n"/>
      <c r="E350" s="2" t="n"/>
      <c r="F350" s="2" t="n"/>
      <c r="G350" s="2" t="n"/>
      <c r="H350" s="2" t="n"/>
      <c r="I350" s="2" t="n"/>
      <c r="J350" s="2" t="n"/>
      <c r="K350" s="2">
        <f>IF(COUNTA(G350:J350)&lt;4,"",ROUND(AVERAGE(G350:J350),1))</f>
        <v/>
      </c>
      <c r="L350" s="2" t="n"/>
      <c r="M350" s="2" t="n"/>
      <c r="N350" s="2" t="n"/>
      <c r="O350" s="2" t="n"/>
    </row>
    <row r="351">
      <c r="A351" s="2" t="n"/>
      <c r="B351" s="2" t="n"/>
      <c r="C351" s="2" t="n"/>
      <c r="D351" s="2" t="n"/>
      <c r="E351" s="2" t="n"/>
      <c r="F351" s="2" t="n"/>
      <c r="G351" s="2" t="n"/>
      <c r="H351" s="2" t="n"/>
      <c r="I351" s="2" t="n"/>
      <c r="J351" s="2" t="n"/>
      <c r="K351" s="2">
        <f>IF(COUNTA(G351:J351)&lt;4,"",ROUND(AVERAGE(G351:J351),1))</f>
        <v/>
      </c>
      <c r="L351" s="2" t="n"/>
      <c r="M351" s="2" t="n"/>
      <c r="N351" s="2" t="n"/>
      <c r="O351" s="2" t="n"/>
    </row>
    <row r="352">
      <c r="A352" s="2" t="n"/>
      <c r="B352" s="2" t="n"/>
      <c r="C352" s="2" t="n"/>
      <c r="D352" s="2" t="n"/>
      <c r="E352" s="2" t="n"/>
      <c r="F352" s="2" t="n"/>
      <c r="G352" s="2" t="n"/>
      <c r="H352" s="2" t="n"/>
      <c r="I352" s="2" t="n"/>
      <c r="J352" s="2" t="n"/>
      <c r="K352" s="2">
        <f>IF(COUNTA(G352:J352)&lt;4,"",ROUND(AVERAGE(G352:J352),1))</f>
        <v/>
      </c>
      <c r="L352" s="2" t="n"/>
      <c r="M352" s="2" t="n"/>
      <c r="N352" s="2" t="n"/>
      <c r="O352" s="2" t="n"/>
    </row>
    <row r="353">
      <c r="A353" s="2" t="n"/>
      <c r="B353" s="2" t="n"/>
      <c r="C353" s="2" t="n"/>
      <c r="D353" s="2" t="n"/>
      <c r="E353" s="2" t="n"/>
      <c r="F353" s="2" t="n"/>
      <c r="G353" s="2" t="n"/>
      <c r="H353" s="2" t="n"/>
      <c r="I353" s="2" t="n"/>
      <c r="J353" s="2" t="n"/>
      <c r="K353" s="2">
        <f>IF(COUNTA(G353:J353)&lt;4,"",ROUND(AVERAGE(G353:J353),1))</f>
        <v/>
      </c>
      <c r="L353" s="2" t="n"/>
      <c r="M353" s="2" t="n"/>
      <c r="N353" s="2" t="n"/>
      <c r="O353" s="2" t="n"/>
    </row>
    <row r="354">
      <c r="A354" s="2" t="n"/>
      <c r="B354" s="2" t="n"/>
      <c r="C354" s="2" t="n"/>
      <c r="D354" s="2" t="n"/>
      <c r="E354" s="2" t="n"/>
      <c r="F354" s="2" t="n"/>
      <c r="G354" s="2" t="n"/>
      <c r="H354" s="2" t="n"/>
      <c r="I354" s="2" t="n"/>
      <c r="J354" s="2" t="n"/>
      <c r="K354" s="2">
        <f>IF(COUNTA(G354:J354)&lt;4,"",ROUND(AVERAGE(G354:J354),1))</f>
        <v/>
      </c>
      <c r="L354" s="2" t="n"/>
      <c r="M354" s="2" t="n"/>
      <c r="N354" s="2" t="n"/>
      <c r="O354" s="2" t="n"/>
    </row>
    <row r="355">
      <c r="A355" s="2" t="n"/>
      <c r="B355" s="2" t="n"/>
      <c r="C355" s="2" t="n"/>
      <c r="D355" s="2" t="n"/>
      <c r="E355" s="2" t="n"/>
      <c r="F355" s="2" t="n"/>
      <c r="G355" s="2" t="n"/>
      <c r="H355" s="2" t="n"/>
      <c r="I355" s="2" t="n"/>
      <c r="J355" s="2" t="n"/>
      <c r="K355" s="2">
        <f>IF(COUNTA(G355:J355)&lt;4,"",ROUND(AVERAGE(G355:J355),1))</f>
        <v/>
      </c>
      <c r="L355" s="2" t="n"/>
      <c r="M355" s="2" t="n"/>
      <c r="N355" s="2" t="n"/>
      <c r="O355" s="2" t="n"/>
    </row>
    <row r="356">
      <c r="A356" s="2" t="n"/>
      <c r="B356" s="2" t="n"/>
      <c r="C356" s="2" t="n"/>
      <c r="D356" s="2" t="n"/>
      <c r="E356" s="2" t="n"/>
      <c r="F356" s="2" t="n"/>
      <c r="G356" s="2" t="n"/>
      <c r="H356" s="2" t="n"/>
      <c r="I356" s="2" t="n"/>
      <c r="J356" s="2" t="n"/>
      <c r="K356" s="2">
        <f>IF(COUNTA(G356:J356)&lt;4,"",ROUND(AVERAGE(G356:J356),1))</f>
        <v/>
      </c>
      <c r="L356" s="2" t="n"/>
      <c r="M356" s="2" t="n"/>
      <c r="N356" s="2" t="n"/>
      <c r="O356" s="2" t="n"/>
    </row>
    <row r="357">
      <c r="A357" s="2" t="n"/>
      <c r="B357" s="2" t="n"/>
      <c r="C357" s="2" t="n"/>
      <c r="D357" s="2" t="n"/>
      <c r="E357" s="2" t="n"/>
      <c r="F357" s="2" t="n"/>
      <c r="G357" s="2" t="n"/>
      <c r="H357" s="2" t="n"/>
      <c r="I357" s="2" t="n"/>
      <c r="J357" s="2" t="n"/>
      <c r="K357" s="2">
        <f>IF(COUNTA(G357:J357)&lt;4,"",ROUND(AVERAGE(G357:J357),1))</f>
        <v/>
      </c>
      <c r="L357" s="2" t="n"/>
      <c r="M357" s="2" t="n"/>
      <c r="N357" s="2" t="n"/>
      <c r="O357" s="2" t="n"/>
    </row>
    <row r="358">
      <c r="A358" s="2" t="n"/>
      <c r="B358" s="2" t="n"/>
      <c r="C358" s="2" t="n"/>
      <c r="D358" s="2" t="n"/>
      <c r="E358" s="2" t="n"/>
      <c r="F358" s="2" t="n"/>
      <c r="G358" s="2" t="n"/>
      <c r="H358" s="2" t="n"/>
      <c r="I358" s="2" t="n"/>
      <c r="J358" s="2" t="n"/>
      <c r="K358" s="2">
        <f>IF(COUNTA(G358:J358)&lt;4,"",ROUND(AVERAGE(G358:J358),1))</f>
        <v/>
      </c>
      <c r="L358" s="2" t="n"/>
      <c r="M358" s="2" t="n"/>
      <c r="N358" s="2" t="n"/>
      <c r="O358" s="2" t="n"/>
    </row>
    <row r="359">
      <c r="A359" s="2" t="n"/>
      <c r="B359" s="2" t="n"/>
      <c r="C359" s="2" t="n"/>
      <c r="D359" s="2" t="n"/>
      <c r="E359" s="2" t="n"/>
      <c r="F359" s="2" t="n"/>
      <c r="G359" s="2" t="n"/>
      <c r="H359" s="2" t="n"/>
      <c r="I359" s="2" t="n"/>
      <c r="J359" s="2" t="n"/>
      <c r="K359" s="2">
        <f>IF(COUNTA(G359:J359)&lt;4,"",ROUND(AVERAGE(G359:J359),1))</f>
        <v/>
      </c>
      <c r="L359" s="2" t="n"/>
      <c r="M359" s="2" t="n"/>
      <c r="N359" s="2" t="n"/>
      <c r="O359" s="2" t="n"/>
    </row>
    <row r="360">
      <c r="A360" s="2" t="n"/>
      <c r="B360" s="2" t="n"/>
      <c r="C360" s="2" t="n"/>
      <c r="D360" s="2" t="n"/>
      <c r="E360" s="2" t="n"/>
      <c r="F360" s="2" t="n"/>
      <c r="G360" s="2" t="n"/>
      <c r="H360" s="2" t="n"/>
      <c r="I360" s="2" t="n"/>
      <c r="J360" s="2" t="n"/>
      <c r="K360" s="2">
        <f>IF(COUNTA(G360:J360)&lt;4,"",ROUND(AVERAGE(G360:J360),1))</f>
        <v/>
      </c>
      <c r="L360" s="2" t="n"/>
      <c r="M360" s="2" t="n"/>
      <c r="N360" s="2" t="n"/>
      <c r="O360" s="2" t="n"/>
    </row>
    <row r="361">
      <c r="A361" s="2" t="n"/>
      <c r="B361" s="2" t="n"/>
      <c r="C361" s="2" t="n"/>
      <c r="D361" s="2" t="n"/>
      <c r="E361" s="2" t="n"/>
      <c r="F361" s="2" t="n"/>
      <c r="G361" s="2" t="n"/>
      <c r="H361" s="2" t="n"/>
      <c r="I361" s="2" t="n"/>
      <c r="J361" s="2" t="n"/>
      <c r="K361" s="2">
        <f>IF(COUNTA(G361:J361)&lt;4,"",ROUND(AVERAGE(G361:J361),1))</f>
        <v/>
      </c>
      <c r="L361" s="2" t="n"/>
      <c r="M361" s="2" t="n"/>
      <c r="N361" s="2" t="n"/>
      <c r="O361" s="2" t="n"/>
    </row>
    <row r="362">
      <c r="A362" s="2" t="n"/>
      <c r="B362" s="2" t="n"/>
      <c r="C362" s="2" t="n"/>
      <c r="D362" s="2" t="n"/>
      <c r="E362" s="2" t="n"/>
      <c r="F362" s="2" t="n"/>
      <c r="G362" s="2" t="n"/>
      <c r="H362" s="2" t="n"/>
      <c r="I362" s="2" t="n"/>
      <c r="J362" s="2" t="n"/>
      <c r="K362" s="2">
        <f>IF(COUNTA(G362:J362)&lt;4,"",ROUND(AVERAGE(G362:J362),1))</f>
        <v/>
      </c>
      <c r="L362" s="2" t="n"/>
      <c r="M362" s="2" t="n"/>
      <c r="N362" s="2" t="n"/>
      <c r="O362" s="2" t="n"/>
    </row>
    <row r="363">
      <c r="A363" s="2" t="n"/>
      <c r="B363" s="2" t="n"/>
      <c r="C363" s="2" t="n"/>
      <c r="D363" s="2" t="n"/>
      <c r="E363" s="2" t="n"/>
      <c r="F363" s="2" t="n"/>
      <c r="G363" s="2" t="n"/>
      <c r="H363" s="2" t="n"/>
      <c r="I363" s="2" t="n"/>
      <c r="J363" s="2" t="n"/>
      <c r="K363" s="2">
        <f>IF(COUNTA(G363:J363)&lt;4,"",ROUND(AVERAGE(G363:J363),1))</f>
        <v/>
      </c>
      <c r="L363" s="2" t="n"/>
      <c r="M363" s="2" t="n"/>
      <c r="N363" s="2" t="n"/>
      <c r="O363" s="2" t="n"/>
    </row>
    <row r="364">
      <c r="A364" s="2" t="n"/>
      <c r="B364" s="2" t="n"/>
      <c r="C364" s="2" t="n"/>
      <c r="D364" s="2" t="n"/>
      <c r="E364" s="2" t="n"/>
      <c r="F364" s="2" t="n"/>
      <c r="G364" s="2" t="n"/>
      <c r="H364" s="2" t="n"/>
      <c r="I364" s="2" t="n"/>
      <c r="J364" s="2" t="n"/>
      <c r="K364" s="2">
        <f>IF(COUNTA(G364:J364)&lt;4,"",ROUND(AVERAGE(G364:J364),1))</f>
        <v/>
      </c>
      <c r="L364" s="2" t="n"/>
      <c r="M364" s="2" t="n"/>
      <c r="N364" s="2" t="n"/>
      <c r="O364" s="2" t="n"/>
    </row>
    <row r="365">
      <c r="A365" s="2" t="n"/>
      <c r="B365" s="2" t="n"/>
      <c r="C365" s="2" t="n"/>
      <c r="D365" s="2" t="n"/>
      <c r="E365" s="2" t="n"/>
      <c r="F365" s="2" t="n"/>
      <c r="G365" s="2" t="n"/>
      <c r="H365" s="2" t="n"/>
      <c r="I365" s="2" t="n"/>
      <c r="J365" s="2" t="n"/>
      <c r="K365" s="2">
        <f>IF(COUNTA(G365:J365)&lt;4,"",ROUND(AVERAGE(G365:J365),1))</f>
        <v/>
      </c>
      <c r="L365" s="2" t="n"/>
      <c r="M365" s="2" t="n"/>
      <c r="N365" s="2" t="n"/>
      <c r="O365" s="2" t="n"/>
    </row>
    <row r="366">
      <c r="A366" s="2" t="n"/>
      <c r="B366" s="2" t="n"/>
      <c r="C366" s="2" t="n"/>
      <c r="D366" s="2" t="n"/>
      <c r="E366" s="2" t="n"/>
      <c r="F366" s="2" t="n"/>
      <c r="G366" s="2" t="n"/>
      <c r="H366" s="2" t="n"/>
      <c r="I366" s="2" t="n"/>
      <c r="J366" s="2" t="n"/>
      <c r="K366" s="2">
        <f>IF(COUNTA(G366:J366)&lt;4,"",ROUND(AVERAGE(G366:J366),1))</f>
        <v/>
      </c>
      <c r="L366" s="2" t="n"/>
      <c r="M366" s="2" t="n"/>
      <c r="N366" s="2" t="n"/>
      <c r="O366" s="2" t="n"/>
    </row>
    <row r="367">
      <c r="A367" s="2" t="n"/>
      <c r="B367" s="2" t="n"/>
      <c r="C367" s="2" t="n"/>
      <c r="D367" s="2" t="n"/>
      <c r="E367" s="2" t="n"/>
      <c r="F367" s="2" t="n"/>
      <c r="G367" s="2" t="n"/>
      <c r="H367" s="2" t="n"/>
      <c r="I367" s="2" t="n"/>
      <c r="J367" s="2" t="n"/>
      <c r="K367" s="2">
        <f>IF(COUNTA(G367:J367)&lt;4,"",ROUND(AVERAGE(G367:J367),1))</f>
        <v/>
      </c>
      <c r="L367" s="2" t="n"/>
      <c r="M367" s="2" t="n"/>
      <c r="N367" s="2" t="n"/>
      <c r="O367" s="2" t="n"/>
    </row>
    <row r="368">
      <c r="A368" s="2" t="n"/>
      <c r="B368" s="2" t="n"/>
      <c r="C368" s="2" t="n"/>
      <c r="D368" s="2" t="n"/>
      <c r="E368" s="2" t="n"/>
      <c r="F368" s="2" t="n"/>
      <c r="G368" s="2" t="n"/>
      <c r="H368" s="2" t="n"/>
      <c r="I368" s="2" t="n"/>
      <c r="J368" s="2" t="n"/>
      <c r="K368" s="2">
        <f>IF(COUNTA(G368:J368)&lt;4,"",ROUND(AVERAGE(G368:J368),1))</f>
        <v/>
      </c>
      <c r="L368" s="2" t="n"/>
      <c r="M368" s="2" t="n"/>
      <c r="N368" s="2" t="n"/>
      <c r="O368" s="2" t="n"/>
    </row>
    <row r="369">
      <c r="A369" s="2" t="n"/>
      <c r="B369" s="2" t="n"/>
      <c r="C369" s="2" t="n"/>
      <c r="D369" s="2" t="n"/>
      <c r="E369" s="2" t="n"/>
      <c r="F369" s="2" t="n"/>
      <c r="G369" s="2" t="n"/>
      <c r="H369" s="2" t="n"/>
      <c r="I369" s="2" t="n"/>
      <c r="J369" s="2" t="n"/>
      <c r="K369" s="2">
        <f>IF(COUNTA(G369:J369)&lt;4,"",ROUND(AVERAGE(G369:J369),1))</f>
        <v/>
      </c>
      <c r="L369" s="2" t="n"/>
      <c r="M369" s="2" t="n"/>
      <c r="N369" s="2" t="n"/>
      <c r="O369" s="2" t="n"/>
    </row>
    <row r="370">
      <c r="A370" s="2" t="n"/>
      <c r="B370" s="2" t="n"/>
      <c r="C370" s="2" t="n"/>
      <c r="D370" s="2" t="n"/>
      <c r="E370" s="2" t="n"/>
      <c r="F370" s="2" t="n"/>
      <c r="G370" s="2" t="n"/>
      <c r="H370" s="2" t="n"/>
      <c r="I370" s="2" t="n"/>
      <c r="J370" s="2" t="n"/>
      <c r="K370" s="2">
        <f>IF(COUNTA(G370:J370)&lt;4,"",ROUND(AVERAGE(G370:J370),1))</f>
        <v/>
      </c>
      <c r="L370" s="2" t="n"/>
      <c r="M370" s="2" t="n"/>
      <c r="N370" s="2" t="n"/>
      <c r="O370" s="2" t="n"/>
    </row>
    <row r="371">
      <c r="A371" s="2" t="n"/>
      <c r="B371" s="2" t="n"/>
      <c r="C371" s="2" t="n"/>
      <c r="D371" s="2" t="n"/>
      <c r="E371" s="2" t="n"/>
      <c r="F371" s="2" t="n"/>
      <c r="G371" s="2" t="n"/>
      <c r="H371" s="2" t="n"/>
      <c r="I371" s="2" t="n"/>
      <c r="J371" s="2" t="n"/>
      <c r="K371" s="2">
        <f>IF(COUNTA(G371:J371)&lt;4,"",ROUND(AVERAGE(G371:J371),1))</f>
        <v/>
      </c>
      <c r="L371" s="2" t="n"/>
      <c r="M371" s="2" t="n"/>
      <c r="N371" s="2" t="n"/>
      <c r="O371" s="2" t="n"/>
    </row>
    <row r="372">
      <c r="A372" s="2" t="n"/>
      <c r="B372" s="2" t="n"/>
      <c r="C372" s="2" t="n"/>
      <c r="D372" s="2" t="n"/>
      <c r="E372" s="2" t="n"/>
      <c r="F372" s="2" t="n"/>
      <c r="G372" s="2" t="n"/>
      <c r="H372" s="2" t="n"/>
      <c r="I372" s="2" t="n"/>
      <c r="J372" s="2" t="n"/>
      <c r="K372" s="2">
        <f>IF(COUNTA(G372:J372)&lt;4,"",ROUND(AVERAGE(G372:J372),1))</f>
        <v/>
      </c>
      <c r="L372" s="2" t="n"/>
      <c r="M372" s="2" t="n"/>
      <c r="N372" s="2" t="n"/>
      <c r="O372" s="2" t="n"/>
    </row>
    <row r="373">
      <c r="A373" s="2" t="n"/>
      <c r="B373" s="2" t="n"/>
      <c r="C373" s="2" t="n"/>
      <c r="D373" s="2" t="n"/>
      <c r="E373" s="2" t="n"/>
      <c r="F373" s="2" t="n"/>
      <c r="G373" s="2" t="n"/>
      <c r="H373" s="2" t="n"/>
      <c r="I373" s="2" t="n"/>
      <c r="J373" s="2" t="n"/>
      <c r="K373" s="2">
        <f>IF(COUNTA(G373:J373)&lt;4,"",ROUND(AVERAGE(G373:J373),1))</f>
        <v/>
      </c>
      <c r="L373" s="2" t="n"/>
      <c r="M373" s="2" t="n"/>
      <c r="N373" s="2" t="n"/>
      <c r="O373" s="2" t="n"/>
    </row>
    <row r="374">
      <c r="A374" s="2" t="n"/>
      <c r="B374" s="2" t="n"/>
      <c r="C374" s="2" t="n"/>
      <c r="D374" s="2" t="n"/>
      <c r="E374" s="2" t="n"/>
      <c r="F374" s="2" t="n"/>
      <c r="G374" s="2" t="n"/>
      <c r="H374" s="2" t="n"/>
      <c r="I374" s="2" t="n"/>
      <c r="J374" s="2" t="n"/>
      <c r="K374" s="2">
        <f>IF(COUNTA(G374:J374)&lt;4,"",ROUND(AVERAGE(G374:J374),1))</f>
        <v/>
      </c>
      <c r="L374" s="2" t="n"/>
      <c r="M374" s="2" t="n"/>
      <c r="N374" s="2" t="n"/>
      <c r="O374" s="2" t="n"/>
    </row>
    <row r="375">
      <c r="A375" s="2" t="n"/>
      <c r="B375" s="2" t="n"/>
      <c r="C375" s="2" t="n"/>
      <c r="D375" s="2" t="n"/>
      <c r="E375" s="2" t="n"/>
      <c r="F375" s="2" t="n"/>
      <c r="G375" s="2" t="n"/>
      <c r="H375" s="2" t="n"/>
      <c r="I375" s="2" t="n"/>
      <c r="J375" s="2" t="n"/>
      <c r="K375" s="2">
        <f>IF(COUNTA(G375:J375)&lt;4,"",ROUND(AVERAGE(G375:J375),1))</f>
        <v/>
      </c>
      <c r="L375" s="2" t="n"/>
      <c r="M375" s="2" t="n"/>
      <c r="N375" s="2" t="n"/>
      <c r="O375" s="2" t="n"/>
    </row>
    <row r="376">
      <c r="A376" s="2" t="n"/>
      <c r="B376" s="2" t="n"/>
      <c r="C376" s="2" t="n"/>
      <c r="D376" s="2" t="n"/>
      <c r="E376" s="2" t="n"/>
      <c r="F376" s="2" t="n"/>
      <c r="G376" s="2" t="n"/>
      <c r="H376" s="2" t="n"/>
      <c r="I376" s="2" t="n"/>
      <c r="J376" s="2" t="n"/>
      <c r="K376" s="2">
        <f>IF(COUNTA(G376:J376)&lt;4,"",ROUND(AVERAGE(G376:J376),1))</f>
        <v/>
      </c>
      <c r="L376" s="2" t="n"/>
      <c r="M376" s="2" t="n"/>
      <c r="N376" s="2" t="n"/>
      <c r="O376" s="2" t="n"/>
    </row>
    <row r="377">
      <c r="A377" s="2" t="n"/>
      <c r="B377" s="2" t="n"/>
      <c r="C377" s="2" t="n"/>
      <c r="D377" s="2" t="n"/>
      <c r="E377" s="2" t="n"/>
      <c r="F377" s="2" t="n"/>
      <c r="G377" s="2" t="n"/>
      <c r="H377" s="2" t="n"/>
      <c r="I377" s="2" t="n"/>
      <c r="J377" s="2" t="n"/>
      <c r="K377" s="2">
        <f>IF(COUNTA(G377:J377)&lt;4,"",ROUND(AVERAGE(G377:J377),1))</f>
        <v/>
      </c>
      <c r="L377" s="2" t="n"/>
      <c r="M377" s="2" t="n"/>
      <c r="N377" s="2" t="n"/>
      <c r="O377" s="2" t="n"/>
    </row>
    <row r="378">
      <c r="A378" s="2" t="n"/>
      <c r="B378" s="2" t="n"/>
      <c r="C378" s="2" t="n"/>
      <c r="D378" s="2" t="n"/>
      <c r="E378" s="2" t="n"/>
      <c r="F378" s="2" t="n"/>
      <c r="G378" s="2" t="n"/>
      <c r="H378" s="2" t="n"/>
      <c r="I378" s="2" t="n"/>
      <c r="J378" s="2" t="n"/>
      <c r="K378" s="2">
        <f>IF(COUNTA(G378:J378)&lt;4,"",ROUND(AVERAGE(G378:J378),1))</f>
        <v/>
      </c>
      <c r="L378" s="2" t="n"/>
      <c r="M378" s="2" t="n"/>
      <c r="N378" s="2" t="n"/>
      <c r="O378" s="2" t="n"/>
    </row>
    <row r="379">
      <c r="A379" s="2" t="n"/>
      <c r="B379" s="2" t="n"/>
      <c r="C379" s="2" t="n"/>
      <c r="D379" s="2" t="n"/>
      <c r="E379" s="2" t="n"/>
      <c r="F379" s="2" t="n"/>
      <c r="G379" s="2" t="n"/>
      <c r="H379" s="2" t="n"/>
      <c r="I379" s="2" t="n"/>
      <c r="J379" s="2" t="n"/>
      <c r="K379" s="2">
        <f>IF(COUNTA(G379:J379)&lt;4,"",ROUND(AVERAGE(G379:J379),1))</f>
        <v/>
      </c>
      <c r="L379" s="2" t="n"/>
      <c r="M379" s="2" t="n"/>
      <c r="N379" s="2" t="n"/>
      <c r="O379" s="2" t="n"/>
    </row>
    <row r="380">
      <c r="A380" s="2" t="n"/>
      <c r="B380" s="2" t="n"/>
      <c r="C380" s="2" t="n"/>
      <c r="D380" s="2" t="n"/>
      <c r="E380" s="2" t="n"/>
      <c r="F380" s="2" t="n"/>
      <c r="G380" s="2" t="n"/>
      <c r="H380" s="2" t="n"/>
      <c r="I380" s="2" t="n"/>
      <c r="J380" s="2" t="n"/>
      <c r="K380" s="2">
        <f>IF(COUNTA(G380:J380)&lt;4,"",ROUND(AVERAGE(G380:J380),1))</f>
        <v/>
      </c>
      <c r="L380" s="2" t="n"/>
      <c r="M380" s="2" t="n"/>
      <c r="N380" s="2" t="n"/>
      <c r="O380" s="2" t="n"/>
    </row>
    <row r="381">
      <c r="A381" s="2" t="n"/>
      <c r="B381" s="2" t="n"/>
      <c r="C381" s="2" t="n"/>
      <c r="D381" s="2" t="n"/>
      <c r="E381" s="2" t="n"/>
      <c r="F381" s="2" t="n"/>
      <c r="G381" s="2" t="n"/>
      <c r="H381" s="2" t="n"/>
      <c r="I381" s="2" t="n"/>
      <c r="J381" s="2" t="n"/>
      <c r="K381" s="2">
        <f>IF(COUNTA(G381:J381)&lt;4,"",ROUND(AVERAGE(G381:J381),1))</f>
        <v/>
      </c>
      <c r="L381" s="2" t="n"/>
      <c r="M381" s="2" t="n"/>
      <c r="N381" s="2" t="n"/>
      <c r="O381" s="2" t="n"/>
    </row>
    <row r="382">
      <c r="A382" s="2" t="n"/>
      <c r="B382" s="2" t="n"/>
      <c r="C382" s="2" t="n"/>
      <c r="D382" s="2" t="n"/>
      <c r="E382" s="2" t="n"/>
      <c r="F382" s="2" t="n"/>
      <c r="G382" s="2" t="n"/>
      <c r="H382" s="2" t="n"/>
      <c r="I382" s="2" t="n"/>
      <c r="J382" s="2" t="n"/>
      <c r="K382" s="2">
        <f>IF(COUNTA(G382:J382)&lt;4,"",ROUND(AVERAGE(G382:J382),1))</f>
        <v/>
      </c>
      <c r="L382" s="2" t="n"/>
      <c r="M382" s="2" t="n"/>
      <c r="N382" s="2" t="n"/>
      <c r="O382" s="2" t="n"/>
    </row>
    <row r="383">
      <c r="A383" s="2" t="n"/>
      <c r="B383" s="2" t="n"/>
      <c r="C383" s="2" t="n"/>
      <c r="D383" s="2" t="n"/>
      <c r="E383" s="2" t="n"/>
      <c r="F383" s="2" t="n"/>
      <c r="G383" s="2" t="n"/>
      <c r="H383" s="2" t="n"/>
      <c r="I383" s="2" t="n"/>
      <c r="J383" s="2" t="n"/>
      <c r="K383" s="2">
        <f>IF(COUNTA(G383:J383)&lt;4,"",ROUND(AVERAGE(G383:J383),1))</f>
        <v/>
      </c>
      <c r="L383" s="2" t="n"/>
      <c r="M383" s="2" t="n"/>
      <c r="N383" s="2" t="n"/>
      <c r="O383" s="2" t="n"/>
    </row>
    <row r="384">
      <c r="A384" s="2" t="n"/>
      <c r="B384" s="2" t="n"/>
      <c r="C384" s="2" t="n"/>
      <c r="D384" s="2" t="n"/>
      <c r="E384" s="2" t="n"/>
      <c r="F384" s="2" t="n"/>
      <c r="G384" s="2" t="n"/>
      <c r="H384" s="2" t="n"/>
      <c r="I384" s="2" t="n"/>
      <c r="J384" s="2" t="n"/>
      <c r="K384" s="2">
        <f>IF(COUNTA(G384:J384)&lt;4,"",ROUND(AVERAGE(G384:J384),1))</f>
        <v/>
      </c>
      <c r="L384" s="2" t="n"/>
      <c r="M384" s="2" t="n"/>
      <c r="N384" s="2" t="n"/>
      <c r="O384" s="2" t="n"/>
    </row>
    <row r="385">
      <c r="A385" s="2" t="n"/>
      <c r="B385" s="2" t="n"/>
      <c r="C385" s="2" t="n"/>
      <c r="D385" s="2" t="n"/>
      <c r="E385" s="2" t="n"/>
      <c r="F385" s="2" t="n"/>
      <c r="G385" s="2" t="n"/>
      <c r="H385" s="2" t="n"/>
      <c r="I385" s="2" t="n"/>
      <c r="J385" s="2" t="n"/>
      <c r="K385" s="2">
        <f>IF(COUNTA(G385:J385)&lt;4,"",ROUND(AVERAGE(G385:J385),1))</f>
        <v/>
      </c>
      <c r="L385" s="2" t="n"/>
      <c r="M385" s="2" t="n"/>
      <c r="N385" s="2" t="n"/>
      <c r="O385" s="2" t="n"/>
    </row>
    <row r="386">
      <c r="A386" s="2" t="n"/>
      <c r="B386" s="2" t="n"/>
      <c r="C386" s="2" t="n"/>
      <c r="D386" s="2" t="n"/>
      <c r="E386" s="2" t="n"/>
      <c r="F386" s="2" t="n"/>
      <c r="G386" s="2" t="n"/>
      <c r="H386" s="2" t="n"/>
      <c r="I386" s="2" t="n"/>
      <c r="J386" s="2" t="n"/>
      <c r="K386" s="2">
        <f>IF(COUNTA(G386:J386)&lt;4,"",ROUND(AVERAGE(G386:J386),1))</f>
        <v/>
      </c>
      <c r="L386" s="2" t="n"/>
      <c r="M386" s="2" t="n"/>
      <c r="N386" s="2" t="n"/>
      <c r="O386" s="2" t="n"/>
    </row>
    <row r="387">
      <c r="A387" s="2" t="n"/>
      <c r="B387" s="2" t="n"/>
      <c r="C387" s="2" t="n"/>
      <c r="D387" s="2" t="n"/>
      <c r="E387" s="2" t="n"/>
      <c r="F387" s="2" t="n"/>
      <c r="G387" s="2" t="n"/>
      <c r="H387" s="2" t="n"/>
      <c r="I387" s="2" t="n"/>
      <c r="J387" s="2" t="n"/>
      <c r="K387" s="2">
        <f>IF(COUNTA(G387:J387)&lt;4,"",ROUND(AVERAGE(G387:J387),1))</f>
        <v/>
      </c>
      <c r="L387" s="2" t="n"/>
      <c r="M387" s="2" t="n"/>
      <c r="N387" s="2" t="n"/>
      <c r="O387" s="2" t="n"/>
    </row>
    <row r="388">
      <c r="A388" s="2" t="n"/>
      <c r="B388" s="2" t="n"/>
      <c r="C388" s="2" t="n"/>
      <c r="D388" s="2" t="n"/>
      <c r="E388" s="2" t="n"/>
      <c r="F388" s="2" t="n"/>
      <c r="G388" s="2" t="n"/>
      <c r="H388" s="2" t="n"/>
      <c r="I388" s="2" t="n"/>
      <c r="J388" s="2" t="n"/>
      <c r="K388" s="2">
        <f>IF(COUNTA(G388:J388)&lt;4,"",ROUND(AVERAGE(G388:J388),1))</f>
        <v/>
      </c>
      <c r="L388" s="2" t="n"/>
      <c r="M388" s="2" t="n"/>
      <c r="N388" s="2" t="n"/>
      <c r="O388" s="2" t="n"/>
    </row>
    <row r="389">
      <c r="A389" s="2" t="n"/>
      <c r="B389" s="2" t="n"/>
      <c r="C389" s="2" t="n"/>
      <c r="D389" s="2" t="n"/>
      <c r="E389" s="2" t="n"/>
      <c r="F389" s="2" t="n"/>
      <c r="G389" s="2" t="n"/>
      <c r="H389" s="2" t="n"/>
      <c r="I389" s="2" t="n"/>
      <c r="J389" s="2" t="n"/>
      <c r="K389" s="2">
        <f>IF(COUNTA(G389:J389)&lt;4,"",ROUND(AVERAGE(G389:J389),1))</f>
        <v/>
      </c>
      <c r="L389" s="2" t="n"/>
      <c r="M389" s="2" t="n"/>
      <c r="N389" s="2" t="n"/>
      <c r="O389" s="2" t="n"/>
    </row>
    <row r="390">
      <c r="A390" s="2" t="n"/>
      <c r="B390" s="2" t="n"/>
      <c r="C390" s="2" t="n"/>
      <c r="D390" s="2" t="n"/>
      <c r="E390" s="2" t="n"/>
      <c r="F390" s="2" t="n"/>
      <c r="G390" s="2" t="n"/>
      <c r="H390" s="2" t="n"/>
      <c r="I390" s="2" t="n"/>
      <c r="J390" s="2" t="n"/>
      <c r="K390" s="2">
        <f>IF(COUNTA(G390:J390)&lt;4,"",ROUND(AVERAGE(G390:J390),1))</f>
        <v/>
      </c>
      <c r="L390" s="2" t="n"/>
      <c r="M390" s="2" t="n"/>
      <c r="N390" s="2" t="n"/>
      <c r="O390" s="2" t="n"/>
    </row>
    <row r="391">
      <c r="A391" s="2" t="n"/>
      <c r="B391" s="2" t="n"/>
      <c r="C391" s="2" t="n"/>
      <c r="D391" s="2" t="n"/>
      <c r="E391" s="2" t="n"/>
      <c r="F391" s="2" t="n"/>
      <c r="G391" s="2" t="n"/>
      <c r="H391" s="2" t="n"/>
      <c r="I391" s="2" t="n"/>
      <c r="J391" s="2" t="n"/>
      <c r="K391" s="2">
        <f>IF(COUNTA(G391:J391)&lt;4,"",ROUND(AVERAGE(G391:J391),1))</f>
        <v/>
      </c>
      <c r="L391" s="2" t="n"/>
      <c r="M391" s="2" t="n"/>
      <c r="N391" s="2" t="n"/>
      <c r="O391" s="2" t="n"/>
    </row>
    <row r="392">
      <c r="A392" s="2" t="n"/>
      <c r="B392" s="2" t="n"/>
      <c r="C392" s="2" t="n"/>
      <c r="D392" s="2" t="n"/>
      <c r="E392" s="2" t="n"/>
      <c r="F392" s="2" t="n"/>
      <c r="G392" s="2" t="n"/>
      <c r="H392" s="2" t="n"/>
      <c r="I392" s="2" t="n"/>
      <c r="J392" s="2" t="n"/>
      <c r="K392" s="2">
        <f>IF(COUNTA(G392:J392)&lt;4,"",ROUND(AVERAGE(G392:J392),1))</f>
        <v/>
      </c>
      <c r="L392" s="2" t="n"/>
      <c r="M392" s="2" t="n"/>
      <c r="N392" s="2" t="n"/>
      <c r="O392" s="2" t="n"/>
    </row>
    <row r="393">
      <c r="A393" s="2" t="n"/>
      <c r="B393" s="2" t="n"/>
      <c r="C393" s="2" t="n"/>
      <c r="D393" s="2" t="n"/>
      <c r="E393" s="2" t="n"/>
      <c r="F393" s="2" t="n"/>
      <c r="G393" s="2" t="n"/>
      <c r="H393" s="2" t="n"/>
      <c r="I393" s="2" t="n"/>
      <c r="J393" s="2" t="n"/>
      <c r="K393" s="2">
        <f>IF(COUNTA(G393:J393)&lt;4,"",ROUND(AVERAGE(G393:J393),1))</f>
        <v/>
      </c>
      <c r="L393" s="2" t="n"/>
      <c r="M393" s="2" t="n"/>
      <c r="N393" s="2" t="n"/>
      <c r="O393" s="2" t="n"/>
    </row>
    <row r="394">
      <c r="A394" s="2" t="n"/>
      <c r="B394" s="2" t="n"/>
      <c r="C394" s="2" t="n"/>
      <c r="D394" s="2" t="n"/>
      <c r="E394" s="2" t="n"/>
      <c r="F394" s="2" t="n"/>
      <c r="G394" s="2" t="n"/>
      <c r="H394" s="2" t="n"/>
      <c r="I394" s="2" t="n"/>
      <c r="J394" s="2" t="n"/>
      <c r="K394" s="2">
        <f>IF(COUNTA(G394:J394)&lt;4,"",ROUND(AVERAGE(G394:J394),1))</f>
        <v/>
      </c>
      <c r="L394" s="2" t="n"/>
      <c r="M394" s="2" t="n"/>
      <c r="N394" s="2" t="n"/>
      <c r="O394" s="2" t="n"/>
    </row>
    <row r="395">
      <c r="A395" s="2" t="n"/>
      <c r="B395" s="2" t="n"/>
      <c r="C395" s="2" t="n"/>
      <c r="D395" s="2" t="n"/>
      <c r="E395" s="2" t="n"/>
      <c r="F395" s="2" t="n"/>
      <c r="G395" s="2" t="n"/>
      <c r="H395" s="2" t="n"/>
      <c r="I395" s="2" t="n"/>
      <c r="J395" s="2" t="n"/>
      <c r="K395" s="2">
        <f>IF(COUNTA(G395:J395)&lt;4,"",ROUND(AVERAGE(G395:J395),1))</f>
        <v/>
      </c>
      <c r="L395" s="2" t="n"/>
      <c r="M395" s="2" t="n"/>
      <c r="N395" s="2" t="n"/>
      <c r="O395" s="2" t="n"/>
    </row>
    <row r="396">
      <c r="A396" s="2" t="n"/>
      <c r="B396" s="2" t="n"/>
      <c r="C396" s="2" t="n"/>
      <c r="D396" s="2" t="n"/>
      <c r="E396" s="2" t="n"/>
      <c r="F396" s="2" t="n"/>
      <c r="G396" s="2" t="n"/>
      <c r="H396" s="2" t="n"/>
      <c r="I396" s="2" t="n"/>
      <c r="J396" s="2" t="n"/>
      <c r="K396" s="2">
        <f>IF(COUNTA(G396:J396)&lt;4,"",ROUND(AVERAGE(G396:J396),1))</f>
        <v/>
      </c>
      <c r="L396" s="2" t="n"/>
      <c r="M396" s="2" t="n"/>
      <c r="N396" s="2" t="n"/>
      <c r="O396" s="2" t="n"/>
    </row>
    <row r="397">
      <c r="A397" s="2" t="n"/>
      <c r="B397" s="2" t="n"/>
      <c r="C397" s="2" t="n"/>
      <c r="D397" s="2" t="n"/>
      <c r="E397" s="2" t="n"/>
      <c r="F397" s="2" t="n"/>
      <c r="G397" s="2" t="n"/>
      <c r="H397" s="2" t="n"/>
      <c r="I397" s="2" t="n"/>
      <c r="J397" s="2" t="n"/>
      <c r="K397" s="2">
        <f>IF(COUNTA(G397:J397)&lt;4,"",ROUND(AVERAGE(G397:J397),1))</f>
        <v/>
      </c>
      <c r="L397" s="2" t="n"/>
      <c r="M397" s="2" t="n"/>
      <c r="N397" s="2" t="n"/>
      <c r="O397" s="2" t="n"/>
    </row>
    <row r="398">
      <c r="A398" s="2" t="n"/>
      <c r="B398" s="2" t="n"/>
      <c r="C398" s="2" t="n"/>
      <c r="D398" s="2" t="n"/>
      <c r="E398" s="2" t="n"/>
      <c r="F398" s="2" t="n"/>
      <c r="G398" s="2" t="n"/>
      <c r="H398" s="2" t="n"/>
      <c r="I398" s="2" t="n"/>
      <c r="J398" s="2" t="n"/>
      <c r="K398" s="2">
        <f>IF(COUNTA(G398:J398)&lt;4,"",ROUND(AVERAGE(G398:J398),1))</f>
        <v/>
      </c>
      <c r="L398" s="2" t="n"/>
      <c r="M398" s="2" t="n"/>
      <c r="N398" s="2" t="n"/>
      <c r="O398" s="2" t="n"/>
    </row>
    <row r="399">
      <c r="A399" s="2" t="n"/>
      <c r="B399" s="2" t="n"/>
      <c r="C399" s="2" t="n"/>
      <c r="D399" s="2" t="n"/>
      <c r="E399" s="2" t="n"/>
      <c r="F399" s="2" t="n"/>
      <c r="G399" s="2" t="n"/>
      <c r="H399" s="2" t="n"/>
      <c r="I399" s="2" t="n"/>
      <c r="J399" s="2" t="n"/>
      <c r="K399" s="2">
        <f>IF(COUNTA(G399:J399)&lt;4,"",ROUND(AVERAGE(G399:J399),1))</f>
        <v/>
      </c>
      <c r="L399" s="2" t="n"/>
      <c r="M399" s="2" t="n"/>
      <c r="N399" s="2" t="n"/>
      <c r="O399" s="2" t="n"/>
    </row>
    <row r="400">
      <c r="A400" s="2" t="n"/>
      <c r="B400" s="2" t="n"/>
      <c r="C400" s="2" t="n"/>
      <c r="D400" s="2" t="n"/>
      <c r="E400" s="2" t="n"/>
      <c r="F400" s="2" t="n"/>
      <c r="G400" s="2" t="n"/>
      <c r="H400" s="2" t="n"/>
      <c r="I400" s="2" t="n"/>
      <c r="J400" s="2" t="n"/>
      <c r="K400" s="2">
        <f>IF(COUNTA(G400:J400)&lt;4,"",ROUND(AVERAGE(G400:J400),1))</f>
        <v/>
      </c>
      <c r="L400" s="2" t="n"/>
      <c r="M400" s="2" t="n"/>
      <c r="N400" s="2" t="n"/>
      <c r="O400" s="2" t="n"/>
    </row>
    <row r="401">
      <c r="A401" s="2" t="n"/>
      <c r="B401" s="2" t="n"/>
      <c r="C401" s="2" t="n"/>
      <c r="D401" s="2" t="n"/>
      <c r="E401" s="2" t="n"/>
      <c r="F401" s="2" t="n"/>
      <c r="G401" s="2" t="n"/>
      <c r="H401" s="2" t="n"/>
      <c r="I401" s="2" t="n"/>
      <c r="J401" s="2" t="n"/>
      <c r="K401" s="2">
        <f>IF(COUNTA(G401:J401)&lt;4,"",ROUND(AVERAGE(G401:J401),1))</f>
        <v/>
      </c>
      <c r="L401" s="2" t="n"/>
      <c r="M401" s="2" t="n"/>
      <c r="N401" s="2" t="n"/>
      <c r="O401" s="2" t="n"/>
    </row>
    <row r="402">
      <c r="A402" s="2" t="n"/>
      <c r="B402" s="2" t="n"/>
      <c r="C402" s="2" t="n"/>
      <c r="D402" s="2" t="n"/>
      <c r="E402" s="2" t="n"/>
      <c r="F402" s="2" t="n"/>
      <c r="G402" s="2" t="n"/>
      <c r="H402" s="2" t="n"/>
      <c r="I402" s="2" t="n"/>
      <c r="J402" s="2" t="n"/>
      <c r="K402" s="2">
        <f>IF(COUNTA(G402:J402)&lt;4,"",ROUND(AVERAGE(G402:J402),1))</f>
        <v/>
      </c>
      <c r="L402" s="2" t="n"/>
      <c r="M402" s="2" t="n"/>
      <c r="N402" s="2" t="n"/>
      <c r="O402" s="2" t="n"/>
    </row>
    <row r="403">
      <c r="A403" s="2" t="n"/>
      <c r="B403" s="2" t="n"/>
      <c r="C403" s="2" t="n"/>
      <c r="D403" s="2" t="n"/>
      <c r="E403" s="2" t="n"/>
      <c r="F403" s="2" t="n"/>
      <c r="G403" s="2" t="n"/>
      <c r="H403" s="2" t="n"/>
      <c r="I403" s="2" t="n"/>
      <c r="J403" s="2" t="n"/>
      <c r="K403" s="2">
        <f>IF(COUNTA(G403:J403)&lt;4,"",ROUND(AVERAGE(G403:J403),1))</f>
        <v/>
      </c>
      <c r="L403" s="2" t="n"/>
      <c r="M403" s="2" t="n"/>
      <c r="N403" s="2" t="n"/>
      <c r="O403" s="2" t="n"/>
    </row>
    <row r="404">
      <c r="A404" s="2" t="n"/>
      <c r="B404" s="2" t="n"/>
      <c r="C404" s="2" t="n"/>
      <c r="D404" s="2" t="n"/>
      <c r="E404" s="2" t="n"/>
      <c r="F404" s="2" t="n"/>
      <c r="G404" s="2" t="n"/>
      <c r="H404" s="2" t="n"/>
      <c r="I404" s="2" t="n"/>
      <c r="J404" s="2" t="n"/>
      <c r="K404" s="2">
        <f>IF(COUNTA(G404:J404)&lt;4,"",ROUND(AVERAGE(G404:J404),1))</f>
        <v/>
      </c>
      <c r="L404" s="2" t="n"/>
      <c r="M404" s="2" t="n"/>
      <c r="N404" s="2" t="n"/>
      <c r="O404" s="2" t="n"/>
    </row>
    <row r="405">
      <c r="A405" s="2" t="n"/>
      <c r="B405" s="2" t="n"/>
      <c r="C405" s="2" t="n"/>
      <c r="D405" s="2" t="n"/>
      <c r="E405" s="2" t="n"/>
      <c r="F405" s="2" t="n"/>
      <c r="G405" s="2" t="n"/>
      <c r="H405" s="2" t="n"/>
      <c r="I405" s="2" t="n"/>
      <c r="J405" s="2" t="n"/>
      <c r="K405" s="2">
        <f>IF(COUNTA(G405:J405)&lt;4,"",ROUND(AVERAGE(G405:J405),1))</f>
        <v/>
      </c>
      <c r="L405" s="2" t="n"/>
      <c r="M405" s="2" t="n"/>
      <c r="N405" s="2" t="n"/>
      <c r="O405" s="2" t="n"/>
    </row>
    <row r="406">
      <c r="A406" s="2" t="n"/>
      <c r="B406" s="2" t="n"/>
      <c r="C406" s="2" t="n"/>
      <c r="D406" s="2" t="n"/>
      <c r="E406" s="2" t="n"/>
      <c r="F406" s="2" t="n"/>
      <c r="G406" s="2" t="n"/>
      <c r="H406" s="2" t="n"/>
      <c r="I406" s="2" t="n"/>
      <c r="J406" s="2" t="n"/>
      <c r="K406" s="2">
        <f>IF(COUNTA(G406:J406)&lt;4,"",ROUND(AVERAGE(G406:J406),1))</f>
        <v/>
      </c>
      <c r="L406" s="2" t="n"/>
      <c r="M406" s="2" t="n"/>
      <c r="N406" s="2" t="n"/>
      <c r="O406" s="2" t="n"/>
    </row>
    <row r="407">
      <c r="A407" s="2" t="n"/>
      <c r="B407" s="2" t="n"/>
      <c r="C407" s="2" t="n"/>
      <c r="D407" s="2" t="n"/>
      <c r="E407" s="2" t="n"/>
      <c r="F407" s="2" t="n"/>
      <c r="G407" s="2" t="n"/>
      <c r="H407" s="2" t="n"/>
      <c r="I407" s="2" t="n"/>
      <c r="J407" s="2" t="n"/>
      <c r="K407" s="2">
        <f>IF(COUNTA(G407:J407)&lt;4,"",ROUND(AVERAGE(G407:J407),1))</f>
        <v/>
      </c>
      <c r="L407" s="2" t="n"/>
      <c r="M407" s="2" t="n"/>
      <c r="N407" s="2" t="n"/>
      <c r="O407" s="2" t="n"/>
    </row>
    <row r="408">
      <c r="A408" s="2" t="n"/>
      <c r="B408" s="2" t="n"/>
      <c r="C408" s="2" t="n"/>
      <c r="D408" s="2" t="n"/>
      <c r="E408" s="2" t="n"/>
      <c r="F408" s="2" t="n"/>
      <c r="G408" s="2" t="n"/>
      <c r="H408" s="2" t="n"/>
      <c r="I408" s="2" t="n"/>
      <c r="J408" s="2" t="n"/>
      <c r="K408" s="2">
        <f>IF(COUNTA(G408:J408)&lt;4,"",ROUND(AVERAGE(G408:J408),1))</f>
        <v/>
      </c>
      <c r="L408" s="2" t="n"/>
      <c r="M408" s="2" t="n"/>
      <c r="N408" s="2" t="n"/>
      <c r="O408" s="2" t="n"/>
    </row>
    <row r="409">
      <c r="A409" s="2" t="n"/>
      <c r="B409" s="2" t="n"/>
      <c r="C409" s="2" t="n"/>
      <c r="D409" s="2" t="n"/>
      <c r="E409" s="2" t="n"/>
      <c r="F409" s="2" t="n"/>
      <c r="G409" s="2" t="n"/>
      <c r="H409" s="2" t="n"/>
      <c r="I409" s="2" t="n"/>
      <c r="J409" s="2" t="n"/>
      <c r="K409" s="2">
        <f>IF(COUNTA(G409:J409)&lt;4,"",ROUND(AVERAGE(G409:J409),1))</f>
        <v/>
      </c>
      <c r="L409" s="2" t="n"/>
      <c r="M409" s="2" t="n"/>
      <c r="N409" s="2" t="n"/>
      <c r="O409" s="2" t="n"/>
    </row>
    <row r="410">
      <c r="A410" s="2" t="n"/>
      <c r="B410" s="2" t="n"/>
      <c r="C410" s="2" t="n"/>
      <c r="D410" s="2" t="n"/>
      <c r="E410" s="2" t="n"/>
      <c r="F410" s="2" t="n"/>
      <c r="G410" s="2" t="n"/>
      <c r="H410" s="2" t="n"/>
      <c r="I410" s="2" t="n"/>
      <c r="J410" s="2" t="n"/>
      <c r="K410" s="2">
        <f>IF(COUNTA(G410:J410)&lt;4,"",ROUND(AVERAGE(G410:J410),1))</f>
        <v/>
      </c>
      <c r="L410" s="2" t="n"/>
      <c r="M410" s="2" t="n"/>
      <c r="N410" s="2" t="n"/>
      <c r="O410" s="2" t="n"/>
    </row>
    <row r="411">
      <c r="A411" s="2" t="n"/>
      <c r="B411" s="2" t="n"/>
      <c r="C411" s="2" t="n"/>
      <c r="D411" s="2" t="n"/>
      <c r="E411" s="2" t="n"/>
      <c r="F411" s="2" t="n"/>
      <c r="G411" s="2" t="n"/>
      <c r="H411" s="2" t="n"/>
      <c r="I411" s="2" t="n"/>
      <c r="J411" s="2" t="n"/>
      <c r="K411" s="2">
        <f>IF(COUNTA(G411:J411)&lt;4,"",ROUND(AVERAGE(G411:J411),1))</f>
        <v/>
      </c>
      <c r="L411" s="2" t="n"/>
      <c r="M411" s="2" t="n"/>
      <c r="N411" s="2" t="n"/>
      <c r="O411" s="2" t="n"/>
    </row>
    <row r="412">
      <c r="A412" s="2" t="n"/>
      <c r="B412" s="2" t="n"/>
      <c r="C412" s="2" t="n"/>
      <c r="D412" s="2" t="n"/>
      <c r="E412" s="2" t="n"/>
      <c r="F412" s="2" t="n"/>
      <c r="G412" s="2" t="n"/>
      <c r="H412" s="2" t="n"/>
      <c r="I412" s="2" t="n"/>
      <c r="J412" s="2" t="n"/>
      <c r="K412" s="2">
        <f>IF(COUNTA(G412:J412)&lt;4,"",ROUND(AVERAGE(G412:J412),1))</f>
        <v/>
      </c>
      <c r="L412" s="2" t="n"/>
      <c r="M412" s="2" t="n"/>
      <c r="N412" s="2" t="n"/>
      <c r="O412" s="2" t="n"/>
    </row>
    <row r="413">
      <c r="A413" s="2" t="n"/>
      <c r="B413" s="2" t="n"/>
      <c r="C413" s="2" t="n"/>
      <c r="D413" s="2" t="n"/>
      <c r="E413" s="2" t="n"/>
      <c r="F413" s="2" t="n"/>
      <c r="G413" s="2" t="n"/>
      <c r="H413" s="2" t="n"/>
      <c r="I413" s="2" t="n"/>
      <c r="J413" s="2" t="n"/>
      <c r="K413" s="2">
        <f>IF(COUNTA(G413:J413)&lt;4,"",ROUND(AVERAGE(G413:J413),1))</f>
        <v/>
      </c>
      <c r="L413" s="2" t="n"/>
      <c r="M413" s="2" t="n"/>
      <c r="N413" s="2" t="n"/>
      <c r="O413" s="2" t="n"/>
    </row>
    <row r="414">
      <c r="A414" s="2" t="n"/>
      <c r="B414" s="2" t="n"/>
      <c r="C414" s="2" t="n"/>
      <c r="D414" s="2" t="n"/>
      <c r="E414" s="2" t="n"/>
      <c r="F414" s="2" t="n"/>
      <c r="G414" s="2" t="n"/>
      <c r="H414" s="2" t="n"/>
      <c r="I414" s="2" t="n"/>
      <c r="J414" s="2" t="n"/>
      <c r="K414" s="2">
        <f>IF(COUNTA(G414:J414)&lt;4,"",ROUND(AVERAGE(G414:J414),1))</f>
        <v/>
      </c>
      <c r="L414" s="2" t="n"/>
      <c r="M414" s="2" t="n"/>
      <c r="N414" s="2" t="n"/>
      <c r="O414" s="2" t="n"/>
    </row>
    <row r="415">
      <c r="A415" s="2" t="n"/>
      <c r="B415" s="2" t="n"/>
      <c r="C415" s="2" t="n"/>
      <c r="D415" s="2" t="n"/>
      <c r="E415" s="2" t="n"/>
      <c r="F415" s="2" t="n"/>
      <c r="G415" s="2" t="n"/>
      <c r="H415" s="2" t="n"/>
      <c r="I415" s="2" t="n"/>
      <c r="J415" s="2" t="n"/>
      <c r="K415" s="2">
        <f>IF(COUNTA(G415:J415)&lt;4,"",ROUND(AVERAGE(G415:J415),1))</f>
        <v/>
      </c>
      <c r="L415" s="2" t="n"/>
      <c r="M415" s="2" t="n"/>
      <c r="N415" s="2" t="n"/>
      <c r="O415" s="2" t="n"/>
    </row>
    <row r="416">
      <c r="A416" s="2" t="n"/>
      <c r="B416" s="2" t="n"/>
      <c r="C416" s="2" t="n"/>
      <c r="D416" s="2" t="n"/>
      <c r="E416" s="2" t="n"/>
      <c r="F416" s="2" t="n"/>
      <c r="G416" s="2" t="n"/>
      <c r="H416" s="2" t="n"/>
      <c r="I416" s="2" t="n"/>
      <c r="J416" s="2" t="n"/>
      <c r="K416" s="2">
        <f>IF(COUNTA(G416:J416)&lt;4,"",ROUND(AVERAGE(G416:J416),1))</f>
        <v/>
      </c>
      <c r="L416" s="2" t="n"/>
      <c r="M416" s="2" t="n"/>
      <c r="N416" s="2" t="n"/>
      <c r="O416" s="2" t="n"/>
    </row>
    <row r="417">
      <c r="A417" s="2" t="n"/>
      <c r="B417" s="2" t="n"/>
      <c r="C417" s="2" t="n"/>
      <c r="D417" s="2" t="n"/>
      <c r="E417" s="2" t="n"/>
      <c r="F417" s="2" t="n"/>
      <c r="G417" s="2" t="n"/>
      <c r="H417" s="2" t="n"/>
      <c r="I417" s="2" t="n"/>
      <c r="J417" s="2" t="n"/>
      <c r="K417" s="2">
        <f>IF(COUNTA(G417:J417)&lt;4,"",ROUND(AVERAGE(G417:J417),1))</f>
        <v/>
      </c>
      <c r="L417" s="2" t="n"/>
      <c r="M417" s="2" t="n"/>
      <c r="N417" s="2" t="n"/>
      <c r="O417" s="2" t="n"/>
    </row>
    <row r="418">
      <c r="A418" s="2" t="n"/>
      <c r="B418" s="2" t="n"/>
      <c r="C418" s="2" t="n"/>
      <c r="D418" s="2" t="n"/>
      <c r="E418" s="2" t="n"/>
      <c r="F418" s="2" t="n"/>
      <c r="G418" s="2" t="n"/>
      <c r="H418" s="2" t="n"/>
      <c r="I418" s="2" t="n"/>
      <c r="J418" s="2" t="n"/>
      <c r="K418" s="2">
        <f>IF(COUNTA(G418:J418)&lt;4,"",ROUND(AVERAGE(G418:J418),1))</f>
        <v/>
      </c>
      <c r="L418" s="2" t="n"/>
      <c r="M418" s="2" t="n"/>
      <c r="N418" s="2" t="n"/>
      <c r="O418" s="2" t="n"/>
    </row>
    <row r="419">
      <c r="A419" s="2" t="n"/>
      <c r="B419" s="2" t="n"/>
      <c r="C419" s="2" t="n"/>
      <c r="D419" s="2" t="n"/>
      <c r="E419" s="2" t="n"/>
      <c r="F419" s="2" t="n"/>
      <c r="G419" s="2" t="n"/>
      <c r="H419" s="2" t="n"/>
      <c r="I419" s="2" t="n"/>
      <c r="J419" s="2" t="n"/>
      <c r="K419" s="2">
        <f>IF(COUNTA(G419:J419)&lt;4,"",ROUND(AVERAGE(G419:J419),1))</f>
        <v/>
      </c>
      <c r="L419" s="2" t="n"/>
      <c r="M419" s="2" t="n"/>
      <c r="N419" s="2" t="n"/>
      <c r="O419" s="2" t="n"/>
    </row>
    <row r="420">
      <c r="A420" s="2" t="n"/>
      <c r="B420" s="2" t="n"/>
      <c r="C420" s="2" t="n"/>
      <c r="D420" s="2" t="n"/>
      <c r="E420" s="2" t="n"/>
      <c r="F420" s="2" t="n"/>
      <c r="G420" s="2" t="n"/>
      <c r="H420" s="2" t="n"/>
      <c r="I420" s="2" t="n"/>
      <c r="J420" s="2" t="n"/>
      <c r="K420" s="2">
        <f>IF(COUNTA(G420:J420)&lt;4,"",ROUND(AVERAGE(G420:J420),1))</f>
        <v/>
      </c>
      <c r="L420" s="2" t="n"/>
      <c r="M420" s="2" t="n"/>
      <c r="N420" s="2" t="n"/>
      <c r="O420" s="2" t="n"/>
    </row>
    <row r="421">
      <c r="A421" s="2" t="n"/>
      <c r="B421" s="2" t="n"/>
      <c r="C421" s="2" t="n"/>
      <c r="D421" s="2" t="n"/>
      <c r="E421" s="2" t="n"/>
      <c r="F421" s="2" t="n"/>
      <c r="G421" s="2" t="n"/>
      <c r="H421" s="2" t="n"/>
      <c r="I421" s="2" t="n"/>
      <c r="J421" s="2" t="n"/>
      <c r="K421" s="2">
        <f>IF(COUNTA(G421:J421)&lt;4,"",ROUND(AVERAGE(G421:J421),1))</f>
        <v/>
      </c>
      <c r="L421" s="2" t="n"/>
      <c r="M421" s="2" t="n"/>
      <c r="N421" s="2" t="n"/>
      <c r="O421" s="2" t="n"/>
    </row>
    <row r="422">
      <c r="A422" s="2" t="n"/>
      <c r="B422" s="2" t="n"/>
      <c r="C422" s="2" t="n"/>
      <c r="D422" s="2" t="n"/>
      <c r="E422" s="2" t="n"/>
      <c r="F422" s="2" t="n"/>
      <c r="G422" s="2" t="n"/>
      <c r="H422" s="2" t="n"/>
      <c r="I422" s="2" t="n"/>
      <c r="J422" s="2" t="n"/>
      <c r="K422" s="2">
        <f>IF(COUNTA(G422:J422)&lt;4,"",ROUND(AVERAGE(G422:J422),1))</f>
        <v/>
      </c>
      <c r="L422" s="2" t="n"/>
      <c r="M422" s="2" t="n"/>
      <c r="N422" s="2" t="n"/>
      <c r="O422" s="2" t="n"/>
    </row>
    <row r="423">
      <c r="A423" s="2" t="n"/>
      <c r="B423" s="2" t="n"/>
      <c r="C423" s="2" t="n"/>
      <c r="D423" s="2" t="n"/>
      <c r="E423" s="2" t="n"/>
      <c r="F423" s="2" t="n"/>
      <c r="G423" s="2" t="n"/>
      <c r="H423" s="2" t="n"/>
      <c r="I423" s="2" t="n"/>
      <c r="J423" s="2" t="n"/>
      <c r="K423" s="2">
        <f>IF(COUNTA(G423:J423)&lt;4,"",ROUND(AVERAGE(G423:J423),1))</f>
        <v/>
      </c>
      <c r="L423" s="2" t="n"/>
      <c r="M423" s="2" t="n"/>
      <c r="N423" s="2" t="n"/>
      <c r="O423" s="2" t="n"/>
    </row>
    <row r="424">
      <c r="A424" s="2" t="n"/>
      <c r="B424" s="2" t="n"/>
      <c r="C424" s="2" t="n"/>
      <c r="D424" s="2" t="n"/>
      <c r="E424" s="2" t="n"/>
      <c r="F424" s="2" t="n"/>
      <c r="G424" s="2" t="n"/>
      <c r="H424" s="2" t="n"/>
      <c r="I424" s="2" t="n"/>
      <c r="J424" s="2" t="n"/>
      <c r="K424" s="2">
        <f>IF(COUNTA(G424:J424)&lt;4,"",ROUND(AVERAGE(G424:J424),1))</f>
        <v/>
      </c>
      <c r="L424" s="2" t="n"/>
      <c r="M424" s="2" t="n"/>
      <c r="N424" s="2" t="n"/>
      <c r="O424" s="2" t="n"/>
    </row>
    <row r="425">
      <c r="A425" s="2" t="n"/>
      <c r="B425" s="2" t="n"/>
      <c r="C425" s="2" t="n"/>
      <c r="D425" s="2" t="n"/>
      <c r="E425" s="2" t="n"/>
      <c r="F425" s="2" t="n"/>
      <c r="G425" s="2" t="n"/>
      <c r="H425" s="2" t="n"/>
      <c r="I425" s="2" t="n"/>
      <c r="J425" s="2" t="n"/>
      <c r="K425" s="2">
        <f>IF(COUNTA(G425:J425)&lt;4,"",ROUND(AVERAGE(G425:J425),1))</f>
        <v/>
      </c>
      <c r="L425" s="2" t="n"/>
      <c r="M425" s="2" t="n"/>
      <c r="N425" s="2" t="n"/>
      <c r="O425" s="2" t="n"/>
    </row>
    <row r="426">
      <c r="A426" s="2" t="n"/>
      <c r="B426" s="2" t="n"/>
      <c r="C426" s="2" t="n"/>
      <c r="D426" s="2" t="n"/>
      <c r="E426" s="2" t="n"/>
      <c r="F426" s="2" t="n"/>
      <c r="G426" s="2" t="n"/>
      <c r="H426" s="2" t="n"/>
      <c r="I426" s="2" t="n"/>
      <c r="J426" s="2" t="n"/>
      <c r="K426" s="2">
        <f>IF(COUNTA(G426:J426)&lt;4,"",ROUND(AVERAGE(G426:J426),1))</f>
        <v/>
      </c>
      <c r="L426" s="2" t="n"/>
      <c r="M426" s="2" t="n"/>
      <c r="N426" s="2" t="n"/>
      <c r="O426" s="2" t="n"/>
    </row>
    <row r="427">
      <c r="A427" s="2" t="n"/>
      <c r="B427" s="2" t="n"/>
      <c r="C427" s="2" t="n"/>
      <c r="D427" s="2" t="n"/>
      <c r="E427" s="2" t="n"/>
      <c r="F427" s="2" t="n"/>
      <c r="G427" s="2" t="n"/>
      <c r="H427" s="2" t="n"/>
      <c r="I427" s="2" t="n"/>
      <c r="J427" s="2" t="n"/>
      <c r="K427" s="2">
        <f>IF(COUNTA(G427:J427)&lt;4,"",ROUND(AVERAGE(G427:J427),1))</f>
        <v/>
      </c>
      <c r="L427" s="2" t="n"/>
      <c r="M427" s="2" t="n"/>
      <c r="N427" s="2" t="n"/>
      <c r="O427" s="2" t="n"/>
    </row>
    <row r="428">
      <c r="A428" s="2" t="n"/>
      <c r="B428" s="2" t="n"/>
      <c r="C428" s="2" t="n"/>
      <c r="D428" s="2" t="n"/>
      <c r="E428" s="2" t="n"/>
      <c r="F428" s="2" t="n"/>
      <c r="G428" s="2" t="n"/>
      <c r="H428" s="2" t="n"/>
      <c r="I428" s="2" t="n"/>
      <c r="J428" s="2" t="n"/>
      <c r="K428" s="2">
        <f>IF(COUNTA(G428:J428)&lt;4,"",ROUND(AVERAGE(G428:J428),1))</f>
        <v/>
      </c>
      <c r="L428" s="2" t="n"/>
      <c r="M428" s="2" t="n"/>
      <c r="N428" s="2" t="n"/>
      <c r="O428" s="2" t="n"/>
    </row>
    <row r="429">
      <c r="A429" s="2" t="n"/>
      <c r="B429" s="2" t="n"/>
      <c r="C429" s="2" t="n"/>
      <c r="D429" s="2" t="n"/>
      <c r="E429" s="2" t="n"/>
      <c r="F429" s="2" t="n"/>
      <c r="G429" s="2" t="n"/>
      <c r="H429" s="2" t="n"/>
      <c r="I429" s="2" t="n"/>
      <c r="J429" s="2" t="n"/>
      <c r="K429" s="2">
        <f>IF(COUNTA(G429:J429)&lt;4,"",ROUND(AVERAGE(G429:J429),1))</f>
        <v/>
      </c>
      <c r="L429" s="2" t="n"/>
      <c r="M429" s="2" t="n"/>
      <c r="N429" s="2" t="n"/>
      <c r="O429" s="2" t="n"/>
    </row>
    <row r="430">
      <c r="A430" s="2" t="n"/>
      <c r="B430" s="2" t="n"/>
      <c r="C430" s="2" t="n"/>
      <c r="D430" s="2" t="n"/>
      <c r="E430" s="2" t="n"/>
      <c r="F430" s="2" t="n"/>
      <c r="G430" s="2" t="n"/>
      <c r="H430" s="2" t="n"/>
      <c r="I430" s="2" t="n"/>
      <c r="J430" s="2" t="n"/>
      <c r="K430" s="2">
        <f>IF(COUNTA(G430:J430)&lt;4,"",ROUND(AVERAGE(G430:J430),1))</f>
        <v/>
      </c>
      <c r="L430" s="2" t="n"/>
      <c r="M430" s="2" t="n"/>
      <c r="N430" s="2" t="n"/>
      <c r="O430" s="2" t="n"/>
    </row>
    <row r="431">
      <c r="A431" s="2" t="n"/>
      <c r="B431" s="2" t="n"/>
      <c r="C431" s="2" t="n"/>
      <c r="D431" s="2" t="n"/>
      <c r="E431" s="2" t="n"/>
      <c r="F431" s="2" t="n"/>
      <c r="G431" s="2" t="n"/>
      <c r="H431" s="2" t="n"/>
      <c r="I431" s="2" t="n"/>
      <c r="J431" s="2" t="n"/>
      <c r="K431" s="2">
        <f>IF(COUNTA(G431:J431)&lt;4,"",ROUND(AVERAGE(G431:J431),1))</f>
        <v/>
      </c>
      <c r="L431" s="2" t="n"/>
      <c r="M431" s="2" t="n"/>
      <c r="N431" s="2" t="n"/>
      <c r="O431" s="2" t="n"/>
    </row>
    <row r="432">
      <c r="A432" s="2" t="n"/>
      <c r="B432" s="2" t="n"/>
      <c r="C432" s="2" t="n"/>
      <c r="D432" s="2" t="n"/>
      <c r="E432" s="2" t="n"/>
      <c r="F432" s="2" t="n"/>
      <c r="G432" s="2" t="n"/>
      <c r="H432" s="2" t="n"/>
      <c r="I432" s="2" t="n"/>
      <c r="J432" s="2" t="n"/>
      <c r="K432" s="2">
        <f>IF(COUNTA(G432:J432)&lt;4,"",ROUND(AVERAGE(G432:J432),1))</f>
        <v/>
      </c>
      <c r="L432" s="2" t="n"/>
      <c r="M432" s="2" t="n"/>
      <c r="N432" s="2" t="n"/>
      <c r="O432" s="2" t="n"/>
    </row>
    <row r="433">
      <c r="A433" s="2" t="n"/>
      <c r="B433" s="2" t="n"/>
      <c r="C433" s="2" t="n"/>
      <c r="D433" s="2" t="n"/>
      <c r="E433" s="2" t="n"/>
      <c r="F433" s="2" t="n"/>
      <c r="G433" s="2" t="n"/>
      <c r="H433" s="2" t="n"/>
      <c r="I433" s="2" t="n"/>
      <c r="J433" s="2" t="n"/>
      <c r="K433" s="2">
        <f>IF(COUNTA(G433:J433)&lt;4,"",ROUND(AVERAGE(G433:J433),1))</f>
        <v/>
      </c>
      <c r="L433" s="2" t="n"/>
      <c r="M433" s="2" t="n"/>
      <c r="N433" s="2" t="n"/>
      <c r="O433" s="2" t="n"/>
    </row>
    <row r="434">
      <c r="A434" s="2" t="n"/>
      <c r="B434" s="2" t="n"/>
      <c r="C434" s="2" t="n"/>
      <c r="D434" s="2" t="n"/>
      <c r="E434" s="2" t="n"/>
      <c r="F434" s="2" t="n"/>
      <c r="G434" s="2" t="n"/>
      <c r="H434" s="2" t="n"/>
      <c r="I434" s="2" t="n"/>
      <c r="J434" s="2" t="n"/>
      <c r="K434" s="2">
        <f>IF(COUNTA(G434:J434)&lt;4,"",ROUND(AVERAGE(G434:J434),1))</f>
        <v/>
      </c>
      <c r="L434" s="2" t="n"/>
      <c r="M434" s="2" t="n"/>
      <c r="N434" s="2" t="n"/>
      <c r="O434" s="2" t="n"/>
    </row>
    <row r="435">
      <c r="A435" s="2" t="n"/>
      <c r="B435" s="2" t="n"/>
      <c r="C435" s="2" t="n"/>
      <c r="D435" s="2" t="n"/>
      <c r="E435" s="2" t="n"/>
      <c r="F435" s="2" t="n"/>
      <c r="G435" s="2" t="n"/>
      <c r="H435" s="2" t="n"/>
      <c r="I435" s="2" t="n"/>
      <c r="J435" s="2" t="n"/>
      <c r="K435" s="2">
        <f>IF(COUNTA(G435:J435)&lt;4,"",ROUND(AVERAGE(G435:J435),1))</f>
        <v/>
      </c>
      <c r="L435" s="2" t="n"/>
      <c r="M435" s="2" t="n"/>
      <c r="N435" s="2" t="n"/>
      <c r="O435" s="2" t="n"/>
    </row>
    <row r="436">
      <c r="A436" s="2" t="n"/>
      <c r="B436" s="2" t="n"/>
      <c r="C436" s="2" t="n"/>
      <c r="D436" s="2" t="n"/>
      <c r="E436" s="2" t="n"/>
      <c r="F436" s="2" t="n"/>
      <c r="G436" s="2" t="n"/>
      <c r="H436" s="2" t="n"/>
      <c r="I436" s="2" t="n"/>
      <c r="J436" s="2" t="n"/>
      <c r="K436" s="2">
        <f>IF(COUNTA(G436:J436)&lt;4,"",ROUND(AVERAGE(G436:J436),1))</f>
        <v/>
      </c>
      <c r="L436" s="2" t="n"/>
      <c r="M436" s="2" t="n"/>
      <c r="N436" s="2" t="n"/>
      <c r="O436" s="2" t="n"/>
    </row>
    <row r="437">
      <c r="A437" s="2" t="n"/>
      <c r="B437" s="2" t="n"/>
      <c r="C437" s="2" t="n"/>
      <c r="D437" s="2" t="n"/>
      <c r="E437" s="2" t="n"/>
      <c r="F437" s="2" t="n"/>
      <c r="G437" s="2" t="n"/>
      <c r="H437" s="2" t="n"/>
      <c r="I437" s="2" t="n"/>
      <c r="J437" s="2" t="n"/>
      <c r="K437" s="2">
        <f>IF(COUNTA(G437:J437)&lt;4,"",ROUND(AVERAGE(G437:J437),1))</f>
        <v/>
      </c>
      <c r="L437" s="2" t="n"/>
      <c r="M437" s="2" t="n"/>
      <c r="N437" s="2" t="n"/>
      <c r="O437" s="2" t="n"/>
    </row>
    <row r="438">
      <c r="A438" s="2" t="n"/>
      <c r="B438" s="2" t="n"/>
      <c r="C438" s="2" t="n"/>
      <c r="D438" s="2" t="n"/>
      <c r="E438" s="2" t="n"/>
      <c r="F438" s="2" t="n"/>
      <c r="G438" s="2" t="n"/>
      <c r="H438" s="2" t="n"/>
      <c r="I438" s="2" t="n"/>
      <c r="J438" s="2" t="n"/>
      <c r="K438" s="2">
        <f>IF(COUNTA(G438:J438)&lt;4,"",ROUND(AVERAGE(G438:J438),1))</f>
        <v/>
      </c>
      <c r="L438" s="2" t="n"/>
      <c r="M438" s="2" t="n"/>
      <c r="N438" s="2" t="n"/>
      <c r="O438" s="2" t="n"/>
    </row>
    <row r="439">
      <c r="A439" s="2" t="n"/>
      <c r="B439" s="2" t="n"/>
      <c r="C439" s="2" t="n"/>
      <c r="D439" s="2" t="n"/>
      <c r="E439" s="2" t="n"/>
      <c r="F439" s="2" t="n"/>
      <c r="G439" s="2" t="n"/>
      <c r="H439" s="2" t="n"/>
      <c r="I439" s="2" t="n"/>
      <c r="J439" s="2" t="n"/>
      <c r="K439" s="2">
        <f>IF(COUNTA(G439:J439)&lt;4,"",ROUND(AVERAGE(G439:J439),1))</f>
        <v/>
      </c>
      <c r="L439" s="2" t="n"/>
      <c r="M439" s="2" t="n"/>
      <c r="N439" s="2" t="n"/>
      <c r="O439" s="2" t="n"/>
    </row>
    <row r="440">
      <c r="A440" s="2" t="n"/>
      <c r="B440" s="2" t="n"/>
      <c r="C440" s="2" t="n"/>
      <c r="D440" s="2" t="n"/>
      <c r="E440" s="2" t="n"/>
      <c r="F440" s="2" t="n"/>
      <c r="G440" s="2" t="n"/>
      <c r="H440" s="2" t="n"/>
      <c r="I440" s="2" t="n"/>
      <c r="J440" s="2" t="n"/>
      <c r="K440" s="2">
        <f>IF(COUNTA(G440:J440)&lt;4,"",ROUND(AVERAGE(G440:J440),1))</f>
        <v/>
      </c>
      <c r="L440" s="2" t="n"/>
      <c r="M440" s="2" t="n"/>
      <c r="N440" s="2" t="n"/>
      <c r="O440" s="2" t="n"/>
    </row>
    <row r="441">
      <c r="A441" s="2" t="n"/>
      <c r="B441" s="2" t="n"/>
      <c r="C441" s="2" t="n"/>
      <c r="D441" s="2" t="n"/>
      <c r="E441" s="2" t="n"/>
      <c r="F441" s="2" t="n"/>
      <c r="G441" s="2" t="n"/>
      <c r="H441" s="2" t="n"/>
      <c r="I441" s="2" t="n"/>
      <c r="J441" s="2" t="n"/>
      <c r="K441" s="2">
        <f>IF(COUNTA(G441:J441)&lt;4,"",ROUND(AVERAGE(G441:J441),1))</f>
        <v/>
      </c>
      <c r="L441" s="2" t="n"/>
      <c r="M441" s="2" t="n"/>
      <c r="N441" s="2" t="n"/>
      <c r="O441" s="2" t="n"/>
    </row>
    <row r="442">
      <c r="A442" s="2" t="n"/>
      <c r="B442" s="2" t="n"/>
      <c r="C442" s="2" t="n"/>
      <c r="D442" s="2" t="n"/>
      <c r="E442" s="2" t="n"/>
      <c r="F442" s="2" t="n"/>
      <c r="G442" s="2" t="n"/>
      <c r="H442" s="2" t="n"/>
      <c r="I442" s="2" t="n"/>
      <c r="J442" s="2" t="n"/>
      <c r="K442" s="2">
        <f>IF(COUNTA(G442:J442)&lt;4,"",ROUND(AVERAGE(G442:J442),1))</f>
        <v/>
      </c>
      <c r="L442" s="2" t="n"/>
      <c r="M442" s="2" t="n"/>
      <c r="N442" s="2" t="n"/>
      <c r="O442" s="2" t="n"/>
    </row>
    <row r="443">
      <c r="A443" s="2" t="n"/>
      <c r="B443" s="2" t="n"/>
      <c r="C443" s="2" t="n"/>
      <c r="D443" s="2" t="n"/>
      <c r="E443" s="2" t="n"/>
      <c r="F443" s="2" t="n"/>
      <c r="G443" s="2" t="n"/>
      <c r="H443" s="2" t="n"/>
      <c r="I443" s="2" t="n"/>
      <c r="J443" s="2" t="n"/>
      <c r="K443" s="2">
        <f>IF(COUNTA(G443:J443)&lt;4,"",ROUND(AVERAGE(G443:J443),1))</f>
        <v/>
      </c>
      <c r="L443" s="2" t="n"/>
      <c r="M443" s="2" t="n"/>
      <c r="N443" s="2" t="n"/>
      <c r="O443" s="2" t="n"/>
    </row>
    <row r="444">
      <c r="A444" s="2" t="n"/>
      <c r="B444" s="2" t="n"/>
      <c r="C444" s="2" t="n"/>
      <c r="D444" s="2" t="n"/>
      <c r="E444" s="2" t="n"/>
      <c r="F444" s="2" t="n"/>
      <c r="G444" s="2" t="n"/>
      <c r="H444" s="2" t="n"/>
      <c r="I444" s="2" t="n"/>
      <c r="J444" s="2" t="n"/>
      <c r="K444" s="2">
        <f>IF(COUNTA(G444:J444)&lt;4,"",ROUND(AVERAGE(G444:J444),1))</f>
        <v/>
      </c>
      <c r="L444" s="2" t="n"/>
      <c r="M444" s="2" t="n"/>
      <c r="N444" s="2" t="n"/>
      <c r="O444" s="2" t="n"/>
    </row>
    <row r="445">
      <c r="A445" s="2" t="n"/>
      <c r="B445" s="2" t="n"/>
      <c r="C445" s="2" t="n"/>
      <c r="D445" s="2" t="n"/>
      <c r="E445" s="2" t="n"/>
      <c r="F445" s="2" t="n"/>
      <c r="G445" s="2" t="n"/>
      <c r="H445" s="2" t="n"/>
      <c r="I445" s="2" t="n"/>
      <c r="J445" s="2" t="n"/>
      <c r="K445" s="2">
        <f>IF(COUNTA(G445:J445)&lt;4,"",ROUND(AVERAGE(G445:J445),1))</f>
        <v/>
      </c>
      <c r="L445" s="2" t="n"/>
      <c r="M445" s="2" t="n"/>
      <c r="N445" s="2" t="n"/>
      <c r="O445" s="2" t="n"/>
    </row>
    <row r="446">
      <c r="A446" s="2" t="n"/>
      <c r="B446" s="2" t="n"/>
      <c r="C446" s="2" t="n"/>
      <c r="D446" s="2" t="n"/>
      <c r="E446" s="2" t="n"/>
      <c r="F446" s="2" t="n"/>
      <c r="G446" s="2" t="n"/>
      <c r="H446" s="2" t="n"/>
      <c r="I446" s="2" t="n"/>
      <c r="J446" s="2" t="n"/>
      <c r="K446" s="2">
        <f>IF(COUNTA(G446:J446)&lt;4,"",ROUND(AVERAGE(G446:J446),1))</f>
        <v/>
      </c>
      <c r="L446" s="2" t="n"/>
      <c r="M446" s="2" t="n"/>
      <c r="N446" s="2" t="n"/>
      <c r="O446" s="2" t="n"/>
    </row>
    <row r="447">
      <c r="A447" s="2" t="n"/>
      <c r="B447" s="2" t="n"/>
      <c r="C447" s="2" t="n"/>
      <c r="D447" s="2" t="n"/>
      <c r="E447" s="2" t="n"/>
      <c r="F447" s="2" t="n"/>
      <c r="G447" s="2" t="n"/>
      <c r="H447" s="2" t="n"/>
      <c r="I447" s="2" t="n"/>
      <c r="J447" s="2" t="n"/>
      <c r="K447" s="2">
        <f>IF(COUNTA(G447:J447)&lt;4,"",ROUND(AVERAGE(G447:J447),1))</f>
        <v/>
      </c>
      <c r="L447" s="2" t="n"/>
      <c r="M447" s="2" t="n"/>
      <c r="N447" s="2" t="n"/>
      <c r="O447" s="2" t="n"/>
    </row>
    <row r="448">
      <c r="A448" s="2" t="n"/>
      <c r="B448" s="2" t="n"/>
      <c r="C448" s="2" t="n"/>
      <c r="D448" s="2" t="n"/>
      <c r="E448" s="2" t="n"/>
      <c r="F448" s="2" t="n"/>
      <c r="G448" s="2" t="n"/>
      <c r="H448" s="2" t="n"/>
      <c r="I448" s="2" t="n"/>
      <c r="J448" s="2" t="n"/>
      <c r="K448" s="2">
        <f>IF(COUNTA(G448:J448)&lt;4,"",ROUND(AVERAGE(G448:J448),1))</f>
        <v/>
      </c>
      <c r="L448" s="2" t="n"/>
      <c r="M448" s="2" t="n"/>
      <c r="N448" s="2" t="n"/>
      <c r="O448" s="2" t="n"/>
    </row>
    <row r="449">
      <c r="A449" s="2" t="n"/>
      <c r="B449" s="2" t="n"/>
      <c r="C449" s="2" t="n"/>
      <c r="D449" s="2" t="n"/>
      <c r="E449" s="2" t="n"/>
      <c r="F449" s="2" t="n"/>
      <c r="G449" s="2" t="n"/>
      <c r="H449" s="2" t="n"/>
      <c r="I449" s="2" t="n"/>
      <c r="J449" s="2" t="n"/>
      <c r="K449" s="2">
        <f>IF(COUNTA(G449:J449)&lt;4,"",ROUND(AVERAGE(G449:J449),1))</f>
        <v/>
      </c>
      <c r="L449" s="2" t="n"/>
      <c r="M449" s="2" t="n"/>
      <c r="N449" s="2" t="n"/>
      <c r="O449" s="2" t="n"/>
    </row>
    <row r="450">
      <c r="A450" s="2" t="n"/>
      <c r="B450" s="2" t="n"/>
      <c r="C450" s="2" t="n"/>
      <c r="D450" s="2" t="n"/>
      <c r="E450" s="2" t="n"/>
      <c r="F450" s="2" t="n"/>
      <c r="G450" s="2" t="n"/>
      <c r="H450" s="2" t="n"/>
      <c r="I450" s="2" t="n"/>
      <c r="J450" s="2" t="n"/>
      <c r="K450" s="2">
        <f>IF(COUNTA(G450:J450)&lt;4,"",ROUND(AVERAGE(G450:J450),1))</f>
        <v/>
      </c>
      <c r="L450" s="2" t="n"/>
      <c r="M450" s="2" t="n"/>
      <c r="N450" s="2" t="n"/>
      <c r="O450" s="2" t="n"/>
    </row>
    <row r="451">
      <c r="A451" s="2" t="n"/>
      <c r="B451" s="2" t="n"/>
      <c r="C451" s="2" t="n"/>
      <c r="D451" s="2" t="n"/>
      <c r="E451" s="2" t="n"/>
      <c r="F451" s="2" t="n"/>
      <c r="G451" s="2" t="n"/>
      <c r="H451" s="2" t="n"/>
      <c r="I451" s="2" t="n"/>
      <c r="J451" s="2" t="n"/>
      <c r="K451" s="2">
        <f>IF(COUNTA(G451:J451)&lt;4,"",ROUND(AVERAGE(G451:J451),1))</f>
        <v/>
      </c>
      <c r="L451" s="2" t="n"/>
      <c r="M451" s="2" t="n"/>
      <c r="N451" s="2" t="n"/>
      <c r="O451" s="2" t="n"/>
    </row>
    <row r="452">
      <c r="A452" s="2" t="n"/>
      <c r="B452" s="2" t="n"/>
      <c r="C452" s="2" t="n"/>
      <c r="D452" s="2" t="n"/>
      <c r="E452" s="2" t="n"/>
      <c r="F452" s="2" t="n"/>
      <c r="G452" s="2" t="n"/>
      <c r="H452" s="2" t="n"/>
      <c r="I452" s="2" t="n"/>
      <c r="J452" s="2" t="n"/>
      <c r="K452" s="2">
        <f>IF(COUNTA(G452:J452)&lt;4,"",ROUND(AVERAGE(G452:J452),1))</f>
        <v/>
      </c>
      <c r="L452" s="2" t="n"/>
      <c r="M452" s="2" t="n"/>
      <c r="N452" s="2" t="n"/>
      <c r="O452" s="2" t="n"/>
    </row>
    <row r="453">
      <c r="A453" s="2" t="n"/>
      <c r="B453" s="2" t="n"/>
      <c r="C453" s="2" t="n"/>
      <c r="D453" s="2" t="n"/>
      <c r="E453" s="2" t="n"/>
      <c r="F453" s="2" t="n"/>
      <c r="G453" s="2" t="n"/>
      <c r="H453" s="2" t="n"/>
      <c r="I453" s="2" t="n"/>
      <c r="J453" s="2" t="n"/>
      <c r="K453" s="2">
        <f>IF(COUNTA(G453:J453)&lt;4,"",ROUND(AVERAGE(G453:J453),1))</f>
        <v/>
      </c>
      <c r="L453" s="2" t="n"/>
      <c r="M453" s="2" t="n"/>
      <c r="N453" s="2" t="n"/>
      <c r="O453" s="2" t="n"/>
    </row>
    <row r="454">
      <c r="A454" s="2" t="n"/>
      <c r="B454" s="2" t="n"/>
      <c r="C454" s="2" t="n"/>
      <c r="D454" s="2" t="n"/>
      <c r="E454" s="2" t="n"/>
      <c r="F454" s="2" t="n"/>
      <c r="G454" s="2" t="n"/>
      <c r="H454" s="2" t="n"/>
      <c r="I454" s="2" t="n"/>
      <c r="J454" s="2" t="n"/>
      <c r="K454" s="2">
        <f>IF(COUNTA(G454:J454)&lt;4,"",ROUND(AVERAGE(G454:J454),1))</f>
        <v/>
      </c>
      <c r="L454" s="2" t="n"/>
      <c r="M454" s="2" t="n"/>
      <c r="N454" s="2" t="n"/>
      <c r="O454" s="2" t="n"/>
    </row>
    <row r="455">
      <c r="A455" s="2" t="n"/>
      <c r="B455" s="2" t="n"/>
      <c r="C455" s="2" t="n"/>
      <c r="D455" s="2" t="n"/>
      <c r="E455" s="2" t="n"/>
      <c r="F455" s="2" t="n"/>
      <c r="G455" s="2" t="n"/>
      <c r="H455" s="2" t="n"/>
      <c r="I455" s="2" t="n"/>
      <c r="J455" s="2" t="n"/>
      <c r="K455" s="2">
        <f>IF(COUNTA(G455:J455)&lt;4,"",ROUND(AVERAGE(G455:J455),1))</f>
        <v/>
      </c>
      <c r="L455" s="2" t="n"/>
      <c r="M455" s="2" t="n"/>
      <c r="N455" s="2" t="n"/>
      <c r="O455" s="2" t="n"/>
    </row>
    <row r="456">
      <c r="A456" s="2" t="n"/>
      <c r="B456" s="2" t="n"/>
      <c r="C456" s="2" t="n"/>
      <c r="D456" s="2" t="n"/>
      <c r="E456" s="2" t="n"/>
      <c r="F456" s="2" t="n"/>
      <c r="G456" s="2" t="n"/>
      <c r="H456" s="2" t="n"/>
      <c r="I456" s="2" t="n"/>
      <c r="J456" s="2" t="n"/>
      <c r="K456" s="2">
        <f>IF(COUNTA(G456:J456)&lt;4,"",ROUND(AVERAGE(G456:J456),1))</f>
        <v/>
      </c>
      <c r="L456" s="2" t="n"/>
      <c r="M456" s="2" t="n"/>
      <c r="N456" s="2" t="n"/>
      <c r="O456" s="2" t="n"/>
    </row>
    <row r="457">
      <c r="A457" s="2" t="n"/>
      <c r="B457" s="2" t="n"/>
      <c r="C457" s="2" t="n"/>
      <c r="D457" s="2" t="n"/>
      <c r="E457" s="2" t="n"/>
      <c r="F457" s="2" t="n"/>
      <c r="G457" s="2" t="n"/>
      <c r="H457" s="2" t="n"/>
      <c r="I457" s="2" t="n"/>
      <c r="J457" s="2" t="n"/>
      <c r="K457" s="2">
        <f>IF(COUNTA(G457:J457)&lt;4,"",ROUND(AVERAGE(G457:J457),1))</f>
        <v/>
      </c>
      <c r="L457" s="2" t="n"/>
      <c r="M457" s="2" t="n"/>
      <c r="N457" s="2" t="n"/>
      <c r="O457" s="2" t="n"/>
    </row>
    <row r="458">
      <c r="A458" s="2" t="n"/>
      <c r="B458" s="2" t="n"/>
      <c r="C458" s="2" t="n"/>
      <c r="D458" s="2" t="n"/>
      <c r="E458" s="2" t="n"/>
      <c r="F458" s="2" t="n"/>
      <c r="G458" s="2" t="n"/>
      <c r="H458" s="2" t="n"/>
      <c r="I458" s="2" t="n"/>
      <c r="J458" s="2" t="n"/>
      <c r="K458" s="2">
        <f>IF(COUNTA(G458:J458)&lt;4,"",ROUND(AVERAGE(G458:J458),1))</f>
        <v/>
      </c>
      <c r="L458" s="2" t="n"/>
      <c r="M458" s="2" t="n"/>
      <c r="N458" s="2" t="n"/>
      <c r="O458" s="2" t="n"/>
    </row>
    <row r="459">
      <c r="A459" s="2" t="n"/>
      <c r="B459" s="2" t="n"/>
      <c r="C459" s="2" t="n"/>
      <c r="D459" s="2" t="n"/>
      <c r="E459" s="2" t="n"/>
      <c r="F459" s="2" t="n"/>
      <c r="G459" s="2" t="n"/>
      <c r="H459" s="2" t="n"/>
      <c r="I459" s="2" t="n"/>
      <c r="J459" s="2" t="n"/>
      <c r="K459" s="2">
        <f>IF(COUNTA(G459:J459)&lt;4,"",ROUND(AVERAGE(G459:J459),1))</f>
        <v/>
      </c>
      <c r="L459" s="2" t="n"/>
      <c r="M459" s="2" t="n"/>
      <c r="N459" s="2" t="n"/>
      <c r="O459" s="2" t="n"/>
    </row>
    <row r="460">
      <c r="A460" s="2" t="n"/>
      <c r="B460" s="2" t="n"/>
      <c r="C460" s="2" t="n"/>
      <c r="D460" s="2" t="n"/>
      <c r="E460" s="2" t="n"/>
      <c r="F460" s="2" t="n"/>
      <c r="G460" s="2" t="n"/>
      <c r="H460" s="2" t="n"/>
      <c r="I460" s="2" t="n"/>
      <c r="J460" s="2" t="n"/>
      <c r="K460" s="2">
        <f>IF(COUNTA(G460:J460)&lt;4,"",ROUND(AVERAGE(G460:J460),1))</f>
        <v/>
      </c>
      <c r="L460" s="2" t="n"/>
      <c r="M460" s="2" t="n"/>
      <c r="N460" s="2" t="n"/>
      <c r="O460" s="2" t="n"/>
    </row>
    <row r="461">
      <c r="A461" s="2" t="n"/>
      <c r="B461" s="2" t="n"/>
      <c r="C461" s="2" t="n"/>
      <c r="D461" s="2" t="n"/>
      <c r="E461" s="2" t="n"/>
      <c r="F461" s="2" t="n"/>
      <c r="G461" s="2" t="n"/>
      <c r="H461" s="2" t="n"/>
      <c r="I461" s="2" t="n"/>
      <c r="J461" s="2" t="n"/>
      <c r="K461" s="2">
        <f>IF(COUNTA(G461:J461)&lt;4,"",ROUND(AVERAGE(G461:J461),1))</f>
        <v/>
      </c>
      <c r="L461" s="2" t="n"/>
      <c r="M461" s="2" t="n"/>
      <c r="N461" s="2" t="n"/>
      <c r="O461" s="2" t="n"/>
    </row>
    <row r="462">
      <c r="A462" s="2" t="n"/>
      <c r="B462" s="2" t="n"/>
      <c r="C462" s="2" t="n"/>
      <c r="D462" s="2" t="n"/>
      <c r="E462" s="2" t="n"/>
      <c r="F462" s="2" t="n"/>
      <c r="G462" s="2" t="n"/>
      <c r="H462" s="2" t="n"/>
      <c r="I462" s="2" t="n"/>
      <c r="J462" s="2" t="n"/>
      <c r="K462" s="2">
        <f>IF(COUNTA(G462:J462)&lt;4,"",ROUND(AVERAGE(G462:J462),1))</f>
        <v/>
      </c>
      <c r="L462" s="2" t="n"/>
      <c r="M462" s="2" t="n"/>
      <c r="N462" s="2" t="n"/>
      <c r="O462" s="2" t="n"/>
    </row>
    <row r="463">
      <c r="A463" s="2" t="n"/>
      <c r="B463" s="2" t="n"/>
      <c r="C463" s="2" t="n"/>
      <c r="D463" s="2" t="n"/>
      <c r="E463" s="2" t="n"/>
      <c r="F463" s="2" t="n"/>
      <c r="G463" s="2" t="n"/>
      <c r="H463" s="2" t="n"/>
      <c r="I463" s="2" t="n"/>
      <c r="J463" s="2" t="n"/>
      <c r="K463" s="2">
        <f>IF(COUNTA(G463:J463)&lt;4,"",ROUND(AVERAGE(G463:J463),1))</f>
        <v/>
      </c>
      <c r="L463" s="2" t="n"/>
      <c r="M463" s="2" t="n"/>
      <c r="N463" s="2" t="n"/>
      <c r="O463" s="2" t="n"/>
    </row>
    <row r="464">
      <c r="A464" s="2" t="n"/>
      <c r="B464" s="2" t="n"/>
      <c r="C464" s="2" t="n"/>
      <c r="D464" s="2" t="n"/>
      <c r="E464" s="2" t="n"/>
      <c r="F464" s="2" t="n"/>
      <c r="G464" s="2" t="n"/>
      <c r="H464" s="2" t="n"/>
      <c r="I464" s="2" t="n"/>
      <c r="J464" s="2" t="n"/>
      <c r="K464" s="2">
        <f>IF(COUNTA(G464:J464)&lt;4,"",ROUND(AVERAGE(G464:J464),1))</f>
        <v/>
      </c>
      <c r="L464" s="2" t="n"/>
      <c r="M464" s="2" t="n"/>
      <c r="N464" s="2" t="n"/>
      <c r="O464" s="2" t="n"/>
    </row>
    <row r="465">
      <c r="A465" s="2" t="n"/>
      <c r="B465" s="2" t="n"/>
      <c r="C465" s="2" t="n"/>
      <c r="D465" s="2" t="n"/>
      <c r="E465" s="2" t="n"/>
      <c r="F465" s="2" t="n"/>
      <c r="G465" s="2" t="n"/>
      <c r="H465" s="2" t="n"/>
      <c r="I465" s="2" t="n"/>
      <c r="J465" s="2" t="n"/>
      <c r="K465" s="2">
        <f>IF(COUNTA(G465:J465)&lt;4,"",ROUND(AVERAGE(G465:J465),1))</f>
        <v/>
      </c>
      <c r="L465" s="2" t="n"/>
      <c r="M465" s="2" t="n"/>
      <c r="N465" s="2" t="n"/>
      <c r="O465" s="2" t="n"/>
    </row>
    <row r="466">
      <c r="A466" s="2" t="n"/>
      <c r="B466" s="2" t="n"/>
      <c r="C466" s="2" t="n"/>
      <c r="D466" s="2" t="n"/>
      <c r="E466" s="2" t="n"/>
      <c r="F466" s="2" t="n"/>
      <c r="G466" s="2" t="n"/>
      <c r="H466" s="2" t="n"/>
      <c r="I466" s="2" t="n"/>
      <c r="J466" s="2" t="n"/>
      <c r="K466" s="2">
        <f>IF(COUNTA(G466:J466)&lt;4,"",ROUND(AVERAGE(G466:J466),1))</f>
        <v/>
      </c>
      <c r="L466" s="2" t="n"/>
      <c r="M466" s="2" t="n"/>
      <c r="N466" s="2" t="n"/>
      <c r="O466" s="2" t="n"/>
    </row>
    <row r="467">
      <c r="A467" s="2" t="n"/>
      <c r="B467" s="2" t="n"/>
      <c r="C467" s="2" t="n"/>
      <c r="D467" s="2" t="n"/>
      <c r="E467" s="2" t="n"/>
      <c r="F467" s="2" t="n"/>
      <c r="G467" s="2" t="n"/>
      <c r="H467" s="2" t="n"/>
      <c r="I467" s="2" t="n"/>
      <c r="J467" s="2" t="n"/>
      <c r="K467" s="2">
        <f>IF(COUNTA(G467:J467)&lt;4,"",ROUND(AVERAGE(G467:J467),1))</f>
        <v/>
      </c>
      <c r="L467" s="2" t="n"/>
      <c r="M467" s="2" t="n"/>
      <c r="N467" s="2" t="n"/>
      <c r="O467" s="2" t="n"/>
    </row>
    <row r="468">
      <c r="A468" s="2" t="n"/>
      <c r="B468" s="2" t="n"/>
      <c r="C468" s="2" t="n"/>
      <c r="D468" s="2" t="n"/>
      <c r="E468" s="2" t="n"/>
      <c r="F468" s="2" t="n"/>
      <c r="G468" s="2" t="n"/>
      <c r="H468" s="2" t="n"/>
      <c r="I468" s="2" t="n"/>
      <c r="J468" s="2" t="n"/>
      <c r="K468" s="2">
        <f>IF(COUNTA(G468:J468)&lt;4,"",ROUND(AVERAGE(G468:J468),1))</f>
        <v/>
      </c>
      <c r="L468" s="2" t="n"/>
      <c r="M468" s="2" t="n"/>
      <c r="N468" s="2" t="n"/>
      <c r="O468" s="2" t="n"/>
    </row>
    <row r="469">
      <c r="A469" s="2" t="n"/>
      <c r="B469" s="2" t="n"/>
      <c r="C469" s="2" t="n"/>
      <c r="D469" s="2" t="n"/>
      <c r="E469" s="2" t="n"/>
      <c r="F469" s="2" t="n"/>
      <c r="G469" s="2" t="n"/>
      <c r="H469" s="2" t="n"/>
      <c r="I469" s="2" t="n"/>
      <c r="J469" s="2" t="n"/>
      <c r="K469" s="2">
        <f>IF(COUNTA(G469:J469)&lt;4,"",ROUND(AVERAGE(G469:J469),1))</f>
        <v/>
      </c>
      <c r="L469" s="2" t="n"/>
      <c r="M469" s="2" t="n"/>
      <c r="N469" s="2" t="n"/>
      <c r="O469" s="2" t="n"/>
    </row>
    <row r="470">
      <c r="A470" s="2" t="n"/>
      <c r="B470" s="2" t="n"/>
      <c r="C470" s="2" t="n"/>
      <c r="D470" s="2" t="n"/>
      <c r="E470" s="2" t="n"/>
      <c r="F470" s="2" t="n"/>
      <c r="G470" s="2" t="n"/>
      <c r="H470" s="2" t="n"/>
      <c r="I470" s="2" t="n"/>
      <c r="J470" s="2" t="n"/>
      <c r="K470" s="2">
        <f>IF(COUNTA(G470:J470)&lt;4,"",ROUND(AVERAGE(G470:J470),1))</f>
        <v/>
      </c>
      <c r="L470" s="2" t="n"/>
      <c r="M470" s="2" t="n"/>
      <c r="N470" s="2" t="n"/>
      <c r="O470" s="2" t="n"/>
    </row>
    <row r="471">
      <c r="A471" s="2" t="n"/>
      <c r="B471" s="2" t="n"/>
      <c r="C471" s="2" t="n"/>
      <c r="D471" s="2" t="n"/>
      <c r="E471" s="2" t="n"/>
      <c r="F471" s="2" t="n"/>
      <c r="G471" s="2" t="n"/>
      <c r="H471" s="2" t="n"/>
      <c r="I471" s="2" t="n"/>
      <c r="J471" s="2" t="n"/>
      <c r="K471" s="2">
        <f>IF(COUNTA(G471:J471)&lt;4,"",ROUND(AVERAGE(G471:J471),1))</f>
        <v/>
      </c>
      <c r="L471" s="2" t="n"/>
      <c r="M471" s="2" t="n"/>
      <c r="N471" s="2" t="n"/>
      <c r="O471" s="2" t="n"/>
    </row>
    <row r="472">
      <c r="A472" s="2" t="n"/>
      <c r="B472" s="2" t="n"/>
      <c r="C472" s="2" t="n"/>
      <c r="D472" s="2" t="n"/>
      <c r="E472" s="2" t="n"/>
      <c r="F472" s="2" t="n"/>
      <c r="G472" s="2" t="n"/>
      <c r="H472" s="2" t="n"/>
      <c r="I472" s="2" t="n"/>
      <c r="J472" s="2" t="n"/>
      <c r="K472" s="2">
        <f>IF(COUNTA(G472:J472)&lt;4,"",ROUND(AVERAGE(G472:J472),1))</f>
        <v/>
      </c>
      <c r="L472" s="2" t="n"/>
      <c r="M472" s="2" t="n"/>
      <c r="N472" s="2" t="n"/>
      <c r="O472" s="2" t="n"/>
    </row>
    <row r="473">
      <c r="A473" s="2" t="n"/>
      <c r="B473" s="2" t="n"/>
      <c r="C473" s="2" t="n"/>
      <c r="D473" s="2" t="n"/>
      <c r="E473" s="2" t="n"/>
      <c r="F473" s="2" t="n"/>
      <c r="G473" s="2" t="n"/>
      <c r="H473" s="2" t="n"/>
      <c r="I473" s="2" t="n"/>
      <c r="J473" s="2" t="n"/>
      <c r="K473" s="2">
        <f>IF(COUNTA(G473:J473)&lt;4,"",ROUND(AVERAGE(G473:J473),1))</f>
        <v/>
      </c>
      <c r="L473" s="2" t="n"/>
      <c r="M473" s="2" t="n"/>
      <c r="N473" s="2" t="n"/>
      <c r="O473" s="2" t="n"/>
    </row>
    <row r="474">
      <c r="A474" s="2" t="n"/>
      <c r="B474" s="2" t="n"/>
      <c r="C474" s="2" t="n"/>
      <c r="D474" s="2" t="n"/>
      <c r="E474" s="2" t="n"/>
      <c r="F474" s="2" t="n"/>
      <c r="G474" s="2" t="n"/>
      <c r="H474" s="2" t="n"/>
      <c r="I474" s="2" t="n"/>
      <c r="J474" s="2" t="n"/>
      <c r="K474" s="2">
        <f>IF(COUNTA(G474:J474)&lt;4,"",ROUND(AVERAGE(G474:J474),1))</f>
        <v/>
      </c>
      <c r="L474" s="2" t="n"/>
      <c r="M474" s="2" t="n"/>
      <c r="N474" s="2" t="n"/>
      <c r="O474" s="2" t="n"/>
    </row>
    <row r="475">
      <c r="A475" s="2" t="n"/>
      <c r="B475" s="2" t="n"/>
      <c r="C475" s="2" t="n"/>
      <c r="D475" s="2" t="n"/>
      <c r="E475" s="2" t="n"/>
      <c r="F475" s="2" t="n"/>
      <c r="G475" s="2" t="n"/>
      <c r="H475" s="2" t="n"/>
      <c r="I475" s="2" t="n"/>
      <c r="J475" s="2" t="n"/>
      <c r="K475" s="2">
        <f>IF(COUNTA(G475:J475)&lt;4,"",ROUND(AVERAGE(G475:J475),1))</f>
        <v/>
      </c>
      <c r="L475" s="2" t="n"/>
      <c r="M475" s="2" t="n"/>
      <c r="N475" s="2" t="n"/>
      <c r="O475" s="2" t="n"/>
    </row>
    <row r="476">
      <c r="A476" s="2" t="n"/>
      <c r="B476" s="2" t="n"/>
      <c r="C476" s="2" t="n"/>
      <c r="D476" s="2" t="n"/>
      <c r="E476" s="2" t="n"/>
      <c r="F476" s="2" t="n"/>
      <c r="G476" s="2" t="n"/>
      <c r="H476" s="2" t="n"/>
      <c r="I476" s="2" t="n"/>
      <c r="J476" s="2" t="n"/>
      <c r="K476" s="2">
        <f>IF(COUNTA(G476:J476)&lt;4,"",ROUND(AVERAGE(G476:J476),1))</f>
        <v/>
      </c>
      <c r="L476" s="2" t="n"/>
      <c r="M476" s="2" t="n"/>
      <c r="N476" s="2" t="n"/>
      <c r="O476" s="2" t="n"/>
    </row>
    <row r="477">
      <c r="A477" s="2" t="n"/>
      <c r="B477" s="2" t="n"/>
      <c r="C477" s="2" t="n"/>
      <c r="D477" s="2" t="n"/>
      <c r="E477" s="2" t="n"/>
      <c r="F477" s="2" t="n"/>
      <c r="G477" s="2" t="n"/>
      <c r="H477" s="2" t="n"/>
      <c r="I477" s="2" t="n"/>
      <c r="J477" s="2" t="n"/>
      <c r="K477" s="2">
        <f>IF(COUNTA(G477:J477)&lt;4,"",ROUND(AVERAGE(G477:J477),1))</f>
        <v/>
      </c>
      <c r="L477" s="2" t="n"/>
      <c r="M477" s="2" t="n"/>
      <c r="N477" s="2" t="n"/>
      <c r="O477" s="2" t="n"/>
    </row>
    <row r="478">
      <c r="A478" s="2" t="n"/>
      <c r="B478" s="2" t="n"/>
      <c r="C478" s="2" t="n"/>
      <c r="D478" s="2" t="n"/>
      <c r="E478" s="2" t="n"/>
      <c r="F478" s="2" t="n"/>
      <c r="G478" s="2" t="n"/>
      <c r="H478" s="2" t="n"/>
      <c r="I478" s="2" t="n"/>
      <c r="J478" s="2" t="n"/>
      <c r="K478" s="2">
        <f>IF(COUNTA(G478:J478)&lt;4,"",ROUND(AVERAGE(G478:J478),1))</f>
        <v/>
      </c>
      <c r="L478" s="2" t="n"/>
      <c r="M478" s="2" t="n"/>
      <c r="N478" s="2" t="n"/>
      <c r="O478" s="2" t="n"/>
    </row>
    <row r="479">
      <c r="A479" s="2" t="n"/>
      <c r="B479" s="2" t="n"/>
      <c r="C479" s="2" t="n"/>
      <c r="D479" s="2" t="n"/>
      <c r="E479" s="2" t="n"/>
      <c r="F479" s="2" t="n"/>
      <c r="G479" s="2" t="n"/>
      <c r="H479" s="2" t="n"/>
      <c r="I479" s="2" t="n"/>
      <c r="J479" s="2" t="n"/>
      <c r="K479" s="2">
        <f>IF(COUNTA(G479:J479)&lt;4,"",ROUND(AVERAGE(G479:J479),1))</f>
        <v/>
      </c>
      <c r="L479" s="2" t="n"/>
      <c r="M479" s="2" t="n"/>
      <c r="N479" s="2" t="n"/>
      <c r="O479" s="2" t="n"/>
    </row>
    <row r="480">
      <c r="A480" s="2" t="n"/>
      <c r="B480" s="2" t="n"/>
      <c r="C480" s="2" t="n"/>
      <c r="D480" s="2" t="n"/>
      <c r="E480" s="2" t="n"/>
      <c r="F480" s="2" t="n"/>
      <c r="G480" s="2" t="n"/>
      <c r="H480" s="2" t="n"/>
      <c r="I480" s="2" t="n"/>
      <c r="J480" s="2" t="n"/>
      <c r="K480" s="2">
        <f>IF(COUNTA(G480:J480)&lt;4,"",ROUND(AVERAGE(G480:J480),1))</f>
        <v/>
      </c>
      <c r="L480" s="2" t="n"/>
      <c r="M480" s="2" t="n"/>
      <c r="N480" s="2" t="n"/>
      <c r="O480" s="2" t="n"/>
    </row>
    <row r="481">
      <c r="A481" s="2" t="n"/>
      <c r="B481" s="2" t="n"/>
      <c r="C481" s="2" t="n"/>
      <c r="D481" s="2" t="n"/>
      <c r="E481" s="2" t="n"/>
      <c r="F481" s="2" t="n"/>
      <c r="G481" s="2" t="n"/>
      <c r="H481" s="2" t="n"/>
      <c r="I481" s="2" t="n"/>
      <c r="J481" s="2" t="n"/>
      <c r="K481" s="2">
        <f>IF(COUNTA(G481:J481)&lt;4,"",ROUND(AVERAGE(G481:J481),1))</f>
        <v/>
      </c>
      <c r="L481" s="2" t="n"/>
      <c r="M481" s="2" t="n"/>
      <c r="N481" s="2" t="n"/>
      <c r="O481" s="2" t="n"/>
    </row>
    <row r="482">
      <c r="A482" s="2" t="n"/>
      <c r="B482" s="2" t="n"/>
      <c r="C482" s="2" t="n"/>
      <c r="D482" s="2" t="n"/>
      <c r="E482" s="2" t="n"/>
      <c r="F482" s="2" t="n"/>
      <c r="G482" s="2" t="n"/>
      <c r="H482" s="2" t="n"/>
      <c r="I482" s="2" t="n"/>
      <c r="J482" s="2" t="n"/>
      <c r="K482" s="2">
        <f>IF(COUNTA(G482:J482)&lt;4,"",ROUND(AVERAGE(G482:J482),1))</f>
        <v/>
      </c>
      <c r="L482" s="2" t="n"/>
      <c r="M482" s="2" t="n"/>
      <c r="N482" s="2" t="n"/>
      <c r="O482" s="2" t="n"/>
    </row>
    <row r="483">
      <c r="A483" s="2" t="n"/>
      <c r="B483" s="2" t="n"/>
      <c r="C483" s="2" t="n"/>
      <c r="D483" s="2" t="n"/>
      <c r="E483" s="2" t="n"/>
      <c r="F483" s="2" t="n"/>
      <c r="G483" s="2" t="n"/>
      <c r="H483" s="2" t="n"/>
      <c r="I483" s="2" t="n"/>
      <c r="J483" s="2" t="n"/>
      <c r="K483" s="2">
        <f>IF(COUNTA(G483:J483)&lt;4,"",ROUND(AVERAGE(G483:J483),1))</f>
        <v/>
      </c>
      <c r="L483" s="2" t="n"/>
      <c r="M483" s="2" t="n"/>
      <c r="N483" s="2" t="n"/>
      <c r="O483" s="2" t="n"/>
    </row>
    <row r="484">
      <c r="A484" s="2" t="n"/>
      <c r="B484" s="2" t="n"/>
      <c r="C484" s="2" t="n"/>
      <c r="D484" s="2" t="n"/>
      <c r="E484" s="2" t="n"/>
      <c r="F484" s="2" t="n"/>
      <c r="G484" s="2" t="n"/>
      <c r="H484" s="2" t="n"/>
      <c r="I484" s="2" t="n"/>
      <c r="J484" s="2" t="n"/>
      <c r="K484" s="2">
        <f>IF(COUNTA(G484:J484)&lt;4,"",ROUND(AVERAGE(G484:J484),1))</f>
        <v/>
      </c>
      <c r="L484" s="2" t="n"/>
      <c r="M484" s="2" t="n"/>
      <c r="N484" s="2" t="n"/>
      <c r="O484" s="2" t="n"/>
    </row>
    <row r="485">
      <c r="A485" s="2" t="n"/>
      <c r="B485" s="2" t="n"/>
      <c r="C485" s="2" t="n"/>
      <c r="D485" s="2" t="n"/>
      <c r="E485" s="2" t="n"/>
      <c r="F485" s="2" t="n"/>
      <c r="G485" s="2" t="n"/>
      <c r="H485" s="2" t="n"/>
      <c r="I485" s="2" t="n"/>
      <c r="J485" s="2" t="n"/>
      <c r="K485" s="2">
        <f>IF(COUNTA(G485:J485)&lt;4,"",ROUND(AVERAGE(G485:J485),1))</f>
        <v/>
      </c>
      <c r="L485" s="2" t="n"/>
      <c r="M485" s="2" t="n"/>
      <c r="N485" s="2" t="n"/>
      <c r="O485" s="2" t="n"/>
    </row>
    <row r="486">
      <c r="A486" s="2" t="n"/>
      <c r="B486" s="2" t="n"/>
      <c r="C486" s="2" t="n"/>
      <c r="D486" s="2" t="n"/>
      <c r="E486" s="2" t="n"/>
      <c r="F486" s="2" t="n"/>
      <c r="G486" s="2" t="n"/>
      <c r="H486" s="2" t="n"/>
      <c r="I486" s="2" t="n"/>
      <c r="J486" s="2" t="n"/>
      <c r="K486" s="2">
        <f>IF(COUNTA(G486:J486)&lt;4,"",ROUND(AVERAGE(G486:J486),1))</f>
        <v/>
      </c>
      <c r="L486" s="2" t="n"/>
      <c r="M486" s="2" t="n"/>
      <c r="N486" s="2" t="n"/>
      <c r="O486" s="2" t="n"/>
    </row>
    <row r="487">
      <c r="A487" s="2" t="n"/>
      <c r="B487" s="2" t="n"/>
      <c r="C487" s="2" t="n"/>
      <c r="D487" s="2" t="n"/>
      <c r="E487" s="2" t="n"/>
      <c r="F487" s="2" t="n"/>
      <c r="G487" s="2" t="n"/>
      <c r="H487" s="2" t="n"/>
      <c r="I487" s="2" t="n"/>
      <c r="J487" s="2" t="n"/>
      <c r="K487" s="2">
        <f>IF(COUNTA(G487:J487)&lt;4,"",ROUND(AVERAGE(G487:J487),1))</f>
        <v/>
      </c>
      <c r="L487" s="2" t="n"/>
      <c r="M487" s="2" t="n"/>
      <c r="N487" s="2" t="n"/>
      <c r="O487" s="2" t="n"/>
    </row>
    <row r="488">
      <c r="A488" s="2" t="n"/>
      <c r="B488" s="2" t="n"/>
      <c r="C488" s="2" t="n"/>
      <c r="D488" s="2" t="n"/>
      <c r="E488" s="2" t="n"/>
      <c r="F488" s="2" t="n"/>
      <c r="G488" s="2" t="n"/>
      <c r="H488" s="2" t="n"/>
      <c r="I488" s="2" t="n"/>
      <c r="J488" s="2" t="n"/>
      <c r="K488" s="2">
        <f>IF(COUNTA(G488:J488)&lt;4,"",ROUND(AVERAGE(G488:J488),1))</f>
        <v/>
      </c>
      <c r="L488" s="2" t="n"/>
      <c r="M488" s="2" t="n"/>
      <c r="N488" s="2" t="n"/>
      <c r="O488" s="2" t="n"/>
    </row>
    <row r="489">
      <c r="A489" s="2" t="n"/>
      <c r="B489" s="2" t="n"/>
      <c r="C489" s="2" t="n"/>
      <c r="D489" s="2" t="n"/>
      <c r="E489" s="2" t="n"/>
      <c r="F489" s="2" t="n"/>
      <c r="G489" s="2" t="n"/>
      <c r="H489" s="2" t="n"/>
      <c r="I489" s="2" t="n"/>
      <c r="J489" s="2" t="n"/>
      <c r="K489" s="2">
        <f>IF(COUNTA(G489:J489)&lt;4,"",ROUND(AVERAGE(G489:J489),1))</f>
        <v/>
      </c>
      <c r="L489" s="2" t="n"/>
      <c r="M489" s="2" t="n"/>
      <c r="N489" s="2" t="n"/>
      <c r="O489" s="2" t="n"/>
    </row>
    <row r="490">
      <c r="A490" s="2" t="n"/>
      <c r="B490" s="2" t="n"/>
      <c r="C490" s="2" t="n"/>
      <c r="D490" s="2" t="n"/>
      <c r="E490" s="2" t="n"/>
      <c r="F490" s="2" t="n"/>
      <c r="G490" s="2" t="n"/>
      <c r="H490" s="2" t="n"/>
      <c r="I490" s="2" t="n"/>
      <c r="J490" s="2" t="n"/>
      <c r="K490" s="2">
        <f>IF(COUNTA(G490:J490)&lt;4,"",ROUND(AVERAGE(G490:J490),1))</f>
        <v/>
      </c>
      <c r="L490" s="2" t="n"/>
      <c r="M490" s="2" t="n"/>
      <c r="N490" s="2" t="n"/>
      <c r="O490" s="2" t="n"/>
    </row>
    <row r="491">
      <c r="A491" s="2" t="n"/>
      <c r="B491" s="2" t="n"/>
      <c r="C491" s="2" t="n"/>
      <c r="D491" s="2" t="n"/>
      <c r="E491" s="2" t="n"/>
      <c r="F491" s="2" t="n"/>
      <c r="G491" s="2" t="n"/>
      <c r="H491" s="2" t="n"/>
      <c r="I491" s="2" t="n"/>
      <c r="J491" s="2" t="n"/>
      <c r="K491" s="2">
        <f>IF(COUNTA(G491:J491)&lt;4,"",ROUND(AVERAGE(G491:J491),1))</f>
        <v/>
      </c>
      <c r="L491" s="2" t="n"/>
      <c r="M491" s="2" t="n"/>
      <c r="N491" s="2" t="n"/>
      <c r="O491" s="2" t="n"/>
    </row>
    <row r="492">
      <c r="A492" s="2" t="n"/>
      <c r="B492" s="2" t="n"/>
      <c r="C492" s="2" t="n"/>
      <c r="D492" s="2" t="n"/>
      <c r="E492" s="2" t="n"/>
      <c r="F492" s="2" t="n"/>
      <c r="G492" s="2" t="n"/>
      <c r="H492" s="2" t="n"/>
      <c r="I492" s="2" t="n"/>
      <c r="J492" s="2" t="n"/>
      <c r="K492" s="2">
        <f>IF(COUNTA(G492:J492)&lt;4,"",ROUND(AVERAGE(G492:J492),1))</f>
        <v/>
      </c>
      <c r="L492" s="2" t="n"/>
      <c r="M492" s="2" t="n"/>
      <c r="N492" s="2" t="n"/>
      <c r="O492" s="2" t="n"/>
    </row>
    <row r="493">
      <c r="A493" s="2" t="n"/>
      <c r="B493" s="2" t="n"/>
      <c r="C493" s="2" t="n"/>
      <c r="D493" s="2" t="n"/>
      <c r="E493" s="2" t="n"/>
      <c r="F493" s="2" t="n"/>
      <c r="G493" s="2" t="n"/>
      <c r="H493" s="2" t="n"/>
      <c r="I493" s="2" t="n"/>
      <c r="J493" s="2" t="n"/>
      <c r="K493" s="2">
        <f>IF(COUNTA(G493:J493)&lt;4,"",ROUND(AVERAGE(G493:J493),1))</f>
        <v/>
      </c>
      <c r="L493" s="2" t="n"/>
      <c r="M493" s="2" t="n"/>
      <c r="N493" s="2" t="n"/>
      <c r="O493" s="2" t="n"/>
    </row>
    <row r="494">
      <c r="A494" s="2" t="n"/>
      <c r="B494" s="2" t="n"/>
      <c r="C494" s="2" t="n"/>
      <c r="D494" s="2" t="n"/>
      <c r="E494" s="2" t="n"/>
      <c r="F494" s="2" t="n"/>
      <c r="G494" s="2" t="n"/>
      <c r="H494" s="2" t="n"/>
      <c r="I494" s="2" t="n"/>
      <c r="J494" s="2" t="n"/>
      <c r="K494" s="2">
        <f>IF(COUNTA(G494:J494)&lt;4,"",ROUND(AVERAGE(G494:J494),1))</f>
        <v/>
      </c>
      <c r="L494" s="2" t="n"/>
      <c r="M494" s="2" t="n"/>
      <c r="N494" s="2" t="n"/>
      <c r="O494" s="2" t="n"/>
    </row>
    <row r="495">
      <c r="A495" s="2" t="n"/>
      <c r="B495" s="2" t="n"/>
      <c r="C495" s="2" t="n"/>
      <c r="D495" s="2" t="n"/>
      <c r="E495" s="2" t="n"/>
      <c r="F495" s="2" t="n"/>
      <c r="G495" s="2" t="n"/>
      <c r="H495" s="2" t="n"/>
      <c r="I495" s="2" t="n"/>
      <c r="J495" s="2" t="n"/>
      <c r="K495" s="2">
        <f>IF(COUNTA(G495:J495)&lt;4,"",ROUND(AVERAGE(G495:J495),1))</f>
        <v/>
      </c>
      <c r="L495" s="2" t="n"/>
      <c r="M495" s="2" t="n"/>
      <c r="N495" s="2" t="n"/>
      <c r="O495" s="2" t="n"/>
    </row>
    <row r="496">
      <c r="A496" s="2" t="n"/>
      <c r="B496" s="2" t="n"/>
      <c r="C496" s="2" t="n"/>
      <c r="D496" s="2" t="n"/>
      <c r="E496" s="2" t="n"/>
      <c r="F496" s="2" t="n"/>
      <c r="G496" s="2" t="n"/>
      <c r="H496" s="2" t="n"/>
      <c r="I496" s="2" t="n"/>
      <c r="J496" s="2" t="n"/>
      <c r="K496" s="2">
        <f>IF(COUNTA(G496:J496)&lt;4,"",ROUND(AVERAGE(G496:J496),1))</f>
        <v/>
      </c>
      <c r="L496" s="2" t="n"/>
      <c r="M496" s="2" t="n"/>
      <c r="N496" s="2" t="n"/>
      <c r="O496" s="2" t="n"/>
    </row>
    <row r="497">
      <c r="A497" s="2" t="n"/>
      <c r="B497" s="2" t="n"/>
      <c r="C497" s="2" t="n"/>
      <c r="D497" s="2" t="n"/>
      <c r="E497" s="2" t="n"/>
      <c r="F497" s="2" t="n"/>
      <c r="G497" s="2" t="n"/>
      <c r="H497" s="2" t="n"/>
      <c r="I497" s="2" t="n"/>
      <c r="J497" s="2" t="n"/>
      <c r="K497" s="2">
        <f>IF(COUNTA(G497:J497)&lt;4,"",ROUND(AVERAGE(G497:J497),1))</f>
        <v/>
      </c>
      <c r="L497" s="2" t="n"/>
      <c r="M497" s="2" t="n"/>
      <c r="N497" s="2" t="n"/>
      <c r="O497" s="2" t="n"/>
    </row>
    <row r="498">
      <c r="A498" s="2" t="n"/>
      <c r="B498" s="2" t="n"/>
      <c r="C498" s="2" t="n"/>
      <c r="D498" s="2" t="n"/>
      <c r="E498" s="2" t="n"/>
      <c r="F498" s="2" t="n"/>
      <c r="G498" s="2" t="n"/>
      <c r="H498" s="2" t="n"/>
      <c r="I498" s="2" t="n"/>
      <c r="J498" s="2" t="n"/>
      <c r="K498" s="2">
        <f>IF(COUNTA(G498:J498)&lt;4,"",ROUND(AVERAGE(G498:J498),1))</f>
        <v/>
      </c>
      <c r="L498" s="2" t="n"/>
      <c r="M498" s="2" t="n"/>
      <c r="N498" s="2" t="n"/>
      <c r="O498" s="2" t="n"/>
    </row>
    <row r="499">
      <c r="A499" s="2" t="n"/>
      <c r="B499" s="2" t="n"/>
      <c r="C499" s="2" t="n"/>
      <c r="D499" s="2" t="n"/>
      <c r="E499" s="2" t="n"/>
      <c r="F499" s="2" t="n"/>
      <c r="G499" s="2" t="n"/>
      <c r="H499" s="2" t="n"/>
      <c r="I499" s="2" t="n"/>
      <c r="J499" s="2" t="n"/>
      <c r="K499" s="2">
        <f>IF(COUNTA(G499:J499)&lt;4,"",ROUND(AVERAGE(G499:J499),1))</f>
        <v/>
      </c>
      <c r="L499" s="2" t="n"/>
      <c r="M499" s="2" t="n"/>
      <c r="N499" s="2" t="n"/>
      <c r="O499" s="2" t="n"/>
    </row>
    <row r="500">
      <c r="A500" s="2" t="n"/>
      <c r="B500" s="2" t="n"/>
      <c r="C500" s="2" t="n"/>
      <c r="D500" s="2" t="n"/>
      <c r="E500" s="2" t="n"/>
      <c r="F500" s="2" t="n"/>
      <c r="G500" s="2" t="n"/>
      <c r="H500" s="2" t="n"/>
      <c r="I500" s="2" t="n"/>
      <c r="J500" s="2" t="n"/>
      <c r="K500" s="2">
        <f>IF(COUNTA(G500:J500)&lt;4,"",ROUND(AVERAGE(G500:J500),1))</f>
        <v/>
      </c>
      <c r="L500" s="2" t="n"/>
      <c r="M500" s="2" t="n"/>
      <c r="N500" s="2" t="n"/>
      <c r="O500" s="2" t="n"/>
    </row>
  </sheetData>
  <autoFilter ref="A1:O5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D1"/>
    </sheetView>
  </sheetViews>
  <sheetFormatPr baseColWidth="8" defaultRowHeight="15"/>
  <cols>
    <col width="32" customWidth="1" style="15" min="1" max="2"/>
    <col width="12" customWidth="1" style="15" min="3" max="3"/>
    <col width="21" customWidth="1" style="15" min="4" max="4"/>
    <col width="32" customWidth="1" style="15" min="5" max="5"/>
  </cols>
  <sheetData>
    <row r="1">
      <c r="A1" s="18" t="inlineStr">
        <is>
          <t>INTERNSHIP HUNT — LIVE ANALYTICS</t>
        </is>
      </c>
      <c r="B1" s="19" t="n"/>
      <c r="C1" s="19" t="n"/>
      <c r="D1" s="20" t="n"/>
      <c r="E1" s="2" t="n"/>
    </row>
    <row r="2">
      <c r="A2" s="3" t="inlineStr">
        <is>
          <t>Metric</t>
        </is>
      </c>
      <c r="B2" s="2" t="n">
        <v>298</v>
      </c>
      <c r="C2" s="2" t="n"/>
      <c r="D2" s="2" t="n"/>
      <c r="E2" s="2" t="n"/>
      <c r="G2" s="6" t="inlineStr">
        <is>
          <t>V2 Intelligence Metrics</t>
        </is>
      </c>
    </row>
    <row r="3">
      <c r="A3" s="3" t="inlineStr">
        <is>
          <t>Total Jobs</t>
        </is>
      </c>
      <c r="B3" s="2" t="n">
        <v>65</v>
      </c>
      <c r="C3" s="2" t="n"/>
      <c r="D3" s="3" t="inlineStr">
        <is>
          <t>Priority</t>
        </is>
      </c>
      <c r="E3" s="3" t="inlineStr">
        <is>
          <t>Count</t>
        </is>
      </c>
      <c r="G3" s="6" t="inlineStr">
        <is>
          <t>Jobs with eligibility risk</t>
        </is>
      </c>
      <c r="H3">
        <f>COUNTIF(Jobs!#REF!,"risk")</f>
        <v/>
      </c>
    </row>
    <row r="4">
      <c r="A4" s="3" t="inlineStr">
        <is>
          <t>Shortlisted / Apply-level Jobs</t>
        </is>
      </c>
      <c r="B4" s="2" t="n">
        <v>0</v>
      </c>
      <c r="C4" s="2" t="n"/>
      <c r="D4" s="2" t="inlineStr">
        <is>
          <t>P1</t>
        </is>
      </c>
      <c r="E4" s="2">
        <f>COUNTIF(Jobs!#REF!,D4)</f>
        <v/>
      </c>
      <c r="G4" s="6" t="inlineStr">
        <is>
          <t>Jobs with eligibility failure</t>
        </is>
      </c>
      <c r="H4">
        <f>COUNTIF(Jobs!#REF!,"fail")</f>
        <v/>
      </c>
    </row>
    <row r="5">
      <c r="A5" s="3" t="inlineStr">
        <is>
          <t>Applications</t>
        </is>
      </c>
      <c r="B5" s="2">
        <f>COUNTA(Applications!A2:A500)</f>
        <v/>
      </c>
      <c r="C5" s="2" t="n"/>
      <c r="D5" s="2" t="inlineStr">
        <is>
          <t>P2</t>
        </is>
      </c>
      <c r="E5" s="2">
        <f>COUNTIF(Jobs!#REF!,D5)</f>
        <v/>
      </c>
      <c r="G5" s="6" t="inlineStr">
        <is>
          <t>PPO-strong jobs</t>
        </is>
      </c>
      <c r="H5">
        <f>COUNTIF(Jobs!#REF!,"strong")</f>
        <v/>
      </c>
    </row>
    <row r="6">
      <c r="A6" s="3" t="inlineStr">
        <is>
          <t>OAs</t>
        </is>
      </c>
      <c r="B6" s="2" t="n">
        <v>0</v>
      </c>
      <c r="C6" s="2" t="n"/>
      <c r="D6" s="2" t="inlineStr">
        <is>
          <t>P3</t>
        </is>
      </c>
      <c r="E6" s="2">
        <f>COUNTIF(Jobs!#REF!,D6)</f>
        <v/>
      </c>
      <c r="G6" s="6" t="inlineStr">
        <is>
          <t>Compensation to verify</t>
        </is>
      </c>
      <c r="H6">
        <f>COUNTIF(Jobs!#REF!,"verify")</f>
        <v/>
      </c>
    </row>
    <row r="7">
      <c r="A7" s="3" t="inlineStr">
        <is>
          <t>Interviews</t>
        </is>
      </c>
      <c r="B7" s="2" t="n">
        <v>0</v>
      </c>
      <c r="C7" s="2" t="n"/>
      <c r="D7" s="2" t="inlineStr">
        <is>
          <t>P4</t>
        </is>
      </c>
      <c r="E7" s="2">
        <f>COUNTIF(Jobs!#REF!,D7)</f>
        <v/>
      </c>
      <c r="G7" s="6" t="inlineStr">
        <is>
          <t>Apply ASAP jobs</t>
        </is>
      </c>
      <c r="H7">
        <f>COUNTIF(Jobs!#REF!,"APPLY ASAP")</f>
        <v/>
      </c>
    </row>
    <row r="8">
      <c r="A8" s="3" t="inlineStr">
        <is>
          <t>Offers</t>
        </is>
      </c>
      <c r="B8" s="2">
        <f>COUNTIF(Applications!H2:H500,"Offer")+COUNTIF(Applications!H2:H500,"PPO")</f>
        <v/>
      </c>
      <c r="C8" s="2" t="n"/>
      <c r="D8" s="2" t="n"/>
      <c r="E8" s="2" t="n"/>
    </row>
    <row r="9">
      <c r="A9" s="3" t="inlineStr">
        <is>
          <t>PPOs</t>
        </is>
      </c>
      <c r="B9" s="4">
        <f>COUNTIF(Applications!H2:H500,"PPO")</f>
        <v/>
      </c>
      <c r="C9" s="2" t="n"/>
      <c r="D9" s="2" t="n"/>
      <c r="E9" s="2" t="n"/>
    </row>
    <row r="10">
      <c r="A10" s="3" t="inlineStr">
        <is>
          <t>Application → Interview %</t>
        </is>
      </c>
      <c r="B10" s="4">
        <f>IFERROR(B6/B4,0)</f>
        <v/>
      </c>
      <c r="C10" s="2" t="n"/>
      <c r="D10" s="3" t="inlineStr">
        <is>
          <t>Application Status</t>
        </is>
      </c>
      <c r="E10" s="3" t="inlineStr">
        <is>
          <t>Count</t>
        </is>
      </c>
    </row>
    <row r="11">
      <c r="A11" s="3" t="inlineStr">
        <is>
          <t>Application → Offer %</t>
        </is>
      </c>
      <c r="B11" s="4">
        <f>IFERROR(B7/B4,0)</f>
        <v/>
      </c>
      <c r="C11" s="2" t="n"/>
      <c r="D11" s="2" t="inlineStr">
        <is>
          <t>Applied</t>
        </is>
      </c>
      <c r="E11" s="2">
        <f>COUNTIF(Applications!H2:H500,D11)</f>
        <v/>
      </c>
    </row>
    <row r="12">
      <c r="A12" s="2" t="inlineStr">
        <is>
          <t>Application → PPO %</t>
        </is>
      </c>
      <c r="B12" s="2">
        <f>IFERROR(B8/B4,0)</f>
        <v/>
      </c>
      <c r="C12" s="2" t="n"/>
      <c r="D12" s="2" t="inlineStr">
        <is>
          <t>Waiting</t>
        </is>
      </c>
      <c r="E12" s="2">
        <f>COUNTIF(Applications!H2:H500,D12)</f>
        <v/>
      </c>
    </row>
    <row r="13">
      <c r="A13" s="2" t="n"/>
      <c r="B13" s="2" t="n"/>
      <c r="C13" s="2" t="n"/>
      <c r="D13" s="2" t="inlineStr">
        <is>
          <t>OA</t>
        </is>
      </c>
      <c r="E13" s="2">
        <f>COUNTIF(Applications!H2:H500,D13)</f>
        <v/>
      </c>
    </row>
    <row r="14">
      <c r="A14" s="2" t="n"/>
      <c r="B14" s="2" t="n"/>
      <c r="C14" s="2" t="n"/>
      <c r="D14" s="2" t="inlineStr">
        <is>
          <t>Technical Interview</t>
        </is>
      </c>
      <c r="E14" s="2">
        <f>COUNTIF(Applications!H2:H500,D14)</f>
        <v/>
      </c>
    </row>
    <row r="15">
      <c r="A15" s="2" t="n"/>
      <c r="B15" s="2" t="n"/>
      <c r="C15" s="2" t="n"/>
      <c r="D15" s="2" t="inlineStr">
        <is>
          <t>HR/Manager</t>
        </is>
      </c>
      <c r="E15" s="2">
        <f>COUNTIF(Applications!H2:H500,D15)</f>
        <v/>
      </c>
    </row>
    <row r="16">
      <c r="A16" s="2" t="n"/>
      <c r="B16" s="2" t="n"/>
      <c r="C16" s="2" t="n"/>
      <c r="D16" s="2" t="inlineStr">
        <is>
          <t>Offer</t>
        </is>
      </c>
      <c r="E16" s="2">
        <f>COUNTIF(Applications!H2:H500,D16)</f>
        <v/>
      </c>
    </row>
    <row r="17">
      <c r="A17" s="2" t="n"/>
      <c r="B17" s="2" t="n"/>
      <c r="C17" s="2" t="n"/>
      <c r="D17" s="2" t="inlineStr">
        <is>
          <t>Rejected</t>
        </is>
      </c>
      <c r="E17" s="2">
        <f>COUNTIF(Applications!H2:H500,D17)</f>
        <v/>
      </c>
    </row>
    <row r="18">
      <c r="A18" s="2" t="n"/>
      <c r="B18" s="2" t="n"/>
      <c r="C18" s="2" t="n"/>
      <c r="D18" s="2" t="inlineStr">
        <is>
          <t>Ghosted</t>
        </is>
      </c>
      <c r="E18" s="2">
        <f>COUNTIF(Applications!H2:H500,D18)</f>
        <v/>
      </c>
    </row>
    <row r="19">
      <c r="A19" s="2" t="n"/>
      <c r="B19" s="2" t="n"/>
      <c r="C19" s="2" t="n"/>
      <c r="D19" s="2" t="inlineStr">
        <is>
          <t>PPO</t>
        </is>
      </c>
      <c r="E19" s="2">
        <f>COUNTIF(Applications!H2:H500,D19)</f>
        <v/>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1"/>
  <sheetViews>
    <sheetView workbookViewId="0">
      <pane ySplit="1" topLeftCell="A2" activePane="bottomLeft" state="frozen"/>
      <selection activeCell="A1" sqref="A1:D1"/>
      <selection pane="bottomLeft" activeCell="A1" sqref="A1:D1"/>
    </sheetView>
  </sheetViews>
  <sheetFormatPr baseColWidth="8" defaultRowHeight="15"/>
  <cols>
    <col width="24" customWidth="1" style="15" min="1" max="37"/>
  </cols>
  <sheetData>
    <row r="1">
      <c r="A1" s="5" t="inlineStr">
        <is>
          <t>Job ID</t>
        </is>
      </c>
      <c r="B1" s="5" t="inlineStr">
        <is>
          <t>Company</t>
        </is>
      </c>
      <c r="C1" s="5" t="inlineStr">
        <is>
          <t>Role</t>
        </is>
      </c>
      <c r="D1" s="5" t="inlineStr">
        <is>
          <t>Job URL</t>
        </is>
      </c>
      <c r="E1" s="5" t="inlineStr">
        <is>
          <t>Source</t>
        </is>
      </c>
      <c r="F1" s="5" t="inlineStr">
        <is>
          <t>Location</t>
        </is>
      </c>
      <c r="G1" s="5" t="inlineStr">
        <is>
          <t>Work Mode</t>
        </is>
      </c>
      <c r="H1" s="5" t="inlineStr">
        <is>
          <t>Job Type</t>
        </is>
      </c>
      <c r="I1" s="5" t="inlineStr">
        <is>
          <t>Duration</t>
        </is>
      </c>
      <c r="J1" s="5" t="inlineStr">
        <is>
          <t>Stipend Raw</t>
        </is>
      </c>
      <c r="K1" s="5" t="inlineStr">
        <is>
          <t>Eligibility Status</t>
        </is>
      </c>
      <c r="L1" s="5" t="inlineStr">
        <is>
          <t>Eligibility Reasons</t>
        </is>
      </c>
      <c r="M1" s="5" t="inlineStr">
        <is>
          <t>Availability Status</t>
        </is>
      </c>
      <c r="N1" s="5" t="inlineStr">
        <is>
          <t>Availability Reason</t>
        </is>
      </c>
      <c r="O1" s="5" t="inlineStr">
        <is>
          <t>Compensation Status</t>
        </is>
      </c>
      <c r="P1" s="5" t="inlineStr">
        <is>
          <t>Guaranteed Stipend</t>
        </is>
      </c>
      <c r="Q1" s="5" t="inlineStr">
        <is>
          <t>Incentive Included</t>
        </is>
      </c>
      <c r="R1" s="5" t="inlineStr">
        <is>
          <t>PPO Status</t>
        </is>
      </c>
      <c r="S1" s="5" t="inlineStr">
        <is>
          <t>PPO Evidence</t>
        </is>
      </c>
      <c r="T1" s="5" t="inlineStr">
        <is>
          <t>Technical Fit</t>
        </is>
      </c>
      <c r="U1" s="5" t="inlineStr">
        <is>
          <t>Experience Fit</t>
        </is>
      </c>
      <c r="V1" s="5" t="inlineStr">
        <is>
          <t>Role Fit</t>
        </is>
      </c>
      <c r="W1" s="5" t="inlineStr">
        <is>
          <t>PPO Score</t>
        </is>
      </c>
      <c r="X1" s="5" t="inlineStr">
        <is>
          <t>Compensation Fit</t>
        </is>
      </c>
      <c r="Y1" s="5" t="inlineStr">
        <is>
          <t>Opportunity Quality</t>
        </is>
      </c>
      <c r="Z1" s="5" t="inlineStr">
        <is>
          <t>Overall Score</t>
        </is>
      </c>
      <c r="AA1" s="5" t="inlineStr">
        <is>
          <t>Recommendation</t>
        </is>
      </c>
      <c r="AB1" s="5" t="inlineStr">
        <is>
          <t>Required Skills</t>
        </is>
      </c>
      <c r="AC1" s="5" t="inlineStr">
        <is>
          <t>Preferred Skills</t>
        </is>
      </c>
      <c r="AD1" s="5" t="inlineStr">
        <is>
          <t>Skill Gaps</t>
        </is>
      </c>
      <c r="AE1" s="5" t="inlineStr">
        <is>
          <t>Hard Blockers</t>
        </is>
      </c>
      <c r="AF1" s="5" t="inlineStr">
        <is>
          <t>Red Flags</t>
        </is>
      </c>
      <c r="AG1" s="5" t="inlineStr">
        <is>
          <t>Recommended Resume</t>
        </is>
      </c>
      <c r="AH1" s="5" t="inlineStr">
        <is>
          <t>Interview Topics</t>
        </is>
      </c>
      <c r="AI1" s="5" t="inlineStr">
        <is>
          <t>Why Apply</t>
        </is>
      </c>
      <c r="AJ1" s="5" t="inlineStr">
        <is>
          <t>Why Not</t>
        </is>
      </c>
      <c r="AK1" s="5" t="inlineStr">
        <is>
          <t>Date Found</t>
        </is>
      </c>
    </row>
  </sheetData>
  <autoFilter ref="A1:AK49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style="15" min="1" max="1"/>
    <col width="105" customWidth="1" style="15" min="2" max="2"/>
  </cols>
  <sheetData>
    <row r="1" ht="39" customHeight="1" s="15">
      <c r="A1" s="7" t="inlineStr">
        <is>
          <t>AI → CRM workflow</t>
        </is>
      </c>
      <c r="B1" s="2" t="n"/>
    </row>
    <row r="2">
      <c r="A2" s="2" t="inlineStr">
        <is>
          <t>1</t>
        </is>
      </c>
      <c r="B2" s="2" t="inlineStr">
        <is>
          <t>Run a JD through the AI Job Analyzer.</t>
        </is>
      </c>
    </row>
    <row r="3">
      <c r="A3" s="2" t="inlineStr">
        <is>
          <t>2</t>
        </is>
      </c>
      <c r="B3" s="2" t="inlineStr">
        <is>
          <t>Copy the structured JSON result into the importer script/tool we will build next.</t>
        </is>
      </c>
    </row>
    <row r="4">
      <c r="A4" s="2" t="inlineStr">
        <is>
          <t>3</t>
        </is>
      </c>
      <c r="B4" s="2" t="inlineStr">
        <is>
          <t>The importer maps the analysis into AI_Import and Jobs.</t>
        </is>
      </c>
    </row>
    <row r="5">
      <c r="A5" s="2" t="inlineStr">
        <is>
          <t>4</t>
        </is>
      </c>
      <c r="B5" s="2" t="inlineStr">
        <is>
          <t>Only shortlisted jobs move into Applications after you personally approve them.</t>
        </is>
      </c>
    </row>
    <row r="6">
      <c r="A6" s="2" t="inlineStr">
        <is>
          <t>5</t>
        </is>
      </c>
      <c r="B6" s="2" t="inlineStr">
        <is>
          <t>Never let AI submit applications automatically at this stage.</t>
        </is>
      </c>
    </row>
    <row r="7">
      <c r="A7" s="2" t="inlineStr">
        <is>
          <t>Current scoring</t>
        </is>
      </c>
      <c r="B7" s="2" t="inlineStr">
        <is>
          <t>Technical 30% + Experience 20% + Role 15% + PPO 15% + Compensation 10% + Opportunity Quality 10%.</t>
        </is>
      </c>
    </row>
    <row r="8">
      <c r="A8" s="2" t="inlineStr">
        <is>
          <t>Hard blockers</t>
        </is>
      </c>
      <c r="B8" s="2" t="inlineStr">
        <is>
          <t>Eligibility or availability failure forces SKIP regardless of score.</t>
        </is>
      </c>
    </row>
    <row r="9" ht="30" customHeight="1" s="15">
      <c r="A9" s="2" t="inlineStr">
        <is>
          <t>Compensation</t>
        </is>
      </c>
      <c r="B9" s="2" t="inlineStr">
        <is>
          <t>Guaranteed/fixed pay is what counts toward the ₹25,000 minimum; incentive-only amounts are not treated as guaranteed.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2026-08-17T20:57:55Z</dcterms:created>
  <dcterms:modified xsi:type="dcterms:W3CDTF">2026-10-06T15:55:53Z</dcterms:modified>
  <cp:lastModifiedBy>Amaanuddin Ahmed</cp:lastModifiedBy>
</cp:coreProperties>
</file>