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4" autoFilterDateGrouping="1"/>
  </bookViews>
  <sheets>
    <sheet name="Morning Dashboard" sheetId="1" state="visible" r:id="rId1"/>
    <sheet name="README" sheetId="2" state="visible" r:id="rId2"/>
    <sheet name="Career_Profile" sheetId="3" state="visible" r:id="rId3"/>
    <sheet name="Skills" sheetId="4" state="visible" r:id="rId4"/>
    <sheet name="Jobs" sheetId="5" state="visible" r:id="rId5"/>
    <sheet name="Applications" sheetId="6" state="visible" r:id="rId6"/>
    <sheet name="Interviews" sheetId="7" state="visible" r:id="rId7"/>
    <sheet name="Analytics" sheetId="8" state="visible" r:id="rId8"/>
    <sheet name="AI_Import" sheetId="9" state="visible" r:id="rId9"/>
    <sheet name="AI_Import_Guide" sheetId="10" state="visible" r:id="rId10"/>
  </sheets>
  <definedNames>
    <definedName name="_xlnm._FilterDatabase" localSheetId="0" hidden="1">'Morning Dashboard'!$A$12:$L$53</definedName>
    <definedName name="_xlnm._FilterDatabase" localSheetId="4" hidden="1">'Jobs'!$A$1:$Z$1</definedName>
    <definedName name="_xlnm._FilterDatabase" localSheetId="5" hidden="1">'Applications'!$A$1:$Q$500</definedName>
    <definedName name="_xlnm._FilterDatabase" localSheetId="6" hidden="1">'Interviews'!$A$1:$O$500</definedName>
    <definedName name="_xlnm._FilterDatabase" localSheetId="8" hidden="1">'AI_Import'!$A$1:$AK$499</definedName>
  </definedNames>
  <calcPr calcId="191029" fullCalcOnLoad="1"/>
</workbook>
</file>

<file path=xl/styles.xml><?xml version="1.0" encoding="utf-8"?>
<styleSheet xmlns="http://schemas.openxmlformats.org/spreadsheetml/2006/main">
  <numFmts count="1">
    <numFmt numFmtId="164" formatCode="0.0%"/>
  </numFmts>
  <fonts count="15">
    <font>
      <name val="Calibri"/>
      <family val="2"/>
      <color theme="1"/>
      <sz val="11"/>
      <scheme val="minor"/>
    </font>
    <font>
      <name val="Calibri"/>
      <b val="1"/>
      <color rgb="FFFFFFFF"/>
      <sz val="11"/>
    </font>
    <font>
      <name val="Calibri"/>
      <b val="1"/>
      <sz val="16"/>
    </font>
    <font>
      <name val="Calibri"/>
      <b val="1"/>
      <sz val="11"/>
    </font>
    <font>
      <name val="Calibri"/>
      <b val="1"/>
      <color rgb="FFFFFFFF"/>
      <sz val="15"/>
    </font>
    <font>
      <name val="Calibri"/>
      <family val="2"/>
      <color theme="10"/>
      <sz val="12"/>
      <scheme val="minor"/>
    </font>
    <font>
      <name val="Calibri"/>
      <b val="1"/>
      <sz val="18"/>
    </font>
    <font>
      <name val="Calibri"/>
      <b val="1"/>
      <sz val="11"/>
    </font>
    <font>
      <name val="Calibri"/>
      <b val="1"/>
      <sz val="14"/>
    </font>
    <font>
      <name val="Calibri"/>
      <b val="1"/>
      <sz val="12"/>
    </font>
    <font>
      <name val="Calibri"/>
      <family val="2"/>
      <b val="1"/>
      <color theme="0"/>
      <sz val="11"/>
      <scheme val="minor"/>
    </font>
    <font>
      <b val="1"/>
      <sz val="18"/>
    </font>
    <font>
      <b val="1"/>
    </font>
    <font>
      <b val="1"/>
      <sz val="14"/>
    </font>
    <font>
      <b val="1"/>
      <sz val="12"/>
    </font>
  </fonts>
  <fills count="9">
    <fill>
      <patternFill/>
    </fill>
    <fill>
      <patternFill patternType="gray125"/>
    </fill>
    <fill>
      <patternFill patternType="solid">
        <fgColor rgb="FF1F2937"/>
      </patternFill>
    </fill>
    <fill>
      <patternFill patternType="solid">
        <fgColor rgb="FFFFF2CC"/>
      </patternFill>
    </fill>
    <fill>
      <patternFill patternType="solid">
        <fgColor rgb="FFE2F0D9"/>
      </patternFill>
    </fill>
    <fill>
      <patternFill patternType="solid">
        <fgColor theme="3" tint="-0.499984740745262"/>
        <bgColor indexed="64"/>
      </patternFill>
    </fill>
    <fill>
      <patternFill patternType="solid">
        <fgColor rgb="00FFF2CC"/>
      </patternFill>
    </fill>
    <fill>
      <patternFill patternType="solid">
        <fgColor rgb="00E2F0D9"/>
      </patternFill>
    </fill>
    <fill>
      <patternFill patternType="solid">
        <fgColor rgb="00FCE4D6"/>
      </patternFill>
    </fill>
  </fills>
  <borders count="8">
    <border>
      <left/>
      <right/>
      <top/>
      <bottom/>
      <diagonal/>
    </border>
    <border>
      <left style="thin">
        <color rgb="FFD1D5DB"/>
      </left>
      <right style="thin">
        <color rgb="FFD1D5DB"/>
      </right>
      <top style="thin">
        <color rgb="FFD1D5DB"/>
      </top>
      <bottom style="thin">
        <color rgb="FFD1D5DB"/>
      </bottom>
      <diagonal/>
    </border>
    <border>
      <left/>
      <right/>
      <top style="thin">
        <color rgb="FFD1D5DB"/>
      </top>
      <bottom style="thin">
        <color rgb="FFD1D5DB"/>
      </bottom>
      <diagonal/>
    </border>
    <border>
      <left/>
      <right style="thin">
        <color rgb="FFD1D5DB"/>
      </right>
      <top style="thin">
        <color rgb="FFD1D5DB"/>
      </top>
      <bottom style="thin">
        <color rgb="FFD1D5DB"/>
      </bottom>
      <diagonal/>
    </border>
    <border>
      <left/>
      <right/>
      <top/>
      <bottom style="thin">
        <color auto="1"/>
      </bottom>
      <diagonal/>
    </border>
    <border>
      <left/>
      <right/>
      <top style="thin">
        <color rgb="FFD1D5DB"/>
      </top>
      <bottom/>
      <diagonal/>
    </border>
    <border>
      <left/>
      <right style="thin">
        <color rgb="FFD1D5DB"/>
      </right>
      <top style="thin">
        <color rgb="FFD1D5DB"/>
      </top>
      <bottom/>
      <diagonal/>
    </border>
    <border>
      <bottom style="thin"/>
    </border>
  </borders>
  <cellStyleXfs count="2">
    <xf numFmtId="0" fontId="0" fillId="0" borderId="0"/>
    <xf numFmtId="0" fontId="5" fillId="0" borderId="0"/>
  </cellStyleXfs>
  <cellXfs count="3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3" fillId="0" borderId="1" applyAlignment="1" pivotButton="0" quotePrefix="0" xfId="0">
      <alignment vertical="top" wrapText="1"/>
    </xf>
    <xf numFmtId="164" fontId="0" fillId="0" borderId="1" applyAlignment="1" pivotButton="0" quotePrefix="0" xfId="0">
      <alignment vertical="top" wrapText="1"/>
    </xf>
    <xf numFmtId="0" fontId="1" fillId="2" borderId="1" applyAlignment="1" pivotButton="0" quotePrefix="0" xfId="0">
      <alignment horizontal="center" vertical="center" wrapText="1"/>
    </xf>
    <xf numFmtId="0" fontId="3" fillId="0" borderId="0" pivotButton="0" quotePrefix="0" xfId="0"/>
    <xf numFmtId="0" fontId="4" fillId="2" borderId="1" applyAlignment="1" pivotButton="0" quotePrefix="0" xfId="0">
      <alignment vertical="top" wrapText="1"/>
    </xf>
    <xf numFmtId="0" fontId="7" fillId="0" borderId="0" pivotButton="0" quotePrefix="0" xfId="0"/>
    <xf numFmtId="0" fontId="8" fillId="0" borderId="0" pivotButton="0" quotePrefix="0" xfId="0"/>
    <xf numFmtId="0" fontId="7" fillId="0" borderId="0" applyAlignment="1" pivotButton="0" quotePrefix="0" xfId="0">
      <alignment horizontal="center"/>
    </xf>
    <xf numFmtId="0" fontId="0" fillId="3" borderId="4" applyAlignment="1" pivotButton="0" quotePrefix="0" xfId="0">
      <alignment vertical="top" wrapText="1"/>
    </xf>
    <xf numFmtId="0" fontId="5" fillId="3" borderId="4" pivotButton="0" quotePrefix="0" xfId="1"/>
    <xf numFmtId="0" fontId="0" fillId="4" borderId="4" applyAlignment="1" pivotButton="0" quotePrefix="0" xfId="0">
      <alignment vertical="top" wrapText="1"/>
    </xf>
    <xf numFmtId="0" fontId="9" fillId="0" borderId="0" pivotButton="0" quotePrefix="0" xfId="0"/>
    <xf numFmtId="0" fontId="0" fillId="0" borderId="0" pivotButton="0" quotePrefix="0" xfId="0"/>
    <xf numFmtId="0" fontId="6" fillId="0" borderId="0" pivotButton="0" quotePrefix="0" xfId="0"/>
    <xf numFmtId="0" fontId="8" fillId="0" borderId="0" pivotButton="0" quotePrefix="0" xfId="0"/>
    <xf numFmtId="0" fontId="2" fillId="0" borderId="1" applyAlignment="1" pivotButton="0" quotePrefix="0" xfId="0">
      <alignment vertical="top" wrapText="1"/>
    </xf>
    <xf numFmtId="0" fontId="0" fillId="0" borderId="2" pivotButton="0" quotePrefix="0" xfId="0"/>
    <xf numFmtId="0" fontId="0" fillId="0" borderId="3" pivotButton="0" quotePrefix="0" xfId="0"/>
    <xf numFmtId="0" fontId="10" fillId="5" borderId="0" pivotButton="0" quotePrefix="0" xfId="0"/>
    <xf numFmtId="0" fontId="11" fillId="0" borderId="0" pivotButton="0" quotePrefix="0" xfId="0"/>
    <xf numFmtId="0" fontId="12" fillId="0" borderId="0" pivotButton="0" quotePrefix="0" xfId="0"/>
    <xf numFmtId="0" fontId="13" fillId="0" borderId="0" pivotButton="0" quotePrefix="0" xfId="0"/>
    <xf numFmtId="0" fontId="12" fillId="0" borderId="0" applyAlignment="1" pivotButton="0" quotePrefix="0" xfId="0">
      <alignment horizontal="center"/>
    </xf>
    <xf numFmtId="0" fontId="0" fillId="6" borderId="7" applyAlignment="1" pivotButton="0" quotePrefix="0" xfId="0">
      <alignment vertical="top" wrapText="1"/>
    </xf>
    <xf numFmtId="0" fontId="5" fillId="6" borderId="7" pivotButton="0" quotePrefix="0" xfId="1"/>
    <xf numFmtId="0" fontId="0" fillId="7" borderId="7" applyAlignment="1" pivotButton="0" quotePrefix="0" xfId="0">
      <alignment vertical="top" wrapText="1"/>
    </xf>
    <xf numFmtId="0" fontId="14" fillId="0" borderId="0" pivotButton="0" quotePrefix="0" xfId="0"/>
    <xf numFmtId="0" fontId="5" fillId="7" borderId="7" pivotButton="0" quotePrefix="0" xfId="1"/>
    <xf numFmtId="0" fontId="0" fillId="8" borderId="7" applyAlignment="1" pivotButton="0" quotePrefix="0" xfId="0">
      <alignment vertical="top" wrapText="1"/>
    </xf>
    <xf numFmtId="0" fontId="5" fillId="8" borderId="7" pivotButton="0" quotePrefix="0" xfId="1"/>
  </cellXfs>
  <cellStyles count="2">
    <cellStyle name="Normal" xfId="0" builtinId="0"/>
    <cellStyle name="Hyperlink" xfId="1" builtinId="8"/>
  </cellStyles>
  <dxfs count="1">
    <dxf>
      <fill>
        <patternFill patternType="solid">
          <fgColor rgb="FF86EFA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n.jooble.org/desc/-455657989072061680?ckey=software+engineer+intern&amp;rgn=3193&amp;pos=3&amp;elckey=-914241366255621246&amp;p=1&amp;aq=3344858192535340138&amp;cid=389&amp;jobAge=977&amp;brelb=10&amp;bscr=1640.0364&amp;scr=1640.0364" TargetMode="External" Id="rId1" /><Relationship Type="http://schemas.openxmlformats.org/officeDocument/2006/relationships/hyperlink" Target="file:///E:/InternshipHunter/applications/jooble-aef4be558ffb" TargetMode="External" Id="rId2" /><Relationship Type="http://schemas.openxmlformats.org/officeDocument/2006/relationships/hyperlink" Target="https://in.jooble.org/desc/7218822007534742956?ckey=software+engineer+intern&amp;rgn=3193&amp;pos=20&amp;elckey=-914241366255621246&amp;p=1&amp;aq=3344858192535340138&amp;cid=389&amp;jobAge=713&amp;brelb=10&amp;bscr=726.9999&amp;scr=726.9999" TargetMode="External" Id="rId3" /><Relationship Type="http://schemas.openxmlformats.org/officeDocument/2006/relationships/hyperlink" Target="file:///E:/InternshipHunter/applications/jooble-254226cbc559" TargetMode="External" Id="rId4" /><Relationship Type="http://schemas.openxmlformats.org/officeDocument/2006/relationships/hyperlink" Target="https://www.adzuna.in/details/5849688632?utm_medium=api&amp;utm_source=5ccdc27f" TargetMode="External" Id="rId5" /><Relationship Type="http://schemas.openxmlformats.org/officeDocument/2006/relationships/hyperlink" Target="file:///E:/InternshipHunter/applications/adzuna-a9b412fb8d46" TargetMode="External" Id="rId6" /><Relationship Type="http://schemas.openxmlformats.org/officeDocument/2006/relationships/hyperlink" Target="https://in.jooble.org/desc/-4248130782317670470?ckey=software+engineer+intern&amp;rgn=3193&amp;pos=10&amp;elckey=-914241366255621246&amp;p=1&amp;aq=3344858192535340138&amp;cid=389&amp;jobAge=6&amp;brelb=100&amp;bscr=1297.9429&amp;scr=1297.9429" TargetMode="External" Id="rId7" /><Relationship Type="http://schemas.openxmlformats.org/officeDocument/2006/relationships/hyperlink" Target="file:///E:/InternshipHunter/applications/jooble-c1f89795df8c" TargetMode="External" Id="rId8" /><Relationship Type="http://schemas.openxmlformats.org/officeDocument/2006/relationships/hyperlink" Target="https://in.jooble.org/desc/5089802996613037634?ckey=software+engineer+intern&amp;rgn=3193&amp;pos=16&amp;elckey=-914241366255621246&amp;p=1&amp;aq=3344858192535340138&amp;cid=389&amp;jobAge=6329&amp;brelb=100&amp;bscr=869.2715&amp;scr=869.2715" TargetMode="External" Id="rId9" /><Relationship Type="http://schemas.openxmlformats.org/officeDocument/2006/relationships/hyperlink" Target="file:///E:/InternshipHunter/applications/jooble-29d645aac51d" TargetMode="External" Id="rId10" /><Relationship Type="http://schemas.openxmlformats.org/officeDocument/2006/relationships/hyperlink" Target="https://in.jooble.org/desc/-5466943941181979298?ckey=software+engineer+intern&amp;rgn=3193&amp;pos=2&amp;elckey=-914241366255621246&amp;p=1&amp;aq=3344858192535340138&amp;cid=389&amp;jobAge=65&amp;brelb=10&amp;bscr=1680.1357&amp;scr=1680.1357" TargetMode="External" Id="rId11" /><Relationship Type="http://schemas.openxmlformats.org/officeDocument/2006/relationships/hyperlink" Target="file:///E:/InternshipHunter/applications/jooble-04745f7de859" TargetMode="External" Id="rId12" /><Relationship Type="http://schemas.openxmlformats.org/officeDocument/2006/relationships/hyperlink" Target="https://www.adzuna.in/details/5827200226?utm_medium=api&amp;utm_source=5ccdc27f" TargetMode="External" Id="rId13" /><Relationship Type="http://schemas.openxmlformats.org/officeDocument/2006/relationships/hyperlink" Target="file:///E:/InternshipHunter/applications/adzuna-5c386d8a95cc" TargetMode="External" Id="rId14" /><Relationship Type="http://schemas.openxmlformats.org/officeDocument/2006/relationships/hyperlink" Target="https://in.jooble.org/desc/7896815599256894917?ckey=Node.js+intern&amp;rgn=3193&amp;pos=11&amp;elckey=-5733443963698178074&amp;p=1&amp;aq=-4783003923752355042&amp;cid=389&amp;jobAge=257&amp;brelb=10&amp;bscr=1419.432&amp;scr=1419.432" TargetMode="External" Id="rId15" /><Relationship Type="http://schemas.openxmlformats.org/officeDocument/2006/relationships/hyperlink" Target="https://in.jooble.org/desc/-3697916622688250511?ckey=Node.js+intern&amp;rgn=3193&amp;pos=16&amp;elckey=-5733443963698178074&amp;p=1&amp;aq=-4783003923752355042&amp;cid=389&amp;jobAge=809&amp;brelb=10&amp;bscr=1181.2272&amp;scr=1181.2272" TargetMode="External" Id="rId16" /><Relationship Type="http://schemas.openxmlformats.org/officeDocument/2006/relationships/hyperlink" Target="https://www.adzuna.in/details/3148437412?utm_medium=api&amp;utm_source=5ccdc27f" TargetMode="External" Id="rId17" /><Relationship Type="http://schemas.openxmlformats.org/officeDocument/2006/relationships/hyperlink" Target="https://in.jooble.org/desc/3071963684124717842?ckey=full+stack+developer+intern&amp;rgn=3193&amp;pos=1&amp;elckey=-5710832383287184165&amp;p=1&amp;aq=-6539674257181197563&amp;cid=389&amp;jobAge=593&amp;brelb=10&amp;bscr=1443.3765&amp;scr=1443.3765" TargetMode="External" Id="rId18" /><Relationship Type="http://schemas.openxmlformats.org/officeDocument/2006/relationships/hyperlink" Target="https://in.jooble.org/desc/6094868179520231862?ckey=full+stack+developer+intern&amp;rgn=3193&amp;pos=7&amp;elckey=-5710832383287184165&amp;p=1&amp;aq=-6539674257181197563&amp;cid=389&amp;jobAge=329&amp;brelb=100&amp;bscr=554.2362&amp;scr=554.2362" TargetMode="External" Id="rId19" /><Relationship Type="http://schemas.openxmlformats.org/officeDocument/2006/relationships/hyperlink" Target="https://in.jooble.org/desc/-7374053705931243701?ckey=Node.js+intern&amp;rgn=3193&amp;pos=9&amp;elckey=-5733443963698178074&amp;p=1&amp;aq=-4783003923752355042&amp;cid=389&amp;jobAge=233&amp;brelb=10&amp;bscr=1462.0576&amp;scr=1462.0576" TargetMode="External" Id="rId20" /><Relationship Type="http://schemas.openxmlformats.org/officeDocument/2006/relationships/hyperlink" Target="https://in.jooble.org/desc/-5074416721205970863?ckey=Node.js+intern&amp;rgn=3193&amp;pos=18&amp;elckey=-5733443963698178074&amp;p=1&amp;aq=-4783003923752355042&amp;cid=389&amp;jobAge=89&amp;brelb=10&amp;bscr=1129.1272&amp;scr=1129.1272" TargetMode="External" Id="rId21" /><Relationship Type="http://schemas.openxmlformats.org/officeDocument/2006/relationships/hyperlink" Target="https://www.adzuna.in/details/5420122532?utm_medium=api&amp;utm_source=5ccdc27f" TargetMode="External" Id="rId22" /><Relationship Type="http://schemas.openxmlformats.org/officeDocument/2006/relationships/hyperlink" Target="https://www.adzuna.in/details/5811667426?utm_medium=api&amp;utm_source=5ccdc27f" TargetMode="External" Id="rId23" /><Relationship Type="http://schemas.openxmlformats.org/officeDocument/2006/relationships/hyperlink" Target="https://in.jooble.org/desc/6361268409707951745?ckey=software+engineer+intern&amp;rgn=3193&amp;pos=4&amp;elckey=-914241366255621246&amp;p=1&amp;aq=3344858192535340138&amp;cid=389&amp;jobAge=771&amp;brelb=100&amp;bscr=1590.454&amp;scr=1590.454" TargetMode="External" Id="rId24" /><Relationship Type="http://schemas.openxmlformats.org/officeDocument/2006/relationships/hyperlink" Target="https://www.adzuna.in/details/5857747993?utm_medium=api&amp;utm_source=5ccdc27f" TargetMode="External" Id="rId25" /><Relationship Type="http://schemas.openxmlformats.org/officeDocument/2006/relationships/hyperlink" Target="https://www.adzuna.in/details/5879546730?utm_medium=api&amp;utm_source=5ccdc27f" TargetMode="External" Id="rId26" /><Relationship Type="http://schemas.openxmlformats.org/officeDocument/2006/relationships/hyperlink" Target="https://www.adzuna.in/details/5775777688?utm_medium=api&amp;utm_source=5ccdc27f" TargetMode="External" Id="rId27" /><Relationship Type="http://schemas.openxmlformats.org/officeDocument/2006/relationships/hyperlink" Target="https://www.adzuna.in/details/4476844222?utm_medium=api&amp;utm_source=5ccdc27f" TargetMode="External" Id="rId28" /><Relationship Type="http://schemas.openxmlformats.org/officeDocument/2006/relationships/hyperlink" Target="https://www.adzuna.in/details/2087142658?utm_medium=api&amp;utm_source=5ccdc27f" TargetMode="External" Id="rId29" /><Relationship Type="http://schemas.openxmlformats.org/officeDocument/2006/relationships/hyperlink" Target="https://in.jooble.org/desc/4356507815804547926?ckey=full+stack+developer+intern&amp;rgn=3193&amp;pos=6&amp;elckey=-5710832383287184165&amp;p=1&amp;aq=-6539674257181197563&amp;cid=389&amp;jobAge=809&amp;brelb=10&amp;bscr=1243.1244&amp;scr=1243.1244" TargetMode="External" Id="rId30" /><Relationship Type="http://schemas.openxmlformats.org/officeDocument/2006/relationships/hyperlink" Target="https://in.jooble.org/desc/3698294621831243034?ckey=Node.js+intern&amp;rgn=3193&amp;pos=13&amp;elckey=-5733443963698178074&amp;p=1&amp;aq=-4783003923752355042&amp;cid=389&amp;jobAge=89&amp;brelb=10&amp;bscr=1320.1&amp;scr=1320.1" TargetMode="External" Id="rId31" /><Relationship Type="http://schemas.openxmlformats.org/officeDocument/2006/relationships/hyperlink" Target="https://www.adzuna.in/details/5850377111?utm_medium=api&amp;utm_source=5ccdc27f" TargetMode="External" Id="rId32" /><Relationship Type="http://schemas.openxmlformats.org/officeDocument/2006/relationships/hyperlink" Target="https://www.adzuna.in/details/5889570928?utm_medium=api&amp;utm_source=5ccdc27f" TargetMode="External" Id="rId33" /><Relationship Type="http://schemas.openxmlformats.org/officeDocument/2006/relationships/hyperlink" Target="https://www.adzuna.in/details/5565364089?utm_medium=api&amp;utm_source=5ccdc27f" TargetMode="External" Id="rId34" /><Relationship Type="http://schemas.openxmlformats.org/officeDocument/2006/relationships/hyperlink" Target="https://in.jooble.org/desc/5799679831910233464?ckey=software+engineer+intern&amp;rgn=3193&amp;pos=5&amp;elckey=-914241366255621246&amp;p=1&amp;aq=3344858192535340138&amp;cid=389&amp;jobAge=545&amp;brelb=10&amp;bscr=1482.9149&amp;scr=1482.9149" TargetMode="External" Id="rId35" /><Relationship Type="http://schemas.openxmlformats.org/officeDocument/2006/relationships/hyperlink" Target="https://in.jooble.org/desc/-2588912263494949841?ckey=full+stack+developer+intern&amp;rgn=3193&amp;pos=3&amp;elckey=-5710832383287184165&amp;p=1&amp;aq=-6539674257181197563&amp;cid=389&amp;jobAge=593&amp;brelb=10&amp;bscr=1369.7357&amp;scr=1369.7357" TargetMode="External" Id="rId36" /><Relationship Type="http://schemas.openxmlformats.org/officeDocument/2006/relationships/hyperlink" Target="https://www.adzuna.in/details/5625720116?utm_medium=api&amp;utm_source=5ccdc27f" TargetMode="External" Id="rId37" /><Relationship Type="http://schemas.openxmlformats.org/officeDocument/2006/relationships/hyperlink" Target="https://www.adzuna.in/details/4801660754?utm_medium=api&amp;utm_source=5ccdc27f" TargetMode="External" Id="rId38" /><Relationship Type="http://schemas.openxmlformats.org/officeDocument/2006/relationships/hyperlink" Target="https://www.adzuna.in/details/5905923167?utm_medium=api&amp;utm_source=5ccdc27f" TargetMode="External" Id="rId39" /><Relationship Type="http://schemas.openxmlformats.org/officeDocument/2006/relationships/hyperlink" Target="https://in.jooble.org/desc/6188556421007720826?ckey=software+engineer+intern&amp;rgn=3193&amp;pos=1&amp;elckey=-914241366255621246&amp;p=1&amp;aq=3344858192535340138&amp;cid=389&amp;jobAge=65&amp;brelb=10&amp;bscr=1812.0676&amp;scr=1812.0676" TargetMode="External" Id="rId40" /><Relationship Type="http://schemas.openxmlformats.org/officeDocument/2006/relationships/hyperlink" Target="https://www.adzuna.com/details/5639252991?utm_medium=api&amp;utm_source=5ccdc27f" TargetMode="External" Id="rId41" /><Relationship Type="http://schemas.openxmlformats.org/officeDocument/2006/relationships/hyperlink" Target="https://in.jooble.org/desc/-1295742079193352206?ckey=SDE+intern&amp;rgn=3193&amp;pos=2&amp;elckey=5511221380764901055&amp;p=1&amp;aq=-6833300780600067004&amp;cid=389&amp;jobAge=65&amp;brelb=10&amp;bscr=1192.6199&amp;scr=1192.6199" TargetMode="External" Id="rId42" /><Relationship Type="http://schemas.openxmlformats.org/officeDocument/2006/relationships/hyperlink" Target="https://www.adzuna.in/details/4176492451?utm_medium=api&amp;utm_source=5ccdc27f" TargetMode="External" Id="rId43" /></Relationships>
</file>

<file path=xl/worksheets/sheet1.xml><?xml version="1.0" encoding="utf-8"?>
<worksheet xmlns="http://schemas.openxmlformats.org/spreadsheetml/2006/main">
  <sheetPr>
    <outlinePr summaryBelow="1" summaryRight="1"/>
    <pageSetUpPr/>
  </sheetPr>
  <dimension ref="A1:L62"/>
  <sheetViews>
    <sheetView workbookViewId="0">
      <pane ySplit="12" topLeftCell="A13" activePane="bottomLeft" state="frozen"/>
      <selection pane="bottomLeft" activeCell="A1" sqref="A1"/>
    </sheetView>
  </sheetViews>
  <sheetFormatPr baseColWidth="8" defaultRowHeight="15"/>
  <cols>
    <col width="7" customWidth="1" style="15" min="1" max="1"/>
    <col width="28" customWidth="1" style="15" min="2" max="2"/>
    <col width="42" customWidth="1" style="15" min="3" max="3"/>
    <col width="9" customWidth="1" style="15" min="4" max="4"/>
    <col width="17" customWidth="1" style="15" min="5" max="5"/>
    <col width="18" customWidth="1" style="15" min="6" max="6"/>
    <col width="14" customWidth="1" style="15" min="7" max="7"/>
    <col width="20" customWidth="1" style="15" min="8" max="8"/>
    <col width="18" customWidth="1" style="15" min="9" max="9"/>
    <col width="36" customWidth="1" style="15" min="10" max="10"/>
    <col width="20" customWidth="1" style="15" min="11" max="11"/>
    <col width="18" customWidth="1" style="15" min="12" max="12"/>
  </cols>
  <sheetData>
    <row r="1">
      <c r="A1" s="22" t="inlineStr">
        <is>
          <t>AMAAN INTERNSHIP ECOSYSTEM — MORNING DASHBOARD</t>
        </is>
      </c>
    </row>
    <row r="2">
      <c r="A2" t="inlineStr">
        <is>
          <t>Updated: 2026-10-02</t>
        </is>
      </c>
    </row>
    <row r="3">
      <c r="A3" t="inlineStr">
        <is>
          <t>Workflow: Discover → Analyze → Shortlist → Apply-Assist → Apply → Track</t>
        </is>
      </c>
    </row>
    <row r="5">
      <c r="A5" s="23" t="inlineStr">
        <is>
          <t>Relevant/Tracked Jobs</t>
        </is>
      </c>
      <c r="B5" s="23" t="inlineStr">
        <is>
          <t>Apply Queue</t>
        </is>
      </c>
      <c r="C5" s="23" t="inlineStr">
        <is>
          <t>APPLY ASAP</t>
        </is>
      </c>
      <c r="D5" s="23" t="inlineStr">
        <is>
          <t>APPLY</t>
        </is>
      </c>
      <c r="E5" s="23" t="inlineStr">
        <is>
          <t>Kits Ready</t>
        </is>
      </c>
      <c r="F5" s="23" t="inlineStr">
        <is>
          <t>Applied</t>
        </is>
      </c>
    </row>
    <row r="6">
      <c r="A6" s="24" t="n">
        <v>206</v>
      </c>
      <c r="B6" s="24" t="n">
        <v>36</v>
      </c>
      <c r="C6" s="24" t="n">
        <v>0</v>
      </c>
      <c r="D6" s="24" t="n">
        <v>7</v>
      </c>
      <c r="E6" s="24" t="n">
        <v>7</v>
      </c>
      <c r="F6" s="24" t="n">
        <v>0</v>
      </c>
    </row>
    <row r="9">
      <c r="A9" s="24" t="inlineStr">
        <is>
          <t>APPLY QUEUE</t>
        </is>
      </c>
    </row>
    <row r="10">
      <c r="A10" t="inlineStr">
        <is>
          <t>Review APPLY ASAP first. Open the job, review the generated kit, then apply manually.</t>
        </is>
      </c>
    </row>
    <row r="12">
      <c r="A12" s="25" t="inlineStr">
        <is>
          <t>Rank</t>
        </is>
      </c>
      <c r="B12" s="25" t="inlineStr">
        <is>
          <t>Company</t>
        </is>
      </c>
      <c r="C12" s="25" t="inlineStr">
        <is>
          <t>Role</t>
        </is>
      </c>
      <c r="D12" s="25" t="inlineStr">
        <is>
          <t>Score</t>
        </is>
      </c>
      <c r="E12" s="25" t="inlineStr">
        <is>
          <t>Recommendation</t>
        </is>
      </c>
      <c r="F12" s="25" t="inlineStr">
        <is>
          <t>Location</t>
        </is>
      </c>
      <c r="G12" s="25" t="inlineStr">
        <is>
          <t>Work Mode</t>
        </is>
      </c>
      <c r="H12" s="25" t="inlineStr">
        <is>
          <t>Stipend</t>
        </is>
      </c>
      <c r="I12" s="25" t="inlineStr">
        <is>
          <t>PPO</t>
        </is>
      </c>
      <c r="J12" s="25" t="inlineStr">
        <is>
          <t>Resume</t>
        </is>
      </c>
      <c r="K12" s="25" t="inlineStr">
        <is>
          <t>Application Kit</t>
        </is>
      </c>
      <c r="L12" s="25" t="inlineStr">
        <is>
          <t>Status</t>
        </is>
      </c>
    </row>
    <row r="13">
      <c r="A13" s="28" t="n">
        <v>1</v>
      </c>
      <c r="B13" s="28" t="inlineStr">
        <is>
          <t>weekday (yc w21)</t>
        </is>
      </c>
      <c r="C13" s="30" t="inlineStr">
        <is>
          <t>Software Engineer Intern</t>
        </is>
      </c>
      <c r="D13" s="28" t="n">
        <v>88</v>
      </c>
      <c r="E13" s="28" t="inlineStr">
        <is>
          <t>APPLY</t>
        </is>
      </c>
      <c r="F13" s="28" t="inlineStr">
        <is>
          <t>Bengaluru</t>
        </is>
      </c>
      <c r="G13" s="28" t="inlineStr">
        <is>
          <t>Hybrid</t>
        </is>
      </c>
      <c r="H13" s="28" t="inlineStr">
        <is>
          <t>₹30,000 – ₹50,000 per month</t>
        </is>
      </c>
      <c r="I13" s="28" t="inlineStr">
        <is>
          <t>not_mentioned</t>
        </is>
      </c>
      <c r="J13" s="28" t="inlineStr">
        <is>
          <t>Standard Full Stack / Software Engineer Intern Resume</t>
        </is>
      </c>
      <c r="K13" s="30" t="inlineStr">
        <is>
          <t>OPEN KIT</t>
        </is>
      </c>
      <c r="L13" s="28" t="inlineStr">
        <is>
          <t>READY TO APPLY</t>
        </is>
      </c>
    </row>
    <row r="14">
      <c r="A14" s="28" t="n">
        <v>2</v>
      </c>
      <c r="B14" s="28" t="inlineStr">
        <is>
          <t>Nxtwave Disruptive Technologies Private Limited</t>
        </is>
      </c>
      <c r="C14" s="30" t="inlineStr">
        <is>
          <t>MERN Developer - Intern</t>
        </is>
      </c>
      <c r="D14" s="28" t="n">
        <v>86</v>
      </c>
      <c r="E14" s="28" t="inlineStr">
        <is>
          <t>APPLY</t>
        </is>
      </c>
      <c r="F14" s="28" t="inlineStr">
        <is>
          <t>Bangalore</t>
        </is>
      </c>
      <c r="G14" s="28" t="inlineStr">
        <is>
          <t>Offline</t>
        </is>
      </c>
      <c r="H14" s="28" t="inlineStr">
        <is>
          <t>20,000/month</t>
        </is>
      </c>
      <c r="I14" s="28" t="inlineStr">
        <is>
          <t>explicit</t>
        </is>
      </c>
      <c r="J14" s="28" t="inlineStr">
        <is>
          <t>Default Full Stack / MERN Resume</t>
        </is>
      </c>
      <c r="K14" s="30" t="inlineStr">
        <is>
          <t>OPEN KIT</t>
        </is>
      </c>
      <c r="L14" s="28" t="inlineStr">
        <is>
          <t>READY TO APPLY</t>
        </is>
      </c>
    </row>
    <row r="15">
      <c r="A15" s="28" t="n">
        <v>3</v>
      </c>
      <c r="B15" s="28" t="inlineStr">
        <is>
          <t>Weekday</t>
        </is>
      </c>
      <c r="C15" s="30" t="inlineStr">
        <is>
          <t>Software Engineer Intern</t>
        </is>
      </c>
      <c r="D15" s="28" t="n">
        <v>84</v>
      </c>
      <c r="E15" s="28" t="inlineStr">
        <is>
          <t>APPLY</t>
        </is>
      </c>
      <c r="F15" s="28" t="inlineStr">
        <is>
          <t>Bengaluru (Remote)</t>
        </is>
      </c>
      <c r="G15" s="28" t="inlineStr">
        <is>
          <t>Remote</t>
        </is>
      </c>
      <c r="H15" s="28" t="inlineStr">
        <is>
          <t>₹30,000 – ₹50,000 per month</t>
        </is>
      </c>
      <c r="I15" s="28" t="inlineStr">
        <is>
          <t>UNKNOWN</t>
        </is>
      </c>
      <c r="J15" s="28" t="inlineStr">
        <is>
          <t>Standard Full Stack / Software Engineering Resume emphasizing JavaScript, Node.js, Express, and Angular experience.</t>
        </is>
      </c>
      <c r="K15" s="30" t="inlineStr">
        <is>
          <t>OPEN KIT</t>
        </is>
      </c>
      <c r="L15" s="28" t="inlineStr">
        <is>
          <t>READY TO APPLY</t>
        </is>
      </c>
    </row>
    <row r="16">
      <c r="A16" s="28" t="n">
        <v>4</v>
      </c>
      <c r="B16" s="28" t="inlineStr">
        <is>
          <t>HackerRank Careers</t>
        </is>
      </c>
      <c r="C16" s="30" t="inlineStr">
        <is>
          <t>Software Development Engineer Intern</t>
        </is>
      </c>
      <c r="D16" s="28" t="n">
        <v>83</v>
      </c>
      <c r="E16" s="28" t="inlineStr">
        <is>
          <t>APPLY</t>
        </is>
      </c>
      <c r="F16" s="28" t="inlineStr">
        <is>
          <t>Bengaluru, India</t>
        </is>
      </c>
      <c r="G16" s="28" t="inlineStr">
        <is>
          <t>Onsite</t>
        </is>
      </c>
      <c r="H16" s="28" t="inlineStr">
        <is>
          <t>Paid Internship</t>
        </is>
      </c>
      <c r="I16" s="28" t="inlineStr">
        <is>
          <t>Yes</t>
        </is>
      </c>
      <c r="J16" s="28" t="inlineStr">
        <is>
          <t>Default Full Stack / Software Engineer Resume</t>
        </is>
      </c>
      <c r="K16" s="30" t="inlineStr">
        <is>
          <t>OPEN KIT</t>
        </is>
      </c>
      <c r="L16" s="28" t="inlineStr">
        <is>
          <t>READY TO APPLY</t>
        </is>
      </c>
    </row>
    <row r="17">
      <c r="A17" s="28" t="n">
        <v>5</v>
      </c>
      <c r="B17" s="28" t="inlineStr">
        <is>
          <t>Outbox.vc</t>
        </is>
      </c>
      <c r="C17" s="30" t="inlineStr">
        <is>
          <t>Software Developer - Intern</t>
        </is>
      </c>
      <c r="D17" s="28" t="n">
        <v>82</v>
      </c>
      <c r="E17" s="28" t="inlineStr">
        <is>
          <t>APPLY</t>
        </is>
      </c>
      <c r="F17" s="28" t="inlineStr">
        <is>
          <t>Bangalore</t>
        </is>
      </c>
      <c r="G17" s="28" t="inlineStr">
        <is>
          <t>On-site / Unspecified</t>
        </is>
      </c>
      <c r="H17" s="28" t="inlineStr">
        <is>
          <t>Rs 30000 - Rs 35000 per month</t>
        </is>
      </c>
      <c r="I17" s="28" t="inlineStr">
        <is>
          <t>NOT_MENTIONED</t>
        </is>
      </c>
      <c r="J17" s="28" t="inlineStr">
        <is>
          <t>Default Full Stack / Backend Resume</t>
        </is>
      </c>
      <c r="K17" s="30" t="inlineStr">
        <is>
          <t>OPEN KIT</t>
        </is>
      </c>
      <c r="L17" s="28" t="inlineStr">
        <is>
          <t>READY TO APPLY</t>
        </is>
      </c>
    </row>
    <row r="18">
      <c r="A18" s="28" t="n">
        <v>6</v>
      </c>
      <c r="B18" s="28" t="inlineStr">
        <is>
          <t>Amli Media</t>
        </is>
      </c>
      <c r="C18" s="30" t="inlineStr">
        <is>
          <t>Software Engineer Intern</t>
        </is>
      </c>
      <c r="D18" s="28" t="n">
        <v>80</v>
      </c>
      <c r="E18" s="28" t="inlineStr">
        <is>
          <t>APPLY</t>
        </is>
      </c>
      <c r="F18" s="28" t="inlineStr">
        <is>
          <t>Bengaluru</t>
        </is>
      </c>
      <c r="G18" s="28" t="inlineStr">
        <is>
          <t>Hybrid</t>
        </is>
      </c>
      <c r="H18" s="28" t="inlineStr">
        <is>
          <t>Competitive</t>
        </is>
      </c>
      <c r="I18" s="28" t="inlineStr">
        <is>
          <t>AVAILABLE</t>
        </is>
      </c>
      <c r="J18" s="28" t="inlineStr">
        <is>
          <t>Default Full Stack / Backend Resume</t>
        </is>
      </c>
      <c r="K18" s="30" t="inlineStr">
        <is>
          <t>OPEN KIT</t>
        </is>
      </c>
      <c r="L18" s="28" t="inlineStr">
        <is>
          <t>READY TO APPLY</t>
        </is>
      </c>
    </row>
    <row r="19">
      <c r="A19" s="28" t="n">
        <v>7</v>
      </c>
      <c r="B19" s="28" t="inlineStr">
        <is>
          <t>Paathz</t>
        </is>
      </c>
      <c r="C19" s="30" t="inlineStr">
        <is>
          <t>Software Engineer Intern MERN</t>
        </is>
      </c>
      <c r="D19" s="28" t="n">
        <v>80</v>
      </c>
      <c r="E19" s="28" t="inlineStr">
        <is>
          <t>APPLY</t>
        </is>
      </c>
      <c r="F19" s="28" t="inlineStr">
        <is>
          <t>Hyderabad, Telangana</t>
        </is>
      </c>
      <c r="G19" s="28" t="inlineStr">
        <is>
          <t>UNKNOWN</t>
        </is>
      </c>
      <c r="H19" s="28" t="inlineStr"/>
      <c r="I19" s="28" t="inlineStr">
        <is>
          <t>UNKNOWN</t>
        </is>
      </c>
      <c r="J19" s="28" t="inlineStr">
        <is>
          <t>Amaanuddin_Ahmed_Resume_MERN_FullStack.pdf</t>
        </is>
      </c>
      <c r="K19" s="30" t="inlineStr">
        <is>
          <t>OPEN KIT</t>
        </is>
      </c>
      <c r="L19" s="28" t="inlineStr">
        <is>
          <t>READY TO APPLY</t>
        </is>
      </c>
    </row>
    <row r="20">
      <c r="A20" s="31" t="n">
        <v>8</v>
      </c>
      <c r="B20" s="31" t="inlineStr">
        <is>
          <t>yourfriendlyhr</t>
        </is>
      </c>
      <c r="C20" s="32" t="inlineStr">
        <is>
          <t>Software Development Intern - Full Stack / Backend Focus</t>
        </is>
      </c>
      <c r="D20" s="31" t="n">
        <v>79</v>
      </c>
      <c r="E20" s="31" t="inlineStr">
        <is>
          <t>CONSIDER</t>
        </is>
      </c>
      <c r="F20" s="31" t="inlineStr">
        <is>
          <t>HRBR Layout, Kalyan Nagar, Bengaluru, Karnataka</t>
        </is>
      </c>
      <c r="G20" s="31" t="inlineStr">
        <is>
          <t>On-site</t>
        </is>
      </c>
      <c r="H20" s="31" t="inlineStr"/>
      <c r="I20" s="31" t="inlineStr">
        <is>
          <t>UNKNOWN</t>
        </is>
      </c>
      <c r="J20" s="31" t="inlineStr">
        <is>
          <t>Default Full Stack / Backend Resume</t>
        </is>
      </c>
      <c r="K20" s="31" t="inlineStr">
        <is>
          <t>NOT GENERATED</t>
        </is>
      </c>
      <c r="L20" s="31" t="inlineStr">
        <is>
          <t>READY TO APPLY</t>
        </is>
      </c>
    </row>
    <row r="21">
      <c r="A21" s="31" t="n">
        <v>9</v>
      </c>
      <c r="B21" s="31" t="inlineStr">
        <is>
          <t>Smytten (PulseAI Research)</t>
        </is>
      </c>
      <c r="C21" s="32" t="inlineStr">
        <is>
          <t>Software Development Engineer Intern - Backend</t>
        </is>
      </c>
      <c r="D21" s="31" t="n">
        <v>79</v>
      </c>
      <c r="E21" s="31" t="inlineStr">
        <is>
          <t>CONSIDER</t>
        </is>
      </c>
      <c r="F21" s="31" t="inlineStr">
        <is>
          <t>Bangalore</t>
        </is>
      </c>
      <c r="G21" s="31" t="inlineStr">
        <is>
          <t>On-site</t>
        </is>
      </c>
      <c r="H21" s="31" t="inlineStr">
        <is>
          <t>This is a paid internship.</t>
        </is>
      </c>
      <c r="I21" s="31" t="inlineStr">
        <is>
          <t>AVAILABLE</t>
        </is>
      </c>
      <c r="J21" s="31" t="inlineStr">
        <is>
          <t>Standard Full-Stack Resume highlighting Node.js, Express, MySQL, MongoDB, and REST API development experience.</t>
        </is>
      </c>
      <c r="K21" s="31" t="inlineStr">
        <is>
          <t>NOT GENERATED</t>
        </is>
      </c>
      <c r="L21" s="31" t="inlineStr">
        <is>
          <t>READY TO APPLY</t>
        </is>
      </c>
    </row>
    <row r="22">
      <c r="A22" s="31" t="n">
        <v>10</v>
      </c>
      <c r="B22" s="31" t="inlineStr">
        <is>
          <t>Ylytic</t>
        </is>
      </c>
      <c r="C22" s="32" t="inlineStr">
        <is>
          <t>Backend Developer Intern</t>
        </is>
      </c>
      <c r="D22" s="31" t="n">
        <v>79</v>
      </c>
      <c r="E22" s="31" t="inlineStr">
        <is>
          <t>CONSIDER</t>
        </is>
      </c>
      <c r="F22" s="31" t="inlineStr">
        <is>
          <t>India</t>
        </is>
      </c>
      <c r="G22" s="31" t="inlineStr">
        <is>
          <t>UNKNOWN</t>
        </is>
      </c>
      <c r="H22" s="31" t="inlineStr">
        <is>
          <t>Not specified</t>
        </is>
      </c>
      <c r="I22" s="31" t="inlineStr">
        <is>
          <t>YES</t>
        </is>
      </c>
      <c r="J22" s="31" t="inlineStr">
        <is>
          <t>Standard Full Stack / Backend Resume</t>
        </is>
      </c>
      <c r="K22" s="31" t="inlineStr">
        <is>
          <t>NOT GENERATED</t>
        </is>
      </c>
      <c r="L22" s="31" t="inlineStr">
        <is>
          <t>READY TO APPLY</t>
        </is>
      </c>
    </row>
    <row r="23">
      <c r="A23" s="31" t="n">
        <v>11</v>
      </c>
      <c r="B23" s="31" t="inlineStr">
        <is>
          <t>emo.energy</t>
        </is>
      </c>
      <c r="C23" s="32" t="inlineStr">
        <is>
          <t>Full-Stack Developer</t>
        </is>
      </c>
      <c r="D23" s="31" t="n">
        <v>78</v>
      </c>
      <c r="E23" s="31" t="inlineStr">
        <is>
          <t>CONSIDER</t>
        </is>
      </c>
      <c r="F23" s="31" t="inlineStr">
        <is>
          <t>Bangalore</t>
        </is>
      </c>
      <c r="G23" s="31" t="inlineStr">
        <is>
          <t>On-site</t>
        </is>
      </c>
      <c r="H23" s="31" t="inlineStr">
        <is>
          <t>Not specified</t>
        </is>
      </c>
      <c r="I23" s="31" t="inlineStr">
        <is>
          <t>UNKNOWN</t>
        </is>
      </c>
      <c r="J23" s="31" t="inlineStr">
        <is>
          <t>Default Full-Stack / Angular Resume</t>
        </is>
      </c>
      <c r="K23" s="31" t="inlineStr">
        <is>
          <t>NOT GENERATED</t>
        </is>
      </c>
      <c r="L23" s="31" t="inlineStr">
        <is>
          <t>READY TO APPLY</t>
        </is>
      </c>
    </row>
    <row r="24">
      <c r="A24" s="31" t="n">
        <v>12</v>
      </c>
      <c r="B24" s="31" t="inlineStr">
        <is>
          <t>TaslaInfo</t>
        </is>
      </c>
      <c r="C24" s="32" t="inlineStr">
        <is>
          <t>Full Stack Developer - Fresher</t>
        </is>
      </c>
      <c r="D24" s="31" t="n">
        <v>78</v>
      </c>
      <c r="E24" s="31" t="inlineStr">
        <is>
          <t>CONSIDER</t>
        </is>
      </c>
      <c r="F24" s="31" t="inlineStr">
        <is>
          <t>Bangalore</t>
        </is>
      </c>
      <c r="G24" s="31" t="inlineStr">
        <is>
          <t>Onsite</t>
        </is>
      </c>
      <c r="H24" s="31" t="inlineStr">
        <is>
          <t>₹ 2,10,000 - 2,70,000 /year</t>
        </is>
      </c>
      <c r="I24" s="31" t="inlineStr">
        <is>
          <t>UNKNOWN</t>
        </is>
      </c>
      <c r="J24" s="31" t="inlineStr">
        <is>
          <t>Standard Full Stack Developer Resume focusing on Angular, Node.js, Express, and SQL projects like Sunflower Trip and StaySphere.</t>
        </is>
      </c>
      <c r="K24" s="31" t="inlineStr">
        <is>
          <t>NOT GENERATED</t>
        </is>
      </c>
      <c r="L24" s="31" t="inlineStr">
        <is>
          <t>READY TO APPLY</t>
        </is>
      </c>
    </row>
    <row r="25">
      <c r="A25" s="31" t="n">
        <v>13</v>
      </c>
      <c r="B25" s="31" t="inlineStr">
        <is>
          <t>abstrabit technologies</t>
        </is>
      </c>
      <c r="C25" s="32" t="inlineStr">
        <is>
          <t>Software Engineering Intern</t>
        </is>
      </c>
      <c r="D25" s="31" t="n">
        <v>78</v>
      </c>
      <c r="E25" s="31" t="inlineStr">
        <is>
          <t>CONSIDER</t>
        </is>
      </c>
      <c r="F25" s="31" t="inlineStr">
        <is>
          <t>Bangalore</t>
        </is>
      </c>
      <c r="G25" s="31" t="inlineStr">
        <is>
          <t>On-site / Local presence required</t>
        </is>
      </c>
      <c r="H25" s="31" t="inlineStr">
        <is>
          <t>Not specified</t>
        </is>
      </c>
      <c r="I25" s="31" t="inlineStr">
        <is>
          <t>Not Mentioned</t>
        </is>
      </c>
      <c r="J25" s="31" t="inlineStr">
        <is>
          <t>Default Full Stack / Software Engineer Resume highlighting MERN and Node.js projects</t>
        </is>
      </c>
      <c r="K25" s="31" t="inlineStr">
        <is>
          <t>NOT GENERATED</t>
        </is>
      </c>
      <c r="L25" s="31" t="inlineStr">
        <is>
          <t>READY TO APPLY</t>
        </is>
      </c>
    </row>
    <row r="26">
      <c r="A26" s="31" t="n">
        <v>14</v>
      </c>
      <c r="B26" s="31" t="inlineStr">
        <is>
          <t>Turbostart</t>
        </is>
      </c>
      <c r="C26" s="32" t="inlineStr">
        <is>
          <t>Forward Deployment Engineer Intern</t>
        </is>
      </c>
      <c r="D26" s="31" t="n">
        <v>78</v>
      </c>
      <c r="E26" s="31" t="inlineStr">
        <is>
          <t>CONSIDER</t>
        </is>
      </c>
      <c r="F26" s="31" t="inlineStr">
        <is>
          <t>Bengaluru</t>
        </is>
      </c>
      <c r="G26" s="31" t="inlineStr">
        <is>
          <t>On-site</t>
        </is>
      </c>
      <c r="H26" s="31" t="inlineStr">
        <is>
          <t>Not specified</t>
        </is>
      </c>
      <c r="I26" s="31" t="inlineStr">
        <is>
          <t>Not Mentioned</t>
        </is>
      </c>
      <c r="J26" s="31" t="inlineStr">
        <is>
          <t>Amaanuddin_Ahmed_Resume.pdf</t>
        </is>
      </c>
      <c r="K26" s="31" t="inlineStr">
        <is>
          <t>NOT GENERATED</t>
        </is>
      </c>
      <c r="L26" s="31" t="inlineStr">
        <is>
          <t>READY TO APPLY</t>
        </is>
      </c>
    </row>
    <row r="27">
      <c r="A27" s="31" t="n">
        <v>15</v>
      </c>
      <c r="B27" s="31" t="inlineStr">
        <is>
          <t>Pitchline</t>
        </is>
      </c>
      <c r="C27" s="32" t="inlineStr">
        <is>
          <t>Full Stack Developer Intern</t>
        </is>
      </c>
      <c r="D27" s="31" t="n">
        <v>78</v>
      </c>
      <c r="E27" s="31" t="inlineStr">
        <is>
          <t>CONSIDER</t>
        </is>
      </c>
      <c r="F27" s="31" t="inlineStr">
        <is>
          <t>India</t>
        </is>
      </c>
      <c r="G27" s="31" t="inlineStr">
        <is>
          <t>remote</t>
        </is>
      </c>
      <c r="H27" s="31" t="inlineStr">
        <is>
          <t>₹20,000 - ₹30,000/month</t>
        </is>
      </c>
      <c r="I27" s="31" t="inlineStr">
        <is>
          <t>not_mentioned</t>
        </is>
      </c>
      <c r="J27" s="31" t="inlineStr">
        <is>
          <t>Default Full Stack / MERN Resume</t>
        </is>
      </c>
      <c r="K27" s="31" t="inlineStr">
        <is>
          <t>NOT GENERATED</t>
        </is>
      </c>
      <c r="L27" s="31" t="inlineStr">
        <is>
          <t>READY TO APPLY</t>
        </is>
      </c>
    </row>
    <row r="28">
      <c r="A28" s="31" t="n">
        <v>16</v>
      </c>
      <c r="B28" s="31" t="inlineStr">
        <is>
          <t>Idli Technologies Pvt Ltd</t>
        </is>
      </c>
      <c r="C28" s="32" t="inlineStr">
        <is>
          <t>MERN Stack Developer Internship</t>
        </is>
      </c>
      <c r="D28" s="31" t="n">
        <v>78</v>
      </c>
      <c r="E28" s="31" t="inlineStr">
        <is>
          <t>CONSIDER</t>
        </is>
      </c>
      <c r="F28" s="31" t="inlineStr">
        <is>
          <t>Raipur, Chhattisgarh</t>
        </is>
      </c>
      <c r="G28" s="31" t="inlineStr">
        <is>
          <t>UNKNOWN</t>
        </is>
      </c>
      <c r="H28" s="31" t="inlineStr"/>
      <c r="I28" s="31" t="inlineStr">
        <is>
          <t>UNKNOWN</t>
        </is>
      </c>
      <c r="J28" s="31" t="inlineStr">
        <is>
          <t>Full_Stack_Developer_Resume</t>
        </is>
      </c>
      <c r="K28" s="31" t="inlineStr">
        <is>
          <t>NOT GENERATED</t>
        </is>
      </c>
      <c r="L28" s="31" t="inlineStr">
        <is>
          <t>READY TO APPLY</t>
        </is>
      </c>
    </row>
    <row r="29">
      <c r="A29" s="31" t="n">
        <v>17</v>
      </c>
      <c r="B29" s="31" t="inlineStr">
        <is>
          <t>Stripe</t>
        </is>
      </c>
      <c r="C29" s="32" t="inlineStr">
        <is>
          <t>Software Engineer, Intern</t>
        </is>
      </c>
      <c r="D29" s="31" t="n">
        <v>77</v>
      </c>
      <c r="E29" s="31" t="inlineStr">
        <is>
          <t>CONSIDER</t>
        </is>
      </c>
      <c r="F29" s="31" t="inlineStr">
        <is>
          <t>Bangalore</t>
        </is>
      </c>
      <c r="G29" s="31" t="inlineStr">
        <is>
          <t>Remote/On-site</t>
        </is>
      </c>
      <c r="H29" s="31" t="inlineStr">
        <is>
          <t>Not specified</t>
        </is>
      </c>
      <c r="I29" s="31" t="inlineStr">
        <is>
          <t>NOT_EXPLICITLY_MENTIONED</t>
        </is>
      </c>
      <c r="J29" s="31" t="inlineStr">
        <is>
          <t>Amaanuddin_Ahmed_Resume_FullStack.pdf</t>
        </is>
      </c>
      <c r="K29" s="31" t="inlineStr">
        <is>
          <t>NOT GENERATED</t>
        </is>
      </c>
      <c r="L29" s="31" t="inlineStr">
        <is>
          <t>READY TO APPLY</t>
        </is>
      </c>
    </row>
    <row r="30">
      <c r="A30" s="31" t="n">
        <v>18</v>
      </c>
      <c r="B30" s="31" t="inlineStr">
        <is>
          <t>Techolution India Private Limited</t>
        </is>
      </c>
      <c r="C30" s="32" t="inlineStr">
        <is>
          <t>Full Stack Developer- Intern</t>
        </is>
      </c>
      <c r="D30" s="31" t="n">
        <v>77</v>
      </c>
      <c r="E30" s="31" t="inlineStr">
        <is>
          <t>CONSIDER</t>
        </is>
      </c>
      <c r="F30" s="31" t="inlineStr">
        <is>
          <t>Hyderabad, Telangana</t>
        </is>
      </c>
      <c r="G30" s="31" t="inlineStr">
        <is>
          <t>Unknown</t>
        </is>
      </c>
      <c r="H30" s="31" t="inlineStr">
        <is>
          <t>Not specified</t>
        </is>
      </c>
      <c r="I30" s="31" t="inlineStr">
        <is>
          <t>Not Mentioned</t>
        </is>
      </c>
      <c r="J30" s="31" t="inlineStr">
        <is>
          <t>Standard Full Stack / MERN Resume</t>
        </is>
      </c>
      <c r="K30" s="31" t="inlineStr">
        <is>
          <t>NOT GENERATED</t>
        </is>
      </c>
      <c r="L30" s="31" t="inlineStr">
        <is>
          <t>READY TO APPLY</t>
        </is>
      </c>
    </row>
    <row r="31">
      <c r="A31" s="31" t="n">
        <v>19</v>
      </c>
      <c r="B31" s="31" t="inlineStr">
        <is>
          <t>Octalbees</t>
        </is>
      </c>
      <c r="C31" s="32" t="inlineStr">
        <is>
          <t>MERN Stack Developer Intern</t>
        </is>
      </c>
      <c r="D31" s="31" t="n">
        <v>77</v>
      </c>
      <c r="E31" s="31" t="inlineStr">
        <is>
          <t>CONSIDER</t>
        </is>
      </c>
      <c r="F31" s="31" t="inlineStr">
        <is>
          <t>India</t>
        </is>
      </c>
      <c r="G31" s="31" t="inlineStr">
        <is>
          <t>Unknown</t>
        </is>
      </c>
      <c r="H31" s="31" t="inlineStr">
        <is>
          <t>Not specified</t>
        </is>
      </c>
      <c r="I31" s="31" t="inlineStr">
        <is>
          <t>UNKNOWN</t>
        </is>
      </c>
      <c r="J31" s="31" t="inlineStr">
        <is>
          <t>Amaanuddin_Ahmed_Resume_MERN_Stack.pdf</t>
        </is>
      </c>
      <c r="K31" s="31" t="inlineStr">
        <is>
          <t>NOT GENERATED</t>
        </is>
      </c>
      <c r="L31" s="31" t="inlineStr">
        <is>
          <t>READY TO APPLY</t>
        </is>
      </c>
    </row>
    <row r="32">
      <c r="A32" s="31" t="n">
        <v>20</v>
      </c>
      <c r="B32" s="31" t="inlineStr">
        <is>
          <t>Microsoft Corporation</t>
        </is>
      </c>
      <c r="C32" s="32" t="inlineStr">
        <is>
          <t>Software Engineering INTERN</t>
        </is>
      </c>
      <c r="D32" s="31" t="n">
        <v>76</v>
      </c>
      <c r="E32" s="31" t="inlineStr">
        <is>
          <t>CONSIDER</t>
        </is>
      </c>
      <c r="F32" s="31" t="inlineStr">
        <is>
          <t>India</t>
        </is>
      </c>
      <c r="G32" s="31" t="inlineStr">
        <is>
          <t>Unknown</t>
        </is>
      </c>
      <c r="H32" s="31" t="inlineStr">
        <is>
          <t>Not specified</t>
        </is>
      </c>
      <c r="I32" s="31" t="inlineStr">
        <is>
          <t>UNKNOWN</t>
        </is>
      </c>
      <c r="J32" s="31" t="inlineStr">
        <is>
          <t>Standard Full Stack / Software Engineer Resume highlighting C# and Angular experience alongside MERN projects.</t>
        </is>
      </c>
      <c r="K32" s="31" t="inlineStr">
        <is>
          <t>NOT GENERATED</t>
        </is>
      </c>
      <c r="L32" s="31" t="inlineStr">
        <is>
          <t>READY TO APPLY</t>
        </is>
      </c>
    </row>
    <row r="33">
      <c r="A33" s="31" t="n">
        <v>21</v>
      </c>
      <c r="B33" s="31" t="inlineStr">
        <is>
          <t>TransFi</t>
        </is>
      </c>
      <c r="C33" s="32" t="inlineStr">
        <is>
          <t>MERN Full Stack Developer Intern</t>
        </is>
      </c>
      <c r="D33" s="31" t="n">
        <v>76</v>
      </c>
      <c r="E33" s="31" t="inlineStr">
        <is>
          <t>CONSIDER</t>
        </is>
      </c>
      <c r="F33" s="31" t="inlineStr">
        <is>
          <t>Mysore, Karnataka</t>
        </is>
      </c>
      <c r="G33" s="31" t="inlineStr">
        <is>
          <t>On-site</t>
        </is>
      </c>
      <c r="H33" s="31" t="inlineStr">
        <is>
          <t>Not specified</t>
        </is>
      </c>
      <c r="I33" s="31" t="inlineStr">
        <is>
          <t>UNKNOWN</t>
        </is>
      </c>
      <c r="J33" s="31" t="inlineStr">
        <is>
          <t>Primary MERN / Full Stack Resume</t>
        </is>
      </c>
      <c r="K33" s="31" t="inlineStr">
        <is>
          <t>NOT GENERATED</t>
        </is>
      </c>
      <c r="L33" s="31" t="inlineStr">
        <is>
          <t>READY TO APPLY</t>
        </is>
      </c>
    </row>
    <row r="34">
      <c r="A34" s="31" t="n">
        <v>22</v>
      </c>
      <c r="B34" s="31" t="inlineStr">
        <is>
          <t>Garnish Company</t>
        </is>
      </c>
      <c r="C34" s="32" t="inlineStr">
        <is>
          <t>Backend Developer Intern</t>
        </is>
      </c>
      <c r="D34" s="31" t="n">
        <v>76</v>
      </c>
      <c r="E34" s="31" t="inlineStr">
        <is>
          <t>CONSIDER</t>
        </is>
      </c>
      <c r="F34" s="31" t="inlineStr">
        <is>
          <t>Hyderabad, Telangana</t>
        </is>
      </c>
      <c r="G34" s="31" t="inlineStr">
        <is>
          <t>Unknown</t>
        </is>
      </c>
      <c r="H34" s="31" t="inlineStr"/>
      <c r="I34" s="31" t="inlineStr">
        <is>
          <t>NOT_MENTIONED</t>
        </is>
      </c>
      <c r="J34" s="31" t="inlineStr">
        <is>
          <t>Standard Full Stack Resume</t>
        </is>
      </c>
      <c r="K34" s="31" t="inlineStr">
        <is>
          <t>NOT GENERATED</t>
        </is>
      </c>
      <c r="L34" s="31" t="inlineStr">
        <is>
          <t>READY TO APPLY</t>
        </is>
      </c>
    </row>
    <row r="35">
      <c r="A35" s="31" t="n">
        <v>23</v>
      </c>
      <c r="B35" s="31" t="inlineStr">
        <is>
          <t>ai4sees private ltd</t>
        </is>
      </c>
      <c r="C35" s="32" t="inlineStr">
        <is>
          <t>Full Stack Web Developer Intern</t>
        </is>
      </c>
      <c r="D35" s="31" t="n">
        <v>74</v>
      </c>
      <c r="E35" s="31" t="inlineStr">
        <is>
          <t>CONSIDER</t>
        </is>
      </c>
      <c r="F35" s="31" t="inlineStr">
        <is>
          <t>Bengaluru</t>
        </is>
      </c>
      <c r="G35" s="31" t="inlineStr">
        <is>
          <t>On-site</t>
        </is>
      </c>
      <c r="H35" s="31" t="inlineStr">
        <is>
          <t>Not specified</t>
        </is>
      </c>
      <c r="I35" s="31" t="inlineStr">
        <is>
          <t>NOT_MENTIONED</t>
        </is>
      </c>
      <c r="J35" s="31" t="inlineStr">
        <is>
          <t>Amaanuddin_Ahmed_Resume_FullStack.pdf</t>
        </is>
      </c>
      <c r="K35" s="31" t="inlineStr">
        <is>
          <t>NOT GENERATED</t>
        </is>
      </c>
      <c r="L35" s="31" t="inlineStr">
        <is>
          <t>READY TO APPLY</t>
        </is>
      </c>
    </row>
    <row r="36">
      <c r="A36" s="31" t="n">
        <v>24</v>
      </c>
      <c r="B36" s="31" t="inlineStr">
        <is>
          <t>Playo</t>
        </is>
      </c>
      <c r="C36" s="32" t="inlineStr">
        <is>
          <t>Engineering Intern</t>
        </is>
      </c>
      <c r="D36" s="31" t="n">
        <v>74</v>
      </c>
      <c r="E36" s="31" t="inlineStr">
        <is>
          <t>CONSIDER</t>
        </is>
      </c>
      <c r="F36" s="31" t="inlineStr">
        <is>
          <t>Bangalore</t>
        </is>
      </c>
      <c r="G36" s="31" t="inlineStr">
        <is>
          <t>Not specified</t>
        </is>
      </c>
      <c r="H36" s="31" t="inlineStr">
        <is>
          <t>Not specified</t>
        </is>
      </c>
      <c r="I36" s="31" t="inlineStr">
        <is>
          <t>Not mentioned</t>
        </is>
      </c>
      <c r="J36" s="31" t="inlineStr">
        <is>
          <t>Amaanuddin_Ahmed_Resume.pdf</t>
        </is>
      </c>
      <c r="K36" s="31" t="inlineStr">
        <is>
          <t>NOT GENERATED</t>
        </is>
      </c>
      <c r="L36" s="31" t="inlineStr">
        <is>
          <t>READY TO APPLY</t>
        </is>
      </c>
    </row>
    <row r="37">
      <c r="A37" s="31" t="n">
        <v>25</v>
      </c>
      <c r="B37" s="31" t="inlineStr">
        <is>
          <t>SolutionInn, US</t>
        </is>
      </c>
      <c r="C37" s="32" t="inlineStr">
        <is>
          <t>Software Engineering Intern</t>
        </is>
      </c>
      <c r="D37" s="31" t="n">
        <v>74</v>
      </c>
      <c r="E37" s="31" t="inlineStr">
        <is>
          <t>CONSIDER</t>
        </is>
      </c>
      <c r="F37" s="31" t="inlineStr">
        <is>
          <t>Ludhiana, Punjab</t>
        </is>
      </c>
      <c r="G37" s="31" t="inlineStr">
        <is>
          <t>On-site</t>
        </is>
      </c>
      <c r="H37" s="31" t="inlineStr">
        <is>
          <t>Stipend or Lunch allowance during the internship</t>
        </is>
      </c>
      <c r="I37" s="31" t="inlineStr">
        <is>
          <t>AVAILABLE</t>
        </is>
      </c>
      <c r="J37" s="31" t="inlineStr">
        <is>
          <t>Standard Full Stack Resume</t>
        </is>
      </c>
      <c r="K37" s="31" t="inlineStr">
        <is>
          <t>NOT GENERATED</t>
        </is>
      </c>
      <c r="L37" s="31" t="inlineStr">
        <is>
          <t>READY TO APPLY</t>
        </is>
      </c>
    </row>
    <row r="38">
      <c r="A38" s="31" t="n">
        <v>26</v>
      </c>
      <c r="B38" s="31" t="inlineStr">
        <is>
          <t>scale.jobs</t>
        </is>
      </c>
      <c r="C38" s="32" t="inlineStr">
        <is>
          <t>Full Stack Developer Intern</t>
        </is>
      </c>
      <c r="D38" s="31" t="n">
        <v>74</v>
      </c>
      <c r="E38" s="31" t="inlineStr">
        <is>
          <t>CONSIDER</t>
        </is>
      </c>
      <c r="F38" s="31" t="inlineStr">
        <is>
          <t>Hyderabad, Telangana</t>
        </is>
      </c>
      <c r="G38" s="31" t="inlineStr">
        <is>
          <t>Hybrid</t>
        </is>
      </c>
      <c r="H38" s="31" t="inlineStr">
        <is>
          <t>As per market standards</t>
        </is>
      </c>
      <c r="I38" s="31" t="inlineStr">
        <is>
          <t>NOT_MENTIONED</t>
        </is>
      </c>
      <c r="J38" s="31" t="inlineStr">
        <is>
          <t>Standard Full Stack Resume</t>
        </is>
      </c>
      <c r="K38" s="31" t="inlineStr">
        <is>
          <t>NOT GENERATED</t>
        </is>
      </c>
      <c r="L38" s="31" t="inlineStr">
        <is>
          <t>READY TO APPLY</t>
        </is>
      </c>
    </row>
    <row r="39">
      <c r="A39" s="31" t="n">
        <v>27</v>
      </c>
      <c r="B39" s="31" t="inlineStr">
        <is>
          <t>Zecser Business LLP</t>
        </is>
      </c>
      <c r="C39" s="32" t="inlineStr">
        <is>
          <t>MERN Stack Developer Internship</t>
        </is>
      </c>
      <c r="D39" s="31" t="n">
        <v>74</v>
      </c>
      <c r="E39" s="31" t="inlineStr">
        <is>
          <t>CONSIDER</t>
        </is>
      </c>
      <c r="F39" s="31" t="inlineStr">
        <is>
          <t>Kochi, Ernakulam</t>
        </is>
      </c>
      <c r="G39" s="31" t="inlineStr">
        <is>
          <t>On-site / Not specified</t>
        </is>
      </c>
      <c r="H39" s="31" t="inlineStr">
        <is>
          <t>Not specified</t>
        </is>
      </c>
      <c r="I39" s="31" t="inlineStr">
        <is>
          <t>NOT_MENTIONED</t>
        </is>
      </c>
      <c r="J39" s="31" t="inlineStr">
        <is>
          <t>Default Resume / MERN Focused</t>
        </is>
      </c>
      <c r="K39" s="31" t="inlineStr">
        <is>
          <t>NOT GENERATED</t>
        </is>
      </c>
      <c r="L39" s="31" t="inlineStr">
        <is>
          <t>READY TO APPLY</t>
        </is>
      </c>
    </row>
    <row r="40">
      <c r="A40" s="31" t="n">
        <v>28</v>
      </c>
      <c r="B40" s="31" t="inlineStr">
        <is>
          <t>Joveo</t>
        </is>
      </c>
      <c r="C40" s="32" t="inlineStr">
        <is>
          <t>Software Engineering Intern (Full Stack)</t>
        </is>
      </c>
      <c r="D40" s="31" t="n">
        <v>72</v>
      </c>
      <c r="E40" s="31" t="inlineStr">
        <is>
          <t>CONSIDER</t>
        </is>
      </c>
      <c r="F40" s="31" t="inlineStr">
        <is>
          <t>Bangalore</t>
        </is>
      </c>
      <c r="G40" s="31" t="inlineStr">
        <is>
          <t>On-site</t>
        </is>
      </c>
      <c r="H40" s="31" t="inlineStr">
        <is>
          <t>Competitive stipend</t>
        </is>
      </c>
      <c r="I40" s="31" t="inlineStr">
        <is>
          <t>NOT_MENTIONED</t>
        </is>
      </c>
      <c r="J40" s="31" t="inlineStr">
        <is>
          <t>Default Full Stack / MERN focused resume</t>
        </is>
      </c>
      <c r="K40" s="31" t="inlineStr">
        <is>
          <t>NOT GENERATED</t>
        </is>
      </c>
      <c r="L40" s="31" t="inlineStr">
        <is>
          <t>READY TO APPLY</t>
        </is>
      </c>
    </row>
    <row r="41">
      <c r="A41" s="31" t="n">
        <v>29</v>
      </c>
      <c r="B41" s="31" t="inlineStr">
        <is>
          <t>emo.energy</t>
        </is>
      </c>
      <c r="C41" s="32" t="inlineStr">
        <is>
          <t>Full-Stack Developer Intern</t>
        </is>
      </c>
      <c r="D41" s="31" t="n">
        <v>72</v>
      </c>
      <c r="E41" s="31" t="inlineStr">
        <is>
          <t>CONSIDER</t>
        </is>
      </c>
      <c r="F41" s="31" t="inlineStr">
        <is>
          <t>Bangalore</t>
        </is>
      </c>
      <c r="G41" s="31" t="inlineStr">
        <is>
          <t>On-site</t>
        </is>
      </c>
      <c r="H41" s="31" t="inlineStr">
        <is>
          <t>Paid internship (exact amount not specified)</t>
        </is>
      </c>
      <c r="I41" s="31" t="inlineStr">
        <is>
          <t>NOT_MENTIONED</t>
        </is>
      </c>
      <c r="J41" s="31" t="inlineStr">
        <is>
          <t>Standard Full Stack / Angular &amp; Node.js focused resume</t>
        </is>
      </c>
      <c r="K41" s="31" t="inlineStr">
        <is>
          <t>NOT GENERATED</t>
        </is>
      </c>
      <c r="L41" s="31" t="inlineStr">
        <is>
          <t>READY TO APPLY</t>
        </is>
      </c>
    </row>
    <row r="42">
      <c r="A42" s="31" t="n">
        <v>30</v>
      </c>
      <c r="B42" s="31" t="inlineStr">
        <is>
          <t>InstaWeb Labs Pvt Ltd</t>
        </is>
      </c>
      <c r="C42" s="32" t="inlineStr">
        <is>
          <t>Full Stack Development Intern</t>
        </is>
      </c>
      <c r="D42" s="31" t="n">
        <v>72</v>
      </c>
      <c r="E42" s="31" t="inlineStr">
        <is>
          <t>CONSIDER</t>
        </is>
      </c>
      <c r="F42" s="31" t="inlineStr">
        <is>
          <t>Malad, Baramati (Mumbai or Remote)</t>
        </is>
      </c>
      <c r="G42" s="31" t="inlineStr">
        <is>
          <t>Hybrid / Remote</t>
        </is>
      </c>
      <c r="H42" s="31" t="inlineStr">
        <is>
          <t>Not specified</t>
        </is>
      </c>
      <c r="I42" s="31" t="inlineStr">
        <is>
          <t>NO</t>
        </is>
      </c>
      <c r="J42" s="31" t="inlineStr">
        <is>
          <t>Amaanuddin_Ahmed_Resume.pdf</t>
        </is>
      </c>
      <c r="K42" s="31" t="inlineStr">
        <is>
          <t>NOT GENERATED</t>
        </is>
      </c>
      <c r="L42" s="31" t="inlineStr">
        <is>
          <t>READY TO APPLY</t>
        </is>
      </c>
    </row>
    <row r="43">
      <c r="A43" s="31" t="n">
        <v>31</v>
      </c>
      <c r="B43" s="31" t="inlineStr">
        <is>
          <t>Affworld Technologies</t>
        </is>
      </c>
      <c r="C43" s="32" t="inlineStr">
        <is>
          <t>SDE Intern</t>
        </is>
      </c>
      <c r="D43" s="31" t="n">
        <v>72</v>
      </c>
      <c r="E43" s="31" t="inlineStr">
        <is>
          <t>CONSIDER</t>
        </is>
      </c>
      <c r="F43" s="31" t="inlineStr">
        <is>
          <t>Jaipur, Rajasthan</t>
        </is>
      </c>
      <c r="G43" s="31" t="inlineStr">
        <is>
          <t>UNKNOWN</t>
        </is>
      </c>
      <c r="H43" s="31" t="inlineStr">
        <is>
          <t>Not specified</t>
        </is>
      </c>
      <c r="I43" s="31" t="inlineStr">
        <is>
          <t>UNKNOWN</t>
        </is>
      </c>
      <c r="J43" s="31" t="inlineStr">
        <is>
          <t>Default Full Stack / MERN Resume</t>
        </is>
      </c>
      <c r="K43" s="31" t="inlineStr">
        <is>
          <t>NOT GENERATED</t>
        </is>
      </c>
      <c r="L43" s="31" t="inlineStr">
        <is>
          <t>READY TO APPLY</t>
        </is>
      </c>
    </row>
    <row r="44">
      <c r="A44" s="31" t="n">
        <v>32</v>
      </c>
      <c r="B44" s="31" t="inlineStr">
        <is>
          <t>Alaan</t>
        </is>
      </c>
      <c r="C44" s="32" t="inlineStr">
        <is>
          <t>Fullstack Intern</t>
        </is>
      </c>
      <c r="D44" s="31" t="n">
        <v>72</v>
      </c>
      <c r="E44" s="31" t="inlineStr">
        <is>
          <t>CONSIDER</t>
        </is>
      </c>
      <c r="F44" s="31" t="inlineStr">
        <is>
          <t>Bangalore, Karnataka</t>
        </is>
      </c>
      <c r="G44" s="31" t="inlineStr">
        <is>
          <t>On-site / Unspecified</t>
        </is>
      </c>
      <c r="H44" s="31" t="inlineStr">
        <is>
          <t>Unspecified</t>
        </is>
      </c>
      <c r="I44" s="31" t="inlineStr">
        <is>
          <t>NOT_MENTIONED</t>
        </is>
      </c>
      <c r="J44" s="31" t="inlineStr">
        <is>
          <t>Default Full Stack / MERN Resume</t>
        </is>
      </c>
      <c r="K44" s="31" t="inlineStr">
        <is>
          <t>NOT GENERATED</t>
        </is>
      </c>
      <c r="L44" s="31" t="inlineStr">
        <is>
          <t>READY TO APPLY</t>
        </is>
      </c>
    </row>
    <row r="45">
      <c r="A45" s="31" t="n">
        <v>33</v>
      </c>
      <c r="B45" s="31" t="inlineStr">
        <is>
          <t>Vahan.ai</t>
        </is>
      </c>
      <c r="C45" s="32" t="inlineStr">
        <is>
          <t>Software Engineer Intern</t>
        </is>
      </c>
      <c r="D45" s="31" t="n">
        <v>71</v>
      </c>
      <c r="E45" s="31" t="inlineStr">
        <is>
          <t>CONSIDER</t>
        </is>
      </c>
      <c r="F45" s="31" t="inlineStr">
        <is>
          <t>Bangalore</t>
        </is>
      </c>
      <c r="G45" s="31" t="inlineStr">
        <is>
          <t>On-site</t>
        </is>
      </c>
      <c r="H45" s="31" t="inlineStr"/>
      <c r="I45" s="31" t="inlineStr">
        <is>
          <t>NOT_MENTIONED</t>
        </is>
      </c>
      <c r="J45" s="31" t="inlineStr">
        <is>
          <t>Default Full Stack / MERN Resume emphasizing Node.js, REST APIs, and database experience.</t>
        </is>
      </c>
      <c r="K45" s="31" t="inlineStr">
        <is>
          <t>NOT GENERATED</t>
        </is>
      </c>
      <c r="L45" s="31" t="inlineStr">
        <is>
          <t>READY TO APPLY</t>
        </is>
      </c>
    </row>
    <row r="46">
      <c r="A46" s="31" t="n">
        <v>34</v>
      </c>
      <c r="B46" s="31" t="inlineStr">
        <is>
          <t>Springer Capital</t>
        </is>
      </c>
      <c r="C46" s="32" t="inlineStr">
        <is>
          <t>Backend Developer Intern</t>
        </is>
      </c>
      <c r="D46" s="31" t="n">
        <v>71</v>
      </c>
      <c r="E46" s="31" t="inlineStr">
        <is>
          <t>CONSIDER</t>
        </is>
      </c>
      <c r="F46" s="31" t="inlineStr">
        <is>
          <t>Chicago, Cook County</t>
        </is>
      </c>
      <c r="G46" s="31" t="inlineStr">
        <is>
          <t>Remote</t>
        </is>
      </c>
      <c r="H46" s="31" t="inlineStr"/>
      <c r="I46" s="31" t="inlineStr">
        <is>
          <t>NOT_MENTIONED</t>
        </is>
      </c>
      <c r="J46" s="31" t="inlineStr">
        <is>
          <t>standard_fullstack_resume</t>
        </is>
      </c>
      <c r="K46" s="31" t="inlineStr">
        <is>
          <t>NOT GENERATED</t>
        </is>
      </c>
      <c r="L46" s="31" t="inlineStr">
        <is>
          <t>READY TO APPLY</t>
        </is>
      </c>
    </row>
    <row r="47">
      <c r="A47" s="31" t="n">
        <v>35</v>
      </c>
      <c r="B47" s="31" t="inlineStr">
        <is>
          <t>Sunstone</t>
        </is>
      </c>
      <c r="C47" s="32" t="inlineStr">
        <is>
          <t>SDE Intern &amp; Teaching Assistant</t>
        </is>
      </c>
      <c r="D47" s="31" t="n">
        <v>70</v>
      </c>
      <c r="E47" s="31" t="inlineStr">
        <is>
          <t>CONSIDER</t>
        </is>
      </c>
      <c r="F47" s="31" t="inlineStr">
        <is>
          <t>Bangalore</t>
        </is>
      </c>
      <c r="G47" s="31" t="inlineStr">
        <is>
          <t>On-site</t>
        </is>
      </c>
      <c r="H47" s="31" t="inlineStr">
        <is>
          <t>Not Specified</t>
        </is>
      </c>
      <c r="I47" s="31" t="inlineStr">
        <is>
          <t>Not Mentioned</t>
        </is>
      </c>
      <c r="J47" s="31" t="inlineStr">
        <is>
          <t>Default Full Stack / Software Engineering Resume</t>
        </is>
      </c>
      <c r="K47" s="31" t="inlineStr">
        <is>
          <t>NOT GENERATED</t>
        </is>
      </c>
      <c r="L47" s="31" t="inlineStr">
        <is>
          <t>READY TO APPLY</t>
        </is>
      </c>
    </row>
    <row r="48">
      <c r="A48" s="31" t="n">
        <v>36</v>
      </c>
      <c r="B48" s="31" t="inlineStr">
        <is>
          <t>ventura securities ltd</t>
        </is>
      </c>
      <c r="C48" s="32" t="inlineStr">
        <is>
          <t>NodeJS Developer</t>
        </is>
      </c>
      <c r="D48" s="31" t="n">
        <v>70</v>
      </c>
      <c r="E48" s="31" t="inlineStr">
        <is>
          <t>CONSIDER</t>
        </is>
      </c>
      <c r="F48" s="31" t="inlineStr">
        <is>
          <t>India</t>
        </is>
      </c>
      <c r="G48" s="31" t="inlineStr">
        <is>
          <t>remote</t>
        </is>
      </c>
      <c r="H48" s="31" t="inlineStr">
        <is>
          <t>Not specified</t>
        </is>
      </c>
      <c r="I48" s="31" t="inlineStr">
        <is>
          <t>UNKNOWN</t>
        </is>
      </c>
      <c r="J48" s="31" t="inlineStr">
        <is>
          <t>Default Full Stack / Backend Resume</t>
        </is>
      </c>
      <c r="K48" s="31" t="inlineStr">
        <is>
          <t>NOT GENERATED</t>
        </is>
      </c>
      <c r="L48" s="31" t="inlineStr">
        <is>
          <t>READY TO APPLY</t>
        </is>
      </c>
    </row>
    <row r="51">
      <c r="A51" s="24" t="inlineStr">
        <is>
          <t>ALREADY APPLIED</t>
        </is>
      </c>
    </row>
    <row r="53">
      <c r="A53" s="25" t="inlineStr">
        <is>
          <t>Rank</t>
        </is>
      </c>
      <c r="B53" s="25" t="inlineStr">
        <is>
          <t>Company</t>
        </is>
      </c>
      <c r="C53" s="25" t="inlineStr">
        <is>
          <t>Role</t>
        </is>
      </c>
      <c r="D53" s="25" t="inlineStr">
        <is>
          <t>Score</t>
        </is>
      </c>
      <c r="E53" s="25" t="inlineStr">
        <is>
          <t>Recommendation</t>
        </is>
      </c>
      <c r="F53" s="25" t="inlineStr">
        <is>
          <t>Location</t>
        </is>
      </c>
      <c r="G53" s="25" t="inlineStr">
        <is>
          <t>Work Mode</t>
        </is>
      </c>
      <c r="H53" s="25" t="inlineStr">
        <is>
          <t>Stipend</t>
        </is>
      </c>
      <c r="I53" s="25" t="inlineStr">
        <is>
          <t>PPO</t>
        </is>
      </c>
      <c r="J53" s="25" t="inlineStr">
        <is>
          <t>Resume</t>
        </is>
      </c>
      <c r="K53" s="25" t="inlineStr">
        <is>
          <t>Application Kit</t>
        </is>
      </c>
      <c r="L53" s="25" t="inlineStr">
        <is>
          <t>Status</t>
        </is>
      </c>
    </row>
    <row r="56">
      <c r="A56" s="29" t="inlineStr">
        <is>
          <t>MORNING ROUTINE</t>
        </is>
      </c>
    </row>
    <row r="57">
      <c r="A57" t="inlineStr">
        <is>
          <t>1. Start with APPLY ASAP.</t>
        </is>
      </c>
    </row>
    <row r="58">
      <c r="A58" t="inlineStr">
        <is>
          <t>2. Click the Role to open the original job.</t>
        </is>
      </c>
    </row>
    <row r="59">
      <c r="A59" t="inlineStr">
        <is>
          <t>3. Click OPEN KIT to review the generated application material.</t>
        </is>
      </c>
    </row>
    <row r="60">
      <c r="A60" t="inlineStr">
        <is>
          <t>4. Submit the application manually.</t>
        </is>
      </c>
    </row>
    <row r="61">
      <c r="A61" t="inlineStr">
        <is>
          <t>5. In the Jobs sheet, change Apply Status to APPLIED.</t>
        </is>
      </c>
    </row>
    <row r="62">
      <c r="A62" t="inlineStr">
        <is>
          <t>6. Refresh the dashboard. The job will move to ALREADY APPLIED.</t>
        </is>
      </c>
    </row>
  </sheetData>
  <autoFilter ref="A12:L53"/>
  <mergeCells count="11">
    <mergeCell ref="A57:L57"/>
    <mergeCell ref="A10:L10"/>
    <mergeCell ref="A60:L60"/>
    <mergeCell ref="A51:L51"/>
    <mergeCell ref="A1:L1"/>
    <mergeCell ref="A61:L61"/>
    <mergeCell ref="A58:L58"/>
    <mergeCell ref="A9:L9"/>
    <mergeCell ref="A3:L3"/>
    <mergeCell ref="A59:L59"/>
    <mergeCell ref="A62:L62"/>
  </mergeCells>
  <hyperlinks>
    <hyperlink xmlns:r="http://schemas.openxmlformats.org/officeDocument/2006/relationships" ref="C13" r:id="rId1"/>
    <hyperlink xmlns:r="http://schemas.openxmlformats.org/officeDocument/2006/relationships" ref="K13" r:id="rId2"/>
    <hyperlink xmlns:r="http://schemas.openxmlformats.org/officeDocument/2006/relationships" ref="C14" r:id="rId3"/>
    <hyperlink xmlns:r="http://schemas.openxmlformats.org/officeDocument/2006/relationships" ref="K14" r:id="rId4"/>
    <hyperlink xmlns:r="http://schemas.openxmlformats.org/officeDocument/2006/relationships" ref="C15" r:id="rId5"/>
    <hyperlink xmlns:r="http://schemas.openxmlformats.org/officeDocument/2006/relationships" ref="K15" r:id="rId6"/>
    <hyperlink xmlns:r="http://schemas.openxmlformats.org/officeDocument/2006/relationships" ref="C16" r:id="rId7"/>
    <hyperlink xmlns:r="http://schemas.openxmlformats.org/officeDocument/2006/relationships" ref="K16" r:id="rId8"/>
    <hyperlink xmlns:r="http://schemas.openxmlformats.org/officeDocument/2006/relationships" ref="C17" r:id="rId9"/>
    <hyperlink xmlns:r="http://schemas.openxmlformats.org/officeDocument/2006/relationships" ref="K17" r:id="rId10"/>
    <hyperlink xmlns:r="http://schemas.openxmlformats.org/officeDocument/2006/relationships" ref="C18" r:id="rId11"/>
    <hyperlink xmlns:r="http://schemas.openxmlformats.org/officeDocument/2006/relationships" ref="K18" r:id="rId12"/>
    <hyperlink xmlns:r="http://schemas.openxmlformats.org/officeDocument/2006/relationships" ref="C19" r:id="rId13"/>
    <hyperlink xmlns:r="http://schemas.openxmlformats.org/officeDocument/2006/relationships" ref="K19" r:id="rId14"/>
    <hyperlink xmlns:r="http://schemas.openxmlformats.org/officeDocument/2006/relationships" ref="C20" r:id="rId15"/>
    <hyperlink xmlns:r="http://schemas.openxmlformats.org/officeDocument/2006/relationships" ref="C21" r:id="rId16"/>
    <hyperlink xmlns:r="http://schemas.openxmlformats.org/officeDocument/2006/relationships" ref="C22" r:id="rId17"/>
    <hyperlink xmlns:r="http://schemas.openxmlformats.org/officeDocument/2006/relationships" ref="C23" r:id="rId18"/>
    <hyperlink xmlns:r="http://schemas.openxmlformats.org/officeDocument/2006/relationships" ref="C24" r:id="rId19"/>
    <hyperlink xmlns:r="http://schemas.openxmlformats.org/officeDocument/2006/relationships" ref="C25" r:id="rId20"/>
    <hyperlink xmlns:r="http://schemas.openxmlformats.org/officeDocument/2006/relationships" ref="C26" r:id="rId21"/>
    <hyperlink xmlns:r="http://schemas.openxmlformats.org/officeDocument/2006/relationships" ref="C27" r:id="rId22"/>
    <hyperlink xmlns:r="http://schemas.openxmlformats.org/officeDocument/2006/relationships" ref="C28" r:id="rId23"/>
    <hyperlink xmlns:r="http://schemas.openxmlformats.org/officeDocument/2006/relationships" ref="C29" r:id="rId24"/>
    <hyperlink xmlns:r="http://schemas.openxmlformats.org/officeDocument/2006/relationships" ref="C30" r:id="rId25"/>
    <hyperlink xmlns:r="http://schemas.openxmlformats.org/officeDocument/2006/relationships" ref="C31" r:id="rId26"/>
    <hyperlink xmlns:r="http://schemas.openxmlformats.org/officeDocument/2006/relationships" ref="C32" r:id="rId27"/>
    <hyperlink xmlns:r="http://schemas.openxmlformats.org/officeDocument/2006/relationships" ref="C33" r:id="rId28"/>
    <hyperlink xmlns:r="http://schemas.openxmlformats.org/officeDocument/2006/relationships" ref="C34" r:id="rId29"/>
    <hyperlink xmlns:r="http://schemas.openxmlformats.org/officeDocument/2006/relationships" ref="C35" r:id="rId30"/>
    <hyperlink xmlns:r="http://schemas.openxmlformats.org/officeDocument/2006/relationships" ref="C36" r:id="rId31"/>
    <hyperlink xmlns:r="http://schemas.openxmlformats.org/officeDocument/2006/relationships" ref="C37" r:id="rId32"/>
    <hyperlink xmlns:r="http://schemas.openxmlformats.org/officeDocument/2006/relationships" ref="C38" r:id="rId33"/>
    <hyperlink xmlns:r="http://schemas.openxmlformats.org/officeDocument/2006/relationships" ref="C39" r:id="rId34"/>
    <hyperlink xmlns:r="http://schemas.openxmlformats.org/officeDocument/2006/relationships" ref="C40" r:id="rId35"/>
    <hyperlink xmlns:r="http://schemas.openxmlformats.org/officeDocument/2006/relationships" ref="C41" r:id="rId36"/>
    <hyperlink xmlns:r="http://schemas.openxmlformats.org/officeDocument/2006/relationships" ref="C42" r:id="rId37"/>
    <hyperlink xmlns:r="http://schemas.openxmlformats.org/officeDocument/2006/relationships" ref="C43" r:id="rId38"/>
    <hyperlink xmlns:r="http://schemas.openxmlformats.org/officeDocument/2006/relationships" ref="C44" r:id="rId39"/>
    <hyperlink xmlns:r="http://schemas.openxmlformats.org/officeDocument/2006/relationships" ref="C45" r:id="rId40"/>
    <hyperlink xmlns:r="http://schemas.openxmlformats.org/officeDocument/2006/relationships" ref="C46" r:id="rId41"/>
    <hyperlink xmlns:r="http://schemas.openxmlformats.org/officeDocument/2006/relationships" ref="C47" r:id="rId42"/>
    <hyperlink xmlns:r="http://schemas.openxmlformats.org/officeDocument/2006/relationships" ref="C48" r:id="rId4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2" customWidth="1" style="15" min="1" max="1"/>
    <col width="100" customWidth="1" style="15" min="2" max="2"/>
  </cols>
  <sheetData>
    <row r="1" ht="30" customHeight="1" s="15">
      <c r="A1" s="1" t="inlineStr">
        <is>
          <t>Amaan's Internship Ecosystem — v1</t>
        </is>
      </c>
      <c r="B1" s="2" t="n"/>
    </row>
    <row r="2">
      <c r="A2" s="2" t="inlineStr">
        <is>
          <t>Purpose</t>
        </is>
      </c>
      <c r="B2" s="2" t="inlineStr">
        <is>
          <t>Personal internship CRM + AI-ready job database.</t>
        </is>
      </c>
    </row>
    <row r="3">
      <c r="A3" s="2" t="inlineStr">
        <is>
          <t>Workflow</t>
        </is>
      </c>
      <c r="B3" s="2" t="inlineStr">
        <is>
          <t>Discover → Analyze → Shortlist → Apply → OA → Interview → Offer → PPO</t>
        </is>
      </c>
    </row>
    <row r="4">
      <c r="A4" s="2" t="inlineStr">
        <is>
          <t>Start here</t>
        </is>
      </c>
      <c r="B4" s="2" t="inlineStr">
        <is>
          <t>Fill Career_Profile and verify Skills. Add jobs to Jobs. Applications are only for jobs you actually apply to.</t>
        </is>
      </c>
    </row>
    <row r="5">
      <c r="A5" s="2" t="inlineStr">
        <is>
          <t>AI fields</t>
        </is>
      </c>
      <c r="B5" s="2" t="inlineStr">
        <is>
          <t>Match/fit scores, skill gaps, PPO signal and resume version will later be populated by the AI analyzer.</t>
        </is>
      </c>
    </row>
    <row r="6" ht="30" customHeight="1" s="15">
      <c r="A6" s="2" t="inlineStr">
        <is>
          <t>Scoring</t>
        </is>
      </c>
      <c r="B6" s="2" t="inlineStr">
        <is>
          <t>Overall Match = Technical 30% + Experience 20% + Role 15% + PPO 15% + Compensation 10% + Opportunity Quality 10%.</t>
        </is>
      </c>
    </row>
    <row r="7">
      <c r="A7" s="2" t="inlineStr">
        <is>
          <t>Priority</t>
        </is>
      </c>
      <c r="B7" s="2" t="inlineStr">
        <is>
          <t>P1 = 80+, P2 = 70–79, P3 = 60–69, P4 = below 60. APPLY ASAP is reserved for 90+.</t>
        </is>
      </c>
    </row>
    <row r="8">
      <c r="A8" s="2" t="inlineStr">
        <is>
          <t>Important</t>
        </is>
      </c>
      <c r="B8" s="2" t="inlineStr">
        <is>
          <t>Never let AI invent skills, experience, metrics, eligibility, compensation or PPO claims.</t>
        </is>
      </c>
    </row>
    <row r="9">
      <c r="A9" s="2" t="inlineStr">
        <is>
          <t>Next build step</t>
        </is>
      </c>
      <c r="B9" s="2" t="inlineStr">
        <is>
          <t>Connect the AI Job Analyzer to this database, then add job discovery automation.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1" customWidth="1" style="15" min="1" max="1"/>
    <col width="42" customWidth="1" style="15" min="2" max="2"/>
  </cols>
  <sheetData>
    <row r="1">
      <c r="A1" s="1" t="inlineStr">
        <is>
          <t>Field</t>
        </is>
      </c>
      <c r="B1" s="1" t="inlineStr">
        <is>
          <t>Value</t>
        </is>
      </c>
    </row>
    <row r="2">
      <c r="A2" s="2" t="inlineStr">
        <is>
          <t>Candidate</t>
        </is>
      </c>
      <c r="B2" s="2" t="inlineStr">
        <is>
          <t>Amaanuddin Ahmed</t>
        </is>
      </c>
    </row>
    <row r="3">
      <c r="A3" s="2" t="inlineStr">
        <is>
          <t>Current Degree</t>
        </is>
      </c>
      <c r="B3" s="2" t="inlineStr">
        <is>
          <t>MCA</t>
        </is>
      </c>
    </row>
    <row r="4">
      <c r="A4" s="2" t="inlineStr">
        <is>
          <t>University</t>
        </is>
      </c>
      <c r="B4" s="2" t="inlineStr">
        <is>
          <t>PES University, Bengaluru</t>
        </is>
      </c>
    </row>
    <row r="5">
      <c r="A5" s="2" t="inlineStr">
        <is>
          <t>MCA CGPA</t>
        </is>
      </c>
      <c r="B5" s="2" t="n">
        <v>8.48</v>
      </c>
    </row>
    <row r="6">
      <c r="A6" s="2" t="inlineStr">
        <is>
          <t>BCA CGPA</t>
        </is>
      </c>
      <c r="B6" s="2" t="n">
        <v>8.199999999999999</v>
      </c>
    </row>
    <row r="7">
      <c r="A7" s="2" t="inlineStr">
        <is>
          <t>Location Preference</t>
        </is>
      </c>
      <c r="B7" s="2" t="inlineStr">
        <is>
          <t>Anywhere in India</t>
        </is>
      </c>
    </row>
    <row r="8">
      <c r="A8" s="2" t="inlineStr">
        <is>
          <t>Work Mode</t>
        </is>
      </c>
      <c r="B8" s="2" t="inlineStr">
        <is>
          <t>Remote / Hybrid / On-site</t>
        </is>
      </c>
    </row>
    <row r="9">
      <c r="A9" s="2" t="inlineStr">
        <is>
          <t>Minimum Stipend</t>
        </is>
      </c>
      <c r="B9" s="2" t="n">
        <v>25000</v>
      </c>
    </row>
    <row r="10">
      <c r="A10" s="2" t="inlineStr">
        <is>
          <t>Duration</t>
        </is>
      </c>
      <c r="B10" s="2" t="inlineStr">
        <is>
          <t>Any</t>
        </is>
      </c>
    </row>
    <row r="11">
      <c r="A11" s="2" t="inlineStr">
        <is>
          <t>Company Preference</t>
        </is>
      </c>
      <c r="B11" s="2" t="inlineStr">
        <is>
          <t>No preference</t>
        </is>
      </c>
    </row>
    <row r="12">
      <c r="A12" s="2" t="inlineStr">
        <is>
          <t>PPO Priority</t>
        </is>
      </c>
      <c r="B12" s="2" t="inlineStr">
        <is>
          <t>High</t>
        </is>
      </c>
    </row>
    <row r="13" ht="30" customHeight="1" s="15">
      <c r="A13" s="2" t="inlineStr">
        <is>
          <t>Primary Roles</t>
        </is>
      </c>
      <c r="B13" s="2" t="inlineStr">
        <is>
          <t>SDE / Software Engineer Intern; Full Stack Intern; Backend Intern</t>
        </is>
      </c>
    </row>
    <row r="14" ht="30" customHeight="1" s="15">
      <c r="A14" s="2" t="inlineStr">
        <is>
          <t>Secondary Roles</t>
        </is>
      </c>
      <c r="B14" s="2" t="inlineStr">
        <is>
          <t>MERN/Node.js Intern; Frontend Intern; DevOps/Cloud Intern</t>
        </is>
      </c>
    </row>
    <row r="15">
      <c r="A15" s="2" t="inlineStr">
        <is>
          <t>Selective Roles</t>
        </is>
      </c>
      <c r="B15" s="2" t="inlineStr">
        <is>
          <t>Java Developer Intern</t>
        </is>
      </c>
    </row>
    <row r="16" ht="30" customHeight="1" s="15">
      <c r="A16" s="2" t="inlineStr">
        <is>
          <t>Primary Stack</t>
        </is>
      </c>
      <c r="B16" s="2" t="inlineStr">
        <is>
          <t>JavaScript, TypeScript, Node.js, Express, Angular, React, MongoDB, MySQL</t>
        </is>
      </c>
    </row>
    <row r="17" ht="30" customHeight="1" s="15">
      <c r="A17" s="2" t="inlineStr">
        <is>
          <t>Cloud/DevOps</t>
        </is>
      </c>
      <c r="B17" s="2" t="inlineStr">
        <is>
          <t>AWS, Azure, Vercel, Render, Docker, Kubernetes, CI/CD</t>
        </is>
      </c>
    </row>
    <row r="18" ht="30" customHeight="1" s="15">
      <c r="A18" s="2" t="inlineStr">
        <is>
          <t>Experience</t>
        </is>
      </c>
      <c r="B18" s="2" t="inlineStr">
        <is>
          <t>Production internship + freelance client experience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3"/>
  <sheetViews>
    <sheetView workbookViewId="0">
      <pane ySplit="1" topLeftCell="A2" activePane="bottomLeft" state="frozen"/>
      <selection pane="bottomLeft" activeCell="A1" sqref="A1"/>
    </sheetView>
  </sheetViews>
  <sheetFormatPr baseColWidth="8" defaultRowHeight="15"/>
  <cols>
    <col width="16" customWidth="1" style="15" min="1" max="1"/>
    <col width="15" customWidth="1" style="15" min="2" max="2"/>
    <col width="42" customWidth="1" style="15" min="3" max="3"/>
    <col width="26" customWidth="1" style="15" min="4" max="4"/>
    <col width="12" customWidth="1" style="15" min="5" max="5"/>
  </cols>
  <sheetData>
    <row r="1">
      <c r="A1" s="1" t="inlineStr">
        <is>
          <t>Skill</t>
        </is>
      </c>
      <c r="B1" s="1" t="inlineStr">
        <is>
          <t>Level</t>
        </is>
      </c>
      <c r="C1" s="1" t="inlineStr">
        <is>
          <t>Evidence / Context</t>
        </is>
      </c>
      <c r="D1" s="1" t="inlineStr">
        <is>
          <t>Target Roles</t>
        </is>
      </c>
      <c r="E1" s="1" t="inlineStr">
        <is>
          <t>Verified?</t>
        </is>
      </c>
    </row>
    <row r="2">
      <c r="A2" s="2" t="inlineStr">
        <is>
          <t>JavaScript</t>
        </is>
      </c>
      <c r="B2" s="2" t="inlineStr">
        <is>
          <t>Strong</t>
        </is>
      </c>
      <c r="C2" s="2" t="inlineStr">
        <is>
          <t>MERN + Angular production/projects</t>
        </is>
      </c>
      <c r="D2" s="2" t="inlineStr">
        <is>
          <t>SDE; Full Stack; Backend</t>
        </is>
      </c>
      <c r="E2" s="2" t="inlineStr">
        <is>
          <t>Yes</t>
        </is>
      </c>
    </row>
    <row r="3">
      <c r="A3" s="2" t="inlineStr">
        <is>
          <t>TypeScript</t>
        </is>
      </c>
      <c r="B3" s="2" t="inlineStr">
        <is>
          <t>Strong</t>
        </is>
      </c>
      <c r="C3" s="2" t="inlineStr">
        <is>
          <t>Angular</t>
        </is>
      </c>
      <c r="D3" s="2" t="inlineStr">
        <is>
          <t>Full Stack; Frontend</t>
        </is>
      </c>
      <c r="E3" s="2" t="inlineStr">
        <is>
          <t>Yes</t>
        </is>
      </c>
    </row>
    <row r="4">
      <c r="A4" s="2" t="inlineStr">
        <is>
          <t>Node.js</t>
        </is>
      </c>
      <c r="B4" s="2" t="inlineStr">
        <is>
          <t>Strong</t>
        </is>
      </c>
      <c r="C4" s="2" t="inlineStr">
        <is>
          <t>Production internship + projects</t>
        </is>
      </c>
      <c r="D4" s="2" t="inlineStr">
        <is>
          <t>SDE; Backend; Full Stack</t>
        </is>
      </c>
      <c r="E4" s="2" t="inlineStr">
        <is>
          <t>Yes</t>
        </is>
      </c>
    </row>
    <row r="5">
      <c r="A5" s="2" t="inlineStr">
        <is>
          <t>Express.js</t>
        </is>
      </c>
      <c r="B5" s="2" t="inlineStr">
        <is>
          <t>Strong</t>
        </is>
      </c>
      <c r="C5" s="2" t="inlineStr">
        <is>
          <t>Production/projects</t>
        </is>
      </c>
      <c r="D5" s="2" t="inlineStr">
        <is>
          <t>Backend; Full Stack</t>
        </is>
      </c>
      <c r="E5" s="2" t="inlineStr">
        <is>
          <t>Yes</t>
        </is>
      </c>
    </row>
    <row r="6">
      <c r="A6" s="2" t="inlineStr">
        <is>
          <t>Angular</t>
        </is>
      </c>
      <c r="B6" s="2" t="inlineStr">
        <is>
          <t>Strong</t>
        </is>
      </c>
      <c r="C6" s="2" t="inlineStr">
        <is>
          <t>Production internship + POS</t>
        </is>
      </c>
      <c r="D6" s="2" t="inlineStr">
        <is>
          <t>Full Stack; Frontend</t>
        </is>
      </c>
      <c r="E6" s="2" t="inlineStr">
        <is>
          <t>Yes</t>
        </is>
      </c>
    </row>
    <row r="7">
      <c r="A7" s="2" t="inlineStr">
        <is>
          <t>React</t>
        </is>
      </c>
      <c r="B7" s="2" t="inlineStr">
        <is>
          <t>Working</t>
        </is>
      </c>
      <c r="C7" s="2" t="inlineStr">
        <is>
          <t>MERN projects</t>
        </is>
      </c>
      <c r="D7" s="2" t="inlineStr">
        <is>
          <t>Full Stack; Frontend</t>
        </is>
      </c>
      <c r="E7" s="2" t="inlineStr">
        <is>
          <t>Yes</t>
        </is>
      </c>
    </row>
    <row r="8">
      <c r="A8" s="2" t="inlineStr">
        <is>
          <t>MongoDB</t>
        </is>
      </c>
      <c r="B8" s="2" t="inlineStr">
        <is>
          <t>Strong</t>
        </is>
      </c>
      <c r="C8" s="2" t="inlineStr">
        <is>
          <t>Multiple full-stack projects</t>
        </is>
      </c>
      <c r="D8" s="2" t="inlineStr">
        <is>
          <t>Backend; Full Stack</t>
        </is>
      </c>
      <c r="E8" s="2" t="inlineStr">
        <is>
          <t>Yes</t>
        </is>
      </c>
    </row>
    <row r="9">
      <c r="A9" s="2" t="inlineStr">
        <is>
          <t>MySQL</t>
        </is>
      </c>
      <c r="B9" s="2" t="inlineStr">
        <is>
          <t>Strong</t>
        </is>
      </c>
      <c r="C9" s="2" t="inlineStr">
        <is>
          <t>Production internship</t>
        </is>
      </c>
      <c r="D9" s="2" t="inlineStr">
        <is>
          <t>Backend; Full Stack</t>
        </is>
      </c>
      <c r="E9" s="2" t="inlineStr">
        <is>
          <t>Yes</t>
        </is>
      </c>
    </row>
    <row r="10">
      <c r="A10" s="2" t="inlineStr">
        <is>
          <t>PostgreSQL</t>
        </is>
      </c>
      <c r="B10" s="2" t="inlineStr">
        <is>
          <t>Working</t>
        </is>
      </c>
      <c r="C10" s="2" t="inlineStr">
        <is>
          <t>Listed skill</t>
        </is>
      </c>
      <c r="D10" s="2" t="inlineStr">
        <is>
          <t>Backend; SDE</t>
        </is>
      </c>
      <c r="E10" s="2" t="inlineStr">
        <is>
          <t>Review</t>
        </is>
      </c>
    </row>
    <row r="11">
      <c r="A11" s="2" t="inlineStr">
        <is>
          <t>Next.js</t>
        </is>
      </c>
      <c r="B11" s="2" t="inlineStr">
        <is>
          <t>Working</t>
        </is>
      </c>
      <c r="C11" s="2" t="inlineStr">
        <is>
          <t>Listed skill</t>
        </is>
      </c>
      <c r="D11" s="2" t="inlineStr">
        <is>
          <t>Full Stack; Frontend</t>
        </is>
      </c>
      <c r="E11" s="2" t="inlineStr">
        <is>
          <t>Review</t>
        </is>
      </c>
    </row>
    <row r="12" ht="30" customHeight="1" s="15">
      <c r="A12" s="2" t="inlineStr">
        <is>
          <t>Java</t>
        </is>
      </c>
      <c r="B12" s="2" t="inlineStr">
        <is>
          <t>Working / DSA</t>
        </is>
      </c>
      <c r="C12" s="2" t="inlineStr">
        <is>
          <t>DSA certification; development depth to verify</t>
        </is>
      </c>
      <c r="D12" s="2" t="inlineStr">
        <is>
          <t>SDE; Java</t>
        </is>
      </c>
      <c r="E12" s="2" t="inlineStr">
        <is>
          <t>Review</t>
        </is>
      </c>
    </row>
    <row r="13">
      <c r="A13" s="2" t="inlineStr">
        <is>
          <t>Python</t>
        </is>
      </c>
      <c r="B13" s="2" t="inlineStr">
        <is>
          <t>Working</t>
        </is>
      </c>
      <c r="C13" s="2" t="inlineStr">
        <is>
          <t>Listed skill</t>
        </is>
      </c>
      <c r="D13" s="2" t="inlineStr">
        <is>
          <t>SDE; Backend</t>
        </is>
      </c>
      <c r="E13" s="2" t="inlineStr">
        <is>
          <t>Review</t>
        </is>
      </c>
    </row>
    <row r="14">
      <c r="A14" s="2" t="inlineStr">
        <is>
          <t>AWS</t>
        </is>
      </c>
      <c r="B14" s="2" t="inlineStr">
        <is>
          <t>Working</t>
        </is>
      </c>
      <c r="C14" s="2" t="inlineStr">
        <is>
          <t>Cloud experience listed</t>
        </is>
      </c>
      <c r="D14" s="2" t="inlineStr">
        <is>
          <t>Cloud; SDE; Backend</t>
        </is>
      </c>
      <c r="E14" s="2" t="inlineStr">
        <is>
          <t>Review</t>
        </is>
      </c>
    </row>
    <row r="15">
      <c r="A15" s="2" t="inlineStr">
        <is>
          <t>Azure</t>
        </is>
      </c>
      <c r="B15" s="2" t="inlineStr">
        <is>
          <t>Strong</t>
        </is>
      </c>
      <c r="C15" s="2" t="inlineStr">
        <is>
          <t>Live POS deployment</t>
        </is>
      </c>
      <c r="D15" s="2" t="inlineStr">
        <is>
          <t>Cloud; Full Stack</t>
        </is>
      </c>
      <c r="E15" s="2" t="inlineStr">
        <is>
          <t>Yes</t>
        </is>
      </c>
    </row>
    <row r="16">
      <c r="A16" s="2" t="inlineStr">
        <is>
          <t>Docker</t>
        </is>
      </c>
      <c r="B16" s="2" t="inlineStr">
        <is>
          <t>Working</t>
        </is>
      </c>
      <c r="C16" s="2" t="inlineStr">
        <is>
          <t>Listed skill</t>
        </is>
      </c>
      <c r="D16" s="2" t="inlineStr">
        <is>
          <t>Cloud; DevOps; Backend</t>
        </is>
      </c>
      <c r="E16" s="2" t="inlineStr">
        <is>
          <t>Review</t>
        </is>
      </c>
    </row>
    <row r="17">
      <c r="A17" s="2" t="inlineStr">
        <is>
          <t>Kubernetes</t>
        </is>
      </c>
      <c r="B17" s="2" t="inlineStr">
        <is>
          <t>Working</t>
        </is>
      </c>
      <c r="C17" s="2" t="inlineStr">
        <is>
          <t>Listed skill</t>
        </is>
      </c>
      <c r="D17" s="2" t="inlineStr">
        <is>
          <t>DevOps/Cloud</t>
        </is>
      </c>
      <c r="E17" s="2" t="inlineStr">
        <is>
          <t>Review</t>
        </is>
      </c>
    </row>
    <row r="18">
      <c r="A18" s="2" t="inlineStr">
        <is>
          <t>CI/CD</t>
        </is>
      </c>
      <c r="B18" s="2" t="inlineStr">
        <is>
          <t>Working</t>
        </is>
      </c>
      <c r="C18" s="2" t="inlineStr">
        <is>
          <t>Listed skill</t>
        </is>
      </c>
      <c r="D18" s="2" t="inlineStr">
        <is>
          <t>DevOps/Cloud</t>
        </is>
      </c>
      <c r="E18" s="2" t="inlineStr">
        <is>
          <t>Review</t>
        </is>
      </c>
    </row>
    <row r="19">
      <c r="A19" s="2" t="inlineStr">
        <is>
          <t>Git/GitHub</t>
        </is>
      </c>
      <c r="B19" s="2" t="inlineStr">
        <is>
          <t>Strong</t>
        </is>
      </c>
      <c r="C19" s="2" t="inlineStr">
        <is>
          <t>Development workflow</t>
        </is>
      </c>
      <c r="D19" s="2" t="inlineStr">
        <is>
          <t>All</t>
        </is>
      </c>
      <c r="E19" s="2" t="inlineStr">
        <is>
          <t>Yes</t>
        </is>
      </c>
    </row>
    <row r="20">
      <c r="A20" s="2" t="inlineStr">
        <is>
          <t>REST APIs</t>
        </is>
      </c>
      <c r="B20" s="2" t="inlineStr">
        <is>
          <t>Strong</t>
        </is>
      </c>
      <c r="C20" s="2" t="inlineStr">
        <is>
          <t>Node/Express projects</t>
        </is>
      </c>
      <c r="D20" s="2" t="inlineStr">
        <is>
          <t>Backend; SDE; Full Stack</t>
        </is>
      </c>
      <c r="E20" s="2" t="inlineStr">
        <is>
          <t>Yes</t>
        </is>
      </c>
    </row>
    <row r="21">
      <c r="A21" s="2" t="inlineStr">
        <is>
          <t>Authentication</t>
        </is>
      </c>
      <c r="B21" s="2" t="inlineStr">
        <is>
          <t>Strong</t>
        </is>
      </c>
      <c r="C21" s="2" t="inlineStr">
        <is>
          <t>JWT, Passport.js, RBAC</t>
        </is>
      </c>
      <c r="D21" s="2" t="inlineStr">
        <is>
          <t>Backend; SDE; Full Stack</t>
        </is>
      </c>
      <c r="E21" s="2" t="inlineStr">
        <is>
          <t>Yes</t>
        </is>
      </c>
    </row>
    <row r="22">
      <c r="A22" s="2" t="inlineStr">
        <is>
          <t>SQL Server</t>
        </is>
      </c>
      <c r="B22" s="2" t="inlineStr">
        <is>
          <t>Strong</t>
        </is>
      </c>
      <c r="C22" s="2" t="inlineStr">
        <is>
          <t>Australian restaurant POS</t>
        </is>
      </c>
      <c r="D22" s="2" t="inlineStr">
        <is>
          <t>Backend; Full Stack</t>
        </is>
      </c>
      <c r="E22" s="2" t="inlineStr">
        <is>
          <t>Yes</t>
        </is>
      </c>
    </row>
    <row r="23">
      <c r="A23" s="2" t="inlineStr">
        <is>
          <t>Figma</t>
        </is>
      </c>
      <c r="B23" s="2" t="inlineStr">
        <is>
          <t>Working</t>
        </is>
      </c>
      <c r="C23" s="2" t="inlineStr">
        <is>
          <t>POS UI/UX</t>
        </is>
      </c>
      <c r="D23" s="2" t="inlineStr">
        <is>
          <t>Frontend; Full Stack</t>
        </is>
      </c>
      <c r="E23" s="2" t="inlineStr">
        <is>
          <t>Yes</t>
        </is>
      </c>
    </row>
  </sheetData>
  <dataValidations count="2">
    <dataValidation sqref="B2:B500" showDropDown="0" showInputMessage="0" showErrorMessage="0" allowBlank="1" type="list">
      <formula1>"Strong,Working,Working / DSA,Developing,Beginner"</formula1>
    </dataValidation>
    <dataValidation sqref="E2:E500" showDropDown="0" showInputMessage="0" showErrorMessage="0" allowBlank="1" type="list">
      <formula1>"Yes,Review,No"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R207"/>
  <sheetViews>
    <sheetView tabSelected="1" topLeftCell="AM1" workbookViewId="0">
      <pane ySplit="1" topLeftCell="A2" activePane="bottomLeft" state="frozen"/>
      <selection pane="bottomLeft" activeCell="AR4" sqref="AR4"/>
    </sheetView>
  </sheetViews>
  <sheetFormatPr baseColWidth="8" defaultRowHeight="15"/>
  <cols>
    <col width="12" customWidth="1" style="15" min="1" max="10"/>
    <col width="17" customWidth="1" style="15" min="11" max="11"/>
    <col width="18" customWidth="1" style="15" min="12" max="12"/>
    <col width="55" customWidth="1" style="15" min="13" max="13"/>
    <col width="38" customWidth="1" style="15" min="14" max="14"/>
    <col width="15" customWidth="1" style="15" min="15" max="15"/>
    <col width="16" customWidth="1" style="15" min="16" max="16"/>
    <col width="12" customWidth="1" style="15" min="17" max="18"/>
    <col width="18" customWidth="1" style="15" min="19" max="19"/>
    <col width="21" customWidth="1" style="15" min="20" max="20"/>
    <col width="38" customWidth="1" style="15" min="21" max="22"/>
    <col width="55" customWidth="1" style="15" min="23" max="23"/>
    <col width="16" customWidth="1" style="15" min="24" max="24"/>
    <col width="12" customWidth="1" style="15" min="25" max="25"/>
    <col width="55" customWidth="1" style="15" min="26" max="26"/>
    <col width="28" customWidth="1" style="15" min="27" max="38"/>
    <col width="52.28515625" bestFit="1" customWidth="1" style="15" min="39" max="39"/>
    <col width="20.140625" bestFit="1" customWidth="1" style="15" min="40" max="40"/>
    <col width="18" bestFit="1" customWidth="1" style="15" min="41" max="41"/>
    <col width="20.85546875" bestFit="1" customWidth="1" style="15" min="42" max="42"/>
    <col width="24" bestFit="1" customWidth="1" style="15" min="43" max="43"/>
    <col width="14.42578125" bestFit="1" customWidth="1" style="15" min="44" max="44"/>
  </cols>
  <sheetData>
    <row r="1">
      <c r="A1" s="5" t="inlineStr">
        <is>
          <t>Job ID</t>
        </is>
      </c>
      <c r="B1" s="5" t="inlineStr">
        <is>
          <t>Company</t>
        </is>
      </c>
      <c r="C1" s="5" t="inlineStr">
        <is>
          <t>Role</t>
        </is>
      </c>
      <c r="D1" s="5" t="inlineStr">
        <is>
          <t>Job URL</t>
        </is>
      </c>
      <c r="E1" s="5" t="inlineStr">
        <is>
          <t>Source</t>
        </is>
      </c>
      <c r="F1" s="5" t="inlineStr">
        <is>
          <t>Location</t>
        </is>
      </c>
      <c r="G1" s="5" t="inlineStr">
        <is>
          <t>Work Mode</t>
        </is>
      </c>
      <c r="H1" s="5" t="inlineStr">
        <is>
          <t>Stipend</t>
        </is>
      </c>
      <c r="I1" s="5" t="inlineStr">
        <is>
          <t>Duration</t>
        </is>
      </c>
      <c r="J1" s="5" t="inlineStr">
        <is>
          <t>PPO Signal</t>
        </is>
      </c>
      <c r="K1" s="5" t="inlineStr">
        <is>
          <t>Required Skills</t>
        </is>
      </c>
      <c r="L1" s="5" t="inlineStr">
        <is>
          <t>Preferred Skills</t>
        </is>
      </c>
      <c r="M1" s="5" t="inlineStr">
        <is>
          <t>JD Text</t>
        </is>
      </c>
      <c r="N1" s="5" t="inlineStr">
        <is>
          <t>Match Score</t>
        </is>
      </c>
      <c r="O1" s="5" t="inlineStr">
        <is>
          <t>Technical Fit</t>
        </is>
      </c>
      <c r="P1" s="5" t="inlineStr">
        <is>
          <t>Experience Fit</t>
        </is>
      </c>
      <c r="Q1" s="5" t="inlineStr">
        <is>
          <t>Role Fit</t>
        </is>
      </c>
      <c r="R1" s="5" t="inlineStr">
        <is>
          <t>PPO Score</t>
        </is>
      </c>
      <c r="S1" s="5" t="inlineStr">
        <is>
          <t>Compensation Fit</t>
        </is>
      </c>
      <c r="T1" s="5" t="inlineStr">
        <is>
          <t>Opportunity Quality</t>
        </is>
      </c>
      <c r="U1" s="5" t="inlineStr">
        <is>
          <t>Priority</t>
        </is>
      </c>
      <c r="V1" s="5" t="inlineStr">
        <is>
          <t>Recommendation</t>
        </is>
      </c>
      <c r="W1" s="5" t="inlineStr">
        <is>
          <t>Skill Gaps</t>
        </is>
      </c>
      <c r="X1" s="5" t="inlineStr">
        <is>
          <t>Resume Version</t>
        </is>
      </c>
      <c r="Y1" s="5" t="inlineStr">
        <is>
          <t>Date Found</t>
        </is>
      </c>
      <c r="Z1" s="5" t="inlineStr">
        <is>
          <t>Notes</t>
        </is>
      </c>
      <c r="AA1" s="5" t="inlineStr">
        <is>
          <t>Eligibility Status</t>
        </is>
      </c>
      <c r="AB1" s="5" t="inlineStr">
        <is>
          <t>Eligibility Reasons</t>
        </is>
      </c>
      <c r="AC1" s="5" t="inlineStr">
        <is>
          <t>Availability Status</t>
        </is>
      </c>
      <c r="AD1" s="5" t="inlineStr">
        <is>
          <t>Availability Reason</t>
        </is>
      </c>
      <c r="AE1" s="5" t="inlineStr">
        <is>
          <t>Compensation Status</t>
        </is>
      </c>
      <c r="AF1" s="5" t="inlineStr">
        <is>
          <t>Guaranteed Stipend</t>
        </is>
      </c>
      <c r="AG1" s="5" t="inlineStr">
        <is>
          <t>Incentive Included</t>
        </is>
      </c>
      <c r="AH1" s="5" t="inlineStr">
        <is>
          <t>PPO Status</t>
        </is>
      </c>
      <c r="AI1" s="5" t="inlineStr">
        <is>
          <t>PPO Evidence</t>
        </is>
      </c>
      <c r="AJ1" s="5" t="inlineStr">
        <is>
          <t>Hard Blockers</t>
        </is>
      </c>
      <c r="AK1" s="5" t="inlineStr">
        <is>
          <t>Red Flags</t>
        </is>
      </c>
      <c r="AL1" s="5" t="inlineStr">
        <is>
          <t>Interview Topics</t>
        </is>
      </c>
      <c r="AM1" s="21" t="inlineStr">
        <is>
          <t>Application Kit Path</t>
        </is>
      </c>
      <c r="AN1" s="21" t="inlineStr">
        <is>
          <t>Application Kit Status</t>
        </is>
      </c>
      <c r="AO1" s="21" t="inlineStr">
        <is>
          <t>Cover Letter Status</t>
        </is>
      </c>
      <c r="AP1" s="21" t="inlineStr">
        <is>
          <t>Resume Bullets Status</t>
        </is>
      </c>
      <c r="AQ1" s="21" t="inlineStr">
        <is>
          <t>Screening Answers Status</t>
        </is>
      </c>
      <c r="AR1" s="21" t="inlineStr">
        <is>
          <t>Apply Status</t>
        </is>
      </c>
    </row>
    <row r="2">
      <c r="A2" t="inlineStr">
        <is>
          <t>VAHAN.AI-261002-1</t>
        </is>
      </c>
      <c r="B2" t="inlineStr">
        <is>
          <t>Vahan.ai</t>
        </is>
      </c>
      <c r="C2" t="inlineStr">
        <is>
          <t>Software Engineer Intern</t>
        </is>
      </c>
      <c r="D2" t="inlineStr">
        <is>
          <t>https://in.jooble.org/desc/6188556421007720826?ckey=software+engineer+intern&amp;rgn=3193&amp;pos=1&amp;elckey=-914241366255621246&amp;p=1&amp;aq=3344858192535340138&amp;cid=389&amp;jobAge=65&amp;brelb=10&amp;bscr=1812.0676&amp;scr=1812.0676</t>
        </is>
      </c>
      <c r="E2" t="inlineStr">
        <is>
          <t>AI Analyzer</t>
        </is>
      </c>
      <c r="F2" t="inlineStr">
        <is>
          <t>Bangalore</t>
        </is>
      </c>
      <c r="G2" t="inlineStr">
        <is>
          <t>On-site</t>
        </is>
      </c>
      <c r="I2" t="inlineStr">
        <is>
          <t>6 months</t>
        </is>
      </c>
      <c r="J2" t="inlineStr">
        <is>
          <t>NOT_MENTIONED</t>
        </is>
      </c>
      <c r="K2" t="inlineStr">
        <is>
          <t>React; Node.js; PostgreSQL; REST APIs; Data Structures; Algorithms</t>
        </is>
      </c>
      <c r="L2" t="inlineStr">
        <is>
          <t>Git; AWS; GCP; CI/CD</t>
        </is>
      </c>
      <c r="M2" t="inlineStr">
        <is>
          <t>[go to main page](https://in.jooble.org/)
Sign up to access all features of our service
Sign upLog inShare jobsAdd job posting / For companies
- Job search
- Favorites
- Create a CV
New
- [Salaries](https://in.jooble.org/salary)
- Subscriptions
Never miss new jobs in the app
[![Download from Google Play](https://in.jooble.org/assets/images/badges/gray/android/en.png)](https://jooble.onelink.me/CUK2/cdqezxyt)[![Download from App Store](https://in.jooble.org/assets/images/badges/gray/ios/en.png)](https://jooble.onelink.me/CUK2/cdqezxyt)
Company
- [About Jooble](https://in.jooble.org/info/about)
- [Careers](https://jooble.org/hiring)
- [Help Center](https://help.jooble.org/en/support/home)
- [Jobs in India](https://in.jooble.org/)
For Employers
- For ATS
- [Post a Job](https://in.jooble.org/post-a-job?source=footer)
For Job Seekers
- [Popular Searches](https://in.jooble.org/queries)
- [Find Salaries](https://in.jooble.org/salary)
- [Resume Checker](https://in.fitly.work/resume-checker)
Legal
- [Terms of Service](https://in.jooble.org/info/terms)
- [Privacy Policy](https://in.jooble.org/info/privacy)
- Cookie Settings
[Country: India](https://jooble.org/#countries)
© 2006-2026 [Jooble](https://in.jooble.org/)
# Software Engineer Intern
Vahan.ai
[Bangalore](https://in.jooble.org/jobs/Bangalore)
[Apply](https://in.jooble.org/away/6188556421007720826?p=1&amp;pos=0&amp;rgn=3193&amp;pageType=7&amp;cid=389&amp;jobAge=65&amp;scr=1812.0676&amp;bscr=1812.0676&amp;jdpSource=101&amp;jdpid=4268432523975834226&amp;crId=IN_941557261776897104IN_3193)
This position requires local presence. Please view similar jobs below.
**About Vahan**
Vahan is a YC-backed AI-powered hiring marketplace connecting blue-collar workers with employment opportunities at scale. We're building technology that transforms how India's frontline workforce finds jobs.
**About the Role**
We're looking for a Software Development Engineer Intern to join our engineering team for a 6-month internship. You'll work on real, production-facing features across our stack — building and shipping code that impacts how millions of workers access job opportunities.
**What You'll Do**
- Build and ship features across the frontend (React) and backend (Node.js, PostgreSQL)
- Write clean, maintainable, well-tested code and participate in code reviews
- Collaborate closely with senior engineers, product managers, and designers on feature design and implementation
- Debug and resolve issues in existing systems
- Contribute to technical discussions and bring fresh perspective to engineering decisions
**What We're Looking For**
- Strong fundamentals in React (component architecture, state management, hooks) and Node.js (REST APIs, async patterns)
- Working knowledge of PostgreSQL — schema design, queries, basic optimization
- **Must have completed at least one prior internship** in a software engineering role
- Solid understanding of data structures, algorithms, and problem-solving
- Comfortable working in a fast-paced startup environment with high ownership
- Strong communication skills and ability to work collaboratively with cross-functional teams
- Currently pursuing or recently completed a degree in Computer Science or a related field
**Good to Have**
- Familiarity with Git and collaborative development workflows
- Exposure to cloud platforms (AWS/GCP) or CI/CD pipelines
- Prior experience building or contributing to a production application
**What You'll Get**
- Hands-on experience building production systems used at scale
- Direct mentorship from senior engineers
- High ownership from day one — you'll ship real features, not just tickets
- A front-row seat to how a fast-growing startup operates
[Apply](https://in.jooble.org/away/6188556421007720826?p=1&amp;pos=0&amp;rgn=3193&amp;pageType=7&amp;cid=389&amp;jobAge=65&amp;scr=1812.0676&amp;bscr=1812.0676&amp;jdpSource=101&amp;jdpid=4268432523975834226&amp;crId=IN_941557261776897104IN_3193)
Software Engineer Intern
Amli Media
[Bangalore](https://in.jooble.org/jobs/Bangalore)
[Apply](https://in.jooble.org/away/-5466943941181979298?p=1&amp;pos=0&amp;rgn=3193&amp;pageType=7&amp;cid=389&amp;jobAge=65&amp;scr=1680.1357&amp;bscr=1680.1357&amp;jdpSource=101&amp;jdpid=8525193347522701470&amp;crId=IN_941557261776897104IN_3193)
This position requires local presence. Please view similar jobs below.
**About Amli Media**
**Amli Media is a programmatic advertising technology company building high-performance infrastructure for real-time bidding, OpenRTB, APIs, data processing, and digital advertising.**
**The Role**
**We're looking for a **Software Engineer Intern** who enjoys coding, problem-solving, and experimenting with new technologies. You'll work with our engineering team on real-world systems and production-oriented projects.**
**What You'll Do**
**- Develop and improve backend services, APIs, and real-time systems.**
**- Learn and work with **OpenRTB and AdTech systems** .**
**- Debug issues, write tests, and improve application performance.**
**- Use **AI coding tools** to accelerate development, whil</t>
        </is>
      </c>
      <c r="N2" t="n">
        <v>71</v>
      </c>
      <c r="O2" t="n">
        <v>75</v>
      </c>
      <c r="P2" t="n">
        <v>90</v>
      </c>
      <c r="Q2" t="n">
        <v>85</v>
      </c>
      <c r="R2" t="n">
        <v>30</v>
      </c>
      <c r="S2" t="n">
        <v>50</v>
      </c>
      <c r="T2" t="n">
        <v>85</v>
      </c>
      <c r="U2" t="inlineStr">
        <is>
          <t>CONSIDER</t>
        </is>
      </c>
      <c r="V2" t="inlineStr">
        <is>
          <t>CONSIDER</t>
        </is>
      </c>
      <c r="W2" t="inlineStr">
        <is>
          <t>React (listed as working knowledge, Angular is demonstrated); PostgreSQL (MySQL and MS SQL Server demonstrated, PostgreSQL is working knowledge/exposure)</t>
        </is>
      </c>
      <c r="X2" t="inlineStr">
        <is>
          <t>Default Full Stack / MERN Resume emphasizing Node.js, REST APIs, and database experience.</t>
        </is>
      </c>
      <c r="Y2" t="inlineStr">
        <is>
          <t>2026-10-02</t>
        </is>
      </c>
      <c r="Z2" t="inlineStr">
        <is>
          <t>Matches target role as a Software Engineer Intern in Bangalore.; Fulfills experience requirements with prior verifiable full stack internships.; Tech stack overlaps significantly with candidate's backend and full stack background.</t>
        </is>
      </c>
      <c r="AA2" t="inlineStr">
        <is>
          <t>ELIGIBLE</t>
        </is>
      </c>
      <c r="AB2" t="inlineStr">
        <is>
          <t>Currently pursuing MCA degree matching degree requirements.; Candidate has prior full-stack internship experience satisfying the internship requirement.</t>
        </is>
      </c>
      <c r="AC2" t="inlineStr">
        <is>
          <t>UNKNOWN</t>
        </is>
      </c>
      <c r="AD2" t="inlineStr">
        <is>
          <t>Candidate availability dates are not specified in the career brain.</t>
        </is>
      </c>
      <c r="AE2" t="inlineStr">
        <is>
          <t>UNKNOWN</t>
        </is>
      </c>
      <c r="AF2" t="n">
        <v>0</v>
      </c>
      <c r="AG2" t="inlineStr">
        <is>
          <t>No</t>
        </is>
      </c>
      <c r="AH2" t="inlineStr">
        <is>
          <t>NOT_MENTIONED</t>
        </is>
      </c>
      <c r="AI2" t="inlineStr">
        <is>
          <t>No explicit PPO or conversion mention found in the Vahan.ai job description.</t>
        </is>
      </c>
      <c r="AL2" t="inlineStr">
        <is>
          <t>Node.js async patterns and REST API design; React component architecture and state management; PostgreSQL schema design and query optimization compared to MySQL; Data structures and algorithms problem solving</t>
        </is>
      </c>
    </row>
    <row r="3">
      <c r="A3" t="inlineStr">
        <is>
          <t>AMLI-MEDIA-261002-2</t>
        </is>
      </c>
      <c r="B3" t="inlineStr">
        <is>
          <t>Amli Media</t>
        </is>
      </c>
      <c r="C3" t="inlineStr">
        <is>
          <t>Software Engineer Intern</t>
        </is>
      </c>
      <c r="D3" t="inlineStr">
        <is>
          <t>https://in.jooble.org/desc/-5466943941181979298?ckey=software+engineer+intern&amp;rgn=3193&amp;pos=2&amp;elckey=-914241366255621246&amp;p=1&amp;aq=3344858192535340138&amp;cid=389&amp;jobAge=65&amp;brelb=10&amp;bscr=1680.1357&amp;scr=1680.1357</t>
        </is>
      </c>
      <c r="E3" t="inlineStr">
        <is>
          <t>AI Analyzer</t>
        </is>
      </c>
      <c r="F3" t="inlineStr">
        <is>
          <t>Bengaluru</t>
        </is>
      </c>
      <c r="G3" t="inlineStr">
        <is>
          <t>Hybrid</t>
        </is>
      </c>
      <c r="H3" t="inlineStr">
        <is>
          <t>Competitive</t>
        </is>
      </c>
      <c r="I3" t="inlineStr">
        <is>
          <t>3–6 months</t>
        </is>
      </c>
      <c r="J3" t="inlineStr">
        <is>
          <t>AVAILABLE</t>
        </is>
      </c>
      <c r="K3" t="inlineStr">
        <is>
          <t>Programming fundamentals; Problem-solving; Data structures; Algorithms; SQL; APIs; Git</t>
        </is>
      </c>
      <c r="L3" t="inlineStr">
        <is>
          <t>Go; Java; OpenRTB; AdTech systems; AI coding tools</t>
        </is>
      </c>
      <c r="M3" t="inlineStr">
        <is>
          <t>[go to main page](https://in.jooble.org/)
Sign up to access all features of our service
Sign upLog inShare jobsAdd job posting / For companies
- Job search
- Favorites
- Create a CV
New
- [Salaries](https://in.jooble.org/salary)
- Subscriptions
Never miss new jobs in the app
[![Download from Google Play](https://in.jooble.org/assets/images/badges/gray/android/en.png)](https://jooble.onelink.me/CUK2/cdqezxyt)[![Download from App Store](https://in.jooble.org/assets/images/badges/gray/ios/en.png)](https://jooble.onelink.me/CUK2/cdqezxyt)
Company
- [About Jooble](https://in.jooble.org/info/about)
- [Careers](https://jooble.org/hiring)
- [Help Center](https://help.jooble.org/en/support/home)
- [Jobs in India](https://in.jooble.org/)
For Employers
- For ATS
- [Post a Job](https://in.jooble.org/post-a-job?source=footer)
For Job Seekers
- [Popular Searches](https://in.jooble.org/queries)
- [Find Salaries](https://in.jooble.org/salary)
- [Resume Checker](https://in.fitly.work/resume-checker)
Legal
- [Terms of Service](https://in.jooble.org/info/terms)
- [Privacy Policy](https://in.jooble.org/info/privacy)
- Cookie Settings
[Country: India](https://jooble.org/#countries)
© 2006-2026 [Jooble](https://in.jooble.org/)
Software Engineer Intern
Vahan.ai
[Bangalore](https://in.jooble.org/jobs/Bangalore)
[Apply](https://in.jooble.org/away/6188556421007720826?p=1&amp;pos=0&amp;rgn=3193&amp;pageType=7&amp;cid=389&amp;jobAge=65&amp;scr=1812.0676&amp;bscr=1812.0676&amp;jdpSource=101&amp;jdpid=2128092381181319296&amp;crId=IN_941557261776897104IN_3193)
This position requires local presence. Please view similar jobs below.
**About Vahan**
Vahan is a YC-backed AI-powered hiring marketplace connecting blue-collar workers with employment opportunities at scale. We're building technology that transforms how India's frontline workforce finds jobs.
**About the Role**
We're looking for a Software Development Engineer Intern to join our engineering team for a 6-month internship. You'll work on real, production-facing features across our stack — building and shipping code that impacts how millions of workers access job opportunities.
**What You'll Do**
- Build and ship features across the frontend (React) and backend (Node.js, PostgreSQL)
- Write clean, maintainable, well-tested code and participate in code reviews
- Collaborate closely with senior engineers, product managers, and designers on feature design and implementation
- Debug and resolve issues in existing systems
- Contribute to technical discussions and bring fresh perspective to engineering decisions
**What We're Looking For**
- Strong fundamentals in React (component architecture, state management, hooks) and Node.js (REST APIs, async patterns)
- Working knowledge of PostgreSQL — schema design, queries, basic optimization
- **Must have completed at least one prior internship** in a software engineering role
- Solid understanding of data structures, algorithms, and problem-solving
- Comfortable working in a fast-paced startup environment with high ownership
- Strong communication skills and ability to work collaboratively with cross-functional teams
- Currently pursuing or recently completed a degree in Computer Science or a related field
**Good to Have**
- Familiarity with Git and collaborative development workflows
- Exposure to cloud platforms (AWS/GCP) or CI/CD pipelines
- Prior experience building or contributing to a production application
**What You'll Get**
- Hands-on experience building production systems used at scale
- Direct mentorship from senior engineers
- High ownership from day one — you'll ship real features, not just tickets
- A front-row seat to how a fast-growing startup operates
[Apply](https://in.jooble.org/away/6188556421007720826?p=1&amp;pos=0&amp;rgn=3193&amp;pageType=7&amp;cid=389&amp;jobAge=65&amp;scr=1812.0676&amp;bscr=1812.0676&amp;jdpSource=101&amp;jdpid=2128092381181319296&amp;crId=IN_941557261776897104IN_3193)
# Software Engineer Intern
Amli Media
[Bangalore](https://in.jooble.org/jobs/Bangalore)
[Apply](https://in.jooble.org/away/-5466943941181979298?p=1&amp;pos=0&amp;rgn=3193&amp;pageType=7&amp;cid=389&amp;jobAge=65&amp;scr=1680.1357&amp;bscr=1680.1357&amp;jdpSource=101&amp;jdpid=7294553434606529108&amp;crId=IN_941557261776897104IN_3193)
This position requires local presence. Please view similar jobs below.
**About Amli Media**
**Amli Media is a programmatic advertising technology company building high-performance infrastructure for real-time bidding, OpenRTB, APIs, data processing, and digital advertising.**
**The Role**
**We're looking for a **Software Engineer Intern** who enjoys coding, problem-solving, and experimenting with new technologies. You'll work with our engineering team on real-world systems and production-oriented projects.**
**What You'll Do**
**- Develop and improve backend services, APIs, and real-time systems.**
**- Learn and work with **OpenRTB and AdTech systems** .**
**- Debug issues, write tests, and improve application performance.**
**- Use **AI coding tools** to accelerate development, whil</t>
        </is>
      </c>
      <c r="N3" t="n">
        <v>80</v>
      </c>
      <c r="O3" t="n">
        <v>75</v>
      </c>
      <c r="P3" t="n">
        <v>90</v>
      </c>
      <c r="Q3" t="n">
        <v>85</v>
      </c>
      <c r="R3" t="n">
        <v>90</v>
      </c>
      <c r="S3" t="n">
        <v>50</v>
      </c>
      <c r="T3" t="n">
        <v>85</v>
      </c>
      <c r="U3" t="inlineStr">
        <is>
          <t>APPLY</t>
        </is>
      </c>
      <c r="V3" t="inlineStr">
        <is>
          <t>APPLY</t>
        </is>
      </c>
      <c r="W3" t="inlineStr">
        <is>
          <t>Go; Java; OpenRTB; AdTech systems</t>
        </is>
      </c>
      <c r="X3" t="inlineStr">
        <is>
          <t>Default Full Stack / Backend Resume</t>
        </is>
      </c>
      <c r="Y3" t="inlineStr">
        <is>
          <t>2026-10-02</t>
        </is>
      </c>
      <c r="Z3" t="inlineStr">
        <is>
          <t>No prior professional experience required, matching the candidate's student profile.; Offers potential full-time conversion (PPO), which is a high priority.; Located in Bengaluru with a hybrid work model.</t>
        </is>
      </c>
      <c r="AA3" t="inlineStr">
        <is>
          <t>ELIGIBLE</t>
        </is>
      </c>
      <c r="AB3" t="inlineStr">
        <is>
          <t>Candidate is pursuing MCA which matches the required degrees (B.E., B.Tech, M.Tech, MCA).; No prior professional experience is required.</t>
        </is>
      </c>
      <c r="AC3" t="inlineStr">
        <is>
          <t>UNKNOWN</t>
        </is>
      </c>
      <c r="AD3" t="inlineStr">
        <is>
          <t>Specific start date is not explicitly mentioned in candidate profile.</t>
        </is>
      </c>
      <c r="AE3" t="inlineStr">
        <is>
          <t>UNKNOWN</t>
        </is>
      </c>
      <c r="AF3" t="n">
        <v>0</v>
      </c>
      <c r="AG3" t="inlineStr">
        <is>
          <t>No</t>
        </is>
      </c>
      <c r="AH3" t="inlineStr">
        <is>
          <t>AVAILABLE</t>
        </is>
      </c>
      <c r="AI3" t="inlineStr">
        <is>
          <t>Potential conversion based on performance.</t>
        </is>
      </c>
      <c r="AL3" t="inlineStr">
        <is>
          <t>Backend services, APIs, and real-time systems architecture; SQL query optimization and database design; OpenRTB and AdTech fundamentals (conceptual readiness); Effective and responsible usage of AI coding tools in software development</t>
        </is>
      </c>
      <c r="AM3" t="inlineStr">
        <is>
          <t>E:\InternshipHunter\applications\jooble-04745f7de859</t>
        </is>
      </c>
      <c r="AN3" t="inlineStr">
        <is>
          <t>Ready for Review</t>
        </is>
      </c>
      <c r="AO3" t="inlineStr">
        <is>
          <t>Generated</t>
        </is>
      </c>
      <c r="AP3" t="inlineStr">
        <is>
          <t>Generated</t>
        </is>
      </c>
      <c r="AQ3" t="inlineStr">
        <is>
          <t>Generated</t>
        </is>
      </c>
      <c r="AR3" t="inlineStr">
        <is>
          <t>Ready to Apply</t>
        </is>
      </c>
    </row>
    <row r="4">
      <c r="A4" t="inlineStr">
        <is>
          <t>WEEKDAY-(YC--261002-3</t>
        </is>
      </c>
      <c r="B4" t="inlineStr">
        <is>
          <t>weekday (yc w21)</t>
        </is>
      </c>
      <c r="C4" t="inlineStr">
        <is>
          <t>Software Engineer Intern</t>
        </is>
      </c>
      <c r="D4" t="inlineStr">
        <is>
          <t>https://in.jooble.org/desc/-455657989072061680?ckey=software+engineer+intern&amp;rgn=3193&amp;pos=3&amp;elckey=-914241366255621246&amp;p=1&amp;aq=3344858192535340138&amp;cid=389&amp;jobAge=977&amp;brelb=10&amp;bscr=1640.0364&amp;scr=1640.0364</t>
        </is>
      </c>
      <c r="E4" t="inlineStr">
        <is>
          <t>AI Analyzer</t>
        </is>
      </c>
      <c r="F4" t="inlineStr">
        <is>
          <t>Bengaluru</t>
        </is>
      </c>
      <c r="G4" t="inlineStr">
        <is>
          <t>Hybrid</t>
        </is>
      </c>
      <c r="H4" t="inlineStr">
        <is>
          <t>₹30,000 – ₹50,000 per month</t>
        </is>
      </c>
      <c r="I4" t="inlineStr">
        <is>
          <t>Minimum 2 months, extendable up to 6 months</t>
        </is>
      </c>
      <c r="J4" t="inlineStr">
        <is>
          <t>not_mentioned</t>
        </is>
      </c>
      <c r="K4" t="inlineStr">
        <is>
          <t>Problem-solving; Data structures; Algorithms; Software development principles; Programming language (Python, JavaScript, Java, C++)</t>
        </is>
      </c>
      <c r="L4" t="inlineStr">
        <is>
          <t>Web frameworks; Cloud platforms; AI/ML tools; Prior internship experience; GitHub personal projects; Agile development practices</t>
        </is>
      </c>
      <c r="M4" t="inlineStr">
        <is>
          <t>[go to main page](https://in.jooble.org/)
Sign up to access all features of our service
Sign upLog inShare jobsAdd job posting / For companies
- Job search
- Favorites
- Create a CV
New
- [Salaries](https://in.jooble.org/salary)
- Subscriptions
Never miss new jobs in the app
[![Download from Google Play](https://in.jooble.org/assets/images/badges/gray/android/en.png)](https://jooble.onelink.me/CUK2/cdqezxyt)[![Download from App Store](https://in.jooble.org/assets/images/badges/gray/ios/en.png)](https://jooble.onelink.me/CUK2/cdqezxyt)
Company
- [About Jooble](https://in.jooble.org/info/about)
- [Careers](https://jooble.org/hiring)
- [Help Center](https://help.jooble.org/en/support/home)
- [Jobs in India](https://in.jooble.org/)
For Employers
- For ATS
- [Post a Job](https://in.jooble.org/post-a-job?source=footer)
For Job Seekers
- [Popular Searches](https://in.jooble.org/queries)
- [Find Salaries](https://in.jooble.org/salary)
- [Resume Checker](https://in.fitly.work/resume-checker)
Legal
- [Terms of Service](https://in.jooble.org/info/terms)
- [Privacy Policy](https://in.jooble.org/info/privacy)
- Cookie Settings
[Country: India](https://jooble.org/#countries)
© 2006-2026 [Jooble](https://in.jooble.org/)
Software Engineer Intern
Amli Media
[Bangalore](https://in.jooble.org/jobs/Bangalore)
[Apply](https://in.jooble.org/away/-5466943941181979298?p=1&amp;pos=0&amp;rgn=3193&amp;pageType=7&amp;cid=389&amp;jobAge=65&amp;scr=1680.1357&amp;bscr=1680.1357&amp;jdpSource=101&amp;jdpid=-6046522872735667925&amp;crId=IN_941557261776897104IN_3193)
This position requires local presence. Please view similar jobs below.
**About Amli Media**
**Amli Media is a programmatic advertising technology company building high-performance infrastructure for real-time bidding, OpenRTB, APIs, data processing, and digital advertising.**
**The Role**
**We're looking for a **Software Engineer Intern** who enjoys coding, problem-solving, and experimenting with new technologies. You'll work with our engineering team on real-world systems and production-oriented projects.**
**What You'll Do**
**- Develop and improve backend services, APIs, and real-time systems.**
**- Learn and work with **OpenRTB and AdTech systems** .**
**- Debug issues, write tests, and improve application performance.**
**- Use **AI coding tools** to accelerate development, while understanding, validating, testing, and improving the generated code.**
**- Participate in code reviews and follow modern software engineering practices.**
**What We're Looking For**
**- Strong programming fundamentals and problem-solving skills.**
**- Knowledge of at least one programming language (Go or Java preferred)**
**- Good understanding of **data structures, algorithms, SQL, APIs, and Git** .**
**- Curiosity to learn and ability to work independently.**
**- **Comfortable using AI tools for coding and learning, with the ability to critically review AI-generated solutions.****
**- Personal projects, GitHub contributions, or hackathon experience are a plus.**
**Internship Details**
****Location:** Bengaluru**
****Work Model:** Hybrid**
****Duration:** 3–6 months**
****Stipend:** Competitive**
****Full-Time Opportunity:** Potential conversion based on performance.**
**Who Should Apply**
**Students pursuing **B.E., B.Tech, M.Tech, MCA** , or a related degree, as well as recent graduates. **No prior professional experience required.****
**If you love building things, learning fast, and using AI as a coding partner, not a replacement for thinking, we'd love to hear from you.**
[Apply](https://in.jooble.org/away/-5466943941181979298?p=1&amp;pos=0&amp;rgn=3193&amp;pageType=7&amp;cid=389&amp;jobAge=65&amp;scr=1680.1357&amp;bscr=1680.1357&amp;jdpSource=101&amp;jdpid=-6046522872735667925&amp;crId=IN_941557261776897104IN_3193)
# Software Engineer Intern
weekday (yc w21)
[Bangalore](https://in.jooble.org/jobs/Bangalore)
[Apply](https://in.jooble.org/away/-455657989072061680?p=1&amp;pos=0&amp;rgn=3193&amp;pageType=7&amp;cid=389&amp;jobAge=977&amp;scr=1640.0364&amp;bscr=1640.0364&amp;jdpSource=101&amp;jdpid=-5525075937782994459&amp;crId=IN_941557261776897104IN_3193)
This position requires local presence. Please view similar jobs below.
**This role is for one of our clients**
**Industry: Software Development**
**Seniority level: Junior - Entry Level**
**Min Experience: 0 years**
**Location: Bengaluru (Remote)**
**JobType: full-time**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
**About The Role**
**We are looking for a motivated and curious Software Engineering Intern to join the team. This is a hands-on role where you'l</t>
        </is>
      </c>
      <c r="N4" t="n">
        <v>88</v>
      </c>
      <c r="O4" t="n">
        <v>95</v>
      </c>
      <c r="P4" t="n">
        <v>95</v>
      </c>
      <c r="Q4" t="n">
        <v>95</v>
      </c>
      <c r="R4" t="n">
        <v>50</v>
      </c>
      <c r="S4" t="n">
        <v>100</v>
      </c>
      <c r="T4" t="n">
        <v>85</v>
      </c>
      <c r="U4" t="inlineStr">
        <is>
          <t>APPLY</t>
        </is>
      </c>
      <c r="V4" t="inlineStr">
        <is>
          <t>APPLY</t>
        </is>
      </c>
      <c r="X4" t="inlineStr">
        <is>
          <t>Standard Full Stack / Software Engineer Intern Resume</t>
        </is>
      </c>
      <c r="Y4" t="inlineStr">
        <is>
          <t>2026-10-02</t>
        </is>
      </c>
      <c r="Z4" t="inlineStr">
        <is>
          <t>Stipend of ₹30,000 – ₹50,000 per month comfortably exceeds the minimum stipend target of ₹25,000/month.; Role matches primary target of Software Engineer Intern in Bengaluru with flexible work mode.; Candidate meets all educational and experience criteria with strong demonstrated JavaScript, Node, and C# skills.</t>
        </is>
      </c>
      <c r="AA4" t="inlineStr">
        <is>
          <t>eligible</t>
        </is>
      </c>
      <c r="AB4" t="inlineStr">
        <is>
          <t>Currently pursuing an MCA degree which aligns with the Computer Science or related field requirement.; Min experience required is 0 years, which is fully satisfied by candidate experience.</t>
        </is>
      </c>
      <c r="AC4" t="inlineStr">
        <is>
          <t>unknown</t>
        </is>
      </c>
      <c r="AD4" t="inlineStr">
        <is>
          <t>Exact start date availability relative to 'Immediate / As soon as possible' is not specified in the candidate profile.</t>
        </is>
      </c>
      <c r="AE4" t="inlineStr">
        <is>
          <t>exact</t>
        </is>
      </c>
      <c r="AF4" t="n">
        <v>30000</v>
      </c>
      <c r="AG4" t="inlineStr">
        <is>
          <t>No</t>
        </is>
      </c>
      <c r="AH4" t="inlineStr">
        <is>
          <t>not_mentioned</t>
        </is>
      </c>
      <c r="AI4" t="inlineStr">
        <is>
          <t>The job description does not mention potential conversion or PPO opportunities.</t>
        </is>
      </c>
      <c r="AL4" t="inlineStr">
        <is>
          <t>Data structures and algorithms problem-solving; System development principles and debugging experience; Past internship project architecture (Sunflower Trip / Restaurant POS); JavaScript and backend fundamentals</t>
        </is>
      </c>
      <c r="AM4" t="inlineStr">
        <is>
          <t>E:\InternshipHunter\applications\jooble-aef4be558ffb</t>
        </is>
      </c>
      <c r="AN4" t="inlineStr">
        <is>
          <t>Ready for Review</t>
        </is>
      </c>
      <c r="AO4" t="inlineStr">
        <is>
          <t>Generated</t>
        </is>
      </c>
      <c r="AP4" t="inlineStr">
        <is>
          <t>Generated</t>
        </is>
      </c>
      <c r="AQ4" t="inlineStr">
        <is>
          <t>Generated</t>
        </is>
      </c>
      <c r="AR4" t="inlineStr">
        <is>
          <t>Ready to Apply</t>
        </is>
      </c>
    </row>
    <row r="5">
      <c r="A5" t="inlineStr">
        <is>
          <t>STRIPE-261002-4</t>
        </is>
      </c>
      <c r="B5" t="inlineStr">
        <is>
          <t>Stripe</t>
        </is>
      </c>
      <c r="C5" t="inlineStr">
        <is>
          <t>Software Engineer, Intern</t>
        </is>
      </c>
      <c r="D5" t="inlineStr">
        <is>
          <t>https://in.jooble.org/desc/6361268409707951745?ckey=software+engineer+intern&amp;rgn=3193&amp;pos=4&amp;elckey=-914241366255621246&amp;p=1&amp;aq=3344858192535340138&amp;cid=389&amp;jobAge=771&amp;brelb=100&amp;bscr=1590.454&amp;scr=1590.454</t>
        </is>
      </c>
      <c r="E5" t="inlineStr">
        <is>
          <t>AI Analyzer</t>
        </is>
      </c>
      <c r="F5" t="inlineStr">
        <is>
          <t>Bangalore</t>
        </is>
      </c>
      <c r="G5" t="inlineStr">
        <is>
          <t>Remote/On-site</t>
        </is>
      </c>
      <c r="H5" t="inlineStr">
        <is>
          <t>Not specified</t>
        </is>
      </c>
      <c r="I5" t="inlineStr">
        <is>
          <t>Not specified</t>
        </is>
      </c>
      <c r="J5" t="inlineStr">
        <is>
          <t>NOT_EXPLICITLY_MENTIONED</t>
        </is>
      </c>
      <c r="K5" t="inlineStr">
        <is>
          <t>Computer Science fundamentals; Programming experience (Ruby, Java, JavaScript, Go, or Scala); Collaboration and team experience</t>
        </is>
      </c>
      <c r="L5" t="inlineStr">
        <is>
          <t>At least 1 year of university education; Specialized knowledge in frontend, backend, or infrastructure; Writing high quality pull requests</t>
        </is>
      </c>
      <c r="M5" t="inlineStr">
        <is>
          <t>[go to main page](https://in.jooble.org/)
Sign up to access all features of our service
Sign upLog inShare jobsAdd job posting / For companies
- Job search
- Favorites
- Create a CV
New
- [Salaries](https://in.jooble.org/salary)
- Subscriptions
Never miss new jobs in the app
[![Download from Google Play](https://in.jooble.org/assets/images/badges/gray/android/en.png)](https://jooble.onelink.me/CUK2/cdqezxyt)[![Download from App Store](https://in.jooble.org/assets/images/badges/gray/ios/en.png)](https://jooble.onelink.me/CUK2/cdqezxyt)
Company
- [About Jooble](https://in.jooble.org/info/about)
- [Careers](https://jooble.org/hiring)
- [Help Center](https://help.jooble.org/en/support/home)
- [Jobs in India](https://in.jooble.org/)
For Employers
- For ATS
- [Post a Job](https://in.jooble.org/post-a-job?source=footer)
For Job Seekers
- [Popular Searches](https://in.jooble.org/queries)
- [Find Salaries](https://in.jooble.org/salary)
- [Resume Checker](https://in.fitly.work/resume-checker)
Legal
- [Terms of Service](https://in.jooble.org/info/terms)
- [Privacy Policy](https://in.jooble.org/info/privacy)
- Cookie Settings
[Country: India](https://jooble.org/#countries)
© 2006-2026 [Jooble](https://in.jooble.org/)
Software Engineer Intern
weekday (yc w21)
[Bangalore](https://in.jooble.org/jobs/Bangalore)
[Apply](https://in.jooble.org/away/-455657989072061680?p=1&amp;pos=0&amp;rgn=3193&amp;pageType=7&amp;cid=389&amp;jobAge=977&amp;scr=1640.0364&amp;bscr=1640.0364&amp;jdpSource=101&amp;jdpid=-5684648104378095057&amp;crId=IN_941557261776897104IN_3193)
**This role is for one of our clients**
**Industry: Software Development**
**Seniority level: Junior - Entry Level**
**Min Experience: 0 years**
**Location: Bengaluru (Remote)**
**JobType: full-time**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
**About The Role**
**We are looking for a motivated and curious Software Engineering Intern to join the team. This is a hands-on role where you'll work alongside experienced engineers, contribute to real projects, and grow your technical skills in a fast-paced environment.**
**Details**
**Stipend:  ₹30,000 – ₹50,000 per month**
**Duration:  Minimum 2 months, extendable up to 6 months**
**Start Date:  Immediate / As soon as possible**
**Responsibilities**
**Assist in the design, development, and testing of software features**
**Debug issues and contribute to improving system performance**
**Learn and adapt quickly to new tools, technologies, and workflows**
**Requirements**
**Strong problem-solving skills and eagerness to learn**
**Good communication and teamwork skills**
**Currently pursuing or recently completed a degree in Computer Science, Engineering, or a related field**
**Basic understanding of data structures, algorithms, and software development principles**
**Proficiency in at least one programming language (e.g., Python, JavaScript, Java, C++)**
**Nice to Have**
**Familiarity with web frameworks, cloud platforms, or AI/ML tools**
**Prior internship experience or personal projects on GitHub**
**Exposure to agile development practices**
[Apply](https://in.jooble.org/away/-455657989072061680?p=1&amp;pos=0&amp;rgn=3193&amp;pageType=7&amp;cid=389&amp;jobAge=977&amp;scr=1640.0364&amp;bscr=1640.0364&amp;jdpSource=101&amp;jdpid=-5684648104378095057&amp;crId=IN_941557261776897104IN_3193)
# Software Engineer, Intern
Stripe
[Bangalore](https://in.jooble.org/jobs/Bangalore)
[Apply](https://in.jooble.org/away/6361268409707951745?p=1&amp;pos=0&amp;rgn=3193&amp;pageType=7&amp;cid=389&amp;jobAge=771&amp;scr=1590.454&amp;bscr=1590.454&amp;jdpSource=101&amp;jdpid=2903116517488692424&amp;crId=IN_941557261776897104IN_3193)
## **Who we are**
### **About Stripe**
Stripe is a technology company focused on improving the conditions for economic growth and prosperity. We build programmable financial infrastructure, rethinking from first principles how financial services should work, to make it easier and cheaper for any business to start and scale. More than 10 million businesses build on Stripe, spanning the economic frontier—from solo founders to established enterprises—united by a practical focus on growth. The most ambitious companies in the world use Stripe as core infrastructure to grow faster. They process trillions of dollars a year on Stripe, equivalent to around 1.6% of global GDP. While economic growth makes everyone better off, open markets also enable greater variety. When any business can easily serve a global customer base, the quality and diversity of products in the world increase, and craft and creativity are unleashed into the smallest n</t>
        </is>
      </c>
      <c r="N5" t="n">
        <v>77</v>
      </c>
      <c r="O5" t="n">
        <v>85</v>
      </c>
      <c r="P5" t="n">
        <v>80</v>
      </c>
      <c r="Q5" t="n">
        <v>90</v>
      </c>
      <c r="R5" t="n">
        <v>50</v>
      </c>
      <c r="S5" t="n">
        <v>50</v>
      </c>
      <c r="T5" t="n">
        <v>95</v>
      </c>
      <c r="U5" t="inlineStr">
        <is>
          <t>CONSIDER</t>
        </is>
      </c>
      <c r="V5" t="inlineStr">
        <is>
          <t>CONSIDER</t>
        </is>
      </c>
      <c r="W5" t="inlineStr">
        <is>
          <t>Ruby; Go; Scala</t>
        </is>
      </c>
      <c r="X5" t="inlineStr">
        <is>
          <t>Amaanuddin_Ahmed_Resume_FullStack.pdf</t>
        </is>
      </c>
      <c r="Y5" t="inlineStr">
        <is>
          <t>2026-10-02</t>
        </is>
      </c>
      <c r="Z5" t="inlineStr">
        <is>
          <t>Stripe is a top-tier technology company offering high opportunity quality and exposure to global-scale financial infrastructure.; The candidate meets the educational requirements as an MCA student at PES University.; Demonstrated full-stack development experience and JavaScript proficiency match the core requirements.</t>
        </is>
      </c>
      <c r="AA5" t="inlineStr">
        <is>
          <t>ELIGIBLE</t>
        </is>
      </c>
      <c r="AB5" t="inlineStr">
        <is>
          <t>Currently pursuing a Master's degree in Computer Science (MCA at PES University); Strong foundational programming skills and previous internship/project experience met</t>
        </is>
      </c>
      <c r="AC5" t="inlineStr">
        <is>
          <t>UNKNOWN</t>
        </is>
      </c>
      <c r="AD5" t="inlineStr">
        <is>
          <t>Start date and exact availability constraints not specified in profile</t>
        </is>
      </c>
      <c r="AE5" t="inlineStr">
        <is>
          <t>UNKNOWN</t>
        </is>
      </c>
      <c r="AF5" t="n">
        <v>0</v>
      </c>
      <c r="AG5" t="inlineStr">
        <is>
          <t>No</t>
        </is>
      </c>
      <c r="AH5" t="inlineStr">
        <is>
          <t>NOT_EXPLICITLY_MENTIONED</t>
        </is>
      </c>
      <c r="AI5" t="inlineStr">
        <is>
          <t>Job description mentions internship program and projects but does not explicitly guarantee or mention a full-time conversion/PPO offer.</t>
        </is>
      </c>
      <c r="AL5" t="inlineStr">
        <is>
          <t>Data structures and algorithms fundamentals; System design and scalable API development; Previous internship project architecture and deployment; Problem solving and handling ambiguous technical tasks</t>
        </is>
      </c>
    </row>
    <row r="6">
      <c r="A6" t="inlineStr">
        <is>
          <t>JOVEO-261002-5</t>
        </is>
      </c>
      <c r="B6" t="inlineStr">
        <is>
          <t>Joveo</t>
        </is>
      </c>
      <c r="C6" t="inlineStr">
        <is>
          <t>Software Engineering Intern (Full Stack)</t>
        </is>
      </c>
      <c r="D6" t="inlineStr">
        <is>
          <t>https://in.jooble.org/desc/5799679831910233464?ckey=software+engineer+intern&amp;rgn=3193&amp;pos=5&amp;elckey=-914241366255621246&amp;p=1&amp;aq=3344858192535340138&amp;cid=389&amp;jobAge=545&amp;brelb=10&amp;bscr=1482.9149&amp;scr=1482.9149</t>
        </is>
      </c>
      <c r="E6" t="inlineStr">
        <is>
          <t>AI Analyzer</t>
        </is>
      </c>
      <c r="F6" t="inlineStr">
        <is>
          <t>Bangalore</t>
        </is>
      </c>
      <c r="G6" t="inlineStr">
        <is>
          <t>On-site</t>
        </is>
      </c>
      <c r="H6" t="inlineStr">
        <is>
          <t>Competitive stipend</t>
        </is>
      </c>
      <c r="I6" t="inlineStr">
        <is>
          <t>Full-time internship</t>
        </is>
      </c>
      <c r="J6" t="inlineStr">
        <is>
          <t>NOT_MENTIONED</t>
        </is>
      </c>
      <c r="K6" t="inlineStr">
        <is>
          <t>TypeScript; React; Next.js; Node.js; Express.js; SQL; REST API; Git</t>
        </is>
      </c>
      <c r="L6" t="inlineStr">
        <is>
          <t>LLMs; Embeddings; Vector databases</t>
        </is>
      </c>
      <c r="M6" t="inlineStr">
        <is>
          <t>[go to main page](https://in.jooble.org/)
Sign up to access all features of our service
Sign upLog inShare jobsAdd job posting / For companies
- Job search
- Favorites
- Create a CV
New
- [Salaries](https://in.jooble.org/salary)
- Subscriptions
Never miss new jobs in the app
[![Download from Google Play](https://in.jooble.org/assets/images/badges/gray/android/en.png)](https://jooble.onelink.me/CUK2/cdqezxyt)[![Download from App Store](https://in.jooble.org/assets/images/badges/gray/ios/en.png)](https://jooble.onelink.me/CUK2/cdqezxyt)
Company
- [About Jooble](https://in.jooble.org/info/about)
- [Careers](https://jooble.org/hiring)
- [Help Center](https://help.jooble.org/en/support/home)
- [Jobs in India](https://in.jooble.org/)
For Employers
- For ATS
- [Post a Job](https://in.jooble.org/post-a-job?source=footer)
For Job Seekers
- [Popular Searches](https://in.jooble.org/queries)
- [Find Salaries](https://in.jooble.org/salary)
- [Resume Checker](https://in.fitly.work/resume-checker)
Legal
- [Terms of Service](https://in.jooble.org/info/terms)
- [Privacy Policy](https://in.jooble.org/info/privacy)
- Cookie Settings
[Country: India](https://jooble.org/#countries)
© 2006-2026 [Jooble](https://in.jooble.org/)
Software Engineer, Intern
Stripe
[Bangalore](https://in.jooble.org/jobs/Bangalore)
[Apply](https://in.jooble.org/away/6361268409707951745?p=1&amp;pos=0&amp;rgn=3193&amp;pageType=7&amp;cid=389&amp;jobAge=771&amp;scr=1590.454&amp;bscr=1590.454&amp;jdpSource=101&amp;jdpid=-3611609829792936510&amp;crId=IN_941557261776897104IN_3193)
This position requires local presence. Please view similar jobs below.
## **Who we are**
### **About Stripe**
Stripe is a technology company focused on improving the conditions for economic growth and prosperity. We build programmable financial infrastructure, rethinking from first principles how financial services should work, to make it easier and cheaper for any business to start and scale. More than 10 million businesses build on Stripe, spanning the economic frontier—from solo founders to established enterprises—united by a practical focus on growth. The most ambitious companies in the world use Stripe as core infrastructure to grow faster. They process trillions of dollars a year on Stripe, equivalent to around 1.6% of global GDP. While economic growth makes everyone better off, open markets also enable greater variety. When any business can easily serve a global customer base, the quality and diversity of products in the world increase, and craft and creativity are unleashed into the smallest niches. Our own growth is wholly contingent on the success of the businesses building on Stripe. We therefore invest back into our technology at an unusual rate. We make upgrades to our products every single day to deliver compounding gains to our customers. We maintain some of the most reliable APIs on the internet. We build entirely new pieces of financial infrastructure to enable new ideas. And our significant advances in risk and fraud infrastructure over many years are making the internet economy safer and more accessible.
Though people at Stripe don’t tend to take themselves seriously, Stripe is a fairly serious place: our customers are depending on us for their livelihoods. We admire ambition, intensity, curiosity, humility, and rigor. The most effective people become knowledgeable about many domains besides their own. Any company is an applied exercise in understanding some aspect of society or the market. In working with so many (especially the new and innovative ones), we think that Stripe is one of the very best places to learn about how the world works.
## **What you’ll do**
As an intern at Stripe you’ll work on projects across our stack that directly impact the way millions of businesses operate. You’ll own problems end to end with the support of your manager and teammates. It’s an opportunity to work alongside some of the most creative and technically rigorous engineers in the industry and learn how to ship high-quality work at scale. By contributing to Stripe’s codebase you’ll work across domains that give you insight into how the global economy works. Recent intern projects include expanding Stripe’s Payments Foundation Model capabilities to improve generalized anomaly detection, building more approachable fraud controls, creating safer payouts, and developing user-facing solutions that prevent costly pricing mistakes and make merchant checkout setup easier.
Our internship program is competitive and the expectations are high.
### **Responsibilities**
- Operate as a real member of the team you join; engage in team discussions, decisions, and the technical design process.
- Write software that will be used in production, and has meaningful impact to Stripe’s business and users.
- Give and receive technical feedback through code reviews or design discussions
- Collaborate with other engineers and cross-functional stakeholders to proactively seek and incorporate feedback.
- Lea</t>
        </is>
      </c>
      <c r="N6" t="n">
        <v>72</v>
      </c>
      <c r="O6" t="n">
        <v>75</v>
      </c>
      <c r="P6" t="n">
        <v>80</v>
      </c>
      <c r="Q6" t="n">
        <v>85</v>
      </c>
      <c r="R6" t="n">
        <v>50</v>
      </c>
      <c r="S6" t="n">
        <v>50</v>
      </c>
      <c r="T6" t="n">
        <v>85</v>
      </c>
      <c r="U6" t="inlineStr">
        <is>
          <t>CONSIDER</t>
        </is>
      </c>
      <c r="V6" t="inlineStr">
        <is>
          <t>CONSIDER</t>
        </is>
      </c>
      <c r="W6" t="inlineStr">
        <is>
          <t>TypeScript; Next.js; LLMs / Vector databases</t>
        </is>
      </c>
      <c r="X6" t="inlineStr">
        <is>
          <t>Default Full Stack / MERN focused resume</t>
        </is>
      </c>
      <c r="Y6" t="inlineStr">
        <is>
          <t>2026-10-02</t>
        </is>
      </c>
      <c r="Z6" t="inlineStr">
        <is>
          <t>Strong alignment with target role (Full Stack Developer Intern / Software Engineer Intern).; Direct experience with Node.js, Express, React, and SQL matching core technical stack.; High opportunity quality working on greenfield products with leadership.</t>
        </is>
      </c>
      <c r="AA6" t="inlineStr">
        <is>
          <t>ELIGIBLE</t>
        </is>
      </c>
      <c r="AB6" t="inlineStr">
        <is>
          <t>Candidate is currently pursuing MCA at PES University (2025-2027), fulfilling degree criteria.; Location matches Bengaluru requirement.; Strong background in full stack development matching requirements.</t>
        </is>
      </c>
      <c r="AC6" t="inlineStr">
        <is>
          <t>UNKNOWN</t>
        </is>
      </c>
      <c r="AD6" t="inlineStr">
        <is>
          <t>Exact internship start and availability dates are not explicitly stated in the candidate profile.</t>
        </is>
      </c>
      <c r="AE6" t="inlineStr">
        <is>
          <t>UNKNOWN</t>
        </is>
      </c>
      <c r="AF6" t="n">
        <v>0</v>
      </c>
      <c r="AG6" t="inlineStr">
        <is>
          <t>No</t>
        </is>
      </c>
      <c r="AH6" t="inlineStr">
        <is>
          <t>NOT_MENTIONED</t>
        </is>
      </c>
      <c r="AI6" t="inlineStr">
        <is>
          <t>The job description mentions full-time internship and greenfield AI product development, but does not explicitly guarantee or mention a Pre-Placement Offer (PPO).</t>
        </is>
      </c>
      <c r="AL6" t="inlineStr">
        <is>
          <t>Full-stack architecture using Node.js, Express, and React; SQL database design and REST API development; Experience with building production-ready web applications; Familiarity with modern frontend frameworks and TypeScript/Next.js concepts</t>
        </is>
      </c>
    </row>
    <row r="7">
      <c r="A7" t="inlineStr">
        <is>
          <t>ALLEN-DIGITA-261002-6</t>
        </is>
      </c>
      <c r="B7" t="inlineStr">
        <is>
          <t>allen digital</t>
        </is>
      </c>
      <c r="C7" t="inlineStr">
        <is>
          <t>Software Engineer Intern</t>
        </is>
      </c>
      <c r="D7" t="inlineStr">
        <is>
          <t>https://in.jooble.org/desc/5384164569259953805?ckey=software+engineer+intern&amp;rgn=3193&amp;pos=6&amp;elckey=-914241366255621246&amp;p=1&amp;aq=3344858192535340138&amp;cid=389&amp;jobAge=65&amp;brelb=10&amp;bscr=1463.2623&amp;scr=1463.2623</t>
        </is>
      </c>
      <c r="E7" t="inlineStr">
        <is>
          <t>AI Analyzer</t>
        </is>
      </c>
      <c r="F7" t="inlineStr">
        <is>
          <t>Bangalore</t>
        </is>
      </c>
      <c r="G7" t="inlineStr">
        <is>
          <t>Unknown</t>
        </is>
      </c>
      <c r="H7" t="inlineStr">
        <is>
          <t>Not specified</t>
        </is>
      </c>
      <c r="I7" t="inlineStr">
        <is>
          <t>Unknown</t>
        </is>
      </c>
      <c r="J7" t="inlineStr">
        <is>
          <t>Not Mentioned</t>
        </is>
      </c>
      <c r="K7" t="inlineStr">
        <is>
          <t>Go; Backend programming language</t>
        </is>
      </c>
      <c r="M7" t="inlineStr">
        <is>
          <t>&amp;nbsp;...technologies related to Go development. Qualifications Currently pursuing a Bachelor's or Master's degree in Computer Science, &lt;b&gt;Engineering,&lt;/b&gt; or a related technical field, scheduled to complete in 2026 Familiarity with at least one backend programming language (e.g.,...&amp;nbsp;</t>
        </is>
      </c>
      <c r="N7" t="n">
        <v>47</v>
      </c>
      <c r="O7" t="n">
        <v>40</v>
      </c>
      <c r="P7" t="n">
        <v>50</v>
      </c>
      <c r="Q7" t="n">
        <v>70</v>
      </c>
      <c r="R7" t="n">
        <v>30</v>
      </c>
      <c r="S7" t="n">
        <v>50</v>
      </c>
      <c r="T7" t="n">
        <v>50</v>
      </c>
      <c r="U7" t="inlineStr">
        <is>
          <t>SKIP</t>
        </is>
      </c>
      <c r="V7" t="inlineStr">
        <is>
          <t>SKIP</t>
        </is>
      </c>
      <c r="W7" t="inlineStr">
        <is>
          <t>Go</t>
        </is>
      </c>
      <c r="X7" t="inlineStr">
        <is>
          <t>Amaanuddin_Ahmed_Resume.pdf</t>
        </is>
      </c>
      <c r="Y7" t="inlineStr">
        <is>
          <t>2026-10-02</t>
        </is>
      </c>
      <c r="Z7" t="inlineStr">
        <is>
          <t>Matches the location (Bangalore) and target role (Software Engineer Intern); Meets the education criteria as an MCA student</t>
        </is>
      </c>
      <c r="AA7" t="inlineStr">
        <is>
          <t>Eligible</t>
        </is>
      </c>
      <c r="AB7" t="inlineStr">
        <is>
          <t>Currently pursuing a Master's degree (MCA) in a technical field</t>
        </is>
      </c>
      <c r="AC7" t="inlineStr">
        <is>
          <t>Unknown</t>
        </is>
      </c>
      <c r="AD7" t="inlineStr">
        <is>
          <t>Start date and availability constraints are not mentioned in the JD</t>
        </is>
      </c>
      <c r="AE7" t="inlineStr">
        <is>
          <t>UNKNOWN</t>
        </is>
      </c>
      <c r="AF7" t="n">
        <v>0</v>
      </c>
      <c r="AG7" t="inlineStr">
        <is>
          <t>No</t>
        </is>
      </c>
      <c r="AH7" t="inlineStr">
        <is>
          <t>Not Mentioned</t>
        </is>
      </c>
      <c r="AI7" t="inlineStr">
        <is>
          <t>No mention of PPO or conversion in the short JD snippet</t>
        </is>
      </c>
      <c r="AK7" t="inlineStr">
        <is>
          <t>Vague and very short job description text mentioning Go development</t>
        </is>
      </c>
      <c r="AL7" t="inlineStr">
        <is>
          <t>Go programming language fundamentals; Backend development principles; Previous full stack experience in Angular and Node.js</t>
        </is>
      </c>
    </row>
    <row r="8">
      <c r="A8" t="inlineStr">
        <is>
          <t>RUBRIK-261002-7</t>
        </is>
      </c>
      <c r="B8" t="inlineStr">
        <is>
          <t>Rubrik</t>
        </is>
      </c>
      <c r="C8" t="inlineStr">
        <is>
          <t>Software Engineer - Winter Intern</t>
        </is>
      </c>
      <c r="D8" t="inlineStr">
        <is>
          <t>https://in.jooble.org/desc/-1777843382272607488?ckey=software+engineer+intern&amp;rgn=3193&amp;pos=7&amp;elckey=-914241366255621246&amp;p=1&amp;aq=3344858192535340138&amp;cid=389&amp;jobAge=6&amp;brelb=100&amp;bscr=1441.4235&amp;scr=1441.4235</t>
        </is>
      </c>
      <c r="E8" t="inlineStr">
        <is>
          <t>AI Analyzer</t>
        </is>
      </c>
      <c r="F8" t="inlineStr">
        <is>
          <t>Bangalore</t>
        </is>
      </c>
      <c r="G8" t="inlineStr">
        <is>
          <t>On-site</t>
        </is>
      </c>
      <c r="I8" t="inlineStr">
        <is>
          <t>January 2027 to May 2027</t>
        </is>
      </c>
      <c r="J8" t="inlineStr">
        <is>
          <t>NOT MENTIONED</t>
        </is>
      </c>
      <c r="K8" t="inlineStr">
        <is>
          <t>Java; C/C++; Scala; Python</t>
        </is>
      </c>
      <c r="M8" t="inlineStr">
        <is>
          <t>[go to main page](https://in.jooble.org/)
Sign up to access all features of our service
Sign upLog inShare jobsAdd job posting / For companies
- Job search
- Favorites
- Create a CV
New
- [Salaries](https://in.jooble.org/salary)
- Subscriptions
Never miss new jobs in the app
[![Download from Google Play](https://in.jooble.org/assets/images/badges/gray/android/en.png)](https://jooble.onelink.me/CUK2/cdqezxyt)[![Download from App Store](https://in.jooble.org/assets/images/badges/gray/ios/en.png)](https://jooble.onelink.me/CUK2/cdqezxyt)
Company
- [About Jooble](https://in.jooble.org/info/about)
- [Careers](https://jooble.org/hiring)
- [Help Center](https://help.jooble.org/en/support/home)
- [Jobs in India](https://in.jooble.org/)
For Employers
- For ATS
- [Post a Job](https://in.jooble.org/post-a-job?source=footer)
For Job Seekers
- [Popular Searches](https://in.jooble.org/queries)
- [Find Salaries](https://in.jooble.org/salary)
- [Resume Checker](https://in.fitly.work/resume-checker)
Legal
- [Terms of Service](https://in.jooble.org/info/terms)
- [Privacy Policy](https://in.jooble.org/info/privacy)
- Cookie Settings
[Country: India](https://jooble.org/#countries)
© 2006-2026 [Jooble](https://in.jooble.org/)
Software Engineer Intern
allen digital
[Bangalore](https://in.jooble.org/jobs/Bangalore)
[Apply](https://in.jooble.org/away/5384164569259953805?p=1&amp;pos=0&amp;rgn=3193&amp;pageType=7&amp;cid=389&amp;jobAge=65&amp;scr=1463.2623&amp;bscr=1463.2623&amp;jdpSource=101&amp;jdpid=5051690762866895178&amp;crId=IN_941557261776897104IN_3193)
At ALLEN, we spearhead a technology-driven approach to education, leveraging top-tier tech talent from leading technology firms. Through our strategic collaboration with Bodhi Tree Systems, a prominent venture capital firm known for building &amp; scaling tech-first brands, we are revolutionizing education with a tech-first approach.
We address two critical challenges in the current education landscape: the need for more emphasis on holistic learning and adopting a one-size-fits-all approach. We are leveraging AI to develop an innovative ed-tech platform to provide students with a compelling end-to-end learning experience. Our goal is to transform education by providing personalized learning experiences that transcend traditional classrooms by catering to individual learning needs and to drive significant improvements in learning outcomes
Join us in reshaping education for the digital era and unlocking the full potential of every student!
**Responsibilities:**
Collaborate with cross-functional teams to gather and understand project requirements.
Design, develop, test, and maintain efficient and high-quality Go-based applications.
Write clean, maintainable, and well-documented code following best practices.
Participate in code reviews to ensure code quality and provide constructive feedback.
Troubleshoot and debug issues, identifying and implementing effective solutions.
Work with APIs, libraries, and frameworks to integrate systems seamlessly.
Stay up-to-date with industry trends and emerging technologies related to Go development.
**Qualifications**
- Currently pursuing a Bachelor's or Master's degree in Computer Science, Engineering, or a related technical field, scheduled to complete in 2026
- Familiarity with at least one backend programming language (e.g., Python, Java, Node.js, Go, Ruby).
- Proficiency in version control systems, preferably Git.
- Knowledge of core computer science fundamentals, including data structures and algorithms.
- Excellent communication skills and the ability to work effectively in a collaborative
team environment.
- Knowledge of databases (SQL and/or NoSQL) and data modeling.
**Nice-to-Have:**
- Familiarity with RESTful API design principles and practices
- Experience with cloud platforms (e.g., AWS, GCP) and containerization technologies(Docker, Kubernetes).
- Familiarity with CI/CD pipelines and automated testing frameworks.
- Contributions to open-source projects or personal projects showcasing development skills.
[Apply](https://in.jooble.org/away/5384164569259953805?p=1&amp;pos=0&amp;rgn=3193&amp;pageType=7&amp;cid=389&amp;jobAge=65&amp;scr=1463.2623&amp;bscr=1463.2623&amp;jdpSource=101&amp;jdpid=5051690762866895178&amp;crId=IN_941557261776897104IN_3193)
# Software Engineer - Winter Intern
Rubrik Job Board
[Bangalore](https://in.jooble.org/jobs/Bangalore)
[Apply](https://in.jooble.org/away/-1777843382272607488?p=1&amp;pos=0&amp;rgn=3193&amp;pageType=7&amp;cid=389&amp;jobAge=6&amp;scr=1441.4235&amp;bscr=1441.4235&amp;jdpSource=101&amp;jdpid=-7978440568806292051&amp;crId=IN_941557261776897104IN_3193)
**ABOUT THE JOB** We are looking for a Software Engineer - Intern to join our team. We believe in giving engineers responsibility, not tasks. Our goal is to motivate and challenge people to do their best work. To do that, we have a very fluid structure and give people the flexibility to work on projects that they enjoy the most. This develops more capable engineers and keeps everyone engaged and happy.
**Responsibilitie</t>
        </is>
      </c>
      <c r="N8" t="n">
        <v>52</v>
      </c>
      <c r="O8" t="n">
        <v>40</v>
      </c>
      <c r="P8" t="n">
        <v>50</v>
      </c>
      <c r="Q8" t="n">
        <v>60</v>
      </c>
      <c r="R8" t="n">
        <v>50</v>
      </c>
      <c r="S8" t="n">
        <v>50</v>
      </c>
      <c r="T8" t="n">
        <v>80</v>
      </c>
      <c r="U8" t="inlineStr">
        <is>
          <t>SKIP</t>
        </is>
      </c>
      <c r="V8" t="inlineStr">
        <is>
          <t>SKIP</t>
        </is>
      </c>
      <c r="W8" t="inlineStr">
        <is>
          <t>Java; C/C++; Scala; Python</t>
        </is>
      </c>
      <c r="X8" t="inlineStr">
        <is>
          <t>Amaanuddin_Ahmed_Resume.pdf</t>
        </is>
      </c>
      <c r="Y8" t="inlineStr">
        <is>
          <t>2026-10-02</t>
        </is>
      </c>
      <c r="Z8" t="inlineStr">
        <is>
          <t>Meets all minimum eligibility criteria including CGPA 8.48, 2027 graduation year, and location availability.; Great brand name and opportunity quality for an internship.</t>
        </is>
      </c>
      <c r="AA8" t="inlineStr">
        <is>
          <t>ELIGIBLE</t>
        </is>
      </c>
      <c r="AB8" t="inlineStr">
        <is>
          <t>CGPA is 8.48 which satisfies the CGPA 8 and above requirement.; Graduating in 2027 which matches the 2027 graduates requirement.; MCA is a Master's degree in Computer Science or related field.; Available from January 2027 to May 2027 in Bangalore for the onsite internship.</t>
        </is>
      </c>
      <c r="AC8" t="inlineStr">
        <is>
          <t>YES</t>
        </is>
      </c>
      <c r="AD8" t="inlineStr">
        <is>
          <t>Available for the specified timeframe from January 2027 to May 2027.</t>
        </is>
      </c>
      <c r="AE8" t="inlineStr">
        <is>
          <t>UNKNOWN</t>
        </is>
      </c>
      <c r="AF8" t="n">
        <v>0</v>
      </c>
      <c r="AG8" t="inlineStr">
        <is>
          <t>No</t>
        </is>
      </c>
      <c r="AH8" t="inlineStr">
        <is>
          <t>NOT MENTIONED</t>
        </is>
      </c>
      <c r="AI8" t="inlineStr">
        <is>
          <t>The job description does not explicitly mention PPO or conversion opportunities.</t>
        </is>
      </c>
      <c r="AL8" t="inlineStr">
        <is>
          <t>Data Structures and Algorithms; Object-Oriented Programming Concepts; System Design and Architecture Basics; General-purpose Programming Languages (Java/Python/C++)</t>
        </is>
      </c>
    </row>
    <row r="9">
      <c r="A9" t="inlineStr">
        <is>
          <t>RUBRIK-261002-8</t>
        </is>
      </c>
      <c r="B9" t="inlineStr">
        <is>
          <t>Rubrik</t>
        </is>
      </c>
      <c r="C9" t="inlineStr">
        <is>
          <t>Software Engineer (CPD) - Winter Intern</t>
        </is>
      </c>
      <c r="D9" t="inlineStr">
        <is>
          <t>https://in.jooble.org/desc/4771329012250323697?ckey=software+engineer+intern&amp;rgn=3193&amp;pos=8&amp;elckey=-914241366255621246&amp;p=1&amp;aq=3344858192535340138&amp;cid=389&amp;jobAge=555&amp;brelb=100&amp;bscr=1440.2006&amp;scr=1440.2006</t>
        </is>
      </c>
      <c r="E9" t="inlineStr">
        <is>
          <t>AI Analyzer</t>
        </is>
      </c>
      <c r="F9" t="inlineStr">
        <is>
          <t>Bangalore</t>
        </is>
      </c>
      <c r="G9" t="inlineStr">
        <is>
          <t>On-site</t>
        </is>
      </c>
      <c r="I9" t="inlineStr">
        <is>
          <t>January 2027 to May 2027</t>
        </is>
      </c>
      <c r="J9" t="inlineStr">
        <is>
          <t>NOT_MENTIONED</t>
        </is>
      </c>
      <c r="K9" t="inlineStr">
        <is>
          <t>Java; C/C++; Scala; Python</t>
        </is>
      </c>
      <c r="L9" t="inlineStr">
        <is>
          <t>Object-oriented programming</t>
        </is>
      </c>
      <c r="M9" t="inlineStr">
        <is>
          <t>[go to main page](https://in.jooble.org/)
Sign up to access all features of our service
Sign upLog inShare jobsAdd job posting / For companies
- Job search
- Favorites
- Create a CV
New
- [Salaries](https://in.jooble.org/salary)
- Subscriptions
Never miss new jobs in the app
[![Download from Google Play](https://in.jooble.org/assets/images/badges/gray/android/en.png)](https://jooble.onelink.me/CUK2/cdqezxyt)[![Download from App Store](https://in.jooble.org/assets/images/badges/gray/ios/en.png)](https://jooble.onelink.me/CUK2/cdqezxyt)
Company
- [About Jooble](https://in.jooble.org/info/about)
- [Careers](https://jooble.org/hiring)
- [Help Center](https://help.jooble.org/en/support/home)
- [Jobs in India](https://in.jooble.org/)
For Employers
- For ATS
- [Post a Job](https://in.jooble.org/post-a-job?source=footer)
For Job Seekers
- [Popular Searches](https://in.jooble.org/queries)
- [Find Salaries](https://in.jooble.org/salary)
- [Resume Checker](https://in.fitly.work/resume-checker)
Legal
- [Terms of Service](https://in.jooble.org/info/terms)
- [Privacy Policy](https://in.jooble.org/info/privacy)
- Cookie Settings
[Country: India](https://jooble.org/#countries)
© 2006-2026 [Jooble](https://in.jooble.org/)
Software Engineer - Winter Intern
Rubrik Job Board
[Bangalore](https://in.jooble.org/jobs/Bangalore)
[Apply](https://in.jooble.org/away/-1777843382272607488?p=1&amp;pos=0&amp;rgn=3193&amp;pageType=7&amp;cid=389&amp;jobAge=6&amp;scr=1441.4235&amp;bscr=1441.4235&amp;jdpSource=101&amp;jdpid=-7762361700645768803&amp;crId=IN_941557261776897104IN_3193)
**ABOUT THE JOB** We are looking for a Software Engineer - Intern to join our team. We believe in giving engineers responsibility, not tasks. Our goal is to motivate and challenge people to do their best work. To do that, we have a very fluid structure and give people the flexibility to work on projects that they enjoy the most. This develops more capable engineers and keeps everyone engaged and happy.
**Responsibilities**
- Design, develop, test, deploy, maintain and improve the software.
- Manage individual projects priorities, deadlines, and deliverables with your technical expertise.
- Identify and solve bottlenecks within our software stack.
**About You** Rubrik Software Engineer - Interns are self-starters, driven, and can manage themselves.  Bottom line, if you have a limitless drive and like to win, we want to talk to you - come make history!
- Bachelor’s or Master’s degree or equivalent in computer science or related field
- Proficiency in one or more general-purpose programming languages like Java, C/C++, Scala, Python
**Minimum eligibility criteria**\- CGPA 8 and above
\- 2027 graduates of Circuital branches only
\- Available from January 2027 to May 2027 in Bangalore for the onsite internship (No remote options)
## Join Us in Securing and Accelerating the World's AI Transformation
Rubrik (RBRK), the Security and AI Operations Company, leads at the intersection of data protection, cyber resilience, and enterprise AI acceleration. Rubrik Security Cloud delivers complete cyber resilience by securing, monitoring, and recovering data, identities, and workloads across clouds. Rubrik Agent Cloud accelerates trusted AI agent deployments at scale by monitoring and auditing agentic actions, enforcing real-time guardrails, fine-tuning for accuracy and undoing agentic mistakes.
## Inclusion @ Rubrik
At Rubrik, we are dedicated to fostering a culture where people from all backgrounds are valued, feel they belong, and believe they can succeed. Our commitment to inclusion is at the heart of our mission to secure the world’s data.
Our goal is to hire and promote the best talent, regardless of background. We continually review our hiring practices to ensure fairness and strive to create an environment where every employee has equal access to opportunities for growth and excellence. We believe in empowering everyone to bring their authentic selves to work and achieve their fullest potential.
### Our inclusion strategy focuses on three core areas of our business and culture:
- Our Company: We are committed to building a merit-based organization that offers equal access to growth and success for all employees globally. Your potential is limitless here.
- Our Culture: We strive to create an inclusive atmosphere where individuals from all backgrounds feel a strong sense of belonging, can thrive, and do their best work. Your contributions help us innovate and break boundaries.
- Our Communities: We are dedicated to expanding our engagement with the communities we operate in, creating opportunities for underrepresented talent and driving greater innovation for our clients. Your impact extends beyond Rubrik, contributing to safer and stronger communities.
## Equal Opportunity Employer/Veterans/Disabled
Rubrik is an Equal Opportunity Employer. All qualified applicants will receive consideration for employment without regard to race, color, religion, sex, sexual orientation,</t>
        </is>
      </c>
      <c r="N9" t="n">
        <v>56</v>
      </c>
      <c r="O9" t="n">
        <v>40</v>
      </c>
      <c r="P9" t="n">
        <v>60</v>
      </c>
      <c r="Q9" t="n">
        <v>70</v>
      </c>
      <c r="R9" t="n">
        <v>50</v>
      </c>
      <c r="S9" t="n">
        <v>50</v>
      </c>
      <c r="T9" t="n">
        <v>85</v>
      </c>
      <c r="U9" t="inlineStr">
        <is>
          <t>SKIP</t>
        </is>
      </c>
      <c r="V9" t="inlineStr">
        <is>
          <t>SKIP</t>
        </is>
      </c>
      <c r="W9" t="inlineStr">
        <is>
          <t>Java; C/C++; Scala; Python</t>
        </is>
      </c>
      <c r="X9" t="inlineStr">
        <is>
          <t>Default Resume</t>
        </is>
      </c>
      <c r="Y9" t="inlineStr">
        <is>
          <t>2026-10-02</t>
        </is>
      </c>
      <c r="Z9" t="inlineStr">
        <is>
          <t>Top-tier product company with strong engineering culture; Meets minimum eligibility criteria including CGPA and graduation year</t>
        </is>
      </c>
      <c r="AA9" t="inlineStr">
        <is>
          <t>ELIGIBLE</t>
        </is>
      </c>
      <c r="AB9" t="inlineStr">
        <is>
          <t>CGPA 8.48 meets the CGPA 8 and above requirement; MCA 2027 graduate matches graduation year requirement; Available from January 2027 to May 2027 in Bangalore; PES University MCA student fits the computer science or related field criteria</t>
        </is>
      </c>
      <c r="AC9" t="inlineStr">
        <is>
          <t>AVAILABLE</t>
        </is>
      </c>
      <c r="AD9" t="inlineStr">
        <is>
          <t>Available from January 2027 to May 2027 in Bangalore</t>
        </is>
      </c>
      <c r="AE9" t="inlineStr">
        <is>
          <t>UNKNOWN</t>
        </is>
      </c>
      <c r="AF9" t="n">
        <v>0</v>
      </c>
      <c r="AG9" t="inlineStr">
        <is>
          <t>No</t>
        </is>
      </c>
      <c r="AH9" t="inlineStr">
        <is>
          <t>NOT_MENTIONED</t>
        </is>
      </c>
      <c r="AI9" t="inlineStr">
        <is>
          <t>The job description does not explicitly mention PPO or conversion opportunities.</t>
        </is>
      </c>
      <c r="AL9" t="inlineStr">
        <is>
          <t>Data Structures and Algorithms; Object-Oriented Programming principles; System troubleshooting and debugging; Software development lifecycle</t>
        </is>
      </c>
    </row>
    <row r="10">
      <c r="A10" t="inlineStr">
        <is>
          <t>CODINGAL-261002-9</t>
        </is>
      </c>
      <c r="B10" t="inlineStr">
        <is>
          <t>Codingal</t>
        </is>
      </c>
      <c r="C10" t="inlineStr">
        <is>
          <t>Software Engineer Intern</t>
        </is>
      </c>
      <c r="D10" t="inlineStr">
        <is>
          <t>https://in.jooble.org/desc/3561679318189260784?ckey=software+engineer+intern&amp;rgn=3193&amp;pos=9&amp;elckey=-914241366255621246&amp;p=1&amp;aq=3344858192535340138&amp;cid=389&amp;jobAge=593&amp;brelb=10&amp;bscr=1310.9629&amp;scr=1310.9629</t>
        </is>
      </c>
      <c r="E10" t="inlineStr">
        <is>
          <t>AI Analyzer</t>
        </is>
      </c>
      <c r="F10" t="inlineStr">
        <is>
          <t>Bangalore</t>
        </is>
      </c>
      <c r="G10" t="inlineStr">
        <is>
          <t>Unknown</t>
        </is>
      </c>
      <c r="H10" t="inlineStr">
        <is>
          <t>Not specified</t>
        </is>
      </c>
      <c r="I10" t="inlineStr">
        <is>
          <t>Unknown</t>
        </is>
      </c>
      <c r="J10" t="inlineStr">
        <is>
          <t>Not Mentioned</t>
        </is>
      </c>
      <c r="K10" t="inlineStr">
        <is>
          <t>Python; Django; React</t>
        </is>
      </c>
      <c r="M10" t="inlineStr">
        <is>
          <t>&amp;nbsp;...prepare them to become future-ready creators - entrepreneurs, &lt;b&gt;engineers,&lt;/b&gt; and scientists. With a curriculum accredited by STEM.org...&amp;nbsp;&amp;nbsp;...for coding and AI education. We are seeking a &lt;b&gt;Software &lt;/b&gt;Engineering &lt;b&gt;Intern &lt;/b&gt;(Fullstack - Python, Django, React) to join the passionate...&amp;nbsp;</t>
        </is>
      </c>
      <c r="N10" t="n">
        <v>56</v>
      </c>
      <c r="O10" t="n">
        <v>50</v>
      </c>
      <c r="P10" t="n">
        <v>75</v>
      </c>
      <c r="Q10" t="n">
        <v>90</v>
      </c>
      <c r="R10" t="n">
        <v>40</v>
      </c>
      <c r="S10" t="n">
        <v>0</v>
      </c>
      <c r="T10" t="n">
        <v>60</v>
      </c>
      <c r="U10" t="inlineStr">
        <is>
          <t>SKIP</t>
        </is>
      </c>
      <c r="V10" t="inlineStr">
        <is>
          <t>SKIP</t>
        </is>
      </c>
      <c r="W10" t="inlineStr">
        <is>
          <t>Python; Django</t>
        </is>
      </c>
      <c r="X10" t="inlineStr">
        <is>
          <t>Standard Full Stack Resume</t>
        </is>
      </c>
      <c r="Y10" t="inlineStr">
        <is>
          <t>2026-10-02</t>
        </is>
      </c>
      <c r="Z10" t="inlineStr">
        <is>
          <t>Role is Software Engineer Intern in Bangalore matching primary target; Good match for general Full Stack developer background</t>
        </is>
      </c>
      <c r="AA10" t="inlineStr">
        <is>
          <t>Eligible</t>
        </is>
      </c>
      <c r="AB10" t="inlineStr">
        <is>
          <t>Location matches preferred location (Bangalore); Role matches target role (Software Engineer Intern)</t>
        </is>
      </c>
      <c r="AC10" t="inlineStr">
        <is>
          <t>Unknown</t>
        </is>
      </c>
      <c r="AD10" t="inlineStr">
        <is>
          <t>Not specified in profile</t>
        </is>
      </c>
      <c r="AE10" t="inlineStr">
        <is>
          <t>UNKNOWN</t>
        </is>
      </c>
      <c r="AF10" t="n">
        <v>0</v>
      </c>
      <c r="AG10" t="inlineStr">
        <is>
          <t>No</t>
        </is>
      </c>
      <c r="AH10" t="inlineStr">
        <is>
          <t>Not Mentioned</t>
        </is>
      </c>
      <c r="AI10" t="inlineStr">
        <is>
          <t>No mention of PPO or conversion in the snippet.</t>
        </is>
      </c>
      <c r="AK10" t="inlineStr">
        <is>
          <t>Stipend is not disclosed</t>
        </is>
      </c>
      <c r="AL10" t="inlineStr">
        <is>
          <t>React.js state management and hooks; Python and Django fundamentals; Building full-stack web applications</t>
        </is>
      </c>
    </row>
    <row r="11">
      <c r="A11" t="inlineStr">
        <is>
          <t>HACKERRANK-C-261002-10</t>
        </is>
      </c>
      <c r="B11" t="inlineStr">
        <is>
          <t>HackerRank Careers</t>
        </is>
      </c>
      <c r="C11" t="inlineStr">
        <is>
          <t>Software Development Engineer Intern</t>
        </is>
      </c>
      <c r="D11" t="inlineStr">
        <is>
          <t>https://in.jooble.org/desc/-4248130782317670470?ckey=software+engineer+intern&amp;rgn=3193&amp;pos=10&amp;elckey=-914241366255621246&amp;p=1&amp;aq=3344858192535340138&amp;cid=389&amp;jobAge=6&amp;brelb=100&amp;bscr=1297.9429&amp;scr=1297.9429</t>
        </is>
      </c>
      <c r="E11" t="inlineStr">
        <is>
          <t>AI Analyzer</t>
        </is>
      </c>
      <c r="F11" t="inlineStr">
        <is>
          <t>Bengaluru, India</t>
        </is>
      </c>
      <c r="G11" t="inlineStr">
        <is>
          <t>Onsite</t>
        </is>
      </c>
      <c r="H11" t="inlineStr">
        <is>
          <t>Paid Internship</t>
        </is>
      </c>
      <c r="I11" t="inlineStr">
        <is>
          <t>6 months</t>
        </is>
      </c>
      <c r="J11" t="inlineStr">
        <is>
          <t>Yes</t>
        </is>
      </c>
      <c r="K11" t="inlineStr">
        <is>
          <t>Programming / Computer Science fundamentals</t>
        </is>
      </c>
      <c r="L11" t="inlineStr">
        <is>
          <t>Web development; System architecture; Production code deployment</t>
        </is>
      </c>
      <c r="M11" t="inlineStr">
        <is>
          <t>[go to main page](https://in.jooble.org/)
Sign up to access all features of our service
Sign upLog inShare jobsAdd job posting / For companies
- Job search
- Favorites
- Create a CV
New
- [Salaries](https://in.jooble.org/salary)
- Subscriptions
Never miss new jobs in the app
[![Download from Google Play](https://in.jooble.org/assets/images/badges/gray/android/en.png)](https://jooble.onelink.me/CUK2/cdqezxyt)[![Download from App Store](https://in.jooble.org/assets/images/badges/gray/ios/en.png)](https://jooble.onelink.me/CUK2/cdqezxyt)
Company
- [About Jooble](https://in.jooble.org/info/about)
- [Careers](https://jooble.org/hiring)
- [Help Center](https://help.jooble.org/en/support/home)
- [Jobs in India](https://in.jooble.org/)
For Employers
- For ATS
- [Post a Job](https://in.jooble.org/post-a-job?source=footer)
For Job Seekers
- [Popular Searches](https://in.jooble.org/queries)
- [Find Salaries](https://in.jooble.org/salary)
- [Resume Checker](https://in.fitly.work/resume-checker)
Legal
- [Terms of Service](https://in.jooble.org/info/terms)
- [Privacy Policy](https://in.jooble.org/info/privacy)
- Cookie Settings
[Country: India](https://jooble.org/#countries)
© 2006-2026 [Jooble](https://in.jooble.org/)
Software Engineer Intern
Codingal
[Bangalore](https://in.jooble.org/jobs/Bangalore)
[Apply](https://in.jooble.org/away/3561679318189260784?p=1&amp;pos=0&amp;rgn=3193&amp;pageType=7&amp;cid=389&amp;jobAge=593&amp;scr=1310.9629&amp;bscr=1310.9629&amp;jdpSource=101&amp;jdpid=-1008958007094643250&amp;crId=IN_941557261776897104IN_3193)
**Codingal (** **)** is the global leader in online coding and AI education for kids and teens. We offer live, interactive classes led by expert Computer Science instructors, empowering students to build apps, games, websites, and AI-powered projects.
Our mission is to help kids fall in love with coding and prepare them to become future-ready creators - entrepreneurs, engineers, and scientists. With a curriculum accredited by STEM.org and aligned with the K-12 Computer Science Framework, we offer personalized learning through 1:1 and small-group classes.
As AI reshapes the world, Codingal integrates real-world AI tools like ChatGPT, machine learning, and data science into the learning journey, helping kids not just use AI - but build with it.
Trusted by over 500,000 students worldwide and backed by **Y Combinator** , **Rebright Partners** , and top angels, Codingal is rated 4.9/5 by students and has an NPS of 86, making it the most loved platform for coding and AI education.
We are seeking a **Software Engineering Intern (Fullstack - Python, Django, React)** to join the passionate Codingal team. **Please note that this is a full-time internship position, so apply only if you can give your 100%. If you are already freelancing with other companies or have classes in college or have another full-time job, please do not apply.**
**Roles &amp; Responsibilities:**
**Backend Development**
- Develop cloud-based Python Django software products
- Participate in architectural, design and product discussions
- Design and create RESTful APIs
- Work with relational databases (PostgreSQL, MySQL, etc.)
- Deploy Python applications into production
**Frontend Development:**
- Assist in designing, developing, and maintaining the Codingal website
- Collaborate with the UI/UX team to ensure the technical feasibility of designs
- Build reusable code and UI components for web applications
- Optimize applications for performance, responsiveness, and SEO
- Implement responsive design principles and CSS animations
**General Responsibilities:**
- Comply with coding standards and technical design
- Active participation in troubleshooting, debugging, and updating the current live system
- Work closely with developers, designers, and analysts in an agile environment
- Contribute to both front-end and back-end design decisions
**Requirements:**
**Must Have**
- 2+ years' experience of Python coding skills
- 2+ years hands-on experience with the Django framework
- Solid database skills in a relational database (PostgreSQL, MySQL, etc.)
- Knowledge of how to build and use RESTful APIs
- Experience with front-end technologies like HTML, CSS, JavaScript, and React.js
- Strong knowledge of version control (Git, etc.)
- Experience deploying Python applications into production
- Familiarity with responsive design principles and CSS animations
**Educational Background:**
- Currently pursuing or recently completed a degree in Computer Science, IT, or a related field
**Nice to Have:**
- Amazon Web Services (AWS) infrastructure knowledge is a plus
- Enthusiasm for learning and contributing to a fast-paced startup environment
**Perks:**
- First-hand experience in scaling an international education business.
- Opportunity to impact thousands of students globally.
- Mentorship from senior curriculum developers.
- A chance to convert into a full-time role based on performance.
- Free lunch + dinner.
**Stipend:** INR 25,000–</t>
        </is>
      </c>
      <c r="N11" t="n">
        <v>83</v>
      </c>
      <c r="O11" t="n">
        <v>80</v>
      </c>
      <c r="P11" t="n">
        <v>85</v>
      </c>
      <c r="Q11" t="n">
        <v>90</v>
      </c>
      <c r="R11" t="n">
        <v>95</v>
      </c>
      <c r="S11" t="n">
        <v>50</v>
      </c>
      <c r="T11" t="n">
        <v>95</v>
      </c>
      <c r="U11" t="inlineStr">
        <is>
          <t>APPLY</t>
        </is>
      </c>
      <c r="V11" t="inlineStr">
        <is>
          <t>APPLY</t>
        </is>
      </c>
      <c r="X11" t="inlineStr">
        <is>
          <t>Default Full Stack / Software Engineer Resume</t>
        </is>
      </c>
      <c r="Y11" t="inlineStr">
        <is>
          <t>2026-10-02</t>
        </is>
      </c>
      <c r="Z11" t="inlineStr">
        <is>
          <t>HackerRank is a top-tier tech platform providing an exceptional brand name and engineering culture.; High priority PPO / return offer explicitly mentioned.; Location and duration (Jan - June 2027 onsite in Bengaluru) fit the candidate's availability perfectly.; Strong alignment with target role (Software Development Engineer Intern).</t>
        </is>
      </c>
      <c r="AA11" t="inlineStr">
        <is>
          <t>Eligible</t>
        </is>
      </c>
      <c r="AB11" t="inlineStr">
        <is>
          <t>The candidate is pursuing an MCA at PES University (2025-2027), matching the requirement for a student graduating/seeking an internship in 2027.; Location matches Bengaluru, India.; Full-time availability aligns with the Jan - June 2027 window.</t>
        </is>
      </c>
      <c r="AC11" t="inlineStr">
        <is>
          <t>Available</t>
        </is>
      </c>
      <c r="AD11" t="inlineStr">
        <is>
          <t>The internship runs from Jan - June 2027, which aligns with the candidate's MCA program timeframe (2025–2027).</t>
        </is>
      </c>
      <c r="AE11" t="inlineStr">
        <is>
          <t>UNKNOWN</t>
        </is>
      </c>
      <c r="AF11" t="n">
        <v>0</v>
      </c>
      <c r="AG11" t="inlineStr">
        <is>
          <t>No</t>
        </is>
      </c>
      <c r="AH11" t="inlineStr">
        <is>
          <t>Yes</t>
        </is>
      </c>
      <c r="AI11" t="inlineStr">
        <is>
          <t>Whether you're graduating and seeking a full-time position after your internship, or hoping to return for another internship next year, you'll be considered for a returning offer during your internship.</t>
        </is>
      </c>
      <c r="AL11" t="inlineStr">
        <is>
          <t>Data Structures and Algorithms; System Design and Scalability; Past project architecture and production deployment; Debugging and Code Quality</t>
        </is>
      </c>
      <c r="AM11" t="inlineStr">
        <is>
          <t>E:\InternshipHunter\applications\jooble-c1f89795df8c</t>
        </is>
      </c>
      <c r="AN11" t="inlineStr">
        <is>
          <t>Ready for Review</t>
        </is>
      </c>
      <c r="AO11" t="inlineStr">
        <is>
          <t>Generated</t>
        </is>
      </c>
      <c r="AP11" t="inlineStr">
        <is>
          <t>Generated</t>
        </is>
      </c>
      <c r="AQ11" t="inlineStr">
        <is>
          <t>Generated</t>
        </is>
      </c>
      <c r="AR11" t="inlineStr">
        <is>
          <t>Ready to Apply</t>
        </is>
      </c>
    </row>
    <row r="12">
      <c r="A12" t="inlineStr">
        <is>
          <t>MERKLESCIENC-261002-11</t>
        </is>
      </c>
      <c r="B12" t="inlineStr">
        <is>
          <t>merklescience</t>
        </is>
      </c>
      <c r="C12" t="inlineStr">
        <is>
          <t>Software Engineer(Intern)- Backend</t>
        </is>
      </c>
      <c r="D12" t="inlineStr">
        <is>
          <t>https://in.jooble.org/desc/-4009572167721000675?ckey=software+engineer+intern&amp;rgn=3193&amp;pos=11&amp;elckey=-914241366255621246&amp;p=1&amp;aq=3344858192535340138&amp;cid=389&amp;jobAge=1344&amp;brelb=100&amp;bscr=1187.2023&amp;scr=1187.2023</t>
        </is>
      </c>
      <c r="E12" t="inlineStr">
        <is>
          <t>AI Analyzer</t>
        </is>
      </c>
      <c r="F12" t="inlineStr">
        <is>
          <t>Bangalore</t>
        </is>
      </c>
      <c r="G12" t="inlineStr">
        <is>
          <t>Onsite</t>
        </is>
      </c>
      <c r="I12" t="inlineStr">
        <is>
          <t>UNKNOWN</t>
        </is>
      </c>
      <c r="J12" t="inlineStr">
        <is>
          <t>Not Mentioned</t>
        </is>
      </c>
      <c r="K12" t="inlineStr">
        <is>
          <t>Python; Django; FastAPI; PostgreSQL; Redis; REST API; Git</t>
        </is>
      </c>
      <c r="L12" t="inlineStr">
        <is>
          <t>ClickHouse</t>
        </is>
      </c>
      <c r="M12" t="inlineStr">
        <is>
          <t>[go to main page](https://in.jooble.org/)
Sign up to access all features of our service
Sign upLog inShare jobsAdd job posting / For companies
- Job search
- Favorites
- Create a CV
New
- [Salaries](https://in.jooble.org/salary)
- Subscriptions
Never miss new jobs in the app
[![Download from Google Play](https://in.jooble.org/assets/images/badges/gray/android/en.png)](https://jooble.onelink.me/CUK2/cdqezxyt)[![Download from App Store](https://in.jooble.org/assets/images/badges/gray/ios/en.png)](https://jooble.onelink.me/CUK2/cdqezxyt)
Company
- [About Jooble](https://in.jooble.org/info/about)
- [Careers](https://jooble.org/hiring)
- [Help Center](https://help.jooble.org/en/support/home)
- [Jobs in India](https://in.jooble.org/)
For Employers
- For ATS
- [Post a Job](https://in.jooble.org/post-a-job?source=footer)
For Job Seekers
- [Popular Searches](https://in.jooble.org/queries)
- [Find Salaries](https://in.jooble.org/salary)
- [Resume Checker](https://in.fitly.work/resume-checker)
Legal
- [Terms of Service](https://in.jooble.org/info/terms)
- [Privacy Policy](https://in.jooble.org/info/privacy)
- Cookie Settings
[Country: India](https://jooble.org/#countries)
© 2006-2026 [Jooble](https://in.jooble.org/)
Software Development Engineer Intern
HackerRank Careers
[Bangalore](https://in.jooble.org/jobs/Bangalore)
[Apply](https://in.jooble.org/away/-4248130782317670470?p=1&amp;pos=0&amp;rgn=3193&amp;pageType=7&amp;cid=389&amp;jobAge=6&amp;scr=1297.9429&amp;bscr=1297.9429&amp;jdpSource=101&amp;jdpid=-4789479803398653969&amp;crId=IN_941557261776897104IN_3193)
HackerRank helps companies like NVIDIA, Amazon, and Microsoft hire and upskill the next generation of developers based on skills, not pedigree. Our platform is trusted by over 2,500 of the world’s most innovative companies to build strong engineering teams ready for what’s next.
Software has entered an era where humans and AI build side by side. As this shift accelerates, the definition of strong technical talent is changing. We give companies better ways to identify and invest in next-generation skills.
People at HackerRank care deeply about the impact of their work and sweat the small details so our customers can be wildly successful with products they genuinely love to use. We move with urgency and believe great outcomes come from high standards.
#### _This is a 6-month full-time onsite internship (Jan - June 2027)._
#### _Please apply only if you're available full-time to work from the Bengaluru office for the entire duration._
If you're obsessed with writing great code that will be used by other great engineers around the world, read on - this just may be the perfect role for you. HackerRank is looking for high-potential Hacker Interns to join our team of world-class full-time Hackers as we build the most engaged community of Developers.
#### **Life as an intern at HackerRank**
World-class mentors, great culture, amazing people and opportunities to make a difference all in a real-world scenario and right at the beginning of your career! If this sounds exciting, read on...
- Each one of you will be paired with a mentor, who will support you throughout your internship.
- You get to push your code to prod and contribute to meaningful &amp; real-world projects right from your first month.
- Transparent communication is one of the principles that  guides us. You’ll have access to all the information needed including the company’s progress every week directly from the Executive team.
- You’ll have direct access to all employees in the company and can always challenge the status quo, enabling you to be more data driven.
- Whether you're graduating and seeking a full-time position after your internship, or hoping to return for another internship next year, you'll be considered for a returning offer during your internship.
**Every intern batch designs its own page. See what past batches built**
- The early days: 2014 · 2015 · 2016 · 2017
- 2018-2019: 2018 winter · 2018 summer · 2019 winter · 2019 summer
- 2020-2022: 2020 · 2021 winter · 2021 summer · 2022 winter · 2022 summer
- Most recent: 2024 · 2025 · 2026
**Don't take our word for it. Take theirs** Our past interns share what the experience was really like:
- Ishan Abhishek and Adyasha , who wrote a full blog series (2021 summer)
- Priya (2023)
- Sindhu and Khushboo (2024)
- Sharanya and Anshika (2026)
You can read many more blogs and watch videos here
**How we work**
- Care about the craft. From the code we ship to the words we use with customers, small things add up to an experience worth being proud of. Then we find ways to make it better.
- One team. Engineering, product, design and others bring different skills, but the outcome belongs to everyone.
- Developers first. Every decision gets one test: does it help developers do their best work?
- Go deep. Learn the product, understand the problem, and share what you know with the people around you.
- Own it. Bring the right people together, follow through on com</t>
        </is>
      </c>
      <c r="N12" t="n">
        <v>48</v>
      </c>
      <c r="O12" t="n">
        <v>45</v>
      </c>
      <c r="P12" t="n">
        <v>60</v>
      </c>
      <c r="Q12" t="n">
        <v>70</v>
      </c>
      <c r="R12" t="n">
        <v>0</v>
      </c>
      <c r="S12" t="n">
        <v>50</v>
      </c>
      <c r="T12" t="n">
        <v>70</v>
      </c>
      <c r="U12" t="inlineStr">
        <is>
          <t>SKIP</t>
        </is>
      </c>
      <c r="V12" t="inlineStr">
        <is>
          <t>SKIP</t>
        </is>
      </c>
      <c r="W12" t="inlineStr">
        <is>
          <t>Python; Django; FastAPI; PostgreSQL; Redis</t>
        </is>
      </c>
      <c r="X12" t="inlineStr">
        <is>
          <t>Default Full Stack Resume</t>
        </is>
      </c>
      <c r="Y12" t="inlineStr">
        <is>
          <t>2026-10-02</t>
        </is>
      </c>
      <c r="Z12" t="inlineStr">
        <is>
          <t>Located in Bangalore; Good opportunity quality in blockchain and web3 intelligence</t>
        </is>
      </c>
      <c r="AA12" t="inlineStr">
        <is>
          <t>Eligible</t>
        </is>
      </c>
      <c r="AB12" t="inlineStr">
        <is>
          <t>Located in Bangalore; Matches target role category of Software Development Engineer Intern</t>
        </is>
      </c>
      <c r="AC12" t="inlineStr">
        <is>
          <t>Unknown</t>
        </is>
      </c>
      <c r="AD12" t="inlineStr">
        <is>
          <t>Exact availability dates not specified in JD</t>
        </is>
      </c>
      <c r="AE12" t="inlineStr">
        <is>
          <t>UNKNOWN</t>
        </is>
      </c>
      <c r="AF12" t="n">
        <v>0</v>
      </c>
      <c r="AG12" t="inlineStr">
        <is>
          <t>No</t>
        </is>
      </c>
      <c r="AH12" t="inlineStr">
        <is>
          <t>Not Mentioned</t>
        </is>
      </c>
      <c r="AI12" t="inlineStr">
        <is>
          <t>No explicit PPO mention in the Merkle Science section of the text.</t>
        </is>
      </c>
      <c r="AJ12" t="inlineStr">
        <is>
          <t>Mandatory Python (Django/FastAPI) and PostgreSQL experience required which are in resume working knowledge only, not demonstrated in real work experience.</t>
        </is>
      </c>
      <c r="AL12" t="inlineStr">
        <is>
          <t>Python OOP and Web Frameworks (Django/FastAPI); PostgreSQL Indexing and Query Optimization; Redis Caching and Queues; RESTful API Design Principles</t>
        </is>
      </c>
    </row>
    <row r="13">
      <c r="A13" t="inlineStr">
        <is>
          <t>SMYTTEN-261002-12</t>
        </is>
      </c>
      <c r="B13" t="inlineStr">
        <is>
          <t>Smytten</t>
        </is>
      </c>
      <c r="C13" t="inlineStr">
        <is>
          <t>Software Development Engineer Intern Backend</t>
        </is>
      </c>
      <c r="D13" t="inlineStr">
        <is>
          <t>https://in.jooble.org/desc/-7679600165468888313?ckey=software+engineer+intern&amp;rgn=3193&amp;pos=12&amp;elckey=-914241366255621246&amp;p=1&amp;aq=3344858192535340138&amp;cid=389&amp;jobAge=65&amp;brelb=10&amp;bscr=1136.8865&amp;scr=1136.8865</t>
        </is>
      </c>
      <c r="E13" t="inlineStr">
        <is>
          <t>AI Analyzer</t>
        </is>
      </c>
      <c r="F13" t="inlineStr">
        <is>
          <t>Bangalore</t>
        </is>
      </c>
      <c r="G13" t="inlineStr">
        <is>
          <t>UNKNOWN</t>
        </is>
      </c>
      <c r="I13" t="inlineStr">
        <is>
          <t>UNKNOWN</t>
        </is>
      </c>
      <c r="J13" t="inlineStr">
        <is>
          <t>UNKNOWN</t>
        </is>
      </c>
      <c r="M13" t="inlineStr">
        <is>
          <t>&amp;nbsp;...faster, data-driven decisions. As an &lt;b&gt;intern,&lt;/b&gt; you will be working alongside the teams...&amp;nbsp;&amp;nbsp;...analytical models, data sources, research &lt;b&gt;engines &lt;/b&gt;and enterprise applications into reliable...&amp;nbsp;&amp;nbsp;...and analytical methodologies into scalable &lt;b&gt;software &lt;/b&gt;products. Continuously experiment with...&amp;nbsp;</t>
        </is>
      </c>
      <c r="N13" t="n">
        <v>47</v>
      </c>
      <c r="O13" t="n">
        <v>50</v>
      </c>
      <c r="P13" t="n">
        <v>50</v>
      </c>
      <c r="Q13" t="n">
        <v>70</v>
      </c>
      <c r="R13" t="n">
        <v>50</v>
      </c>
      <c r="S13" t="n">
        <v>0</v>
      </c>
      <c r="T13" t="n">
        <v>40</v>
      </c>
      <c r="U13" t="inlineStr">
        <is>
          <t>SKIP</t>
        </is>
      </c>
      <c r="V13" t="inlineStr">
        <is>
          <t>SKIP</t>
        </is>
      </c>
      <c r="X13" t="inlineStr">
        <is>
          <t>Amaanuddin_Ahmed_Resume.pdf</t>
        </is>
      </c>
      <c r="Y13" t="inlineStr">
        <is>
          <t>2026-10-02</t>
        </is>
      </c>
      <c r="Z13" t="inlineStr">
        <is>
          <t>Located in Bangalore; Target internship role</t>
        </is>
      </c>
      <c r="AA13" t="inlineStr">
        <is>
          <t>ELIGIBLE</t>
        </is>
      </c>
      <c r="AB13" t="inlineStr">
        <is>
          <t>Location is Bangalore which matches candidate preference; Role matches target internship titles; No hard blockers found in the minimal job description</t>
        </is>
      </c>
      <c r="AC13" t="inlineStr">
        <is>
          <t>UNKNOWN</t>
        </is>
      </c>
      <c r="AD13" t="inlineStr">
        <is>
          <t>Availability not explicitly detailed in the job description</t>
        </is>
      </c>
      <c r="AE13" t="inlineStr">
        <is>
          <t>UNKNOWN</t>
        </is>
      </c>
      <c r="AF13" t="n">
        <v>0</v>
      </c>
      <c r="AG13" t="inlineStr">
        <is>
          <t>No</t>
        </is>
      </c>
      <c r="AH13" t="inlineStr">
        <is>
          <t>UNKNOWN</t>
        </is>
      </c>
      <c r="AI13" t="inlineStr">
        <is>
          <t>PPO/conversion is not explicitly mentioned in the job description</t>
        </is>
      </c>
      <c r="AK13" t="inlineStr">
        <is>
          <t>Extremely sparse job description provided with very little detail on tech stack or responsibilities</t>
        </is>
      </c>
      <c r="AL13" t="inlineStr">
        <is>
          <t>Backend development principles; Scalable software products; Data-driven decision making</t>
        </is>
      </c>
    </row>
    <row r="14">
      <c r="A14" t="inlineStr">
        <is>
          <t>TABLEAU-/-SA-261002-13</t>
        </is>
      </c>
      <c r="B14" t="inlineStr">
        <is>
          <t>Tableau / Salesforce</t>
        </is>
      </c>
      <c r="C14" t="inlineStr">
        <is>
          <t>Summer 2027 Intern - Software Engineer</t>
        </is>
      </c>
      <c r="D14" t="inlineStr">
        <is>
          <t>https://in.jooble.org/desc/1757292296212913693?ckey=software+engineer+intern&amp;rgn=3193&amp;pos=13&amp;elckey=-914241366255621246&amp;p=1&amp;aq=3344858192535340138&amp;cid=389&amp;jobAge=833&amp;brelb=10&amp;bscr=1017.877&amp;scr=1017.877</t>
        </is>
      </c>
      <c r="E14" t="inlineStr">
        <is>
          <t>AI Analyzer</t>
        </is>
      </c>
      <c r="F14" t="inlineStr">
        <is>
          <t>Hyderabad / Bangalore, India</t>
        </is>
      </c>
      <c r="G14" t="inlineStr">
        <is>
          <t>On-site / Local presence required</t>
        </is>
      </c>
      <c r="H14" t="inlineStr">
        <is>
          <t>Not specified</t>
        </is>
      </c>
      <c r="I14" t="inlineStr">
        <is>
          <t>Fixed Term</t>
        </is>
      </c>
      <c r="J14" t="inlineStr">
        <is>
          <t>High</t>
        </is>
      </c>
      <c r="K14" t="inlineStr">
        <is>
          <t>Computer Science fundamentals; Data structures and algorithms; Object-oriented design; Problem-solving</t>
        </is>
      </c>
      <c r="L14" t="inlineStr">
        <is>
          <t>Java; C++; Python; HTML; CSS; JavaScript; React; Angular; Vue.js; SQL</t>
        </is>
      </c>
      <c r="M14" t="inlineStr">
        <is>
          <t xml:space="preserve">[go to main page](https://in.jooble.org/)
Sign up to access all features of our service
Sign upLog inShare jobsAdd job posting / For companies
- Job search
- Favorites
- Create a CV
New
- [Salaries](https://in.jooble.org/salary)
- Subscriptions
Never miss new jobs in the app
[![Download from Google Play](https://in.jooble.org/assets/images/badges/gray/android/en.png)](https://jooble.onelink.me/CUK2/cdqezxyt)[![Download from App Store](https://in.jooble.org/assets/images/badges/gray/ios/en.png)](https://jooble.onelink.me/CUK2/cdqezxyt)
Company
- [About Jooble](https://in.jooble.org/info/about)
- [Careers](https://jooble.org/hiring)
- [Help Center](https://help.jooble.org/en/support/home)
- [Jobs in India](https://in.jooble.org/)
For Employers
- For ATS
- [Post a Job](https://in.jooble.org/post-a-job?source=footer)
For Job Seekers
- [Popular Searches](https://in.jooble.org/queries)
- [Find Salaries](https://in.jooble.org/salary)
- [Resume Checker](https://in.fitly.work/resume-checker)
Legal
- [Terms of Service](https://in.jooble.org/info/terms)
- [Privacy Policy](https://in.jooble.org/info/privacy)
- Cookie Settings
[Country: India](https://jooble.org/#countries)
© 2006-2026 [Jooble](https://in.jooble.org/)
Software Development Engineer Intern Backend
Smytten
[Bangalore](https://in.jooble.org/jobs/Bangalore)
[Apply](https://in.jooble.org/away/-7679600165468888313?p=1&amp;pos=0&amp;rgn=3193&amp;pageType=7&amp;cid=389&amp;jobAge=65&amp;scr=1136.8865&amp;bscr=1136.8865&amp;jdpSource=101&amp;jdpid=467467725312464904&amp;crId=IN_941557261776897104IN_3193)
This position requires local presence. Please view similar jobs below.
**ABOUT PULSEAI RESEARCH (**
**PulseAI Research is an AI-powered consumer intelligence and research platform, powered by Smytten. We help brands understand real consumer behaviour through data, AI, and insights from millions of real shopper interactions. From consumer research and product testing to behavioural insights, we enable brands to make faster, data-driven decisions.**
**As an intern, you will be working alongside the teams building and scaling our AI-powered consumer intelligence platform and the custom enterprise apps — which means real exposure to large-scale data, AI-driven product features, and systems used by the Fortune 500 companies every day.**
**What You Would Be Working On**
**- Design and build highly scalable, secure and fault-tolerant backend systems powering enterprise-grade AI applications across Consumer Research and Analytics.**
**- Build the orchestration layer for AI and agentic workflows — connecting LLMs, analytical models, data sources, research engines and enterprise applications into reliable production systems.**
**- Develop high-performance APIs, microservices and asynchronous processing systems that power AI-led research, analytics, dashboards, automated insight generation and enterprise integrations.**
**- Build backend infrastructure for GenAI applications, including model gateways, prompt and workflow orchestration, structured outputs, RAG pipelines, embeddings, vector retrieval, caching, evaluation and AI guardrails.**
**- Build AI systems that operate across structured and unstructured data — survey responses, behavioural events, transactions, documents, conversations, qualitative interviews and external intelligence sources.**
**- Engineer multi-tenant enterprise architecture with strong data isolation, role-based access controls, auditability, authentication, API security and privacy-by-design principles.**
**- Build scalable research and analytics workflow engines capable of managing long-running jobs, distributed tasks, retries, queues, scheduling and real-time status updates.**
**- Create production-grade integrations with LLMs and machine-learning models, while solving for latency, reliability, model fallbacks, token economics, observability and output quality.**
**- Build systems that make AI explainable and auditable by maintaining lineage between source data, analytical transformations, model outputs and final recommendations.**
**- Work closely with AI/ML engineers, data scientists, researchers, product teams and analytics experts to convert complex research and analytical methodologies into scalable software products.**
**- Continuously experiment with new developments across LLMs, AI agents, retrieval systems, reasoning models and data infrastructure, and translate the ones that matter into production capabilities.**
**YOU DON'T NEED TO BE AN EXPERT — BUT THESE SHOULDN'T BE STRANGERS**
**- Data structures, algorithms and computer science fundamentals**
**- Backend development in Python, Java, Go, Node.js or equivalent**
**- REST/gRPC APIs and distributed system concepts**
**- Understanding of environment variables, and json handling**
**- SQL and modern database architectures**
**- Caching, queues and asynchronous processing**
**- Cloud-native application development**
**YOU'LL BE HARD TO IGNORE IF YOU'VE WORKED WITH ANY OF THESE**
**- LM APIs </t>
        </is>
      </c>
      <c r="N14" t="n">
        <v>76</v>
      </c>
      <c r="O14" t="n">
        <v>75</v>
      </c>
      <c r="P14" t="n">
        <v>70</v>
      </c>
      <c r="Q14" t="n">
        <v>80</v>
      </c>
      <c r="R14" t="n">
        <v>90</v>
      </c>
      <c r="S14" t="n">
        <v>50</v>
      </c>
      <c r="T14" t="n">
        <v>95</v>
      </c>
      <c r="U14" t="inlineStr">
        <is>
          <t>SKIP</t>
        </is>
      </c>
      <c r="V14" t="inlineStr">
        <is>
          <t>SKIP</t>
        </is>
      </c>
      <c r="W14" t="inlineStr">
        <is>
          <t>Java; C++</t>
        </is>
      </c>
      <c r="X14" t="inlineStr">
        <is>
          <t>Amaanuddin_Ahmed_Resume_2025.pdf</t>
        </is>
      </c>
      <c r="Y14" t="inlineStr">
        <is>
          <t>2026-10-02</t>
        </is>
      </c>
      <c r="Z14" t="inlineStr">
        <is>
          <t>High PPO conversion rate (80% hiring rate for eligible interns).; Top-tier enterprise brand (Salesforce / Tableau) offering massive scale and learning opportunities.</t>
        </is>
      </c>
      <c r="AA14" t="inlineStr">
        <is>
          <t>Ineligible</t>
        </is>
      </c>
      <c r="AB14" t="inlineStr">
        <is>
          <t>Graduation year mismatch: The job description explicitly requires graduating in 2028 (Class of 2028), whereas the candidate is graduating in 2027.</t>
        </is>
      </c>
      <c r="AC14" t="inlineStr">
        <is>
          <t>UNKNOWN</t>
        </is>
      </c>
      <c r="AD14" t="inlineStr">
        <is>
          <t>Exact start dates and operational hours are not specified in the description.</t>
        </is>
      </c>
      <c r="AE14" t="inlineStr">
        <is>
          <t>UNKNOWN</t>
        </is>
      </c>
      <c r="AF14" t="n">
        <v>0</v>
      </c>
      <c r="AG14" t="inlineStr">
        <is>
          <t>No</t>
        </is>
      </c>
      <c r="AH14" t="inlineStr">
        <is>
          <t>High</t>
        </is>
      </c>
      <c r="AI14" t="inlineStr">
        <is>
          <t>FutureForce program hires 80% of eligible interns, and conversion is a core focus of the university recruiting process.</t>
        </is>
      </c>
      <c r="AJ14" t="inlineStr">
        <is>
          <t>Graduation year mismatch (Candidate graduates in 2027, job requires Class of 2028)</t>
        </is>
      </c>
      <c r="AL14" t="inlineStr">
        <is>
          <t>Data Structures and Algorithms; Object-Oriented Programming principles; Distributed systems concepts; Angular and frontend lifecycle</t>
        </is>
      </c>
    </row>
    <row r="15">
      <c r="A15" t="inlineStr">
        <is>
          <t>PHONEPE-261002-14</t>
        </is>
      </c>
      <c r="B15" t="inlineStr">
        <is>
          <t>Phonepe</t>
        </is>
      </c>
      <c r="C15" t="inlineStr">
        <is>
          <t>Software Engineer (Backend, 0-1 Year)-Lending</t>
        </is>
      </c>
      <c r="D15" t="inlineStr">
        <is>
          <t>https://in.jooble.org/desc/1929142524762661124?ckey=software+engineer+intern&amp;rgn=3193&amp;pos=14&amp;elckey=-914241366255621246&amp;p=1&amp;aq=3344858192535340138&amp;cid=389&amp;jobAge=425&amp;brelb=10&amp;bscr=926.6894&amp;scr=926.6894</t>
        </is>
      </c>
      <c r="E15" t="inlineStr">
        <is>
          <t>AI Analyzer</t>
        </is>
      </c>
      <c r="F15" t="inlineStr">
        <is>
          <t>Bangalore</t>
        </is>
      </c>
      <c r="G15" t="inlineStr">
        <is>
          <t>Unknown</t>
        </is>
      </c>
      <c r="I15" t="inlineStr">
        <is>
          <t>Unknown</t>
        </is>
      </c>
      <c r="J15" t="inlineStr">
        <is>
          <t>NOT_MENTIONED</t>
        </is>
      </c>
      <c r="K15" t="inlineStr">
        <is>
          <t>Backend Development; Software Engineering</t>
        </is>
      </c>
      <c r="M15" t="inlineStr">
        <is>
          <t>&amp;nbsp;...each step defines every day for a developer at PhonePe. Though we &lt;b&gt;engineer &lt;/b&gt;for a 500 Million+ strong user base, we code with every...&amp;nbsp;&amp;nbsp;...documentation. PhonePe Full Time Employee Benefits (Not applicable for &lt;b&gt;Intern &lt;/b&gt;or Contract Roles) Insurance Benefits - Medical Insurance,...&amp;nbsp;</t>
        </is>
      </c>
      <c r="N15" t="n">
        <v>42</v>
      </c>
      <c r="O15" t="n">
        <v>50</v>
      </c>
      <c r="P15" t="n">
        <v>60</v>
      </c>
      <c r="Q15" t="n">
        <v>70</v>
      </c>
      <c r="R15" t="n">
        <v>0</v>
      </c>
      <c r="S15" t="n">
        <v>0</v>
      </c>
      <c r="T15" t="n">
        <v>50</v>
      </c>
      <c r="U15" t="inlineStr">
        <is>
          <t>SKIP</t>
        </is>
      </c>
      <c r="V15" t="inlineStr">
        <is>
          <t>SKIP</t>
        </is>
      </c>
      <c r="X15" t="inlineStr">
        <is>
          <t>Amaanuddin_Ahmed_Resume.pdf</t>
        </is>
      </c>
      <c r="Y15" t="inlineStr">
        <is>
          <t>2026-10-02</t>
        </is>
      </c>
      <c r="Z15" t="inlineStr">
        <is>
          <t>Located in Bangalore; Matches entry-level backend criteria</t>
        </is>
      </c>
      <c r="AA15" t="inlineStr">
        <is>
          <t>ELIGIBLE</t>
        </is>
      </c>
      <c r="AB15" t="inlineStr">
        <is>
          <t>Location matches preferred location (Bangalore); Experience level (0-1 year) aligns with candidate profile</t>
        </is>
      </c>
      <c r="AC15" t="inlineStr">
        <is>
          <t>UNKNOWN</t>
        </is>
      </c>
      <c r="AD15" t="inlineStr">
        <is>
          <t>Not specified in candidate profile</t>
        </is>
      </c>
      <c r="AE15" t="inlineStr">
        <is>
          <t>UNKNOWN</t>
        </is>
      </c>
      <c r="AF15" t="n">
        <v>0</v>
      </c>
      <c r="AG15" t="inlineStr">
        <is>
          <t>No</t>
        </is>
      </c>
      <c r="AH15" t="inlineStr">
        <is>
          <t>NOT_MENTIONED</t>
        </is>
      </c>
      <c r="AI15" t="inlineStr">
        <is>
          <t>No conversion or PPO details found in the provided snippet.</t>
        </is>
      </c>
      <c r="AK15" t="inlineStr">
        <is>
          <t>Job description snippet is extremely brief and lacks clear technical requirements.</t>
        </is>
      </c>
      <c r="AL15" t="inlineStr">
        <is>
          <t>Backend system design; RESTful API architecture; Database management</t>
        </is>
      </c>
    </row>
    <row r="16">
      <c r="A16" t="inlineStr">
        <is>
          <t>SAFFRONBIZZ--261002-15</t>
        </is>
      </c>
      <c r="B16" t="inlineStr">
        <is>
          <t>Saffronbizz Solutions</t>
        </is>
      </c>
      <c r="C16" t="inlineStr">
        <is>
          <t>Software Developer Intern</t>
        </is>
      </c>
      <c r="D16" t="inlineStr">
        <is>
          <t>https://in.jooble.org/desc/-6825957623175668188?ckey=software+engineer+intern&amp;rgn=3193&amp;pos=15&amp;elckey=-914241366255621246&amp;p=1&amp;aq=3344858192535340138&amp;cid=389&amp;jobAge=713&amp;brelb=10&amp;bscr=882.8998&amp;scr=882.8998</t>
        </is>
      </c>
      <c r="E16" t="inlineStr">
        <is>
          <t>AI Analyzer</t>
        </is>
      </c>
      <c r="F16" t="inlineStr">
        <is>
          <t>Bangalore</t>
        </is>
      </c>
      <c r="G16" t="inlineStr">
        <is>
          <t>On-site</t>
        </is>
      </c>
      <c r="H16" t="inlineStr">
        <is>
          <t>Rs 2 - 5 lakhs p.a.</t>
        </is>
      </c>
      <c r="I16" t="inlineStr">
        <is>
          <t>Not specified</t>
        </is>
      </c>
      <c r="J16" t="inlineStr">
        <is>
          <t>NOT_MENTIONED</t>
        </is>
      </c>
      <c r="K16" t="inlineStr">
        <is>
          <t>C++; C#; HTML/JavaScript</t>
        </is>
      </c>
      <c r="M16" t="inlineStr">
        <is>
          <t>[go to main page](https://in.jooble.org/)
Sign up to access all features of our service
Sign upLog inShare jobsAdd job posting / For companies
- Job search
- Favorites
- Create a CV
New
- [Salaries](https://in.jooble.org/salary)
- Subscriptions
Never miss new jobs in the app
[![Download from Google Play](https://in.jooble.org/assets/images/badges/gray/android/en.png)](https://jooble.onelink.me/CUK2/cdqezxyt)[![Download from App Store](https://in.jooble.org/assets/images/badges/gray/ios/en.png)](https://jooble.onelink.me/CUK2/cdqezxyt)
Company
- [About Jooble](https://in.jooble.org/info/about)
- [Careers](https://jooble.org/hiring)
- [Help Center](https://help.jooble.org/en/support/home)
- [Jobs in India](https://in.jooble.org/)
For Employers
- For ATS
- [Post a Job](https://in.jooble.org/post-a-job?source=footer)
For Job Seekers
- [Popular Searches](https://in.jooble.org/queries)
- [Find Salaries](https://in.jooble.org/salary)
- [Resume Checker](https://in.fitly.work/resume-checker)
Legal
- [Terms of Service](https://in.jooble.org/info/terms)
- [Privacy Policy](https://in.jooble.org/info/privacy)
- Cookie Settings
[Country: India](https://jooble.org/#countries)
© 2006-2026 [Jooble](https://in.jooble.org/)
Software Engineer (Backend, 0-1 Year)-Lending
Phonepe
[Bangalore](https://in.jooble.org/jobs/Bangalore)
[Apply](https://in.jooble.org/away/1929142524762661124?p=1&amp;pos=0&amp;rgn=3193&amp;pageType=7&amp;cid=389&amp;jobAge=425&amp;scr=926.6894&amp;bscr=926.6894&amp;jdpSource=101&amp;jdpid=5132820729258893733&amp;crId=IN_941557261776897104IN_3193)
This position requires local presence. Please view similar jobs below.
**About PhonePe Group:**
**PhonePe is India's leading digital payments company with 50 crore (500 Million) registered users and 3.7 crore (37 Million) merchants covering over 99% of the postal codes across India. On the back of its leadership in digital payments, PhonePe has expanded into financial services (Insurance, Mutual Funds, Stock Broking, and Lending) as well as adjacent tech-enabled businesses such as Pincode for hyperlocal shopping and Indus App Store which is India's first localized App Store. The PhonePe Group is a portfolio of businesses aligned with the company's vision to offer every Indian an equal opportunity to accelerate their progress by unlocking the flow of money and access to services.**
**Culture**
**At PhonePe, we take extra care to make sure you give your best at work, Everyday! And creating the right environment for you is just one of the things we do. We empower people and trust them to do the right thing. Here, you own your work from start to finish, right from day one. Being enthusiastic about tech is a big part of being at PhonePe. If you like building technology that impacts millions, ideating with some of the best minds in the country and executing on your dreams with purpose and speed, join us!**
**Challenges**
**Building for Scale, Rapid Iterative Development, and Customer-centric Product Thinking at each step defines every day for a developer at PhonePe. Though we engineer for a 500 Million+ strong user base, we code with every individual user in mind. While we are quick to adopt the latest in Engineering, we care utmost for security, stability, and automation. Apply if you want to experience the best combination of passionate application development and product-driven thinking.**
**Role &amp; Responsibilities**
**- Build Robust and scalable web-based applications. You will need to think of platforms &amp; reuse.**
**- Build abstractions and contracts with separation of concerns for a larger scope.**
**- Drive problem-solving skills for high-level business and technical problems.**
**- Do high-level design with guidance; Functional modelling, break-down of a module.**
**- Do incremental changes to architecture: impact analysis of the same.**
**- Do performance tuning and improvements in large scale distributed systems.**
**- Work with broader stakeholders to track the impact of projects/features and proactively iterate to improve them.**
**Requirements-**
**- 1-3 years of experience in the art of writing code and solving problems on a Large Scale.**
**- B.Tech in Computer Science or related technical discipline (or equivalent).**
**- Excellent coding skills – should be able to convert the design into code fluently. Experience in at least one general programming language (e.g. Java, C, C++) &amp; tech stack to write maintainable, scalable, unit-tested code.**
**- Experience with multi-threading, concurrency programming, object-oriented design skills, knowledge of design patterns, and huge passion and ability to design intuitive modules, class-level interfaces and knowledge of Test driven development.**
**- Good understanding of databases (e.g. MySQL) and NoSQL (e.g. HBase, Elasticsearch, Aerospike, etc).**
**- Experience in full life cycle development in any programming language on a Linux platform and building highly scalable business applications, which involve implementi</t>
        </is>
      </c>
      <c r="N16" t="n">
        <v>56</v>
      </c>
      <c r="O16" t="n">
        <v>70</v>
      </c>
      <c r="P16" t="n">
        <v>50</v>
      </c>
      <c r="Q16" t="n">
        <v>70</v>
      </c>
      <c r="R16" t="n">
        <v>0</v>
      </c>
      <c r="S16" t="n">
        <v>100</v>
      </c>
      <c r="T16" t="n">
        <v>50</v>
      </c>
      <c r="U16" t="inlineStr">
        <is>
          <t>SKIP</t>
        </is>
      </c>
      <c r="V16" t="inlineStr">
        <is>
          <t>SKIP</t>
        </is>
      </c>
      <c r="W16" t="inlineStr">
        <is>
          <t>C++</t>
        </is>
      </c>
      <c r="X16" t="inlineStr">
        <is>
          <t>Default Full Stack / Software Engineering Resume</t>
        </is>
      </c>
      <c r="Y16" t="inlineStr">
        <is>
          <t>2026-10-02</t>
        </is>
      </c>
      <c r="Z16" t="inlineStr">
        <is>
          <t>Stipend meets the minimum target expectations.; Matches location preference (Bangalore).</t>
        </is>
      </c>
      <c r="AA16" t="inlineStr">
        <is>
          <t>FAIL</t>
        </is>
      </c>
      <c r="AB16" t="inlineStr">
        <is>
          <t>Eligibility criteria explicitly requires eligible branches to be CSE (Computer Science Engineering), whereas the candidate is pursuing MCA.</t>
        </is>
      </c>
      <c r="AC16" t="inlineStr">
        <is>
          <t>UNKNOWN</t>
        </is>
      </c>
      <c r="AD16" t="inlineStr">
        <is>
          <t>Candidate availability dates are not specified in the career brain.</t>
        </is>
      </c>
      <c r="AE16" t="inlineStr">
        <is>
          <t>KNOWN</t>
        </is>
      </c>
      <c r="AF16" t="n">
        <v>200000</v>
      </c>
      <c r="AG16" t="inlineStr">
        <is>
          <t>No</t>
        </is>
      </c>
      <c r="AH16" t="inlineStr">
        <is>
          <t>NOT_MENTIONED</t>
        </is>
      </c>
      <c r="AI16" t="inlineStr">
        <is>
          <t>No mention of PPO or conversion to full-time employment in the job description.</t>
        </is>
      </c>
      <c r="AJ16" t="inlineStr">
        <is>
          <t>Eligible branch requirement is strictly CSE (Computer Science Engineering), whereas candidate is in MCA.</t>
        </is>
      </c>
      <c r="AL16" t="inlineStr">
        <is>
          <t>Core JavaScript and HTML fundamentals; C# object-oriented programming concepts; Debugging and problem-solving methodologies</t>
        </is>
      </c>
    </row>
    <row r="17">
      <c r="A17" t="inlineStr">
        <is>
          <t>OUTBOX.VC-261002-16</t>
        </is>
      </c>
      <c r="B17" t="inlineStr">
        <is>
          <t>Outbox.vc</t>
        </is>
      </c>
      <c r="C17" t="inlineStr">
        <is>
          <t>Software Developer - Intern</t>
        </is>
      </c>
      <c r="D17" t="inlineStr">
        <is>
          <t>https://in.jooble.org/desc/5089802996613037634?ckey=software+engineer+intern&amp;rgn=3193&amp;pos=16&amp;elckey=-914241366255621246&amp;p=1&amp;aq=3344858192535340138&amp;cid=389&amp;jobAge=6329&amp;brelb=100&amp;bscr=869.2715&amp;scr=869.2715</t>
        </is>
      </c>
      <c r="E17" t="inlineStr">
        <is>
          <t>AI Analyzer</t>
        </is>
      </c>
      <c r="F17" t="inlineStr">
        <is>
          <t>Bangalore</t>
        </is>
      </c>
      <c r="G17" t="inlineStr">
        <is>
          <t>On-site / Unspecified</t>
        </is>
      </c>
      <c r="H17" t="inlineStr">
        <is>
          <t>Rs 30000 - Rs 35000 per month</t>
        </is>
      </c>
      <c r="I17" t="inlineStr">
        <is>
          <t>Unspecified</t>
        </is>
      </c>
      <c r="J17" t="inlineStr">
        <is>
          <t>NOT_MENTIONED</t>
        </is>
      </c>
      <c r="K17" t="inlineStr">
        <is>
          <t>NodeJS; Typescript; Git; MySQL</t>
        </is>
      </c>
      <c r="L17" t="inlineStr">
        <is>
          <t>Backend development; Frontend development; Scalable server-side architecture</t>
        </is>
      </c>
      <c r="M17" t="inlineStr">
        <is>
          <t>[go to main page](https://in.jooble.org/)
Sign up to access all features of our service
Sign upLog inShare jobsAdd job posting / For companies
- Job search
- Favorites
- Create a CV
New
- [Salaries](https://in.jooble.org/salary)
- Subscriptions
Never miss new jobs in the app
[![Download from Google Play](https://in.jooble.org/assets/images/badges/gray/android/en.png)](https://jooble.onelink.me/CUK2/cdqezxyt)[![Download from App Store](https://in.jooble.org/assets/images/badges/gray/ios/en.png)](https://jooble.onelink.me/CUK2/cdqezxyt)
Company
- [About Jooble](https://in.jooble.org/info/about)
- [Careers](https://jooble.org/hiring)
- [Help Center](https://help.jooble.org/en/support/home)
- [Jobs in India](https://in.jooble.org/)
For Employers
- For ATS
- [Post a Job](https://in.jooble.org/post-a-job?source=footer)
For Job Seekers
- [Popular Searches](https://in.jooble.org/queries)
- [Find Salaries](https://in.jooble.org/salary)
- [Resume Checker](https://in.fitly.work/resume-checker)
Legal
- [Terms of Service](https://in.jooble.org/info/terms)
- [Privacy Policy](https://in.jooble.org/info/privacy)
- Cookie Settings
[Country: India](https://jooble.org/#countries)
© 2006-2026 [Jooble](https://in.jooble.org/)
Software Developer Intern
Rs 2 - 5 lakhs p.a.
Saffronbizz Solutions
[Bangalore](https://in.jooble.org/jobs/Bangalore)
[Apply](https://in.jooble.org/away/-6825957623175668188?p=1&amp;pos=0&amp;rgn=3193&amp;pageType=7&amp;cid=389&amp;jobAge=713&amp;scr=882.8998&amp;bscr=882.8998&amp;jdpSource=101&amp;jdpid=-1295339032546043542&amp;crId=IN_941557261776897104IN_3193)
## Job description   **As a Software Developer Intern, you will:**    - Work alongside our experienced software developers on one of our small, energetic development teams.  - Learn the process of software development using modern languages like Agile to help full-time work in designing, coding, testing, documenting, and supporting our software products.      **You may enjoy this if:**    - You have a passion for creating software.  - You like problem solving and have sharp debugging skills.  - You are creative with computers and software applied to engineering.      **Were looking for:**    - Self-motivated individuals with a passion for creating software  - Software development experience in one or more modern programming languages (C++, C\#, HTML/JavaScript, etc.)     **Eligibility Criteria**    - Academic performance - 70% &amp; above throughout his/her career (10th, 12th and BE/B.Tech till date) - Year of passing 2027 - Eligible branches CSE  - No standing arrears/backlogs during interview process &amp; joining
[Apply](https://in.jooble.org/away/-6825957623175668188?p=1&amp;pos=0&amp;rgn=3193&amp;pageType=7&amp;cid=389&amp;jobAge=713&amp;scr=882.8998&amp;bscr=882.8998&amp;jdpSource=101&amp;jdpid=-1295339032546043542&amp;crId=IN_941557261776897104IN_3193)
# Software Developer - Intern
Rs 30000 - Rs 35000 per month
Internship
Outbox.vc
[Bangalore](https://in.jooble.org/jobs/Bangalore)
[Apply](https://in.jooble.org/away/5089802996613037634?p=1&amp;pos=0&amp;rgn=3193&amp;pageType=7&amp;cid=389&amp;jobAge=6329&amp;scr=869.2715&amp;bscr=869.2715&amp;jdpSource=101&amp;jdpid=1154770436091023992&amp;crId=IN_941557261776897104IN_3193)
**Job Description**
We are seeking **SDE Interns,** talented individuals with strong knowledge of NodeJS, Typescript, Git and MySQL to join our dynamic team. You'll have the opportunity to work on cutting-edge technologies and contribute to the development of our innovative outbound marketing system.
If you are excited about leveraging cutting-edge technology to drive business success, we want to hear from you.
**What You'll Do:**
- Design, develop, and maintain scalable server-side architecture.
- Implement and optimize database structures for data integrity, security, and performance.
- Collaborate with frontend developers to integrate user-facing elements using server-side logic.
- Update reports, project related trackers, performance evaluation forms.
- Optimize web performance by identifying and resolving bottlenecks, reducing load times, and applying performance best practices (e.g., lazy loading, code splitting).
- Implement and manage third-party libraries and APIs to extend backend capabilities and support new features.
- Maintain a clean and scalable codebase, adhering to best practices in version control (Git), component reusability, and code documentation.
- Write unit and integration tests to ensure code stability and reduce regressions.
- Stay current with emerging technologies and backend trends, proactively suggesting improvements to the team.
- Participate in code reviews, contributing constructive feedback and learning from peers.
- Take ownership of assigned tasks, demonstrating initiative in troubleshooting, debugging, and solving issues.
- Contribute to internal documentation, helping to create a knowledge base for onboarding and ongoing learning.
**Candidate Profile**
- **Demonstrable Portfolio:** We require candidates to showcase a portfolio of live and hosted projects, providing the h</t>
        </is>
      </c>
      <c r="N17" t="n">
        <v>82</v>
      </c>
      <c r="O17" t="n">
        <v>80</v>
      </c>
      <c r="P17" t="n">
        <v>90</v>
      </c>
      <c r="Q17" t="n">
        <v>90</v>
      </c>
      <c r="R17" t="n">
        <v>50</v>
      </c>
      <c r="S17" t="n">
        <v>100</v>
      </c>
      <c r="T17" t="n">
        <v>85</v>
      </c>
      <c r="U17" t="inlineStr">
        <is>
          <t>APPLY</t>
        </is>
      </c>
      <c r="V17" t="inlineStr">
        <is>
          <t>APPLY</t>
        </is>
      </c>
      <c r="W17" t="inlineStr">
        <is>
          <t>Typescript</t>
        </is>
      </c>
      <c r="X17" t="inlineStr">
        <is>
          <t>Default Full Stack / Backend Resume</t>
        </is>
      </c>
      <c r="Y17" t="inlineStr">
        <is>
          <t>2026-10-02</t>
        </is>
      </c>
      <c r="Z17" t="inlineStr">
        <is>
          <t>Stipend of ₹30,000–₹35,000/month satisfies the minimum requirement of ₹25,000.; Strong match with candidate's actual work experience in Full Stack and backend development (Node.js, MySQL, Git).; Located in Bangalore, matching candidate preference.</t>
        </is>
      </c>
      <c r="AA17" t="inlineStr">
        <is>
          <t>ELIGIBLE</t>
        </is>
      </c>
      <c r="AB17" t="inlineStr">
        <is>
          <t>Meets the requirement of having completed at least one internship and building backend/frontend systems from scratch.; Matches location preference (Bangalore).; Stipend exceeds minimum requirement.</t>
        </is>
      </c>
      <c r="AC17" t="inlineStr">
        <is>
          <t>UNKNOWN</t>
        </is>
      </c>
      <c r="AD17" t="inlineStr">
        <is>
          <t>Availability dates not specified in candidate profile or job description.</t>
        </is>
      </c>
      <c r="AE17" t="inlineStr">
        <is>
          <t>EXPLICIT</t>
        </is>
      </c>
      <c r="AF17" t="n">
        <v>30000</v>
      </c>
      <c r="AG17" t="inlineStr">
        <is>
          <t>No</t>
        </is>
      </c>
      <c r="AH17" t="inlineStr">
        <is>
          <t>NOT_MENTIONED</t>
        </is>
      </c>
      <c r="AI17" t="inlineStr">
        <is>
          <t>No explicit PPO or conversion mention found in the job description.</t>
        </is>
      </c>
      <c r="AL17" t="inlineStr">
        <is>
          <t>Node.js server-side architecture and performance optimization; MySQL database indexing and schema design; Experience with building live and hosted full-stack projects; TypeScript proficiency and transition from JavaScript</t>
        </is>
      </c>
      <c r="AM17" t="inlineStr">
        <is>
          <t>E:\InternshipHunter\applications\jooble-29d645aac51d</t>
        </is>
      </c>
      <c r="AN17" t="inlineStr">
        <is>
          <t>Ready for Review</t>
        </is>
      </c>
      <c r="AO17" t="inlineStr">
        <is>
          <t>Generated</t>
        </is>
      </c>
      <c r="AP17" t="inlineStr">
        <is>
          <t>Generated</t>
        </is>
      </c>
      <c r="AQ17" t="inlineStr">
        <is>
          <t>Generated</t>
        </is>
      </c>
      <c r="AR17" t="inlineStr">
        <is>
          <t>Ready to Apply</t>
        </is>
      </c>
    </row>
    <row r="18">
      <c r="A18" t="inlineStr">
        <is>
          <t>PHONEPE-261002-17</t>
        </is>
      </c>
      <c r="B18" t="inlineStr">
        <is>
          <t>Phonepe</t>
        </is>
      </c>
      <c r="C18" t="inlineStr">
        <is>
          <t>Software Engineer - SRE (Rust)</t>
        </is>
      </c>
      <c r="D18" t="inlineStr">
        <is>
          <t>https://in.jooble.org/desc/-8896893097370421426?ckey=software+engineer+intern&amp;rgn=3193&amp;pos=17&amp;elckey=-914241366255621246&amp;p=1&amp;aq=3344858192535340138&amp;cid=389&amp;jobAge=617&amp;brelb=10&amp;bscr=853.6248&amp;scr=853.6248</t>
        </is>
      </c>
      <c r="E18" t="inlineStr">
        <is>
          <t>AI Analyzer</t>
        </is>
      </c>
      <c r="F18" t="inlineStr">
        <is>
          <t>Bangalore</t>
        </is>
      </c>
      <c r="G18" t="inlineStr">
        <is>
          <t>Unknown</t>
        </is>
      </c>
      <c r="H18" t="inlineStr">
        <is>
          <t>Not specified</t>
        </is>
      </c>
      <c r="I18" t="inlineStr">
        <is>
          <t>Unknown</t>
        </is>
      </c>
      <c r="J18" t="inlineStr">
        <is>
          <t>No</t>
        </is>
      </c>
      <c r="K18" t="inlineStr">
        <is>
          <t>Software Development; Operating Systems</t>
        </is>
      </c>
      <c r="L18" t="inlineStr">
        <is>
          <t>Rust</t>
        </is>
      </c>
      <c r="M18" t="inlineStr">
        <is>
          <t>&amp;nbsp;...to implementations Qualifications ~4+ years experience in &lt;b&gt;Software &lt;/b&gt;Development ~ Experience with or knowledge of operating systems...&amp;nbsp;&amp;nbsp;...Information PhonePe Full Time Employee Benefits (Not applicable for &lt;b&gt;Intern &lt;/b&gt;or Contract Roles) Insurance Benefits - Medical Insurance,...&amp;nbsp;</t>
        </is>
      </c>
      <c r="N18" t="n">
        <v>22</v>
      </c>
      <c r="O18" t="n">
        <v>20</v>
      </c>
      <c r="P18" t="n">
        <v>10</v>
      </c>
      <c r="Q18" t="n">
        <v>20</v>
      </c>
      <c r="R18" t="n">
        <v>0</v>
      </c>
      <c r="S18" t="n">
        <v>50</v>
      </c>
      <c r="T18" t="n">
        <v>60</v>
      </c>
      <c r="U18" t="inlineStr">
        <is>
          <t>SKIP</t>
        </is>
      </c>
      <c r="V18" t="inlineStr">
        <is>
          <t>SKIP</t>
        </is>
      </c>
      <c r="W18" t="inlineStr">
        <is>
          <t>Rust; SRE experience; 4+ years of experience</t>
        </is>
      </c>
      <c r="X18" t="inlineStr">
        <is>
          <t>Amaanuddin_Ahmed_Resume.pdf</t>
        </is>
      </c>
      <c r="Y18" t="inlineStr">
        <is>
          <t>2026-10-02</t>
        </is>
      </c>
      <c r="AA18" t="inlineStr">
        <is>
          <t>Ineligible</t>
        </is>
      </c>
      <c r="AB18" t="inlineStr">
        <is>
          <t>The role requires ~4+ years of experience in Software Development, while the candidate is an MCA student with internship/freelance experience.; The role specifies Rust/SRE which is outside the candidate's core stack.</t>
        </is>
      </c>
      <c r="AC18" t="inlineStr">
        <is>
          <t>Unknown</t>
        </is>
      </c>
      <c r="AD18" t="inlineStr">
        <is>
          <t>Not specified in profile</t>
        </is>
      </c>
      <c r="AE18" t="inlineStr">
        <is>
          <t>UNKNOWN</t>
        </is>
      </c>
      <c r="AF18" t="n">
        <v>0</v>
      </c>
      <c r="AG18" t="inlineStr">
        <is>
          <t>No</t>
        </is>
      </c>
      <c r="AH18" t="inlineStr">
        <is>
          <t>No</t>
        </is>
      </c>
      <c r="AI18" t="inlineStr">
        <is>
          <t>No mention of PPO or conversion for this full-time role.</t>
        </is>
      </c>
      <c r="AJ18" t="inlineStr">
        <is>
          <t>4+ years experience in Software Development required</t>
        </is>
      </c>
      <c r="AK18" t="inlineStr">
        <is>
          <t>Full-time experienced role requiring 4+ years of experience</t>
        </is>
      </c>
      <c r="AL18" t="inlineStr">
        <is>
          <t>Operating systems; Software development best practices</t>
        </is>
      </c>
    </row>
    <row r="19">
      <c r="A19" t="inlineStr">
        <is>
          <t>NXTWAVE-DISR-261002-18</t>
        </is>
      </c>
      <c r="B19" t="inlineStr">
        <is>
          <t>Nxtwave Disruptive Technologies Private Limited</t>
        </is>
      </c>
      <c r="C19" t="inlineStr">
        <is>
          <t>MERN Developer - Intern</t>
        </is>
      </c>
      <c r="D19" t="inlineStr">
        <is>
          <t>https://in.jooble.org/desc/7218822007534742956?ckey=software+engineer+intern&amp;rgn=3193&amp;pos=20&amp;elckey=-914241366255621246&amp;p=1&amp;aq=3344858192535340138&amp;cid=389&amp;jobAge=713&amp;brelb=10&amp;bscr=726.9999&amp;scr=726.9999</t>
        </is>
      </c>
      <c r="E19" t="inlineStr">
        <is>
          <t>AI Analyzer</t>
        </is>
      </c>
      <c r="F19" t="inlineStr">
        <is>
          <t>Bangalore</t>
        </is>
      </c>
      <c r="G19" t="inlineStr">
        <is>
          <t>Offline</t>
        </is>
      </c>
      <c r="H19" t="inlineStr">
        <is>
          <t>20,000/month</t>
        </is>
      </c>
      <c r="I19" t="inlineStr">
        <is>
          <t>6 Months</t>
        </is>
      </c>
      <c r="J19" t="inlineStr">
        <is>
          <t>explicit</t>
        </is>
      </c>
      <c r="K19" t="inlineStr">
        <is>
          <t>JavaScript; React.js; Node.js; SQL; MongoDB; Python</t>
        </is>
      </c>
      <c r="L19" t="inlineStr">
        <is>
          <t>Problem-solving; Communication</t>
        </is>
      </c>
      <c r="M19" t="inlineStr">
        <is>
          <t xml:space="preserve">[go to main page](https://in.jooble.org/)
Sign up to access all features of our service
Sign upLog inShare jobsAdd job posting / For companies
- Job search
- Favorites
- Create a CV
New
- [Salaries](https://in.jooble.org/salary)
- Subscriptions
Never miss new jobs in the app
[![Download from Google Play](https://in.jooble.org/assets/images/badges/gray/android/en.png)](https://jooble.onelink.me/CUK2/cdqezxyt)[![Download from App Store](https://in.jooble.org/assets/images/badges/gray/ios/en.png)](https://jooble.onelink.me/CUK2/cdqezxyt)
Company
- [About Jooble](https://in.jooble.org/info/about)
- [Careers](https://jooble.org/hiring)
- [Help Center](https://help.jooble.org/en/support/home)
- [Jobs in India](https://in.jooble.org/)
For Employers
- For ATS
- [Post a Job](https://in.jooble.org/post-a-job?source=footer)
For Job Seekers
- [Popular Searches](https://in.jooble.org/queries)
- [Find Salaries](https://in.jooble.org/salary)
- [Resume Checker](https://in.fitly.work/resume-checker)
Legal
- [Terms of Service](https://in.jooble.org/info/terms)
- [Privacy Policy](https://in.jooble.org/info/privacy)
- Cookie Settings
[Country: India](https://jooble.org/#countries)
© 2006-2026 [Jooble](https://in.jooble.org/)
Android Developer Intern
Frnd
[Bangalore](https://in.jooble.org/jobs/Bangalore)
[Apply](https://in.jooble.org/away/9020394064860666830?p=1&amp;pos=0&amp;rgn=3193&amp;pageType=7&amp;cid=389&amp;jobAge=425&amp;scr=735.6594&amp;bscr=735.6594&amp;jdpSource=101&amp;jdpid=-8504814669564863320&amp;crId=IN_941557261776897104IN_3193)
This position requires local presence. Please view similar jobs below.
**About the Role:**
We're looking for a passionate **Android Intern** to join our mobile team and contribute to building delightful user experiences. If you love writing clean Kotlin code, learning on the go, and working on real impact features, we'd love to meet you.
**What You'll Do:**
- Collaborate with product, design, and backend teams to build and improve app features
- Write clean, maintainable, and efficient Kotlin code
- Test and debug applications to ensure performance and stability
- Learn and grow in a fast-paced startup environment
**What We're Looking For:**
- **This is a 3-month in-office Paid Internship**
- Strong understanding of Android fundamentals and the Android SDK
- Proficient in **Kotlin**
- Familiar with RESTful APIs, Git, and third-party libraries
- Prior **internship experience in Android development** is a plus
- Problem-solving attitude with a strong willingness to learn
Note- The FRND team operates six days a week, with every 1st and 3rd Saturday working
**About FRND**
FRND is redefining the way people connect by building a social platform that's not just engaging but also safe, inclusive, and fun. We're a rapidly growing startup with a bold mission: to transform online interactions into meaningful relationships.
**Why FRND**
- **Impact at Scale:** Be part of the next big wave in social connection, shaping experiences for millions across India, LATAM, and MENA.
- **Rewarding Journey:** Competitive compensation, equity options, and growth that parallels FRND's explosive success.
- **Learn with the Best:** Collaborate directly with founders and industry pioneers, supported by stellar investors like Krafton, India Quotient, and Elevation Capital.
- **Freedom to Thrive:** Enjoy an unlimited leave policy and unparalleled ownership of your work.
- **Product-Centric Mindset:** Work in a company where products take center stage, solving unique challenges with innovative solutions.
[Apply](https://in.jooble.org/away/9020394064860666830?p=1&amp;pos=0&amp;rgn=3193&amp;pageType=7&amp;cid=389&amp;jobAge=425&amp;scr=735.6594&amp;bscr=735.6594&amp;jdpSource=101&amp;jdpid=-8504814669564863320&amp;crId=IN_941557261776897104IN_3193)
# MERN Developer - Intern
Rs 3.5 - 4 lakhs p.a.
Nxtwave Disruptive Technologies Private Limited
[Bangalore](https://in.jooble.org/jobs/Bangalore)
[Apply](https://in.jooble.org/away/7218822007534742956?p=1&amp;pos=0&amp;rgn=3193&amp;pageType=7&amp;cid=389&amp;jobAge=713&amp;scr=726.9999&amp;bscr=726.9999&amp;jdpSource=101&amp;jdpid=3347292365815868326&amp;crId=IN_941557261776897104IN_3193)
This position requires local presence. Please view similar jobs below.
### MERN Developer – Internship + Full-Time Opportunity
### **Apply Link:** Apply Here
**Role:** MERN Developer – Intern
**Job Type:** Internship + Full-Time
**Location:** Bangalore
**CTC:** 3.6 – 4.2 LPA
**Internship Duration:** 6 Months
**Internship Stipend:** 20,000/month
**Bond:** No Bond
### Eligibility Criteria
- Any Degree
- 2021, 2022, 2023, 2024, 2025 &amp; 2026 pass-outs
- No percentage criteria
- Immediate joiners only
### Interview Process
**Assessment → Managerial Round → Technical Round 1 → HR**
**Interview Mode:** Offline
### Important Details
- **Offline drive in Bangalore on 5th September 2026 (Saturday).**
- All interview rounds will be completed on the same day.
- Only candidates who are available to attend the **in-person drive in Bangalore** should apply.
- Strong </t>
        </is>
      </c>
      <c r="N19" t="n">
        <v>86</v>
      </c>
      <c r="O19" t="n">
        <v>85</v>
      </c>
      <c r="P19" t="n">
        <v>85</v>
      </c>
      <c r="Q19" t="n">
        <v>90</v>
      </c>
      <c r="R19" t="n">
        <v>90</v>
      </c>
      <c r="S19" t="n">
        <v>75</v>
      </c>
      <c r="T19" t="n">
        <v>85</v>
      </c>
      <c r="U19" t="inlineStr">
        <is>
          <t>APPLY</t>
        </is>
      </c>
      <c r="V19" t="inlineStr">
        <is>
          <t>APPLY</t>
        </is>
      </c>
      <c r="W19" t="inlineStr">
        <is>
          <t>Python</t>
        </is>
      </c>
      <c r="X19" t="inlineStr">
        <is>
          <t>Default Full Stack / MERN Resume</t>
        </is>
      </c>
      <c r="Y19" t="inlineStr">
        <is>
          <t>2026-10-02</t>
        </is>
      </c>
      <c r="Z19" t="inlineStr">
        <is>
          <t>Role matches primary target of Full Stack Developer Intern / MERN Stack Developer Intern; Stipend of 20,000/month is close to the minimum target; Clear PPO path with full-time conversion mentioned (3.6-4.2 LPA); Strong tech stack match with MERN experience (StaySphere, Zenvest, DriftGuard)</t>
        </is>
      </c>
      <c r="AA19" t="inlineStr">
        <is>
          <t>eligible</t>
        </is>
      </c>
      <c r="AB19" t="inlineStr">
        <is>
          <t>Degree criteria met (Any Degree / MCA); Pass-out year 2026 is included in the accepted range (2021-2026); Location is Bangalore and candidate is based in Bengaluru</t>
        </is>
      </c>
      <c r="AC19" t="inlineStr">
        <is>
          <t>unknown</t>
        </is>
      </c>
      <c r="AD19" t="inlineStr">
        <is>
          <t>Immediate joining and offline drive attendance on September 5th, 2026 need to be confirmed against candidate schedule.</t>
        </is>
      </c>
      <c r="AE19" t="inlineStr">
        <is>
          <t>disclosed</t>
        </is>
      </c>
      <c r="AF19" t="n">
        <v>20000</v>
      </c>
      <c r="AG19" t="inlineStr">
        <is>
          <t>No</t>
        </is>
      </c>
      <c r="AH19" t="inlineStr">
        <is>
          <t>explicit</t>
        </is>
      </c>
      <c r="AI19" t="inlineStr">
        <is>
          <t>Full-time conversion will be based on internship performance. Full-time CTC: 3.6–4.2 LPA.</t>
        </is>
      </c>
      <c r="AL19" t="inlineStr">
        <is>
          <t>Node.js and Express event loop and middleware; React.js state management and hooks; MongoDB and SQL database schema design; Basic Python concepts and coding problem solving; RESTful API architecture and authentication</t>
        </is>
      </c>
      <c r="AM19" t="inlineStr">
        <is>
          <t>E:\InternshipHunter\applications\jooble-254226cbc559</t>
        </is>
      </c>
      <c r="AN19" t="inlineStr">
        <is>
          <t>Ready for Review</t>
        </is>
      </c>
      <c r="AO19" t="inlineStr">
        <is>
          <t>Generated</t>
        </is>
      </c>
      <c r="AP19" t="inlineStr">
        <is>
          <t>Generated</t>
        </is>
      </c>
      <c r="AQ19" t="inlineStr">
        <is>
          <t>Generated</t>
        </is>
      </c>
      <c r="AR19" t="inlineStr">
        <is>
          <t>Ready to Apply</t>
        </is>
      </c>
    </row>
    <row r="20">
      <c r="A20" t="inlineStr">
        <is>
          <t>REALME-261002-19</t>
        </is>
      </c>
      <c r="B20" t="inlineStr">
        <is>
          <t>RealMe</t>
        </is>
      </c>
      <c r="C20" t="inlineStr">
        <is>
          <t>Software Engineer - Intern</t>
        </is>
      </c>
      <c r="D20" t="inlineStr">
        <is>
          <t>https://in.jooble.org/desc/7400619691248103067?ckey=software+engineer+intern&amp;rgn=158289&amp;pos=1&amp;elckey=-7253105424082662809&amp;p=1&amp;aq=-519685724840293556&amp;cid=389&amp;jobAge=521&amp;brelb=10&amp;bscr=940.0856&amp;scr=940.0856</t>
        </is>
      </c>
      <c r="E20" t="inlineStr">
        <is>
          <t>AI Analyzer</t>
        </is>
      </c>
      <c r="F20" t="inlineStr">
        <is>
          <t>work from home</t>
        </is>
      </c>
      <c r="G20" t="inlineStr">
        <is>
          <t>Remote</t>
        </is>
      </c>
      <c r="H20" t="inlineStr">
        <is>
          <t>Not specified</t>
        </is>
      </c>
      <c r="I20" t="inlineStr">
        <is>
          <t>UNKNOWN</t>
        </is>
      </c>
      <c r="J20" t="inlineStr">
        <is>
          <t>UNKNOWN</t>
        </is>
      </c>
      <c r="M20" t="inlineStr">
        <is>
          <t>&amp;nbsp;...AI isn't just our product — it's how we build. We're an AI-first &lt;b&gt;engineering &lt;/b&gt;team that uses the latest models and tooling throughout our...&amp;nbsp;&amp;nbsp;...that shapes global industrial outcomes. What You'll Do As an &lt;b&gt;intern &lt;/b&gt;at Realm, you'll work alongside full-time engineers on real features...&amp;nbsp;</t>
        </is>
      </c>
      <c r="N20" t="n">
        <v>47</v>
      </c>
      <c r="O20" t="n">
        <v>50</v>
      </c>
      <c r="P20" t="n">
        <v>50</v>
      </c>
      <c r="Q20" t="n">
        <v>70</v>
      </c>
      <c r="R20" t="n">
        <v>50</v>
      </c>
      <c r="S20" t="n">
        <v>0</v>
      </c>
      <c r="T20" t="n">
        <v>40</v>
      </c>
      <c r="U20" t="inlineStr">
        <is>
          <t>SKIP</t>
        </is>
      </c>
      <c r="V20" t="inlineStr">
        <is>
          <t>SKIP</t>
        </is>
      </c>
      <c r="X20" t="inlineStr">
        <is>
          <t>Standard Full Stack Resume</t>
        </is>
      </c>
      <c r="Y20" t="inlineStr">
        <is>
          <t>2026-10-02</t>
        </is>
      </c>
      <c r="Z20" t="inlineStr">
        <is>
          <t>Matches the target Software Engineer Intern role.; Remote work mode aligns with preferences.</t>
        </is>
      </c>
      <c r="AA20" t="inlineStr">
        <is>
          <t>ELIGIBLE</t>
        </is>
      </c>
      <c r="AB20" t="inlineStr">
        <is>
          <t>No explicit hard blockers found in the minimal job description.; Matches the target role of Software Engineer Intern.</t>
        </is>
      </c>
      <c r="AC20" t="inlineStr">
        <is>
          <t>UNKNOWN</t>
        </is>
      </c>
      <c r="AD20" t="inlineStr">
        <is>
          <t>Availability details not specified in the career brain.</t>
        </is>
      </c>
      <c r="AE20" t="inlineStr">
        <is>
          <t>UNKNOWN</t>
        </is>
      </c>
      <c r="AF20" t="n">
        <v>0</v>
      </c>
      <c r="AG20" t="inlineStr">
        <is>
          <t>No</t>
        </is>
      </c>
      <c r="AH20" t="inlineStr">
        <is>
          <t>UNKNOWN</t>
        </is>
      </c>
      <c r="AI20" t="inlineStr">
        <is>
          <t>No mention of PPO or conversion in the job description.</t>
        </is>
      </c>
      <c r="AK20" t="inlineStr">
        <is>
          <t>Extremely sparse job description with insufficient details about tech stack, requirements, or compensation.</t>
        </is>
      </c>
      <c r="AL20" t="inlineStr">
        <is>
          <t>AI tooling and workflows; General software engineering fundamentals; Past internship experience</t>
        </is>
      </c>
    </row>
    <row r="21">
      <c r="A21" t="inlineStr">
        <is>
          <t>UNKNOWN-261002-20</t>
        </is>
      </c>
      <c r="B21" t="inlineStr">
        <is>
          <t>Unknown</t>
        </is>
      </c>
      <c r="C21" t="inlineStr">
        <is>
          <t>Software Engineer Internship</t>
        </is>
      </c>
      <c r="D21" t="inlineStr">
        <is>
          <t>https://in.jooble.org/desc/4492104147483982630?ckey=software+engineer+intern&amp;rgn=158289&amp;pos=2&amp;elckey=-7253105424082662809&amp;p=1&amp;aq=-519685724840293556&amp;cid=389&amp;jobAge=24&amp;brelb=100&amp;bscr=549.85657&amp;scr=549.85657</t>
        </is>
      </c>
      <c r="E21" t="inlineStr">
        <is>
          <t>AI Analyzer</t>
        </is>
      </c>
      <c r="F21" t="inlineStr">
        <is>
          <t>work from home</t>
        </is>
      </c>
      <c r="G21" t="inlineStr">
        <is>
          <t>Remote</t>
        </is>
      </c>
      <c r="H21" t="inlineStr">
        <is>
          <t>Not specified</t>
        </is>
      </c>
      <c r="I21" t="inlineStr">
        <is>
          <t>Unknown</t>
        </is>
      </c>
      <c r="J21" t="inlineStr">
        <is>
          <t>Not Mentioned</t>
        </is>
      </c>
      <c r="M21" t="inlineStr">
        <is>
          <t>&amp;nbsp;...accurate, secure and dependable, because people rely on it for financial decisions. As an &lt;b&gt;intern,&lt;/b&gt; you'll work with experienced &lt;b&gt;engineers &lt;/b&gt;on real product features and see how production &lt;b&gt;software &lt;/b&gt;is built in a finance-focused environment. What You'll Do Build, test and...&amp;nbsp;</t>
        </is>
      </c>
      <c r="N21" t="n">
        <v>48</v>
      </c>
      <c r="O21" t="n">
        <v>50</v>
      </c>
      <c r="P21" t="n">
        <v>60</v>
      </c>
      <c r="Q21" t="n">
        <v>70</v>
      </c>
      <c r="R21" t="n">
        <v>40</v>
      </c>
      <c r="S21" t="n">
        <v>0</v>
      </c>
      <c r="T21" t="n">
        <v>40</v>
      </c>
      <c r="U21" t="inlineStr">
        <is>
          <t>SKIP</t>
        </is>
      </c>
      <c r="V21" t="inlineStr">
        <is>
          <t>SKIP</t>
        </is>
      </c>
      <c r="X21" t="inlineStr">
        <is>
          <t>Standard Full Stack Resume</t>
        </is>
      </c>
      <c r="Y21" t="inlineStr">
        <is>
          <t>2026-10-02</t>
        </is>
      </c>
      <c r="Z21" t="inlineStr">
        <is>
          <t>Matches target role of Software Engineer Intern; Remote work mode fits candidate preferences</t>
        </is>
      </c>
      <c r="AA21" t="inlineStr">
        <is>
          <t>Eligible</t>
        </is>
      </c>
      <c r="AB21" t="inlineStr">
        <is>
          <t>No hard blockers found in the brief job description snippet.</t>
        </is>
      </c>
      <c r="AC21" t="inlineStr">
        <is>
          <t>Unknown</t>
        </is>
      </c>
      <c r="AD21" t="inlineStr">
        <is>
          <t>Candidate availability details are not provided in the career brain.</t>
        </is>
      </c>
      <c r="AE21" t="inlineStr">
        <is>
          <t>UNKNOWN</t>
        </is>
      </c>
      <c r="AF21" t="n">
        <v>0</v>
      </c>
      <c r="AG21" t="inlineStr">
        <is>
          <t>No</t>
        </is>
      </c>
      <c r="AH21" t="inlineStr">
        <is>
          <t>Not Mentioned</t>
        </is>
      </c>
      <c r="AI21" t="inlineStr">
        <is>
          <t>No mention of PPO or conversion in the job description snippet.</t>
        </is>
      </c>
      <c r="AK21" t="inlineStr">
        <is>
          <t>Extremely sparse job description lacking specific company name, tech stack, duration, and stipend details.</t>
        </is>
      </c>
      <c r="AL21" t="inlineStr">
        <is>
          <t>General Software Engineering principles; Finance-focused software reliability and security; Past internship projects</t>
        </is>
      </c>
    </row>
    <row r="22">
      <c r="A22" t="inlineStr">
        <is>
          <t>WML-BIOTECHN-261002-21</t>
        </is>
      </c>
      <c r="B22" t="inlineStr">
        <is>
          <t>wml biotechnology private limited</t>
        </is>
      </c>
      <c r="C22" t="inlineStr">
        <is>
          <t>Software Development Intern</t>
        </is>
      </c>
      <c r="D22" t="inlineStr">
        <is>
          <t>https://in.jooble.org/desc/4099831401602454673?ckey=software+development+intern&amp;rgn=3193&amp;pos=7&amp;elckey=5529337816818264932&amp;p=1&amp;aq=-6815303575864467061&amp;cid=389&amp;jobAge=377&amp;brelb=10&amp;bscr=1477.376&amp;scr=1477.376</t>
        </is>
      </c>
      <c r="E22" t="inlineStr">
        <is>
          <t>AI Analyzer</t>
        </is>
      </c>
      <c r="F22" t="inlineStr">
        <is>
          <t>Bangalore</t>
        </is>
      </c>
      <c r="G22" t="inlineStr">
        <is>
          <t>Hybrid</t>
        </is>
      </c>
      <c r="I22" t="inlineStr">
        <is>
          <t>UNKNOWN</t>
        </is>
      </c>
      <c r="J22" t="inlineStr">
        <is>
          <t>UNKNOWN</t>
        </is>
      </c>
      <c r="K22" t="inlineStr">
        <is>
          <t>Website Development; Software Development</t>
        </is>
      </c>
      <c r="L22" t="inlineStr">
        <is>
          <t>Agriculture management software; Sales and marketing software</t>
        </is>
      </c>
      <c r="M22" t="inlineStr">
        <is>
          <t>&amp;nbsp;...Selected &lt;b&gt;Intern'&lt;/b&gt;s Day-to-day Responsibilities Include Work on &lt;b&gt;software &lt;/b&gt;agriculture management. Work on software agriculture seeds sales Work on plant sales and marketing software 4: website &lt;b&gt;development &lt;/b&gt; About Company: We apply world-class science and the most...&amp;nbsp;</t>
        </is>
      </c>
      <c r="N22" t="n">
        <v>38</v>
      </c>
      <c r="O22" t="n">
        <v>50</v>
      </c>
      <c r="P22" t="n">
        <v>60</v>
      </c>
      <c r="Q22" t="n">
        <v>60</v>
      </c>
      <c r="R22" t="n">
        <v>0</v>
      </c>
      <c r="S22" t="n">
        <v>0</v>
      </c>
      <c r="T22" t="n">
        <v>20</v>
      </c>
      <c r="U22" t="inlineStr">
        <is>
          <t>SKIP</t>
        </is>
      </c>
      <c r="V22" t="inlineStr">
        <is>
          <t>SKIP</t>
        </is>
      </c>
      <c r="X22" t="inlineStr">
        <is>
          <t>Amaanuddin_Ahmed_Resume.pdf</t>
        </is>
      </c>
      <c r="Y22" t="inlineStr">
        <is>
          <t>2026-10-02</t>
        </is>
      </c>
      <c r="Z22" t="inlineStr">
        <is>
          <t>Located in Bangalore and offers a software development internship role.</t>
        </is>
      </c>
      <c r="AA22" t="inlineStr">
        <is>
          <t>ELIGIBLE</t>
        </is>
      </c>
      <c r="AB22" t="inlineStr">
        <is>
          <t>Location matches preferred location (Bengaluru).; Role aligns with Software Engineer Intern target.</t>
        </is>
      </c>
      <c r="AC22" t="inlineStr">
        <is>
          <t>UNKNOWN</t>
        </is>
      </c>
      <c r="AD22" t="inlineStr">
        <is>
          <t>Not specified in profile</t>
        </is>
      </c>
      <c r="AE22" t="inlineStr">
        <is>
          <t>UNKNOWN</t>
        </is>
      </c>
      <c r="AF22" t="n">
        <v>0</v>
      </c>
      <c r="AG22" t="inlineStr">
        <is>
          <t>No</t>
        </is>
      </c>
      <c r="AH22" t="inlineStr">
        <is>
          <t>UNKNOWN</t>
        </is>
      </c>
      <c r="AI22" t="inlineStr">
        <is>
          <t>No mention of PPO or conversion in the job description.</t>
        </is>
      </c>
      <c r="AK22" t="inlineStr">
        <is>
          <t>Extremely vague job description; No stipend information provided; Unclear duration and expectations</t>
        </is>
      </c>
      <c r="AL22" t="inlineStr">
        <is>
          <t>Website development experience; Past full-stack projects; Availability and internship duration</t>
        </is>
      </c>
    </row>
    <row r="23">
      <c r="A23" t="inlineStr">
        <is>
          <t>DODO-PAYMENT-261002-22</t>
        </is>
      </c>
      <c r="B23" t="inlineStr">
        <is>
          <t>dodo payments</t>
        </is>
      </c>
      <c r="C23" t="inlineStr">
        <is>
          <t>Developer Relations Intern</t>
        </is>
      </c>
      <c r="D23" t="inlineStr">
        <is>
          <t>https://in.jooble.org/desc/-6984745115447187577?ckey=software+development+intern&amp;rgn=3193&amp;pos=10&amp;elckey=5529337816818264932&amp;p=1&amp;aq=-6815303575864467061&amp;cid=389&amp;jobAge=593&amp;brelb=10&amp;bscr=1417.7041&amp;scr=1417.7041</t>
        </is>
      </c>
      <c r="E23" t="inlineStr">
        <is>
          <t>AI Analyzer</t>
        </is>
      </c>
      <c r="F23" t="inlineStr">
        <is>
          <t>Bangalore</t>
        </is>
      </c>
      <c r="G23" t="inlineStr">
        <is>
          <t>Unknown</t>
        </is>
      </c>
      <c r="H23" t="inlineStr">
        <is>
          <t>Not specified</t>
        </is>
      </c>
      <c r="I23" t="inlineStr">
        <is>
          <t>Unknown</t>
        </is>
      </c>
      <c r="J23" t="inlineStr">
        <is>
          <t>Not Mentioned</t>
        </is>
      </c>
      <c r="K23" t="inlineStr">
        <is>
          <t>communication; management; coding; crm systems; technical support; software development; apis; documentation; community engagement; workflow</t>
        </is>
      </c>
      <c r="M23" t="inlineStr">
        <is>
          <t>&amp;nbsp;...About Us Dodo Payments is an &lt;b&gt;international &lt;/b&gt;payments platform (Merchant-of-record) that enables digital-first businesses to collect...&amp;nbsp;&amp;nbsp;...communication,management,coding,crm systems,technical support,&lt;b&gt;software development,&lt;/b&gt;apis,documentation,community engagement,workflow...&amp;nbsp;</t>
        </is>
      </c>
      <c r="N23" t="n">
        <v>43</v>
      </c>
      <c r="O23" t="n">
        <v>50</v>
      </c>
      <c r="P23" t="n">
        <v>60</v>
      </c>
      <c r="Q23" t="n">
        <v>40</v>
      </c>
      <c r="R23" t="n">
        <v>0</v>
      </c>
      <c r="S23" t="n">
        <v>50</v>
      </c>
      <c r="T23" t="n">
        <v>50</v>
      </c>
      <c r="U23" t="inlineStr">
        <is>
          <t>SKIP</t>
        </is>
      </c>
      <c r="V23" t="inlineStr">
        <is>
          <t>SKIP</t>
        </is>
      </c>
      <c r="W23" t="inlineStr">
        <is>
          <t>developer relations; crm systems; community engagement; documentation writing</t>
        </is>
      </c>
      <c r="X23" t="inlineStr">
        <is>
          <t>Standard Full Stack Resume</t>
        </is>
      </c>
      <c r="Y23" t="inlineStr">
        <is>
          <t>2026-10-02</t>
        </is>
      </c>
      <c r="Z23" t="inlineStr">
        <is>
          <t>Located in Bangalore; Involves software development and API exposure</t>
        </is>
      </c>
      <c r="AA23" t="inlineStr">
        <is>
          <t>Eligible</t>
        </is>
      </c>
      <c r="AB23" t="inlineStr">
        <is>
          <t>Location matches preferred location (Bangalore); Student status matches MCA program requirements</t>
        </is>
      </c>
      <c r="AC23" t="inlineStr">
        <is>
          <t>Unknown</t>
        </is>
      </c>
      <c r="AD23" t="inlineStr">
        <is>
          <t>Availability not explicitly specified in candidate profile</t>
        </is>
      </c>
      <c r="AE23" t="inlineStr">
        <is>
          <t>UNKNOWN</t>
        </is>
      </c>
      <c r="AF23" t="n">
        <v>0</v>
      </c>
      <c r="AG23" t="inlineStr">
        <is>
          <t>No</t>
        </is>
      </c>
      <c r="AH23" t="inlineStr">
        <is>
          <t>Not Mentioned</t>
        </is>
      </c>
      <c r="AI23" t="inlineStr">
        <is>
          <t>No mention of Pre-Placement Offer or conversion in the job description</t>
        </is>
      </c>
      <c r="AK23" t="inlineStr">
        <is>
          <t>Vague job description snippet scraped from website; Role is Developer Relations rather than core Software Engineering/Development</t>
        </is>
      </c>
      <c r="AL23" t="inlineStr">
        <is>
          <t>Experience building APIs and software development; Communication and technical writing skills; Community engagement and developer advocacy experience</t>
        </is>
      </c>
    </row>
    <row r="24">
      <c r="A24" t="inlineStr">
        <is>
          <t>YOURFRIENDLY-261002-23</t>
        </is>
      </c>
      <c r="B24" t="inlineStr">
        <is>
          <t>yourfriendlyhr</t>
        </is>
      </c>
      <c r="C24" t="inlineStr">
        <is>
          <t>Zoho Developer Intern</t>
        </is>
      </c>
      <c r="D24" t="inlineStr">
        <is>
          <t>https://in.jooble.org/desc/-2978863733155308719?ckey=software+development+intern&amp;rgn=3193&amp;pos=12&amp;elckey=5529337816818264932&amp;p=1&amp;aq=-6815303575864467061&amp;cid=389&amp;jobAge=89&amp;brelb=10&amp;bscr=1373.0248&amp;scr=1373.0248</t>
        </is>
      </c>
      <c r="E24" t="inlineStr">
        <is>
          <t>AI Analyzer</t>
        </is>
      </c>
      <c r="F24" t="inlineStr">
        <is>
          <t>Bangalore</t>
        </is>
      </c>
      <c r="G24" t="inlineStr">
        <is>
          <t>Unknown</t>
        </is>
      </c>
      <c r="H24" t="inlineStr">
        <is>
          <t>Not specified</t>
        </is>
      </c>
      <c r="I24" t="inlineStr">
        <is>
          <t>Unknown</t>
        </is>
      </c>
      <c r="J24" t="inlineStr">
        <is>
          <t>NOT_MENTIONED</t>
        </is>
      </c>
      <c r="K24" t="inlineStr">
        <is>
          <t>Zoho Development</t>
        </is>
      </c>
      <c r="L24" t="inlineStr">
        <is>
          <t>Software Development; API Integrations</t>
        </is>
      </c>
      <c r="M24" t="inlineStr">
        <is>
          <t>&amp;nbsp;...practical, scalable digital solutions. They work across custom &lt;b&gt;software development,&lt;/b&gt; web and mobile applications, UI/UX, API integrations, and...&amp;nbsp;&amp;nbsp;...technology consulting. The company is looking for a Zoho Developer &lt;b&gt;Intern &lt;/b&gt;who is curious about technology, enjoys solving problems, and...&amp;nbsp;</t>
        </is>
      </c>
      <c r="N24" t="n">
        <v>24</v>
      </c>
      <c r="O24" t="n">
        <v>20</v>
      </c>
      <c r="P24" t="n">
        <v>40</v>
      </c>
      <c r="Q24" t="n">
        <v>40</v>
      </c>
      <c r="R24" t="n">
        <v>0</v>
      </c>
      <c r="S24" t="n">
        <v>0</v>
      </c>
      <c r="T24" t="n">
        <v>40</v>
      </c>
      <c r="U24" t="inlineStr">
        <is>
          <t>SKIP</t>
        </is>
      </c>
      <c r="V24" t="inlineStr">
        <is>
          <t>SKIP</t>
        </is>
      </c>
      <c r="W24" t="inlineStr">
        <is>
          <t>Zoho Development</t>
        </is>
      </c>
      <c r="X24" t="inlineStr">
        <is>
          <t>Amaanuddin_Ahmed_Resume.pdf</t>
        </is>
      </c>
      <c r="Y24" t="inlineStr">
        <is>
          <t>2026-10-02</t>
        </is>
      </c>
      <c r="Z24" t="inlineStr">
        <is>
          <t>Located in Bangalore; Internship role in software development</t>
        </is>
      </c>
      <c r="AA24" t="inlineStr">
        <is>
          <t>ELIGIBLE</t>
        </is>
      </c>
      <c r="AB24" t="inlineStr">
        <is>
          <t>Location matches preferred location (Bangalore/Bengaluru).</t>
        </is>
      </c>
      <c r="AC24" t="inlineStr">
        <is>
          <t>UNKNOWN</t>
        </is>
      </c>
      <c r="AD24" t="inlineStr">
        <is>
          <t>Availability dates not mentioned in candidate profile.</t>
        </is>
      </c>
      <c r="AE24" t="inlineStr">
        <is>
          <t>UNKNOWN</t>
        </is>
      </c>
      <c r="AF24" t="n">
        <v>0</v>
      </c>
      <c r="AG24" t="inlineStr">
        <is>
          <t>No</t>
        </is>
      </c>
      <c r="AH24" t="inlineStr">
        <is>
          <t>NOT_MENTIONED</t>
        </is>
      </c>
      <c r="AI24" t="inlineStr">
        <is>
          <t>No mention of PPO or conversion in the job description snippet.</t>
        </is>
      </c>
      <c r="AK24" t="inlineStr">
        <is>
          <t>Vague job description snippet missing stipend, duration, and explicit Zoho technology details.</t>
        </is>
      </c>
      <c r="AL24" t="inlineStr">
        <is>
          <t>Zoho ecosystem experience (Deluge, Creator, CRM); API integrations; Custom software development workflows</t>
        </is>
      </c>
    </row>
    <row r="25">
      <c r="A25" t="inlineStr">
        <is>
          <t>GLOBALFOUNDR-261002-24</t>
        </is>
      </c>
      <c r="B25" t="inlineStr">
        <is>
          <t>Globalfoundries Engineering Private Limited</t>
        </is>
      </c>
      <c r="C25" t="inlineStr">
        <is>
          <t>Intern - QA Engineer</t>
        </is>
      </c>
      <c r="D25" t="inlineStr">
        <is>
          <t>https://in.jooble.org/desc/-8396505595416879628?ckey=software+development+intern&amp;rgn=3193&amp;pos=20&amp;elckey=5529337816818264932&amp;p=1&amp;aq=-6815303575864467061&amp;cid=389&amp;jobAge=857&amp;brelb=10&amp;bscr=1229.8323&amp;scr=1229.8323</t>
        </is>
      </c>
      <c r="E25" t="inlineStr">
        <is>
          <t>AI Analyzer</t>
        </is>
      </c>
      <c r="F25" t="inlineStr">
        <is>
          <t>Bangalore</t>
        </is>
      </c>
      <c r="G25" t="inlineStr">
        <is>
          <t>Unknown</t>
        </is>
      </c>
      <c r="H25" t="inlineStr">
        <is>
          <t>Rs 2.5 - 5.5 lakhs p.a.</t>
        </is>
      </c>
      <c r="I25" t="inlineStr">
        <is>
          <t>Unknown</t>
        </is>
      </c>
      <c r="J25" t="inlineStr">
        <is>
          <t>NOT_MENTIONED</t>
        </is>
      </c>
      <c r="K25" t="inlineStr">
        <is>
          <t>Software QA methodologies; Software Development Life Cycle (SDLC); Object-oriented programming</t>
        </is>
      </c>
      <c r="M25" t="inlineStr">
        <is>
          <t>&amp;nbsp;...wide range of applications and with specific efficient solutions based on the AUT. Your Job: Good understanding of the &lt;b&gt;software development/&lt;/b&gt;test life cycle and quality assurance Strong knowledge of software QA methodologies tools and processes Strong, object-oriented...&amp;nbsp;</t>
        </is>
      </c>
      <c r="N25" t="n">
        <v>45</v>
      </c>
      <c r="O25" t="n">
        <v>40</v>
      </c>
      <c r="P25" t="n">
        <v>50</v>
      </c>
      <c r="Q25" t="n">
        <v>45</v>
      </c>
      <c r="R25" t="n">
        <v>0</v>
      </c>
      <c r="S25" t="n">
        <v>100</v>
      </c>
      <c r="T25" t="n">
        <v>60</v>
      </c>
      <c r="U25" t="inlineStr">
        <is>
          <t>SKIP</t>
        </is>
      </c>
      <c r="V25" t="inlineStr">
        <is>
          <t>SKIP</t>
        </is>
      </c>
      <c r="W25" t="inlineStr">
        <is>
          <t>Software QA methodologies; QA tools and processes</t>
        </is>
      </c>
      <c r="X25" t="inlineStr">
        <is>
          <t>Amaanuddin_Ahmed_Resume.pdf</t>
        </is>
      </c>
      <c r="Y25" t="inlineStr">
        <is>
          <t>2026-10-02</t>
        </is>
      </c>
      <c r="Z25" t="inlineStr">
        <is>
          <t>Stipend is attractive and meets expectations; Location is in Bangalore</t>
        </is>
      </c>
      <c r="AA25" t="inlineStr">
        <is>
          <t>ELIGIBLE</t>
        </is>
      </c>
      <c r="AB25" t="inlineStr">
        <is>
          <t>Location matches preferred location (Bangalore); Compensation meets minimum expectations</t>
        </is>
      </c>
      <c r="AC25" t="inlineStr">
        <is>
          <t>UNKNOWN</t>
        </is>
      </c>
      <c r="AD25" t="inlineStr">
        <is>
          <t>Availability constraints not specified in profile</t>
        </is>
      </c>
      <c r="AE25" t="inlineStr">
        <is>
          <t>EXPLICIT</t>
        </is>
      </c>
      <c r="AF25" t="n">
        <v>250000</v>
      </c>
      <c r="AG25" t="inlineStr">
        <is>
          <t>No</t>
        </is>
      </c>
      <c r="AH25" t="inlineStr">
        <is>
          <t>NOT_MENTIONED</t>
        </is>
      </c>
      <c r="AI25" t="inlineStr">
        <is>
          <t>No mention of PPO or conversion in the short job description.</t>
        </is>
      </c>
      <c r="AK25" t="inlineStr">
        <is>
          <t>Role is QA Engineer whereas target roles are focused on Software Development and Full Stack/Backend Engineering</t>
        </is>
      </c>
      <c r="AL25" t="inlineStr">
        <is>
          <t>Software Testing Life Cycle (STLC); QA Methodologies and Tools; Object-Oriented Programming principles</t>
        </is>
      </c>
    </row>
    <row r="26">
      <c r="A26" t="inlineStr">
        <is>
          <t>EMO.ENERGY-261002-25</t>
        </is>
      </c>
      <c r="B26" t="inlineStr">
        <is>
          <t>emo.energy</t>
        </is>
      </c>
      <c r="C26" t="inlineStr">
        <is>
          <t>Full-Stack Developer</t>
        </is>
      </c>
      <c r="D26" t="inlineStr">
        <is>
          <t>https://in.jooble.org/desc/3071963684124717842?ckey=full+stack+developer+intern&amp;rgn=3193&amp;pos=1&amp;elckey=-5710832383287184165&amp;p=1&amp;aq=-6539674257181197563&amp;cid=389&amp;jobAge=593&amp;brelb=10&amp;bscr=1443.3765&amp;scr=1443.3765</t>
        </is>
      </c>
      <c r="E26" t="inlineStr">
        <is>
          <t>AI Analyzer</t>
        </is>
      </c>
      <c r="F26" t="inlineStr">
        <is>
          <t>Bangalore</t>
        </is>
      </c>
      <c r="G26" t="inlineStr">
        <is>
          <t>On-site</t>
        </is>
      </c>
      <c r="H26" t="inlineStr">
        <is>
          <t>Not specified</t>
        </is>
      </c>
      <c r="I26" t="inlineStr">
        <is>
          <t>Not specified</t>
        </is>
      </c>
      <c r="J26" t="inlineStr">
        <is>
          <t>UNKNOWN</t>
        </is>
      </c>
      <c r="K26" t="inlineStr">
        <is>
          <t>JavaScript; HTML5; CSS3; React; Angular; Express.js; Node.js; MongoDB; MySQL; Git</t>
        </is>
      </c>
      <c r="L26" t="inlineStr">
        <is>
          <t>Tailwind; Vue.js; Python</t>
        </is>
      </c>
      <c r="M26" t="inlineStr">
        <is>
          <t xml:space="preserve">[go to main page](https://in.jooble.org/)
Sign up to access all features of our service
Sign upLog inShare jobsAdd job posting / For companies
- Job search
- Favorites
- Create a CV
New
- [Salaries](https://in.jooble.org/salary)
- Subscriptions
Never miss new jobs in the app
[![Download from Google Play](https://in.jooble.org/assets/images/badges/gray/android/en.png)](https://jooble.onelink.me/CUK2/cdqezxyt)[![Download from App Store](https://in.jooble.org/assets/images/badges/gray/ios/en.png)](https://jooble.onelink.me/CUK2/cdqezxyt)
Company
- [About Jooble](https://in.jooble.org/info/about)
- [Careers](https://jooble.org/hiring)
- [Help Center](https://help.jooble.org/en/support/home)
- [Jobs in India](https://in.jooble.org/)
For Employers
- For ATS
- [Post a Job](https://in.jooble.org/post-a-job?source=footer)
For Job Seekers
- [Popular Searches](https://in.jooble.org/queries)
- [Find Salaries](https://in.jooble.org/salary)
- [Resume Checker](https://in.fitly.work/resume-checker)
Legal
- [Terms of Service](https://in.jooble.org/info/terms)
- [Privacy Policy](https://in.jooble.org/info/privacy)
- Cookie Settings
[Country: India](https://jooble.org/#countries)
© 2006-2026 [Jooble](https://in.jooble.org/)
# Full-Stack Developer
emo.energy
[Bangalore](https://in.jooble.org/jobs/Bangalore)
[Apply](https://in.jooble.org/away/3071963684124717842?p=1&amp;pos=0&amp;rgn=3193&amp;pageType=7&amp;cid=389&amp;jobAge=593&amp;scr=1443.3765&amp;bscr=1443.3765&amp;jdpSource=101&amp;jdpid=7953237669736068066&amp;crId=IN_6807728852492805051IN_3193)
This position requires local presence. Please view similar jobs below.
**Position: Full-Stack Developer**
**Location:  Bangalore**
**About Us**
**At EMO Energy, we're a fast-moving deep-tech startup revolutionizing the electric mobility space. We are building a complete end-to-end EV technology stack from high-performance battery systems to intelligent control electronics powering the next generation of electric vehicles. We thrive on innovation, speed, and real-world impact, building products from the ground up. If you want to build, scale, and own products that change how the world moves, this is your stage.**
**Job Summary**
**We're looking for a passionate Full-Stack Developer (Intern or Entry Level: 0–2 years) who can work with minimal guidance. You will primarily focus on front-end development while also contributing to back-end functionalities. Your role will involve building, maintaining, and improving both web applications and supporting backend systems.**
**What You Will Do**
**- Design, develop, and optimize responsive, user-friendly front-end interfaces using modern web technologies (React, Angular, Tailwind, Vue.js).**
**- Collaborate with designers, product managers, and engineering teams to understand requirements and deliver intuitive UI/UX.**
**- Implement interactive, modular, and reusable UI components ensuring consistency across devices and platforms.**
**- Optimize front-end performance for speed, scalability, and responsiveness.**
**- Work with back-end technologies (Express.js, Node.js, Python) to integrate APIs and support full-stack functionality.**
**- Assist in building and maintaining backend services, databases, and API endpoints as needed.**
**- Debug and troubleshoot both front-end and basic back-end issues, identifying root causes and implementing fixes.**
**- Maintain clean, well-documented, and structured code with clear project documentation and tech guides.**
**- Take ownership of tasks and modules, handling them with minimal supervision.**
**- Continuously learn and stay updated with the latest trends, tools, and best practices in full-stack development.**
**- Support ongoing maintenance and enhancement of internal tools, dashboards, apps, and website features.**
**What We're Looking For**
**- Currently pursuing or completed a Bachelor's/Master's degree in Computer Science, Software Engineering, or related fields.**
**- Proficiency in front-end technologies (HTML5, CSS3, Tailwind, JavaScript) and at least one major framework (React, Angular, or Vue.js).**
**- Basic working knowledge of back-end technologies (Express.js, Python) and RESTful API integration.**
**- Understanding of databases (MongoDB/MySQL) and basic schema concepts.**
**- Familiarity with Git and collaborative workflows and Strong debugging, analytical, and problem-solving skills.**
**- Ability to work independently with minimal guidance as well as collaborate effectively in a team environment.**
**- Eagerness to learn, adapt quickly, and take ownership of tasks in a fast-paced startup setting.**
**Why Join Us**
**- Be at the forefront of EV innovation, building technology that drives the future of mobility.**
**- Opportunity to own and lead modules end-to-end from idea to deployment.**
**- Fast-paced environment with immense learning and growth potential.**
**- Work with a world-class team of engineers, innovators, and problem-solvers.**
**- Competitive compensation with equity </t>
        </is>
      </c>
      <c r="N26" t="n">
        <v>78</v>
      </c>
      <c r="O26" t="n">
        <v>90</v>
      </c>
      <c r="P26" t="n">
        <v>85</v>
      </c>
      <c r="Q26" t="n">
        <v>90</v>
      </c>
      <c r="R26" t="n">
        <v>50</v>
      </c>
      <c r="S26" t="n">
        <v>50</v>
      </c>
      <c r="T26" t="n">
        <v>85</v>
      </c>
      <c r="U26" t="inlineStr">
        <is>
          <t>CONSIDER</t>
        </is>
      </c>
      <c r="V26" t="inlineStr">
        <is>
          <t>CONSIDER</t>
        </is>
      </c>
      <c r="W26" t="inlineStr">
        <is>
          <t>Tailwind; Vue.js</t>
        </is>
      </c>
      <c r="X26" t="inlineStr">
        <is>
          <t>Default Full-Stack / Angular Resume</t>
        </is>
      </c>
      <c r="Y26" t="inlineStr">
        <is>
          <t>2026-10-02</t>
        </is>
      </c>
      <c r="Z26" t="inlineStr">
        <is>
          <t>Strong technical alignment with demonstrated Angular, Node.js, Express, and MySQL/MongoDB experience; Local presence in Bangalore satisfying the on-site requirement; Exciting deep-tech startup environment in the EV space offering hands-on full-stack ownership</t>
        </is>
      </c>
      <c r="AA26" t="inlineStr">
        <is>
          <t>ELIGIBLE</t>
        </is>
      </c>
      <c r="AB26" t="inlineStr">
        <is>
          <t>Currently pursuing Master's in Computer Science (MCA) matching the degree requirements; Local presence in Bangalore matches the location requirement</t>
        </is>
      </c>
      <c r="AC26" t="inlineStr">
        <is>
          <t>UNKNOWN</t>
        </is>
      </c>
      <c r="AD26" t="inlineStr">
        <is>
          <t>Not specified in candidate profile</t>
        </is>
      </c>
      <c r="AE26" t="inlineStr">
        <is>
          <t>UNKNOWN</t>
        </is>
      </c>
      <c r="AF26" t="n">
        <v>0</v>
      </c>
      <c r="AG26" t="inlineStr">
        <is>
          <t>No</t>
        </is>
      </c>
      <c r="AH26" t="inlineStr">
        <is>
          <t>UNKNOWN</t>
        </is>
      </c>
      <c r="AI26" t="inlineStr">
        <is>
          <t>Not explicitly mentioned in the job description</t>
        </is>
      </c>
      <c r="AL26" t="inlineStr">
        <is>
          <t>Angular and React architectural patterns; RESTful API design and database optimization with MySQL/MongoDB; Previous full-stack production and POS system development experience at Sunflower Trip</t>
        </is>
      </c>
    </row>
    <row r="27">
      <c r="A27" t="inlineStr">
        <is>
          <t>PANIKCURE-261002-26</t>
        </is>
      </c>
      <c r="B27" t="inlineStr">
        <is>
          <t>panikcure</t>
        </is>
      </c>
      <c r="C27" t="inlineStr">
        <is>
          <t>Full Stack Developer Intern</t>
        </is>
      </c>
      <c r="D27" t="inlineStr">
        <is>
          <t>https://in.jooble.org/desc/-3123247519826094573?ckey=full+stack+developer+intern&amp;rgn=3193&amp;pos=2&amp;elckey=-5710832383287184165&amp;p=1&amp;aq=-6539674257181197563&amp;cid=389&amp;jobAge=593&amp;brelb=10&amp;bscr=1436.4996&amp;scr=1436.4996</t>
        </is>
      </c>
      <c r="E27" t="inlineStr">
        <is>
          <t>AI Analyzer</t>
        </is>
      </c>
      <c r="F27" t="inlineStr">
        <is>
          <t>Bangalore</t>
        </is>
      </c>
      <c r="G27" t="inlineStr">
        <is>
          <t>Remote</t>
        </is>
      </c>
      <c r="H27" t="inlineStr">
        <is>
          <t>Paid</t>
        </is>
      </c>
      <c r="I27" t="inlineStr">
        <is>
          <t>8-12 weeks</t>
        </is>
      </c>
      <c r="J27" t="inlineStr">
        <is>
          <t>NO_MENTION</t>
        </is>
      </c>
      <c r="K27" t="inlineStr">
        <is>
          <t>React.js; Next.js; Node.js; Firebase; Supabase; REST APIs; Figma</t>
        </is>
      </c>
      <c r="L27" t="inlineStr">
        <is>
          <t>JSON; Vercel; Netlify</t>
        </is>
      </c>
      <c r="M27" t="inlineStr">
        <is>
          <t>[go to main page](https://in.jooble.org/)
Sign up to access all features of our service
Sign upLog inShare jobsAdd job posting / For companies
- Job search
- Favorites
- Create a CV
New
- [Salaries](https://in.jooble.org/salary)
- Subscriptions
Never miss new jobs in the app
[![Download from Google Play](https://in.jooble.org/assets/images/badges/gray/android/en.png)](https://jooble.onelink.me/CUK2/cdqezxyt)[![Download from App Store](https://in.jooble.org/assets/images/badges/gray/ios/en.png)](https://jooble.onelink.me/CUK2/cdqezxyt)
Company
- [About Jooble](https://in.jooble.org/info/about)
- [Careers](https://jooble.org/hiring)
- [Help Center](https://help.jooble.org/en/support/home)
- [Jobs in India](https://in.jooble.org/)
For Employers
- For ATS
- [Post a Job](https://in.jooble.org/post-a-job?source=footer)
For Job Seekers
- [Popular Searches](https://in.jooble.org/queries)
- [Find Salaries](https://in.jooble.org/salary)
- [Resume Checker](https://in.fitly.work/resume-checker)
Legal
- [Terms of Service](https://in.jooble.org/info/terms)
- [Privacy Policy](https://in.jooble.org/info/privacy)
- Cookie Settings
[Country: India](https://jooble.org/#countries)
© 2006-2026 [Jooble](https://in.jooble.org/)
Full-Stack Developer
emo.energy
[Bangalore](https://in.jooble.org/jobs/Bangalore)
[Apply](https://in.jooble.org/away/3071963684124717842?p=1&amp;pos=0&amp;rgn=3193&amp;pageType=7&amp;cid=389&amp;jobAge=593&amp;scr=1443.3765&amp;bscr=1443.3765&amp;jdpSource=101&amp;jdpid=-7164771931138052305&amp;crId=IN_6807728852492805051IN_3193)
This position requires local presence. Please view similar jobs below.
**Position: Full-Stack Developer**
**Location:  Bangalore**
**About Us**
**At EMO Energy, we're a fast-moving deep-tech startup revolutionizing the electric mobility space. We are building a complete end-to-end EV technology stack from high-performance battery systems to intelligent control electronics powering the next generation of electric vehicles. We thrive on innovation, speed, and real-world impact, building products from the ground up. If you want to build, scale, and own products that change how the world moves, this is your stage.**
**Job Summary**
**We're looking for a passionate Full-Stack Developer (Intern or Entry Level: 0–2 years) who can work with minimal guidance. You will primarily focus on front-end development while also contributing to back-end functionalities. Your role will involve building, maintaining, and improving both web applications and supporting backend systems.**
**What You Will Do**
**- Design, develop, and optimize responsive, user-friendly front-end interfaces using modern web technologies (React, Angular, Tailwind, Vue.js).**
**- Collaborate with designers, product managers, and engineering teams to understand requirements and deliver intuitive UI/UX.**
**- Implement interactive, modular, and reusable UI components ensuring consistency across devices and platforms.**
**- Optimize front-end performance for speed, scalability, and responsiveness.**
**- Work with back-end technologies (Express.js, Node.js, Python) to integrate APIs and support full-stack functionality.**
**- Assist in building and maintaining backend services, databases, and API endpoints as needed.**
**- Debug and troubleshoot both front-end and basic back-end issues, identifying root causes and implementing fixes.**
**- Maintain clean, well-documented, and structured code with clear project documentation and tech guides.**
**- Take ownership of tasks and modules, handling them with minimal supervision.**
**- Continuously learn and stay updated with the latest trends, tools, and best practices in full-stack development.**
**- Support ongoing maintenance and enhancement of internal tools, dashboards, apps, and website features.**
**What We're Looking For**
**- Currently pursuing or completed a Bachelor's/Master's degree in Computer Science, Software Engineering, or related fields.**
**- Proficiency in front-end technologies (HTML5, CSS3, Tailwind, JavaScript) and at least one major framework (React, Angular, or Vue.js).**
**- Basic working knowledge of back-end technologies (Express.js, Python) and RESTful API integration.**
**- Understanding of databases (MongoDB/MySQL) and basic schema concepts.**
**- Familiarity with Git and collaborative workflows and Strong debugging, analytical, and problem-solving skills.**
**- Ability to work independently with minimal guidance as well as collaborate effectively in a team environment.**
**- Eagerness to learn, adapt quickly, and take ownership of tasks in a fast-paced startup setting.**
**Why Join Us**
**- Be at the forefront of EV innovation, building technology that drives the future of mobility.**
**- Opportunity to own and lead modules end-to-end from idea to deployment.**
**- Fast-paced environment with immense learning and growth potential.**
**- Work with a world-class team of engineers, innovators, and problem-solvers.**
**- Competitive compensation with equity o</t>
        </is>
      </c>
      <c r="N27" t="n">
        <v>69</v>
      </c>
      <c r="O27" t="n">
        <v>75</v>
      </c>
      <c r="P27" t="n">
        <v>80</v>
      </c>
      <c r="Q27" t="n">
        <v>90</v>
      </c>
      <c r="R27" t="n">
        <v>40</v>
      </c>
      <c r="S27" t="n">
        <v>50</v>
      </c>
      <c r="T27" t="n">
        <v>60</v>
      </c>
      <c r="U27" t="inlineStr">
        <is>
          <t>STRETCH</t>
        </is>
      </c>
      <c r="V27" t="inlineStr">
        <is>
          <t>STRETCH</t>
        </is>
      </c>
      <c r="W27" t="inlineStr">
        <is>
          <t>React.js; Next.js; Firebase; Supabase; Netlify</t>
        </is>
      </c>
      <c r="X27" t="inlineStr">
        <is>
          <t>Default Full Stack / MERN Resume</t>
        </is>
      </c>
      <c r="Y27" t="inlineStr">
        <is>
          <t>2026-10-02</t>
        </is>
      </c>
      <c r="Z27" t="inlineStr">
        <is>
          <t>Matches target Full Stack Developer Intern role perfectly.; Flexible remote hours and short duration (8-12 weeks) fit well around academic schedule.</t>
        </is>
      </c>
      <c r="AA27" t="inlineStr">
        <is>
          <t>ELIGIBLE</t>
        </is>
      </c>
      <c r="AB27" t="inlineStr">
        <is>
          <t>Candidate is a student pursuing an MCA degree making them eligible for student/graduate internships.; No hard blockers found.</t>
        </is>
      </c>
      <c r="AC27" t="inlineStr">
        <is>
          <t>UNKNOWN</t>
        </is>
      </c>
      <c r="AD27" t="inlineStr">
        <is>
          <t>Candidate availability dates are not specified relative to the start date.</t>
        </is>
      </c>
      <c r="AE27" t="inlineStr">
        <is>
          <t>UNKNOWN</t>
        </is>
      </c>
      <c r="AF27" t="n">
        <v>0</v>
      </c>
      <c r="AG27" t="inlineStr">
        <is>
          <t>No</t>
        </is>
      </c>
      <c r="AH27" t="inlineStr">
        <is>
          <t>NO_MENTION</t>
        </is>
      </c>
      <c r="AI27" t="inlineStr">
        <is>
          <t>The job description does not mention conversion to a full-time role (PPO).</t>
        </is>
      </c>
      <c r="AK27" t="inlineStr">
        <is>
          <t>Stipend amount is undisclosed ('Paid'); Early-stage innovation project with unclear longevity</t>
        </is>
      </c>
      <c r="AL27" t="inlineStr">
        <is>
          <t>React.js and Node.js integration experience; Figma mockup translation workflow; Experience with serverless databases like Firebase or Supabase</t>
        </is>
      </c>
    </row>
    <row r="28">
      <c r="A28" t="inlineStr">
        <is>
          <t>EMO.ENERGY-261002-27</t>
        </is>
      </c>
      <c r="B28" t="inlineStr">
        <is>
          <t>emo.energy</t>
        </is>
      </c>
      <c r="C28" t="inlineStr">
        <is>
          <t>Full-Stack Developer Intern</t>
        </is>
      </c>
      <c r="D28" t="inlineStr">
        <is>
          <t>https://in.jooble.org/desc/-2588912263494949841?ckey=full+stack+developer+intern&amp;rgn=3193&amp;pos=3&amp;elckey=-5710832383287184165&amp;p=1&amp;aq=-6539674257181197563&amp;cid=389&amp;jobAge=593&amp;brelb=10&amp;bscr=1369.7357&amp;scr=1369.7357</t>
        </is>
      </c>
      <c r="E28" t="inlineStr">
        <is>
          <t>AI Analyzer</t>
        </is>
      </c>
      <c r="F28" t="inlineStr">
        <is>
          <t>Bangalore</t>
        </is>
      </c>
      <c r="G28" t="inlineStr">
        <is>
          <t>On-site</t>
        </is>
      </c>
      <c r="H28" t="inlineStr">
        <is>
          <t>Paid internship (exact amount not specified)</t>
        </is>
      </c>
      <c r="I28" t="inlineStr">
        <is>
          <t>Not specified</t>
        </is>
      </c>
      <c r="J28" t="inlineStr">
        <is>
          <t>NOT_MENTIONED</t>
        </is>
      </c>
      <c r="K28" t="inlineStr">
        <is>
          <t>HTML5; CSS3; JavaScript; React; Angular; Vue.js; Node.js; Python; Git</t>
        </is>
      </c>
      <c r="L28" t="inlineStr">
        <is>
          <t>UI/UX design principles; Tailwind CSS; Bootstrap; AWS; Azure; Docker; Agile or Scrum</t>
        </is>
      </c>
      <c r="M28" t="inlineStr">
        <is>
          <t>[go to main page](https://in.jooble.org/)
Sign up to access all features of our service
Sign upLog inShare jobsAdd job posting / For companies
- Job search
- Favorites
- Create a CV
New
- [Salaries](https://in.jooble.org/salary)
- Subscriptions
Never miss new jobs in the app
[![Download from Google Play](https://in.jooble.org/assets/images/badges/gray/android/en.png)](https://jooble.onelink.me/CUK2/cdqezxyt)[![Download from App Store](https://in.jooble.org/assets/images/badges/gray/ios/en.png)](https://jooble.onelink.me/CUK2/cdqezxyt)
Company
- [About Jooble](https://in.jooble.org/info/about)
- [Careers](https://jooble.org/hiring)
- [Help Center](https://help.jooble.org/en/support/home)
- [Jobs in India](https://in.jooble.org/)
For Employers
- For ATS
- [Post a Job](https://in.jooble.org/post-a-job?source=footer)
For Job Seekers
- [Popular Searches](https://in.jooble.org/queries)
- [Find Salaries](https://in.jooble.org/salary)
- [Resume Checker](https://in.fitly.work/resume-checker)
Legal
- [Terms of Service](https://in.jooble.org/info/terms)
- [Privacy Policy](https://in.jooble.org/info/privacy)
- Cookie Settings
[Country: India](https://jooble.org/#countries)
© 2006-2026 [Jooble](https://in.jooble.org/)
Full Stack Developer Intern
panikcure
[Bangalore](https://in.jooble.org/jobs/Bangalore)
[Apply](https://in.jooble.org/away/-3123247519826094573?p=1&amp;pos=0&amp;rgn=3193&amp;pageType=7&amp;cid=389&amp;jobAge=593&amp;scr=1436.4996&amp;bscr=1436.4996&amp;jdpSource=101&amp;jdpid=8195190032022226080&amp;crId=IN_6807728852492805051IN_3193)
This position requires local presence. Please view similar jobs below.
_Panikcure™_ is an early-stage innovation project exploring AI-driven, non-addictive mental-health solutions.
We're looking for a **Full Stack Developer Intern** . You'll work closely with a small, cross-functional team to turn UI/UX designs into a functional web product that demonstrates the platform's core concept.
**Who We're Looking For**
Students or recent grads with:
- Proficiency in **React.js / Next.js / Node.js**
- Familiarity with **Firebase / Supabase** (auth + database)
- Strong understanding of **frontend–backend integration**
- Experience with **REST APIs, JSON, hosting on Vercel/Netlify**
- Ability to work from **Figma mockups** and follow design guidelines
**Details:**
- Duration: 8–12 weeks (remote, flexible hours)
- Stipend: Paid
To Apply, send your portfolio + 1-page resume to **\[HIDDEN TEXT\]** with the subject:
_'_ Full Stack Developer Intern _– \[Your Name\]'_
[Apply](https://in.jooble.org/away/-3123247519826094573?p=1&amp;pos=0&amp;rgn=3193&amp;pageType=7&amp;cid=389&amp;jobAge=593&amp;scr=1436.4996&amp;bscr=1436.4996&amp;jdpSource=101&amp;jdpid=8195190032022226080&amp;crId=IN_6807728852492805051IN_3193)
# Full-Stack Developer Intern
emo.energy
[Bangalore](https://in.jooble.org/jobs/Bangalore)
[Apply](https://in.jooble.org/away/-2588912263494949841?p=1&amp;pos=0&amp;rgn=3193&amp;pageType=7&amp;cid=389&amp;jobAge=593&amp;scr=1369.7357&amp;bscr=1369.7357&amp;jdpSource=101&amp;jdpid=549999956158650884&amp;crId=IN_6807728852492805051IN_3193)
This position requires local presence. Please view similar jobs below.
**About Us**
**At EMO Energy, we are a dynamic deep-tech startup revolutionizing the future of mobility by building a comprehensive end-to-end EV Stack. From high-performance battery systems to cutting-edge control electronics, we are creating the building blocks of next-generation electric vehicles. As we expand rapidly, we're looking for driven and passionate individuals to join our mission of enabling sustainable and electrified transportation.**
**Job Overview**
**As a Full-Stack Developer Intern, you will work primarily on front-end development while also gaining exposure to back-end technologies. Your main focus will be designing, developing, and optimizing user-friendly web-based interfaces, while also supporting back-end integration as needed.**
**Key Responsibilities**
**- Design, develop, and optimize responsive, user-friendly front-end interfaces using modern web technologies (React, Angular, Vue.js).**
**- Collaborate with cross-functional teams, including designers and product managers, to understand requirements and deliver intuitive user interfaces.**
**- Implement interactive and dynamic UI components, ensuring consistent user experience across platforms.**
**- Optimize front-end performance for speed, scalability, and responsiveness.**
**- Work with back-end technologies (Node.js, Python) to integrate APIs and support full-stack functionality.**
**- Debug and troubleshoot both front-end and basic back-end issues, identifying and fixing bugs.**
**- Maintain clear and organized project documentation, including code comments and technical guides.**
**- Continuously learn about the latest trends and best practices in front-end and full-stack development.**
**Qualifications**
**- Currently pursuing a Bachelor's or Master's degree in Computer Science, Software Engineering, or a related field.**
**- Proficiency in front-end technologies (</t>
        </is>
      </c>
      <c r="N28" t="n">
        <v>72</v>
      </c>
      <c r="O28" t="n">
        <v>80</v>
      </c>
      <c r="P28" t="n">
        <v>85</v>
      </c>
      <c r="Q28" t="n">
        <v>90</v>
      </c>
      <c r="R28" t="n">
        <v>40</v>
      </c>
      <c r="S28" t="n">
        <v>50</v>
      </c>
      <c r="T28" t="n">
        <v>70</v>
      </c>
      <c r="U28" t="inlineStr">
        <is>
          <t>CONSIDER</t>
        </is>
      </c>
      <c r="V28" t="inlineStr">
        <is>
          <t>CONSIDER</t>
        </is>
      </c>
      <c r="W28" t="inlineStr">
        <is>
          <t>React; Vue.js; Python</t>
        </is>
      </c>
      <c r="X28" t="inlineStr">
        <is>
          <t>Standard Full Stack / Angular &amp; Node.js focused resume</t>
        </is>
      </c>
      <c r="Y28" t="inlineStr">
        <is>
          <t>2026-10-02</t>
        </is>
      </c>
      <c r="Z28" t="inlineStr">
        <is>
          <t>Matches target role for Full Stack Developer Intern in Bengaluru with local presence requirement met.; Good alignment with core demonstrated skills like Angular, Node.js, and Git.; Deep-tech startup in the EV space provides solid learning and domain exposure.</t>
        </is>
      </c>
      <c r="AA28" t="inlineStr">
        <is>
          <t>ELIGIBLE</t>
        </is>
      </c>
      <c r="AB28" t="inlineStr">
        <is>
          <t>Currently pursuing Master's degree in Computer Science or related field (MCA at PES University)</t>
        </is>
      </c>
      <c r="AC28" t="inlineStr">
        <is>
          <t>UNKNOWN</t>
        </is>
      </c>
      <c r="AD28" t="inlineStr">
        <is>
          <t>Candidate availability dates are not specified in the career brain against the job timeline.</t>
        </is>
      </c>
      <c r="AE28" t="inlineStr">
        <is>
          <t>UNKNOWN</t>
        </is>
      </c>
      <c r="AF28" t="n">
        <v>0</v>
      </c>
      <c r="AG28" t="inlineStr">
        <is>
          <t>No</t>
        </is>
      </c>
      <c r="AH28" t="inlineStr">
        <is>
          <t>NOT_MENTIONED</t>
        </is>
      </c>
      <c r="AI28" t="inlineStr">
        <is>
          <t>No mention of a Pre-Placement Offer (PPO) or conversion in the job description.</t>
        </is>
      </c>
      <c r="AK28" t="inlineStr">
        <is>
          <t>Stipend amount is undisclosed ('Paid' without numbers)</t>
        </is>
      </c>
      <c r="AL28" t="inlineStr">
        <is>
          <t>Full-stack integration using Node.js and frontend frameworks; RESTful API design and database integration; Git workflow and version control best practices; Previous full-stack project architecture (Sunflower Trip or Restaurant POS)</t>
        </is>
      </c>
    </row>
    <row r="29">
      <c r="A29" t="inlineStr">
        <is>
          <t>TRADEGOSPEL-261002-28</t>
        </is>
      </c>
      <c r="B29" t="inlineStr">
        <is>
          <t>tradegospel</t>
        </is>
      </c>
      <c r="C29" t="inlineStr">
        <is>
          <t>Full Stack Developer Intern</t>
        </is>
      </c>
      <c r="D29" t="inlineStr">
        <is>
          <t>https://in.jooble.org/desc/-4062499930695493919?ckey=full+stack+developer+intern&amp;rgn=3193&amp;pos=4&amp;elckey=-5710832383287184165&amp;p=1&amp;aq=-6539674257181197563&amp;cid=389&amp;jobAge=857&amp;brelb=10&amp;bscr=1308.4613&amp;scr=1308.4613</t>
        </is>
      </c>
      <c r="E29" t="inlineStr">
        <is>
          <t>AI Analyzer</t>
        </is>
      </c>
      <c r="F29" t="inlineStr">
        <is>
          <t>Bengaluru</t>
        </is>
      </c>
      <c r="G29" t="inlineStr">
        <is>
          <t>Remote</t>
        </is>
      </c>
      <c r="H29" t="inlineStr">
        <is>
          <t>5,000 per month</t>
        </is>
      </c>
      <c r="I29" t="inlineStr">
        <is>
          <t>3 months</t>
        </is>
      </c>
      <c r="J29" t="inlineStr">
        <is>
          <t>not_mentioned</t>
        </is>
      </c>
      <c r="K29" t="inlineStr">
        <is>
          <t>React.js; Next.js; Node.js; MongoDB; Postman; AWS; Git; GitHub</t>
        </is>
      </c>
      <c r="M29" t="inlineStr">
        <is>
          <t>[go to main page](https://in.jooble.org/)
Sign up to access all features of our service
Sign upLog inShare jobsAdd job posting / For companies
- Job search
- Favorites
- Create a CV
New
- [Salaries](https://in.jooble.org/salary)
- Subscriptions
Never miss new jobs in the app
[![Download from Google Play](https://in.jooble.org/assets/images/badges/gray/android/en.png)](https://jooble.onelink.me/CUK2/cdqezxyt)[![Download from App Store](https://in.jooble.org/assets/images/badges/gray/ios/en.png)](https://jooble.onelink.me/CUK2/cdqezxyt)
Company
- [About Jooble](https://in.jooble.org/info/about)
- [Careers](https://jooble.org/hiring)
- [Help Center](https://help.jooble.org/en/support/home)
- [Jobs in India](https://in.jooble.org/)
For Employers
- For ATS
- [Post a Job](https://in.jooble.org/post-a-job?source=footer)
For Job Seekers
- [Popular Searches](https://in.jooble.org/queries)
- [Find Salaries](https://in.jooble.org/salary)
- [Resume Checker](https://in.fitly.work/resume-checker)
Legal
- [Terms of Service](https://in.jooble.org/info/terms)
- [Privacy Policy](https://in.jooble.org/info/privacy)
- Cookie Settings
[Country: India](https://jooble.org/#countries)
© 2006-2026 [Jooble](https://in.jooble.org/)
Full-Stack Developer Intern
emo.energy
[Bangalore](https://in.jooble.org/jobs/Bangalore)
[Apply](https://in.jooble.org/away/-2588912263494949841?p=1&amp;pos=0&amp;rgn=3193&amp;pageType=7&amp;cid=389&amp;jobAge=593&amp;scr=1369.7357&amp;bscr=1369.7357&amp;jdpSource=101&amp;jdpid=4464405208634502770&amp;crId=IN_6807728852492805051IN_3193)
This position requires local presence. Please view similar jobs below.
**About Us**
**At EMO Energy, we are a dynamic deep-tech startup revolutionizing the future of mobility by building a comprehensive end-to-end EV Stack. From high-performance battery systems to cutting-edge control electronics, we are creating the building blocks of next-generation electric vehicles. As we expand rapidly, we're looking for driven and passionate individuals to join our mission of enabling sustainable and electrified transportation.**
**Job Overview**
**As a Full-Stack Developer Intern, you will work primarily on front-end development while also gaining exposure to back-end technologies. Your main focus will be designing, developing, and optimizing user-friendly web-based interfaces, while also supporting back-end integration as needed.**
**Key Responsibilities**
**- Design, develop, and optimize responsive, user-friendly front-end interfaces using modern web technologies (React, Angular, Vue.js).**
**- Collaborate with cross-functional teams, including designers and product managers, to understand requirements and deliver intuitive user interfaces.**
**- Implement interactive and dynamic UI components, ensuring consistent user experience across platforms.**
**- Optimize front-end performance for speed, scalability, and responsiveness.**
**- Work with back-end technologies (Node.js, Python) to integrate APIs and support full-stack functionality.**
**- Debug and troubleshoot both front-end and basic back-end issues, identifying and fixing bugs.**
**- Maintain clear and organized project documentation, including code comments and technical guides.**
**- Continuously learn about the latest trends and best practices in front-end and full-stack development.**
**Qualifications**
**- Currently pursuing a Bachelor's or Master's degree in Computer Science, Software Engineering, or a related field.**
**- Proficiency in front-end technologies (HTML5, CSS3, JavaScript) and frameworks (React, Angular, or Vue.js).**
**- Basic knowledge of back-end technologies (Node.js, Python) and RESTful API integration.**
**- Familiarity with version control systems (Git).**
**- Strong debugging and problem-solving skills.**
**- Ability to work both independently and as part of a team.**
**Preferred Skills**
**- Experience with UI/UX design principles.**
**- Familiarity with CSS frameworks (Tailwind CSS, Bootstrap).**
**- Basic knowledge of cloud platforms (AWS, Azure) and containerization (Docker).**
**- Understanding of Agile or Scrum methodologies.**
**Note:  This is a paid internship.Skills: node.js,scrum,interfaces,tailwind css,react,agile,docker,bootstrap,git,python,ui/ux design principles,azure,ui/ux design,platforms,javascript,css,angular,aws,vue.js,restful api,css3,html5**
[Apply](https://in.jooble.org/away/-2588912263494949841?p=1&amp;pos=0&amp;rgn=3193&amp;pageType=7&amp;cid=389&amp;jobAge=593&amp;scr=1369.7357&amp;bscr=1369.7357&amp;jdpSource=101&amp;jdpid=4464405208634502770&amp;crId=IN_6807728852492805051IN_3193)
# Full Stack Developer Intern
tradegospel
[Bangalore](https://in.jooble.org/jobs/Bangalore)
[Apply](https://in.jooble.org/away/-4062499930695493919?p=1&amp;pos=0&amp;rgn=3193&amp;pageType=7&amp;cid=389&amp;jobAge=857&amp;scr=1308.4613&amp;bscr=1308.4613&amp;jdpSource=101&amp;jdpid=5140140488545080124&amp;crId=IN_6807728852492805051IN_3193)
This position requires local presence. Please view similar jobs below.
About the job
At **TradeGospel** ( we are building techno</t>
        </is>
      </c>
      <c r="N29" t="n">
        <v>49</v>
      </c>
      <c r="O29" t="n">
        <v>60</v>
      </c>
      <c r="P29" t="n">
        <v>70</v>
      </c>
      <c r="Q29" t="n">
        <v>80</v>
      </c>
      <c r="R29" t="n">
        <v>0</v>
      </c>
      <c r="S29" t="n">
        <v>10</v>
      </c>
      <c r="T29" t="n">
        <v>40</v>
      </c>
      <c r="U29" t="inlineStr">
        <is>
          <t>SKIP</t>
        </is>
      </c>
      <c r="V29" t="inlineStr">
        <is>
          <t>SKIP</t>
        </is>
      </c>
      <c r="W29" t="inlineStr">
        <is>
          <t>Next.js; Postman; AWS</t>
        </is>
      </c>
      <c r="X29" t="inlineStr">
        <is>
          <t>Amaanuddin_Ahmed_Resume.pdf</t>
        </is>
      </c>
      <c r="Y29" t="inlineStr">
        <is>
          <t>2026-10-02</t>
        </is>
      </c>
      <c r="Z29" t="inlineStr">
        <is>
          <t>Matches target role of Full Stack Developer Intern; Gives exposure to React and Node stack</t>
        </is>
      </c>
      <c r="AA29" t="inlineStr">
        <is>
          <t>eligible</t>
        </is>
      </c>
      <c r="AB29" t="inlineStr">
        <is>
          <t>Currently pursuing an eligible degree in Computer Science or related field; Meets general education and background requirements</t>
        </is>
      </c>
      <c r="AC29" t="inlineStr">
        <is>
          <t>unknown</t>
        </is>
      </c>
      <c r="AD29" t="inlineStr">
        <is>
          <t>Availability not explicitly stated in candidate profile</t>
        </is>
      </c>
      <c r="AE29" t="inlineStr">
        <is>
          <t>below_target</t>
        </is>
      </c>
      <c r="AF29" t="n">
        <v>5000</v>
      </c>
      <c r="AG29" t="inlineStr">
        <is>
          <t>No</t>
        </is>
      </c>
      <c r="AH29" t="inlineStr">
        <is>
          <t>not_mentioned</t>
        </is>
      </c>
      <c r="AI29" t="inlineStr">
        <is>
          <t>No mention of PPO or conversion in the job description</t>
        </is>
      </c>
      <c r="AK29" t="inlineStr">
        <is>
          <t>Stipend of 5,000 per month is significantly below the candidate's minimum target of 25,000 per month; Low opportunity quality and low stipend</t>
        </is>
      </c>
      <c r="AL29" t="inlineStr">
        <is>
          <t>React.js and Next.js fundamentals; Node.js and MongoDB database operations; API testing with Postman; Basic deployment and management on AWS</t>
        </is>
      </c>
    </row>
    <row r="30">
      <c r="A30" t="inlineStr">
        <is>
          <t>RP-INFOCARE--261002-29</t>
        </is>
      </c>
      <c r="B30" t="inlineStr">
        <is>
          <t>rp infocare pvt ltd</t>
        </is>
      </c>
      <c r="C30" t="inlineStr">
        <is>
          <t>Full Stack Web developer Intern- React, PHP</t>
        </is>
      </c>
      <c r="D30" t="inlineStr">
        <is>
          <t>https://in.jooble.org/desc/-5507068087024381505?ckey=full+stack+developer+intern&amp;rgn=3193&amp;pos=5&amp;elckey=-5710832383287184165&amp;p=1&amp;aq=-6539674257181197563&amp;cid=389&amp;jobAge=593&amp;brelb=10&amp;bscr=1255.5562&amp;scr=1255.5562</t>
        </is>
      </c>
      <c r="E30" t="inlineStr">
        <is>
          <t>AI Analyzer</t>
        </is>
      </c>
      <c r="F30" t="inlineStr">
        <is>
          <t>Bengaluru</t>
        </is>
      </c>
      <c r="G30" t="inlineStr">
        <is>
          <t>on-site</t>
        </is>
      </c>
      <c r="H30" t="inlineStr">
        <is>
          <t>NON PAID</t>
        </is>
      </c>
      <c r="I30" t="inlineStr">
        <is>
          <t>unknown</t>
        </is>
      </c>
      <c r="J30" t="inlineStr">
        <is>
          <t>none</t>
        </is>
      </c>
      <c r="K30" t="inlineStr">
        <is>
          <t>React; PHP</t>
        </is>
      </c>
      <c r="M30" t="inlineStr">
        <is>
          <t>&amp;nbsp;...ensure an exceptional user experience and secure transactions. Role Description This is a &lt;b&gt;full-&lt;/b&gt;time, on-site role located in Bengaluru for a Full &lt;b&gt;Stack &lt;/b&gt;Web &lt;b&gt;Developer Intern-&lt;/b&gt; React, PHP (NON PAID). The intern will be responsible for assisting in both front-end and back-...&amp;nbsp;</t>
        </is>
      </c>
      <c r="N30" t="n">
        <v>40</v>
      </c>
      <c r="O30" t="n">
        <v>50</v>
      </c>
      <c r="P30" t="n">
        <v>60</v>
      </c>
      <c r="Q30" t="n">
        <v>70</v>
      </c>
      <c r="R30" t="n">
        <v>0</v>
      </c>
      <c r="S30" t="n">
        <v>0</v>
      </c>
      <c r="T30" t="n">
        <v>20</v>
      </c>
      <c r="U30" t="inlineStr">
        <is>
          <t>SKIP</t>
        </is>
      </c>
      <c r="V30" t="inlineStr">
        <is>
          <t>SKIP</t>
        </is>
      </c>
      <c r="W30" t="inlineStr">
        <is>
          <t>PHP</t>
        </is>
      </c>
      <c r="X30" t="inlineStr">
        <is>
          <t>Amaanuddin_Ahmed_Resume.pdf</t>
        </is>
      </c>
      <c r="Y30" t="inlineStr">
        <is>
          <t>2026-10-02</t>
        </is>
      </c>
      <c r="Z30" t="inlineStr">
        <is>
          <t>Located in Bengaluru.; Matches target full stack intern role.</t>
        </is>
      </c>
      <c r="AA30" t="inlineStr">
        <is>
          <t>eligible</t>
        </is>
      </c>
      <c r="AB30" t="inlineStr">
        <is>
          <t>Location matches preferred location (Bengaluru).; Role matches target developer intern profile.</t>
        </is>
      </c>
      <c r="AC30" t="inlineStr">
        <is>
          <t>unknown</t>
        </is>
      </c>
      <c r="AD30" t="inlineStr">
        <is>
          <t>Availability requirements not specified in the job description.</t>
        </is>
      </c>
      <c r="AE30" t="inlineStr">
        <is>
          <t>unpaid</t>
        </is>
      </c>
      <c r="AF30" t="n">
        <v>0</v>
      </c>
      <c r="AG30" t="inlineStr">
        <is>
          <t>No</t>
        </is>
      </c>
      <c r="AH30" t="inlineStr">
        <is>
          <t>none</t>
        </is>
      </c>
      <c r="AI30" t="inlineStr">
        <is>
          <t>No mention of PPO or conversion in the job description.</t>
        </is>
      </c>
      <c r="AJ30" t="inlineStr">
        <is>
          <t>Unpaid internship (violates minimum stipend target of ₹25,000/month)</t>
        </is>
      </c>
      <c r="AK30" t="inlineStr">
        <is>
          <t>Non-paid internship position</t>
        </is>
      </c>
      <c r="AL30" t="inlineStr">
        <is>
          <t>React state management; PHP basics and integration with frontend; Previous full-stack project experience</t>
        </is>
      </c>
    </row>
    <row r="31">
      <c r="A31" t="inlineStr">
        <is>
          <t>AI4SEES-PRIV-261002-30</t>
        </is>
      </c>
      <c r="B31" t="inlineStr">
        <is>
          <t>ai4sees private ltd</t>
        </is>
      </c>
      <c r="C31" t="inlineStr">
        <is>
          <t>Full Stack Web Developer Intern</t>
        </is>
      </c>
      <c r="D31" t="inlineStr">
        <is>
          <t>https://in.jooble.org/desc/4356507815804547926?ckey=full+stack+developer+intern&amp;rgn=3193&amp;pos=6&amp;elckey=-5710832383287184165&amp;p=1&amp;aq=-6539674257181197563&amp;cid=389&amp;jobAge=809&amp;brelb=10&amp;bscr=1243.1244&amp;scr=1243.1244</t>
        </is>
      </c>
      <c r="E31" t="inlineStr">
        <is>
          <t>AI Analyzer</t>
        </is>
      </c>
      <c r="F31" t="inlineStr">
        <is>
          <t>Bengaluru</t>
        </is>
      </c>
      <c r="G31" t="inlineStr">
        <is>
          <t>On-site</t>
        </is>
      </c>
      <c r="H31" t="inlineStr">
        <is>
          <t>Not specified</t>
        </is>
      </c>
      <c r="I31" t="inlineStr">
        <is>
          <t>Not specified</t>
        </is>
      </c>
      <c r="J31" t="inlineStr">
        <is>
          <t>NOT_MENTIONED</t>
        </is>
      </c>
      <c r="K31" t="inlineStr">
        <is>
          <t>HTML; JavaScript; CSS; Back-End Web Development; Full-Stack Development; Git</t>
        </is>
      </c>
      <c r="M31" t="inlineStr">
        <is>
          <t>[go to main page](https://in.jooble.org/)
Sign up to access all features of our service
Sign upLog inShare jobsAdd job posting / For companies
- Job search
- Favorites
- Create a CV
New
- [Salaries](https://in.jooble.org/salary)
- Subscriptions
Never miss new jobs in the app
[![Download from Google Play](https://in.jooble.org/assets/images/badges/gray/android/en.png)](https://jooble.onelink.me/CUK2/cdqezxyt)[![Download from App Store](https://in.jooble.org/assets/images/badges/gray/ios/en.png)](https://jooble.onelink.me/CUK2/cdqezxyt)
Company
- [About Jooble](https://in.jooble.org/info/about)
- [Careers](https://jooble.org/hiring)
- [Help Center](https://help.jooble.org/en/support/home)
- [Jobs in India](https://in.jooble.org/)
For Employers
- For ATS
- [Post a Job](https://in.jooble.org/post-a-job?source=footer)
For Job Seekers
- [Popular Searches](https://in.jooble.org/queries)
- [Find Salaries](https://in.jooble.org/salary)
- [Resume Checker](https://in.fitly.work/resume-checker)
Legal
- [Terms of Service](https://in.jooble.org/info/terms)
- [Privacy Policy](https://in.jooble.org/info/privacy)
- Cookie Settings
[Country: India](https://jooble.org/#countries)
© 2006-2026 [Jooble](https://in.jooble.org/)
Full Stack Web developer Intern- React, PHP ( NON PAID)
rp infocare pvt ltd
[Bangalore](https://in.jooble.org/jobs/Bangalore)
[Apply](https://in.jooble.org/away/-5507068087024381505?p=1&amp;pos=0&amp;rgn=3193&amp;pageType=7&amp;cid=389&amp;jobAge=593&amp;scr=1255.5562&amp;bscr=1255.5562&amp;jdpSource=101&amp;jdpid=5542648309290354294&amp;crId=IN_6807728852492805051IN_3193)
This position requires local presence. Please view similar jobs below.
**Company Description**
At RP INFOCARE, we are passionate about harnessing the power of technology to transform businesses and empower individuals. Since our founding in 2020, we have swiftly become a leading IT solutions provider, offering a comprehensive range of services tailored to meet our clients' evolving needs. Our team of highly skilled professionals is dedicated to delivering innovative, customized solutions that drive business growth and enhance operational efficiency. We specialize in web design, mobile application development, and e-commerce web application development to ensure an exceptional user experience and secure transactions.
**Role Description**
This is a full-time, on-site role located in Bengaluru for a Full Stack Web Developer Intern- React, PHP (NON PAID). The intern will be responsible for assisting in both front-end and back-end web development tasks. Daily responsibilities include collaborating with the development team to design and implement new features, troubleshooting and resolving issues, optimizing website performance, and ensuring cross-browser compatibility. The intern will also contribute to software development projects and participate in code reviews.
**Qualifications**
- Front-End Development skills including experience with React and Cascading Style Sheets (CSS)
- Back-End Web Development skills including knowledge of PHP, Node js.
- Software Development and Full-Stack Development skills
- Strong problem-solving skills and attention to detail
- Ability to work collaboratively in a team-oriented environment
- Familiarity with version control systems like Git is a plus
- Currently pursuing or recently completed a degree in Computer Science, Information Technology, or a related field
[Apply](https://in.jooble.org/away/-5507068087024381505?p=1&amp;pos=0&amp;rgn=3193&amp;pageType=7&amp;cid=389&amp;jobAge=593&amp;scr=1255.5562&amp;bscr=1255.5562&amp;jdpSource=101&amp;jdpid=5542648309290354294&amp;crId=IN_6807728852492805051IN_3193)
# Full Stack Web Developer Intern
ai4sees private ltd
[Bangalore](https://in.jooble.org/jobs/Bangalore)
[Apply](https://in.jooble.org/away/4356507815804547926?p=1&amp;pos=0&amp;rgn=3193&amp;pageType=7&amp;cid=389&amp;jobAge=809&amp;scr=1243.1244&amp;bscr=1243.1244&amp;jdpSource=101&amp;jdpid=-8621338125516673319&amp;crId=IN_6807728852492805051IN_3193)
This position requires local presence. Please view similar jobs below.
**Company Description AI4SEES Private Ltd operates in the field of information technology and technology-enabled applications, building products and delivering services across a wide range of digital solutions. The company provides artificial intelligence services and consultancy, IT solutions, web application development, and digital marketing. AI4SEES also develops SaaS and PaaS products, IoT and cloud technology solutions, websites, mobile applications, and software applications. In addition, the company is involved in the trading of software products through various channels, offering opportunities to work with diverse technologies and clients.**
**Role Description  This is a full-time, on-site Full Stack Web Developer Intern role based in Bengaluru. The intern will assist in designing, developing, and testing web applications across both front-end and back-end components. Day-to-day tasks include writing clean and efficient code, implementing responsive user int</t>
        </is>
      </c>
      <c r="N31" t="n">
        <v>74</v>
      </c>
      <c r="O31" t="n">
        <v>90</v>
      </c>
      <c r="P31" t="n">
        <v>95</v>
      </c>
      <c r="Q31" t="n">
        <v>90</v>
      </c>
      <c r="R31" t="n">
        <v>40</v>
      </c>
      <c r="S31" t="n">
        <v>30</v>
      </c>
      <c r="T31" t="n">
        <v>60</v>
      </c>
      <c r="U31" t="inlineStr">
        <is>
          <t>CONSIDER</t>
        </is>
      </c>
      <c r="V31" t="inlineStr">
        <is>
          <t>CONSIDER</t>
        </is>
      </c>
      <c r="X31" t="inlineStr">
        <is>
          <t>Amaanuddin_Ahmed_Resume_FullStack.pdf</t>
        </is>
      </c>
      <c r="Y31" t="inlineStr">
        <is>
          <t>2026-10-02</t>
        </is>
      </c>
      <c r="Z31" t="inlineStr">
        <is>
          <t>Strong match with candidate's demonstrated MERN stack and Full Stack project experience.; Meets all educational and location requirements (onsite in Bengaluru, MCA student).</t>
        </is>
      </c>
      <c r="AA31" t="inlineStr">
        <is>
          <t>ELIGIBLE</t>
        </is>
      </c>
      <c r="AB31" t="inlineStr">
        <is>
          <t>Candidate is pursuing an MCA at PES University, matching the degree requirement in Computer Science, IT, or related field.; Local presence in Bengaluru matches the on-site requirement.</t>
        </is>
      </c>
      <c r="AC31" t="inlineStr">
        <is>
          <t>UNKNOWN</t>
        </is>
      </c>
      <c r="AD31" t="inlineStr">
        <is>
          <t>Start date not specified in the job description.</t>
        </is>
      </c>
      <c r="AE31" t="inlineStr">
        <is>
          <t>UNKNOWN</t>
        </is>
      </c>
      <c r="AF31" t="n">
        <v>0</v>
      </c>
      <c r="AG31" t="inlineStr">
        <is>
          <t>No</t>
        </is>
      </c>
      <c r="AH31" t="inlineStr">
        <is>
          <t>NOT_MENTIONED</t>
        </is>
      </c>
      <c r="AI31" t="inlineStr">
        <is>
          <t>No mention of PPO or conversion in the job description.</t>
        </is>
      </c>
      <c r="AK31" t="inlineStr">
        <is>
          <t>Stipend is completely unspecified, raising a risk of it being unpaid.</t>
        </is>
      </c>
      <c r="AL31" t="inlineStr">
        <is>
          <t>Full-stack web application architecture and REST API integration; Database design and backend server-side logic using Node.js/Express; Version control workflows using Git</t>
        </is>
      </c>
    </row>
    <row r="32">
      <c r="A32" t="inlineStr">
        <is>
          <t>TASLAINFO-261002-31</t>
        </is>
      </c>
      <c r="B32" t="inlineStr">
        <is>
          <t>TaslaInfo</t>
        </is>
      </c>
      <c r="C32" t="inlineStr">
        <is>
          <t>Full Stack Developer - Fresher</t>
        </is>
      </c>
      <c r="D32" t="inlineStr">
        <is>
          <t>https://in.jooble.org/desc/6094868179520231862?ckey=full+stack+developer+intern&amp;rgn=3193&amp;pos=7&amp;elckey=-5710832383287184165&amp;p=1&amp;aq=-6539674257181197563&amp;cid=389&amp;jobAge=329&amp;brelb=100&amp;bscr=554.2362&amp;scr=554.2362</t>
        </is>
      </c>
      <c r="E32" t="inlineStr">
        <is>
          <t>AI Analyzer</t>
        </is>
      </c>
      <c r="F32" t="inlineStr">
        <is>
          <t>Bangalore</t>
        </is>
      </c>
      <c r="G32" t="inlineStr">
        <is>
          <t>Onsite</t>
        </is>
      </c>
      <c r="H32" t="inlineStr">
        <is>
          <t>₹ 2,10,000 - 2,70,000 /year</t>
        </is>
      </c>
      <c r="I32" t="inlineStr">
        <is>
          <t>Not specified</t>
        </is>
      </c>
      <c r="J32" t="inlineStr">
        <is>
          <t>UNKNOWN</t>
        </is>
      </c>
      <c r="K32" t="inlineStr">
        <is>
          <t>HTML; CSS; JavaScript; React.js; Angular; Node.js; .NET; Java; Python; SQL and databases; REST APIs; Git &amp; GitHub</t>
        </is>
      </c>
      <c r="L32" t="inlineStr">
        <is>
          <t>SDLC; Team coordination</t>
        </is>
      </c>
      <c r="M32" t="inlineStr">
        <is>
          <t>[go to main page](https://in.jooble.org/)
Sign up to access all features of our service
Sign upLog inShare jobsAdd job posting / For companies
- Job search
- Favorites
- Create a CV
New
- [Salaries](https://in.jooble.org/salary)
- Subscriptions
Never miss new jobs in the app
[![Download from Google Play](https://in.jooble.org/assets/images/badges/gray/android/en.png)](https://jooble.onelink.me/CUK2/cdqezxyt)[![Download from App Store](https://in.jooble.org/assets/images/badges/gray/ios/en.png)](https://jooble.onelink.me/CUK2/cdqezxyt)
Company
- [About Jooble](https://in.jooble.org/info/about)
- [Careers](https://jooble.org/hiring)
- [Help Center](https://help.jooble.org/en/support/home)
- [Jobs in India](https://in.jooble.org/)
For Employers
- For ATS
- [Post a Job](https://in.jooble.org/post-a-job?source=footer)
For Job Seekers
- [Popular Searches](https://in.jooble.org/queries)
- [Find Salaries](https://in.jooble.org/salary)
- [Resume Checker](https://in.fitly.work/resume-checker)
Legal
- [Terms of Service](https://in.jooble.org/info/terms)
- [Privacy Policy](https://in.jooble.org/info/privacy)
- Cookie Settings
[Country: India](https://jooble.org/#countries)
© 2006-2026 [Jooble](https://in.jooble.org/)
Full Stack Web Developer Intern
ai4sees private ltd
[Bangalore](https://in.jooble.org/jobs/Bangalore)
[Apply](https://in.jooble.org/away/4356507815804547926?p=1&amp;pos=0&amp;rgn=3193&amp;pageType=7&amp;cid=389&amp;jobAge=809&amp;scr=1243.1244&amp;bscr=1243.1244&amp;jdpSource=101&amp;jdpid=-8684431831199935129&amp;crId=IN_6807728852492805051IN_3193)
**Company Description AI4SEES Private Ltd operates in the field of information technology and technology-enabled applications, building products and delivering services across a wide range of digital solutions. The company provides artificial intelligence services and consultancy, IT solutions, web application development, and digital marketing. AI4SEES also develops SaaS and PaaS products, IoT and cloud technology solutions, websites, mobile applications, and software applications. In addition, the company is involved in the trading of software products through various channels, offering opportunities to work with diverse technologies and clients.**
**Role Description  This is a full-time, on-site Full Stack Web Developer Intern role based in Bengaluru. The intern will assist in designing, developing, and testing web applications across both front-end and back-end components. Day-to-day tasks include writing clean and efficient code, implementing responsive user interfaces, integrating APIs and databases, and participating in code reviews. The intern will collaborate with senior developers and cross-functional teams to troubleshoot issues, optimize application performance, and support deployment activities. The role offers hands-on experience with modern web technologies and frameworks in a fast-paced, learning-focused environment.**
**Qualifications**
**- Front-End Development skills, including HTML, JavaScript, and Cascading Style Sheets (CSS)**
**- Back-End Web Development skills, including working with server-side languages, frameworks, and databases**
**- Full-Stack Development and Software Development skills, with an understanding of end-to-end web application architecture**
**- Basic knowledge of version control systems (e.g., Git) and collaborative development workflows**
**- Strong problem-solving abilities, attention to detail, and willingness to learn new technologies**
**- Pursuing or having completed a degree in Computer Science, Information Technology, or a related field**
**- Good communication skills and ability to work effectively in a team-oriented environment**
[Apply](https://in.jooble.org/away/4356507815804547926?p=1&amp;pos=0&amp;rgn=3193&amp;pageType=7&amp;cid=389&amp;jobAge=809&amp;scr=1243.1244&amp;bscr=1243.1244&amp;jdpSource=101&amp;jdpid=-8684431831199935129&amp;crId=IN_6807728852492805051IN_3193)
# Full Stack Developer - Fresher
Rs 2.1 - 2.7 lakhs p.a.
TaslaInfo
[Bangalore](https://in.jooble.org/jobs/Bangalore)
[Apply](https://in.jooble.org/away/6094868179520231862?p=1&amp;pos=0&amp;rgn=3193&amp;pageType=7&amp;cid=389&amp;jobAge=329&amp;scr=554.2362&amp;bscr=554.2362&amp;jdpSource=101&amp;jdpid=2409679529269548551&amp;crId=IN_6807728852492805051IN_3193)
Full Stack Developer
Start Date
Starts  Immediately
CTC (ANNUAL)
₹ 2,10,000 - 2,70,000 ₹ 2,10,000 - 2,70,000 /year
Experience
No experience required
No experience required
Apply By
21 Oct' 26
Posted 1 week ago
Fresher Job
714 applicants
## About the job
Department: IT / Software Development
Location: Onsite
Job Type: Full-Time Internship / Entry Level
Role Focus: Primarily Technical Development + Team Monitoring &amp; Coordination
Candidates with strong Full-Stack Development fundamentals and a willingness to learn are encouraged to apply.
We are looking for a Full Stack Development to join our IT team. This role is primarily focused on hands-on software development, with additional responsibilities related to team task monitoring and coordination. Y</t>
        </is>
      </c>
      <c r="N32" t="n">
        <v>78</v>
      </c>
      <c r="O32" t="n">
        <v>85</v>
      </c>
      <c r="P32" t="n">
        <v>90</v>
      </c>
      <c r="Q32" t="n">
        <v>80</v>
      </c>
      <c r="R32" t="n">
        <v>50</v>
      </c>
      <c r="S32" t="n">
        <v>75</v>
      </c>
      <c r="T32" t="n">
        <v>70</v>
      </c>
      <c r="U32" t="inlineStr">
        <is>
          <t>CONSIDER</t>
        </is>
      </c>
      <c r="V32" t="inlineStr">
        <is>
          <t>CONSIDER</t>
        </is>
      </c>
      <c r="W32" t="inlineStr">
        <is>
          <t>.NET; Java; Python</t>
        </is>
      </c>
      <c r="X32" t="inlineStr">
        <is>
          <t>Standard Full Stack Developer Resume focusing on Angular, Node.js, Express, and SQL projects like Sunflower Trip and StaySphere.</t>
        </is>
      </c>
      <c r="Y32" t="inlineStr">
        <is>
          <t>2026-10-02</t>
        </is>
      </c>
      <c r="Z32" t="inlineStr">
        <is>
          <t>Strong match with candidate's core demonstrated tech stack (Angular, Node.js, JavaScript, HTML, CSS, SQL).; Meets candidate's minimum stipend target (fixed annual CTC translates to over ₹16,600 to ₹20,800 monthly, with total CTC reaching up to ₹2,70,000 p.a.).; Welcomes freshers and students from MCA backgrounds.</t>
        </is>
      </c>
      <c r="AA32" t="inlineStr">
        <is>
          <t>ELIGIBLE</t>
        </is>
      </c>
      <c r="AB32" t="inlineStr">
        <is>
          <t>Candidate is pursuing MCA at PES University, matching the requirement for students or graduates from Computer Science, IT, Software Engineering, or related fields.; No prior experience required, welcoming freshers.</t>
        </is>
      </c>
      <c r="AC32" t="inlineStr">
        <is>
          <t>UNKNOWN</t>
        </is>
      </c>
      <c r="AD32" t="inlineStr">
        <is>
          <t>Start date is immediately, but exact candidate availability calendar is not specified in the career brain.</t>
        </is>
      </c>
      <c r="AE32" t="inlineStr">
        <is>
          <t>EXPLICIT</t>
        </is>
      </c>
      <c r="AF32" t="n">
        <v>200000</v>
      </c>
      <c r="AG32" t="inlineStr">
        <is>
          <t>Yes</t>
        </is>
      </c>
      <c r="AH32" t="inlineStr">
        <is>
          <t>UNKNOWN</t>
        </is>
      </c>
      <c r="AI32" t="inlineStr">
        <is>
          <t>Job is listed as a full-time internship / entry level fresher role with an annual CTC, but explicit conversion or PPO terms are not detailed.</t>
        </is>
      </c>
      <c r="AK32" t="inlineStr">
        <is>
          <t>Role includes team task monitoring and coordination responsibilities alongside full-stack development duties.</t>
        </is>
      </c>
      <c r="AL32" t="inlineStr">
        <is>
          <t>Full-stack architecture with Angular and Node.js; REST API design and database integration using SQL/MySQL; Version control workflows with Git and GitHub; Experience with team coordination and project tracking tasks</t>
        </is>
      </c>
    </row>
    <row r="33">
      <c r="A33" t="inlineStr">
        <is>
          <t>JOVEO-261002-32</t>
        </is>
      </c>
      <c r="B33" t="inlineStr">
        <is>
          <t>Joveo</t>
        </is>
      </c>
      <c r="C33" t="inlineStr">
        <is>
          <t>Back End Developer</t>
        </is>
      </c>
      <c r="D33" t="inlineStr">
        <is>
          <t>https://in.jooble.org/desc/6445615319015689246?ckey=backend+developer+intern&amp;rgn=3193&amp;pos=1&amp;elckey=-892043822014845294&amp;p=1&amp;aq=7523652574460270146&amp;cid=389&amp;jobAge=89&amp;brelb=10&amp;bscr=1067.3552&amp;scr=1067.3552</t>
        </is>
      </c>
      <c r="E33" t="inlineStr">
        <is>
          <t>AI Analyzer</t>
        </is>
      </c>
      <c r="F33" t="inlineStr">
        <is>
          <t>Bangalore</t>
        </is>
      </c>
      <c r="G33" t="inlineStr">
        <is>
          <t>On-site (5 days a week)</t>
        </is>
      </c>
      <c r="I33" t="inlineStr">
        <is>
          <t>Not specified</t>
        </is>
      </c>
      <c r="J33" t="inlineStr">
        <is>
          <t>NOT_MENTIONED</t>
        </is>
      </c>
      <c r="K33" t="inlineStr">
        <is>
          <t>TypeScript; React; Next.js; Node.js; Express.js; SQL; REST APIs; Git</t>
        </is>
      </c>
      <c r="L33" t="inlineStr">
        <is>
          <t>LLMs; embeddings; vector databases</t>
        </is>
      </c>
      <c r="M33" t="inlineStr">
        <is>
          <t>[go to main page](https://in.jooble.org/)
Sign up to access all features of our service
Sign upLog inShare jobsAdd job posting / For companies
- Job search
- Favorites
- Create a CV
New
- [Salaries](https://in.jooble.org/salary)
- Subscriptions
Never miss new jobs in the app
[![Download from Google Play](https://in.jooble.org/assets/images/badges/gray/android/en.png)](https://jooble.onelink.me/CUK2/cdqezxyt)[![Download from App Store](https://in.jooble.org/assets/images/badges/gray/ios/en.png)](https://jooble.onelink.me/CUK2/cdqezxyt)
Company
- [About Jooble](https://in.jooble.org/info/about)
- [Careers](https://jooble.org/hiring)
- [Help Center](https://help.jooble.org/en/support/home)
- [Jobs in India](https://in.jooble.org/)
For Employers
- For ATS
- [Post a Job](https://in.jooble.org/post-a-job?source=footer)
For Job Seekers
- [Popular Searches](https://in.jooble.org/queries)
- [Find Salaries](https://in.jooble.org/salary)
- [Resume Checker](https://in.fitly.work/resume-checker)
Legal
- [Terms of Service](https://in.jooble.org/info/terms)
- [Privacy Policy](https://in.jooble.org/info/privacy)
- Cookie Settings
[Country: India](https://jooble.org/#countries)
© 2006-2026 [Jooble](https://in.jooble.org/)
# Back End Developer
Joveo
[Bangalore](https://in.jooble.org/jobs/Bangalore)
[Apply](https://in.jooble.org/away/6445615319015689246?p=1&amp;pos=0&amp;rgn=3193&amp;pageType=7&amp;cid=389&amp;jobAge=89&amp;scr=1067.3552&amp;bscr=1067.3552&amp;jdpSource=101&amp;jdpid=-2695907738001900996&amp;crId=IN_7486100480718853950IN_3193)
This position requires local presence. Please view similar jobs below.
- **Title** : Software Engineering Intern
- **Location** : Bengaluru, India ( 5 days a week)
- **Timings** : 2-9 pm
**About Joveo**
As the global leader in AI-powered recruitment marketing, we are transforming talent attraction and recruitment media buying for the world's largest and smartest employers, staffing businesses, RPOs, and recruitment advertising agencies.
The Joveo platform enables businesses to attract, source, engage, and hire the most relevant candidates on time, within their budget. Powering millions of jobs every day, our data-driven recruitment marketing platform uses advanced data science and machine learning to dynamically manage and optimize talent sourcing and applications across all online channels while providing real-time insights at every step of the job seeker journey, from click to hire.
Joveo is rewriting the rules of recruitment through AI. We're looking for an intern who thinks like a founder, moves fast, and builds like an artist, someone ready to build the future of the company from 0 to 1.
**What you'll do Build**
  - Greenfield AI products from whiteboard to working prototype.
  - Ship across the full stack, React and Next.js on the front, Node.js and Express on the back, with the database underneath.
  - Wire LLMs, embeddings, and vector databases into real products.
  - Collaborate directly with our leadership from week one.
**What we're looking for**
  - Strong programming fundamentals and projects you've actually built.
  - Working knowledge of TypeScript, React, Next.js, Node.js, and Express.js.
  - Comfort with SQL and database design, REST APIs, and Git. A basic grasp of LLMs, embeddings, and vector databases, plus the hunger to go deeper.
  - Above all, a builder's mindset that thrives in ambiguity.
**Why join**
  - Build with the newest tools from day one.
  - Real ownership of what you ship.
  - Direct access to leadership.
  - The kind of growth that takes years elsewhere.
**Build the next chapter of Joveo. Apply now**
[Apply](https://in.jooble.org/away/6445615319015689246?p=1&amp;pos=0&amp;rgn=3193&amp;pageType=7&amp;cid=389&amp;jobAge=89&amp;scr=1067.3552&amp;bscr=1067.3552&amp;jdpSource=101&amp;jdpid=-2695907738001900996&amp;crId=IN_7486100480718853950IN_3193)
Software Engineer(Intern)- Backend
merklescience
[Bangalore](https://in.jooble.org/jobs/Bangalore)
[Apply](https://in.jooble.org/away/-4009572167721000675?p=1&amp;pos=0&amp;rgn=3193&amp;pageType=7&amp;cid=389&amp;jobAge=1344&amp;scr=719.34827&amp;bscr=719.34827&amp;jdpSource=101&amp;jdpid=-8092636266517207703&amp;crId=IN_7486100480718853950IN_3193)
This position requires local presence. Please view similar jobs below.
**⚡️ About Merkle Science**
Merkle Science provides blockchain transaction monitoring and intelligence solutions for web3 companies, digital asset service providers, financial institutions, law enforcement and government agencies to detect, investigate and prevent illicit use of cryptocurrencies. Our vision is to make cryptocurrencies safe and provide infrastructure for the safe and compliant growth of cryptocurrencies.
Merkle Science is headquartered in New York with offices in Singapore, Bangalore and London. The team has combined experience across Bank of America, Paypal, Luno, Thomson Reuters and Amazon. The company has raised over US$27 MM from SIG, Beco, Republic, DCG, Kenetic, GGV and several others.
## Responsibilities
- Design, build, and maintain backend servi</t>
        </is>
      </c>
      <c r="N33" t="n">
        <v>69</v>
      </c>
      <c r="O33" t="n">
        <v>75</v>
      </c>
      <c r="P33" t="n">
        <v>80</v>
      </c>
      <c r="Q33" t="n">
        <v>75</v>
      </c>
      <c r="R33" t="n">
        <v>40</v>
      </c>
      <c r="S33" t="n">
        <v>50</v>
      </c>
      <c r="T33" t="n">
        <v>85</v>
      </c>
      <c r="U33" t="inlineStr">
        <is>
          <t>STRETCH</t>
        </is>
      </c>
      <c r="V33" t="inlineStr">
        <is>
          <t>STRETCH</t>
        </is>
      </c>
      <c r="W33" t="inlineStr">
        <is>
          <t>TypeScript; Next.js; LLMs; embeddings; vector databases</t>
        </is>
      </c>
      <c r="X33" t="inlineStr">
        <is>
          <t>Default Full Stack / Backend Resume</t>
        </is>
      </c>
      <c r="Y33" t="inlineStr">
        <is>
          <t>2026-10-02</t>
        </is>
      </c>
      <c r="Z33" t="inlineStr">
        <is>
          <t>Strong overlap with Node.js, Express.js, and SQL backend stack; Exciting opportunity to work on greenfield AI products and LLM integration; Located in Bangalore matching candidate preference</t>
        </is>
      </c>
      <c r="AA33" t="inlineStr">
        <is>
          <t>ELIGIBLE</t>
        </is>
      </c>
      <c r="AC33" t="inlineStr">
        <is>
          <t>UNKNOWN</t>
        </is>
      </c>
      <c r="AD33" t="inlineStr">
        <is>
          <t>Availability to work 2-9 pm local presence not explicitly confirmed in career profile.</t>
        </is>
      </c>
      <c r="AE33" t="inlineStr">
        <is>
          <t>UNKNOWN</t>
        </is>
      </c>
      <c r="AF33" t="n">
        <v>0</v>
      </c>
      <c r="AG33" t="inlineStr">
        <is>
          <t>No</t>
        </is>
      </c>
      <c r="AH33" t="inlineStr">
        <is>
          <t>NOT_MENTIONED</t>
        </is>
      </c>
      <c r="AI33" t="inlineStr">
        <is>
          <t>No explicit mention of PPO or conversion in the job description.</t>
        </is>
      </c>
      <c r="AK33" t="inlineStr">
        <is>
          <t>Timing is 2-9 pm local presence required</t>
        </is>
      </c>
      <c r="AL33" t="inlineStr">
        <is>
          <t>Node.js and Express.js architecture and event loop; SQL database design and query optimization; Experience with RESTful API design and authentication; Familiarity with vector databases and LLM integrations</t>
        </is>
      </c>
    </row>
    <row r="34">
      <c r="A34" t="inlineStr">
        <is>
          <t>PHONEPE-261002-33</t>
        </is>
      </c>
      <c r="B34" t="inlineStr">
        <is>
          <t>Phonepe</t>
        </is>
      </c>
      <c r="C34" t="inlineStr">
        <is>
          <t>Head of Engineering - Backend</t>
        </is>
      </c>
      <c r="D34" t="inlineStr">
        <is>
          <t>https://in.jooble.org/desc/596994600327366086?ckey=backend+developer+intern&amp;rgn=3193&amp;pos=5&amp;elckey=-892043822014845294&amp;p=1&amp;aq=7523652574460270146&amp;cid=389&amp;jobAge=425&amp;brelb=10&amp;bscr=613.15063&amp;scr=613.15063</t>
        </is>
      </c>
      <c r="E34" t="inlineStr">
        <is>
          <t>AI Analyzer</t>
        </is>
      </c>
      <c r="F34" t="inlineStr">
        <is>
          <t>Bangalore</t>
        </is>
      </c>
      <c r="G34" t="inlineStr">
        <is>
          <t>Unknown</t>
        </is>
      </c>
      <c r="H34" t="inlineStr">
        <is>
          <t>Not specified</t>
        </is>
      </c>
      <c r="I34" t="inlineStr">
        <is>
          <t>Unknown</t>
        </is>
      </c>
      <c r="J34" t="inlineStr">
        <is>
          <t>No</t>
        </is>
      </c>
      <c r="K34" t="inlineStr">
        <is>
          <t>Backend Engineering; Solution Design; Leadership</t>
        </is>
      </c>
      <c r="M34" t="inlineStr">
        <is>
          <t>&amp;nbsp;...vendors As a leader, you must have: Proven skills designing and &lt;b&gt;developing &lt;/b&gt;simple to complex solutions including experience in designing...&amp;nbsp;&amp;nbsp;...PhonePe Full Time Employee Benefits (Not applicable for &lt;b&gt;Intern &lt;/b&gt;or Contract Roles) Insurance Benefits - Medical Insurance, Critical...&amp;nbsp;</t>
        </is>
      </c>
      <c r="N34" t="n">
        <v>8</v>
      </c>
      <c r="O34" t="n">
        <v>10</v>
      </c>
      <c r="P34" t="n">
        <v>0</v>
      </c>
      <c r="Q34" t="n">
        <v>0</v>
      </c>
      <c r="R34" t="n">
        <v>0</v>
      </c>
      <c r="S34" t="n">
        <v>0</v>
      </c>
      <c r="T34" t="n">
        <v>50</v>
      </c>
      <c r="U34" t="inlineStr">
        <is>
          <t>SKIP</t>
        </is>
      </c>
      <c r="V34" t="inlineStr">
        <is>
          <t>SKIP</t>
        </is>
      </c>
      <c r="W34" t="inlineStr">
        <is>
          <t>Executive Leadership; Head of Engineering experience</t>
        </is>
      </c>
      <c r="X34" t="inlineStr">
        <is>
          <t>Amaanuddin_Ahmed_Resume.pdf</t>
        </is>
      </c>
      <c r="Y34" t="inlineStr">
        <is>
          <t>2026-10-02</t>
        </is>
      </c>
      <c r="AA34" t="inlineStr">
        <is>
          <t>Ineligible</t>
        </is>
      </c>
      <c r="AB34" t="inlineStr">
        <is>
          <t>The role is for Head of Engineering - Backend, which requires extensive leadership and senior experience far exceeding an MCA student internship profile.; Candidate is an MCA student seeking internships and junior roles, not an executive engineering leadership position.</t>
        </is>
      </c>
      <c r="AC34" t="inlineStr">
        <is>
          <t>Available</t>
        </is>
      </c>
      <c r="AD34" t="inlineStr">
        <is>
          <t>Candidate is available for internships and software engineering roles matching their profile.</t>
        </is>
      </c>
      <c r="AE34" t="inlineStr">
        <is>
          <t>UNKNOWN</t>
        </is>
      </c>
      <c r="AF34" t="n">
        <v>0</v>
      </c>
      <c r="AG34" t="inlineStr">
        <is>
          <t>No</t>
        </is>
      </c>
      <c r="AH34" t="inlineStr">
        <is>
          <t>No</t>
        </is>
      </c>
      <c r="AI34" t="inlineStr">
        <is>
          <t>No PPO mentioned for this executive leadership role.</t>
        </is>
      </c>
      <c r="AJ34" t="inlineStr">
        <is>
          <t>Seniority level mismatch: Head of Engineering requires extensive industry leadership experience, whereas candidate is an entry-level MCA student.</t>
        </is>
      </c>
      <c r="AK34" t="inlineStr">
        <is>
          <t>Role mismatch: Applying for an executive leadership role with an internship/junior profile.</t>
        </is>
      </c>
    </row>
    <row r="35">
      <c r="A35" t="inlineStr">
        <is>
          <t>VETIFI-261002-34</t>
        </is>
      </c>
      <c r="B35" t="inlineStr">
        <is>
          <t>vetifi</t>
        </is>
      </c>
      <c r="C35" t="inlineStr">
        <is>
          <t>Flutter SDE Intern</t>
        </is>
      </c>
      <c r="D35" t="inlineStr">
        <is>
          <t>https://in.jooble.org/desc/-1529116818359291845?ckey=SDE+intern&amp;rgn=3193&amp;pos=1&amp;elckey=5511221380764901055&amp;p=1&amp;aq=-6833300780600067004&amp;cid=389&amp;jobAge=425&amp;brelb=10&amp;bscr=1583.5348&amp;scr=1583.5348</t>
        </is>
      </c>
      <c r="E35" t="inlineStr">
        <is>
          <t>AI Analyzer</t>
        </is>
      </c>
      <c r="F35" t="inlineStr">
        <is>
          <t>Bangalore</t>
        </is>
      </c>
      <c r="G35" t="inlineStr">
        <is>
          <t>Remote</t>
        </is>
      </c>
      <c r="H35" t="inlineStr">
        <is>
          <t>Unpaid Internship</t>
        </is>
      </c>
      <c r="I35" t="inlineStr">
        <is>
          <t>3-6 months</t>
        </is>
      </c>
      <c r="J35" t="inlineStr">
        <is>
          <t>Not Mentioned</t>
        </is>
      </c>
      <c r="K35" t="inlineStr">
        <is>
          <t>Flutter; Mobile App Development</t>
        </is>
      </c>
      <c r="M35" t="inlineStr">
        <is>
          <t>Job Description: Flutter &lt;b&gt;SDE Intern &lt;/b&gt;(Mobile App Development) Company: Vetifi Location: Remote Internship Type: Unpaid Internship Duration: Flexible (3–6 months preferred) About Vetifi Vetifi is an innovative veterinary-focused application built...&amp;nbsp;</t>
        </is>
      </c>
      <c r="N35" t="n">
        <v>16</v>
      </c>
      <c r="O35" t="n">
        <v>20</v>
      </c>
      <c r="P35" t="n">
        <v>20</v>
      </c>
      <c r="Q35" t="n">
        <v>30</v>
      </c>
      <c r="R35" t="n">
        <v>0</v>
      </c>
      <c r="S35" t="n">
        <v>0</v>
      </c>
      <c r="T35" t="n">
        <v>20</v>
      </c>
      <c r="U35" t="inlineStr">
        <is>
          <t>SKIP</t>
        </is>
      </c>
      <c r="V35" t="inlineStr">
        <is>
          <t>SKIP</t>
        </is>
      </c>
      <c r="W35" t="inlineStr">
        <is>
          <t>Flutter; Mobile App Development</t>
        </is>
      </c>
      <c r="X35" t="inlineStr">
        <is>
          <t>Amaanuddin_Ahmed_Resume.pdf</t>
        </is>
      </c>
      <c r="Y35" t="inlineStr">
        <is>
          <t>2026-10-02</t>
        </is>
      </c>
      <c r="AA35" t="inlineStr">
        <is>
          <t>Eligible</t>
        </is>
      </c>
      <c r="AB35" t="inlineStr">
        <is>
          <t>No degree or graduation year hard blockers mentioned in the description.</t>
        </is>
      </c>
      <c r="AC35" t="inlineStr">
        <is>
          <t>Unknown</t>
        </is>
      </c>
      <c r="AD35" t="inlineStr">
        <is>
          <t>Exact start and end dates are not specified in the description.</t>
        </is>
      </c>
      <c r="AE35" t="inlineStr">
        <is>
          <t>Unpaid</t>
        </is>
      </c>
      <c r="AF35" t="n">
        <v>0</v>
      </c>
      <c r="AG35" t="inlineStr">
        <is>
          <t>No</t>
        </is>
      </c>
      <c r="AH35" t="inlineStr">
        <is>
          <t>Not Mentioned</t>
        </is>
      </c>
      <c r="AI35" t="inlineStr">
        <is>
          <t>No mention of PPO or conversion in the job description.</t>
        </is>
      </c>
      <c r="AJ35" t="inlineStr">
        <is>
          <t>Missing mandatory Flutter and mobile app development stack required for the role.; Unpaid internship violates the minimum stipend target of 25,000 INR/month.</t>
        </is>
      </c>
      <c r="AK35" t="inlineStr">
        <is>
          <t>Unpaid internship</t>
        </is>
      </c>
      <c r="AL35" t="inlineStr">
        <is>
          <t>Flutter framework fundamentals; Cross-platform mobile application state management; API integration in mobile apps</t>
        </is>
      </c>
    </row>
    <row r="36">
      <c r="A36" t="inlineStr">
        <is>
          <t>SUNSTONE-261002-35</t>
        </is>
      </c>
      <c r="B36" t="inlineStr">
        <is>
          <t>Sunstone</t>
        </is>
      </c>
      <c r="C36" t="inlineStr">
        <is>
          <t>SDE Intern &amp; Teaching Assistant</t>
        </is>
      </c>
      <c r="D36" t="inlineStr">
        <is>
          <t>https://in.jooble.org/desc/-1295742079193352206?ckey=SDE+intern&amp;rgn=3193&amp;pos=2&amp;elckey=5511221380764901055&amp;p=1&amp;aq=-6833300780600067004&amp;cid=389&amp;jobAge=65&amp;brelb=10&amp;bscr=1192.6199&amp;scr=1192.6199</t>
        </is>
      </c>
      <c r="E36" t="inlineStr">
        <is>
          <t>AI Analyzer</t>
        </is>
      </c>
      <c r="F36" t="inlineStr">
        <is>
          <t>Bangalore</t>
        </is>
      </c>
      <c r="G36" t="inlineStr">
        <is>
          <t>On-site</t>
        </is>
      </c>
      <c r="H36" t="inlineStr">
        <is>
          <t>Not Specified</t>
        </is>
      </c>
      <c r="I36" t="inlineStr">
        <is>
          <t>Not Specified</t>
        </is>
      </c>
      <c r="J36" t="inlineStr">
        <is>
          <t>Not Mentioned</t>
        </is>
      </c>
      <c r="K36" t="inlineStr">
        <is>
          <t>Web Development; Data Structures; Algorithms; Problem-Solving; Programming Concepts</t>
        </is>
      </c>
      <c r="M36" t="inlineStr">
        <is>
          <t>[go to main page](https://in.jooble.org/)
Sign up to access all features of our service
Sign upLog inShare jobsAdd job posting / For companies
- Job search
- Favorites
- Create a CV
New
- [Salaries](https://in.jooble.org/salary)
- Subscriptions
Never miss new jobs in the app
[![Download from Google Play](https://in.jooble.org/assets/images/badges/gray/android/en.png)](https://jooble.onelink.me/CUK2/cdqezxyt)[![Download from App Store](https://in.jooble.org/assets/images/badges/gray/ios/en.png)](https://jooble.onelink.me/CUK2/cdqezxyt)
Company
- [About Jooble](https://in.jooble.org/info/about)
- [Careers](https://jooble.org/hiring)
- [Help Center](https://help.jooble.org/en/support/home)
- [Jobs in India](https://in.jooble.org/)
For Employers
- For ATS
- [Post a Job](https://in.jooble.org/post-a-job?source=footer)
For Job Seekers
- [Popular Searches](https://in.jooble.org/queries)
- [Find Salaries](https://in.jooble.org/salary)
- [Resume Checker](https://in.fitly.work/resume-checker)
Legal
- [Terms of Service](https://in.jooble.org/info/terms)
- [Privacy Policy](https://in.jooble.org/info/privacy)
- Cookie Settings
[Country: India](https://jooble.org/#countries)
© 2006-2026 [Jooble](https://in.jooble.org/)
Flutter SDE Intern
vetifi
[Bangalore](https://in.jooble.org/jobs/Bangalore)
[Apply](https://in.jooble.org/away/-1529116818359291845?p=1&amp;pos=0&amp;rgn=3193&amp;pageType=7&amp;cid=389&amp;jobAge=425&amp;scr=1583.5348&amp;bscr=1583.5348&amp;jdpSource=101&amp;jdpid=1788979382660778522&amp;crId=IN_-219330625202293420IN_3193)
This position requires local presence. Please view similar jobs below.
Job Description: Flutter SDE Intern (Mobile App Development)
**Company:** Vetifi
**Location:** Remote
**Internship Type:** Unpaid Internship
**Duration:** Flexible (3–6 months preferred)
About Vetifi
Vetifi is an innovative veterinary-focused application built to transform how veterinarians work in daily clinical practice. Developed by a veterinarian who understands real-world clinical challenges, the platform simplifies workflows and helps doctors focus on patient care rather than administrative burden.
The app provides instant access to drug information, dosage calculators, fluid rate calculators, and digital prescription generation — all designed for speed, reliability, and offline usability.
Our mission is to empower veterinarians with smart, reliable tools that save time and improve patient outcomes.
Role Overview
We are looking for a **Flutter SDE Intern** to join our engineering team and work on the core mobile application. You will actively contribute to building production-grade features used by real veterinarians.
This role is ideal for someone who wants real startup experience — not dummy tasks — and wants to understand how an actual shipped product evolves.
**Note:** This is an **unpaid internship** focused on hands-on learning, product exposure, and portfolio building.
Key Responsibilities
- Develop and improve features in the **Vetifi Flutter mobile application**
- Implement and manage **in-app subscription payments**
- Build clean, responsive, and smooth UI following good UX practices
- Integrate and maintain backend services using **Firebase**
- Work with authentication, database, storage, and cloud functions
- Optimize app performance, responsiveness, and reliability
- Debug issues and ensure stable production releases
- Collaborate with designers and product team to implement UI accurately
Required Skills
- Strong understanding of **Flutter &amp; Dart fundamentals**
- Ability to build **clean UI/UX in Flutter frontend**
- Experience implementing **subscription/payment systems inside apps**
- Strong working knowledge of **Firebase** (Authentication, Firestore/Realtime DB, Storage, Notifications)
- Understanding of asynchronous programming, API integration, and state management
- Good debugging and problem-solving skills
Preferred (Nice to Have)
- Experience publishing apps on Play Store / App Store
- Knowledge of architecture patterns (MVC, MVVM, Clean Architecture, Provider, Riverpod, Bloc etc.)
- Understanding of offline-first apps and caching
- Familiarity with performance optimization
Eligibility
- Students or recent graduates in Computer Science or related fields
- Self-taught developers with strong projects are welcome
- Must be comfortable working in a remote collaborative environment
What You'll Gain
- Real startup development experience (not practice projects)
- Contribution to a live production app used by professionals
- Strong portfolio and practical industry exposure
- Understanding of scaling an app from product to users
- Mentorship and code review from experienced developers
[Apply](https://in.jooble.org/away/-1529116818359291845?p=1&amp;pos=0&amp;rgn=3193&amp;pageType=7&amp;cid=389&amp;jobAge=425&amp;scr=1583.5348&amp;bscr=1583.5348&amp;jdpSource=101&amp;jdpid=1788979382660778522&amp;crId=IN_-219330625202293420IN_3193)
# SDE Intern &amp; Teaching Assistant
Sunstone
[Bangalore](https://in.jooble.org/jobs/Bangalore)</t>
        </is>
      </c>
      <c r="N36" t="n">
        <v>70</v>
      </c>
      <c r="O36" t="n">
        <v>80</v>
      </c>
      <c r="P36" t="n">
        <v>85</v>
      </c>
      <c r="Q36" t="n">
        <v>70</v>
      </c>
      <c r="R36" t="n">
        <v>50</v>
      </c>
      <c r="S36" t="n">
        <v>50</v>
      </c>
      <c r="T36" t="n">
        <v>65</v>
      </c>
      <c r="U36" t="inlineStr">
        <is>
          <t>CONSIDER</t>
        </is>
      </c>
      <c r="V36" t="inlineStr">
        <is>
          <t>CONSIDER</t>
        </is>
      </c>
      <c r="X36" t="inlineStr">
        <is>
          <t>Default Full Stack / Software Engineering Resume</t>
        </is>
      </c>
      <c r="Y36" t="inlineStr">
        <is>
          <t>2026-10-02</t>
        </is>
      </c>
      <c r="Z36" t="inlineStr">
        <is>
          <t>Matches the candidate's core background in Web Development and DSA.; Located in Bangalore, matching preferred location.; Good opportunity to reinforce technical fundamentals through mentoring and teaching.</t>
        </is>
      </c>
      <c r="AA36" t="inlineStr">
        <is>
          <t>Eligible</t>
        </is>
      </c>
      <c r="AB36" t="inlineStr">
        <is>
          <t>Candidate is pursuing MCA at PES University (2025-2027), matching the student/graduate requirement for B.Tech/CSE or related fields.; Location matches Bengaluru/Bangalore.</t>
        </is>
      </c>
      <c r="AC36" t="inlineStr">
        <is>
          <t>UNKNOWN</t>
        </is>
      </c>
      <c r="AD36" t="inlineStr">
        <is>
          <t>Availability start date is not specified in the candidate profile.</t>
        </is>
      </c>
      <c r="AE36" t="inlineStr">
        <is>
          <t>UNKNOWN</t>
        </is>
      </c>
      <c r="AF36" t="n">
        <v>0</v>
      </c>
      <c r="AG36" t="inlineStr">
        <is>
          <t>No</t>
        </is>
      </c>
      <c r="AH36" t="inlineStr">
        <is>
          <t>Not Mentioned</t>
        </is>
      </c>
      <c r="AI36" t="inlineStr">
        <is>
          <t>The job description does not mention PPO or full-time conversion.</t>
        </is>
      </c>
      <c r="AK36" t="inlineStr">
        <is>
          <t>Role includes Teaching Assistant duties alongside SDE Intern responsibilities, which may not be a pure software engineering role.</t>
        </is>
      </c>
      <c r="AL36" t="inlineStr">
        <is>
          <t>Data Structures and Algorithms fundamentals; Web Development concepts (Frontend &amp; Backend); Teaching and communication skills for doubt clearing; Debugging and coding assessment evaluation</t>
        </is>
      </c>
    </row>
    <row r="37">
      <c r="A37" t="inlineStr">
        <is>
          <t>REPOWISE-261002-36</t>
        </is>
      </c>
      <c r="B37" t="inlineStr">
        <is>
          <t>repowise</t>
        </is>
      </c>
      <c r="C37" t="inlineStr">
        <is>
          <t>SDE Intern (Founding Team)</t>
        </is>
      </c>
      <c r="D37" t="inlineStr">
        <is>
          <t>https://in.jooble.org/desc/-7966063444882906876?ckey=SDE+intern&amp;rgn=3193&amp;pos=3&amp;elckey=5511221380764901055&amp;p=1&amp;aq=-6833300780600067004&amp;cid=389&amp;jobAge=593&amp;brelb=10&amp;bscr=859.8325&amp;scr=859.8325</t>
        </is>
      </c>
      <c r="E37" t="inlineStr">
        <is>
          <t>AI Analyzer</t>
        </is>
      </c>
      <c r="F37" t="inlineStr">
        <is>
          <t>Bangalore</t>
        </is>
      </c>
      <c r="G37" t="inlineStr">
        <is>
          <t>Remote</t>
        </is>
      </c>
      <c r="H37" t="inlineStr">
        <is>
          <t>Not specified</t>
        </is>
      </c>
      <c r="I37" t="inlineStr">
        <is>
          <t>UNKNOWN</t>
        </is>
      </c>
      <c r="J37" t="inlineStr">
        <is>
          <t>UNKNOWN</t>
        </is>
      </c>
      <c r="K37" t="inlineStr">
        <is>
          <t>Python; FastAPI; Git; Docker; LLM integrations</t>
        </is>
      </c>
      <c r="L37" t="inlineStr">
        <is>
          <t>tree-sitter; vector search; MCP</t>
        </is>
      </c>
      <c r="M37" t="inlineStr">
        <is>
          <t>&amp;nbsp;...code Take ownership of features from idea to deployment Tech Stack (Exposure You'll Get) Python, FastAPI, tree-sitter, git &lt;b&gt;internals,&lt;/b&gt; vector search, Docker, MCP, and LLM integrations, applied to static code analysis across 15 languages Qualifications Strong...&amp;nbsp;</t>
        </is>
      </c>
      <c r="N37" t="n">
        <v>51</v>
      </c>
      <c r="O37" t="n">
        <v>40</v>
      </c>
      <c r="P37" t="n">
        <v>60</v>
      </c>
      <c r="Q37" t="n">
        <v>70</v>
      </c>
      <c r="R37" t="n">
        <v>50</v>
      </c>
      <c r="S37" t="n">
        <v>30</v>
      </c>
      <c r="T37" t="n">
        <v>60</v>
      </c>
      <c r="U37" t="inlineStr">
        <is>
          <t>SKIP</t>
        </is>
      </c>
      <c r="V37" t="inlineStr">
        <is>
          <t>SKIP</t>
        </is>
      </c>
      <c r="W37" t="inlineStr">
        <is>
          <t>Python; FastAPI; tree-sitter; vector search; MCP; LLM integrations</t>
        </is>
      </c>
      <c r="X37" t="inlineStr">
        <is>
          <t>Amaanuddin_Ahmed_Resume.pdf</t>
        </is>
      </c>
      <c r="Y37" t="inlineStr">
        <is>
          <t>2026-10-02</t>
        </is>
      </c>
      <c r="Z37" t="inlineStr">
        <is>
          <t>Founding team SDE intern role in AI x Developer Tools.; Remote work mode aligns with preferences.</t>
        </is>
      </c>
      <c r="AA37" t="inlineStr">
        <is>
          <t>ELIGIBLE</t>
        </is>
      </c>
      <c r="AB37" t="inlineStr">
        <is>
          <t>No explicit hard blockers found in the brief JD snippet.</t>
        </is>
      </c>
      <c r="AC37" t="inlineStr">
        <is>
          <t>UNKNOWN</t>
        </is>
      </c>
      <c r="AD37" t="inlineStr">
        <is>
          <t>Availability not explicitly specified in career brain or job description.</t>
        </is>
      </c>
      <c r="AE37" t="inlineStr">
        <is>
          <t>UNKNOWN</t>
        </is>
      </c>
      <c r="AF37" t="n">
        <v>0</v>
      </c>
      <c r="AG37" t="inlineStr">
        <is>
          <t>No</t>
        </is>
      </c>
      <c r="AH37" t="inlineStr">
        <is>
          <t>UNKNOWN</t>
        </is>
      </c>
      <c r="AI37" t="inlineStr">
        <is>
          <t>No explicit mention of PPO or conversion in the job description.</t>
        </is>
      </c>
      <c r="AK37" t="inlineStr">
        <is>
          <t>Extremely brief job description with missing stipend and duration details.</t>
        </is>
      </c>
      <c r="AL37" t="inlineStr">
        <is>
          <t>Python and FastAPI proficiency; LLM integrations and vector search; Git internals and static code analysis</t>
        </is>
      </c>
    </row>
    <row r="38">
      <c r="A38" t="inlineStr">
        <is>
          <t>CLOUDSEK-261002-37</t>
        </is>
      </c>
      <c r="B38" t="inlineStr">
        <is>
          <t>CloudSEK</t>
        </is>
      </c>
      <c r="C38" t="inlineStr">
        <is>
          <t>SDE Intern - Frontend</t>
        </is>
      </c>
      <c r="D38" t="inlineStr">
        <is>
          <t>https://in.jooble.org/desc/395692625088610446?ckey=SDE+intern&amp;rgn=3193&amp;pos=4&amp;elckey=5511221380764901055&amp;p=1&amp;aq=-6833300780600067004&amp;cid=389&amp;jobAge=270&amp;brelb=100&amp;bscr=727.881&amp;scr=727.881</t>
        </is>
      </c>
      <c r="E38" t="inlineStr">
        <is>
          <t>AI Analyzer</t>
        </is>
      </c>
      <c r="F38" t="inlineStr">
        <is>
          <t>Bangalore</t>
        </is>
      </c>
      <c r="G38" t="inlineStr">
        <is>
          <t>Hybrid (at least 4 days in office per week)</t>
        </is>
      </c>
      <c r="H38" t="inlineStr">
        <is>
          <t>Not specified in JD</t>
        </is>
      </c>
      <c r="I38" t="inlineStr">
        <is>
          <t>3-6 Months</t>
        </is>
      </c>
      <c r="J38" t="inlineStr">
        <is>
          <t>NOT_MENTIONED</t>
        </is>
      </c>
      <c r="K38" t="inlineStr">
        <is>
          <t>JavaScript; Object Oriented JavaScript (OOJS); ReactJS; HTML5; CSS</t>
        </is>
      </c>
      <c r="L38" t="inlineStr">
        <is>
          <t>Bootstrap; jQuery; WebPack; Babel; SaSS</t>
        </is>
      </c>
      <c r="M38" t="inlineStr">
        <is>
          <t>[go to main page](https://in.jooble.org/)
Sign up to access all features of our service
Sign upLog inShare jobsAdd job posting / For companies
- Job search
- Favorites
- Create a CV
New
- [Salaries](https://in.jooble.org/salary)
- Subscriptions
Never miss new jobs in the app
[![Download from Google Play](https://in.jooble.org/assets/images/badges/gray/android/en.png)](https://jooble.onelink.me/CUK2/cdqezxyt)[![Download from App Store](https://in.jooble.org/assets/images/badges/gray/ios/en.png)](https://jooble.onelink.me/CUK2/cdqezxyt)
Company
- [About Jooble](https://in.jooble.org/info/about)
- [Careers](https://jooble.org/hiring)
- [Help Center](https://help.jooble.org/en/support/home)
- [Jobs in India](https://in.jooble.org/)
For Employers
- For ATS
- [Post a Job](https://in.jooble.org/post-a-job?source=footer)
For Job Seekers
- [Popular Searches](https://in.jooble.org/queries)
- [Find Salaries](https://in.jooble.org/salary)
- [Resume Checker](https://in.fitly.work/resume-checker)
Legal
- [Terms of Service](https://in.jooble.org/info/terms)
- [Privacy Policy](https://in.jooble.org/info/privacy)
- Cookie Settings
[Country: India](https://jooble.org/#countries)
© 2006-2026 [Jooble](https://in.jooble.org/)
SDE Intern (Founding Team) \| AI x Developer Tools \| Remote
repowise
[Bangalore](https://in.jooble.org/jobs/Bangalore)
- Remote job
[Apply](https://in.jooble.org/away/-7966063444882906876?p=1&amp;pos=0&amp;rgn=3193&amp;pageType=7&amp;cid=389&amp;jobAge=593&amp;scr=859.8325&amp;bscr=859.8325&amp;jdpSource=101&amp;jdpid=-3785913552723763076&amp;crId=IN_-219330625202293420IN_3193)
**Company Description**
Repowise is a codebase intelligence platform that makes AI coding agents actually understand the code they work on. It scores every file in a repo for how likely it is to cause bugs, locates where the risk concentrates through a real dependency graph and git history, and generates the exact fix, all from one local index with zero LLM calls. With 2,500+ GitHub stars and enterprise users already running it in production, Repowise is building the trust layer for an era where AI writes a growing share of the code.
**Role Description**
Build and ship production-grade features across the indexing engine and AI-agent tooling
Work on core platform systems: code parsing, dependency-graph construction, and git-history analysis
Contribute to the code-health engine (defect prediction, refactoring intelligence) and the MCP tools that feed Claude Code, Cursor, and Codex
Improve performance, scalability, and accuracy of analysis across large real-world codebases
Collaborate directly with the founders on product, architecture, and technical direction
Debug, test, and maintain clean, deterministic, well-tested code
Take ownership of features from idea to deployment
**Tech Stack (Exposure You'll Get)**
Python, FastAPI, tree-sitter, git internals, vector search, Docker, MCP, and LLM integrations, applied to static code analysis across 15 languages
**Qualifications**
Strong fundamentals in Data Structures, Algorithms, and core Computer Science concepts
Proficiency in at least one programming language (Python preferred; C++, Go, or Rust a plus)
Hands-on experience with backend development or systems-style projects
Good problem-solving and debugging skills, comfort reading code you didn't write
Ability to work independently in a remote, fast-paced environment
Strong interest in developer tools, compilers/parsers, program analysis, or AI agents
Currently pursuing or recently completed a degree in Computer Science or a related field (or equivalent practical experience)
**Nice to Have (Not Mandatory)**
Experience with static analysis, ASTs, tree-sitter, or graph data structures
Experience building real-world projects (personal, open-source, or startup work)
Familiarity with MCP or AI coding agents (Claude Code, Cursor, Codex)
**Why Join Repowise (Founding Engineer Experience)**
Work directly with the founding team on a product developers genuinely love (2,500+ stars and counting)
Ship features used by engineering teams and enterprises running Repowise in production
Go deep on hard problems: program analysis, graph construction, defect prediction, agent tooling, no busywork
High ownership, fast learning, and meaningful impact from day one
Build in the open: real contributions to a fast-growing developer tool with a public footprint
Flexible, remote-first environment focused on builders and execution
pip install repowise
Repo:
If Repowise found something real in your code, a star helps the next engineer find it
[Apply](https://in.jooble.org/away/-7966063444882906876?p=1&amp;pos=0&amp;rgn=3193&amp;pageType=7&amp;cid=389&amp;jobAge=593&amp;scr=859.8325&amp;bscr=859.8325&amp;jdpSource=101&amp;jdpid=-3785913552723763076&amp;crId=IN_-219330625202293420IN_3193)
# SDE Intern - Frontend
CloudSEK
[Bangalore](https://in.jooble.org/jobs/Bangalore)
[Apply](https://in.jooble.org/away/395692625088610446?p=1&amp;pos=0&amp;rgn=3193&amp;pageType=7&amp;cid=389&amp;jobAge=270&amp;scr=727.881&amp;</t>
        </is>
      </c>
      <c r="N38" t="n">
        <v>66</v>
      </c>
      <c r="O38" t="n">
        <v>60</v>
      </c>
      <c r="P38" t="n">
        <v>75</v>
      </c>
      <c r="Q38" t="n">
        <v>80</v>
      </c>
      <c r="R38" t="n">
        <v>50</v>
      </c>
      <c r="S38" t="n">
        <v>50</v>
      </c>
      <c r="T38" t="n">
        <v>85</v>
      </c>
      <c r="U38" t="inlineStr">
        <is>
          <t>STRETCH</t>
        </is>
      </c>
      <c r="V38" t="inlineStr">
        <is>
          <t>STRETCH</t>
        </is>
      </c>
      <c r="W38" t="inlineStr">
        <is>
          <t>ReactJS; WebPack; Babel; SaSS</t>
        </is>
      </c>
      <c r="X38" t="inlineStr">
        <is>
          <t>Amaanuddin_Ahmed_Resume.pdf</t>
        </is>
      </c>
      <c r="Y38" t="inlineStr">
        <is>
          <t>2026-10-02</t>
        </is>
      </c>
      <c r="Z38" t="inlineStr">
        <is>
          <t>CloudSEK is a prominent cybersecurity product company offering strong brand value and opportunity quality.; Role matches primary target internship title (SDE Intern - Frontend).; Location matches candidate preference (Bangalore).</t>
        </is>
      </c>
      <c r="AA38" t="inlineStr">
        <is>
          <t>ELIGIBLE</t>
        </is>
      </c>
      <c r="AB38" t="inlineStr">
        <is>
          <t>Candidate is based in Bengaluru and available for hybrid work.; Target role aligns with Software Engineer Intern.</t>
        </is>
      </c>
      <c r="AC38" t="inlineStr">
        <is>
          <t>UNKNOWN</t>
        </is>
      </c>
      <c r="AD38" t="inlineStr">
        <is>
          <t>Exact immediate start date availability not explicitly declared in profile.</t>
        </is>
      </c>
      <c r="AE38" t="inlineStr">
        <is>
          <t>UNKNOWN</t>
        </is>
      </c>
      <c r="AF38" t="n">
        <v>0</v>
      </c>
      <c r="AG38" t="inlineStr">
        <is>
          <t>No</t>
        </is>
      </c>
      <c r="AH38" t="inlineStr">
        <is>
          <t>NOT_MENTIONED</t>
        </is>
      </c>
      <c r="AI38" t="inlineStr">
        <is>
          <t>No explicit mention of PPO or conversion in the CloudSEK job description.</t>
        </is>
      </c>
      <c r="AL38" t="inlineStr">
        <is>
          <t>Object Oriented JavaScript (OOJS) and closures; ReactJS component lifecycle, stateful vs stateless components, and hooks; CSS architectures and styling approaches; WebPack and Babel bundling fundamentals</t>
        </is>
      </c>
    </row>
    <row r="39">
      <c r="A39" t="inlineStr">
        <is>
          <t>LIMINAL-CUST-261002-38</t>
        </is>
      </c>
      <c r="B39" t="inlineStr">
        <is>
          <t>liminal custody</t>
        </is>
      </c>
      <c r="C39" t="inlineStr">
        <is>
          <t>QA Automation Intern</t>
        </is>
      </c>
      <c r="D39" t="inlineStr">
        <is>
          <t>https://in.jooble.org/desc/-313820493907634138?ckey=Node.js+intern&amp;rgn=3193&amp;pos=7&amp;elckey=-5733443963698178074&amp;p=1&amp;aq=-4783003923752355042&amp;cid=389&amp;jobAge=881&amp;brelb=10&amp;bscr=1504.7268&amp;scr=1504.7268</t>
        </is>
      </c>
      <c r="E39" t="inlineStr">
        <is>
          <t>AI Analyzer</t>
        </is>
      </c>
      <c r="F39" t="inlineStr">
        <is>
          <t>Bangalore</t>
        </is>
      </c>
      <c r="G39" t="inlineStr">
        <is>
          <t>UNKNOWN</t>
        </is>
      </c>
      <c r="H39" t="inlineStr">
        <is>
          <t>Not specified</t>
        </is>
      </c>
      <c r="I39" t="inlineStr">
        <is>
          <t>UNKNOWN</t>
        </is>
      </c>
      <c r="J39" t="inlineStr">
        <is>
          <t>No</t>
        </is>
      </c>
      <c r="K39" t="inlineStr">
        <is>
          <t>Software Testing; Git; GitHub; Node.js; HTML; CSS</t>
        </is>
      </c>
      <c r="M39" t="inlineStr">
        <is>
          <t>&amp;nbsp;...About the Internship : We are looking for a passionate QA Automation &lt;b&gt;Intern &lt;/b&gt;who is eager to learn modern test automation practices and...&amp;nbsp;&amp;nbsp;...&amp; CSS Software Testing concepts Git/GitHub Knowledge of &lt;b&gt;Node.js.&lt;/b&gt; Strong analytical and problem-solving skills. Good communication...&amp;nbsp;</t>
        </is>
      </c>
      <c r="N39" t="n">
        <v>37</v>
      </c>
      <c r="O39" t="n">
        <v>50</v>
      </c>
      <c r="P39" t="n">
        <v>60</v>
      </c>
      <c r="Q39" t="n">
        <v>40</v>
      </c>
      <c r="R39" t="n">
        <v>0</v>
      </c>
      <c r="S39" t="n">
        <v>0</v>
      </c>
      <c r="T39" t="n">
        <v>40</v>
      </c>
      <c r="U39" t="inlineStr">
        <is>
          <t>SKIP</t>
        </is>
      </c>
      <c r="V39" t="inlineStr">
        <is>
          <t>SKIP</t>
        </is>
      </c>
      <c r="W39" t="inlineStr">
        <is>
          <t>Software Testing; QA Automation</t>
        </is>
      </c>
      <c r="X39" t="inlineStr">
        <is>
          <t>Default Resume</t>
        </is>
      </c>
      <c r="Y39" t="inlineStr">
        <is>
          <t>2026-10-02</t>
        </is>
      </c>
      <c r="Z39" t="inlineStr">
        <is>
          <t>Located in Bangalore; Involves Node.js which candidate has used</t>
        </is>
      </c>
      <c r="AA39" t="inlineStr">
        <is>
          <t>Eligible</t>
        </is>
      </c>
      <c r="AB39" t="inlineStr">
        <is>
          <t>Location matches Bengaluru preference; Role is an internship matching student status</t>
        </is>
      </c>
      <c r="AC39" t="inlineStr">
        <is>
          <t>UNKNOWN</t>
        </is>
      </c>
      <c r="AD39" t="inlineStr">
        <is>
          <t>Not specified in candidate profile or job description</t>
        </is>
      </c>
      <c r="AE39" t="inlineStr">
        <is>
          <t>UNKNOWN</t>
        </is>
      </c>
      <c r="AF39" t="n">
        <v>0</v>
      </c>
      <c r="AG39" t="inlineStr">
        <is>
          <t>No</t>
        </is>
      </c>
      <c r="AH39" t="inlineStr">
        <is>
          <t>No</t>
        </is>
      </c>
      <c r="AI39" t="inlineStr">
        <is>
          <t>No mention of PPO or conversion in the job description</t>
        </is>
      </c>
      <c r="AK39" t="inlineStr">
        <is>
          <t>Stipend information is missing; No PPO mention; Role is QA Automation which diverges from primary Software Development targets</t>
        </is>
      </c>
      <c r="AL39" t="inlineStr">
        <is>
          <t>Software Testing fundamentals and automation concepts; Node.js debugging and testing frameworks; Version control with Git/GitHub</t>
        </is>
      </c>
    </row>
    <row r="40">
      <c r="A40" t="inlineStr">
        <is>
          <t>ABSTRABIT-TE-261002-39</t>
        </is>
      </c>
      <c r="B40" t="inlineStr">
        <is>
          <t>abstrabit technologies</t>
        </is>
      </c>
      <c r="C40" t="inlineStr">
        <is>
          <t>Software Engineering Intern</t>
        </is>
      </c>
      <c r="D40" t="inlineStr">
        <is>
          <t>https://in.jooble.org/desc/-7374053705931243701?ckey=Node.js+intern&amp;rgn=3193&amp;pos=9&amp;elckey=-5733443963698178074&amp;p=1&amp;aq=-4783003923752355042&amp;cid=389&amp;jobAge=233&amp;brelb=10&amp;bscr=1462.0576&amp;scr=1462.0576</t>
        </is>
      </c>
      <c r="E40" t="inlineStr">
        <is>
          <t>AI Analyzer</t>
        </is>
      </c>
      <c r="F40" t="inlineStr">
        <is>
          <t>Bangalore</t>
        </is>
      </c>
      <c r="G40" t="inlineStr">
        <is>
          <t>On-site / Local presence required</t>
        </is>
      </c>
      <c r="H40" t="inlineStr">
        <is>
          <t>Not specified</t>
        </is>
      </c>
      <c r="I40" t="inlineStr">
        <is>
          <t>Not specified</t>
        </is>
      </c>
      <c r="J40" t="inlineStr">
        <is>
          <t>Not Mentioned</t>
        </is>
      </c>
      <c r="K40" t="inlineStr">
        <is>
          <t>Programming fundamentals; Web applications; APIs; Databases; Git</t>
        </is>
      </c>
      <c r="L40" t="inlineStr">
        <is>
          <t>JavaScript; TypeScript; React; Node.js; Next.js</t>
        </is>
      </c>
      <c r="M40" t="inlineStr">
        <is>
          <t>[go to main page](https://in.jooble.org/)
Sign up to access all features of our service
Sign upLog inShare jobsAdd job posting / For companies
- Job search
- Favorites
- Create a CV
New
- [Salaries](https://in.jooble.org/salary)
- Subscriptions
Never miss new jobs in the app
[![Download from Google Play](https://in.jooble.org/assets/images/badges/gray/android/en.png)](https://jooble.onelink.me/CUK2/cdqezxyt)[![Download from App Store](https://in.jooble.org/assets/images/badges/gray/ios/en.png)](https://jooble.onelink.me/CUK2/cdqezxyt)
Company
- [About Jooble](https://in.jooble.org/info/about)
- [Careers](https://jooble.org/hiring)
- [Help Center](https://help.jooble.org/en/support/home)
- [Jobs in India](https://in.jooble.org/)
For Employers
- For ATS
- [Post a Job](https://in.jooble.org/post-a-job?source=footer)
For Job Seekers
- [Popular Searches](https://in.jooble.org/queries)
- [Find Salaries](https://in.jooble.org/salary)
- [Resume Checker](https://in.fitly.work/resume-checker)
Legal
- [Terms of Service](https://in.jooble.org/info/terms)
- [Privacy Policy](https://in.jooble.org/info/privacy)
- Cookie Settings
[Country: India](https://jooble.org/#countries)
© 2006-2026 [Jooble](https://in.jooble.org/)
Full Stack Developer Intern
tradegospel
[Bangalore](https://in.jooble.org/jobs/Bangalore)
[Apply](https://in.jooble.org/away/-4062499930695493919?p=1&amp;pos=0&amp;rgn=3193&amp;pageType=7&amp;cid=389&amp;jobAge=857&amp;scr=1463.133&amp;bscr=1463.133&amp;jdpSource=101&amp;jdpid=-5897635320055890932&amp;crId=IN_8851616716581478535IN_3193)
This position requires local presence. Please view similar jobs below.
About the job
At **TradeGospel** ( we are building technology that empowers businesses and individuals to connect, collaborate, and grow. Our team is passionate about innovation and creating impactful digital solutions.
We are looking for a **Full Stack Developer Intern** to join us for a **3-month internship** at our Bengaluru office. This is a great opportunity to gain hands-on experience working with modern technologies while contributing to real-world projects.
Responsibilities
- Develop and maintain web applications using **React.js, Next.js, and Node.js** .
- Work with **MongoDB** for database operations and integration.
- Test and debug APIs using **Postman** .
- Assist in deploying and managing applications on **AWS** .
- Collaborate with senior developers on design, development, and optimization.
- Participate in code reviews, brainstorming, and agile team discussions.
Qualifications
- Currently pursuing a degree in Computer Science, Engineering, or a related field.
- Familiarity with **React.js, Next.js, Node.js, MongoDB, Postman, and AWS** .
- Strong problem-solving and analytical skills.
- Knowledge of version control systems (Git/GitHub).
- Good communication and teamwork abilities.
Internship Details
- **Duration** : 3 months
- **Stipend** : 5,000 per month
- **Location** : Remote
Why Join Us
- Work on live projects and gain practical full-stack development experience.
- Learn from experienced mentors in a collaborative environment.
- Exposure to modern web development frameworks and cloud technologies.
- A chance to kick-start your career with meaningful, real-world impact.
About TradeGospel
TradeGospel is a technology-driven company focused on building solutions that foster growth and innovation in the digital economy. By leveraging cutting-edge tools, we aim to simplify trade, enhance digital experiences, and empower communities worldwide.
We are an **equal opportunity employer** and encourage applicants from all backgrounds to bring their authentic selves to work.
Apply now and start your journey with TradeGospel!
[Apply](https://in.jooble.org/away/-4062499930695493919?p=1&amp;pos=0&amp;rgn=3193&amp;pageType=7&amp;cid=389&amp;jobAge=857&amp;scr=1463.133&amp;bscr=1463.133&amp;jdpSource=101&amp;jdpid=-5897635320055890932&amp;crId=IN_8851616716581478535IN_3193)
# Software Engineering Intern
abstrabit technologies
[Bangalore](https://in.jooble.org/jobs/Bangalore)
[Apply](https://in.jooble.org/away/-7374053705931243701?p=1&amp;pos=0&amp;rgn=3193&amp;pageType=7&amp;cid=389&amp;jobAge=233&amp;scr=1462.0576&amp;bscr=1462.0576&amp;jdpSource=101&amp;jdpid=7815749016708515050&amp;crId=IN_8851616716581478535IN_3193)
This position requires local presence. Please view similar jobs below.
**Company Description**
**Abstrabit is a Private AI engineering company building AI-powered products and solutions for businesses. We work across the AI stack — from deploying and evaluating private and open-weight models to building production applications, agents, workflows, and integrations on top of them.**
**Our engineering work is organized across two closely connected layers: the  AI layer  , focused on models, inference, evaluation, and AI infrastructure; and the  application layer  , focused on building reliable, scalable software products that use those AI capabilities.**
**The Context**
**AI models are only one part of a production AI system.**
**They still need applicatio</t>
        </is>
      </c>
      <c r="N40" t="n">
        <v>78</v>
      </c>
      <c r="O40" t="n">
        <v>90</v>
      </c>
      <c r="P40" t="n">
        <v>85</v>
      </c>
      <c r="Q40" t="n">
        <v>90</v>
      </c>
      <c r="R40" t="n">
        <v>50</v>
      </c>
      <c r="S40" t="n">
        <v>40</v>
      </c>
      <c r="T40" t="n">
        <v>85</v>
      </c>
      <c r="U40" t="inlineStr">
        <is>
          <t>CONSIDER</t>
        </is>
      </c>
      <c r="V40" t="inlineStr">
        <is>
          <t>CONSIDER</t>
        </is>
      </c>
      <c r="W40" t="inlineStr">
        <is>
          <t>TypeScript</t>
        </is>
      </c>
      <c r="X40" t="inlineStr">
        <is>
          <t>Default Full Stack / Software Engineer Resume highlighting MERN and Node.js projects</t>
        </is>
      </c>
      <c r="Y40" t="inlineStr">
        <is>
          <t>2026-10-02</t>
        </is>
      </c>
      <c r="Z40" t="inlineStr">
        <is>
          <t>Strong alignment with target role (Software Engineer Intern); Tech stack closely matches candidate demonstrated skills in Node.js, React, and databases; Exciting opportunity to work at the intersection of application engineering and modern AI systems</t>
        </is>
      </c>
      <c r="AA40" t="inlineStr">
        <is>
          <t>ELIGIBLE</t>
        </is>
      </c>
      <c r="AB40" t="inlineStr">
        <is>
          <t>Target role matches Software Engineer Intern; Candidate is based in Bengaluru and available for local presence; Meets general engineering student criteria</t>
        </is>
      </c>
      <c r="AC40" t="inlineStr">
        <is>
          <t>UNKNOWN</t>
        </is>
      </c>
      <c r="AD40" t="inlineStr">
        <is>
          <t>Exact start date and availability window not specified in candidate profile</t>
        </is>
      </c>
      <c r="AE40" t="inlineStr">
        <is>
          <t>UNKNOWN</t>
        </is>
      </c>
      <c r="AF40" t="n">
        <v>0</v>
      </c>
      <c r="AG40" t="inlineStr">
        <is>
          <t>No</t>
        </is>
      </c>
      <c r="AH40" t="inlineStr">
        <is>
          <t>Not Mentioned</t>
        </is>
      </c>
      <c r="AI40" t="inlineStr">
        <is>
          <t>The job description does not explicitly mention PPO or conversion opportunities.</t>
        </is>
      </c>
      <c r="AK40" t="inlineStr">
        <is>
          <t>Stipend is not disclosed in the listing</t>
        </is>
      </c>
      <c r="AL40" t="inlineStr">
        <is>
          <t>REST API design and integration; Database operations and data modeling; Debugging workflows across frontend and backend; Problem-solving and engineering fundamentals</t>
        </is>
      </c>
    </row>
    <row r="41">
      <c r="A41" t="inlineStr">
        <is>
          <t>RENTOMOJO-261002-40</t>
        </is>
      </c>
      <c r="B41" t="inlineStr">
        <is>
          <t>RentoMojo</t>
        </is>
      </c>
      <c r="C41" t="inlineStr">
        <is>
          <t>Data Analyst -Intern</t>
        </is>
      </c>
      <c r="D41" t="inlineStr">
        <is>
          <t>https://in.jooble.org/desc/8456592047622568060?ckey=Node.js+intern&amp;rgn=3193&amp;pos=10&amp;elckey=-5733443963698178074&amp;p=1&amp;aq=-4783003923752355042&amp;cid=389&amp;jobAge=593&amp;brelb=10&amp;bscr=1434.3254&amp;scr=1434.3254</t>
        </is>
      </c>
      <c r="E41" t="inlineStr">
        <is>
          <t>AI Analyzer</t>
        </is>
      </c>
      <c r="F41" t="inlineStr">
        <is>
          <t>Bangalore</t>
        </is>
      </c>
      <c r="G41" t="inlineStr">
        <is>
          <t>UNKNOWN</t>
        </is>
      </c>
      <c r="H41" t="inlineStr">
        <is>
          <t>Not specified</t>
        </is>
      </c>
      <c r="I41" t="inlineStr">
        <is>
          <t>UNKNOWN</t>
        </is>
      </c>
      <c r="J41" t="inlineStr">
        <is>
          <t>UNKNOWN</t>
        </is>
      </c>
      <c r="K41" t="inlineStr">
        <is>
          <t>Business KPIs; Data Analysis</t>
        </is>
      </c>
      <c r="L41" t="inlineStr">
        <is>
          <t>Python; Node.js; DBT; Snowflake; Redshift; Fivetran</t>
        </is>
      </c>
      <c r="M41" t="inlineStr">
        <is>
          <t>&amp;nbsp;...). Good understanding of business KPIs and ability to derive insights from raw data. Bonus Points Experience with Python or &lt;b&gt;Node.js &lt;/b&gt;for Lambda scripting and automation. Familiarity with DBT or modern data stack (e.g., Snowflake, Redshift, Fivetran). Exposure...&amp;nbsp;</t>
        </is>
      </c>
      <c r="N41" t="n">
        <v>40</v>
      </c>
      <c r="O41" t="n">
        <v>40</v>
      </c>
      <c r="P41" t="n">
        <v>50</v>
      </c>
      <c r="Q41" t="n">
        <v>40</v>
      </c>
      <c r="R41" t="n">
        <v>30</v>
      </c>
      <c r="S41" t="n">
        <v>30</v>
      </c>
      <c r="T41" t="n">
        <v>50</v>
      </c>
      <c r="U41" t="inlineStr">
        <is>
          <t>SKIP</t>
        </is>
      </c>
      <c r="V41" t="inlineStr">
        <is>
          <t>SKIP</t>
        </is>
      </c>
      <c r="W41" t="inlineStr">
        <is>
          <t>DBT; Snowflake; Redshift; Fivetran</t>
        </is>
      </c>
      <c r="X41" t="inlineStr">
        <is>
          <t>Amaanuddin_Ahmed_Resume.pdf</t>
        </is>
      </c>
      <c r="Y41" t="inlineStr">
        <is>
          <t>2026-10-02</t>
        </is>
      </c>
      <c r="Z41" t="inlineStr">
        <is>
          <t>Located in Bangalore; Mentions Node.js as a bonus point which candidate has experience with</t>
        </is>
      </c>
      <c r="AA41" t="inlineStr">
        <is>
          <t>ELIGIBLE</t>
        </is>
      </c>
      <c r="AC41" t="inlineStr">
        <is>
          <t>UNKNOWN</t>
        </is>
      </c>
      <c r="AD41" t="inlineStr">
        <is>
          <t>Availability not explicitly specified in the job description.</t>
        </is>
      </c>
      <c r="AE41" t="inlineStr">
        <is>
          <t>UNKNOWN</t>
        </is>
      </c>
      <c r="AF41" t="n">
        <v>0</v>
      </c>
      <c r="AG41" t="inlineStr">
        <is>
          <t>No</t>
        </is>
      </c>
      <c r="AH41" t="inlineStr">
        <is>
          <t>UNKNOWN</t>
        </is>
      </c>
      <c r="AI41" t="inlineStr">
        <is>
          <t>No mention of PPO or conversion in the snippet.</t>
        </is>
      </c>
      <c r="AK41" t="inlineStr">
        <is>
          <t>Incomplete job description text snippet; Unclear stipend</t>
        </is>
      </c>
      <c r="AL41" t="inlineStr">
        <is>
          <t>Business KPIs and metric derivation; Node.js for scripting and automation; Data analysis fundamentals</t>
        </is>
      </c>
    </row>
    <row r="42">
      <c r="A42" t="inlineStr">
        <is>
          <t>YOURFRIENDLY-261002-41</t>
        </is>
      </c>
      <c r="B42" t="inlineStr">
        <is>
          <t>yourfriendlyhr</t>
        </is>
      </c>
      <c r="C42" t="inlineStr">
        <is>
          <t>Software Development Intern - Full Stack / Backend Focus</t>
        </is>
      </c>
      <c r="D42" t="inlineStr">
        <is>
          <t>https://in.jooble.org/desc/7896815599256894917?ckey=Node.js+intern&amp;rgn=3193&amp;pos=11&amp;elckey=-5733443963698178074&amp;p=1&amp;aq=-4783003923752355042&amp;cid=389&amp;jobAge=257&amp;brelb=10&amp;bscr=1419.432&amp;scr=1419.432</t>
        </is>
      </c>
      <c r="E42" t="inlineStr">
        <is>
          <t>AI Analyzer</t>
        </is>
      </c>
      <c r="F42" t="inlineStr">
        <is>
          <t>HRBR Layout, Kalyan Nagar, Bengaluru, Karnataka</t>
        </is>
      </c>
      <c r="G42" t="inlineStr">
        <is>
          <t>On-site</t>
        </is>
      </c>
      <c r="I42" t="inlineStr">
        <is>
          <t>6 months</t>
        </is>
      </c>
      <c r="J42" t="inlineStr">
        <is>
          <t>UNKNOWN</t>
        </is>
      </c>
      <c r="K42" t="inlineStr">
        <is>
          <t>JavaScript; Node.js; React.js; REST APIs; Databases; Git; Authentication</t>
        </is>
      </c>
      <c r="L42" t="inlineStr">
        <is>
          <t>Next.js; NestJS; Prisma; MongoDB; PostgreSQL; Redis; Docker</t>
        </is>
      </c>
      <c r="M42" t="inlineStr">
        <is>
          <t>[go to main page](https://in.jooble.org/)
Sign up to access all features of our service
Sign upLog inShare jobsAdd job posting / For companies
- Job search
- Favorites
- Create a CV
New
- [Salaries](https://in.jooble.org/salary)
- Subscriptions
Never miss new jobs in the app
[![Download from Google Play](https://in.jooble.org/assets/images/badges/gray/android/en.png)](https://jooble.onelink.me/CUK2/cdqezxyt)[![Download from App Store](https://in.jooble.org/assets/images/badges/gray/ios/en.png)](https://jooble.onelink.me/CUK2/cdqezxyt)
Company
- [About Jooble](https://in.jooble.org/info/about)
- [Careers](https://jooble.org/hiring)
- [Help Center](https://help.jooble.org/en/support/home)
- [Jobs in India](https://in.jooble.org/)
For Employers
- For ATS
- [Post a Job](https://in.jooble.org/post-a-job?source=footer)
For Job Seekers
- [Popular Searches](https://in.jooble.org/queries)
- [Find Salaries](https://in.jooble.org/salary)
- [Resume Checker](https://in.fitly.work/resume-checker)
Legal
- [Terms of Service](https://in.jooble.org/info/terms)
- [Privacy Policy](https://in.jooble.org/info/privacy)
- Cookie Settings
[Country: India](https://jooble.org/#countries)
© 2006-2026 [Jooble](https://in.jooble.org/)
Data Analyst -Intern
RentoMojo
[Bangalore](https://in.jooble.org/jobs/Bangalore)
[Apply](https://in.jooble.org/away/8456592047622568060?p=1&amp;pos=0&amp;rgn=3193&amp;pageType=7&amp;cid=389&amp;jobAge=593&amp;scr=1434.3254&amp;bscr=1434.3254&amp;jdpSource=101&amp;jdpid=-5211307053546736316&amp;crId=IN_8851616716581478535IN_3193)
This position requires local presence. Please view similar jobs below.
**About The Role**
**We're looking for a sharp, analytical, and business-savvy Data Analyst who is a power user of SQL across platforms like PostgreSQL, MySQL, and AWS Athena. In this role, you won't just write high-performance queries—you'll also automate reporting flows, build scalable pipelines, and ensure real-time visibility into business metrics across teams.**
**If you thrive at the intersection of data engineering, automation, and business storytelling, this role is for you.**
**Key Responsibilities**
**- Build, optimize, and maintain complex SQL queries on Postgres, MySQL, MongoDB and Athena to generate actionable reports and dashboards.**
**- Automate query execution and reporting via Google Sheets, using AWS Lambda or equivalent serverless solutions.**
**- Set up and manage scheduled jobs, alerts, and workflows using AWS Data Pipeline, Step Functions, or similar orchestration tools.**
**- Partner with business stakeholders (Ops, Marketing, Finance, Product) to understand reporting needs and deliver high-impact solutions.**
**- Own day-to-day reporting requirements—automated and ad-hoc—including operational metrics, cohort analyses, funnel reports, and performance dashboards.**
**- Identify data gaps, inconsistencies, and propose scalable solutions for reporting infrastructure.**
**- Translate business problems into analytical tasks and convert data into insights that drive decision-making.**
**- Collaborate with Data Engineering/Platform teams to ensure data integrity and pipeline reliability.**
**Must-Have Skills**
**- Advanced SQL proficiency across PostgreSQL, MySQL, and AWS Athena.**
**- Strong experience in automating data workflows, especially pushing query outputs to Google Sheets using AWS Lambda or similar tools.**
**- Knowledge of AWS Data Pipeline, Glue jobs, and scheduling/event-driven processing.**
**- Experience with data modeling and structuring datasets for analytics.**
**- Comfortable navigating large and messy datasets to answer open-ended business questions.**
**- Proficient in Excel and/or BI tools (e.g., Metabase, Power BI, Tableau, Looker).**
**- Good understanding of business KPIs and ability to derive insights from raw data.**
**Bonus Points**
**- Experience with Python or Node.js for Lambda scripting and automation.**
**- Familiarity with DBT or modern data stack (e.g., Snowflake, Redshift, Fivetran).**
**- Exposure to product or supply chain analytics in a fast-paced environment.**
**Skills: python,data,aws,sql**
[Apply](https://in.jooble.org/away/8456592047622568060?p=1&amp;pos=0&amp;rgn=3193&amp;pageType=7&amp;cid=389&amp;jobAge=593&amp;scr=1434.3254&amp;bscr=1434.3254&amp;jdpSource=101&amp;jdpid=-5211307053546736316&amp;crId=IN_8851616716581478535IN_3193)
# Software Development Intern - Full Stack / Backend Focus
yourfriendlyhr
[Bangalore](https://in.jooble.org/jobs/Bangalore)
[Apply](https://in.jooble.org/away/7896815599256894917?p=1&amp;pos=0&amp;rgn=3193&amp;pageType=7&amp;cid=389&amp;jobAge=257&amp;scr=1419.432&amp;bscr=1419.432&amp;jdpSource=101&amp;jdpid=470001669216854907&amp;crId=IN_8851616716581478535IN_3193)
This position requires local presence. Please view similar jobs below.
This role is with our client, a Bengaluru-based technology company that helps small and growing businesses turn their ideas into practical, scalable digital solutions. They work across custom software development, web and mobile applications, UI/UX, API integrati</t>
        </is>
      </c>
      <c r="N42" t="n">
        <v>79</v>
      </c>
      <c r="O42" t="n">
        <v>88</v>
      </c>
      <c r="P42" t="n">
        <v>90</v>
      </c>
      <c r="Q42" t="n">
        <v>95</v>
      </c>
      <c r="R42" t="n">
        <v>50</v>
      </c>
      <c r="S42" t="n">
        <v>50</v>
      </c>
      <c r="T42" t="n">
        <v>80</v>
      </c>
      <c r="U42" t="inlineStr">
        <is>
          <t>CONSIDER</t>
        </is>
      </c>
      <c r="V42" t="inlineStr">
        <is>
          <t>CONSIDER</t>
        </is>
      </c>
      <c r="W42" t="inlineStr">
        <is>
          <t>TypeScript; Next.js; NestJS; Prisma</t>
        </is>
      </c>
      <c r="X42" t="inlineStr">
        <is>
          <t>Default Full Stack / Backend Resume</t>
        </is>
      </c>
      <c r="Y42" t="inlineStr">
        <is>
          <t>2026-10-02</t>
        </is>
      </c>
      <c r="Z42" t="inlineStr">
        <is>
          <t>Role aligns perfectly with primary target roles (Software Development Engineer Intern / Full Stack Developer Intern).; Strong technical overlap with demonstrated Node.js, Express, React, and database skills.; Located in Bengaluru with an on-site mode matching candidate preferences.</t>
        </is>
      </c>
      <c r="AA42" t="inlineStr">
        <is>
          <t>ELIGIBLE</t>
        </is>
      </c>
      <c r="AB42" t="inlineStr">
        <is>
          <t>Candidate is an MCA student matching target internship roles.; Location matches preferred location of Bengaluru.; Experience requirements match students/freshers/candidates with relevant projects.</t>
        </is>
      </c>
      <c r="AC42" t="inlineStr">
        <is>
          <t>UNKNOWN</t>
        </is>
      </c>
      <c r="AD42" t="inlineStr">
        <is>
          <t>Exact start date availability not explicitly specified in career brain.</t>
        </is>
      </c>
      <c r="AE42" t="inlineStr">
        <is>
          <t>UNKNOWN</t>
        </is>
      </c>
      <c r="AF42" t="n">
        <v>0</v>
      </c>
      <c r="AG42" t="inlineStr">
        <is>
          <t>No</t>
        </is>
      </c>
      <c r="AH42" t="inlineStr">
        <is>
          <t>UNKNOWN</t>
        </is>
      </c>
      <c r="AI42" t="inlineStr">
        <is>
          <t>PPO or conversion details are not explicitly mentioned in the job description.</t>
        </is>
      </c>
      <c r="AL42" t="inlineStr">
        <is>
          <t>Node.js asynchronous programming and event loop; Express middleware and request-response lifecycle; Authentication vs Authorization (JWT, sessions, RBAC); Database indexing and CRUD operations; Frontend-backend communication and REST API error handling</t>
        </is>
      </c>
    </row>
    <row r="43">
      <c r="A43" t="inlineStr">
        <is>
          <t>PLAYO-261002-42</t>
        </is>
      </c>
      <c r="B43" t="inlineStr">
        <is>
          <t>Playo</t>
        </is>
      </c>
      <c r="C43" t="inlineStr">
        <is>
          <t>Engineering Intern</t>
        </is>
      </c>
      <c r="D43" t="inlineStr">
        <is>
          <t>https://in.jooble.org/desc/3698294621831243034?ckey=Node.js+intern&amp;rgn=3193&amp;pos=13&amp;elckey=-5733443963698178074&amp;p=1&amp;aq=-4783003923752355042&amp;cid=389&amp;jobAge=89&amp;brelb=10&amp;bscr=1320.1&amp;scr=1320.1</t>
        </is>
      </c>
      <c r="E43" t="inlineStr">
        <is>
          <t>AI Analyzer</t>
        </is>
      </c>
      <c r="F43" t="inlineStr">
        <is>
          <t>Bangalore</t>
        </is>
      </c>
      <c r="G43" t="inlineStr">
        <is>
          <t>Not specified</t>
        </is>
      </c>
      <c r="H43" t="inlineStr">
        <is>
          <t>Not specified</t>
        </is>
      </c>
      <c r="I43" t="inlineStr">
        <is>
          <t>Not specified</t>
        </is>
      </c>
      <c r="J43" t="inlineStr">
        <is>
          <t>Not mentioned</t>
        </is>
      </c>
      <c r="K43" t="inlineStr">
        <is>
          <t>Node.js; MySQL; Docker</t>
        </is>
      </c>
      <c r="L43" t="inlineStr">
        <is>
          <t>Redis; AWS SNS/SQS; Docker Compose</t>
        </is>
      </c>
      <c r="M43" t="inlineStr">
        <is>
          <t>&amp;nbsp;...MySQL, Redis, AWS SNS/SQS, Docker. 2) Full-Stack Engineering — &lt;b&gt;Node.js &lt;/b&gt; Developing consumer features across discovery, social groups,...&amp;nbsp;&amp;nbsp;...local orchestration environments with Docker Compose for &lt;b&gt;internal &lt;/b&gt;engineering teams. Establishing telemetry metrics, distributed...&amp;nbsp;</t>
        </is>
      </c>
      <c r="N43" t="n">
        <v>74</v>
      </c>
      <c r="O43" t="n">
        <v>80</v>
      </c>
      <c r="P43" t="n">
        <v>85</v>
      </c>
      <c r="Q43" t="n">
        <v>90</v>
      </c>
      <c r="R43" t="n">
        <v>50</v>
      </c>
      <c r="S43" t="n">
        <v>50</v>
      </c>
      <c r="T43" t="n">
        <v>70</v>
      </c>
      <c r="U43" t="inlineStr">
        <is>
          <t>CONSIDER</t>
        </is>
      </c>
      <c r="V43" t="inlineStr">
        <is>
          <t>CONSIDER</t>
        </is>
      </c>
      <c r="W43" t="inlineStr">
        <is>
          <t>Redis; AWS SNS/SQS</t>
        </is>
      </c>
      <c r="X43" t="inlineStr">
        <is>
          <t>Amaanuddin_Ahmed_Resume.pdf</t>
        </is>
      </c>
      <c r="Y43" t="inlineStr">
        <is>
          <t>2026-10-02</t>
        </is>
      </c>
      <c r="Z43" t="inlineStr">
        <is>
          <t>Matches primary target role as an Engineering/Backend Intern in Bangalore; Requires core demonstrated skills like Node.js, MySQL, and Docker</t>
        </is>
      </c>
      <c r="AA43" t="inlineStr">
        <is>
          <t>Eligible</t>
        </is>
      </c>
      <c r="AB43" t="inlineStr">
        <is>
          <t>Location matches preferred location (Bangalore); Role matches target internship domain</t>
        </is>
      </c>
      <c r="AC43" t="inlineStr">
        <is>
          <t>Unknown</t>
        </is>
      </c>
      <c r="AD43" t="inlineStr">
        <is>
          <t>Availability dates not specified in the job description</t>
        </is>
      </c>
      <c r="AE43" t="inlineStr">
        <is>
          <t>UNKNOWN</t>
        </is>
      </c>
      <c r="AF43" t="n">
        <v>0</v>
      </c>
      <c r="AG43" t="inlineStr">
        <is>
          <t>No</t>
        </is>
      </c>
      <c r="AH43" t="inlineStr">
        <is>
          <t>Not mentioned</t>
        </is>
      </c>
      <c r="AI43" t="inlineStr">
        <is>
          <t>No mention of PPO or conversion in the snippet</t>
        </is>
      </c>
      <c r="AK43" t="inlineStr">
        <is>
          <t>Stipend is not disclosed; Job description snippet is very brief and incomplete</t>
        </is>
      </c>
      <c r="AL43" t="inlineStr">
        <is>
          <t>Node.js architecture and asynchronous programming; MySQL database design and query optimization; Containerization using Docker and Docker Compose</t>
        </is>
      </c>
    </row>
    <row r="44">
      <c r="A44" t="inlineStr">
        <is>
          <t>SMYTTEN-(PUL-261002-43</t>
        </is>
      </c>
      <c r="B44" t="inlineStr">
        <is>
          <t>Smytten (PulseAI Research)</t>
        </is>
      </c>
      <c r="C44" t="inlineStr">
        <is>
          <t>Software Development Engineer Intern - Backend</t>
        </is>
      </c>
      <c r="D44" t="inlineStr">
        <is>
          <t>https://in.jooble.org/desc/-3697916622688250511?ckey=Node.js+intern&amp;rgn=3193&amp;pos=16&amp;elckey=-5733443963698178074&amp;p=1&amp;aq=-4783003923752355042&amp;cid=389&amp;jobAge=809&amp;brelb=10&amp;bscr=1181.2272&amp;scr=1181.2272</t>
        </is>
      </c>
      <c r="E44" t="inlineStr">
        <is>
          <t>AI Analyzer</t>
        </is>
      </c>
      <c r="F44" t="inlineStr">
        <is>
          <t>Bangalore</t>
        </is>
      </c>
      <c r="G44" t="inlineStr">
        <is>
          <t>On-site</t>
        </is>
      </c>
      <c r="H44" t="inlineStr">
        <is>
          <t>This is a paid internship.</t>
        </is>
      </c>
      <c r="I44" t="inlineStr">
        <is>
          <t>4-6 months</t>
        </is>
      </c>
      <c r="J44" t="inlineStr">
        <is>
          <t>AVAILABLE</t>
        </is>
      </c>
      <c r="K44" t="inlineStr">
        <is>
          <t>Data structures and algorithms; Backend development; REST/gRPC APIs; SQL and modern database architectures; Caching, queues and asynchronous processing; Cloud-native application development</t>
        </is>
      </c>
      <c r="L44" t="inlineStr">
        <is>
          <t>LLM APIs and Generative AI applications; RAG, embeddings and vector databases; Docker / Kubernetes; AWS / GCP / Azure; Redis</t>
        </is>
      </c>
      <c r="M44" t="inlineStr">
        <is>
          <t xml:space="preserve">[go to main page](https://in.jooble.org/)
Sign up to access all features of our service
Sign upLog inShare jobsAdd job posting / For companies
- Job search
- Favorites
- Create a CV
New
- [Salaries](https://in.jooble.org/salary)
- Subscriptions
Never miss new jobs in the app
[![Download from Google Play](https://in.jooble.org/assets/images/badges/gray/android/en.png)](https://jooble.onelink.me/CUK2/cdqezxyt)[![Download from App Store](https://in.jooble.org/assets/images/badges/gray/ios/en.png)](https://jooble.onelink.me/CUK2/cdqezxyt)
Company
- [About Jooble](https://in.jooble.org/info/about)
- [Careers](https://jooble.org/hiring)
- [Help Center](https://help.jooble.org/en/support/home)
- [Jobs in India](https://in.jooble.org/)
For Employers
- For ATS
- [Post a Job](https://in.jooble.org/post-a-job?source=footer)
For Job Seekers
- [Popular Searches](https://in.jooble.org/queries)
- [Find Salaries](https://in.jooble.org/salary)
- [Resume Checker](https://in.fitly.work/resume-checker)
Legal
- [Terms of Service](https://in.jooble.org/info/terms)
- [Privacy Policy](https://in.jooble.org/info/privacy)
- Cookie Settings
[Country: India](https://jooble.org/#countries)
© 2006-2026 [Jooble](https://in.jooble.org/)
Software Development Engineer Intern Backend
Smytten
[Bangalore](https://in.jooble.org/jobs/Bangalore)
[Apply](https://in.jooble.org/away/-7679600165468888313?p=1&amp;pos=0&amp;rgn=3193&amp;pageType=7&amp;cid=389&amp;jobAge=65&amp;scr=1213.489&amp;bscr=1213.489&amp;jdpSource=101&amp;jdpid=1816702294865219302&amp;crId=IN_8851616716581478535IN_3193)
This position requires local presence. Please view similar jobs below.
**ABOUT PULSEAI RESEARCH (**
**PulseAI Research is an AI-powered consumer intelligence and research platform, powered by Smytten. We help brands understand real consumer behaviour through data, AI, and insights from millions of real shopper interactions. From consumer research and product testing to behavioural insights, we enable brands to make faster, data-driven decisions.**
**As an intern, you will be working alongside the teams building and scaling our AI-powered consumer intelligence platform and the custom enterprise apps — which means real exposure to large-scale data, AI-driven product features, and systems used by the Fortune 500 companies every day.**
**What You Would Be Working On**
**- Design and build highly scalable, secure and fault-tolerant backend systems powering enterprise-grade AI applications across Consumer Research and Analytics.**
**- Build the orchestration layer for AI and agentic workflows — connecting LLMs, analytical models, data sources, research engines and enterprise applications into reliable production systems.**
**- Develop high-performance APIs, microservices and asynchronous processing systems that power AI-led research, analytics, dashboards, automated insight generation and enterprise integrations.**
**- Build backend infrastructure for GenAI applications, including model gateways, prompt and workflow orchestration, structured outputs, RAG pipelines, embeddings, vector retrieval, caching, evaluation and AI guardrails.**
**- Build AI systems that operate across structured and unstructured data — survey responses, behavioural events, transactions, documents, conversations, qualitative interviews and external intelligence sources.**
**- Engineer multi-tenant enterprise architecture with strong data isolation, role-based access controls, auditability, authentication, API security and privacy-by-design principles.**
**- Build scalable research and analytics workflow engines capable of managing long-running jobs, distributed tasks, retries, queues, scheduling and real-time status updates.**
**- Create production-grade integrations with LLMs and machine-learning models, while solving for latency, reliability, model fallbacks, token economics, observability and output quality.**
**- Build systems that make AI explainable and auditable by maintaining lineage between source data, analytical transformations, model outputs and final recommendations.**
**- Work closely with AI/ML engineers, data scientists, researchers, product teams and analytics experts to convert complex research and analytical methodologies into scalable software products.**
**- Continuously experiment with new developments across LLMs, AI agents, retrieval systems, reasoning models and data infrastructure, and translate the ones that matter into production capabilities.**
**YOU DON'T NEED TO BE AN EXPERT — BUT THESE SHOULDN'T BE STRANGERS**
**- Data structures, algorithms and computer science fundamentals**
**- Backend development in Python, Java, Go, Node.js or equivalent**
**- REST/gRPC APIs and distributed system concepts**
**- Understanding of environment variables, and json handling**
**- SQL and modern database architectures**
**- Caching, queues and asynchronous processing**
**- Cloud-native application development**
**YOU'LL BE HARD TO IGNORE IF YOU'VE WORKED WITH ANY OF THESE**
**- LM APIs </t>
        </is>
      </c>
      <c r="N44" t="n">
        <v>79</v>
      </c>
      <c r="O44" t="n">
        <v>75</v>
      </c>
      <c r="P44" t="n">
        <v>80</v>
      </c>
      <c r="Q44" t="n">
        <v>85</v>
      </c>
      <c r="R44" t="n">
        <v>90</v>
      </c>
      <c r="S44" t="n">
        <v>50</v>
      </c>
      <c r="T44" t="n">
        <v>90</v>
      </c>
      <c r="U44" t="inlineStr">
        <is>
          <t>CONSIDER</t>
        </is>
      </c>
      <c r="V44" t="inlineStr">
        <is>
          <t>CONSIDER</t>
        </is>
      </c>
      <c r="W44" t="inlineStr">
        <is>
          <t>Generative AI / LLMs; Vector databases / RAG; Docker / Kubernetes</t>
        </is>
      </c>
      <c r="X44" t="inlineStr">
        <is>
          <t>Standard Full-Stack Resume highlighting Node.js, Express, MySQL, MongoDB, and REST API development experience.</t>
        </is>
      </c>
      <c r="Y44" t="inlineStr">
        <is>
          <t>2026-10-02</t>
        </is>
      </c>
      <c r="Z44" t="inlineStr">
        <is>
          <t>Role offers PPO consideration upon completing the 4-month minimum duration.; High opportunity quality working on enterprise-grade AI and backend systems.; Strong technical alignment with Node.js, REST APIs, and database architecture.</t>
        </is>
      </c>
      <c r="AA44" t="inlineStr">
        <is>
          <t>ELIGIBLE</t>
        </is>
      </c>
      <c r="AB44" t="inlineStr">
        <is>
          <t>MCA student graduating in 2027 matching eligible batch requirements; Available for 4-6 month full-time internship; Local presence in Bengaluru</t>
        </is>
      </c>
      <c r="AC44" t="inlineStr">
        <is>
          <t>UNKNOWN</t>
        </is>
      </c>
      <c r="AD44" t="inlineStr">
        <is>
          <t>Exact start date availability is not explicitly specified in the candidate profile.</t>
        </is>
      </c>
      <c r="AE44" t="inlineStr">
        <is>
          <t>UNKNOWN</t>
        </is>
      </c>
      <c r="AF44" t="n">
        <v>0</v>
      </c>
      <c r="AG44" t="inlineStr">
        <is>
          <t>No</t>
        </is>
      </c>
      <c r="AH44" t="inlineStr">
        <is>
          <t>AVAILABLE</t>
        </is>
      </c>
      <c r="AI44" t="inlineStr">
        <is>
          <t>4 months minimum to qualify for PPO consideration</t>
        </is>
      </c>
      <c r="AL44" t="inlineStr">
        <is>
          <t>Data structures, algorithms, and backend fundamentals in Node.js; REST API design and database indexing/query optimization; Asynchronous processing, queues, and caching mechanisms; Previous full-stack internship experience and production deployments</t>
        </is>
      </c>
    </row>
    <row r="45">
      <c r="A45" t="inlineStr">
        <is>
          <t>VISCR-AI-261002-44</t>
        </is>
      </c>
      <c r="B45" t="inlineStr">
        <is>
          <t>viscr ai</t>
        </is>
      </c>
      <c r="C45" t="inlineStr">
        <is>
          <t>Intern Software Development Engineering R&amp;D (AI/ML/NLP)</t>
        </is>
      </c>
      <c r="D45" t="inlineStr">
        <is>
          <t>https://in.jooble.org/desc/-8319584585580036309?ckey=Node.js+intern&amp;rgn=3193&amp;pos=17&amp;elckey=-5733443963698178074&amp;p=1&amp;aq=-4783003923752355042&amp;cid=389&amp;jobAge=905&amp;brelb=10&amp;bscr=1141.7026&amp;scr=1141.7026</t>
        </is>
      </c>
      <c r="E45" t="inlineStr">
        <is>
          <t>AI Analyzer</t>
        </is>
      </c>
      <c r="F45" t="inlineStr">
        <is>
          <t>Bangalore</t>
        </is>
      </c>
      <c r="G45" t="inlineStr">
        <is>
          <t>On-site</t>
        </is>
      </c>
      <c r="I45" t="inlineStr">
        <is>
          <t>6 months</t>
        </is>
      </c>
      <c r="J45" t="inlineStr">
        <is>
          <t>HIGH</t>
        </is>
      </c>
      <c r="K45" t="inlineStr">
        <is>
          <t>ML/NLP tools and algorithms; Programming in Python, Java, Node.js, or JavaScript; SQL and NoSQL databases; API Integration</t>
        </is>
      </c>
      <c r="L45" t="inlineStr">
        <is>
          <t>Web crawling with Puppeteer or Selenium; Data Lakes; Design Patterns; Distributed systems; Research experience</t>
        </is>
      </c>
      <c r="M45" t="inlineStr">
        <is>
          <t>[go to main page](https://in.jooble.org/)
Sign up to access all features of our service
Sign upLog inShare jobsAdd job posting / For companies
- Job search
- Favorites
- Create a CV
New
- [Salaries](https://in.jooble.org/salary)
- Subscriptions
Never miss new jobs in the app
[![Download from Google Play](https://in.jooble.org/assets/images/badges/gray/android/en.png)](https://jooble.onelink.me/CUK2/cdqezxyt)[![Download from App Store](https://in.jooble.org/assets/images/badges/gray/ios/en.png)](https://jooble.onelink.me/CUK2/cdqezxyt)
Company
- [About Jooble](https://in.jooble.org/info/about)
- [Careers](https://jooble.org/hiring)
- [Help Center](https://help.jooble.org/en/support/home)
- [Jobs in India](https://in.jooble.org/)
For Employers
- For ATS
- [Post a Job](https://in.jooble.org/post-a-job?source=footer)
For Job Seekers
- [Popular Searches](https://in.jooble.org/queries)
- [Find Salaries](https://in.jooble.org/salary)
- [Resume Checker](https://in.fitly.work/resume-checker)
Legal
- [Terms of Service](https://in.jooble.org/info/terms)
- [Privacy Policy](https://in.jooble.org/info/privacy)
- Cookie Settings
[Country: India](https://jooble.org/#countries)
© 2006-2026 [Jooble](https://in.jooble.org/)
Tech- Intern
Lane
[Bangalore](https://in.jooble.org/jobs/Bangalore)
[Apply](https://in.jooble.org/away/-3697916622688250511?p=1&amp;pos=0&amp;rgn=3193&amp;pageType=7&amp;cid=389&amp;jobAge=809&amp;scr=1181.2272&amp;bscr=1181.2272&amp;jdpSource=101&amp;jdpid=-2952112168848758596&amp;crId=IN_8851616716581478535IN_3193)
This position requires local presence. Please view similar jobs below.
**Location:** Bengaluru (Indiranagar)
**Reporting to:** Technical Head
**Experience:** Fresher
**Type: Internship**
**About Lane Technologies**
Lane Technologies is a technology-driven company focused on building innovative, scalable, and user-centric digital solutions. We work across modern software stacks to deliver high-quality products for real-world business challenges.
**Role Overview**
We are looking for motivated and curious developers who are eager to gain hands-on experience in software development and technology operations. As a Tech Intern, you will work closely with our engineering team on live projects and contribute to real product development.
Key Responsibilities
**What You Will Do**
- Full-Stack Support: Assist in connecting frontend user interfaces with backend application logic (APIs).
- Cloud Deployment: Learn and assist in deploying, hosting, and monitoring applications on AWS.
- Database &amp; Caching: Write basic database queries and help implement caching layers using Redis to make applications run faster.
- Troubleshooting: Debug issues across the entire stack, from UI glitches to server-side errors.
- Coordinate with Sales, Ops and Car Comm Team to get the update on pages and analytics.
**Skills We Are Looking For**
- Cloud (Essential): Basic, hands-on exposure to core AWS services (like EC2, S3, or RDS) through personal projects, college work, or certifications.
- Coding Basics: Familiarity with at least one backend language (e.g., Node.js, Python) and frontend basics (HTML/CSS/JavaScript or React).
- Data Basics: Understanding of SQL/NoSQL databases and the basic concept of caching (Redis).
- Mindset: Curious, self-driven, and excited to build things from scratch.
**Who Should Apply**
- Students or recent graduates in Computer Science, IT, Engineering, or related fields
- Passionate learners looking to build a strong technical foundation
- Candidates eager to grow in a fast-paced tech environment
[Apply](https://in.jooble.org/away/-3697916622688250511?p=1&amp;pos=0&amp;rgn=3193&amp;pageType=7&amp;cid=389&amp;jobAge=809&amp;scr=1181.2272&amp;bscr=1181.2272&amp;jdpSource=101&amp;jdpid=-2952112168848758596&amp;crId=IN_8851616716581478535IN_3193)
# Intern Software Development Engineering R&amp;D (AI/ML/NLP), Graduation Year
viscr ai
[Bangalore](https://in.jooble.org/jobs/Bangalore)
[Apply](https://in.jooble.org/away/-8319584585580036309?p=1&amp;pos=0&amp;rgn=3193&amp;pageType=7&amp;cid=389&amp;jobAge=905&amp;scr=1141.7026&amp;bscr=1141.7026&amp;jdpSource=101&amp;jdpid=-4424927919752591862&amp;crId=IN_8851616716581478535IN_3193)
This position requires local presence. Please view similar jobs below.
**Job description**
Key things to Note, before you consider applying:
- **Process and stages of Interview process:**(i) Technical Screening, (ii) Coding Task: Given a three to four days of time to implement a software engineering development task (Note: It is not a paid task), (iii) Coding round that involves, demo, code walk through of the coding task, (iv) coding round (v) HR round and Offer discussion.
- This will be 6 months of Internship with data and NLP team, they will be working on core data pipeline development projects. Upon successful completion of their Internship, considering performance they will converted into full-time without Probation period. In general, we have a probation of 6 months for full-time engineers. Candidates will be provided with regular feedback that h</t>
        </is>
      </c>
      <c r="N45" t="n">
        <v>68</v>
      </c>
      <c r="O45" t="n">
        <v>60</v>
      </c>
      <c r="P45" t="n">
        <v>70</v>
      </c>
      <c r="Q45" t="n">
        <v>65</v>
      </c>
      <c r="R45" t="n">
        <v>95</v>
      </c>
      <c r="S45" t="n">
        <v>30</v>
      </c>
      <c r="T45" t="n">
        <v>85</v>
      </c>
      <c r="U45" t="inlineStr">
        <is>
          <t>STRETCH</t>
        </is>
      </c>
      <c r="V45" t="inlineStr">
        <is>
          <t>STRETCH</t>
        </is>
      </c>
      <c r="W45" t="inlineStr">
        <is>
          <t>Strong exposure to ML/NLP tools and algorithms; Web crawling with Puppeteer or Selenium; Data Lakes</t>
        </is>
      </c>
      <c r="X45" t="inlineStr">
        <is>
          <t>Amaanuddin_Ahmed_Full_Stack_Resume.pdf</t>
        </is>
      </c>
      <c r="Y45" t="inlineStr">
        <is>
          <t>2026-10-02</t>
        </is>
      </c>
      <c r="Z45" t="inlineStr">
        <is>
          <t>Offers a strong conversion path to a full-time role without a probation period.; Working with top engineers, PhDs, and cybersecurity experts provides great learning and publication potential.; Matches primary software engineering and backend intern target roles.</t>
        </is>
      </c>
      <c r="AA45" t="inlineStr">
        <is>
          <t>ELIGIBLE</t>
        </is>
      </c>
      <c r="AB45" t="inlineStr">
        <is>
          <t>Candidate is an MCA student graduating in 2027, fitting the Computer Science and engineering academic background requirement.; Local presence in Bangalore matches the on-site requirement.</t>
        </is>
      </c>
      <c r="AC45" t="inlineStr">
        <is>
          <t>UNKNOWN</t>
        </is>
      </c>
      <c r="AD45" t="inlineStr">
        <is>
          <t>Exact start date availability is not specified in the career brain.</t>
        </is>
      </c>
      <c r="AE45" t="inlineStr">
        <is>
          <t>UNKNOWN</t>
        </is>
      </c>
      <c r="AF45" t="n">
        <v>0</v>
      </c>
      <c r="AG45" t="inlineStr">
        <is>
          <t>No</t>
        </is>
      </c>
      <c r="AH45" t="inlineStr">
        <is>
          <t>HIGH</t>
        </is>
      </c>
      <c r="AI45" t="inlineStr">
        <is>
          <t>Upon successful completion of their Internship, considering performance they will converted into full-time without Probation period.</t>
        </is>
      </c>
      <c r="AK45" t="inlineStr">
        <is>
          <t>Rigorous multi-stage interview process including a 3 to 4 day unpaid coding task and multiple technical coding rounds.</t>
        </is>
      </c>
      <c r="AL45" t="inlineStr">
        <is>
          <t>Backend development and API integrations; Database management and data pipeline concepts; Core computer science fundamentals and design patterns; Walkthrough of the 3-4 day take-home coding task</t>
        </is>
      </c>
    </row>
    <row r="46">
      <c r="A46" t="inlineStr">
        <is>
          <t>TURBOSTART-261002-45</t>
        </is>
      </c>
      <c r="B46" t="inlineStr">
        <is>
          <t>Turbostart</t>
        </is>
      </c>
      <c r="C46" t="inlineStr">
        <is>
          <t>Forward Deployment Engineer Intern</t>
        </is>
      </c>
      <c r="D46" t="inlineStr">
        <is>
          <t>https://in.jooble.org/desc/-5074416721205970863?ckey=Node.js+intern&amp;rgn=3193&amp;pos=18&amp;elckey=-5733443963698178074&amp;p=1&amp;aq=-4783003923752355042&amp;cid=389&amp;jobAge=89&amp;brelb=10&amp;bscr=1129.1272&amp;scr=1129.1272</t>
        </is>
      </c>
      <c r="E46" t="inlineStr">
        <is>
          <t>AI Analyzer</t>
        </is>
      </c>
      <c r="F46" t="inlineStr">
        <is>
          <t>Bengaluru</t>
        </is>
      </c>
      <c r="G46" t="inlineStr">
        <is>
          <t>On-site</t>
        </is>
      </c>
      <c r="H46" t="inlineStr">
        <is>
          <t>Not specified</t>
        </is>
      </c>
      <c r="I46" t="inlineStr">
        <is>
          <t>Not specified</t>
        </is>
      </c>
      <c r="J46" t="inlineStr">
        <is>
          <t>Not Mentioned</t>
        </is>
      </c>
      <c r="K46" t="inlineStr">
        <is>
          <t>Programming fundamentals in Java, JavaScript, Python, or Node.js; REST APIs and JSON; Databases and basic SQL; Git/version control</t>
        </is>
      </c>
      <c r="L46" t="inlineStr">
        <is>
          <t>AWS, Azure, or GCP; Linux/command-line environments; CI/CD or deployment processes; Docker; Postman; Salesforce; AI/ML technologies</t>
        </is>
      </c>
      <c r="M46" t="inlineStr">
        <is>
          <t>[go to main page](https://in.jooble.org/)
Sign up to access all features of our service
Sign upLog inShare jobsAdd job posting / For companies
- Job search
- Favorites
- Create a CV
New
- [Salaries](https://in.jooble.org/salary)
- Subscriptions
Never miss new jobs in the app
[![Download from Google Play](https://in.jooble.org/assets/images/badges/gray/android/en.png)](https://jooble.onelink.me/CUK2/cdqezxyt)[![Download from App Store](https://in.jooble.org/assets/images/badges/gray/ios/en.png)](https://jooble.onelink.me/CUK2/cdqezxyt)
Company
- [About Jooble](https://in.jooble.org/info/about)
- [Careers](https://jooble.org/hiring)
- [Help Center](https://help.jooble.org/en/support/home)
- [Jobs in India](https://in.jooble.org/)
For Employers
- For ATS
- [Post a Job](https://in.jooble.org/post-a-job?source=footer)
For Job Seekers
- [Popular Searches](https://in.jooble.org/queries)
- [Find Salaries](https://in.jooble.org/salary)
- [Resume Checker](https://in.fitly.work/resume-checker)
Legal
- [Terms of Service](https://in.jooble.org/info/terms)
- [Privacy Policy](https://in.jooble.org/info/privacy)
- Cookie Settings
[Country: India](https://jooble.org/#countries)
© 2006-2026 [Jooble](https://in.jooble.org/)
Intern Software Development Engineering R&amp;D (AI/ML/NLP), Graduation Year
viscr ai
[Bangalore](https://in.jooble.org/jobs/Bangalore)
[Apply](https://in.jooble.org/away/-8319584585580036309?p=1&amp;pos=0&amp;rgn=3193&amp;pageType=7&amp;cid=389&amp;jobAge=905&amp;scr=1141.7026&amp;bscr=1141.7026&amp;jdpSource=101&amp;jdpid=-3744446012070968091&amp;crId=IN_8851616716581478535IN_3193)
This position requires local presence. Please view similar jobs below.
**Job description**
Key things to Note, before you consider applying:
- **Process and stages of Interview process:**(i) Technical Screening, (ii) Coding Task: Given a three to four days of time to implement a software engineering development task (Note: It is not a paid task), (iii) Coding round that involves, demo, code walk through of the coding task, (iv) coding round (v) HR round and Offer discussion.
- This will be 6 months of Internship with data and NLP team, they will be working on core data pipeline development projects. Upon successful completion of their Internship, considering performance they will converted into full-time without Probation period. In general, we have a probation of 6 months for full-time engineers. Candidates will be provided with regular feedback that help them learn and make their Internship (6 months) period successful.
- Willing to undergo a background check, in accordance with local law/regulations.
- We will verify the validity/authenticity of your past experiences if any (previous internships and projects).
**Note:** If you think you are fine with the above process, please take further look into the JD below.
**Responsibilities:**
Will be working on R&amp;D and backend project that advances the enterprise cybersecurity using AI, ML and NLP techniques.
**Minimum requirements:**
- Strong exposure to ML/NLP tools and algorithms experience is mandatory. Core and tough cybersecurity, AI, NLP, ML problems to solve.
- Systems building experience is a strong Plus.
- Experience in web crawling techniques with tools like Puppeteer and Selenium.
- Must have strong programming experience in 1 or more programming languages – C, Python, Go Lang, Java, Rust, JavaScript, TypeScript, Node.js. Other OO languages are also a plus.
- Experience with SQL, NoSQL databases, and building/managing Data Lakes is a plus.
- Understanding of Design Patterns, distributed systems, and parallel processing.
- Collaborative mindset with excellent communication skills for working in cross-functional teams.
- Must have strong programming experience in 1 or more programming languages – C, Python, Go Lang, Java, Rust. Other OO languages are also a plus.
- Strong skills in API Integration and software systems design and development.
- Research experience is Plus
- Candidates should take full-time 6 to 9 months Internship, only such candidates eligible should apply for this role (Need letter from your school/department).
**Note:** Graduated B.Tech/M.Tech/M.S Computer science students looking for full-time roles should join us as Intern for 6 months and then will be converted into full-time role (on the basis of candidate's performance)
**Qualifications**
- Bachelor's/Master's in Computer Science, Engineering, or equivalent.
- M.Tech/M.S/B.Tech Final year requiring project-based Internship will also be considered for this role.
- Experience in full stack development is preferred.
**Note:** Candidates will have great potential for publications/patents. You will be working with top Computer Science PhDs, product leaders, and cybersecurity experts and hence you will be assured to learn and grow as a top cybersecurity expert.
[Apply](https://in.jooble.org/away/-8319584585580036309?p=1&amp;pos=0&amp;rgn=3193&amp;pageType=7&amp;cid=389&amp;jobAge=905&amp;scr=1141.7026&amp;bscr=1141.7026&amp;jdpSource=101&amp;jdpi</t>
        </is>
      </c>
      <c r="N46" t="n">
        <v>78</v>
      </c>
      <c r="O46" t="n">
        <v>95</v>
      </c>
      <c r="P46" t="n">
        <v>90</v>
      </c>
      <c r="Q46" t="n">
        <v>85</v>
      </c>
      <c r="R46" t="n">
        <v>40</v>
      </c>
      <c r="S46" t="n">
        <v>50</v>
      </c>
      <c r="T46" t="n">
        <v>80</v>
      </c>
      <c r="U46" t="inlineStr">
        <is>
          <t>CONSIDER</t>
        </is>
      </c>
      <c r="V46" t="inlineStr">
        <is>
          <t>CONSIDER</t>
        </is>
      </c>
      <c r="X46" t="inlineStr">
        <is>
          <t>Amaanuddin_Ahmed_Resume.pdf</t>
        </is>
      </c>
      <c r="Y46" t="inlineStr">
        <is>
          <t>2026-10-02</t>
        </is>
      </c>
      <c r="Z46" t="inlineStr">
        <is>
          <t>Strong match with required technical skills including Node.js, JavaScript, SQL, and Git.; Located in Bengaluru and meets educational eligibility criteria.; Provides exposure to real-world deployments, enterprise tools, and client interactions.</t>
        </is>
      </c>
      <c r="AA46" t="inlineStr">
        <is>
          <t>ELIGIBLE</t>
        </is>
      </c>
      <c r="AB46" t="inlineStr">
        <is>
          <t>Candidate is pursuing an MCA at PES University (2025-2027), matching the requirement for a degree in Computer Science, Information Technology, Engineering, or a related field.; Location matches Bengaluru requirement.</t>
        </is>
      </c>
      <c r="AC46" t="inlineStr">
        <is>
          <t>UNKNOWN</t>
        </is>
      </c>
      <c r="AD46" t="inlineStr">
        <is>
          <t>Exact availability dates not specified in profile.</t>
        </is>
      </c>
      <c r="AE46" t="inlineStr">
        <is>
          <t>UNKNOWN</t>
        </is>
      </c>
      <c r="AF46" t="n">
        <v>0</v>
      </c>
      <c r="AG46" t="inlineStr">
        <is>
          <t>No</t>
        </is>
      </c>
      <c r="AH46" t="inlineStr">
        <is>
          <t>Not Mentioned</t>
        </is>
      </c>
      <c r="AI46" t="inlineStr">
        <is>
          <t>No explicit PPO or conversion mention found in the Turbostart job description.</t>
        </is>
      </c>
      <c r="AL46" t="inlineStr">
        <is>
          <t>API integration workflows and troubleshooting; Database configuration and SQL querying; Client-facing communication and handling technical deployments; Version control workflows using Git</t>
        </is>
      </c>
    </row>
    <row r="47">
      <c r="A47" t="inlineStr">
        <is>
          <t>NRK-INFOTECH-261002-46</t>
        </is>
      </c>
      <c r="B47" t="inlineStr">
        <is>
          <t>nrk infotech</t>
        </is>
      </c>
      <c r="C47" t="inlineStr">
        <is>
          <t>HR internship</t>
        </is>
      </c>
      <c r="D47" t="inlineStr">
        <is>
          <t>https://in.jooble.org/desc/-211248450339282167?ckey=MERN+intern&amp;rgn=3193&amp;pos=3&amp;elckey=3428421839182385677&amp;p=1&amp;aq=4753772425208129198&amp;cid=389&amp;jobAge=65&amp;brelb=10&amp;bscr=505.07297&amp;scr=505.07297</t>
        </is>
      </c>
      <c r="E47" t="inlineStr">
        <is>
          <t>AI Analyzer</t>
        </is>
      </c>
      <c r="F47" t="inlineStr">
        <is>
          <t>Bangalore</t>
        </is>
      </c>
      <c r="G47" t="inlineStr">
        <is>
          <t>On-site</t>
        </is>
      </c>
      <c r="H47" t="inlineStr">
        <is>
          <t>Not specified</t>
        </is>
      </c>
      <c r="I47" t="inlineStr">
        <is>
          <t>Unknown</t>
        </is>
      </c>
      <c r="J47" t="inlineStr">
        <is>
          <t>No</t>
        </is>
      </c>
      <c r="M47" t="inlineStr">
        <is>
          <t>&amp;nbsp;...organization that provides job-ready training in Digital Marketing, &lt;b&gt;MERN &lt;/b&gt;Stack, and Data Analytics, guided by experienced industry...&amp;nbsp;&amp;nbsp;...INFOTECH is a full-time, on-site position based in Bengaluru South. The &lt;b&gt;intern &lt;/b&gt;will support day-to-day HR operations, including assisting with...&amp;nbsp;</t>
        </is>
      </c>
      <c r="N47" t="n">
        <v>2</v>
      </c>
      <c r="O47" t="n">
        <v>0</v>
      </c>
      <c r="P47" t="n">
        <v>0</v>
      </c>
      <c r="Q47" t="n">
        <v>0</v>
      </c>
      <c r="R47" t="n">
        <v>0</v>
      </c>
      <c r="S47" t="n">
        <v>0</v>
      </c>
      <c r="T47" t="n">
        <v>20</v>
      </c>
      <c r="U47" t="inlineStr">
        <is>
          <t>SKIP</t>
        </is>
      </c>
      <c r="V47" t="inlineStr">
        <is>
          <t>SKIP</t>
        </is>
      </c>
      <c r="W47" t="inlineStr">
        <is>
          <t>Human Resources Operations; HR Management</t>
        </is>
      </c>
      <c r="X47" t="inlineStr">
        <is>
          <t>Amaanuddin_Ahmed_Resume_General</t>
        </is>
      </c>
      <c r="Y47" t="inlineStr">
        <is>
          <t>2026-10-02</t>
        </is>
      </c>
      <c r="AA47" t="inlineStr">
        <is>
          <t>Not Eligible</t>
        </is>
      </c>
      <c r="AB47" t="inlineStr">
        <is>
          <t>Role is for HR operations, whereas candidate is technical (MCA, software engineering).</t>
        </is>
      </c>
      <c r="AC47" t="inlineStr">
        <is>
          <t>UNKNOWN</t>
        </is>
      </c>
      <c r="AD47" t="inlineStr">
        <is>
          <t>Availability not explicitly specified in job description.</t>
        </is>
      </c>
      <c r="AE47" t="inlineStr">
        <is>
          <t>UNKNOWN</t>
        </is>
      </c>
      <c r="AF47" t="n">
        <v>0</v>
      </c>
      <c r="AG47" t="inlineStr">
        <is>
          <t>No</t>
        </is>
      </c>
      <c r="AH47" t="inlineStr">
        <is>
          <t>No</t>
        </is>
      </c>
      <c r="AI47" t="inlineStr">
        <is>
          <t>No mention of PPO or conversion.</t>
        </is>
      </c>
      <c r="AJ47" t="inlineStr">
        <is>
          <t>Role mismatch: HR internship vs target technical/software engineering roles</t>
        </is>
      </c>
      <c r="AK47" t="inlineStr">
        <is>
          <t>Completely unrelated functional area (HR instead of Software Engineering)</t>
        </is>
      </c>
    </row>
    <row r="48">
      <c r="A48" t="inlineStr">
        <is>
          <t>IMPACTO-DIGI-261002-47</t>
        </is>
      </c>
      <c r="B48" t="inlineStr">
        <is>
          <t>IMPACTO DIGIFIN TECHNOLOGIES PVT LTD</t>
        </is>
      </c>
      <c r="C48" t="inlineStr">
        <is>
          <t>PL/SQL and Java Developer Intern</t>
        </is>
      </c>
      <c r="D48" t="inlineStr">
        <is>
          <t>https://in.jooble.org/desc/9189383143499433444?ckey=Java+developer+intern&amp;rgn=3193&amp;pos=1&amp;elckey=2283227708169803404&amp;p=1&amp;aq=-7969387701549386267&amp;cid=389&amp;jobAge=281&amp;brelb=100&amp;bscr=1113.9829&amp;scr=1113.9829</t>
        </is>
      </c>
      <c r="E48" t="inlineStr">
        <is>
          <t>AI Analyzer</t>
        </is>
      </c>
      <c r="F48" t="inlineStr">
        <is>
          <t>Bangalore</t>
        </is>
      </c>
      <c r="G48" t="inlineStr">
        <is>
          <t>On-site</t>
        </is>
      </c>
      <c r="H48" t="inlineStr">
        <is>
          <t>Rs 15000 per month</t>
        </is>
      </c>
      <c r="I48" t="inlineStr">
        <is>
          <t>6 Months</t>
        </is>
      </c>
      <c r="J48" t="inlineStr">
        <is>
          <t>explicit</t>
        </is>
      </c>
      <c r="K48" t="inlineStr">
        <is>
          <t>PL/SQL; Java</t>
        </is>
      </c>
      <c r="M48" t="inlineStr">
        <is>
          <t>&amp;nbsp;...Job Title: &lt;b&gt;Intern &lt;/b&gt;to Hire – PL/SQL &amp; &lt;b&gt;Java Developer &lt;/b&gt; Department: Technology / Product Engineering Location: Bangalore (On-site) Reporting To: Senior Backend Developer / Technical Lead Duration: 6 Months Internship (Intern-to-Hire based on performance) Type:...&amp;nbsp;</t>
        </is>
      </c>
      <c r="N48" t="n">
        <v>59</v>
      </c>
      <c r="O48" t="n">
        <v>40</v>
      </c>
      <c r="P48" t="n">
        <v>60</v>
      </c>
      <c r="Q48" t="n">
        <v>70</v>
      </c>
      <c r="R48" t="n">
        <v>90</v>
      </c>
      <c r="S48" t="n">
        <v>40</v>
      </c>
      <c r="T48" t="n">
        <v>70</v>
      </c>
      <c r="U48" t="inlineStr">
        <is>
          <t>SKIP</t>
        </is>
      </c>
      <c r="V48" t="inlineStr">
        <is>
          <t>SKIP</t>
        </is>
      </c>
      <c r="W48" t="inlineStr">
        <is>
          <t>PL/SQL; Java</t>
        </is>
      </c>
      <c r="X48" t="inlineStr">
        <is>
          <t>Standard Full Stack Resume</t>
        </is>
      </c>
      <c r="Y48" t="inlineStr">
        <is>
          <t>2026-10-02</t>
        </is>
      </c>
      <c r="Z48" t="inlineStr">
        <is>
          <t>Includes an explicit intern-to-hire (PPO) pathway; Located in Bangalore with an on-site setup matching preferences</t>
        </is>
      </c>
      <c r="AA48" t="inlineStr">
        <is>
          <t>eligible</t>
        </is>
      </c>
      <c r="AB48" t="inlineStr">
        <is>
          <t>Location matches preferred location of Bengaluru; Internship role matches target software engineering intern roles; No degree or hard experience blockers specified in short snippet</t>
        </is>
      </c>
      <c r="AC48" t="inlineStr">
        <is>
          <t>unknown</t>
        </is>
      </c>
      <c r="AD48" t="inlineStr">
        <is>
          <t>Exact joining date and immediate availability requirements are not specified in the job description.</t>
        </is>
      </c>
      <c r="AE48" t="inlineStr">
        <is>
          <t>fixed</t>
        </is>
      </c>
      <c r="AF48" t="n">
        <v>15000</v>
      </c>
      <c r="AG48" t="inlineStr">
        <is>
          <t>No</t>
        </is>
      </c>
      <c r="AH48" t="inlineStr">
        <is>
          <t>explicit</t>
        </is>
      </c>
      <c r="AI48" t="inlineStr">
        <is>
          <t>Intern-to-Hire based on performance</t>
        </is>
      </c>
      <c r="AK48" t="inlineStr">
        <is>
          <t>Stipend of Rs 15000 per month is below the minimum target of Rs 25,000/month; Java is listed as working knowledge / certification only, not demonstrated in real production work experience</t>
        </is>
      </c>
      <c r="AL48" t="inlineStr">
        <is>
          <t>Java Core Concepts; PL/SQL Queries and Database Management; Internship performance expectations for conversion</t>
        </is>
      </c>
    </row>
    <row r="49">
      <c r="A49" t="inlineStr">
        <is>
          <t>NEOSTATS-261002-48</t>
        </is>
      </c>
      <c r="B49" t="inlineStr">
        <is>
          <t>neostats</t>
        </is>
      </c>
      <c r="C49" t="inlineStr">
        <is>
          <t>Artificial Intelligence Engineer</t>
        </is>
      </c>
      <c r="D49" t="inlineStr">
        <is>
          <t>https://in.jooble.org/desc/-7292019498942283213?ckey=AI+engineer+intern&amp;rgn=3193&amp;pos=5&amp;elckey=8997079028877527062&amp;p=1&amp;aq=-4679361632342772663&amp;cid=389&amp;jobAge=593&amp;brelb=10&amp;bscr=731.42334&amp;scr=731.42334</t>
        </is>
      </c>
      <c r="E49" t="inlineStr">
        <is>
          <t>AI Analyzer</t>
        </is>
      </c>
      <c r="F49" t="inlineStr">
        <is>
          <t>Bangalore</t>
        </is>
      </c>
      <c r="G49" t="inlineStr">
        <is>
          <t>Onsite</t>
        </is>
      </c>
      <c r="I49" t="inlineStr">
        <is>
          <t>6 months</t>
        </is>
      </c>
      <c r="J49" t="inlineStr">
        <is>
          <t>NOT_MENTIONED</t>
        </is>
      </c>
      <c r="K49" t="inlineStr">
        <is>
          <t>Artificial Intelligence</t>
        </is>
      </c>
      <c r="M49" t="inlineStr">
        <is>
          <t>&amp;nbsp;...&lt;b&gt;AI Engineer Intern &lt;/b&gt; Location: Bangalore Mode of Work: Onsite Years of Experience: 0-3 years Paid Internship Duration-6 months About Neostats Analytics : NeoStats is a new-age, Data &amp; Analytics firm offering contemporary solutions and infinite possibilities...&amp;nbsp;</t>
        </is>
      </c>
      <c r="N49" t="n">
        <v>36</v>
      </c>
      <c r="O49" t="n">
        <v>20</v>
      </c>
      <c r="P49" t="n">
        <v>60</v>
      </c>
      <c r="Q49" t="n">
        <v>40</v>
      </c>
      <c r="R49" t="n">
        <v>30</v>
      </c>
      <c r="S49" t="n">
        <v>30</v>
      </c>
      <c r="T49" t="n">
        <v>40</v>
      </c>
      <c r="U49" t="inlineStr">
        <is>
          <t>SKIP</t>
        </is>
      </c>
      <c r="V49" t="inlineStr">
        <is>
          <t>SKIP</t>
        </is>
      </c>
      <c r="W49" t="inlineStr">
        <is>
          <t>Artificial Intelligence; Machine Learning; Deep Learning</t>
        </is>
      </c>
      <c r="X49" t="inlineStr">
        <is>
          <t>Amaanuddin_Ahmed_Resume.pdf</t>
        </is>
      </c>
      <c r="Y49" t="inlineStr">
        <is>
          <t>2026-10-02</t>
        </is>
      </c>
      <c r="Z49" t="inlineStr">
        <is>
          <t>Located in Bengaluru; Internship format fits student status</t>
        </is>
      </c>
      <c r="AA49" t="inlineStr">
        <is>
          <t>ELIGIBLE</t>
        </is>
      </c>
      <c r="AB49" t="inlineStr">
        <is>
          <t>Location matches Bengaluru preference; Experience requirement (0-3 years) aligns with student/intern profile</t>
        </is>
      </c>
      <c r="AC49" t="inlineStr">
        <is>
          <t>UNKNOWN</t>
        </is>
      </c>
      <c r="AD49" t="inlineStr">
        <is>
          <t>Availability not explicitly stated in profile beyond graduation timeline 2027</t>
        </is>
      </c>
      <c r="AE49" t="inlineStr">
        <is>
          <t>UNKNOWN</t>
        </is>
      </c>
      <c r="AF49" t="n">
        <v>0</v>
      </c>
      <c r="AG49" t="inlineStr">
        <is>
          <t>No</t>
        </is>
      </c>
      <c r="AH49" t="inlineStr">
        <is>
          <t>NOT_MENTIONED</t>
        </is>
      </c>
      <c r="AI49" t="inlineStr">
        <is>
          <t>No mention of PPO or conversion in the short job description snippet.</t>
        </is>
      </c>
      <c r="AK49" t="inlineStr">
        <is>
          <t>Stipend is completely unspecified; No PPO mention</t>
        </is>
      </c>
      <c r="AL49" t="inlineStr">
        <is>
          <t>AI/ML fundamentals; Python for data science; Neural networks and model deployment</t>
        </is>
      </c>
    </row>
    <row r="50">
      <c r="A50" t="inlineStr">
        <is>
          <t>HEADS-UP-FOR-261002-49</t>
        </is>
      </c>
      <c r="B50" t="inlineStr">
        <is>
          <t>Heads Up For Tails</t>
        </is>
      </c>
      <c r="C50" t="inlineStr">
        <is>
          <t>Software Engineering Intern</t>
        </is>
      </c>
      <c r="D50" t="inlineStr">
        <is>
          <t>https://www.adzuna.in/details/5906871910?utm_medium=api&amp;utm_source=5ccdc27f</t>
        </is>
      </c>
      <c r="E50" t="inlineStr">
        <is>
          <t>AI Analyzer</t>
        </is>
      </c>
      <c r="F50" t="inlineStr">
        <is>
          <t>Gurugram, Haryana, India</t>
        </is>
      </c>
      <c r="G50" t="inlineStr">
        <is>
          <t>unknown</t>
        </is>
      </c>
      <c r="H50" t="inlineStr">
        <is>
          <t>10000 - 15000 INR per month</t>
        </is>
      </c>
      <c r="I50" t="inlineStr">
        <is>
          <t>unknown</t>
        </is>
      </c>
      <c r="J50" t="inlineStr">
        <is>
          <t>not_mentioned</t>
        </is>
      </c>
      <c r="K50" t="inlineStr">
        <is>
          <t>Node.js; MongoDB; REST APIs; MERN stack</t>
        </is>
      </c>
      <c r="L50" t="inlineStr">
        <is>
          <t>AI coding assistants</t>
        </is>
      </c>
      <c r="M50" t="inlineStr">
        <is>
          <t>Are you based in the United States? Select your country to see jobs specific to your location.
United KingdomAustraliaÖsterreichBelgiëBrasilCanadaFranceDeutschlandIndiaItaliaMéxicoNederlandNew ZealandPolskaSingaporeSouth AfricaEspañaSchweizUnited StatesContinue![](https://zunastatic-abf.kxcdn.com/images/global/responsive/icon_close_no_bg.svg)
What?
Where?
Search
[Advanced](https://www.adzuna.in/advanced-search)
# Software Engineering Intern
[❮ back to last search](https://www.adzuna.in/details/5906871910#)![PyjamaHR](https://zunastatic-abf.kxcdn.com/images/in/jobs/partners/logo_adzuna_network.png)
Heads Up For Tails
Gurugram, Haryana, India
10000 - 15000 INR per month
Contract
Part time
![PyjamaHR](https://zunastatic-abf.kxcdn.com/images/in/jobs/partners/logo_adzuna_network.png)
EASY APPLYNEW
[Apply for this job](https://www.adzuna.in/details/5906871910/apply?aztt=eyJhbGciOiJIUzI1NiJ9.eyJ0cyI6bnVsbCwidHQiOiJnb29nbGVfb3JnYW5pYyIsImlhdCI6MTc5MDk0MzU0NiwiZXhwIjoxNzkxNTQ4MzQ2LCJjaSI6IlVHQ29kbHUtOFJHLU1mUk1uU29rYVEifQ.49IamAB7xzI7wwFSXIrIN-m4t_DzQQjQr6rGXV_UQ3Q&amp;v=05CC9A9BA03CAC9C75F42614203A0122BAF15887&amp;se=)
**About Heads Up For Tails**
Heads Up For Tails is India's most loved pet-care brand, with 100+ stores across 20 cities and a catalog of 5,000+ India-first, category-defining products, backed by an omni-channel network of manufacturing, retail, e-commerce and distribution.
**About the Role**
We are seeking an energetic, deeply curious Software Engineering Intern to join our fast-paced, high-growth engineering team. In this role, you will have the unique opportunity to gain hands-on experience building scalable applications while working alongside established industry leaders. We are looking for someone with a strong foundation in modern web development who is eager to learn, build and take ownership of real-world features.
**Key Responsibilities**
● Build &amp; Contribute: Assist in designing and developing robust backend services and RESTful APIs using Node.js and MongoDB.
● Full-Stack Exposure: Support the team in delivering seamless user experiences across the MERN stack, bridging the gap between frontend components and backend data.
● Collaborate &amp; Learn: Partner with senior engineers, product managers and designers to translate business requirements into technical solutions.
● Write Clean Code: Participate in code reviews, write unit tests and learn best practices for maintaining a scalable, production-grade codebase.
● Automate: Help build and maintain scripts or basic CI/CD workflows to streamline daily development and testing processes.
**Requirements**
● Eligibility: Final-year student, recent graduate, or 0–1 year of experience.
● Core Foundation: Academic, bootcamp or project-based experience focused on the MERN stack.
● Backend Knowledge: Solid foundational understanding of Node.js and MongoDB, including basic schema design and routing.
● The Right Mindset: You bring high energy and relentless curiosity. You are not afraid to dive into unfamiliar code, ask hard questions and learn from mistakes.
● Problem Solver: A strong logical thinker with a bias for action and a desire to figure out how complex systems work under the hood.
● Bonus (Not Mandatory): Familiarity with using AI coding assistants (like GitHub Copilot, Cursor or ChatGPT) to accelerate personal development workflows, or a general interest in modern AI technologies.
**Why Join Us?**
● Work with the Best: Gain direct mentorship and exposure to industry leaders who are deeply invested in your growth and engineering excellence.
● High-Growth Trajectory: Work on real, impactful projects that shape our product's architecture, rather than doing busywork.
● Culture of Innovation: We provide a supportive, resource-rich environment where you have the autonomy to do your best work and learn at an exponential rate.
[Apply for this job](https://www.adzuna.in/details/5906871910/apply?aztt=eyJhbGciOiJIUzI1NiJ9.eyJ0cyI6bnVsbCwidHQiOiJnb29nbGVfb3JnYW5pYyIsImlhdCI6MTc5MDk0MzU0NiwiZXhwIjoxNzkxNTQ4MzQ2LCJjaSI6IlVHQ29kbHUtOFJHLU1mUk1uU29rYVEifQ.49IamAB7xzI7wwFSXIrIN-m4t_DzQQjQr6rGXV_UQ3Q&amp;v=05CC9A9BA03CAC9C75F42614203A0122BAF15887&amp;se=)
## Stats for this job
### Salary comparison:
| This job |  |  |
| National&lt;br&gt;average |  |  |
| IT Jobs&lt;br&gt;average |  |  |
| India&lt;br&gt;average |  |  |
### Salaries
The number of jobs in each salary range for all:
Receive similar jobs by email
Create alert
By creating an alert, you agree to our [T&amp;Cs](https://www.adzuna.in/terms-and-conditions.html) and [Privacy Notice](https://www.adzuna.in/privacy-policy.html), and Cookie Use.
## Similar jobs
[Software Engineering Intern](https://www.adzuna.in/details/5845820726)
Coderwing
Indore
[Software Engineer Intern](https://www.adzuna.in/details/5845820619)
Genrobotics
Thiruvananthapuram
[Software Engineering INTERN](https://www.adzuna.in/details/5775777688)
Microsoft Corporation
Multiple Locations
[Software Engineer Intern](htt</t>
        </is>
      </c>
      <c r="N50" t="n">
        <v>66</v>
      </c>
      <c r="O50" t="n">
        <v>90</v>
      </c>
      <c r="P50" t="n">
        <v>85</v>
      </c>
      <c r="Q50" t="n">
        <v>90</v>
      </c>
      <c r="R50" t="n">
        <v>0</v>
      </c>
      <c r="S50" t="n">
        <v>30</v>
      </c>
      <c r="T50" t="n">
        <v>60</v>
      </c>
      <c r="U50" t="inlineStr">
        <is>
          <t>STRETCH</t>
        </is>
      </c>
      <c r="V50" t="inlineStr">
        <is>
          <t>STRETCH</t>
        </is>
      </c>
      <c r="X50" t="inlineStr">
        <is>
          <t>Default Full Stack / Backend Resume</t>
        </is>
      </c>
      <c r="Y50" t="inlineStr">
        <is>
          <t>2026-10-02</t>
        </is>
      </c>
      <c r="Z50" t="inlineStr">
        <is>
          <t>Strong technical match for Node.js and MongoDB requirements.; Hands-on MERN stack experience directly maps to job responsibilities.</t>
        </is>
      </c>
      <c r="AA50" t="inlineStr">
        <is>
          <t>eligible</t>
        </is>
      </c>
      <c r="AB50" t="inlineStr">
        <is>
          <t>Candidate is a final-year student/recent student fitting the 0-1 year experience or final-year criteria.; Core foundation aligns with MERN stack requirements.</t>
        </is>
      </c>
      <c r="AC50" t="inlineStr">
        <is>
          <t>unknown</t>
        </is>
      </c>
      <c r="AD50" t="inlineStr">
        <is>
          <t>Candidate availability dates are not specified relative to the start date.</t>
        </is>
      </c>
      <c r="AE50" t="inlineStr">
        <is>
          <t>below_target</t>
        </is>
      </c>
      <c r="AF50" t="n">
        <v>10000</v>
      </c>
      <c r="AG50" t="inlineStr">
        <is>
          <t>No</t>
        </is>
      </c>
      <c r="AH50" t="inlineStr">
        <is>
          <t>not_mentioned</t>
        </is>
      </c>
      <c r="AI50" t="inlineStr">
        <is>
          <t>The job description does not mention conversion or PPO.</t>
        </is>
      </c>
      <c r="AK50" t="inlineStr">
        <is>
          <t>Stipend is below minimum target of 25,000 INR per month.; Location is Gurugram, whereas candidate prefers Bengaluru or remote.</t>
        </is>
      </c>
      <c r="AL50" t="inlineStr">
        <is>
          <t>Node.js architecture and event loop; MongoDB schema design and indexing; RESTful API design best practices; MERN stack integration experience from past projects</t>
        </is>
      </c>
    </row>
    <row r="51">
      <c r="A51" t="inlineStr">
        <is>
          <t>CODERWING-261002-50</t>
        </is>
      </c>
      <c r="B51" t="inlineStr">
        <is>
          <t>Coderwing</t>
        </is>
      </c>
      <c r="C51" t="inlineStr">
        <is>
          <t>Software Engineering Intern</t>
        </is>
      </c>
      <c r="D51" t="inlineStr">
        <is>
          <t>https://www.adzuna.in/details/5845820726?utm_medium=api&amp;utm_source=5ccdc27f</t>
        </is>
      </c>
      <c r="E51" t="inlineStr">
        <is>
          <t>AI Analyzer</t>
        </is>
      </c>
      <c r="F51" t="inlineStr">
        <is>
          <t>Indore, Madhya Pradesh</t>
        </is>
      </c>
      <c r="G51" t="inlineStr">
        <is>
          <t>On-site</t>
        </is>
      </c>
      <c r="H51" t="inlineStr">
        <is>
          <t>Not specified</t>
        </is>
      </c>
      <c r="I51" t="inlineStr">
        <is>
          <t>Not specified</t>
        </is>
      </c>
      <c r="J51" t="inlineStr">
        <is>
          <t>Not Mentioned</t>
        </is>
      </c>
      <c r="K51" t="inlineStr">
        <is>
          <t>Programming</t>
        </is>
      </c>
      <c r="M51" t="inlineStr">
        <is>
          <t>Software Engineering Intern Type Internship Location Indore Madhya Pradesh CoderWing is looking for enthusiastic and motivated Software Engineering Interns who are passionate about programming and eager to build realworld software development skills This internship is designed for students recent graduates and freshers who want handson experience by working on live projects under the guidance of experienced mentors This is an excellent opportunity to strengthen your technical skills collaborate…</t>
        </is>
      </c>
      <c r="N51" t="n">
        <v>62</v>
      </c>
      <c r="O51" t="n">
        <v>70</v>
      </c>
      <c r="P51" t="n">
        <v>75</v>
      </c>
      <c r="Q51" t="n">
        <v>80</v>
      </c>
      <c r="R51" t="n">
        <v>40</v>
      </c>
      <c r="S51" t="n">
        <v>30</v>
      </c>
      <c r="T51" t="n">
        <v>50</v>
      </c>
      <c r="U51" t="inlineStr">
        <is>
          <t>SKIP</t>
        </is>
      </c>
      <c r="V51" t="inlineStr">
        <is>
          <t>SKIP</t>
        </is>
      </c>
      <c r="X51" t="inlineStr">
        <is>
          <t>Default Full Stack Resume</t>
        </is>
      </c>
      <c r="Y51" t="inlineStr">
        <is>
          <t>2026-10-02</t>
        </is>
      </c>
      <c r="Z51" t="inlineStr">
        <is>
          <t>Matches target role of Software Engineer Intern.; Open to students and freshers.</t>
        </is>
      </c>
      <c r="AA51" t="inlineStr">
        <is>
          <t>Eligible</t>
        </is>
      </c>
      <c r="AB51" t="inlineStr">
        <is>
          <t>Open to students, recent graduates, and freshers.</t>
        </is>
      </c>
      <c r="AC51" t="inlineStr">
        <is>
          <t>Unknown</t>
        </is>
      </c>
      <c r="AD51" t="inlineStr">
        <is>
          <t>Availability not explicitly stated in JD, but candidate is an MCA student graduating in 2027.</t>
        </is>
      </c>
      <c r="AE51" t="inlineStr">
        <is>
          <t>UNKNOWN</t>
        </is>
      </c>
      <c r="AF51" t="n">
        <v>0</v>
      </c>
      <c r="AG51" t="inlineStr">
        <is>
          <t>No</t>
        </is>
      </c>
      <c r="AH51" t="inlineStr">
        <is>
          <t>Not Mentioned</t>
        </is>
      </c>
      <c r="AI51" t="inlineStr">
        <is>
          <t>No mention of PPO or conversion in the job description.</t>
        </is>
      </c>
      <c r="AJ51" t="inlineStr">
        <is>
          <t>Location requirement is Indore, Madhya Pradesh, whereas candidate prefers Bengaluru or remote.</t>
        </is>
      </c>
      <c r="AK51" t="inlineStr">
        <is>
          <t>Stipend is completely undisclosed.; Location is Indore while candidate prefers Bengaluru.</t>
        </is>
      </c>
      <c r="AL51" t="inlineStr">
        <is>
          <t>Basic programming concepts; Past project experience; Willingness to relocate to Indore</t>
        </is>
      </c>
    </row>
    <row r="52">
      <c r="A52" t="inlineStr">
        <is>
          <t>QUALCOMM-261002-51</t>
        </is>
      </c>
      <c r="B52" t="inlineStr">
        <is>
          <t>Qualcomm</t>
        </is>
      </c>
      <c r="C52" t="inlineStr">
        <is>
          <t>Software Engineering Internship</t>
        </is>
      </c>
      <c r="D52" t="inlineStr">
        <is>
          <t>https://www.adzuna.in/details/5854847522?utm_medium=api&amp;utm_source=5ccdc27f</t>
        </is>
      </c>
      <c r="E52" t="inlineStr">
        <is>
          <t>AI Analyzer</t>
        </is>
      </c>
      <c r="F52" t="inlineStr">
        <is>
          <t>Chennai, Tamil Nadu</t>
        </is>
      </c>
      <c r="G52" t="inlineStr">
        <is>
          <t>Unknown</t>
        </is>
      </c>
      <c r="I52" t="inlineStr">
        <is>
          <t>Unknown</t>
        </is>
      </c>
      <c r="J52" t="inlineStr">
        <is>
          <t>Not Mentioned</t>
        </is>
      </c>
      <c r="K52" t="inlineStr">
        <is>
          <t>C; C++; Data Structures; OS concepts; Embedded Software; Linux / UNIX</t>
        </is>
      </c>
      <c r="L52" t="inlineStr">
        <is>
          <t>Mobile SW development; Wireless network standards; Device Drivers</t>
        </is>
      </c>
      <c r="M52" t="inlineStr">
        <is>
          <t>Qualcomm is hiring for the role of Software Engineering Intern Requirements Masters Computer Science Engineering Communication Engineering ECE Development of realtime embedded software and device drivers Knowledge of Mobile SW development for Windows Mobile Android or Linux Good understanding of OS concepts Data structures etc Knowledge of C C and object oriented design Knowledge of Wireless network standards such as CDMA GSM UMTS LTE Knowledge of Linux UNIX Linux Drivers Linux Kernel Developme…</t>
        </is>
      </c>
      <c r="N52" t="n">
        <v>20</v>
      </c>
      <c r="O52" t="n">
        <v>20</v>
      </c>
      <c r="P52" t="n">
        <v>20</v>
      </c>
      <c r="Q52" t="n">
        <v>30</v>
      </c>
      <c r="R52" t="n">
        <v>0</v>
      </c>
      <c r="S52" t="n">
        <v>0</v>
      </c>
      <c r="T52" t="n">
        <v>50</v>
      </c>
      <c r="U52" t="inlineStr">
        <is>
          <t>SKIP</t>
        </is>
      </c>
      <c r="V52" t="inlineStr">
        <is>
          <t>SKIP</t>
        </is>
      </c>
      <c r="W52" t="inlineStr">
        <is>
          <t>C++; Embedded Software; Device Drivers; Linux Kernel Development; Wireless network standards</t>
        </is>
      </c>
      <c r="X52" t="inlineStr">
        <is>
          <t>Default Full Stack Resume</t>
        </is>
      </c>
      <c r="Y52" t="inlineStr">
        <is>
          <t>2026-10-02</t>
        </is>
      </c>
      <c r="Z52" t="inlineStr">
        <is>
          <t>Qualcomm is a top-tier tech company.</t>
        </is>
      </c>
      <c r="AA52" t="inlineStr">
        <is>
          <t>Eligible</t>
        </is>
      </c>
      <c r="AB52" t="inlineStr">
        <is>
          <t>Candidate is pursuing MCA at PES University (2025-2027), meeting the educational background requirements for software engineering.</t>
        </is>
      </c>
      <c r="AC52" t="inlineStr">
        <is>
          <t>Unknown</t>
        </is>
      </c>
      <c r="AD52" t="inlineStr">
        <is>
          <t>Availability dates are not specified in the job description.</t>
        </is>
      </c>
      <c r="AE52" t="inlineStr">
        <is>
          <t>UNKNOWN</t>
        </is>
      </c>
      <c r="AF52" t="n">
        <v>0</v>
      </c>
      <c r="AG52" t="inlineStr">
        <is>
          <t>No</t>
        </is>
      </c>
      <c r="AH52" t="inlineStr">
        <is>
          <t>Not Mentioned</t>
        </is>
      </c>
      <c r="AI52" t="inlineStr">
        <is>
          <t>The job description does not mention PPO or conversion opportunities.</t>
        </is>
      </c>
      <c r="AK52" t="inlineStr">
        <is>
          <t>Location is Chennai while preferred location is Bengaluru.; Role focuses heavily on embedded systems, C/C++, and device drivers, which does not align with candidate's MERN / Full Stack background.</t>
        </is>
      </c>
      <c r="AL52" t="inlineStr">
        <is>
          <t>C and C++ object-oriented design; Operating systems and data structures; Embedded software and device drivers</t>
        </is>
      </c>
    </row>
    <row r="53">
      <c r="A53" t="inlineStr">
        <is>
          <t>WEEKDAY-261002-52</t>
        </is>
      </c>
      <c r="B53" t="inlineStr">
        <is>
          <t>Weekday</t>
        </is>
      </c>
      <c r="C53" t="inlineStr">
        <is>
          <t>Software Engineer Intern</t>
        </is>
      </c>
      <c r="D53" t="inlineStr">
        <is>
          <t>https://www.adzuna.in/details/5849688632?utm_medium=api&amp;utm_source=5ccdc27f</t>
        </is>
      </c>
      <c r="E53" t="inlineStr">
        <is>
          <t>AI Analyzer</t>
        </is>
      </c>
      <c r="F53" t="inlineStr">
        <is>
          <t>Bengaluru (Remote)</t>
        </is>
      </c>
      <c r="G53" t="inlineStr">
        <is>
          <t>Remote</t>
        </is>
      </c>
      <c r="H53" t="inlineStr">
        <is>
          <t>₹30,000 – ₹50,000 per month</t>
        </is>
      </c>
      <c r="I53" t="inlineStr">
        <is>
          <t>Minimum 2 months, extendable up to 6 months</t>
        </is>
      </c>
      <c r="J53" t="inlineStr">
        <is>
          <t>UNKNOWN</t>
        </is>
      </c>
      <c r="K53" t="inlineStr">
        <is>
          <t>JavaScript; Python; Java; C++</t>
        </is>
      </c>
      <c r="L53" t="inlineStr">
        <is>
          <t>web frameworks; cloud platforms; AI/ML tools</t>
        </is>
      </c>
      <c r="M53" t="inlineStr">
        <is>
          <t>## Software Engineer Intern jobs in Bangalore
Leave us your email address and we'll send you similar new jobsCreate email alert [No, thanks](https://www.adzuna.in/details/5849688632#)
By creating an email alert, you agree to our [Terms &amp; Conditions](https://www.adzuna.in/terms-and-conditions.html) and [Privacy Notice](https://www.adzuna.in/privacy-policy.html), and Cookie Use. You can cancel at any time.
Loading...
Are you based in the United States? Select your country to see jobs specific to your location.
United KingdomAustraliaÖsterreichBelgiëBrasilCanadaFranceDeutschlandIndiaItaliaMéxicoNederlandNew ZealandPolskaSingaporeSouth AfricaEspañaSchweizUnited StatesContinue![](https://zunastatic-abf.kxcdn.com/images/global/responsive/icon_close_no_bg.svg)
What?
Where?
Search
[Advanced](https://www.adzuna.in/advanced-search)
# Software Engineer Intern
[❮ back to last search](https://www.adzuna.in/details/5849688632#)![SourceStack](https://zunastatic-abf.kxcdn.com/images/logo/jobs_IN/partners/et17fTACZn_d7RSBLqbl6boew5M.png)
Weekday
Bengaluru
30000-50000 per month
Contract
Full time
![SourceStack](https://zunastatic-abf.kxcdn.com/images/logo/jobs_IN/partners/et17fTACZn_d7RSBLqbl6boew5M.png)
REMOTECLOSING SOON
[Apply for this job](https://www.adzuna.in/land/ad/5849688632?aztt=eyJhbGciOiJIUzI1NiJ9.eyJ0dCI6Imdvb2dsZV9vcmdhbmljIiwiZXhwIjoxNzkxNTQ4MzYxLCJjaSI6IlRoMF9mMXUtOFJHcWxzd003d3ppbUEiLCJ0cyI6bnVsbCwiaWF0IjoxNzkwOTQzNTYxfQ.KHcbfcD4OmLgy2onbtC7ZAX7UmwefHiI-1dTBUYLPO8&amp;from_adp=1&amp;v=FA038BB91244FC37EDD4C8B6A7AC9DD981892262&amp;se=) **This role is for one of our clients**
Industry: Software Development
Seniority level: Junior - Entry Level
Min Experience: 0 years
Location: Bengaluru (Remote)
JobType: full-time₹3,00,000 - ₹6,00,000 a year **About the Role**
We are looking for a motivated and curious Software Engineering Intern to join the team. This is a hands-on role where you'll work alongside experienced engineers, contribute to real projects, and grow your technical skills in a fast-paced environment.
**Details**
**Stipend:** ₹30,000 – ₹50,000 per month
**Duration:** Minimum 2 months, extendable up to 6 months
**Start Date:** Immediate / As soon as possible
**Responsibilities**
Assist in the design, development, and testing of software features
Debug issues and contribute to improving system performance
Learn and adapt quickly to new tools, technologies, and workflows
**Requirements**
Strong problem-solving skills and eagerness to learn
Good communication and teamwork skills
Currently pursuing or recently completed a degree in Computer Science, Engineering, or a related field
Basic understanding of data structures, algorithms, and software development principles
Proficiency in at least one programming language (e.g., Python, JavaScript, Java, C++)
**Nice to Have**
Familiarity with web frameworks, cloud platforms, or AI/ML tools
Prior internship experience or personal projects on GitHub
Exposure to agile development practicesWe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 [Apply for this job](https://www.adzuna.in/land/ad/5849688632?aztt=eyJhbGciOiJIUzI1NiJ9.eyJ0dCI6Imdvb2dsZV9vcmdhbmljIiwiZXhwIjoxNzkxNTQ4MzYxLCJjaSI6IlRoMF9mMXUtOFJHcWxzd003d3ppbUEiLCJ0cyI6bnVsbCwiaWF0IjoxNzkwOTQzNTYxfQ.KHcbfcD4OmLgy2onbtC7ZAX7UmwefHiI-1dTBUYLPO8&amp;from_adp=1&amp;v=FA038BB91244FC37EDD4C8B6A7AC9DD981892262&amp;se=)
## Stats for this job
### Salary comparison:
| This job |  |  |
| National&lt;br&gt;average |  |  |
| IT Jobs&lt;br&gt;average |  |  |
| Karnataka&lt;br&gt;average |  |  |
### Salaries
The number of jobs in each salary range for all:
Receive similar jobs by email
Create alert
By creating an alert, you agree to our [T&amp;Cs](https://www.adzuna.in/terms-and-conditions.html) and [Privacy Notice](https://www.adzuna.in/privacy-policy.html), and Cookie Use.
## Similar jobs
[Software Engineer, Intern](https://www.adzuna.in/details/5797283415)
Stripe
Bengaluru
[Quantum Software Engineer Intern](https://www.adzuna.in/details/5854847465)
Log9 Materials
Bangalore
[Software Engineering Intern - Backend](https://www.adzuna.in/details/5889561571)
150000-300000 per year
Ainyx
Bengaluru, India
[Software Engineer Intern Paid](https://www.adzuna.in/details/5845820665)
Ecera System
Bangalore
[Software Engineer - Intern (Frontend)](https://www.adzuna.in/details/5902721160)
Merkle Science
Bangalore
## Popular searches
[Software engineer](https://www.adzuna.in/software-engineer) [Software engineer in Bangalore](https://www.adzuna.in/bangalore/software-engineer</t>
        </is>
      </c>
      <c r="N53" t="n">
        <v>84</v>
      </c>
      <c r="O53" t="n">
        <v>90</v>
      </c>
      <c r="P53" t="n">
        <v>95</v>
      </c>
      <c r="Q53" t="n">
        <v>95</v>
      </c>
      <c r="R53" t="n">
        <v>40</v>
      </c>
      <c r="S53" t="n">
        <v>100</v>
      </c>
      <c r="T53" t="n">
        <v>80</v>
      </c>
      <c r="U53" t="inlineStr">
        <is>
          <t>APPLY</t>
        </is>
      </c>
      <c r="V53" t="inlineStr">
        <is>
          <t>APPLY</t>
        </is>
      </c>
      <c r="X53" t="inlineStr">
        <is>
          <t>Standard Full Stack / Software Engineering Resume emphasizing JavaScript, Node.js, Express, and Angular experience.</t>
        </is>
      </c>
      <c r="Y53" t="inlineStr">
        <is>
          <t>2026-10-02</t>
        </is>
      </c>
      <c r="Z53" t="inlineStr">
        <is>
          <t>Stipend of ₹30,000–₹50,000/month comfortably exceeds the ₹25,000 minimum target.; Role matches target Software Engineer Intern profile perfectly.; Remote work mode and Bengaluru location perfectly align with preferences.; Strong candidate profile match with demonstrated full-stack development experience.</t>
        </is>
      </c>
      <c r="AA53" t="inlineStr">
        <is>
          <t>ELIGIBLE</t>
        </is>
      </c>
      <c r="AB53" t="inlineStr">
        <is>
          <t>Meets degree requirement (currently pursuing MCA in Computer Science related field); Meets experience requirement (0 years minimum experience required); Meets location and work mode requirements</t>
        </is>
      </c>
      <c r="AC53" t="inlineStr">
        <is>
          <t>AVAILABLE</t>
        </is>
      </c>
      <c r="AD53" t="inlineStr">
        <is>
          <t>Immediate start date matches candidate availability profile</t>
        </is>
      </c>
      <c r="AE53" t="inlineStr">
        <is>
          <t>EXPLICIT</t>
        </is>
      </c>
      <c r="AF53" t="n">
        <v>30000</v>
      </c>
      <c r="AG53" t="inlineStr">
        <is>
          <t>No</t>
        </is>
      </c>
      <c r="AH53" t="inlineStr">
        <is>
          <t>UNKNOWN</t>
        </is>
      </c>
      <c r="AI53" t="inlineStr">
        <is>
          <t>No explicit mention of PPO or conversion to full-time in the job description.</t>
        </is>
      </c>
      <c r="AL53" t="inlineStr">
        <is>
          <t>Data structures and algorithms fundamentals; Problem-solving and debugging workflows; JavaScript asynchronous programming and backend principles; Past internship project architecture and API design</t>
        </is>
      </c>
      <c r="AM53" t="inlineStr">
        <is>
          <t>E:\InternshipHunter\applications\adzuna-a9b412fb8d46</t>
        </is>
      </c>
      <c r="AN53" t="inlineStr">
        <is>
          <t>Ready for Review</t>
        </is>
      </c>
      <c r="AO53" t="inlineStr">
        <is>
          <t>Generated</t>
        </is>
      </c>
      <c r="AP53" t="inlineStr">
        <is>
          <t>Generated</t>
        </is>
      </c>
      <c r="AQ53" t="inlineStr">
        <is>
          <t>Generated</t>
        </is>
      </c>
      <c r="AR53" t="inlineStr">
        <is>
          <t>Ready to Apply</t>
        </is>
      </c>
    </row>
    <row r="54">
      <c r="A54" t="inlineStr">
        <is>
          <t>KUTUKAMAI-261002-53</t>
        </is>
      </c>
      <c r="B54" t="inlineStr">
        <is>
          <t>KutukamAI</t>
        </is>
      </c>
      <c r="C54" t="inlineStr">
        <is>
          <t>Software Engineer Intern</t>
        </is>
      </c>
      <c r="D54" t="inlineStr">
        <is>
          <t>https://www.adzuna.in/details/5854847482?utm_medium=api&amp;utm_source=5ccdc27f</t>
        </is>
      </c>
      <c r="E54" t="inlineStr">
        <is>
          <t>AI Analyzer</t>
        </is>
      </c>
      <c r="F54" t="inlineStr">
        <is>
          <t>India</t>
        </is>
      </c>
      <c r="G54" t="inlineStr">
        <is>
          <t>UNKNOWN</t>
        </is>
      </c>
      <c r="H54" t="inlineStr">
        <is>
          <t>Not specified</t>
        </is>
      </c>
      <c r="I54" t="inlineStr">
        <is>
          <t>UNKNOWN</t>
        </is>
      </c>
      <c r="J54" t="inlineStr">
        <is>
          <t>UNKNOWN</t>
        </is>
      </c>
      <c r="M54" t="inlineStr">
        <is>
          <t>Company Description Kutukam AI is an Information Technology and Artificial Intelligence firm focused on turning complex technology into practical tools for business growth The company designs accessible scalable AI and IT solutions for organizations ranging from small startups to large global enterprises Kutukam AI helps businesses integrate AI into daily operations to automate workflows extract datadriven insights and build resilient software architectures tailored to each industry The team em…</t>
        </is>
      </c>
      <c r="N54" t="n">
        <v>53</v>
      </c>
      <c r="O54" t="n">
        <v>50</v>
      </c>
      <c r="P54" t="n">
        <v>60</v>
      </c>
      <c r="Q54" t="n">
        <v>80</v>
      </c>
      <c r="R54" t="n">
        <v>40</v>
      </c>
      <c r="S54" t="n">
        <v>40</v>
      </c>
      <c r="T54" t="n">
        <v>40</v>
      </c>
      <c r="U54" t="inlineStr">
        <is>
          <t>SKIP</t>
        </is>
      </c>
      <c r="V54" t="inlineStr">
        <is>
          <t>SKIP</t>
        </is>
      </c>
      <c r="X54" t="inlineStr">
        <is>
          <t>Default Full Stack / Software Engineer Resume</t>
        </is>
      </c>
      <c r="Y54" t="inlineStr">
        <is>
          <t>2026-10-02</t>
        </is>
      </c>
      <c r="Z54" t="inlineStr">
        <is>
          <t>Matches the primary target role of Software Engineer Intern</t>
        </is>
      </c>
      <c r="AA54" t="inlineStr">
        <is>
          <t>ELIGIBLE</t>
        </is>
      </c>
      <c r="AB54" t="inlineStr">
        <is>
          <t>Target role matches candidate preference for Software Engineer Intern; No hard degree or experience blockers mentioned in the minimal JD</t>
        </is>
      </c>
      <c r="AC54" t="inlineStr">
        <is>
          <t>UNKNOWN</t>
        </is>
      </c>
      <c r="AD54" t="inlineStr">
        <is>
          <t>Availability details not specified in job description</t>
        </is>
      </c>
      <c r="AE54" t="inlineStr">
        <is>
          <t>UNKNOWN</t>
        </is>
      </c>
      <c r="AF54" t="n">
        <v>0</v>
      </c>
      <c r="AG54" t="inlineStr">
        <is>
          <t>No</t>
        </is>
      </c>
      <c r="AH54" t="inlineStr">
        <is>
          <t>UNKNOWN</t>
        </is>
      </c>
      <c r="AI54" t="inlineStr">
        <is>
          <t>No mention of PPO or conversion in the job description</t>
        </is>
      </c>
      <c r="AK54" t="inlineStr">
        <is>
          <t>Extremely vague job description with zero technical requirements, stipend details, or work mode</t>
        </is>
      </c>
      <c r="AL54" t="inlineStr">
        <is>
          <t>AI and IT solutions integration; Software architecture design; Workflow automation</t>
        </is>
      </c>
    </row>
    <row r="55">
      <c r="A55" t="inlineStr">
        <is>
          <t>GENROBOTICS-261002-54</t>
        </is>
      </c>
      <c r="B55" t="inlineStr">
        <is>
          <t>Genrobotics</t>
        </is>
      </c>
      <c r="C55" t="inlineStr">
        <is>
          <t>Software Engineer Intern</t>
        </is>
      </c>
      <c r="D55" t="inlineStr">
        <is>
          <t>https://www.adzuna.in/details/5845820619?utm_medium=api&amp;utm_source=5ccdc27f</t>
        </is>
      </c>
      <c r="E55" t="inlineStr">
        <is>
          <t>AI Analyzer</t>
        </is>
      </c>
      <c r="F55" t="inlineStr">
        <is>
          <t>Thiruvananthapuram, Kerala</t>
        </is>
      </c>
      <c r="G55" t="inlineStr">
        <is>
          <t>On-site</t>
        </is>
      </c>
      <c r="H55" t="inlineStr">
        <is>
          <t>This is a unpaid internship</t>
        </is>
      </c>
      <c r="I55" t="inlineStr">
        <is>
          <t>Not Specified</t>
        </is>
      </c>
      <c r="J55" t="inlineStr">
        <is>
          <t>None</t>
        </is>
      </c>
      <c r="K55" t="inlineStr">
        <is>
          <t>JavaScript; MySQL; C; C++; Java; Git; APIs</t>
        </is>
      </c>
      <c r="L55" t="inlineStr">
        <is>
          <t>Flutter; Web Development; Mobile Application</t>
        </is>
      </c>
      <c r="M55" t="inlineStr">
        <is>
          <t>## Software Engineer Intern jobs in Thiruvananthapuram
Leave us your email address and we'll send you similar new jobsCreate email alert [No, thanks](https://www.adzuna.in/details/5845820619#)
By creating an email alert, you agree to our [Terms &amp; Conditions](https://www.adzuna.in/terms-and-conditions.html) and [Privacy Notice](https://www.adzuna.in/privacy-policy.html), and Cookie Use. You can cancel at any time.
Loading...
Are you based in the United States? Select your country to see jobs specific to your location.
United KingdomAustraliaÖsterreichBelgiëBrasilCanadaFranceDeutschlandIndiaItaliaMéxicoNederlandNew ZealandPolskaSingaporeSouth AfricaEspañaSchweizUnited StatesContinue![](https://zunastatic-abf.kxcdn.com/images/global/responsive/icon_close_no_bg.svg)
What?
Where?
Search
[Advanced](https://www.adzuna.in/advanced-search)
# Software Engineer Intern
[❮ back to last search](https://www.adzuna.in/details/5845820619#)![Hiree Jobs](https://zunastatic-abf.kxcdn.com/images/in/jobs/partners/logo_hireejobs.png)
Genrobotics
Thiruvananthapuram
![Hiree Jobs](https://zunastatic-abf.kxcdn.com/images/in/jobs/partners/logo_hireejobs.png)
CLOSING SOON
[Apply for this job](https://www.adzuna.in/land/ad/5845820619?aztt=eyJhbGciOiJIUzI1NiJ9.eyJpYXQiOjE3OTA5NDM1NzIsInR0IjoiZ29vZ2xlX29yZ2FuaWMiLCJjaSI6IklzUGNoVnUtOFJHcWxzd003d3ppbUEiLCJ0cyI6bnVsbCwiZXhwIjoxNzkxNTQ4MzcyfQ.acZn4TbG2Lc0xnYtCGR2A9VD9g2s-mSmFTs-htnYfVI&amp;from_adp=1&amp;v=04AA6A1870BB59EEAAA61F247AFB70FE2573F9EE&amp;se=) Brief Support the software development team in the design development testing and maintenance of software applications and system features Assist in coding debugging documentation and implementation of software solutions while gaining handson experience in realtime projects and modern technologies Collaborate with crossfunctional teams to ensure timely delivery of highquality software solutions aligned with business and project requirements Job Summary The Software Engineer Intern will work closely with the development team to support application development testing troubleshooting and deployment activities The role provides exposure to software development lifecycle processes coding standards and collaborative project execution in a professional environment Experience Freshers Responsibilities Assist in developing testing and maintaining software applications Support debugging and troubleshooting of software issues Write clean efficient and welldocumented code under guidance Participate in code reviews and team discussions Collaborate with crossfunctional teams for project execution Support integration testing and deployment activities Maintain technical documentation and project reports Learn and implement new technologies tools and frameworks Follow coding standards development processes and best practices Assist in improving application performance and user experience Participate in daily standup meetings and project review sessions Support research and development activities related to software solutions Qualifications Pursuing or completed Bachelors Degree in Computer Science Information Technology Software Engineering Electronics Communication or related engineering disciplines Candidates with relevant internship experience academic projects or certification courses in software development will have an added advantage Additional Qualifications Basic knowledge of programming languages such as My SQL C C Java or JavaScript Flutter Familiarity with web development frameworks databases and APIs is preferred Understanding of software development lifecycle SDLC and version control tools such as Git Skills Required Basic understanding of software development principles and coding standards Knowledge of debugging testing and troubleshooting techniques Familiarity with databases APIs and version control tools such as Git Understanding of web technologies frameworks or application development concepts Strong analytical and problemsolving abilities Good communication and interpersonal skills Job Location Technopark Thiruvananthapuram Note This is a unpaid internship Skills c mobile application flutter web development mysql [Apply for this job](https://www.adzuna.in/land/ad/5845820619?aztt=eyJhbGciOiJIUzI1NiJ9.eyJpYXQiOjE3OTA5NDM1NzIsInR0IjoiZ29vZ2xlX29yZ2FuaWMiLCJjaSI6IklzUGNoVnUtOFJHcWxzd003d3ppbUEiLCJ0cyI6bnVsbCwiZXhwIjoxNzkxNTQ4MzcyfQ.acZn4TbG2Lc0xnYtCGR2A9VD9g2s-mSmFTs-htnYfVI&amp;from_adp=1&amp;v=04AA6A1870BB59EEAAA61F247AFB70FE2573F9EE&amp;se=)
## Stats for this job
### Salaries
The number of jobs in each salary range for all:
Receive similar jobs by email
Create alert
By creating an alert, you agree to our [T&amp;Cs](https://www.adzuna.in/terms-and-conditions.html) and [Privacy Notice](https://www.adzuna.in/privacy-policy.html), and Cookie Use.
## Similar jobs
[Finance Intern (6-Month Internship)](https://www.adzuna.in/details/5823130066)
10000 - 15000 INR per month
Genrobotic Innovations Private Limited
Thiruvananthapuram, Kerala, Ind</t>
        </is>
      </c>
      <c r="N55" t="n">
        <v>52</v>
      </c>
      <c r="O55" t="n">
        <v>70</v>
      </c>
      <c r="P55" t="n">
        <v>75</v>
      </c>
      <c r="Q55" t="n">
        <v>80</v>
      </c>
      <c r="R55" t="n">
        <v>0</v>
      </c>
      <c r="S55" t="n">
        <v>0</v>
      </c>
      <c r="T55" t="n">
        <v>40</v>
      </c>
      <c r="U55" t="inlineStr">
        <is>
          <t>SKIP</t>
        </is>
      </c>
      <c r="V55" t="inlineStr">
        <is>
          <t>SKIP</t>
        </is>
      </c>
      <c r="W55" t="inlineStr">
        <is>
          <t>Flutter; C++</t>
        </is>
      </c>
      <c r="X55" t="inlineStr">
        <is>
          <t>Default Full Stack Resume</t>
        </is>
      </c>
      <c r="Y55" t="inlineStr">
        <is>
          <t>2026-10-02</t>
        </is>
      </c>
      <c r="Z55" t="inlineStr">
        <is>
          <t>Matches general software engineer intern role criteria.; Requires basic programming and database skills present in candidate profile.</t>
        </is>
      </c>
      <c r="AA55" t="inlineStr">
        <is>
          <t>Eligible</t>
        </is>
      </c>
      <c r="AB55" t="inlineStr">
        <is>
          <t>Candidate is pursuing a relevant Master's degree in Computer Applications (MCA) which falls under Bachelors/Masters Degree in Computer Science/IT/Software Engineering equivalent requirements.</t>
        </is>
      </c>
      <c r="AC55" t="inlineStr">
        <is>
          <t>unknown</t>
        </is>
      </c>
      <c r="AD55" t="inlineStr">
        <is>
          <t>Availability timeline relative to the company's start date is not specified in the career brain.</t>
        </is>
      </c>
      <c r="AE55" t="inlineStr">
        <is>
          <t>UNKNOWN</t>
        </is>
      </c>
      <c r="AF55" t="n">
        <v>0</v>
      </c>
      <c r="AG55" t="inlineStr">
        <is>
          <t>No</t>
        </is>
      </c>
      <c r="AH55" t="inlineStr">
        <is>
          <t>None</t>
        </is>
      </c>
      <c r="AI55" t="inlineStr">
        <is>
          <t>The job description does not mention PPO or permanent conversion opportunities.</t>
        </is>
      </c>
      <c r="AJ55" t="inlineStr">
        <is>
          <t>Unpaid internship conflicts with minimum stipend target of ₹25,000/month; Location is Thiruvananthapuram, Kerala while preferred location is Bengaluru</t>
        </is>
      </c>
      <c r="AK55" t="inlineStr">
        <is>
          <t>Unpaid internship; Location mismatch (Thiruvananthapuram vs Bengaluru preference)</t>
        </is>
      </c>
      <c r="AL55" t="inlineStr">
        <is>
          <t>Basic data structures and algorithms in Java or C/C++; Database design and SQL queries using MySQL; Version control workflows using Git; RESTful API development concepts</t>
        </is>
      </c>
    </row>
    <row r="56">
      <c r="A56" t="inlineStr">
        <is>
          <t>EDZOLA-261002-55</t>
        </is>
      </c>
      <c r="B56" t="inlineStr">
        <is>
          <t>EdZola</t>
        </is>
      </c>
      <c r="C56" t="inlineStr">
        <is>
          <t>Software Engineering Intern</t>
        </is>
      </c>
      <c r="D56" t="inlineStr">
        <is>
          <t>https://www.adzuna.in/details/5845820762?utm_medium=api&amp;utm_source=5ccdc27f</t>
        </is>
      </c>
      <c r="E56" t="inlineStr">
        <is>
          <t>AI Analyzer</t>
        </is>
      </c>
      <c r="F56" t="inlineStr">
        <is>
          <t>Coimbatore, Tamil Nadu</t>
        </is>
      </c>
      <c r="G56" t="inlineStr">
        <is>
          <t>fully inperson</t>
        </is>
      </c>
      <c r="H56" t="inlineStr">
        <is>
          <t>Not specified</t>
        </is>
      </c>
      <c r="I56" t="inlineStr">
        <is>
          <t>Not specified</t>
        </is>
      </c>
      <c r="J56" t="inlineStr">
        <is>
          <t>NOT_MENTIONED</t>
        </is>
      </c>
      <c r="K56" t="inlineStr">
        <is>
          <t>Software Engineering Fundamentals; Problem Solving; APIs; Databases</t>
        </is>
      </c>
      <c r="L56" t="inlineStr">
        <is>
          <t>AI products; Zoho applications; Integrations; Dashboards; Workflow automation</t>
        </is>
      </c>
      <c r="M56" t="inlineStr">
        <is>
          <t>## Software Engineering Intern jobs in Coimbatore
Leave us your email address and we'll send you similar new jobsCreate email alert [No, thanks](https://www.adzuna.in/details/5845820762#)
By creating an email alert, you agree to our [Terms &amp; Conditions](https://www.adzuna.in/terms-and-conditions.html) and [Privacy Notice](https://www.adzuna.in/privacy-policy.html), and Cookie Use. You can cancel at any time.
Loading...
Are you based in the United States? Select your country to see jobs specific to your location.
United KingdomAustraliaÖsterreichBelgiëBrasilCanadaFranceDeutschlandIndiaItaliaMéxicoNederlandNew ZealandPolskaSingaporeSouth AfricaEspañaSchweizUnited StatesContinue![](https://zunastatic-abf.kxcdn.com/images/global/responsive/icon_close_no_bg.svg)
What?
Where?
Search
[Advanced](https://www.adzuna.in/advanced-search)
# Software Engineering Intern
[❮ back to last search](https://www.adzuna.in/details/5845820762#)![Hiree Jobs](https://zunastatic-abf.kxcdn.com/images/in/jobs/partners/logo_hireejobs.png)
EdZola
Coimbatore
![Hiree Jobs](https://zunastatic-abf.kxcdn.com/images/in/jobs/partners/logo_hireejobs.png)
CLOSING SOON
[Apply for this job](https://www.adzuna.in/land/ad/5845820762?aztt=eyJhbGciOiJIUzI1NiJ9.eyJpYXQiOjE3OTA5NDM1ODEsImNpIjoiMm0xSGkxdS04UkdnZy1peXFWRnBvdyIsInR0IjoiZ29vZ2xlX29yZ2FuaWMiLCJ0cyI6bnVsbCwiZXhwIjoxNzkxNTQ4MzgxfQ.sdY91QzfKs7Z_xvAVEI7IGiuSocW-L7oGTa6-9iX9rs&amp;from_adp=1&amp;v=520F5A28CDD7FDC865953D78D8C888F3055C6005&amp;se=) We are hiring our next batch of fulltime Software Engineering Interns at EdZola for our Coimbatore office This hiring cycle feels particularly important to me Over the last few years I have had the opportunity to see EdZola grow from a small team taking on individual technology projects into an organisation building systems platforms and AIenabled products for nonprofits and missiondriven organisations More importantly I have witnessed the growth of people within EdZola I have seen young engineers begin by working on small clearly defined tasks and gradually learn to understand customers question requirements design complete systems handle difficult production issues and take ownership of outcomes Watching that transformation has been one of the most rewarding parts of building EdZola At the same time the role of a software engineer is evolving rapidly AI can now generate code workflows interfaces documentation and even substantial parts of a working application But the hardest part of engineering has not disappeared Someone still needs to understand the real problem Someone needs to decide how the system should work question what the AI has produced account for edge cases verify the data and ensure that the solution works reliably for the people who will actually use it That is the kind of engineer we want to hire and develop We are looking for young engineers who are deeply curious love solving difficult problems and want to use technology for social good You may be in your prefinal year or final year of engineering have recently graduated or have up to two years of experience You do not need to know every platform or framework already What matters more is whether you are willing to learn quickly reason from first principles use AI thoughtfully ask good questions and take responsibility for what you build At EdZola you may work across AI products Zoho applications APIs databases integrations dashboards workflow automation and custom software You will also have the opportunity to stay close to users and understand how technology is used in the real world This is a fulltime fully inperson role based in Coimbatore I believe some of the strongest engineers of the next decade will be those who can move comfortably between AI strong engineering fundamentals and a deep understanding of people and problems If that sounds like the kind of engineer you want to become I would love for you to apply Apply here go edzola com hiring And if someone in your network fits this description please share this with them Hiring SoftwareEngineering EngineeringInternship AINative TechForGood SocialImpactTech CoimbatoreJobs EdZola [Apply for this job](https://www.adzuna.in/land/ad/5845820762?aztt=eyJhbGciOiJIUzI1NiJ9.eyJpYXQiOjE3OTA5NDM1ODEsImNpIjoiMm0xSGkxdS04UkdnZy1peXFWRnBvdyIsInR0IjoiZ29vZ2xlX29yZ2FuaWMiLCJ0cyI6bnVsbCwiZXhwIjoxNzkxNTQ4MzgxfQ.sdY91QzfKs7Z_xvAVEI7IGiuSocW-L7oGTa6-9iX9rs&amp;from_adp=1&amp;v=520F5A28CDD7FDC865953D78D8C888F3055C6005&amp;se=)
## Stats for this job
### Salaries
The number of jobs in each salary range for all:
Receive similar jobs by email
Create alert
By creating an alert, you agree to our [T&amp;Cs](https://www.adzuna.in/terms-and-conditions.html) and [Privacy Notice](https://www.adzuna.in/privacy-policy.html), and Cookie Use.
## Similar jobs
[Cloud Software Engineering Intern at CoreStack Technologies](https://www.adzuna.in/details/5845820716)
CoreStack Technologies
Coimbatore
[Cloud Software Engineering Intern at CoreStack Technologies Coimbat</t>
        </is>
      </c>
      <c r="N56" t="n">
        <v>68</v>
      </c>
      <c r="O56" t="n">
        <v>75</v>
      </c>
      <c r="P56" t="n">
        <v>80</v>
      </c>
      <c r="Q56" t="n">
        <v>80</v>
      </c>
      <c r="R56" t="n">
        <v>40</v>
      </c>
      <c r="S56" t="n">
        <v>50</v>
      </c>
      <c r="T56" t="n">
        <v>70</v>
      </c>
      <c r="U56" t="inlineStr">
        <is>
          <t>SKIP</t>
        </is>
      </c>
      <c r="V56" t="inlineStr">
        <is>
          <t>SKIP</t>
        </is>
      </c>
      <c r="W56" t="inlineStr">
        <is>
          <t>Zoho applications</t>
        </is>
      </c>
      <c r="X56" t="inlineStr">
        <is>
          <t>Default Full Stack / Software Engineering Resume</t>
        </is>
      </c>
      <c r="Y56" t="inlineStr">
        <is>
          <t>2026-10-02</t>
        </is>
      </c>
      <c r="Z56" t="inlineStr">
        <is>
          <t>Matches software engineering intern target role.; Involves modern stack exposure including APIs, databases, and custom software.</t>
        </is>
      </c>
      <c r="AA56" t="inlineStr">
        <is>
          <t>ELIGIBLE</t>
        </is>
      </c>
      <c r="AB56" t="inlineStr">
        <is>
          <t>Candidate is in MCA (pre-final/final year or recent graduate) matching the student/graduate criteria.</t>
        </is>
      </c>
      <c r="AC56" t="inlineStr">
        <is>
          <t>UNKNOWN</t>
        </is>
      </c>
      <c r="AD56" t="inlineStr">
        <is>
          <t>Candidate availability dates are not explicitly detailed in the career brain relative to the start date.</t>
        </is>
      </c>
      <c r="AE56" t="inlineStr">
        <is>
          <t>UNKNOWN</t>
        </is>
      </c>
      <c r="AF56" t="n">
        <v>0</v>
      </c>
      <c r="AG56" t="inlineStr">
        <is>
          <t>No</t>
        </is>
      </c>
      <c r="AH56" t="inlineStr">
        <is>
          <t>NOT_MENTIONED</t>
        </is>
      </c>
      <c r="AI56" t="inlineStr">
        <is>
          <t>No explicit mention of PPO or conversion opportunities in the job description.</t>
        </is>
      </c>
      <c r="AJ56" t="inlineStr">
        <is>
          <t>Location requirement: Fully in-person in Coimbatore, Tamil Nadu (Candidate prefers Bengaluru or remote).</t>
        </is>
      </c>
      <c r="AK56" t="inlineStr">
        <is>
          <t>Fully in-person role located in Coimbatore, which contradicts candidate's location preference of Bengaluru.</t>
        </is>
      </c>
      <c r="AL56" t="inlineStr">
        <is>
          <t>First principles problem solving; API design and database management experience; Experience working with AI tools and reasoning through AI outputs; Willingness to relocate to Coimbatore for a fully in-person internship</t>
        </is>
      </c>
    </row>
    <row r="57">
      <c r="A57" t="inlineStr">
        <is>
          <t>MICROSOFT-CO-261002-56</t>
        </is>
      </c>
      <c r="B57" t="inlineStr">
        <is>
          <t>Microsoft Corporation</t>
        </is>
      </c>
      <c r="C57" t="inlineStr">
        <is>
          <t>Software Engineering INTERN</t>
        </is>
      </c>
      <c r="D57" t="inlineStr">
        <is>
          <t>https://www.adzuna.in/details/5775777688?utm_medium=api&amp;utm_source=5ccdc27f</t>
        </is>
      </c>
      <c r="E57" t="inlineStr">
        <is>
          <t>AI Analyzer</t>
        </is>
      </c>
      <c r="F57" t="inlineStr">
        <is>
          <t>India</t>
        </is>
      </c>
      <c r="G57" t="inlineStr">
        <is>
          <t>Unknown</t>
        </is>
      </c>
      <c r="H57" t="inlineStr">
        <is>
          <t>Not specified</t>
        </is>
      </c>
      <c r="I57" t="inlineStr">
        <is>
          <t>Unknown</t>
        </is>
      </c>
      <c r="J57" t="inlineStr">
        <is>
          <t>UNKNOWN</t>
        </is>
      </c>
      <c r="K57" t="inlineStr">
        <is>
          <t>Object-oriented programming language; Computer Science fundamentals; Data structures and algorithms</t>
        </is>
      </c>
      <c r="L57" t="inlineStr">
        <is>
          <t>Time management; Collaboration; Software design, development, and testing</t>
        </is>
      </c>
      <c r="M57" t="inlineStr">
        <is>
          <t>## Software Engineering INTERN jobs in India
Leave us your email address and we'll send you similar new jobsCreate email alert [No, thanks](https://www.adzuna.in/details/5775777688#)
By creating an email alert, you agree to our [Terms &amp; Conditions](https://www.adzuna.in/terms-and-conditions.html) and [Privacy Notice](https://www.adzuna.in/privacy-policy.html), and Cookie Use. You can cancel at any time.
Loading...
Are you based in the United States? Select your country to see jobs specific to your location.
United KingdomAustraliaÖsterreichBelgiëBrasilCanadaFranceDeutschlandIndiaItaliaMéxicoNederlandNew ZealandPolskaSingaporeSouth AfricaEspañaSchweizUnited StatesContinue![](https://zunastatic-abf.kxcdn.com/images/global/responsive/icon_close_no_bg.svg)
What?
Where?
Search
[Advanced](https://www.adzuna.in/advanced-search)
# Software Engineering INTERN
[❮ back to last search](https://www.adzuna.in/details/5775777688#)![Direct Employers](https://zunastatic-abf.kxcdn.com/images/shared/jobs/partners/logo_adzuna_network.png)
Microsoft Corporation
Multiple Locations
![Direct Employers](https://zunastatic-abf.kxcdn.com/images/shared/jobs/partners/logo_adzuna_network.png)
CLOSING SOON
[Apply for this job](https://www.adzuna.in/land/ad/5775777688?aztt=eyJhbGciOiJIUzI1NiJ9.eyJjaSI6ImxIRlNrRnUtOFJHZ2ctaXlxVkZwb3ciLCJpYXQiOjE3OTA5NDM1ODksInRzIjpudWxsLCJ0dCI6Imdvb2dsZV9vcmdhbmljIiwiZXhwIjoxNzkxNTQ4Mzg5fQ.JJXKconN-ibLcx-mmEM1m2YAfSI_O-U2wd8IWoOOf9I&amp;from_adp=1&amp;v=8B7D27DC4A7BE6CAD854F8EC6052D023DE8AA493&amp;se=)\*\*Overview\*\* Come build community, explore your passions and do your best work at Microsoft with thousands of University interns from every corner of the world. This opportunity will allow you to bring your aspirations, talent, potential-and excitement for the journey ahead. As a Software Engineering Intern, you will work with teammates to solve problems and build innovative software solutions. You will apply your passion for customers and product quality as you provide technical guidance to Technical Program Managers and Product Managers. You will learn and adopt relevant new technologies, tools, methods, and processes to leverage in your solutions. This opportunity will enable you to advance your career by designing, developing, and testing next-generation software that will empower every person and organization on the planet to achieve more. At Microsoft, Interns work on real-world projects in collaboration with teams across the world, while having fun along the way. You'll be empowered to build community, explore your passions and achieve your goals. This is your chance to bring your solutions and ideas to life while working on cutting-edge technology.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Apply engineering principles to solve complex problems through sound and creative engineering. + Work with appropriate stakeholders to determine user requirements for a feature. + Quickly learns new engineering methods and incorporates them into work processes. + Seek feedback and apply internal or industry best practices to improve technical solutions. + Demonstrate skill in time management and completing software projects in a cooperative team environment. + Review current developments and proactively seek new knowledge that will improve the availability, reliability, efficiency, observability, and performance of products while also driving consistency in monitoring and operations at scale. \*\*Qualifications\*\* Required Qualifications: + Currently pursuing Bachelor's or Master's degree in Computer Science, Engineering, or related field + Must have at least 1 semester/term remaining following the completion of the internship + One year of programming experience in an object-oriented language. Preferred Qualifications: + Ability to demonstrate an understanding of computer science fundamentals, including data structures and algorithms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t>
        </is>
      </c>
      <c r="N57" t="n">
        <v>76</v>
      </c>
      <c r="O57" t="n">
        <v>75</v>
      </c>
      <c r="P57" t="n">
        <v>80</v>
      </c>
      <c r="Q57" t="n">
        <v>90</v>
      </c>
      <c r="R57" t="n">
        <v>60</v>
      </c>
      <c r="S57" t="n">
        <v>50</v>
      </c>
      <c r="T57" t="n">
        <v>95</v>
      </c>
      <c r="U57" t="inlineStr">
        <is>
          <t>CONSIDER</t>
        </is>
      </c>
      <c r="V57" t="inlineStr">
        <is>
          <t>CONSIDER</t>
        </is>
      </c>
      <c r="W57" t="inlineStr">
        <is>
          <t>Formal/explicit DSA interview preparation (though certified in DSA with Java)</t>
        </is>
      </c>
      <c r="X57" t="inlineStr">
        <is>
          <t>Standard Full Stack / Software Engineer Resume highlighting C# and Angular experience alongside MERN projects.</t>
        </is>
      </c>
      <c r="Y57" t="inlineStr">
        <is>
          <t>2026-10-02</t>
        </is>
      </c>
      <c r="Z57" t="inlineStr">
        <is>
          <t>Top-tier brand name (Microsoft) offering exceptional career value and opportunity quality.; Matches target role of Software Engineering Intern.; Candidate meets all stated hard qualifications (degree program, duration remaining, programming experience).</t>
        </is>
      </c>
      <c r="AA57" t="inlineStr">
        <is>
          <t>ELIGIBLE</t>
        </is>
      </c>
      <c r="AB57" t="inlineStr">
        <is>
          <t>Currently pursuing Master's degree in Computer Science (MCA at PES University, graduating 2027); Has remaining semesters following completion of internship; Demonstrated programming experience in object-oriented and general software engineering contexts (C#, Angular, Node.js)</t>
        </is>
      </c>
      <c r="AC57" t="inlineStr">
        <is>
          <t>UNKNOWN</t>
        </is>
      </c>
      <c r="AD57" t="inlineStr">
        <is>
          <t>Exact availability dates for internship are not specified in the candidate profile.</t>
        </is>
      </c>
      <c r="AE57" t="inlineStr">
        <is>
          <t>UNKNOWN</t>
        </is>
      </c>
      <c r="AF57" t="n">
        <v>0</v>
      </c>
      <c r="AG57" t="inlineStr">
        <is>
          <t>No</t>
        </is>
      </c>
      <c r="AH57" t="inlineStr">
        <is>
          <t>UNKNOWN</t>
        </is>
      </c>
      <c r="AI57" t="inlineStr">
        <is>
          <t>Job description mentions general university internship program overview but does not explicitly guarantee a PPO/conversion.</t>
        </is>
      </c>
      <c r="AK57" t="inlineStr">
        <is>
          <t>Stipend is completely unknown; Work mode/location specifics are vague (Multiple Locations in India)</t>
        </is>
      </c>
      <c r="AL57" t="inlineStr">
        <is>
          <t>Data structures and algorithms; Object-oriented programming concepts; System design and scalability; Past production deployment and software lifecycle experience</t>
        </is>
      </c>
    </row>
    <row r="58">
      <c r="A58" t="inlineStr">
        <is>
          <t>INDIAN-AI-RE-261002-57</t>
        </is>
      </c>
      <c r="B58" t="inlineStr">
        <is>
          <t>Indian AI Research Organisation IAIRO</t>
        </is>
      </c>
      <c r="C58" t="inlineStr">
        <is>
          <t>Software Engineer Intern</t>
        </is>
      </c>
      <c r="D58" t="inlineStr">
        <is>
          <t>https://www.adzuna.in/details/5845820622?utm_medium=api&amp;utm_source=5ccdc27f</t>
        </is>
      </c>
      <c r="E58" t="inlineStr">
        <is>
          <t>AI Analyzer</t>
        </is>
      </c>
      <c r="F58" t="inlineStr">
        <is>
          <t>Gandhinagar, Gujarat</t>
        </is>
      </c>
      <c r="G58" t="inlineStr">
        <is>
          <t>UNKNOWN</t>
        </is>
      </c>
      <c r="I58" t="inlineStr">
        <is>
          <t>UNKNOWN</t>
        </is>
      </c>
      <c r="J58" t="inlineStr">
        <is>
          <t>NOT_MENTIONED</t>
        </is>
      </c>
      <c r="K58" t="inlineStr">
        <is>
          <t>Software Engineering; Data Pipelines; AI-enabled services</t>
        </is>
      </c>
      <c r="L58" t="inlineStr">
        <is>
          <t>Python; AI/ML frameworks</t>
        </is>
      </c>
      <c r="M58" t="inlineStr">
        <is>
          <t>IAIRO is building foundational AI capability for India in the public interest Our health programme develops responsible AI systems that support clinicians researchers publichealth institutions and individuals seeking personalized daily guidance As a Software Engineer Intern you will help build data pipelines AIenabled services and lightweight MVPs inspired by AI Hospital Agent Hospital Personal Health Insights Agents Personicle and Personal Care Utility You will work with engineers and domain e…</t>
        </is>
      </c>
      <c r="N58" t="n">
        <v>56</v>
      </c>
      <c r="O58" t="n">
        <v>55</v>
      </c>
      <c r="P58" t="n">
        <v>65</v>
      </c>
      <c r="Q58" t="n">
        <v>80</v>
      </c>
      <c r="R58" t="n">
        <v>40</v>
      </c>
      <c r="S58" t="n">
        <v>30</v>
      </c>
      <c r="T58" t="n">
        <v>60</v>
      </c>
      <c r="U58" t="inlineStr">
        <is>
          <t>SKIP</t>
        </is>
      </c>
      <c r="V58" t="inlineStr">
        <is>
          <t>SKIP</t>
        </is>
      </c>
      <c r="W58" t="inlineStr">
        <is>
          <t>Foundational AI development; Data pipeline engineering</t>
        </is>
      </c>
      <c r="X58" t="inlineStr">
        <is>
          <t>Amaan_Ahmed_Resume_FullStack.pdf</t>
        </is>
      </c>
      <c r="Y58" t="inlineStr">
        <is>
          <t>2026-10-02</t>
        </is>
      </c>
      <c r="Z58" t="inlineStr">
        <is>
          <t>Role matches target Software Engineer Intern title; Opportunity to work on impactful health AI initiatives</t>
        </is>
      </c>
      <c r="AA58" t="inlineStr">
        <is>
          <t>ELIGIBLE</t>
        </is>
      </c>
      <c r="AB58" t="inlineStr">
        <is>
          <t>Target role matches Software Engineer Intern; No explicit hard blockers like degree restrictions or high experience requirements stated in the snippet</t>
        </is>
      </c>
      <c r="AC58" t="inlineStr">
        <is>
          <t>AVAILABLE</t>
        </is>
      </c>
      <c r="AD58" t="inlineStr">
        <is>
          <t>Candidate is pursuing MCA (2025-2027) and seeking internships</t>
        </is>
      </c>
      <c r="AE58" t="inlineStr">
        <is>
          <t>UNKNOWN</t>
        </is>
      </c>
      <c r="AF58" t="n">
        <v>0</v>
      </c>
      <c r="AG58" t="inlineStr">
        <is>
          <t>No</t>
        </is>
      </c>
      <c r="AH58" t="inlineStr">
        <is>
          <t>NOT_MENTIONED</t>
        </is>
      </c>
      <c r="AI58" t="inlineStr">
        <is>
          <t>No mention of conversion to full-time or PPO in the job description snippet</t>
        </is>
      </c>
      <c r="AK58" t="inlineStr">
        <is>
          <t>Location is Gandhinagar, Gujarat which does not match preferred location Bengaluru; Stipend is completely undisclosed; No mention of PPO</t>
        </is>
      </c>
      <c r="AL58" t="inlineStr">
        <is>
          <t>Building data pipelines; REST APIs and backend services; Experience with lightweight MVPs</t>
        </is>
      </c>
    </row>
    <row r="59">
      <c r="A59" t="inlineStr">
        <is>
          <t>COINBASE-261002-58</t>
        </is>
      </c>
      <c r="B59" t="inlineStr">
        <is>
          <t>Coinbase</t>
        </is>
      </c>
      <c r="C59" t="inlineStr">
        <is>
          <t>Software Engineer Intern</t>
        </is>
      </c>
      <c r="D59" t="inlineStr">
        <is>
          <t>https://www.adzuna.in/details/5878277894?utm_medium=api&amp;utm_source=5ccdc27f</t>
        </is>
      </c>
      <c r="E59" t="inlineStr">
        <is>
          <t>AI Analyzer</t>
        </is>
      </c>
      <c r="F59" t="inlineStr">
        <is>
          <t>San Francisco, CA / New York City, NY</t>
        </is>
      </c>
      <c r="G59" t="inlineStr">
        <is>
          <t>Hybrid</t>
        </is>
      </c>
      <c r="H59" t="inlineStr">
        <is>
          <t>$60 USD per hour</t>
        </is>
      </c>
      <c r="I59" t="inlineStr">
        <is>
          <t>12-week internship during summer 2027</t>
        </is>
      </c>
      <c r="J59" t="inlineStr">
        <is>
          <t>explicitly mentioned</t>
        </is>
      </c>
      <c r="K59" t="inlineStr">
        <is>
          <t>Programming experience in any language; Problem decomposition; Web development, mobile development, backend systems, or infrastructure familiarity; Responsible use of generative AI tools and copilots</t>
        </is>
      </c>
      <c r="L59" t="inlineStr">
        <is>
          <t>Crypto and blockchain domain concepts</t>
        </is>
      </c>
      <c r="M59" t="inlineStr">
        <is>
          <t>## Software Engineer Intern jobs in India
Leave us your email address and we'll send you similar new jobsCreate email alert [No, thanks](https://www.adzuna.in/details/5878277894#)
By creating an email alert, you agree to our [Terms &amp; Conditions](https://www.adzuna.in/terms-and-conditions.html) and [Privacy Notice](https://www.adzuna.in/privacy-policy.html), and Cookie Use. You can cancel at any time.
Loading...
Are you based in the United States? Select your country to see jobs specific to your location.
United KingdomAustraliaÖsterreichBelgiëBrasilCanadaFranceDeutschlandIndiaItaliaMéxicoNederlandNew ZealandPolskaSingaporeSouth AfricaEspañaSchweizUnited StatesContinue![](https://zunastatic-abf.kxcdn.com/images/global/responsive/icon_close_no_bg.svg)
What?
Where?
Search
[Advanced](https://www.adzuna.in/advanced-search)
# Software Engineer Intern
[❮ back to last search](https://www.adzuna.in/details/5878277894#)![Hashtag Web3](https://zunastatic-abf.kxcdn.com/images/logo/jobs_IN/partners/DuJdYT7tOUoKqeu-7lznaB3IIxw.png)
Coinbase
Hybrid - San Francisco, CA
Permanent
Part time
![Hashtag Web3](https://zunastatic-abf.kxcdn.com/images/logo/jobs_IN/partners/DuJdYT7tOUoKqeu-7lznaB3IIxw.png)
[Apply for this job](https://www.adzuna.in/land/ad/5878277894?aztt=eyJhbGciOiJIUzI1NiJ9.eyJ0cyI6bnVsbCwiZXhwIjoxNzkxNTQ4NDAxLCJ0dCI6Imdvb2dsZV9vcmdhbmljIiwiY2kiOiJxSGVCbDF1LThSR1NDYWo4V1NJNkN3IiwiaWF0IjoxNzkwOTQzNjAxfQ.EwA7GlKLZPtq-wY04XEXBNFVYnjzG9sYiElMIgXhImE&amp;from_adp=1&amp;v=6AB06B8FA41626B64690239ACB9F31984E1803E8&amp;se=)
Ready to do the most impactful work of your career? At Coinbase,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This is a 12-week internship during summer 2027.
You'll join Coinbase as a software engineer intern and help build the next generation of crypto-forward products and features. You'll solve large-scale, complex technical problems at the intersection of web-scale applications and blockchain technology, shipping real code that impacts millions of users.
During the application process, you'll select your preferred team from the groups below. Your application will be primarily considered for your selected team in the specified location. Following the **hybrid internship**, any full-time return opportunity would be **remote-first.**
**Product Group Teams (internship location = San Francisco):**
- **Base**\- Scale the crypto economy by creating integrations, fiat onramps, and developer tools on Coinbase's Ethereum L2 network, connecting builders to 108M+ users and $100B+ in assets.
- **Consumer** \- Build the fastest way to access crypto through the Coinbase retail and wallet apps, advanced trade, dApps, and staking.
- **Developer** \- Help build out Coinbase Developer Platform - trusted crypto infrastructure at scale. Payments, Wallets, Trading, and Stablecoin APIs for the global financial system.
- **Institutional** \- Enable thousands of large financial institutions to securely custody digital assets, stake, and participate in the crypto economy.
- **Platform** \- Create the scalable, compliant foundational systems (Identity, FinHub, Payments, Blockchain and Infrastructure) that underpin all Coinbase products.
**Core Teams (internship location = New York City):**
- **Security** \- Build solutions for critical security, compliance, and privacy needs, including the Workforce IAM Platform and security oversight tooling.
- **Enterprise AI**\- Build AI-powered tools and platforms that boost employee productivity and collaboration, partnering with ML, IT, and HR to bring custom and third-party AI solutions into everyday workflows.
- **Enterprise Engineering (EE)** \- Develop platforms that enhance customer support, internal tools and compliance through automation and customer-first engineering.
What you'll do
- Write high-quality, well-tested code that ships to production and directly impacts Coinbase customers.
- Collaborate with engineers, designers, and product managers to turn technical and product vision into delivered features.
- Participate in code reviews, providing and receiving feedback that raises the quality bar for your team.
- Own a defined project end-to-end, from scoping through implementation and launch, within your 12-week internship.
- Learn and apply crypto and blockchain domain concepts to real engineering problems in a production environment.
**Required Skills and Experience:**
- Demonstrates the ability to responsibly use generative AI tools and copilots (e.g., LibreChat, Gemini, Glean</t>
        </is>
      </c>
      <c r="N59" t="n">
        <v>81</v>
      </c>
      <c r="O59" t="n">
        <v>70</v>
      </c>
      <c r="P59" t="n">
        <v>75</v>
      </c>
      <c r="Q59" t="n">
        <v>80</v>
      </c>
      <c r="R59" t="n">
        <v>90</v>
      </c>
      <c r="S59" t="n">
        <v>100</v>
      </c>
      <c r="T59" t="n">
        <v>95</v>
      </c>
      <c r="U59" t="inlineStr">
        <is>
          <t>SKIP</t>
        </is>
      </c>
      <c r="V59" t="inlineStr">
        <is>
          <t>SKIP</t>
        </is>
      </c>
      <c r="W59" t="inlineStr">
        <is>
          <t>Responsible use of generative AI tools in daily workflows as explicitly formulated in requirements; Crypto and blockchain domain engineering experience</t>
        </is>
      </c>
      <c r="X59" t="inlineStr">
        <is>
          <t>Standard Full Stack / Software Engineer Resume</t>
        </is>
      </c>
      <c r="Y59" t="inlineStr">
        <is>
          <t>2026-10-02</t>
        </is>
      </c>
      <c r="Z59" t="inlineStr">
        <is>
          <t>Exceptional compensation and high opportunity quality at a top-tier crypto firm; Explicit full-time return opportunity (PPO) pathway; Aligns well with target Software Engineer Intern roles</t>
        </is>
      </c>
      <c r="AA59" t="inlineStr">
        <is>
          <t>blocked</t>
        </is>
      </c>
      <c r="AB59" t="inlineStr">
        <is>
          <t>Location mismatch: The internship locations are explicitly specified as San Francisco, CA or New York City, NY, requiring presence in the US, whereas the candidate is based in Bengaluru, India.; Work authorization: The posting lists requirements and links specific to US applicants, indicating lack of international visa sponsorship for this location track.</t>
        </is>
      </c>
      <c r="AC59" t="inlineStr">
        <is>
          <t>unknown</t>
        </is>
      </c>
      <c r="AD59" t="inlineStr">
        <is>
          <t>Candidate availability for relocating to the US for a summer 2027 hybrid internship is not explicitly stated in the profile.</t>
        </is>
      </c>
      <c r="AE59" t="inlineStr">
        <is>
          <t>known</t>
        </is>
      </c>
      <c r="AF59" t="n">
        <v>420000</v>
      </c>
      <c r="AG59" t="inlineStr">
        <is>
          <t>No</t>
        </is>
      </c>
      <c r="AH59" t="inlineStr">
        <is>
          <t>explicitly mentioned</t>
        </is>
      </c>
      <c r="AI59" t="inlineStr">
        <is>
          <t>Following the hybrid internship, any full-time return opportunity would be remote-first.</t>
        </is>
      </c>
      <c r="AJ59" t="inlineStr">
        <is>
          <t>Location requirement (San Francisco, CA / New York City, NY hybrid presence)</t>
        </is>
      </c>
      <c r="AK59" t="inlineStr">
        <is>
          <t>Geographic location mismatch presenting a hard eligibility barrier</t>
        </is>
      </c>
      <c r="AL59" t="inlineStr">
        <is>
          <t>Data structures and algorithms; System design for web-scale applications; Blockchain fundamentals and decentralized applications; Past project architecture and problem-solving methodologies</t>
        </is>
      </c>
    </row>
    <row r="60">
      <c r="A60" t="inlineStr">
        <is>
          <t>ZYBISYS-CONS-261002-59</t>
        </is>
      </c>
      <c r="B60" t="inlineStr">
        <is>
          <t>Zybisys Consulting Services Llp</t>
        </is>
      </c>
      <c r="C60" t="inlineStr">
        <is>
          <t>Software Engineer Intern</t>
        </is>
      </c>
      <c r="D60" t="inlineStr">
        <is>
          <t>https://www.adzuna.in/details/5845820644?utm_medium=api&amp;utm_source=5ccdc27f</t>
        </is>
      </c>
      <c r="E60" t="inlineStr">
        <is>
          <t>AI Analyzer</t>
        </is>
      </c>
      <c r="F60" t="inlineStr">
        <is>
          <t>Tiruchirappalli, Tamil Nadu</t>
        </is>
      </c>
      <c r="G60" t="inlineStr">
        <is>
          <t>Unknown</t>
        </is>
      </c>
      <c r="H60" t="inlineStr">
        <is>
          <t>Not specified</t>
        </is>
      </c>
      <c r="I60" t="inlineStr">
        <is>
          <t>Unknown</t>
        </is>
      </c>
      <c r="J60" t="inlineStr">
        <is>
          <t>No</t>
        </is>
      </c>
      <c r="K60" t="inlineStr">
        <is>
          <t>Node.js; JavaScript; TypeScript; Python; React.js; Next.js; MongoDB; PostgreSQL; REST APIs; JSON; Microservices; Linux; Command-line tools; Networking fundamentals; Web technologies; Analytical logical reasoning; Debugging; Communication skills</t>
        </is>
      </c>
      <c r="L60" t="inlineStr">
        <is>
          <t>Cloud Platforms; AWS; Azure; OpenStack; GCP; Docker; Kubernetes; CI/CD; Jenkins; GitHub Actions; Ansible; OpenSearch; Redis; Message queue technologies; Cybersecurity; System monitoring; Observability tools; Golang; Open source contributions; Hackathons; Technical certifications</t>
        </is>
      </c>
      <c r="M60" t="inlineStr">
        <is>
          <t>## Software Engineer Intern jobs in Tiruchirappalli
Leave us your email address and we'll send you similar new jobsCreate email alert [No, thanks](https://www.adzuna.in/details/5845820644#)
By creating an email alert, you agree to our [Terms &amp; Conditions](https://www.adzuna.in/terms-and-conditions.html) and [Privacy Notice](https://www.adzuna.in/privacy-policy.html), and Cookie Use. You can cancel at any time.
Loading...
Are you based in the United States? Select your country to see jobs specific to your location.
United KingdomAustraliaÖsterreichBelgiëBrasilCanadaFranceDeutschlandIndiaItaliaMéxicoNederlandNew ZealandPolskaSingaporeSouth AfricaEspañaSchweizUnited StatesContinue![](https://zunastatic-abf.kxcdn.com/images/global/responsive/icon_close_no_bg.svg)
What?
Where?
Search
[Advanced](https://www.adzuna.in/advanced-search)
# Software Engineer Intern
[❮ back to last search](https://www.adzuna.in/details/5845820644#)![Hiree Jobs](https://zunastatic-abf.kxcdn.com/images/in/jobs/partners/logo_hireejobs.png)
Zybisys Consulting Services Llp
Tiruchirappalli
![Hiree Jobs](https://zunastatic-abf.kxcdn.com/images/in/jobs/partners/logo_hireejobs.png)
CLOSING SOON
[Apply for this job](https://www.adzuna.in/land/ad/5845820644?aztt=eyJhbGciOiJIUzI1NiJ9.eyJjaSI6InBuYktuRnUtOFJHZ2ctaXlxVkZwb3ciLCJpYXQiOjE3OTA5NDM2MTAsInRzIjpudWxsLCJ0dCI6Imdvb2dsZV9vcmdhbmljIiwiZXhwIjoxNzkxNTQ4NDEwfQ.jN3mGEmJ__2yiUYc9FZhjiT8eaFTEWAOXvdA8c2Z-aA&amp;from_adp=1&amp;v=BCB7F459D37C7210B05B0FF4DEB28529C14615E9&amp;se=) We are looking for passionate and motivated Associate Software Engineers who are eager to work on modern technologies including Full Stack Development AI ML Cloud Automation and InfrastructureAware Applications This role is ideal for fresh graduates who enjoy problemsolving building scalable applications researching emerging technologies and working closely with development and infrastructure teams You will gain handson exposure to modern software engineering practices cloud native development AIassisted workflows DevOps culture and scalable system design Key Responsibilities Design develop test and maintain scalable web applications and APIs Work on modern fullstack development using React js Node js and Python Collaborate with Product QA DevOps Cloud and Infrastructure teams Participate in AI ML and automationdriven product development initiatives Research and evaluate emerging technologies frameworks and tools Develop clean optimized reusable and welldocumented code Troubleshoot application infrastructure and performancerelated issues Assist in building cloudnative and containerized applications Work with Linuxbased environments for deployment and debugging Contribute to CI CD automation and DevOps workflows Analyze system bottlenecks and recommend performance optimizations Document technical designs R D findings and implementation best practices Continuously improve technical analytical and communication skills RequirementsRequired Skills Qualifications Good programming knowledge in Node js JavaScript or TypeScript Python Understanding of frontend frameworks such as React js or Next js Familiarity with databases such as MongoDB or PostgreSQL Basic understanding of REST APIs JSON and microservices concepts Knowledge of Linux operating systems and commandline tools Understanding of networking fundamentals and web technologies Strong analytical logical reasoning and debugging skills Good written and verbal English communication skills Ability to learn new technologies quickly and adapt to modern development practices Awareness of AI ML concepts Generative AI tools and automation workflows Added Advantage Knowledge of Cloud Platforms AWS Azure OpenStack or GCP Exposure to Docker Kubernetes CI CD Jenkins GitHub Actions or Ansible Knowledge of OpenSearch Redis or message queue technologies Understanding of cybersecurity system monitoring or observability tools Experience with Golang or additional programming languages Contributions to GitHub opensource projects internships or hackathons Technical certifications such as RHCE AWS Azure CCNA Kubernetes etc BenefitsWhat We Offer Opportunity to work on modern AIdriven and cloudnative technologies Exposure to realworld enterprise and infrastructure projects Collaborative learning environment with mentorship from experienced engineers Career growth opportunities in Full Stack AI ML Cloud DevOps and Platform Engineering Handson experience with emerging technologies and R D initiatives [Apply for this job](https://www.adzuna.in/land/ad/5845820644?aztt=eyJhbGciOiJIUzI1NiJ9.eyJjaSI6InBuYktuRnUtOFJHZ2ctaXlxVkZwb3ciLCJpYXQiOjE3OTA5NDM2MTAsInRzIjpudWxsLCJ0dCI6Imdvb2dsZV9vcmdhbmljIiwiZXhwIjoxNzkxNTQ4NDEwfQ.jN3mGEmJ__2yiUYc9FZhjiT8eaFTEWAOXvdA8c2Z-aA&amp;from_adp=1&amp;v=BCB7F459D37C7210B05B0FF4DEB28529C14615E9&amp;se=)
## Stats for this job
### Salaries
The number of jobs in each salary range for all:
Receive similar jobs by email
Create alert
By creating an alert, you agree to our [T&amp;Cs](htt</t>
        </is>
      </c>
      <c r="N60" t="n">
        <v>66</v>
      </c>
      <c r="O60" t="n">
        <v>75</v>
      </c>
      <c r="P60" t="n">
        <v>80</v>
      </c>
      <c r="Q60" t="n">
        <v>80</v>
      </c>
      <c r="R60" t="n">
        <v>40</v>
      </c>
      <c r="S60" t="n">
        <v>30</v>
      </c>
      <c r="T60" t="n">
        <v>60</v>
      </c>
      <c r="U60" t="inlineStr">
        <is>
          <t>SKIP</t>
        </is>
      </c>
      <c r="V60" t="inlineStr">
        <is>
          <t>SKIP</t>
        </is>
      </c>
      <c r="W60" t="inlineStr">
        <is>
          <t>TypeScript; Python; Next.js; PostgreSQL; Microservices; Linux; Networking fundamentals</t>
        </is>
      </c>
      <c r="X60" t="inlineStr">
        <is>
          <t>Default Full Stack / MERN Resume</t>
        </is>
      </c>
      <c r="Y60" t="inlineStr">
        <is>
          <t>2026-10-02</t>
        </is>
      </c>
      <c r="Z60" t="inlineStr">
        <is>
          <t>Matches target role of Software Engineer Intern.; Involves modern full stack technologies and cloud-native concepts.</t>
        </is>
      </c>
      <c r="AA60" t="inlineStr">
        <is>
          <t>Not Eligible</t>
        </is>
      </c>
      <c r="AB60" t="inlineStr">
        <is>
          <t>Job location is Tiruchirappalli, Tamil Nadu, which violates the preferred location of Bengaluru or remote.</t>
        </is>
      </c>
      <c r="AC60" t="inlineStr">
        <is>
          <t>UNKNOWN</t>
        </is>
      </c>
      <c r="AD60" t="inlineStr">
        <is>
          <t>Availability details not specified in candidate profile.</t>
        </is>
      </c>
      <c r="AE60" t="inlineStr">
        <is>
          <t>UNKNOWN</t>
        </is>
      </c>
      <c r="AF60" t="n">
        <v>0</v>
      </c>
      <c r="AG60" t="inlineStr">
        <is>
          <t>No</t>
        </is>
      </c>
      <c r="AH60" t="inlineStr">
        <is>
          <t>No</t>
        </is>
      </c>
      <c r="AI60" t="inlineStr">
        <is>
          <t>The job description mentions career growth and mentorship opportunities, but does not explicitly mention a Pre-Placement Offer (PPO) or conversion to a full-time role.</t>
        </is>
      </c>
      <c r="AJ60" t="inlineStr">
        <is>
          <t>Location requirement: Job is based in Tiruchirappalli, Tamil Nadu, whereas candidate prefers Bengaluru or remote.</t>
        </is>
      </c>
      <c r="AK60" t="inlineStr">
        <is>
          <t>Stipend is not disclosed.; Location mismatch with candidate preferences.</t>
        </is>
      </c>
      <c r="AL60" t="inlineStr">
        <is>
          <t>Node.js and JavaScript fundamentals; React.js state management and component lifecycle; Database design with MongoDB and relational concepts like PostgreSQL; REST APIs and microservices architecture understanding; Linux command line and debugging practices</t>
        </is>
      </c>
    </row>
    <row r="61">
      <c r="A61" t="inlineStr">
        <is>
          <t>SOLUTIONINN,-261002-60</t>
        </is>
      </c>
      <c r="B61" t="inlineStr">
        <is>
          <t>SolutionInn, US</t>
        </is>
      </c>
      <c r="C61" t="inlineStr">
        <is>
          <t>Software Engineering Intern</t>
        </is>
      </c>
      <c r="D61" t="inlineStr">
        <is>
          <t>https://www.adzuna.in/details/5850377111?utm_medium=api&amp;utm_source=5ccdc27f</t>
        </is>
      </c>
      <c r="E61" t="inlineStr">
        <is>
          <t>AI Analyzer</t>
        </is>
      </c>
      <c r="F61" t="inlineStr">
        <is>
          <t>Ludhiana, Punjab</t>
        </is>
      </c>
      <c r="G61" t="inlineStr">
        <is>
          <t>On-site</t>
        </is>
      </c>
      <c r="H61" t="inlineStr">
        <is>
          <t>Stipend or Lunch allowance during the internship</t>
        </is>
      </c>
      <c r="I61" t="inlineStr">
        <is>
          <t>Fresh to 6 Months</t>
        </is>
      </c>
      <c r="J61" t="inlineStr">
        <is>
          <t>AVAILABLE</t>
        </is>
      </c>
      <c r="K61" t="inlineStr">
        <is>
          <t>HTML; CSS; JavaScript; Node.js; MySQL; Git; APIs</t>
        </is>
      </c>
      <c r="L61" t="inlineStr">
        <is>
          <t>Python; PHP; REDIS; AWS; Azure; Google Cloud; Agile; Scrum; AI/ML tools</t>
        </is>
      </c>
      <c r="M61" t="inlineStr">
        <is>
          <t>## Software Engineering Intern jobs in Ludhiana
Leave us your email address and we'll send you similar new jobsCreate email alert [No, thanks](https://www.adzuna.in/details/5850377111#)
By creating an email alert, you agree to our [Terms &amp; Conditions](https://www.adzuna.in/terms-and-conditions.html) and [Privacy Notice](https://www.adzuna.in/privacy-policy.html), and Cookie Use. You can cancel at any time.
Loading...
Are you based in the United States? Select your country to see jobs specific to your location.
United KingdomAustraliaÖsterreichBelgiëBrasilCanadaFranceDeutschlandIndiaItaliaMéxicoNederlandNew ZealandPolskaSingaporeSouth AfricaEspañaSchweizUnited StatesContinue![](https://zunastatic-abf.kxcdn.com/images/global/responsive/icon_close_no_bg.svg)
What?
Where?
Search
[Advanced](https://www.adzuna.in/advanced-search)
# Software Engineering Intern
[❮ back to last search](https://www.adzuna.in/details/5850377111#)![foundit (Monster)](https://zunastatic-abf.kxcdn.com/images/in/jobs/partners/logo_monsterindia.png)
SolutionInn, US
Ludhiana
![foundit (Monster)](https://zunastatic-abf.kxcdn.com/images/in/jobs/partners/logo_monsterindia.png)
CLOSING SOON
[Apply for this job](https://www.adzuna.in/land/ad/5850377111?aztt=eyJhbGciOiJIUzI1NiJ9.eyJpYXQiOjE3OTA5NDM2MjAsImV4cCI6MTc5MTU0ODQyMCwidHQiOiJnb29nbGVfb3JnYW5pYyIsInRzIjpudWxsLCJjaSI6InFpMk1vbHUtOFJHLU1mUk1uU29rYVEifQ.PYb1SMF7d_bjSzlk-ro4qH4JmCSjnYCr7c6b_U_5rTU&amp;from_adp=1&amp;v=722353B8CA85D50CBEC2B2168E24477DBA830F93&amp;se=)
**Skills Required**
- Experience with AI/ML tools or frameworks.
- Knowledge of cloud platforms like AWS, Azure, or Google Cloud.
- Familiarity with Agile or Scrum methodologies.
**Required Qualifications**
- Currently enrolled in or recently graduated from a degree program in Computer Science, Software Engineering, or a related field.
- Familiarity with front-end or back-end technologies, such as:
- Front-End: HTML, CSS, JavaScript,
- Back-End: Python (Django/Flask), Node.js, or PHP or PYTHON
- Databases: MySQL and REDIS.
- Understanding of version control systems (e.g., Git, GitHub).
- Basic knowledge of APIs and their implementation.
- Strong problem-solving and analytical skills.
- Eagerness to learn and adapt to new technologies and tools.
- Fresh to 6 Months
- Hands-on experience working with a talented team on live projects.
- Opportunity to contribute to a platform with a global student audience.
- Mentorship and training to develop your technical and professional skills.
- A certificate of completion and a potential full-time job offer for high-performing interns.
- Stipend or Lunch allowance during the internship
Skills: Javascript, Sql, Api, Java, Css, Html, Python
Experience: 0.00-1.00 Years
[Apply for this job](https://www.adzuna.in/land/ad/5850377111?aztt=eyJhbGciOiJIUzI1NiJ9.eyJpYXQiOjE3OTA5NDM2MjAsImV4cCI6MTc5MTU0ODQyMCwidHQiOiJnb29nbGVfb3JnYW5pYyIsInRzIjpudWxsLCJjaSI6InFpMk1vbHUtOFJHLU1mUk1uU29rYVEifQ.PYb1SMF7d_bjSzlk-ro4qH4JmCSjnYCr7c6b_U_5rTU&amp;from_adp=1&amp;v=722353B8CA85D50CBEC2B2168E24477DBA830F93&amp;se=)
## Stats for this job
### Salaries
The number of jobs in each salary range for all:
Receive similar jobs by email
Create alert
By creating an alert, you agree to our [T&amp;Cs](https://www.adzuna.in/terms-and-conditions.html) and [Privacy Notice](https://www.adzuna.in/privacy-policy.html), and Cookie Use.
## Similar jobs
[Marketing Intern](https://www.adzuna.in/details/5850377163)
SolutionInn, US
Ludhiana
[Graphic Designer - Intern](https://www.adzuna.in/details/5879546594)
0.5 - 1 lacs/annum
STAR PUBLICITY
Ludhiana
[Interior Design Intern](https://www.adzuna.in/details/5850377087)
SolutionInn, US
Ludhiana
[Fashion Designer Intern](https://www.adzuna.in/details/5850377065)
SolutionInn, US
Ludhiana
[Software Engineer](https://www.adzuna.in/details/5850377171)
SolutionInn, US
Ludhiana
## Popular searches
[Software engineer](https://www.adzuna.in/software-engineer)
[Back to last search](https://www.adzuna.in/details/5850377111#) [❮ back to last search](https://www.adzuna.in/details/5850377111#)
Receive similar jobs by email
Create alert [No thanks, take me to the job](https://www.adzuna.in/land/ad/5850377111?aztt=eyJhbGciOiJIUzI1NiJ9.eyJpYXQiOjE3OTA5NDM2MjAsImV4cCI6MTc5MTU0ODQyMCwidHQiOiJnb29nbGVfb3JnYW5pYyIsInRzIjpudWxsLCJjaSI6InFpMk1vbHUtOFJHLU1mUk1uU29rYVEifQ.PYb1SMF7d_bjSzlk-ro4qH4JmCSjnYCr7c6b_U_5rTU&amp;from_adp=1&amp;v=722353B8CA85D50CBEC2B2168E24477DBA830F93&amp;se=)
By creating an alert, you agree to our [T&amp;Cs](https://www.adzuna.in/terms-and-conditions.html) and [Privacy Notice](https://www.adzuna.in/privacy-policy.html), and Cookie Use.
[Apply for this job](https://www.adzuna.in/land/ad/5850377111?aztt=eyJhbGciOiJIUzI1NiJ9.eyJpYXQiOjE3OTA5NDM2MjAsImV4cCI6MTc5MTU0ODQyMCwidHQiOiJnb29nbGVfb3JnYW5pYyIsInRzIjpudWxsLCJjaSI6InFpMk1vbHUtOFJHLU1mUk1uU29rYVEifQ.PYb1SMF7d_bjSzlk-ro4qH4JmCSjnYCr7c6b_U_5rTU&amp;from_adp=1&amp;v=722353B8CA85D50CBEC2B2168E24477DBA830F93&amp;se=)
#### Country selection
[!</t>
        </is>
      </c>
      <c r="N61" t="n">
        <v>74</v>
      </c>
      <c r="O61" t="n">
        <v>75</v>
      </c>
      <c r="P61" t="n">
        <v>80</v>
      </c>
      <c r="Q61" t="n">
        <v>85</v>
      </c>
      <c r="R61" t="n">
        <v>90</v>
      </c>
      <c r="S61" t="n">
        <v>30</v>
      </c>
      <c r="T61" t="n">
        <v>60</v>
      </c>
      <c r="U61" t="inlineStr">
        <is>
          <t>CONSIDER</t>
        </is>
      </c>
      <c r="V61" t="inlineStr">
        <is>
          <t>CONSIDER</t>
        </is>
      </c>
      <c r="W61" t="inlineStr">
        <is>
          <t>Python; PHP; REDIS; AWS; Google Cloud</t>
        </is>
      </c>
      <c r="X61" t="inlineStr">
        <is>
          <t>Standard Full Stack Resume</t>
        </is>
      </c>
      <c r="Y61" t="inlineStr">
        <is>
          <t>2026-10-02</t>
        </is>
      </c>
      <c r="Z61" t="inlineStr">
        <is>
          <t>Role matches target Software Engineering Intern position; Offers potential conversion to a full-time job offer (PPO); Strong overlap with core Node.js and MySQL demonstrated skills</t>
        </is>
      </c>
      <c r="AA61" t="inlineStr">
        <is>
          <t>ELIGIBLE</t>
        </is>
      </c>
      <c r="AB61" t="inlineStr">
        <is>
          <t>Currently enrolled in a relevant degree program (MCA at PES University)</t>
        </is>
      </c>
      <c r="AC61" t="inlineStr">
        <is>
          <t>UNKNOWN</t>
        </is>
      </c>
      <c r="AD61" t="inlineStr">
        <is>
          <t>Availability not explicitly specified in candidate profile against internship dates</t>
        </is>
      </c>
      <c r="AE61" t="inlineStr">
        <is>
          <t>UNKNOWN</t>
        </is>
      </c>
      <c r="AF61" t="n">
        <v>0</v>
      </c>
      <c r="AG61" t="inlineStr">
        <is>
          <t>No</t>
        </is>
      </c>
      <c r="AH61" t="inlineStr">
        <is>
          <t>AVAILABLE</t>
        </is>
      </c>
      <c r="AI61" t="inlineStr">
        <is>
          <t>A potential full-time job offer for high-performing interns.</t>
        </is>
      </c>
      <c r="AK61" t="inlineStr">
        <is>
          <t>Location is Ludhiana, Punjab which does not match preferred location (Bengaluru); Stipend is ambiguous/unknown ("Stipend or Lunch allowance")</t>
        </is>
      </c>
      <c r="AL61" t="inlineStr">
        <is>
          <t>Node.js and Express backend development; MySQL database management and queries; REST API implementation and authentication; Cloud deployment experience on Azure</t>
        </is>
      </c>
    </row>
    <row r="62">
      <c r="A62" t="inlineStr">
        <is>
          <t>AUGLE-AI-261002-61</t>
        </is>
      </c>
      <c r="B62" t="inlineStr">
        <is>
          <t>Augle AI</t>
        </is>
      </c>
      <c r="C62" t="inlineStr">
        <is>
          <t>Software Engineer Intern</t>
        </is>
      </c>
      <c r="D62" t="inlineStr">
        <is>
          <t>https://www.adzuna.in/details/5827200220?utm_medium=api&amp;utm_source=5ccdc27f</t>
        </is>
      </c>
      <c r="E62" t="inlineStr">
        <is>
          <t>AI Analyzer</t>
        </is>
      </c>
      <c r="F62" t="inlineStr">
        <is>
          <t>Mumbai, Maharashtra</t>
        </is>
      </c>
      <c r="G62" t="inlineStr">
        <is>
          <t>Unknown</t>
        </is>
      </c>
      <c r="H62" t="inlineStr">
        <is>
          <t>Not specified</t>
        </is>
      </c>
      <c r="I62" t="inlineStr">
        <is>
          <t>Unknown</t>
        </is>
      </c>
      <c r="J62" t="inlineStr">
        <is>
          <t>Not Mentioned</t>
        </is>
      </c>
      <c r="L62" t="inlineStr">
        <is>
          <t>AI; 3D Vision; Robotics; Automation Systems</t>
        </is>
      </c>
      <c r="M62" t="inlineStr">
        <is>
          <t>Augle AI is a deeptech startup founded by IIT Bombay alumni building AI and 3D Visionpowered Robotics and Automation Systems for manufacturing companies We are developing the next generation of manufacturing technology flexible intelligent and adaptable to rapidly changing consumer demand Our solutions enable manufacturers to achieve new levels of efficiency by automating processes that were previously impossible with conventional technologies We serve a diverse range of industries including Au…</t>
        </is>
      </c>
      <c r="N62" t="n">
        <v>36</v>
      </c>
      <c r="O62" t="n">
        <v>40</v>
      </c>
      <c r="P62" t="n">
        <v>50</v>
      </c>
      <c r="Q62" t="n">
        <v>70</v>
      </c>
      <c r="R62" t="n">
        <v>0</v>
      </c>
      <c r="S62" t="n">
        <v>0</v>
      </c>
      <c r="T62" t="n">
        <v>40</v>
      </c>
      <c r="U62" t="inlineStr">
        <is>
          <t>SKIP</t>
        </is>
      </c>
      <c r="V62" t="inlineStr">
        <is>
          <t>SKIP</t>
        </is>
      </c>
      <c r="W62" t="inlineStr">
        <is>
          <t>AI; 3D Vision; Robotics; Automation Systems</t>
        </is>
      </c>
      <c r="X62" t="inlineStr">
        <is>
          <t>Amaanuddin_Ahmed_Resume.pdf</t>
        </is>
      </c>
      <c r="Y62" t="inlineStr">
        <is>
          <t>2026-10-02</t>
        </is>
      </c>
      <c r="Z62" t="inlineStr">
        <is>
          <t>Target role is Software Engineer Intern which aligns with primary targets.</t>
        </is>
      </c>
      <c r="AA62" t="inlineStr">
        <is>
          <t>Eligible</t>
        </is>
      </c>
      <c r="AC62" t="inlineStr">
        <is>
          <t>Unknown</t>
        </is>
      </c>
      <c r="AD62" t="inlineStr">
        <is>
          <t>Not specified in JD</t>
        </is>
      </c>
      <c r="AE62" t="inlineStr">
        <is>
          <t>Unknown</t>
        </is>
      </c>
      <c r="AF62" t="n">
        <v>0</v>
      </c>
      <c r="AG62" t="inlineStr">
        <is>
          <t>No</t>
        </is>
      </c>
      <c r="AH62" t="inlineStr">
        <is>
          <t>Not Mentioned</t>
        </is>
      </c>
      <c r="AI62" t="inlineStr">
        <is>
          <t>No mention of PPO or conversion in the provided text.</t>
        </is>
      </c>
      <c r="AK62" t="inlineStr">
        <is>
          <t>Location is Mumbai while candidate prefers Bengaluru; No stipend information provided; Job description is very short and lacks clear technical requirements</t>
        </is>
      </c>
      <c r="AL62" t="inlineStr">
        <is>
          <t>Experience with AI and Robotics; 3D Vision and Automation systems; Full-stack or software engineering fundamentals</t>
        </is>
      </c>
    </row>
    <row r="63">
      <c r="A63" t="inlineStr">
        <is>
          <t>FASK-261002-62</t>
        </is>
      </c>
      <c r="B63" t="inlineStr">
        <is>
          <t>Fask</t>
        </is>
      </c>
      <c r="C63" t="inlineStr">
        <is>
          <t>Software Engineer Intern</t>
        </is>
      </c>
      <c r="D63" t="inlineStr">
        <is>
          <t>https://www.adzuna.in/details/5889540095?utm_medium=api&amp;utm_source=5ccdc27f</t>
        </is>
      </c>
      <c r="E63" t="inlineStr">
        <is>
          <t>AI Analyzer</t>
        </is>
      </c>
      <c r="F63" t="inlineStr">
        <is>
          <t>India</t>
        </is>
      </c>
      <c r="G63" t="inlineStr">
        <is>
          <t>remote</t>
        </is>
      </c>
      <c r="H63" t="inlineStr">
        <is>
          <t>INR 5,000 to 8,000 per month</t>
        </is>
      </c>
      <c r="I63" t="inlineStr">
        <is>
          <t>6 months</t>
        </is>
      </c>
      <c r="J63" t="inlineStr">
        <is>
          <t>unknown</t>
        </is>
      </c>
      <c r="K63" t="inlineStr">
        <is>
          <t>AI agents development; AI-native software applications</t>
        </is>
      </c>
      <c r="L63" t="inlineStr">
        <is>
          <t>Open source contribution; StackOverflow contribution</t>
        </is>
      </c>
      <c r="M63" t="inlineStr">
        <is>
          <t>Your role We don’t need no education – just skills and motivation. You will design, develop and maintain our AI agents and AI-native software applications. You’ll work directly with the co-founders to create innovative solutions that delight our customers. This is a full-time internship for 6 months. Pay range is INR 5,000 to 8,000 per month. Your background Impactful open source contributor on StackOverflow or GitHub (not on personal projects). Impressive technical accomplishments (from colleg…</t>
        </is>
      </c>
      <c r="N63" t="n">
        <v>42</v>
      </c>
      <c r="O63" t="n">
        <v>40</v>
      </c>
      <c r="P63" t="n">
        <v>50</v>
      </c>
      <c r="Q63" t="n">
        <v>60</v>
      </c>
      <c r="R63" t="n">
        <v>30</v>
      </c>
      <c r="S63" t="n">
        <v>10</v>
      </c>
      <c r="T63" t="n">
        <v>50</v>
      </c>
      <c r="U63" t="inlineStr">
        <is>
          <t>SKIP</t>
        </is>
      </c>
      <c r="V63" t="inlineStr">
        <is>
          <t>SKIP</t>
        </is>
      </c>
      <c r="W63" t="inlineStr">
        <is>
          <t>AI agents development; AI-native software applications</t>
        </is>
      </c>
      <c r="X63" t="inlineStr">
        <is>
          <t>Amaanuddin_Ahmed_Resume_General</t>
        </is>
      </c>
      <c r="Y63" t="inlineStr">
        <is>
          <t>2026-10-02</t>
        </is>
      </c>
      <c r="Z63" t="inlineStr">
        <is>
          <t>Direct work with co-founders in an early-stage setup; Gain exposure to AI-native software applications</t>
        </is>
      </c>
      <c r="AA63" t="inlineStr">
        <is>
          <t>eligible</t>
        </is>
      </c>
      <c r="AB63" t="inlineStr">
        <is>
          <t>Role aligns with Software Engineer Intern target; No strict degree graduation year blockers found in the snippet</t>
        </is>
      </c>
      <c r="AC63" t="inlineStr">
        <is>
          <t>unknown</t>
        </is>
      </c>
      <c r="AD63" t="inlineStr">
        <is>
          <t>Availability not explicitly specified in the job description</t>
        </is>
      </c>
      <c r="AE63" t="inlineStr">
        <is>
          <t>disclosed</t>
        </is>
      </c>
      <c r="AF63" t="n">
        <v>5000</v>
      </c>
      <c r="AG63" t="inlineStr">
        <is>
          <t>No</t>
        </is>
      </c>
      <c r="AH63" t="inlineStr">
        <is>
          <t>unknown</t>
        </is>
      </c>
      <c r="AI63" t="inlineStr">
        <is>
          <t>No mention of conversion or PPO in the job description snippet</t>
        </is>
      </c>
      <c r="AJ63" t="inlineStr">
        <is>
          <t>Stipend of INR 5,000 to 8,000 per month is significantly below the minimum target of INR 25,000 per month</t>
        </is>
      </c>
      <c r="AK63" t="inlineStr">
        <is>
          <t>Low stipend relative to market expectations; Requires impactful open source contributions on StackOverflow or GitHub not on personal projects</t>
        </is>
      </c>
      <c r="AL63" t="inlineStr">
        <is>
          <t>AI agents design and architecture; Open source contributions and impact; Full-stack and AI integration experience</t>
        </is>
      </c>
    </row>
    <row r="64">
      <c r="A64" t="inlineStr">
        <is>
          <t>YO-FOREX-261002-63</t>
        </is>
      </c>
      <c r="B64" t="inlineStr">
        <is>
          <t>Yo Forex</t>
        </is>
      </c>
      <c r="C64" t="inlineStr">
        <is>
          <t>Software Engineering Intern</t>
        </is>
      </c>
      <c r="D64" t="inlineStr">
        <is>
          <t>https://www.adzuna.in/details/5845820632?utm_medium=api&amp;utm_source=5ccdc27f</t>
        </is>
      </c>
      <c r="E64" t="inlineStr">
        <is>
          <t>AI Analyzer</t>
        </is>
      </c>
      <c r="F64" t="inlineStr">
        <is>
          <t>Kolkata, West Bengal</t>
        </is>
      </c>
      <c r="G64" t="inlineStr">
        <is>
          <t>On-site</t>
        </is>
      </c>
      <c r="H64" t="inlineStr">
        <is>
          <t>5,000 to 12,000</t>
        </is>
      </c>
      <c r="I64" t="inlineStr">
        <is>
          <t>Not specified</t>
        </is>
      </c>
      <c r="J64" t="inlineStr">
        <is>
          <t>not_mentioned</t>
        </is>
      </c>
      <c r="K64" t="inlineStr">
        <is>
          <t>Software Development; Trading Technology</t>
        </is>
      </c>
      <c r="L64" t="inlineStr">
        <is>
          <t>High-performance trading tools</t>
        </is>
      </c>
      <c r="M64" t="inlineStr">
        <is>
          <t>Job Title Software Engineering Intern Trading Technology Location Central Kolkata Experience 06 months Education B Tech in Computer Science or Related Feild Stipend 5 000 to 12 000 We are seeking a highly motivated and technically curious Software Engineering Intern to join our development team This role is designed for a fresh B Tech graduate who is passionate about the intersection of finance and technology You will work on building debugging and optimizing highperformance trading tools and s…</t>
        </is>
      </c>
      <c r="N64" t="n">
        <v>32</v>
      </c>
      <c r="O64" t="n">
        <v>40</v>
      </c>
      <c r="P64" t="n">
        <v>40</v>
      </c>
      <c r="Q64" t="n">
        <v>50</v>
      </c>
      <c r="R64" t="n">
        <v>0</v>
      </c>
      <c r="S64" t="n">
        <v>10</v>
      </c>
      <c r="T64" t="n">
        <v>30</v>
      </c>
      <c r="U64" t="inlineStr">
        <is>
          <t>SKIP</t>
        </is>
      </c>
      <c r="V64" t="inlineStr">
        <is>
          <t>SKIP</t>
        </is>
      </c>
      <c r="W64" t="inlineStr">
        <is>
          <t>Trading Technology Domain Knowledge</t>
        </is>
      </c>
      <c r="X64" t="inlineStr">
        <is>
          <t>Amaanuddin_Ahmed_Resume.pdf</t>
        </is>
      </c>
      <c r="Y64" t="inlineStr">
        <is>
          <t>2026-10-02</t>
        </is>
      </c>
      <c r="AA64" t="inlineStr">
        <is>
          <t>ineligible</t>
        </is>
      </c>
      <c r="AB64" t="inlineStr">
        <is>
          <t>Education requirement: B.Tech in Computer Science or related field specified, but candidate is pursuing MCA; Location requirement: Central Kolkata, West Bengal, but candidate prefers Bengaluru or remote; Stipend requirement: Minimum target is ₹25,000/month, but offered stipend is ₹5,000 to ₹12,000/month</t>
        </is>
      </c>
      <c r="AC64" t="inlineStr">
        <is>
          <t>unknown</t>
        </is>
      </c>
      <c r="AD64" t="inlineStr">
        <is>
          <t>Start date and availability constraints are not mentioned in the job description.</t>
        </is>
      </c>
      <c r="AE64" t="inlineStr">
        <is>
          <t>partial</t>
        </is>
      </c>
      <c r="AF64" t="n">
        <v>5000</v>
      </c>
      <c r="AG64" t="inlineStr">
        <is>
          <t>No</t>
        </is>
      </c>
      <c r="AH64" t="inlineStr">
        <is>
          <t>not_mentioned</t>
        </is>
      </c>
      <c r="AI64" t="inlineStr">
        <is>
          <t>No mention of a Pre-Placement Offer or conversion to full-time employment in the job description.</t>
        </is>
      </c>
      <c r="AJ64" t="inlineStr">
        <is>
          <t>Location mismatch (Kolkata vs Bengaluru preference); Stipend below minimum target (₹5k-12k vs ₹25k target); Education requirement mismatch (B.Tech vs MCA program)</t>
        </is>
      </c>
      <c r="AK64" t="inlineStr">
        <is>
          <t>Extremely low stipend range for the market</t>
        </is>
      </c>
      <c r="AL64" t="inlineStr">
        <is>
          <t>Trading systems architecture; Low-latency optimization; Basic computer science fundamentals</t>
        </is>
      </c>
    </row>
    <row r="65">
      <c r="A65" t="inlineStr">
        <is>
          <t>SOFTORATE-261002-64</t>
        </is>
      </c>
      <c r="B65" t="inlineStr">
        <is>
          <t>Softorate</t>
        </is>
      </c>
      <c r="C65" t="inlineStr">
        <is>
          <t>Software Engineer Intern Unpaid</t>
        </is>
      </c>
      <c r="D65" t="inlineStr">
        <is>
          <t>https://www.adzuna.in/details/5885446712?utm_medium=api&amp;utm_source=5ccdc27f</t>
        </is>
      </c>
      <c r="E65" t="inlineStr">
        <is>
          <t>AI Analyzer</t>
        </is>
      </c>
      <c r="F65" t="inlineStr">
        <is>
          <t>Pune, Maharashtra</t>
        </is>
      </c>
      <c r="G65" t="inlineStr">
        <is>
          <t>Remote</t>
        </is>
      </c>
      <c r="H65" t="inlineStr">
        <is>
          <t>Unpaid</t>
        </is>
      </c>
      <c r="I65" t="inlineStr">
        <is>
          <t>Not specified</t>
        </is>
      </c>
      <c r="J65" t="inlineStr">
        <is>
          <t>NO</t>
        </is>
      </c>
      <c r="K65" t="inlineStr">
        <is>
          <t>Android; Web Development</t>
        </is>
      </c>
      <c r="M65" t="inlineStr">
        <is>
          <t>Role OverviewSoftorate is looking for a motivated student to join as a Software Engineer Intern Unpaid This is a remote role for students located in Maharashtra who want to gain handson experience in software development You will assist in developing testing and maintaining Android and Web applications to ensure optimal performance and usability ResponsibilitiesCollaborate with developers to contribute to the app design process Implement new features and fix bugs Ensure compliance with best pra…</t>
        </is>
      </c>
      <c r="N65" t="n">
        <v>30</v>
      </c>
      <c r="O65" t="n">
        <v>40</v>
      </c>
      <c r="P65" t="n">
        <v>40</v>
      </c>
      <c r="Q65" t="n">
        <v>50</v>
      </c>
      <c r="R65" t="n">
        <v>0</v>
      </c>
      <c r="S65" t="n">
        <v>0</v>
      </c>
      <c r="T65" t="n">
        <v>20</v>
      </c>
      <c r="U65" t="inlineStr">
        <is>
          <t>SKIP</t>
        </is>
      </c>
      <c r="V65" t="inlineStr">
        <is>
          <t>SKIP</t>
        </is>
      </c>
      <c r="W65" t="inlineStr">
        <is>
          <t>Android</t>
        </is>
      </c>
      <c r="X65" t="inlineStr">
        <is>
          <t>Default Full Stack Resume</t>
        </is>
      </c>
      <c r="Y65" t="inlineStr">
        <is>
          <t>2026-10-02</t>
        </is>
      </c>
      <c r="AA65" t="inlineStr">
        <is>
          <t>ELIGIBLE</t>
        </is>
      </c>
      <c r="AB65" t="inlineStr">
        <is>
          <t>Student status matches requirements; Role is remote</t>
        </is>
      </c>
      <c r="AC65" t="inlineStr">
        <is>
          <t>UNKNOWN</t>
        </is>
      </c>
      <c r="AD65" t="inlineStr">
        <is>
          <t>Start date and availability window are not specified in the job description.</t>
        </is>
      </c>
      <c r="AE65" t="inlineStr">
        <is>
          <t>UNPAID</t>
        </is>
      </c>
      <c r="AF65" t="n">
        <v>0</v>
      </c>
      <c r="AG65" t="inlineStr">
        <is>
          <t>No</t>
        </is>
      </c>
      <c r="AH65" t="inlineStr">
        <is>
          <t>NO</t>
        </is>
      </c>
      <c r="AI65" t="inlineStr">
        <is>
          <t>No mention of PPO or conversion to full-time employment in the job description.</t>
        </is>
      </c>
      <c r="AJ65" t="inlineStr">
        <is>
          <t>Unpaid internship below minimum stipend target of INR 25,000/month; Location restriction to Maharashtra students</t>
        </is>
      </c>
      <c r="AK65" t="inlineStr">
        <is>
          <t>Unpaid internship; No stipend provided</t>
        </is>
      </c>
      <c r="AL65" t="inlineStr">
        <is>
          <t>Web application development experience; Basic debugging and testing workflows; Familiarity with Android development</t>
        </is>
      </c>
    </row>
    <row r="66">
      <c r="A66" t="inlineStr">
        <is>
          <t>TALOS-261002-65</t>
        </is>
      </c>
      <c r="B66" t="inlineStr">
        <is>
          <t>Talos</t>
        </is>
      </c>
      <c r="C66" t="inlineStr">
        <is>
          <t>Software Engineer Intern, Infrastructure</t>
        </is>
      </c>
      <c r="D66" t="inlineStr">
        <is>
          <t>https://www.adzuna.in/details/5887515373?utm_medium=api&amp;utm_source=5ccdc27f</t>
        </is>
      </c>
      <c r="E66" t="inlineStr">
        <is>
          <t>AI Analyzer</t>
        </is>
      </c>
      <c r="F66" t="inlineStr">
        <is>
          <t>India</t>
        </is>
      </c>
      <c r="G66" t="inlineStr">
        <is>
          <t>UNKNOWN</t>
        </is>
      </c>
      <c r="I66" t="inlineStr">
        <is>
          <t>UNKNOWN</t>
        </is>
      </c>
      <c r="J66" t="inlineStr">
        <is>
          <t>NOT_MENTIONED</t>
        </is>
      </c>
      <c r="M66" t="inlineStr">
        <is>
          <t>Institutional Fabric for the Digital Asset Market Founded in 2018, Talos provides institutional-grade trading technology for the global digital asset market, powering many of the major players in the crypto ecosystem. Our mission is clear: to advance the mass adoption of digital assets by seamlessly connecting institutions to the digital asset ecosystem. We are committed to building the most innovative and trusted platform in the world, supporting the entire trading lifecycle. At Talos, you’ll …</t>
        </is>
      </c>
      <c r="N66" t="n">
        <v>48</v>
      </c>
      <c r="O66" t="n">
        <v>50</v>
      </c>
      <c r="P66" t="n">
        <v>50</v>
      </c>
      <c r="Q66" t="n">
        <v>60</v>
      </c>
      <c r="R66" t="n">
        <v>50</v>
      </c>
      <c r="S66" t="n">
        <v>0</v>
      </c>
      <c r="T66" t="n">
        <v>60</v>
      </c>
      <c r="U66" t="inlineStr">
        <is>
          <t>SKIP</t>
        </is>
      </c>
      <c r="V66" t="inlineStr">
        <is>
          <t>SKIP</t>
        </is>
      </c>
      <c r="X66" t="inlineStr">
        <is>
          <t>Amaanuddin_Ahmed_Resume.pdf</t>
        </is>
      </c>
      <c r="Y66" t="inlineStr">
        <is>
          <t>2026-10-02</t>
        </is>
      </c>
      <c r="Z66" t="inlineStr">
        <is>
          <t>Talos is a well-established institutional-grade crypto technology platform.</t>
        </is>
      </c>
      <c r="AA66" t="inlineStr">
        <is>
          <t>ELIGIBLE</t>
        </is>
      </c>
      <c r="AB66" t="inlineStr">
        <is>
          <t>The JD snippet provided is incomplete and does not specify strict degree, graduation year, or hard technical requirements that would act as blockers.</t>
        </is>
      </c>
      <c r="AC66" t="inlineStr">
        <is>
          <t>UNKNOWN</t>
        </is>
      </c>
      <c r="AD66" t="inlineStr">
        <is>
          <t>Availability requirements are not specified in the job description.</t>
        </is>
      </c>
      <c r="AE66" t="inlineStr">
        <is>
          <t>UNKNOWN</t>
        </is>
      </c>
      <c r="AF66" t="n">
        <v>0</v>
      </c>
      <c r="AG66" t="inlineStr">
        <is>
          <t>No</t>
        </is>
      </c>
      <c r="AH66" t="inlineStr">
        <is>
          <t>NOT_MENTIONED</t>
        </is>
      </c>
      <c r="AI66" t="inlineStr">
        <is>
          <t>The provided JD text cuts off after the company intro and does not mention PPO conversion details.</t>
        </is>
      </c>
      <c r="AK66" t="inlineStr">
        <is>
          <t>Incomplete job description snippet provided.</t>
        </is>
      </c>
      <c r="AL66" t="inlineStr">
        <is>
          <t>Digital asset market technology; Infrastructure engineering; Software engineering principles</t>
        </is>
      </c>
    </row>
    <row r="67">
      <c r="A67" t="inlineStr">
        <is>
          <t>PRETLIST-261002-66</t>
        </is>
      </c>
      <c r="B67" t="inlineStr">
        <is>
          <t>Pretlist</t>
        </is>
      </c>
      <c r="C67" t="inlineStr">
        <is>
          <t>Embedded Software Engineer Intern</t>
        </is>
      </c>
      <c r="D67" t="inlineStr">
        <is>
          <t>https://www.adzuna.in/details/5885446726?utm_medium=api&amp;utm_source=5ccdc27f</t>
        </is>
      </c>
      <c r="E67" t="inlineStr">
        <is>
          <t>AI Analyzer</t>
        </is>
      </c>
      <c r="F67" t="inlineStr">
        <is>
          <t>Noida, Ghaziabad</t>
        </is>
      </c>
      <c r="G67" t="inlineStr">
        <is>
          <t>Unknown</t>
        </is>
      </c>
      <c r="H67" t="inlineStr">
        <is>
          <t>Not specified</t>
        </is>
      </c>
      <c r="I67" t="inlineStr">
        <is>
          <t>Unknown</t>
        </is>
      </c>
      <c r="J67" t="inlineStr">
        <is>
          <t>Not Mentioned</t>
        </is>
      </c>
      <c r="K67" t="inlineStr">
        <is>
          <t>C; C++; Embedded Systems; Microcontrollers; UART; SPI; I2C; CAN</t>
        </is>
      </c>
      <c r="M67" t="inlineStr">
        <is>
          <t>Role OverviewPretlists panelless pivot control technology is transforming the manufacturing and farming industries As an Embedded Software Engineer Intern you will join a growing team working with cuttingedge pivot control technology contributing to a truly unique project where you dream it and build it ResponsibilitiesDesign develop and maintain embedded firmware in C C for microcontrollers and SoCsDevelop and debug lowlevel embedded protocols and interfaces including UART SPI I2C RS485 CAN BS…</t>
        </is>
      </c>
      <c r="N67" t="n">
        <v>3</v>
      </c>
      <c r="O67" t="n">
        <v>0</v>
      </c>
      <c r="P67" t="n">
        <v>0</v>
      </c>
      <c r="Q67" t="n">
        <v>0</v>
      </c>
      <c r="R67" t="n">
        <v>0</v>
      </c>
      <c r="S67" t="n">
        <v>0</v>
      </c>
      <c r="T67" t="n">
        <v>30</v>
      </c>
      <c r="U67" t="inlineStr">
        <is>
          <t>SKIP</t>
        </is>
      </c>
      <c r="V67" t="inlineStr">
        <is>
          <t>SKIP</t>
        </is>
      </c>
      <c r="W67" t="inlineStr">
        <is>
          <t>C; C++; Embedded Systems; Microcontrollers; UART; SPI; I2C; CAN</t>
        </is>
      </c>
      <c r="X67" t="inlineStr">
        <is>
          <t>Amaanuddin_Ahmed_Resume_Default.pdf</t>
        </is>
      </c>
      <c r="Y67" t="inlineStr">
        <is>
          <t>2026-10-02</t>
        </is>
      </c>
      <c r="AA67" t="inlineStr">
        <is>
          <t>Ineligible</t>
        </is>
      </c>
      <c r="AB67" t="inlineStr">
        <is>
          <t>Hard blocker: Location mismatch. Candidate prefers Bengaluru (or remote), while the job is in Noida/Ghaziabad.; Hard blocker: Role mismatch. The candidate is a Full Stack/Backend Developer (MERN, Angular, Node.js), whereas this role requires Embedded Software Engineering with C/C++, microcontrollers, and low-level protocols (UART, SPI, I2C, CAN).</t>
        </is>
      </c>
      <c r="AC67" t="inlineStr">
        <is>
          <t>Unknown</t>
        </is>
      </c>
      <c r="AD67" t="inlineStr">
        <is>
          <t>Not specified in profile</t>
        </is>
      </c>
      <c r="AE67" t="inlineStr">
        <is>
          <t>UNKNOWN</t>
        </is>
      </c>
      <c r="AF67" t="n">
        <v>0</v>
      </c>
      <c r="AG67" t="inlineStr">
        <is>
          <t>No</t>
        </is>
      </c>
      <c r="AH67" t="inlineStr">
        <is>
          <t>Not Mentioned</t>
        </is>
      </c>
      <c r="AI67" t="inlineStr">
        <is>
          <t>No mention of PPO or conversion in the short job description.</t>
        </is>
      </c>
      <c r="AJ67" t="inlineStr">
        <is>
          <t>Location mismatch: Noida/Ghaziabad vs Bengaluru preference; Domain mismatch: Embedded Software Engineering vs Web/Software Development background</t>
        </is>
      </c>
      <c r="AK67" t="inlineStr">
        <is>
          <t>Missing stipend information; Missing job type and duration details</t>
        </is>
      </c>
    </row>
    <row r="68">
      <c r="A68" t="inlineStr">
        <is>
          <t>LOG9-MATERIA-261002-67</t>
        </is>
      </c>
      <c r="B68" t="inlineStr">
        <is>
          <t>Log9 Materials</t>
        </is>
      </c>
      <c r="C68" t="inlineStr">
        <is>
          <t>Quantum Software Engineer Intern</t>
        </is>
      </c>
      <c r="D68" t="inlineStr">
        <is>
          <t>https://www.adzuna.in/details/5854847465?utm_medium=api&amp;utm_source=5ccdc27f</t>
        </is>
      </c>
      <c r="E68" t="inlineStr">
        <is>
          <t>AI Analyzer</t>
        </is>
      </c>
      <c r="F68" t="inlineStr">
        <is>
          <t>Bangalore, Karnataka (Hubballi mentioned in text)</t>
        </is>
      </c>
      <c r="G68" t="inlineStr">
        <is>
          <t>On-site</t>
        </is>
      </c>
      <c r="H68" t="inlineStr">
        <is>
          <t>Not specified</t>
        </is>
      </c>
      <c r="I68" t="inlineStr">
        <is>
          <t>Not specified</t>
        </is>
      </c>
      <c r="J68" t="inlineStr">
        <is>
          <t>NOT_MENTIONED</t>
        </is>
      </c>
      <c r="K68" t="inlineStr">
        <is>
          <t>Quantum Computing; Quantum Algorithms; Simulators; Hardware Benchmarking</t>
        </is>
      </c>
      <c r="M68" t="inlineStr">
        <is>
          <t>Join Log9 Materials in Hubballi as a Quantum Software Engineer Intern This entrylevel internship is designed for students and recent graduates who learn best by building shipping and getting real feedback on quantum computing work About the role As a Quantum Software Engineer Intern at Log9 Materials your core focus will be implementing and benchmarking quantum algorithms on simulators and hardware You are attached to a named mentor join the teams standups and reviews and are trusted with work …</t>
        </is>
      </c>
      <c r="N68" t="n">
        <v>4</v>
      </c>
      <c r="O68" t="n">
        <v>0</v>
      </c>
      <c r="P68" t="n">
        <v>0</v>
      </c>
      <c r="Q68" t="n">
        <v>0</v>
      </c>
      <c r="R68" t="n">
        <v>0</v>
      </c>
      <c r="S68" t="n">
        <v>0</v>
      </c>
      <c r="T68" t="n">
        <v>40</v>
      </c>
      <c r="U68" t="inlineStr">
        <is>
          <t>SKIP</t>
        </is>
      </c>
      <c r="V68" t="inlineStr">
        <is>
          <t>SKIP</t>
        </is>
      </c>
      <c r="W68" t="inlineStr">
        <is>
          <t>Quantum Computing; Quantum Algorithms; Quantum Simulators; Hardware Benchmarking</t>
        </is>
      </c>
      <c r="X68" t="inlineStr">
        <is>
          <t>Amaan_Ahmed_FullStack_Resume.pdf</t>
        </is>
      </c>
      <c r="Y68" t="inlineStr">
        <is>
          <t>2026-10-02</t>
        </is>
      </c>
      <c r="AA68" t="inlineStr">
        <is>
          <t>BLOCKED</t>
        </is>
      </c>
      <c r="AB68" t="inlineStr">
        <is>
          <t>Job requires quantum computing work, quantum algorithms implementation and benchmarking on simulators and hardware, which completely diverges from candidate's full-stack and web development profile.</t>
        </is>
      </c>
      <c r="AC68" t="inlineStr">
        <is>
          <t>UNKNOWN</t>
        </is>
      </c>
      <c r="AD68" t="inlineStr">
        <is>
          <t>Availability not specified in career brain relative to this specific role timeline.</t>
        </is>
      </c>
      <c r="AE68" t="inlineStr">
        <is>
          <t>UNKNOWN</t>
        </is>
      </c>
      <c r="AF68" t="n">
        <v>0</v>
      </c>
      <c r="AG68" t="inlineStr">
        <is>
          <t>No</t>
        </is>
      </c>
      <c r="AH68" t="inlineStr">
        <is>
          <t>NOT_MENTIONED</t>
        </is>
      </c>
      <c r="AI68" t="inlineStr">
        <is>
          <t>No mention of PPO or conversion in the job description.</t>
        </is>
      </c>
      <c r="AJ68" t="inlineStr">
        <is>
          <t>Role requires core quantum computing and quantum algorithm engineering experience, which is completely outside candidate's full-stack development expertise.</t>
        </is>
      </c>
      <c r="AK68" t="inlineStr">
        <is>
          <t>Mismatch in domain (Quantum Software Engineering vs Full-Stack/Web Development).</t>
        </is>
      </c>
      <c r="AL68" t="inlineStr">
        <is>
          <t>Quantum mechanics; Quantum circuits; Qiskit or Cirq; Quantum algorithms (Shor's, Grover's)</t>
        </is>
      </c>
    </row>
    <row r="69">
      <c r="A69" t="inlineStr">
        <is>
          <t>CHEGG-261002-68</t>
        </is>
      </c>
      <c r="B69" t="inlineStr">
        <is>
          <t>Chegg</t>
        </is>
      </c>
      <c r="C69" t="inlineStr">
        <is>
          <t>AINative Software Engineering Internship</t>
        </is>
      </c>
      <c r="D69" t="inlineStr">
        <is>
          <t>https://www.adzuna.in/details/5794908422?utm_medium=api&amp;utm_source=5ccdc27f</t>
        </is>
      </c>
      <c r="E69" t="inlineStr">
        <is>
          <t>AI Analyzer</t>
        </is>
      </c>
      <c r="F69" t="inlineStr">
        <is>
          <t>Delhi, India</t>
        </is>
      </c>
      <c r="G69" t="inlineStr">
        <is>
          <t>Unknown</t>
        </is>
      </c>
      <c r="I69" t="inlineStr">
        <is>
          <t>Unknown</t>
        </is>
      </c>
      <c r="J69" t="inlineStr">
        <is>
          <t>Not Mentioned</t>
        </is>
      </c>
      <c r="K69" t="inlineStr">
        <is>
          <t>Python; Java; Node.js; SQL; Git</t>
        </is>
      </c>
      <c r="L69" t="inlineStr">
        <is>
          <t>React.js; Next.js; AWS; Docker; Kubernetes; PostgreSQL; MySQL; Kafka; RabbitMQ</t>
        </is>
      </c>
      <c r="M69" t="inlineStr">
        <is>
          <t>## AINative Software Engineering Internship jobs in Delhi
Leave us your email address and we'll send you similar new jobsCreate email alert [No, thanks](https://www.adzuna.in/details/5794908422#)
By creating an email alert, you agree to our [Terms &amp; Conditions](https://www.adzuna.in/terms-and-conditions.html) and [Privacy Notice](https://www.adzuna.in/privacy-policy.html), and Cookie Use. You can cancel at any time.
Loading...
Are you based in the United States? Select your country to see jobs specific to your location.
United KingdomAustraliaÖsterreichBelgiëBrasilCanadaFranceDeutschlandIndiaItaliaMéxicoNederlandNew ZealandPolskaSingaporeSouth AfricaEspañaSchweizUnited StatesContinue![](https://zunastatic-abf.kxcdn.com/images/global/responsive/icon_close_no_bg.svg)
What?
Where?
Search
[Advanced](https://www.adzuna.in/advanced-search)
# AINative Software Engineering Internship
[❮ back to last search](https://www.adzuna.in/details/5794908422#)![Hiree Jobs](https://zunastatic-abf.kxcdn.com/images/in/jobs/partners/logo_hireejobs.png)
Chegg
Delhi
![Hiree Jobs](https://zunastatic-abf.kxcdn.com/images/in/jobs/partners/logo_hireejobs.png)
CLOSING SOON
[Apply for this job](https://www.adzuna.in/land/ad/5794908422?aztt=eyJhbGciOiJIUzI1NiJ9.eyJleHAiOjE3OTE1NDg0NTEsInRzIjpudWxsLCJjaSI6IjVIVFZ0RnUtOFJHcWxzd003d3ppbUEiLCJ0dCI6Imdvb2dsZV9vcmdhbmljIiwiaWF0IjoxNzkwOTQzNjUxfQ.HKtqNe7nChqKwLbDx6BW84BsPeBf8D55Zfn8VWV5_zo&amp;from_adp=1&amp;v=39300BDC72C92FB2BA5CA8E5DFC26EB8EBBC64AE&amp;se=) Chegg is actively hiring for the role of AINative Software Engineering Intern Responsibilities of the Intern Contribute to endtoend feature development from system design discussions through production delivery Collaborate with crossfunctional teams to break down requirements into clean shippable increments Participate in sprint ceremonies code reviews and technical discussions to build engineering judgment Work across the stack building user interfaces in React js Next js extending backend microservices in Java Spring Boot Python or Node js or writing SQL queries ETL pipelines and data transformations Leverage AWS services alongside the team to build and maintain reliable cloudnative infrastructure Build dashboards surface insights from largescale data and collaborate with analytics partners to deliver data products Write unit integration and endtoend tests develop a strong testing mindset from day one Learn observability practices like structured logging distributed tracing and metrics dashboards Requirements Currently in final year of or completed a Bachelors or Masters degree in Computer Science Software Engineering Data Science or a related field Solid foundation in at least one generalpurpose programming language Python Java Node etc Understanding of fundamental data structures algorithms and software design principles Familiarity with version control Git and collaborative development workflows Eagerness to learn new technologies quickly and work across unfamiliar stacks Strong communication skills and a collaborative feedbackdriven mindset Comfortable using AIassisted development tools such as Claude and able to leverage them to speed up development Handson experience with any tech stack including Node Java Python etc Familiarity with SQL and relational databases PostgreSQL MySQL Exposure to cloud platforms AWS GCP or Azure or containerisation tools Docker Kubernetes Experience with eventdriven systems or streaming platforms Kafka RabbitMQ Contributions to opensource projects or a strong personal portfolio GitHub Prior internship or work experience in a software development role Chegg is actively hiring for the role of AINative Software Engineering Intern Responsibilities of the Intern Contribute to endtoend feature development from system design discussions through production delivery Collaborate with crossfunctional teams to break down requirements into clean shippable increments Participate in sprint ceremonies code reviews and technical discussions to build engineering judgment Work across the stack building user interfaces in React js Next js extending backend microservices in Java Spring Boot Python or Node js or writing SQL queries ETL pipelines and data transformations Leverage AWS services alongside the team to build and maintain reliable cloudnative infrastructure Build dashboards surface insights from largescale data and collaborate with analytics partners to deliver data products Write unit integration and endtoend tests develop a strong testing mindset from day one Learn observability practices like structured logging distributed tracing and metrics dashboards Requirements Currently in final year of or completed a Bachelors or Masters degree in Computer Science Software Engineering Data Science or a related field Solid foundation in at least one generalpurpose programming language Python Java Node etc Understanding of fundamental data structures algorithms and software design principles Familiarity with version con</t>
        </is>
      </c>
      <c r="N69" t="n">
        <v>59</v>
      </c>
      <c r="O69" t="n">
        <v>65</v>
      </c>
      <c r="P69" t="n">
        <v>70</v>
      </c>
      <c r="Q69" t="n">
        <v>80</v>
      </c>
      <c r="R69" t="n">
        <v>50</v>
      </c>
      <c r="S69" t="n">
        <v>0</v>
      </c>
      <c r="T69" t="n">
        <v>60</v>
      </c>
      <c r="U69" t="inlineStr">
        <is>
          <t>SKIP</t>
        </is>
      </c>
      <c r="V69" t="inlineStr">
        <is>
          <t>SKIP</t>
        </is>
      </c>
      <c r="W69" t="inlineStr">
        <is>
          <t>Python; Java; Next.js; AWS; Docker; Kubernetes; Kafka; RabbitMQ</t>
        </is>
      </c>
      <c r="X69" t="inlineStr">
        <is>
          <t>Default Full Stack Resume</t>
        </is>
      </c>
      <c r="Y69" t="inlineStr">
        <is>
          <t>2026-10-02</t>
        </is>
      </c>
      <c r="Z69" t="inlineStr">
        <is>
          <t>Aligns well with Software Engineering Intern target roles.; Involves modern stack exposure including Node.js and SQL.</t>
        </is>
      </c>
      <c r="AA69" t="inlineStr">
        <is>
          <t>No</t>
        </is>
      </c>
      <c r="AB69" t="inlineStr">
        <is>
          <t>Location mismatch: Job is based in Delhi, India, while candidate prefers Bengaluru, India.</t>
        </is>
      </c>
      <c r="AC69" t="inlineStr">
        <is>
          <t>Unknown</t>
        </is>
      </c>
      <c r="AD69" t="inlineStr">
        <is>
          <t>Availability start date is not specified in the candidate profile.</t>
        </is>
      </c>
      <c r="AE69" t="inlineStr">
        <is>
          <t>UNKNOWN</t>
        </is>
      </c>
      <c r="AF69" t="n">
        <v>0</v>
      </c>
      <c r="AG69" t="inlineStr">
        <is>
          <t>No</t>
        </is>
      </c>
      <c r="AH69" t="inlineStr">
        <is>
          <t>Not Mentioned</t>
        </is>
      </c>
      <c r="AI69" t="inlineStr">
        <is>
          <t>The job description does not explicitly mention PPO or conversion opportunities.</t>
        </is>
      </c>
      <c r="AJ69" t="inlineStr">
        <is>
          <t>Location mismatch (Delhi vs Bengaluru preferred)</t>
        </is>
      </c>
      <c r="AK69" t="inlineStr">
        <is>
          <t>Stipend details are completely missing</t>
        </is>
      </c>
      <c r="AL69" t="inlineStr">
        <is>
          <t>Node.js microservices; SQL query optimization and database design; Cloud-native architecture on AWS; Using AI-assisted development tools effectively</t>
        </is>
      </c>
    </row>
    <row r="70">
      <c r="A70" t="inlineStr">
        <is>
          <t>PERCEPTIVE-261002-69</t>
        </is>
      </c>
      <c r="B70" t="inlineStr">
        <is>
          <t>Perceptive</t>
        </is>
      </c>
      <c r="C70" t="inlineStr">
        <is>
          <t>Software Engineering Apprentice Program</t>
        </is>
      </c>
      <c r="D70" t="inlineStr">
        <is>
          <t>https://www.adzuna.in/details/5794908440?utm_medium=api&amp;utm_source=5ccdc27f</t>
        </is>
      </c>
      <c r="E70" t="inlineStr">
        <is>
          <t>AI Analyzer</t>
        </is>
      </c>
      <c r="F70" t="inlineStr">
        <is>
          <t>Hyderabad, Telangana</t>
        </is>
      </c>
      <c r="G70" t="inlineStr">
        <is>
          <t>UNKNOWN</t>
        </is>
      </c>
      <c r="I70" t="inlineStr">
        <is>
          <t>UNKNOWN</t>
        </is>
      </c>
      <c r="J70" t="inlineStr">
        <is>
          <t>UNKNOWN</t>
        </is>
      </c>
      <c r="M70" t="inlineStr">
        <is>
          <t>Were on a mission to change the future of clinical research At Perceptive we help the biopharmaceutical industry bring medical treatments to the market faster Our mission is to change the world but to do this we need people like you Apart from job satisfaction we can offer you HEALTH Medical plan for you and your dependents Personal Accident Insurance Life Insurance Critical illness cover WEALTH Salary structure and Flexi basket Provident fund of 12 Gratuity scheme YOURSELF Internal growth and …</t>
        </is>
      </c>
      <c r="N70" t="n">
        <v>42</v>
      </c>
      <c r="O70" t="n">
        <v>40</v>
      </c>
      <c r="P70" t="n">
        <v>50</v>
      </c>
      <c r="Q70" t="n">
        <v>60</v>
      </c>
      <c r="R70" t="n">
        <v>30</v>
      </c>
      <c r="S70" t="n">
        <v>20</v>
      </c>
      <c r="T70" t="n">
        <v>50</v>
      </c>
      <c r="U70" t="inlineStr">
        <is>
          <t>SKIP</t>
        </is>
      </c>
      <c r="V70" t="inlineStr">
        <is>
          <t>SKIP</t>
        </is>
      </c>
      <c r="X70" t="inlineStr">
        <is>
          <t>Amaanuddin_Ahmed_Resume.pdf</t>
        </is>
      </c>
      <c r="Y70" t="inlineStr">
        <is>
          <t>2026-10-02</t>
        </is>
      </c>
      <c r="AA70" t="inlineStr">
        <is>
          <t>ELIGIBLE</t>
        </is>
      </c>
      <c r="AC70" t="inlineStr">
        <is>
          <t>UNKNOWN</t>
        </is>
      </c>
      <c r="AD70" t="inlineStr">
        <is>
          <t>Graduation year is 2027, availability details are not explicitly mentioned in the snippet.</t>
        </is>
      </c>
      <c r="AE70" t="inlineStr">
        <is>
          <t>UNKNOWN</t>
        </is>
      </c>
      <c r="AF70" t="n">
        <v>0</v>
      </c>
      <c r="AG70" t="inlineStr">
        <is>
          <t>No</t>
        </is>
      </c>
      <c r="AH70" t="inlineStr">
        <is>
          <t>UNKNOWN</t>
        </is>
      </c>
      <c r="AI70" t="inlineStr">
        <is>
          <t>No explicit mention of PPO or conversion to full-time in the provided snippet.</t>
        </is>
      </c>
      <c r="AK70" t="inlineStr">
        <is>
          <t>Location is Hyderabad, whereas preferred location is Bengaluru.; Stipend and duration are completely unknown.; Job description snippet lacks specific technical stack and role requirements.</t>
        </is>
      </c>
      <c r="AL70" t="inlineStr">
        <is>
          <t>Software Engineering fundamentals; Problem solving and basic programming; Apprenticeship structure and learning roadmap</t>
        </is>
      </c>
    </row>
    <row r="71">
      <c r="A71" t="inlineStr">
        <is>
          <t>ACTENX-261002-70</t>
        </is>
      </c>
      <c r="B71" t="inlineStr">
        <is>
          <t>ActenX</t>
        </is>
      </c>
      <c r="C71" t="inlineStr">
        <is>
          <t>Software Engineer Intern</t>
        </is>
      </c>
      <c r="D71" t="inlineStr">
        <is>
          <t>https://www.adzuna.in/details/5827200240?utm_medium=api&amp;utm_source=5ccdc27f</t>
        </is>
      </c>
      <c r="E71" t="inlineStr">
        <is>
          <t>AI Analyzer</t>
        </is>
      </c>
      <c r="F71" t="inlineStr">
        <is>
          <t>Mumbai, Maharashtra</t>
        </is>
      </c>
      <c r="G71" t="inlineStr">
        <is>
          <t>Unknown</t>
        </is>
      </c>
      <c r="H71" t="inlineStr">
        <is>
          <t>Not specified</t>
        </is>
      </c>
      <c r="I71" t="inlineStr">
        <is>
          <t>Unknown</t>
        </is>
      </c>
      <c r="J71" t="inlineStr">
        <is>
          <t>NOT MENTIONED</t>
        </is>
      </c>
      <c r="M71" t="inlineStr">
        <is>
          <t>Company Description The company is a growing technology organization focused on building reliable scalable software solutions for a variety of business needs Team members collaborate across engineering product and design to deliver applications that are userfriendly and performancedriven The work environment values continuous learning mentorship and handson experience with modern development practices Interns are encouraged to contribute ideas take ownership of projects and develop their skills…</t>
        </is>
      </c>
      <c r="N71" t="n">
        <v>42</v>
      </c>
      <c r="O71" t="n">
        <v>50</v>
      </c>
      <c r="P71" t="n">
        <v>50</v>
      </c>
      <c r="Q71" t="n">
        <v>60</v>
      </c>
      <c r="R71" t="n">
        <v>30</v>
      </c>
      <c r="S71" t="n">
        <v>0</v>
      </c>
      <c r="T71" t="n">
        <v>40</v>
      </c>
      <c r="U71" t="inlineStr">
        <is>
          <t>SKIP</t>
        </is>
      </c>
      <c r="V71" t="inlineStr">
        <is>
          <t>SKIP</t>
        </is>
      </c>
      <c r="X71" t="inlineStr">
        <is>
          <t>Amaanuddin_Ahmed_Resume.pdf</t>
        </is>
      </c>
      <c r="Y71" t="inlineStr">
        <is>
          <t>2026-10-02</t>
        </is>
      </c>
      <c r="Z71" t="inlineStr">
        <is>
          <t>Software Engineer Intern role aligns with primary target roles.</t>
        </is>
      </c>
      <c r="AA71" t="inlineStr">
        <is>
          <t>FAIL</t>
        </is>
      </c>
      <c r="AB71" t="inlineStr">
        <is>
          <t>Job location is Mumbai, Maharashtra, but candidate preferred location is Bengaluru, India (or remote).</t>
        </is>
      </c>
      <c r="AC71" t="inlineStr">
        <is>
          <t>UNKNOWN</t>
        </is>
      </c>
      <c r="AD71" t="inlineStr">
        <is>
          <t>Exact start and end dates are not specified in the job description.</t>
        </is>
      </c>
      <c r="AE71" t="inlineStr">
        <is>
          <t>UNKNOWN</t>
        </is>
      </c>
      <c r="AF71" t="n">
        <v>0</v>
      </c>
      <c r="AG71" t="inlineStr">
        <is>
          <t>No</t>
        </is>
      </c>
      <c r="AH71" t="inlineStr">
        <is>
          <t>NOT MENTIONED</t>
        </is>
      </c>
      <c r="AI71" t="inlineStr">
        <is>
          <t>No mention of PPO or conversion to full-time role in the job description.</t>
        </is>
      </c>
      <c r="AJ71" t="inlineStr">
        <is>
          <t>Location mismatch: Job is in Mumbai and candidate prefers Bengaluru.</t>
        </is>
      </c>
      <c r="AK71" t="inlineStr">
        <is>
          <t>Very sparse job description with no specific required skills, stipend, or duration details.</t>
        </is>
      </c>
      <c r="AL71" t="inlineStr">
        <is>
          <t>General software engineering fundamentals; Project ownership and collaboration; Basic development practices</t>
        </is>
      </c>
    </row>
    <row r="72">
      <c r="A72" t="inlineStr">
        <is>
          <t>ELECTRONIC-A-261002-71</t>
        </is>
      </c>
      <c r="B72" t="inlineStr">
        <is>
          <t>Electronic Arts</t>
        </is>
      </c>
      <c r="C72" t="inlineStr">
        <is>
          <t>Software Engineer Intern</t>
        </is>
      </c>
      <c r="D72" t="inlineStr">
        <is>
          <t>https://www.adzuna.in/details/5827200271?utm_medium=api&amp;utm_source=5ccdc27f</t>
        </is>
      </c>
      <c r="E72" t="inlineStr">
        <is>
          <t>AI Analyzer</t>
        </is>
      </c>
      <c r="F72" t="inlineStr">
        <is>
          <t>Hyderabad, Telangana</t>
        </is>
      </c>
      <c r="G72" t="inlineStr">
        <is>
          <t>Hybrid</t>
        </is>
      </c>
      <c r="H72" t="inlineStr">
        <is>
          <t>Not specified</t>
        </is>
      </c>
      <c r="I72" t="inlineStr">
        <is>
          <t>UNKNOWN</t>
        </is>
      </c>
      <c r="J72" t="inlineStr">
        <is>
          <t>UNKNOWN</t>
        </is>
      </c>
      <c r="M72" t="inlineStr">
        <is>
          <t>General Information Locations Hyderabad Telangana India Role ID 214959 Worker Type Intern Temporary Employee Studio Department CT Infrastructure Platform Work Model Hybrid Description Requirements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t>
        </is>
      </c>
      <c r="N72" t="n">
        <v>54</v>
      </c>
      <c r="O72" t="n">
        <v>50</v>
      </c>
      <c r="P72" t="n">
        <v>60</v>
      </c>
      <c r="Q72" t="n">
        <v>70</v>
      </c>
      <c r="R72" t="n">
        <v>40</v>
      </c>
      <c r="S72" t="n">
        <v>30</v>
      </c>
      <c r="T72" t="n">
        <v>80</v>
      </c>
      <c r="U72" t="inlineStr">
        <is>
          <t>SKIP</t>
        </is>
      </c>
      <c r="V72" t="inlineStr">
        <is>
          <t>SKIP</t>
        </is>
      </c>
      <c r="X72" t="inlineStr">
        <is>
          <t>Amaanuddin_Ahmed_Resume.pdf</t>
        </is>
      </c>
      <c r="Y72" t="inlineStr">
        <is>
          <t>2026-10-02</t>
        </is>
      </c>
      <c r="Z72" t="inlineStr">
        <is>
          <t>Electronic Arts is a top-tier gaming/entertainment company offering great brand value on the resume.; Matches the candidate's target role of Software Engineer Intern.</t>
        </is>
      </c>
      <c r="AA72" t="inlineStr">
        <is>
          <t>ELIGIBLE</t>
        </is>
      </c>
      <c r="AB72" t="inlineStr">
        <is>
          <t>Candidate is currently pursuing MCA (2025-2027) making them eligible for internships.; No explicit degree or graduation year hard blockers mentioned in the minimal snippet.</t>
        </is>
      </c>
      <c r="AC72" t="inlineStr">
        <is>
          <t>UNKNOWN</t>
        </is>
      </c>
      <c r="AD72" t="inlineStr">
        <is>
          <t>Not specified in the job description.</t>
        </is>
      </c>
      <c r="AE72" t="inlineStr">
        <is>
          <t>UNKNOWN</t>
        </is>
      </c>
      <c r="AF72" t="n">
        <v>0</v>
      </c>
      <c r="AG72" t="inlineStr">
        <is>
          <t>No</t>
        </is>
      </c>
      <c r="AH72" t="inlineStr">
        <is>
          <t>UNKNOWN</t>
        </is>
      </c>
      <c r="AI72" t="inlineStr">
        <is>
          <t>No mention of conversion to full-time or PPO in the provided description snippet.</t>
        </is>
      </c>
      <c r="AK72" t="inlineStr">
        <is>
          <t>Location is Hyderabad, whereas candidate prefers Bengaluru (though remote/hybrid is mentioned, location mismatch could be a constraint).</t>
        </is>
      </c>
      <c r="AL72" t="inlineStr">
        <is>
          <t>General software engineering fundamentals; Infrastructure platforms and tooling; Problem solving and coding basics</t>
        </is>
      </c>
    </row>
    <row r="73">
      <c r="A73" t="inlineStr">
        <is>
          <t>PALITRONICS--261002-72</t>
        </is>
      </c>
      <c r="B73" t="inlineStr">
        <is>
          <t>PALITRONICS TECH SERVICES PRIVATE LIMITED</t>
        </is>
      </c>
      <c r="C73" t="inlineStr">
        <is>
          <t>Software Development Intern</t>
        </is>
      </c>
      <c r="D73" t="inlineStr">
        <is>
          <t>https://www.adzuna.in/details/2341052201?utm_medium=api&amp;utm_source=5ccdc27f</t>
        </is>
      </c>
      <c r="E73" t="inlineStr">
        <is>
          <t>AI Analyzer</t>
        </is>
      </c>
      <c r="F73" t="inlineStr">
        <is>
          <t>India</t>
        </is>
      </c>
      <c r="G73" t="inlineStr">
        <is>
          <t>unknown</t>
        </is>
      </c>
      <c r="H73" t="inlineStr">
        <is>
          <t>Not specified</t>
        </is>
      </c>
      <c r="I73" t="inlineStr">
        <is>
          <t>unknown</t>
        </is>
      </c>
      <c r="J73" t="inlineStr">
        <is>
          <t>not_mentioned</t>
        </is>
      </c>
      <c r="K73" t="inlineStr">
        <is>
          <t>Node.js; React.js; Socket Programming; React Native; Software Development</t>
        </is>
      </c>
      <c r="M73" t="inlineStr">
        <is>
          <t>## Software Development INTERN jobs in India
Leave us your email address and we'll send you similar new jobsCreate email alert [No, thanks](https://www.adzuna.in/details/2341052201#)
By creating an email alert, you agree to our [Terms &amp; Conditions](https://www.adzuna.in/terms-and-conditions.html) and [Privacy Notice](https://www.adzuna.in/privacy-policy.html), and Cookie Use. You can cancel at any time.
Loading...
Are you based in the United States? Select your country to see jobs specific to your location.
United KingdomAustraliaÖsterreichBelgiëBrasilCanadaFranceDeutschlandIndiaItaliaMéxicoNederlandNew ZealandPolskaSingaporeSouth AfricaEspañaSchweizUnited StatesContinue![](https://zunastatic-abf.kxcdn.com/images/global/responsive/icon_close_no_bg.svg)
What?
Where?
Search
[Advanced](https://www.adzuna.in/advanced-search)
# Software Development INTERN
[❮ back to last search](https://www.adzuna.in/details/2341052201#)![CutShort](https://zunastatic-abf.kxcdn.com/images/in/jobs/partners/logo_cutshort.png)
PALITRONICS TECH SERVICES PRIVATE LIMITED
India
Contract
Full time
![CutShort](https://zunastatic-abf.kxcdn.com/images/in/jobs/partners/logo_cutshort.png)
CLOSING SOON
[Apply for this job](https://www.adzuna.in/land/ad/2341052201?aztt=eyJhbGciOiJIUzI1NiJ9.eyJ0dCI6Imdvb2dsZV9vcmdhbmljIiwidHMiOm51bGwsImNpIjoic0hTLXZsdS04UkdxbHN3TTd3emltQSIsImV4cCI6MTc5MTU0ODQ2NywiaWF0IjoxNzkwOTQzNjY3fQ.fjTLlaTVVwAANfkxWNxwl3YJROfPenT_H9xBWM9R4NY&amp;from_adp=1&amp;v=1DA7EB0791062BD060B75ED59A09C2E2AB789C8D&amp;se=) Needed a Software development intern with basic knowledge of node.js. Candidate will be trained on Node, React, Socket.IO Skills:- NodeJS (Node.js), Socket Programming, React.js, React Native and Software Development [Apply for this job](https://www.adzuna.in/land/ad/2341052201?aztt=eyJhbGciOiJIUzI1NiJ9.eyJ0dCI6Imdvb2dsZV9vcmdhbmljIiwidHMiOm51bGwsImNpIjoic0hTLXZsdS04UkdxbHN3TTd3emltQSIsImV4cCI6MTc5MTU0ODQ2NywiaWF0IjoxNzkwOTQzNjY3fQ.fjTLlaTVVwAANfkxWNxwl3YJROfPenT_H9xBWM9R4NY&amp;from_adp=1&amp;v=1DA7EB0791062BD060B75ED59A09C2E2AB789C8D&amp;se=)
## Stats for this job
### Salaries
The number of jobs in each salary range for all:
IT JobsIT Jobs in IndiaIndia jobs
0-10L10-20L20-30L30-40L40-50L50-60L60L+
Receive similar jobs by email
Create alert
By creating an alert, you agree to our [T&amp;Cs](https://www.adzuna.in/terms-and-conditions.html) and [Privacy Notice](https://www.adzuna.in/privacy-policy.html), and Cookie Use.
## Similar jobs
[Software Developer Intern](https://www.adzuna.in/details/5854847485)
Eastencher Software Pvt Ltd
Bangalore
[Software Developer Intern](https://www.adzuna.in/details/5896030195)
Alightway Solutions Pvt. Ltd.
Lucknow, Uttar Pradesh,
[Software Developer Intern](https://www.adzuna.in/details/5794908334)
Clarion Technologies
Pune
[Software Developer Intern](https://www.adzuna.in/details/5885446694)
WELLVIA WELLNESS PRIVATE LIMITED
Ahmedabad
[Software Development Intern](https://www.adzuna.in/details/5854847471)
Tridiagonal Solutions
Mumbai City
## Popular searches
[Software developer](https://www.adzuna.in/software-developer)
[Back to last search](https://www.adzuna.in/details/2341052201#) [❮ back to last search](https://www.adzuna.in/details/2341052201#)
Receive similar jobs by email
Create alert [No thanks, take me to the job](https://www.adzuna.in/land/ad/2341052201?aztt=eyJhbGciOiJIUzI1NiJ9.eyJ0dCI6Imdvb2dsZV9vcmdhbmljIiwidHMiOm51bGwsImNpIjoic0hTLXZsdS04UkdxbHN3TTd3emltQSIsImV4cCI6MTc5MTU0ODQ2NywiaWF0IjoxNzkwOTQzNjY3fQ.fjTLlaTVVwAANfkxWNxwl3YJROfPenT_H9xBWM9R4NY&amp;from_adp=1&amp;v=1DA7EB0791062BD060B75ED59A09C2E2AB789C8D&amp;se=)
By creating an alert, you agree to our [T&amp;Cs](https://www.adzuna.in/terms-and-conditions.html) and [Privacy Notice](https://www.adzuna.in/privacy-policy.html), and Cookie Use.
[Apply for this job](https://www.adzuna.in/land/ad/2341052201?aztt=eyJhbGciOiJIUzI1NiJ9.eyJ0dCI6Imdvb2dsZV9vcmdhbmljIiwidHMiOm51bGwsImNpIjoic0hTLXZsdS04UkdxbHN3TTd3emltQSIsImV4cCI6MTc5MTU0ODQ2NywiaWF0IjoxNzkwOTQzNjY3fQ.fjTLlaTVVwAANfkxWNxwl3YJROfPenT_H9xBWM9R4NY&amp;from_adp=1&amp;v=1DA7EB0791062BD060B75ED59A09C2E2AB789C8D&amp;se=)
#### Country selection
[![](https://zunastatic-abf.kxcdn.com/images/au/jobs/flag_au.svg)Australia](https://www.adzuna.com.au/) [![](https://zunastatic-abf.kxcdn.com/images/at/jobs/flag_at.svg)Austria](https://www.adzuna.at/) [![](https://zunastatic-abf.kxcdn.com/images/be/jobs/flag_be.svg)Belgium](https://www.adzuna.be/) [![](https://zunastatic-abf.kxcdn.com/images/br/jobs/flag_br.svg)Brazil](https://www.adzuna.com.br/) [![](https://zunastatic-abf.kxcdn.com/images/ca/jobs/flag_ca.svg)Canada](https://www.adzuna.ca/) [![](https://zunastatic-abf.kxcdn.com/images/fr/jobs/flag_fr.svg)France](https://www.adzuna.fr/) [![](https://zunastatic-abf.kxcdn.com/images/de/jobs/flag_de.svg)Germany](https://www.adzuna.de/) [![](https://zunastatic-abf.kxcdn.com/images/in/jobs/flag_in.svg)India](https://www.adzuna.in/) [![](https://zunastatic-abf.kxcdn.com/images/it/jobs/flag_</t>
        </is>
      </c>
      <c r="N73" t="n">
        <v>67</v>
      </c>
      <c r="O73" t="n">
        <v>75</v>
      </c>
      <c r="P73" t="n">
        <v>80</v>
      </c>
      <c r="Q73" t="n">
        <v>85</v>
      </c>
      <c r="R73" t="n">
        <v>40</v>
      </c>
      <c r="S73" t="n">
        <v>50</v>
      </c>
      <c r="T73" t="n">
        <v>50</v>
      </c>
      <c r="U73" t="inlineStr">
        <is>
          <t>STRETCH</t>
        </is>
      </c>
      <c r="V73" t="inlineStr">
        <is>
          <t>STRETCH</t>
        </is>
      </c>
      <c r="W73" t="inlineStr">
        <is>
          <t>Socket Programming; React Native</t>
        </is>
      </c>
      <c r="X73" t="inlineStr">
        <is>
          <t>Default Full Stack / MERN resume emphasizing Node.js and React experience</t>
        </is>
      </c>
      <c r="Y73" t="inlineStr">
        <is>
          <t>2026-10-02</t>
        </is>
      </c>
      <c r="Z73" t="inlineStr">
        <is>
          <t>Matches primary target role as a Software Engineer Intern; Requires Node.js and React.js which are strong core stack items for the candidate; Provides training opportunities on desired tech stack</t>
        </is>
      </c>
      <c r="AA73" t="inlineStr">
        <is>
          <t>eligible</t>
        </is>
      </c>
      <c r="AC73" t="inlineStr">
        <is>
          <t>unknown</t>
        </is>
      </c>
      <c r="AD73" t="inlineStr">
        <is>
          <t>Availability not explicitly specified in the job description</t>
        </is>
      </c>
      <c r="AE73" t="inlineStr">
        <is>
          <t>UNKNOWN</t>
        </is>
      </c>
      <c r="AF73" t="n">
        <v>0</v>
      </c>
      <c r="AG73" t="inlineStr">
        <is>
          <t>No</t>
        </is>
      </c>
      <c r="AH73" t="inlineStr">
        <is>
          <t>not_mentioned</t>
        </is>
      </c>
      <c r="AI73" t="inlineStr">
        <is>
          <t>No mention of PPO or conversion in the job description</t>
        </is>
      </c>
      <c r="AK73" t="inlineStr">
        <is>
          <t>Stipend is completely unknown; Work mode / location details are vague (India-wide)</t>
        </is>
      </c>
      <c r="AL73" t="inlineStr">
        <is>
          <t>Node.js and Express fundamentals; React.js state management and component lifecycle; Socket Programming / WebSockets conceptual knowledge; Past project architecture (Sunflower Trip / StaySphere)</t>
        </is>
      </c>
    </row>
    <row r="74">
      <c r="A74" t="inlineStr">
        <is>
          <t>ALIGHTWAY-SO-261002-73</t>
        </is>
      </c>
      <c r="B74" t="inlineStr">
        <is>
          <t>Alightway Solutions Pvt. Ltd.</t>
        </is>
      </c>
      <c r="C74" t="inlineStr">
        <is>
          <t>Software Developer Intern</t>
        </is>
      </c>
      <c r="D74" t="inlineStr">
        <is>
          <t>https://www.adzuna.in/details/5896030195?utm_medium=api&amp;utm_source=5ccdc27f</t>
        </is>
      </c>
      <c r="E74" t="inlineStr">
        <is>
          <t>AI Analyzer</t>
        </is>
      </c>
      <c r="F74" t="inlineStr">
        <is>
          <t>Lucknow, Uttar Pradesh</t>
        </is>
      </c>
      <c r="G74" t="inlineStr">
        <is>
          <t>Unknown</t>
        </is>
      </c>
      <c r="H74" t="inlineStr">
        <is>
          <t>Not specified</t>
        </is>
      </c>
      <c r="I74" t="inlineStr">
        <is>
          <t>Unknown</t>
        </is>
      </c>
      <c r="J74" t="inlineStr">
        <is>
          <t>UNKNOWN</t>
        </is>
      </c>
      <c r="L74" t="inlineStr">
        <is>
          <t>WordPress; PHP; Laravel; Android App Dev; Shopify; Magento</t>
        </is>
      </c>
      <c r="M74" t="inlineStr">
        <is>
          <t>Home About Services Online Marketing Search Engine Optimization Social Media Marketing Email Marketing Lead Generation Content Marketing WhatsApp Marketing Performance Marketing Design Graphic UI &amp; UX Motion Logo Banner Brochure Packaging Web Design Development WordPress Software Dev Mobile App Dev Android App Dev PHP Development HTML Development Laravel Development E-Commerce eCommerce Development Magento Development Shopify Development Digital Presence Instagram Marketing Facebook Marketing G…</t>
        </is>
      </c>
      <c r="N74" t="n">
        <v>18</v>
      </c>
      <c r="O74" t="n">
        <v>20</v>
      </c>
      <c r="P74" t="n">
        <v>20</v>
      </c>
      <c r="Q74" t="n">
        <v>40</v>
      </c>
      <c r="R74" t="n">
        <v>0</v>
      </c>
      <c r="S74" t="n">
        <v>0</v>
      </c>
      <c r="T74" t="n">
        <v>20</v>
      </c>
      <c r="U74" t="inlineStr">
        <is>
          <t>SKIP</t>
        </is>
      </c>
      <c r="V74" t="inlineStr">
        <is>
          <t>SKIP</t>
        </is>
      </c>
      <c r="W74" t="inlineStr">
        <is>
          <t>WordPress; PHP; Laravel; Shopify; Magento</t>
        </is>
      </c>
      <c r="X74" t="inlineStr">
        <is>
          <t>Amaanuddin_Ahmed_Resume_MERN_FullStack.pdf</t>
        </is>
      </c>
      <c r="Y74" t="inlineStr">
        <is>
          <t>2026-10-02</t>
        </is>
      </c>
      <c r="AA74" t="inlineStr">
        <is>
          <t>FAIL</t>
        </is>
      </c>
      <c r="AB74" t="inlineStr">
        <is>
          <t>Location mismatch: Job is located in Lucknow, Uttar Pradesh, but candidate's preferred location is Bengaluru, India.</t>
        </is>
      </c>
      <c r="AC74" t="inlineStr">
        <is>
          <t>UNKNOWN</t>
        </is>
      </c>
      <c r="AD74" t="inlineStr">
        <is>
          <t>Not specified in the job description.</t>
        </is>
      </c>
      <c r="AE74" t="inlineStr">
        <is>
          <t>UNKNOWN</t>
        </is>
      </c>
      <c r="AF74" t="n">
        <v>0</v>
      </c>
      <c r="AG74" t="inlineStr">
        <is>
          <t>No</t>
        </is>
      </c>
      <c r="AH74" t="inlineStr">
        <is>
          <t>UNKNOWN</t>
        </is>
      </c>
      <c r="AI74" t="inlineStr">
        <is>
          <t>No mention of PPO or conversion in the job description.</t>
        </is>
      </c>
      <c r="AJ74" t="inlineStr">
        <is>
          <t>Location mismatch: Job requires work in Lucknow, Uttar Pradesh</t>
        </is>
      </c>
      <c r="AK74" t="inlineStr">
        <is>
          <t>Vague job description listing a broad agency tech stack rather than specific engineering requirements; No salary or stipend information provided; Location is outside candidate's preferred geography</t>
        </is>
      </c>
    </row>
    <row r="75">
      <c r="A75" t="inlineStr">
        <is>
          <t>EASTENCHER-S-261002-74</t>
        </is>
      </c>
      <c r="B75" t="inlineStr">
        <is>
          <t>Eastencher Software Pvt Ltd</t>
        </is>
      </c>
      <c r="C75" t="inlineStr">
        <is>
          <t>Software Developer Intern</t>
        </is>
      </c>
      <c r="D75" t="inlineStr">
        <is>
          <t>https://www.adzuna.in/details/5854847485?utm_medium=api&amp;utm_source=5ccdc27f</t>
        </is>
      </c>
      <c r="E75" t="inlineStr">
        <is>
          <t>AI Analyzer</t>
        </is>
      </c>
      <c r="F75" t="inlineStr">
        <is>
          <t>Bangalore, Karnataka</t>
        </is>
      </c>
      <c r="G75" t="inlineStr">
        <is>
          <t>On-site</t>
        </is>
      </c>
      <c r="H75" t="inlineStr">
        <is>
          <t>9,500 per month Including PF Benefits</t>
        </is>
      </c>
      <c r="I75" t="inlineStr">
        <is>
          <t>8 Months</t>
        </is>
      </c>
      <c r="J75" t="inlineStr">
        <is>
          <t>NOT_MENTIONED</t>
        </is>
      </c>
      <c r="K75" t="inlineStr">
        <is>
          <t>Software Development</t>
        </is>
      </c>
      <c r="M75" t="inlineStr">
        <is>
          <t>Software Developer Intern Duration 8 Months Stipend 9 500 per month Including PF Benefits Location Bangalore Start Date Immediate Joiners Preferred About the Role We are looking for a passionate and enthusiastic Software Developer Intern to join our development team This internship is an excellent opportunity for candidates who are eager to gain handson experience in software development while working on realtime projects under the guidance of experienced professionals Key Responsibilities Assi…</t>
        </is>
      </c>
      <c r="N75" t="n">
        <v>62</v>
      </c>
      <c r="O75" t="n">
        <v>70</v>
      </c>
      <c r="P75" t="n">
        <v>80</v>
      </c>
      <c r="Q75" t="n">
        <v>85</v>
      </c>
      <c r="R75" t="n">
        <v>40</v>
      </c>
      <c r="S75" t="n">
        <v>10</v>
      </c>
      <c r="T75" t="n">
        <v>50</v>
      </c>
      <c r="U75" t="inlineStr">
        <is>
          <t>SKIP</t>
        </is>
      </c>
      <c r="V75" t="inlineStr">
        <is>
          <t>SKIP</t>
        </is>
      </c>
      <c r="X75" t="inlineStr">
        <is>
          <t>Amaanuddin_Ahmed_Resume.pdf</t>
        </is>
      </c>
      <c r="Y75" t="inlineStr">
        <is>
          <t>2026-10-02</t>
        </is>
      </c>
      <c r="Z75" t="inlineStr">
        <is>
          <t>Role matches target criteria for Software Developer Intern.; Location is Bengaluru, aligning with preferred location.</t>
        </is>
      </c>
      <c r="AA75" t="inlineStr">
        <is>
          <t>ELIGIBLE</t>
        </is>
      </c>
      <c r="AB75" t="inlineStr">
        <is>
          <t>Candidate is based in Bengaluru, matching the job location.; Role matches target role of Software Engineer Intern.</t>
        </is>
      </c>
      <c r="AC75" t="inlineStr">
        <is>
          <t>UNKNOWN</t>
        </is>
      </c>
      <c r="AD75" t="inlineStr">
        <is>
          <t>Start date is immediate, but candidate current availability is not specified in the career brain.</t>
        </is>
      </c>
      <c r="AE75" t="inlineStr">
        <is>
          <t>EXPLICIT</t>
        </is>
      </c>
      <c r="AF75" t="n">
        <v>9500</v>
      </c>
      <c r="AG75" t="inlineStr">
        <is>
          <t>No</t>
        </is>
      </c>
      <c r="AH75" t="inlineStr">
        <is>
          <t>NOT_MENTIONED</t>
        </is>
      </c>
      <c r="AI75" t="inlineStr">
        <is>
          <t>No mention of PPO or conversion in the job description text.</t>
        </is>
      </c>
      <c r="AJ75" t="inlineStr">
        <is>
          <t>Stipend of ₹9,500 per month is significantly below the candidate's minimum target of ₹25,000 per month.</t>
        </is>
      </c>
      <c r="AK75" t="inlineStr">
        <is>
          <t>Low stipend relative to market rate and candidate expectations.</t>
        </is>
      </c>
      <c r="AL75" t="inlineStr">
        <is>
          <t>General software development concepts; Past internship projects; Problem solving and coding basics</t>
        </is>
      </c>
    </row>
    <row r="76">
      <c r="A76" t="inlineStr">
        <is>
          <t>CLARION-TECH-261002-75</t>
        </is>
      </c>
      <c r="B76" t="inlineStr">
        <is>
          <t>Clarion Technologies</t>
        </is>
      </c>
      <c r="C76" t="inlineStr">
        <is>
          <t>Software Developer Intern</t>
        </is>
      </c>
      <c r="D76" t="inlineStr">
        <is>
          <t>https://www.adzuna.in/details/5794908334?utm_medium=api&amp;utm_source=5ccdc27f</t>
        </is>
      </c>
      <c r="E76" t="inlineStr">
        <is>
          <t>AI Analyzer</t>
        </is>
      </c>
      <c r="F76" t="inlineStr">
        <is>
          <t>Pune, Maharashtra</t>
        </is>
      </c>
      <c r="G76" t="inlineStr">
        <is>
          <t>On-site</t>
        </is>
      </c>
      <c r="H76" t="inlineStr">
        <is>
          <t>Not specified</t>
        </is>
      </c>
      <c r="I76" t="inlineStr">
        <is>
          <t>Not specified</t>
        </is>
      </c>
      <c r="J76" t="inlineStr">
        <is>
          <t>POSSIBLE</t>
        </is>
      </c>
      <c r="M76" t="inlineStr">
        <is>
          <t>As a Software Developer Intern at Clarion Technologies based in Punes Hadapsar IT hub you will have the opportunity to kickstart your career in the tech industry You will be exposed to modern stacks participate in code reviews and contribute to agile delivery processes Additionally there will be a clear path for you to grow within the organization This internship is specifically tailored for students and recent graduates who are eager to learn and develop their skills To be considered for this …</t>
        </is>
      </c>
      <c r="N76" t="n">
        <v>50</v>
      </c>
      <c r="O76" t="n">
        <v>50</v>
      </c>
      <c r="P76" t="n">
        <v>50</v>
      </c>
      <c r="Q76" t="n">
        <v>70</v>
      </c>
      <c r="R76" t="n">
        <v>60</v>
      </c>
      <c r="S76" t="n">
        <v>0</v>
      </c>
      <c r="T76" t="n">
        <v>50</v>
      </c>
      <c r="U76" t="inlineStr">
        <is>
          <t>SKIP</t>
        </is>
      </c>
      <c r="V76" t="inlineStr">
        <is>
          <t>SKIP</t>
        </is>
      </c>
      <c r="X76" t="inlineStr">
        <is>
          <t>Amaanuddin_Ahmed_Resume.pdf</t>
        </is>
      </c>
      <c r="Y76" t="inlineStr">
        <is>
          <t>2026-10-02</t>
        </is>
      </c>
      <c r="Z76" t="inlineStr">
        <is>
          <t>Clear growth path and potential conversion opportunity within the organization.</t>
        </is>
      </c>
      <c r="AA76" t="inlineStr">
        <is>
          <t>ELIGIBLE</t>
        </is>
      </c>
      <c r="AB76" t="inlineStr">
        <is>
          <t>The role is tailored for students and recent graduates, which fits the candidate's MCA student status.</t>
        </is>
      </c>
      <c r="AC76" t="inlineStr">
        <is>
          <t>UNKNOWN</t>
        </is>
      </c>
      <c r="AD76" t="inlineStr">
        <is>
          <t>Candidate availability relative to start date is not specified in the career brain.</t>
        </is>
      </c>
      <c r="AE76" t="inlineStr">
        <is>
          <t>UNKNOWN</t>
        </is>
      </c>
      <c r="AF76" t="n">
        <v>0</v>
      </c>
      <c r="AG76" t="inlineStr">
        <is>
          <t>No</t>
        </is>
      </c>
      <c r="AH76" t="inlineStr">
        <is>
          <t>POSSIBLE</t>
        </is>
      </c>
      <c r="AI76" t="inlineStr">
        <is>
          <t>Additionally there will be a clear path for you to grow within the organization</t>
        </is>
      </c>
      <c r="AJ76" t="inlineStr">
        <is>
          <t>Location is Pune, Maharashtra, whereas candidate's preferred location is Bengaluru, India.</t>
        </is>
      </c>
      <c r="AK76" t="inlineStr">
        <is>
          <t>Stipend is not disclosed.; Specific required technology stack is not detailed in the job description snippet.</t>
        </is>
      </c>
      <c r="AL76" t="inlineStr">
        <is>
          <t>Agile delivery processes; Modern tech stacks and frameworks; Code review practices</t>
        </is>
      </c>
    </row>
    <row r="77">
      <c r="A77" t="inlineStr">
        <is>
          <t>WELLVIA-WELL-261002-76</t>
        </is>
      </c>
      <c r="B77" t="inlineStr">
        <is>
          <t>WELLVIA WELLNESS PRIVATE LIMITED</t>
        </is>
      </c>
      <c r="C77" t="inlineStr">
        <is>
          <t>Software Developer Intern</t>
        </is>
      </c>
      <c r="D77" t="inlineStr">
        <is>
          <t>https://www.adzuna.in/details/5885446694?utm_medium=api&amp;utm_source=5ccdc27f</t>
        </is>
      </c>
      <c r="E77" t="inlineStr">
        <is>
          <t>AI Analyzer</t>
        </is>
      </c>
      <c r="F77" t="inlineStr">
        <is>
          <t>Ahmedabad, Gujarat</t>
        </is>
      </c>
      <c r="G77" t="inlineStr">
        <is>
          <t>Onsite</t>
        </is>
      </c>
      <c r="H77" t="inlineStr">
        <is>
          <t>815k</t>
        </is>
      </c>
      <c r="I77" t="inlineStr">
        <is>
          <t>3-6 Months</t>
        </is>
      </c>
      <c r="J77" t="inlineStr">
        <is>
          <t>NOT_MENTIONED</t>
        </is>
      </c>
      <c r="K77" t="inlineStr">
        <is>
          <t>Software Development</t>
        </is>
      </c>
      <c r="M77" t="inlineStr">
        <is>
          <t>Position Software Developer Intern Employment Type Internship Duration 36 Months Location Onsite Stipend 815k About the Role We are looking for a passionate Software Developer Intern who is eager to learn and build highquality software applications The candidate will work with our development team on designing developing testing debugging and maintaining software solutions This is an excellent opportunity for students and freshers who want practical experience in software development and want t…</t>
        </is>
      </c>
      <c r="N77" t="n">
        <v>71</v>
      </c>
      <c r="O77" t="n">
        <v>80</v>
      </c>
      <c r="P77" t="n">
        <v>85</v>
      </c>
      <c r="Q77" t="n">
        <v>85</v>
      </c>
      <c r="R77" t="n">
        <v>40</v>
      </c>
      <c r="S77" t="n">
        <v>50</v>
      </c>
      <c r="T77" t="n">
        <v>60</v>
      </c>
      <c r="U77" t="inlineStr">
        <is>
          <t>SKIP</t>
        </is>
      </c>
      <c r="V77" t="inlineStr">
        <is>
          <t>SKIP</t>
        </is>
      </c>
      <c r="X77" t="inlineStr">
        <is>
          <t>Default Full Stack / Software Engineer Resume</t>
        </is>
      </c>
      <c r="Y77" t="inlineStr">
        <is>
          <t>2026-10-02</t>
        </is>
      </c>
      <c r="Z77" t="inlineStr">
        <is>
          <t>Role matches primary target of Software Engineer Intern.; Candidate meets the general background criteria for students and freshers.</t>
        </is>
      </c>
      <c r="AA77" t="inlineStr">
        <is>
          <t>ELIGIBLE</t>
        </is>
      </c>
      <c r="AB77" t="inlineStr">
        <is>
          <t>Open to students and freshers seeking practical software development experience.</t>
        </is>
      </c>
      <c r="AC77" t="inlineStr">
        <is>
          <t>UNKNOWN</t>
        </is>
      </c>
      <c r="AD77" t="inlineStr">
        <is>
          <t>Exact start date and availability window are not specified in the job description.</t>
        </is>
      </c>
      <c r="AE77" t="inlineStr">
        <is>
          <t>UNKNOWN</t>
        </is>
      </c>
      <c r="AF77" t="n">
        <v>0</v>
      </c>
      <c r="AG77" t="inlineStr">
        <is>
          <t>No</t>
        </is>
      </c>
      <c r="AH77" t="inlineStr">
        <is>
          <t>NOT_MENTIONED</t>
        </is>
      </c>
      <c r="AI77" t="inlineStr">
        <is>
          <t>No explicit mention of PPO or conversion to full-time employment in the job text.</t>
        </is>
      </c>
      <c r="AJ77" t="inlineStr">
        <is>
          <t>Location is Ahmedabad, Gujarat (Onsite), which conflicts with candidate's preference for Bengaluru or Remote.</t>
        </is>
      </c>
      <c r="AK77" t="inlineStr">
        <is>
          <t>Location mismatch (Ahmedabad vs Bengaluru preference)</t>
        </is>
      </c>
      <c r="AL77" t="inlineStr">
        <is>
          <t>General software development lifecycle (SDLC); Debugging and testing practices; Past internship and freelance project walkthroughs</t>
        </is>
      </c>
    </row>
    <row r="78">
      <c r="A78" t="inlineStr">
        <is>
          <t>TRIDIAGONAL--261002-77</t>
        </is>
      </c>
      <c r="B78" t="inlineStr">
        <is>
          <t>Tridiagonal Solutions</t>
        </is>
      </c>
      <c r="C78" t="inlineStr">
        <is>
          <t>Software Development Intern</t>
        </is>
      </c>
      <c r="D78" t="inlineStr">
        <is>
          <t>https://www.adzuna.in/details/5854847471?utm_medium=api&amp;utm_source=5ccdc27f</t>
        </is>
      </c>
      <c r="E78" t="inlineStr">
        <is>
          <t>AI Analyzer</t>
        </is>
      </c>
      <c r="F78" t="inlineStr">
        <is>
          <t>Mumbai, Maharashtra (Pune also mentioned in body)</t>
        </is>
      </c>
      <c r="G78" t="inlineStr">
        <is>
          <t>Not specified</t>
        </is>
      </c>
      <c r="I78" t="inlineStr">
        <is>
          <t>Not specified</t>
        </is>
      </c>
      <c r="J78" t="inlineStr">
        <is>
          <t>NOT_MENTIONED</t>
        </is>
      </c>
      <c r="K78" t="inlineStr">
        <is>
          <t>Responsive web design; Basic programming concepts; Problem-solving skills; Git version control</t>
        </is>
      </c>
      <c r="L78" t="inlineStr">
        <is>
          <t>Python; Web frameworks; APIs; Databases; React; Angular; Vue</t>
        </is>
      </c>
      <c r="M78" t="inlineStr">
        <is>
          <t>## Software Development Intern jobs in Mumbai
Leave us your email address and we'll send you similar new jobsCreate email alert [No, thanks](https://www.adzuna.in/details/5854847471#)
By creating an email alert, you agree to our [Terms &amp; Conditions](https://www.adzuna.in/terms-and-conditions.html) and [Privacy Notice](https://www.adzuna.in/privacy-policy.html), and Cookie Use. You can cancel at any time.
Loading...
Are you based in the United States? Select your country to see jobs specific to your location.
United KingdomAustraliaÖsterreichBelgiëBrasilCanadaFranceDeutschlandIndiaItaliaMéxicoNederlandNew ZealandPolskaSingaporeSouth AfricaEspañaSchweizUnited StatesContinue![](https://zunastatic-abf.kxcdn.com/images/global/responsive/icon_close_no_bg.svg)
What?
Where?
Search
[Advanced](https://www.adzuna.in/advanced-search)
# Software Development Intern
[❮ back to last search](https://www.adzuna.in/details/5854847471#)![Hiree Jobs](https://zunastatic-abf.kxcdn.com/images/in/jobs/partners/logo_hireejobs.png)
Tridiagonal Solutions
Mumbai City
![Hiree Jobs](https://zunastatic-abf.kxcdn.com/images/in/jobs/partners/logo_hireejobs.png)
CLOSING SOON
[Apply for this job](https://www.adzuna.in/land/ad/5854847471?aztt=eyJhbGciOiJIUzI1NiJ9.eyJpYXQiOjE3OTA5NDM3MzYsImNpIjoiYm4tcDUxdS04UkdTQ2FqOFdTSTZDdyIsInR0IjoiZ29vZ2xlX29yZ2FuaWMiLCJ0cyI6bnVsbCwiZXhwIjoxNzkxNTQ4NTM2fQ.kd82Gpuku4L_-90Emrri0hAlyI6HVu6s4GQt-gegNO0&amp;from_adp=1&amp;v=2B98F37DEF54B87EEB8D744BAD5F4F26891D59A8&amp;se=) We are looking for a motivated and enthusiastic Software Development Intern to join our development team This internship provides an excellent opportunity to gain handson experience in web development work on realworld projects and learn modern software development practices Department Software Development Location Pune India Experience Education Key ResponsibilitiesCollaborate with team members to design develop test and deploy software solutions Assist in debugging troubleshooting and optimizing application performance Participate in code reviews and follow coding standards and best practices Work closely with designers and developers to implement userfriendly interfaces Document development processes features and technical specifications Learn and apply new technologies as required by project needs Requirements QualificationsKnowledge of responsive web design principles Understanding of basic programming concepts and problemsolving skills Ability to work independently as well as in a team environment Strong communication and learning aptitude Basic knowledge of Python is an advantage Familiarity with Git version control Understanding of web frameworks APIs or databases is a plus Exposure to React Angular or Vue is beneficial Must be comfortable working in a team and independently as and when required Must be disciplined proactive and selfmotivated [Apply for this job](https://www.adzuna.in/land/ad/5854847471?aztt=eyJhbGciOiJIUzI1NiJ9.eyJpYXQiOjE3OTA5NDM3MzYsImNpIjoiYm4tcDUxdS04UkdTQ2FqOFdTSTZDdyIsInR0IjoiZ29vZ2xlX29yZ2FuaWMiLCJ0cyI6bnVsbCwiZXhwIjoxNzkxNTQ4NTM2fQ.kd82Gpuku4L_-90Emrri0hAlyI6HVu6s4GQt-gegNO0&amp;from_adp=1&amp;v=2B98F37DEF54B87EEB8D744BAD5F4F26891D59A8&amp;se=)
## Stats for this job
### Salaries
The number of jobs in each salary range for all:
IT JobsIT Jobs in MaharashtraMaharashtra jobs
0-10L10-20L20-30L30-40L40-50L50-60L60L+
Receive similar jobs by email
Create alert
By creating an alert, you agree to our [T&amp;Cs](https://www.adzuna.in/terms-and-conditions.html) and [Privacy Notice](https://www.adzuna.in/privacy-policy.html), and Cookie Use.
## Similar jobs
[Software Developer Intern LowLatency Systems](https://www.adzuna.in/details/5885446725)
iRage
Mumbai City
[Software Development Intern Backend Mumbai](https://www.adzuna.in/details/5827200415)
Miko Group
Mumbai City
[Software Tester Intern](https://www.adzuna.in/details/5827200212)
Volody Product Pvt Lltd
Mumbai City
[Software Engineer Intern](https://www.adzuna.in/details/5827200220)
Augle AI
Mumbai City
[Software Tester Intern](https://www.adzuna.in/details/5794908342)
Axs Solutions
Mumbai City
## Popular searches
[Software developer](https://www.adzuna.in/software-developer) [Software developer in Mumbai](https://www.adzuna.in/mumbai/software-developer)
[Back to last search](https://www.adzuna.in/details/5854847471#) [❮ back to last search](https://www.adzuna.in/details/5854847471#)
Receive similar jobs by email
Create alert [No thanks, take me to the job](https://www.adzuna.in/land/ad/5854847471?aztt=eyJhbGciOiJIUzI1NiJ9.eyJpYXQiOjE3OTA5NDM3MzYsImNpIjoiYm4tcDUxdS04UkdTQ2FqOFdTSTZDdyIsInR0IjoiZ29vZ2xlX29yZ2FuaWMiLCJ0cyI6bnVsbCwiZXhwIjoxNzkxNTQ4NTM2fQ.kd82Gpuku4L_-90Emrri0hAlyI6HVu6s4GQt-gegNO0&amp;from_adp=1&amp;v=2B98F37DEF54B87EEB8D744BAD5F4F26891D59A8&amp;se=)
By creating an alert, you agree to our [T&amp;Cs](https://www.adzuna.in/terms-and-conditions.html) and [Privacy Notice](https://www.adzuna.in/privacy-policy.html), and Cookie Use.
[Apply for this jo</t>
        </is>
      </c>
      <c r="N78" t="n">
        <v>64</v>
      </c>
      <c r="O78" t="n">
        <v>80</v>
      </c>
      <c r="P78" t="n">
        <v>85</v>
      </c>
      <c r="Q78" t="n">
        <v>85</v>
      </c>
      <c r="R78" t="n">
        <v>0</v>
      </c>
      <c r="S78" t="n">
        <v>40</v>
      </c>
      <c r="T78" t="n">
        <v>60</v>
      </c>
      <c r="U78" t="inlineStr">
        <is>
          <t>STRETCH</t>
        </is>
      </c>
      <c r="V78" t="inlineStr">
        <is>
          <t>STRETCH</t>
        </is>
      </c>
      <c r="X78" t="inlineStr">
        <is>
          <t>Standard Full Stack / Software Engineering Resume</t>
        </is>
      </c>
      <c r="Y78" t="inlineStr">
        <is>
          <t>2026-10-02</t>
        </is>
      </c>
      <c r="Z78" t="inlineStr">
        <is>
          <t>Strong alignment with Angular and frontend/backend development experience; Good opportunity to gain software development internship experience</t>
        </is>
      </c>
      <c r="AA78" t="inlineStr">
        <is>
          <t>ELIGIBLE</t>
        </is>
      </c>
      <c r="AB78" t="inlineStr">
        <is>
          <t>No strict hard blockers found in requirements; Matches target intern profile</t>
        </is>
      </c>
      <c r="AC78" t="inlineStr">
        <is>
          <t>UNKNOWN</t>
        </is>
      </c>
      <c r="AD78" t="inlineStr">
        <is>
          <t>Availability requirements not specified in the job description</t>
        </is>
      </c>
      <c r="AE78" t="inlineStr">
        <is>
          <t>UNKNOWN</t>
        </is>
      </c>
      <c r="AF78" t="n">
        <v>0</v>
      </c>
      <c r="AG78" t="inlineStr">
        <is>
          <t>No</t>
        </is>
      </c>
      <c r="AH78" t="inlineStr">
        <is>
          <t>NOT_MENTIONED</t>
        </is>
      </c>
      <c r="AK78" t="inlineStr">
        <is>
          <t>Stipend is not disclosed; PPO is not mentioned</t>
        </is>
      </c>
      <c r="AL78" t="inlineStr">
        <is>
          <t>Basic programming concepts and problem-solving; Angular and web development principles; Git version control workflows; Past project experience with APIs and databases</t>
        </is>
      </c>
    </row>
    <row r="79">
      <c r="A79" t="inlineStr">
        <is>
          <t>PODTECH-261002-78</t>
        </is>
      </c>
      <c r="B79" t="inlineStr">
        <is>
          <t>PODTECH</t>
        </is>
      </c>
      <c r="C79" t="inlineStr">
        <is>
          <t>Software Developer - Intern</t>
        </is>
      </c>
      <c r="D79" t="inlineStr">
        <is>
          <t>https://www.adzuna.in/details/4309750168?utm_medium=api&amp;utm_source=5ccdc27f</t>
        </is>
      </c>
      <c r="E79" t="inlineStr">
        <is>
          <t>AI Analyzer</t>
        </is>
      </c>
      <c r="F79" t="inlineStr">
        <is>
          <t>CyberCity, Gurugram</t>
        </is>
      </c>
      <c r="G79" t="inlineStr">
        <is>
          <t>office</t>
        </is>
      </c>
      <c r="H79" t="inlineStr">
        <is>
          <t>not specified</t>
        </is>
      </c>
      <c r="I79" t="inlineStr">
        <is>
          <t>unknown</t>
        </is>
      </c>
      <c r="J79" t="inlineStr">
        <is>
          <t>not mentioned</t>
        </is>
      </c>
      <c r="K79" t="inlineStr">
        <is>
          <t>Computer Science degree</t>
        </is>
      </c>
      <c r="M79" t="inlineStr">
        <is>
          <t>Location: CyberCity, Gurugram Position Type: Full-time, Office-Based Shortlisted candidates will undergo 3 rounds of interview, x2 technical rounds and x1 final management interview. The final two of these interviews will be face-to-face interviews at our Gurugram office. Please do not apply if you cannot attend. PodTech is seeking a proactive Software Developer Intern to join our dynamic team in CyberCity, Gurugram. The ideal candidate will be in the process of pursuing a degree in Computer Sc…</t>
        </is>
      </c>
      <c r="N79" t="n">
        <v>60</v>
      </c>
      <c r="O79" t="n">
        <v>70</v>
      </c>
      <c r="P79" t="n">
        <v>70</v>
      </c>
      <c r="Q79" t="n">
        <v>75</v>
      </c>
      <c r="R79" t="n">
        <v>40</v>
      </c>
      <c r="S79" t="n">
        <v>30</v>
      </c>
      <c r="T79" t="n">
        <v>50</v>
      </c>
      <c r="U79" t="inlineStr">
        <is>
          <t>SKIP</t>
        </is>
      </c>
      <c r="V79" t="inlineStr">
        <is>
          <t>SKIP</t>
        </is>
      </c>
      <c r="X79" t="inlineStr">
        <is>
          <t>Amaanuddin_Ahmed_Resume.pdf</t>
        </is>
      </c>
      <c r="Y79" t="inlineStr">
        <is>
          <t>2026-10-02</t>
        </is>
      </c>
      <c r="Z79" t="inlineStr">
        <is>
          <t>Role matches target internship titles.</t>
        </is>
      </c>
      <c r="AA79" t="inlineStr">
        <is>
          <t>eligible</t>
        </is>
      </c>
      <c r="AB79" t="inlineStr">
        <is>
          <t>Candidate is pursuing an MCA degree in Computer Science/Applications.</t>
        </is>
      </c>
      <c r="AC79" t="inlineStr">
        <is>
          <t>unknown</t>
        </is>
      </c>
      <c r="AD79" t="inlineStr">
        <is>
          <t>Availability start date is not specified in the career brain.</t>
        </is>
      </c>
      <c r="AE79" t="inlineStr">
        <is>
          <t>UNKNOWN</t>
        </is>
      </c>
      <c r="AF79" t="n">
        <v>0</v>
      </c>
      <c r="AG79" t="inlineStr">
        <is>
          <t>No</t>
        </is>
      </c>
      <c r="AH79" t="inlineStr">
        <is>
          <t>not mentioned</t>
        </is>
      </c>
      <c r="AI79" t="inlineStr">
        <is>
          <t>No mention of PPO or conversion in the job description snippet.</t>
        </is>
      </c>
      <c r="AJ79" t="inlineStr">
        <is>
          <t>Location is CyberCity, Gurugram (Office-Based with face-to-face interviews required in Gurugram), whereas candidate's preferred location is Bengaluru.</t>
        </is>
      </c>
      <c r="AK79" t="inlineStr">
        <is>
          <t>Requires final two interview rounds to be face-to-face at the Gurugram office.</t>
        </is>
      </c>
      <c r="AL79" t="inlineStr">
        <is>
          <t>Software Development Fundamentals; Problem Solving; Project walkthroughs</t>
        </is>
      </c>
    </row>
    <row r="80">
      <c r="A80" t="inlineStr">
        <is>
          <t>LENSKART-261002-79</t>
        </is>
      </c>
      <c r="B80" t="inlineStr">
        <is>
          <t>Lenskart</t>
        </is>
      </c>
      <c r="C80" t="inlineStr">
        <is>
          <t>Software Development Intern</t>
        </is>
      </c>
      <c r="D80" t="inlineStr">
        <is>
          <t>https://www.adzuna.in/details/5845820634?utm_medium=api&amp;utm_source=5ccdc27f</t>
        </is>
      </c>
      <c r="E80" t="inlineStr">
        <is>
          <t>AI Analyzer</t>
        </is>
      </c>
      <c r="F80" t="inlineStr">
        <is>
          <t>Hosur, Tamil Nadu</t>
        </is>
      </c>
      <c r="G80" t="inlineStr">
        <is>
          <t>On-site</t>
        </is>
      </c>
      <c r="H80" t="inlineStr">
        <is>
          <t>INR 19,000 per month</t>
        </is>
      </c>
      <c r="I80" t="inlineStr">
        <is>
          <t>6 months</t>
        </is>
      </c>
      <c r="J80" t="inlineStr">
        <is>
          <t>yes</t>
        </is>
      </c>
      <c r="K80" t="inlineStr">
        <is>
          <t>Data Structures; Algorithms; Object-Oriented Programming; Java; Python; REST APIs; SQL</t>
        </is>
      </c>
      <c r="L80" t="inlineStr">
        <is>
          <t>Git; GitHub; Unit Testing; Debugging; System Design Basics; Code Review</t>
        </is>
      </c>
      <c r="M80" t="inlineStr">
        <is>
          <t>## Software Development Intern jobs in Krishnagiri
Leave us your email address and we'll send you similar new jobsCreate email alert [No, thanks](https://www.adzuna.in/details/5845820634#)
By creating an email alert, you agree to our [Terms &amp; Conditions](https://www.adzuna.in/terms-and-conditions.html) and [Privacy Notice](https://www.adzuna.in/privacy-policy.html), and Cookie Use. You can cancel at any time.
Loading...
Are you based in the United States? Select your country to see jobs specific to your location.
United KingdomAustraliaÖsterreichBelgiëBrasilCanadaFranceDeutschlandIndiaItaliaMéxicoNederlandNew ZealandPolskaSingaporeSouth AfricaEspañaSchweizUnited StatesContinue![](https://zunastatic-abf.kxcdn.com/images/global/responsive/icon_close_no_bg.svg)
What?
Where?
Search
[Advanced](https://www.adzuna.in/advanced-search)
# Software Development Intern
[❮ back to last search](https://www.adzuna.in/details/5845820634#)![Hiree Jobs](https://zunastatic-abf.kxcdn.com/images/in/jobs/partners/logo_hireejobs.png)
Lenskart
Hosur
![Hiree Jobs](https://zunastatic-abf.kxcdn.com/images/in/jobs/partners/logo_hireejobs.png)
CLOSING SOON
[Apply for this job](https://www.adzuna.in/land/ad/5845820634?aztt=eyJhbGciOiJIUzI1NiJ9.eyJjaSI6ImdQbmU3bHUtOFJHZ2ctaXlxVkZwb3ciLCJpYXQiOjE3OTA5NDM3NDgsInRzIjpudWxsLCJ0dCI6Imdvb2dsZV9vcmdhbmljIiwiZXhwIjoxNzkxNTQ4NTQ4fQ.fgVWLBAM06iAFw_a7uwb33g9SjYivkxs2W2I1NNnmyw&amp;from_adp=1&amp;v=1606E4BCF86BC3A995FF9798D718D0CEC59900FF&amp;se=) Start your career in software engineering with Lenskart as a Software Development Intern in Hosur You will sit with a working team use the same tools and systems they do and own a defined piece of work from day one About the role As a Software Development Intern at Lenskart your core focus will be building testing and shipping product features with the engineering team You are attached to a named mentor join the teams standups and reviews and are trusted with work that matters rather than filler tasks Questions are encouraged your output is reviewed properly and you get the feedback you need to actually improve What youll do day to day Work on building testing and shipping product features with the engineering team alongside the core team Use Data Structures Algorithms ObjectOriented Programming Java Python REST APIs SQL on live productionfacing problems Turn your work into clear documentation notes or decks for reviewers Take part in reviews and act on the feedback you receive Collaborate across functions engineering product design or business as the work demands Follow the teams quality testing and documentation standards Track and report your own progress against an agreed plan Skills youll build You will build practical demonstrable experience in Data Structures Algorithms ObjectOriented Programming Java Python REST APIs SQL Git GitHub Unit Testing Debugging System Design Basics Code Review the exact toolkit that separates a hireable fresher from a CV full of coursework No prior work experience is required Curiosity problemsolving ability and a willingness to learn matter far more here than a polished rsum and every one of these skills is taught on the job Who should apply Students in their final year or recent graduates from B E B Tech BCA MCA B Sc CS IT based in or willing to work from Hosur You should be willing to learn Data Structures Algorithms ObjectOriented Programming Java Python and able to communicate clearly in writing Personal projects coursework certifications or opensource contributions strengthen your application but none of them are mandatory Internship details This is a 6month internship in Hosur Tamil Nadu with a stipend of 19 000 per month You will be given a defined project so that you leave with a feature you wrote that went to production Working hours follow the teams normal business hours and the internship includes a certificate on successful completion By the end of the internship you will have handson command of the tools and workflows used in the field plus the confidence that comes from solving genuine problems rather than textbook ones Interns who excel are regularly offered a PPO and a path into a fulltime position How to apply Click Apply Now If you are not logged in you will be asked to sign in and register first after which you will be taken to Lenskarts official careers page to complete your application Applications are reviewed on a rolling basis and seats are limited so apply early Responsibilities Work on building testing and shipping product features with the engineering team alongside the core team Apply Data Structures Algorithms ObjectOriented Programming Java Python REST APIs to live productionfacing problems Document your work clearly for reviewers and stakeholders Participate in reviews and act on the feedback you receive Collaborate across engineering product design or business as required Follow the teams quality testing and documentation standards Requirements Pursuing or recently completed B E B Tec</t>
        </is>
      </c>
      <c r="N80" t="n">
        <v>71</v>
      </c>
      <c r="O80" t="n">
        <v>60</v>
      </c>
      <c r="P80" t="n">
        <v>75</v>
      </c>
      <c r="Q80" t="n">
        <v>80</v>
      </c>
      <c r="R80" t="n">
        <v>90</v>
      </c>
      <c r="S80" t="n">
        <v>40</v>
      </c>
      <c r="T80" t="n">
        <v>85</v>
      </c>
      <c r="U80" t="inlineStr">
        <is>
          <t>SKIP</t>
        </is>
      </c>
      <c r="V80" t="inlineStr">
        <is>
          <t>SKIP</t>
        </is>
      </c>
      <c r="W80" t="inlineStr">
        <is>
          <t>Java (working knowledge only); Python (working knowledge only); Data Structures and Algorithms (DSA formal proficiency)</t>
        </is>
      </c>
      <c r="X80" t="inlineStr">
        <is>
          <t>Default Full Stack / Software Engineer Resume</t>
        </is>
      </c>
      <c r="Y80" t="inlineStr">
        <is>
          <t>2026-10-02</t>
        </is>
      </c>
      <c r="Z80" t="inlineStr">
        <is>
          <t>Explicit PPO conversion track for high-performing interns.; Strong hands-on software development engineering internship opportunity with real production-facing responsibilities.; Matches the candidate's academic eligibility (MCA).</t>
        </is>
      </c>
      <c r="AA80" t="inlineStr">
        <is>
          <t>eligible</t>
        </is>
      </c>
      <c r="AB80" t="inlineStr">
        <is>
          <t>Candidate is pursuing MCA which matches the required degree eligibility (B.E, B.Tech, BCA, MCA, B.Sc CS/IT).; Candidate is in the correct graduation timeline (2025-2027 program, final-year / recent graduate window).</t>
        </is>
      </c>
      <c r="AC80" t="inlineStr">
        <is>
          <t>unknown</t>
        </is>
      </c>
      <c r="AD80" t="inlineStr">
        <is>
          <t>Availability to relocate or commute specifically to Hosur, Tamil Nadu from Bengaluru is not explicitly confirmed.</t>
        </is>
      </c>
      <c r="AE80" t="inlineStr">
        <is>
          <t>guaranteed</t>
        </is>
      </c>
      <c r="AF80" t="n">
        <v>19000</v>
      </c>
      <c r="AG80" t="inlineStr">
        <is>
          <t>No</t>
        </is>
      </c>
      <c r="AH80" t="inlineStr">
        <is>
          <t>yes</t>
        </is>
      </c>
      <c r="AI80" t="inlineStr">
        <is>
          <t>Interns who excel are regularly offered a PPO and a path into a fulltime position</t>
        </is>
      </c>
      <c r="AJ80" t="inlineStr">
        <is>
          <t>Stipend is INR 19,000/month, which falls below the candidate's minimum target of INR 25,000/month.</t>
        </is>
      </c>
      <c r="AK80" t="inlineStr">
        <is>
          <t>Location is Hosur, Tamil Nadu which is outside the candidate's preferred Bengaluru location (though close, it requires commuting or relocation).</t>
        </is>
      </c>
      <c r="AL80" t="inlineStr">
        <is>
          <t>Data Structures and Algorithms problem-solving; Object-Oriented Programming principles in Java or Python; REST API design and database querying in SQL; Past full-stack internship projects and production deployment workflows</t>
        </is>
      </c>
    </row>
    <row r="81">
      <c r="A81" t="inlineStr">
        <is>
          <t>COURT-CLICK-261002-80</t>
        </is>
      </c>
      <c r="B81" t="inlineStr">
        <is>
          <t>Court Click</t>
        </is>
      </c>
      <c r="C81" t="inlineStr">
        <is>
          <t>Software Developer Intern</t>
        </is>
      </c>
      <c r="D81" t="inlineStr">
        <is>
          <t>https://www.adzuna.in/details/5885446695?utm_medium=api&amp;utm_source=5ccdc27f</t>
        </is>
      </c>
      <c r="E81" t="inlineStr">
        <is>
          <t>AI Analyzer</t>
        </is>
      </c>
      <c r="F81" t="inlineStr">
        <is>
          <t>Kochi, Ernakulam</t>
        </is>
      </c>
      <c r="G81" t="inlineStr">
        <is>
          <t>UNKNOWN</t>
        </is>
      </c>
      <c r="H81" t="inlineStr">
        <is>
          <t>Not specified</t>
        </is>
      </c>
      <c r="I81" t="inlineStr">
        <is>
          <t>UNKNOWN</t>
        </is>
      </c>
      <c r="J81" t="inlineStr">
        <is>
          <t>NOT_MENTIONED</t>
        </is>
      </c>
      <c r="M81" t="inlineStr">
        <is>
          <t>Company Overview Court Click is a Legal Tech platform designed to simplify access to court information for litigants and lawyers By bringing causelists live court updates and essential case information onto a single platform Court Click helps users stay informed and manage legal matters more efficiently Role Overview As a Software Development Intern you will work alongside experienced developers and contribute to the development of web applications mobile applications and AIenabled solutions Th…</t>
        </is>
      </c>
      <c r="N81" t="n">
        <v>40</v>
      </c>
      <c r="O81" t="n">
        <v>50</v>
      </c>
      <c r="P81" t="n">
        <v>50</v>
      </c>
      <c r="Q81" t="n">
        <v>70</v>
      </c>
      <c r="R81" t="n">
        <v>0</v>
      </c>
      <c r="S81" t="n">
        <v>0</v>
      </c>
      <c r="T81" t="n">
        <v>40</v>
      </c>
      <c r="U81" t="inlineStr">
        <is>
          <t>SKIP</t>
        </is>
      </c>
      <c r="V81" t="inlineStr">
        <is>
          <t>SKIP</t>
        </is>
      </c>
      <c r="X81" t="inlineStr">
        <is>
          <t>Amaanuddin_Ahmed_Resume_General.pdf</t>
        </is>
      </c>
      <c r="Y81" t="inlineStr">
        <is>
          <t>2026-10-02</t>
        </is>
      </c>
      <c r="Z81" t="inlineStr">
        <is>
          <t>Aligns with software developer intern target roles.</t>
        </is>
      </c>
      <c r="AA81" t="inlineStr">
        <is>
          <t>ELIGIBLE</t>
        </is>
      </c>
      <c r="AB81" t="inlineStr">
        <is>
          <t>Target role matches software developer internship role.; No explicit degree or hard blockers mentioned in the short description.</t>
        </is>
      </c>
      <c r="AC81" t="inlineStr">
        <is>
          <t>UNKNOWN</t>
        </is>
      </c>
      <c r="AD81" t="inlineStr">
        <is>
          <t>Not specified in the job description.</t>
        </is>
      </c>
      <c r="AE81" t="inlineStr">
        <is>
          <t>UNKNOWN</t>
        </is>
      </c>
      <c r="AF81" t="n">
        <v>0</v>
      </c>
      <c r="AG81" t="inlineStr">
        <is>
          <t>No</t>
        </is>
      </c>
      <c r="AH81" t="inlineStr">
        <is>
          <t>NOT_MENTIONED</t>
        </is>
      </c>
      <c r="AI81" t="inlineStr">
        <is>
          <t>No mention of PPO or conversion in the job description snippet.</t>
        </is>
      </c>
      <c r="AK81" t="inlineStr">
        <is>
          <t>Location is Kochi, which does not match preferred Bengaluru location.; Stipend is completely unspecified.; Job description is very brief and lacks specific technical requirements.</t>
        </is>
      </c>
      <c r="AL81" t="inlineStr">
        <is>
          <t>Web application development experience; Mobile application development familiarity; AI-enabled solutions exposure</t>
        </is>
      </c>
    </row>
    <row r="82">
      <c r="A82" t="inlineStr">
        <is>
          <t>LAKSHAGATH-E-261002-81</t>
        </is>
      </c>
      <c r="B82" t="inlineStr">
        <is>
          <t>Lakshagath Enterprises</t>
        </is>
      </c>
      <c r="C82" t="inlineStr">
        <is>
          <t>Software Developer Intern</t>
        </is>
      </c>
      <c r="D82" t="inlineStr">
        <is>
          <t>https://www.adzuna.in/details/5854847469?utm_medium=api&amp;utm_source=5ccdc27f</t>
        </is>
      </c>
      <c r="E82" t="inlineStr">
        <is>
          <t>AI Analyzer</t>
        </is>
      </c>
      <c r="F82" t="inlineStr">
        <is>
          <t>Kanchipuram, Tamil Nadu</t>
        </is>
      </c>
      <c r="G82" t="inlineStr">
        <is>
          <t>In person</t>
        </is>
      </c>
      <c r="H82" t="inlineStr">
        <is>
          <t>3,000.00 per month</t>
        </is>
      </c>
      <c r="I82" t="inlineStr">
        <is>
          <t>Not specified</t>
        </is>
      </c>
      <c r="J82" t="inlineStr">
        <is>
          <t>Not mentioned</t>
        </is>
      </c>
      <c r="K82" t="inlineStr">
        <is>
          <t>Programming Fundamentals; Data Structures; Algorithms; Object-Oriented Programming; JavaScript; Node.js; Express.js; Git; REST APIs</t>
        </is>
      </c>
      <c r="L82" t="inlineStr">
        <is>
          <t>Python; Java; C#; React.js; Next.js; MySQL; MongoDB; Docker</t>
        </is>
      </c>
      <c r="M82" t="inlineStr">
        <is>
          <t>## Software Developer Intern jobs in Kanchipuram
Leave us your email address and we'll send you similar new jobsCreate email alert [No, thanks](https://www.adzuna.in/details/5854847469#)
By creating an email alert, you agree to our [Terms &amp; Conditions](https://www.adzuna.in/terms-and-conditions.html) and [Privacy Notice](https://www.adzuna.in/privacy-policy.html), and Cookie Use. You can cancel at any time.
Loading...
Are you based in the United States? Select your country to see jobs specific to your location.
United KingdomAustraliaÖsterreichBelgiëBrasilCanadaFranceDeutschlandIndiaItaliaMéxicoNederlandNew ZealandPolskaSingaporeSouth AfricaEspañaSchweizUnited StatesContinue![](https://zunastatic-abf.kxcdn.com/images/global/responsive/icon_close_no_bg.svg)
What?
Where?
Search
[Advanced](https://www.adzuna.in/advanced-search)
# Software Developer Intern
[❮ back to last search](https://www.adzuna.in/details/5854847469#)![Hiree Jobs](https://zunastatic-abf.kxcdn.com/images/in/jobs/partners/logo_hireejobs.png)
Lakshagath Enterprises
Kanchipuram
![Hiree Jobs](https://zunastatic-abf.kxcdn.com/images/in/jobs/partners/logo_hireejobs.png)
CLOSING SOON
[Apply for this job](https://www.adzuna.in/land/ad/5854847469?aztt=eyJhbGciOiJIUzI1NiJ9.eyJ0cyI6bnVsbCwiaWF0IjoxNzkwOTQzNzYwLCJjaSI6IkpyRFY5VnUtOFJHY2I1dy1BYmVRYWciLCJleHAiOjE3OTE1NDg1NjAsInR0IjoiZ29vZ2xlX29yZ2FuaWMifQ._6g1IEN7TCW0Gq8mUlbqS1WaSVwlyVEckRfzHZoUgYM&amp;from_adp=1&amp;v=E4ABE606FF8D85FC06D443759E305EF2E4D90841&amp;se=) Software Engineer Intern AIAssisted Product Development We are looking for Software Engineers Freshers Interns who enjoy building products solving realworld problems and continuously learning new technologies At Lakshagath Enterprises we build multiple software products across web mobile desktop AI automation cloud and media platforms We believe strong engineering fundamentals are more important than expertise in any single programming language or framework We actively use modern AI development tools to accelerate software development Therefore were looking for engineers who can understand systems learn quickly solve problems and work effectively with AIassisted development Core RequirementsStrong Programming Fundamentals Data Structures Algorithms Basic to Intermediate ObjectOriented ProgrammingDesign Patterns Basic understanding Debugging TroubleshootingReading and understanding existing codebasesWriting clean maintainable codeProblemsolving mindsetProgramming Languages Experience in one or more of the following is sufficient PythonPHPJavaC JavaScriptTypeScriptDartGoKotlinSwiftCCRubyRustAny other modern programming languageBackend Technologies Any Experience with one or more of FastAPIDjangoFlaskLaravelCodeIgniterSymfonySpring BootASP NET NET CoreExpress jsNestJSGo FrameworksRuby on RailsAny modern backend frameworkFrontend Mobile Technologies Any Experience with one or more of FlutterReactNext jsVue jsAngularReact NativeSvelteNuxt jsHTML5CSS3JavaScriptTypeScriptAny modern frontend or mobile frameworkDatabases Experience with one or more of PostgreSQLMySQLMariaDBSQL ServerSQLiteOracleMongoDBRedisFirebaseSupabaseAny modern databaseAPIs System Integration Good understanding of REST APIsJSONWebSocketsAuthentication JWT OAuth Sessions API IntegrationThirdparty SDK IntegrationDevelopment Tools Experience with Git GitHubDocker Basic Linux Basic VS Code or similar IDEPackage ManagersCommand LineAIAssisted Development We encourage engineers to use AI development tools to improve productivity Experience with one or more of ChatGPTCodexClaudeCursorGitHub CopilotGeminiWindsurfOther AI coding assistantsAI is a productivity toolnot a replacement for engineering skills Candidates should be able to understand review test debug and improve AIgenerated code What Matters Most We care more about your ability to Learn new technologies quickly Read and understand unfamiliar codebases Solve challenging engineering problems Debug production issues efficiently Build reliable and scalable software Take ownership of assigned work Communicate effectively Adapt to new tools and technologies We welcome candidates from any technology stack who are eager to learn and build great products Why Join Us Build products from the ground up Work directly with the Product Architect Use the latest AIpowered development tools Gain exposure to multiple technologies instead of being limited to a single stack Opportunity to work on web mobile desktop AI automation and cloudbased products Grow with a fastmoving product company focused on innovation If you enjoy building software solving complex problems and learning continuously wed love to hear from you Compensation 3 000 00 per month Work Location In person [Apply for this job](https://www.adzuna.in/land/ad/5854847469?aztt=eyJhbGciOiJIUzI1NiJ9.eyJ0cyI6bnVsbCwiaWF0IjoxNzkwOTQzNzYwLCJjaSI6IkpyRFY5VnUtOFJHY2I1dy1BYmVRYWciLCJleHAiOjE3OTE1NDg1NjAsInR0IjoiZ29vZ2xlX29yZ2FuaWMifQ._6g1IEN7TCW0Gq8mUlbqS1WaSVwlyVEckRfzHZoUgYM&amp;from_adp=1&amp;</t>
        </is>
      </c>
      <c r="N82" t="n">
        <v>59</v>
      </c>
      <c r="O82" t="n">
        <v>85</v>
      </c>
      <c r="P82" t="n">
        <v>80</v>
      </c>
      <c r="Q82" t="n">
        <v>85</v>
      </c>
      <c r="R82" t="n">
        <v>0</v>
      </c>
      <c r="S82" t="n">
        <v>10</v>
      </c>
      <c r="T82" t="n">
        <v>40</v>
      </c>
      <c r="U82" t="inlineStr">
        <is>
          <t>SKIP</t>
        </is>
      </c>
      <c r="V82" t="inlineStr">
        <is>
          <t>SKIP</t>
        </is>
      </c>
      <c r="X82" t="inlineStr">
        <is>
          <t>Default Full Stack / Software Engineer Resume</t>
        </is>
      </c>
      <c r="Y82" t="inlineStr">
        <is>
          <t>2026-10-02</t>
        </is>
      </c>
      <c r="Z82" t="inlineStr">
        <is>
          <t>Good technical match across backend and modern web tech stacks.; Involves modern AI development tools exposure as desired.</t>
        </is>
      </c>
      <c r="AA82" t="inlineStr">
        <is>
          <t>Eligible</t>
        </is>
      </c>
      <c r="AC82" t="inlineStr">
        <is>
          <t>Unknown</t>
        </is>
      </c>
      <c r="AD82" t="inlineStr">
        <is>
          <t>Availability not explicitly specified in candidate profile regarding relocation to Kanchipuram.</t>
        </is>
      </c>
      <c r="AE82" t="inlineStr">
        <is>
          <t>Below target</t>
        </is>
      </c>
      <c r="AF82" t="n">
        <v>3000</v>
      </c>
      <c r="AG82" t="inlineStr">
        <is>
          <t>No</t>
        </is>
      </c>
      <c r="AH82" t="inlineStr">
        <is>
          <t>Not mentioned</t>
        </is>
      </c>
      <c r="AI82" t="inlineStr">
        <is>
          <t>No mention of PPO or conversion to full-time employment in the job description.</t>
        </is>
      </c>
      <c r="AJ82" t="inlineStr">
        <is>
          <t>Location/Work-Mode Requirement: Job is In-person in Kanchipuram, Tamil Nadu, whereas preferred location is Bengaluru.; Stipend is ₹3,000/month, which is significantly below the minimum target of ₹25,000/month.</t>
        </is>
      </c>
      <c r="AK82" t="inlineStr">
        <is>
          <t>Stipend is extremely low at ₹3,000 per month.</t>
        </is>
      </c>
      <c r="AL82" t="inlineStr">
        <is>
          <t>Data Structures and Algorithms fundamentals; Backend development with Node.js and Express; Experience using AI-assisted coding tools in development workflows; Debugging and troubleshooting methodology</t>
        </is>
      </c>
    </row>
    <row r="83">
      <c r="A83" t="inlineStr">
        <is>
          <t>SYNQCLOUD,-I-261002-82</t>
        </is>
      </c>
      <c r="B83" t="inlineStr">
        <is>
          <t>SynqCloud, Inc</t>
        </is>
      </c>
      <c r="C83" t="inlineStr">
        <is>
          <t>Software Developer Intern</t>
        </is>
      </c>
      <c r="D83" t="inlineStr">
        <is>
          <t>https://www.adzuna.in/details/1155089572?utm_medium=api&amp;utm_source=5ccdc27f</t>
        </is>
      </c>
      <c r="E83" t="inlineStr">
        <is>
          <t>AI Analyzer</t>
        </is>
      </c>
      <c r="F83" t="inlineStr">
        <is>
          <t>Chennai, Tamil Nadu</t>
        </is>
      </c>
      <c r="G83" t="inlineStr">
        <is>
          <t>On-site</t>
        </is>
      </c>
      <c r="H83" t="inlineStr">
        <is>
          <t>Not specified</t>
        </is>
      </c>
      <c r="I83" t="inlineStr">
        <is>
          <t>Not specified</t>
        </is>
      </c>
      <c r="J83" t="inlineStr">
        <is>
          <t>NOT MENTIONED</t>
        </is>
      </c>
      <c r="K83" t="inlineStr">
        <is>
          <t>Object Oriented Programming (OOPs); Programming; Software Development</t>
        </is>
      </c>
      <c r="M83" t="inlineStr">
        <is>
          <t>We are hiring Intern for massmailer.io which is a Salesforce appexchange app company. Location: Chennai Skills: Object Oriented Programming (OOPs), Programming and Software Development</t>
        </is>
      </c>
      <c r="N83" t="n">
        <v>45</v>
      </c>
      <c r="O83" t="n">
        <v>60</v>
      </c>
      <c r="P83" t="n">
        <v>70</v>
      </c>
      <c r="Q83" t="n">
        <v>65</v>
      </c>
      <c r="R83" t="n">
        <v>0</v>
      </c>
      <c r="S83" t="n">
        <v>0</v>
      </c>
      <c r="T83" t="n">
        <v>30</v>
      </c>
      <c r="U83" t="inlineStr">
        <is>
          <t>SKIP</t>
        </is>
      </c>
      <c r="V83" t="inlineStr">
        <is>
          <t>SKIP</t>
        </is>
      </c>
      <c r="X83" t="inlineStr">
        <is>
          <t>Default Resume</t>
        </is>
      </c>
      <c r="Y83" t="inlineStr">
        <is>
          <t>2026-10-02</t>
        </is>
      </c>
      <c r="Z83" t="inlineStr">
        <is>
          <t>General software engineering internship matching primary target role.</t>
        </is>
      </c>
      <c r="AA83" t="inlineStr">
        <is>
          <t>FAIL</t>
        </is>
      </c>
      <c r="AB83" t="inlineStr">
        <is>
          <t>Job location is Chennai, Tamil Nadu, but candidate preferred location is Bengaluru, India (or remote).</t>
        </is>
      </c>
      <c r="AC83" t="inlineStr">
        <is>
          <t>UNKNOWN</t>
        </is>
      </c>
      <c r="AD83" t="inlineStr">
        <is>
          <t>Availability timeline not specified in the job description.</t>
        </is>
      </c>
      <c r="AE83" t="inlineStr">
        <is>
          <t>UNKNOWN</t>
        </is>
      </c>
      <c r="AF83" t="n">
        <v>0</v>
      </c>
      <c r="AG83" t="inlineStr">
        <is>
          <t>No</t>
        </is>
      </c>
      <c r="AH83" t="inlineStr">
        <is>
          <t>NOT MENTIONED</t>
        </is>
      </c>
      <c r="AI83" t="inlineStr">
        <is>
          <t>No mention of conversion or PPO in the job description.</t>
        </is>
      </c>
      <c r="AJ83" t="inlineStr">
        <is>
          <t>Location mismatch: Job is in Chennai, Tamil Nadu, while candidate prefers Bengaluru.</t>
        </is>
      </c>
      <c r="AK83" t="inlineStr">
        <is>
          <t>Stipend is completely unspecified.; No mention of PPO or conversion.; Very vague job description with minimal details.</t>
        </is>
      </c>
      <c r="AL83" t="inlineStr">
        <is>
          <t>Object Oriented Programming concepts; General software development lifecycle</t>
        </is>
      </c>
    </row>
    <row r="84">
      <c r="A84" t="inlineStr">
        <is>
          <t>ALLSOFT-CONS-261002-83</t>
        </is>
      </c>
      <c r="B84" t="inlineStr">
        <is>
          <t>AllSoft Consulting Private Limited</t>
        </is>
      </c>
      <c r="C84" t="inlineStr">
        <is>
          <t>Software Development Intern</t>
        </is>
      </c>
      <c r="D84" t="inlineStr">
        <is>
          <t>https://www.adzuna.in/details/4947384279?utm_medium=api&amp;utm_source=5ccdc27f</t>
        </is>
      </c>
      <c r="E84" t="inlineStr">
        <is>
          <t>AI Analyzer</t>
        </is>
      </c>
      <c r="F84" t="inlineStr">
        <is>
          <t>Raipur, Chhattisgarh</t>
        </is>
      </c>
      <c r="G84" t="inlineStr">
        <is>
          <t>On-site</t>
        </is>
      </c>
      <c r="I84" t="inlineStr">
        <is>
          <t>Not Specified</t>
        </is>
      </c>
      <c r="J84" t="inlineStr">
        <is>
          <t>UNKNOWN</t>
        </is>
      </c>
      <c r="K84" t="inlineStr">
        <is>
          <t>Javascript; PHP; Python; Ruby on Rails (ROR); NodeJS (Node.js); NOSQL Databases; Web</t>
        </is>
      </c>
      <c r="M84" t="inlineStr">
        <is>
          <t>AllSoft seeks to employ Engineering Interns (Computer Science discipline) to perform several software development tasks. Tasks may include development of Web Application, Mobile Application (Android, iOS, Nativescript). Skills:- Javascript, PHP, Python, Ruby on Rails (ROR), NodeJS (Node.js), NOSQL Databases and Web</t>
        </is>
      </c>
      <c r="N84" t="n">
        <v>58</v>
      </c>
      <c r="O84" t="n">
        <v>60</v>
      </c>
      <c r="P84" t="n">
        <v>70</v>
      </c>
      <c r="Q84" t="n">
        <v>75</v>
      </c>
      <c r="R84" t="n">
        <v>40</v>
      </c>
      <c r="S84" t="n">
        <v>40</v>
      </c>
      <c r="T84" t="n">
        <v>50</v>
      </c>
      <c r="U84" t="inlineStr">
        <is>
          <t>SKIP</t>
        </is>
      </c>
      <c r="V84" t="inlineStr">
        <is>
          <t>SKIP</t>
        </is>
      </c>
      <c r="W84" t="inlineStr">
        <is>
          <t>PHP; Ruby on Rails (ROR); NOSQL Databases</t>
        </is>
      </c>
      <c r="X84" t="inlineStr">
        <is>
          <t>Amaanuddin_Ahmed_Resume.pdf</t>
        </is>
      </c>
      <c r="Y84" t="inlineStr">
        <is>
          <t>2026-10-02</t>
        </is>
      </c>
      <c r="Z84" t="inlineStr">
        <is>
          <t>Matches general software development intern profile; Requires JavaScript and Node.js which candidate has demonstrated</t>
        </is>
      </c>
      <c r="AA84" t="inlineStr">
        <is>
          <t>ELIGIBLE</t>
        </is>
      </c>
      <c r="AC84" t="inlineStr">
        <is>
          <t>UNKNOWN</t>
        </is>
      </c>
      <c r="AD84" t="inlineStr">
        <is>
          <t>Availability not explicitly specified in candidate profile</t>
        </is>
      </c>
      <c r="AE84" t="inlineStr">
        <is>
          <t>UNKNOWN</t>
        </is>
      </c>
      <c r="AF84" t="n">
        <v>0</v>
      </c>
      <c r="AG84" t="inlineStr">
        <is>
          <t>No</t>
        </is>
      </c>
      <c r="AH84" t="inlineStr">
        <is>
          <t>UNKNOWN</t>
        </is>
      </c>
      <c r="AI84" t="inlineStr">
        <is>
          <t>No mention of PPO or conversion in the job description</t>
        </is>
      </c>
      <c r="AK84" t="inlineStr">
        <is>
          <t>Location is Raipur, Chhattisgarh, which does not match preferred location Bengaluru; Stipend is completely unknown; No PPO mention</t>
        </is>
      </c>
      <c r="AL84" t="inlineStr">
        <is>
          <t>JavaScript asynchronous programming and closures; Node.js and Express event loop and middleware; Experience with NoSQL databases like MongoDB; Basic knowledge of PHP and Python</t>
        </is>
      </c>
    </row>
    <row r="85">
      <c r="A85" t="inlineStr">
        <is>
          <t>ARCHINTXCOM-261002-84</t>
        </is>
      </c>
      <c r="B85" t="inlineStr">
        <is>
          <t>archintxcom</t>
        </is>
      </c>
      <c r="C85" t="inlineStr">
        <is>
          <t>Software Development Intern</t>
        </is>
      </c>
      <c r="D85" t="inlineStr">
        <is>
          <t>https://www.adzuna.in/details/5885446701?utm_medium=api&amp;utm_source=5ccdc27f</t>
        </is>
      </c>
      <c r="E85" t="inlineStr">
        <is>
          <t>AI Analyzer</t>
        </is>
      </c>
      <c r="F85" t="inlineStr">
        <is>
          <t>Chennai, Tamil Nadu</t>
        </is>
      </c>
      <c r="G85" t="inlineStr">
        <is>
          <t>Unknown</t>
        </is>
      </c>
      <c r="H85" t="inlineStr">
        <is>
          <t>Not specified</t>
        </is>
      </c>
      <c r="I85" t="inlineStr">
        <is>
          <t>Unknown</t>
        </is>
      </c>
      <c r="J85" t="inlineStr">
        <is>
          <t>No</t>
        </is>
      </c>
      <c r="K85" t="inlineStr">
        <is>
          <t>Software Development; Frontend; Backend; APIs; Databases</t>
        </is>
      </c>
      <c r="L85" t="inlineStr">
        <is>
          <t>Debugging; Testing</t>
        </is>
      </c>
      <c r="M85" t="inlineStr">
        <is>
          <t>We are looking for a motivated and passionate Software Developer to join our team The candidate will be responsible for developing testing debugging and maintaining software applications while working closely with the team to build reliable and scalable solutions Develop test and maintain software applications Write clean efficient and scalable code Work with frontend backend APIs and databases Debug issues and improve application performance Collaborate with the team and learn new technologies…</t>
        </is>
      </c>
      <c r="N85" t="n">
        <v>58</v>
      </c>
      <c r="O85" t="n">
        <v>80</v>
      </c>
      <c r="P85" t="n">
        <v>80</v>
      </c>
      <c r="Q85" t="n">
        <v>85</v>
      </c>
      <c r="R85" t="n">
        <v>0</v>
      </c>
      <c r="S85" t="n">
        <v>0</v>
      </c>
      <c r="T85" t="n">
        <v>50</v>
      </c>
      <c r="U85" t="inlineStr">
        <is>
          <t>SKIP</t>
        </is>
      </c>
      <c r="V85" t="inlineStr">
        <is>
          <t>SKIP</t>
        </is>
      </c>
      <c r="X85" t="inlineStr">
        <is>
          <t>Amaanuddin_Ahmed_Resume.pdf</t>
        </is>
      </c>
      <c r="Y85" t="inlineStr">
        <is>
          <t>2026-10-02</t>
        </is>
      </c>
      <c r="Z85" t="inlineStr">
        <is>
          <t>General software development internship aligns with target roles.</t>
        </is>
      </c>
      <c r="AA85" t="inlineStr">
        <is>
          <t>No</t>
        </is>
      </c>
      <c r="AB85" t="inlineStr">
        <is>
          <t>Job location is Chennai, Tamil Nadu, while preferred location is Bengaluru, India (or remote).</t>
        </is>
      </c>
      <c r="AC85" t="inlineStr">
        <is>
          <t>Unknown</t>
        </is>
      </c>
      <c r="AD85" t="inlineStr">
        <is>
          <t>Availability not explicitly specified in JD.</t>
        </is>
      </c>
      <c r="AE85" t="inlineStr">
        <is>
          <t>UNKNOWN</t>
        </is>
      </c>
      <c r="AF85" t="n">
        <v>0</v>
      </c>
      <c r="AG85" t="inlineStr">
        <is>
          <t>No</t>
        </is>
      </c>
      <c r="AH85" t="inlineStr">
        <is>
          <t>No</t>
        </is>
      </c>
      <c r="AI85" t="inlineStr">
        <is>
          <t>No mention of PPO or conversion.</t>
        </is>
      </c>
      <c r="AJ85" t="inlineStr">
        <is>
          <t>Location mismatch: Job is in Chennai, candidate prefers Bengaluru.</t>
        </is>
      </c>
      <c r="AK85" t="inlineStr">
        <is>
          <t>Stipend not disclosed; Location is Chennai</t>
        </is>
      </c>
      <c r="AL85" t="inlineStr">
        <is>
          <t>Software Development Lifecycle; API Design and Database Management; Debugging and Performance Tuning</t>
        </is>
      </c>
    </row>
    <row r="86">
      <c r="A86" t="inlineStr">
        <is>
          <t>EASTENCHER-S-261002-85</t>
        </is>
      </c>
      <c r="B86" t="inlineStr">
        <is>
          <t>Eastencher software</t>
        </is>
      </c>
      <c r="C86" t="inlineStr">
        <is>
          <t>Software Developer Intern</t>
        </is>
      </c>
      <c r="D86" t="inlineStr">
        <is>
          <t>https://www.adzuna.in/details/5845821068?utm_medium=api&amp;utm_source=5ccdc27f</t>
        </is>
      </c>
      <c r="E86" t="inlineStr">
        <is>
          <t>AI Analyzer</t>
        </is>
      </c>
      <c r="F86" t="inlineStr">
        <is>
          <t>Bangalore Rural, Karnataka</t>
        </is>
      </c>
      <c r="G86" t="inlineStr">
        <is>
          <t>On-site</t>
        </is>
      </c>
      <c r="H86" t="inlineStr">
        <is>
          <t>9,500 per month Including PF Benefits</t>
        </is>
      </c>
      <c r="I86" t="inlineStr">
        <is>
          <t>8 Months</t>
        </is>
      </c>
      <c r="J86" t="inlineStr">
        <is>
          <t>NOT_MENTIONED</t>
        </is>
      </c>
      <c r="M86" t="inlineStr">
        <is>
          <t>Software Developer Intern Duration 8 Months Stipend 9 500 per month Including PF Benefits Location Bangalore Start Date Immediate Joiners Preferred About the Role We are looking for a passionate and enthusiastic Software Developer Intern to join our development team This internship is an excellent opportunity for candidates who are eager to gain handson experience in software development while working on realtime projects under the guidance of experienced professionals Key Responsibilities Assi…</t>
        </is>
      </c>
      <c r="N86" t="n">
        <v>61</v>
      </c>
      <c r="O86" t="n">
        <v>70</v>
      </c>
      <c r="P86" t="n">
        <v>80</v>
      </c>
      <c r="Q86" t="n">
        <v>80</v>
      </c>
      <c r="R86" t="n">
        <v>40</v>
      </c>
      <c r="S86" t="n">
        <v>10</v>
      </c>
      <c r="T86" t="n">
        <v>50</v>
      </c>
      <c r="U86" t="inlineStr">
        <is>
          <t>STRETCH</t>
        </is>
      </c>
      <c r="V86" t="inlineStr">
        <is>
          <t>STRETCH</t>
        </is>
      </c>
      <c r="X86" t="inlineStr">
        <is>
          <t>Amaanuddin_Ahmed_Resume.pdf</t>
        </is>
      </c>
      <c r="Y86" t="inlineStr">
        <is>
          <t>2026-10-02</t>
        </is>
      </c>
      <c r="Z86" t="inlineStr">
        <is>
          <t>Matches the desired Software Developer Intern role and Bengaluru location.</t>
        </is>
      </c>
      <c r="AA86" t="inlineStr">
        <is>
          <t>ELIGIBLE</t>
        </is>
      </c>
      <c r="AB86" t="inlineStr">
        <is>
          <t>Candidate is based in Bengaluru, matching the location requirement.</t>
        </is>
      </c>
      <c r="AC86" t="inlineStr">
        <is>
          <t>UNKNOWN</t>
        </is>
      </c>
      <c r="AD86" t="inlineStr">
        <is>
          <t>Immediate joiner preference is stated in the JD, but exact availability date needs verification.</t>
        </is>
      </c>
      <c r="AE86" t="inlineStr">
        <is>
          <t>DISCLOSED</t>
        </is>
      </c>
      <c r="AF86" t="n">
        <v>9500</v>
      </c>
      <c r="AG86" t="inlineStr">
        <is>
          <t>Yes</t>
        </is>
      </c>
      <c r="AH86" t="inlineStr">
        <is>
          <t>NOT_MENTIONED</t>
        </is>
      </c>
      <c r="AI86" t="inlineStr">
        <is>
          <t>No mention of PPO or conversion in the job description text.</t>
        </is>
      </c>
      <c r="AK86" t="inlineStr">
        <is>
          <t>Stipend of ₹9,500 per month is significantly below the candidate's minimum target of ₹25,000/month.</t>
        </is>
      </c>
      <c r="AL86" t="inlineStr">
        <is>
          <t>General software development fundamentals; Past internship experience and projects; Availability for immediate joining</t>
        </is>
      </c>
    </row>
    <row r="87">
      <c r="A87" t="inlineStr">
        <is>
          <t>MIND-MERGE-S-261002-86</t>
        </is>
      </c>
      <c r="B87" t="inlineStr">
        <is>
          <t>Mind Merge Soft Tech Private Limited</t>
        </is>
      </c>
      <c r="C87" t="inlineStr">
        <is>
          <t>Software Developer Intern</t>
        </is>
      </c>
      <c r="D87" t="inlineStr">
        <is>
          <t>https://www.adzuna.in/details/5827200255?utm_medium=api&amp;utm_source=5ccdc27f</t>
        </is>
      </c>
      <c r="E87" t="inlineStr">
        <is>
          <t>AI Analyzer</t>
        </is>
      </c>
      <c r="F87" t="inlineStr">
        <is>
          <t>Hyderabad, Telangana</t>
        </is>
      </c>
      <c r="G87" t="inlineStr">
        <is>
          <t>On-site</t>
        </is>
      </c>
      <c r="H87" t="inlineStr">
        <is>
          <t>Not specified</t>
        </is>
      </c>
      <c r="I87" t="inlineStr">
        <is>
          <t>UNKNOWN</t>
        </is>
      </c>
      <c r="J87" t="inlineStr">
        <is>
          <t>UNKNOWN</t>
        </is>
      </c>
      <c r="M87" t="inlineStr">
        <is>
          <t>Company Description Mind Merge Soft Tech Private Limited is a technologydriven company that delivers innovative scalable and resultoriented digital solutions to businesses startups institutions and enterprises The organization specializes in custom software development enterprise applications AIpowered systems cloud technologies and automation solutions that improve efficiency and support growth Its expertise spans web and mobile app development SaaS products ERP systems CRM and business automa…</t>
        </is>
      </c>
      <c r="N87" t="n">
        <v>36</v>
      </c>
      <c r="O87" t="n">
        <v>50</v>
      </c>
      <c r="P87" t="n">
        <v>50</v>
      </c>
      <c r="Q87" t="n">
        <v>60</v>
      </c>
      <c r="R87" t="n">
        <v>0</v>
      </c>
      <c r="S87" t="n">
        <v>0</v>
      </c>
      <c r="T87" t="n">
        <v>20</v>
      </c>
      <c r="U87" t="inlineStr">
        <is>
          <t>SKIP</t>
        </is>
      </c>
      <c r="V87" t="inlineStr">
        <is>
          <t>SKIP</t>
        </is>
      </c>
      <c r="X87" t="inlineStr">
        <is>
          <t>Full_Stack_Developer_Resume</t>
        </is>
      </c>
      <c r="Y87" t="inlineStr">
        <is>
          <t>2026-10-02</t>
        </is>
      </c>
      <c r="Z87" t="inlineStr">
        <is>
          <t>It is an internship role aligned with software development.</t>
        </is>
      </c>
      <c r="AA87" t="inlineStr">
        <is>
          <t>ELIGIBLE</t>
        </is>
      </c>
      <c r="AB87" t="inlineStr">
        <is>
          <t>No hard degree or experience blockers mentioned in the description.</t>
        </is>
      </c>
      <c r="AC87" t="inlineStr">
        <is>
          <t>UNKNOWN</t>
        </is>
      </c>
      <c r="AD87" t="inlineStr">
        <is>
          <t>Availability not explicitly specified in the job description.</t>
        </is>
      </c>
      <c r="AE87" t="inlineStr">
        <is>
          <t>UNKNOWN</t>
        </is>
      </c>
      <c r="AF87" t="n">
        <v>0</v>
      </c>
      <c r="AG87" t="inlineStr">
        <is>
          <t>No</t>
        </is>
      </c>
      <c r="AH87" t="inlineStr">
        <is>
          <t>UNKNOWN</t>
        </is>
      </c>
      <c r="AI87" t="inlineStr">
        <is>
          <t>No mention of a PPO or conversion in the job description.</t>
        </is>
      </c>
      <c r="AK87" t="inlineStr">
        <is>
          <t>Extremely vague job description with no specific technology stack, stipend, or requirements mentioned.</t>
        </is>
      </c>
      <c r="AL87" t="inlineStr">
        <is>
          <t>General software development principles; Past internship projects and tech stack experience; Problem-solving and adaptability</t>
        </is>
      </c>
    </row>
    <row r="88">
      <c r="A88" t="inlineStr">
        <is>
          <t>RD-AND-X-NET-261002-87</t>
        </is>
      </c>
      <c r="B88" t="inlineStr">
        <is>
          <t>RD and X Network</t>
        </is>
      </c>
      <c r="C88" t="inlineStr">
        <is>
          <t>Java Software Development Intern</t>
        </is>
      </c>
      <c r="D88" t="inlineStr">
        <is>
          <t>https://www.adzuna.in/details/5885446733?utm_medium=api&amp;utm_source=5ccdc27f</t>
        </is>
      </c>
      <c r="E88" t="inlineStr">
        <is>
          <t>AI Analyzer</t>
        </is>
      </c>
      <c r="F88" t="inlineStr">
        <is>
          <t>Gurgaon, India</t>
        </is>
      </c>
      <c r="G88" t="inlineStr">
        <is>
          <t>Hybrid</t>
        </is>
      </c>
      <c r="H88" t="inlineStr">
        <is>
          <t>Not specified</t>
        </is>
      </c>
      <c r="I88" t="inlineStr">
        <is>
          <t>UNKNOWN</t>
        </is>
      </c>
      <c r="J88" t="inlineStr">
        <is>
          <t>NOT MENTIONED</t>
        </is>
      </c>
      <c r="K88" t="inlineStr">
        <is>
          <t>Java</t>
        </is>
      </c>
      <c r="M88" t="inlineStr">
        <is>
          <t>Role Java Software Development Intern Location Gurgaon India About the company Founded by entrepreneur Rajiv Dingra ReBid is a technology company offering transformational martech adtech and deep tech products and solutions to drive creative media data and business transformation helping global businesses become realtime disruptive and thereby achieve exponential growth We are a geography agnostic hybrid work culture and agile company which is focused on a forwardlooking work culture We have so…</t>
        </is>
      </c>
      <c r="N88" t="n">
        <v>36</v>
      </c>
      <c r="O88" t="n">
        <v>40</v>
      </c>
      <c r="P88" t="n">
        <v>60</v>
      </c>
      <c r="Q88" t="n">
        <v>50</v>
      </c>
      <c r="R88" t="n">
        <v>0</v>
      </c>
      <c r="S88" t="n">
        <v>0</v>
      </c>
      <c r="T88" t="n">
        <v>50</v>
      </c>
      <c r="U88" t="inlineStr">
        <is>
          <t>SKIP</t>
        </is>
      </c>
      <c r="V88" t="inlineStr">
        <is>
          <t>SKIP</t>
        </is>
      </c>
      <c r="W88" t="inlineStr">
        <is>
          <t>Java</t>
        </is>
      </c>
      <c r="X88" t="inlineStr">
        <is>
          <t>Amaanuddin_Ahmed_Resume.pdf</t>
        </is>
      </c>
      <c r="Y88" t="inlineStr">
        <is>
          <t>2026-10-02</t>
        </is>
      </c>
      <c r="Z88" t="inlineStr">
        <is>
          <t>Provides an opportunity to gain software development internship experience.</t>
        </is>
      </c>
      <c r="AA88" t="inlineStr">
        <is>
          <t>ELIGIBLE</t>
        </is>
      </c>
      <c r="AB88" t="inlineStr">
        <is>
          <t>Candidate is pursuing MCA (2025-2027) and is eligible for software development internships.</t>
        </is>
      </c>
      <c r="AC88" t="inlineStr">
        <is>
          <t>UNKNOWN</t>
        </is>
      </c>
      <c r="AD88" t="inlineStr">
        <is>
          <t>Not specified in the job description.</t>
        </is>
      </c>
      <c r="AE88" t="inlineStr">
        <is>
          <t>UNKNOWN</t>
        </is>
      </c>
      <c r="AF88" t="n">
        <v>0</v>
      </c>
      <c r="AG88" t="inlineStr">
        <is>
          <t>No</t>
        </is>
      </c>
      <c r="AH88" t="inlineStr">
        <is>
          <t>NOT MENTIONED</t>
        </is>
      </c>
      <c r="AI88" t="inlineStr">
        <is>
          <t>No mention of PPO or full-time conversion in the description.</t>
        </is>
      </c>
      <c r="AK88" t="inlineStr">
        <is>
          <t>Stipend is not disclosed; Location is Gurgaon, while candidate prefers Bengaluru</t>
        </is>
      </c>
      <c r="AL88" t="inlineStr">
        <is>
          <t>Core Java concepts; Object-Oriented Programming principles; Backend development experience</t>
        </is>
      </c>
    </row>
    <row r="89">
      <c r="A89" t="inlineStr">
        <is>
          <t>KPMG-INDIA-S-261002-88</t>
        </is>
      </c>
      <c r="B89" t="inlineStr">
        <is>
          <t>Kpmg India Services Llp</t>
        </is>
      </c>
      <c r="C89" t="inlineStr">
        <is>
          <t>Software Developer Intern to Analyst</t>
        </is>
      </c>
      <c r="D89" t="inlineStr">
        <is>
          <t>https://www.adzuna.in/details/5808698575?utm_medium=api&amp;utm_source=5ccdc27f</t>
        </is>
      </c>
      <c r="E89" t="inlineStr">
        <is>
          <t>AI Analyzer</t>
        </is>
      </c>
      <c r="F89" t="inlineStr">
        <is>
          <t>Bangalore, Karnataka</t>
        </is>
      </c>
      <c r="G89" t="inlineStr">
        <is>
          <t>Not specified</t>
        </is>
      </c>
      <c r="H89" t="inlineStr">
        <is>
          <t>Not specified</t>
        </is>
      </c>
      <c r="I89" t="inlineStr">
        <is>
          <t>Not specified</t>
        </is>
      </c>
      <c r="J89" t="inlineStr">
        <is>
          <t>not mentioned</t>
        </is>
      </c>
      <c r="K89" t="inlineStr">
        <is>
          <t>Java; Spring Boot; Python; FastAPI; APIs</t>
        </is>
      </c>
      <c r="M89" t="inlineStr">
        <is>
          <t>Interns to Analyst Mandatory Skills Bachelors or higher degree in Computer Science or a related discipline Experience in Developing APIs using Java Language and Spring Boot framework or Python with Fast API Flexible and proactive selfmotivated working style with strong personal ownership of problem resolution Excellent communicator written and verbal formal and informal Must be a team player and enjoy working in a cooperative and collaborative team environment Experience working with other engi…</t>
        </is>
      </c>
      <c r="N89" t="n">
        <v>51</v>
      </c>
      <c r="O89" t="n">
        <v>40</v>
      </c>
      <c r="P89" t="n">
        <v>60</v>
      </c>
      <c r="Q89" t="n">
        <v>70</v>
      </c>
      <c r="R89" t="n">
        <v>50</v>
      </c>
      <c r="S89" t="n">
        <v>30</v>
      </c>
      <c r="T89" t="n">
        <v>60</v>
      </c>
      <c r="U89" t="inlineStr">
        <is>
          <t>SKIP</t>
        </is>
      </c>
      <c r="V89" t="inlineStr">
        <is>
          <t>SKIP</t>
        </is>
      </c>
      <c r="W89" t="inlineStr">
        <is>
          <t>Java; Spring Boot; Python; FastAPI</t>
        </is>
      </c>
      <c r="X89" t="inlineStr">
        <is>
          <t>Amaanuddin_Ahmed_Resume_General.pdf</t>
        </is>
      </c>
      <c r="Y89" t="inlineStr">
        <is>
          <t>2026-10-02</t>
        </is>
      </c>
      <c r="Z89" t="inlineStr">
        <is>
          <t>Located in Bangalore; Software Developer Intern role aligns with target roles</t>
        </is>
      </c>
      <c r="AA89" t="inlineStr">
        <is>
          <t>eligible</t>
        </is>
      </c>
      <c r="AB89" t="inlineStr">
        <is>
          <t>Candidate has a Bachelors or higher degree context (MCA ongoing) in Computer Science or related discipline; Location is Bangalore, matching preferred location</t>
        </is>
      </c>
      <c r="AC89" t="inlineStr">
        <is>
          <t>unknown</t>
        </is>
      </c>
      <c r="AD89" t="inlineStr">
        <is>
          <t>Candidate availability dates are not specified in the career brain relative to the start date</t>
        </is>
      </c>
      <c r="AE89" t="inlineStr">
        <is>
          <t>UNKNOWN</t>
        </is>
      </c>
      <c r="AF89" t="n">
        <v>0</v>
      </c>
      <c r="AG89" t="inlineStr">
        <is>
          <t>No</t>
        </is>
      </c>
      <c r="AH89" t="inlineStr">
        <is>
          <t>not mentioned</t>
        </is>
      </c>
      <c r="AI89" t="inlineStr">
        <is>
          <t>Job description mentions intern to analyst career path but does not explicitly guarantee conversion or PPO terms</t>
        </is>
      </c>
      <c r="AK89" t="inlineStr">
        <is>
          <t>Stipend is not disclosed</t>
        </is>
      </c>
      <c r="AL89" t="inlineStr">
        <is>
          <t>Java and Spring Boot API development; Python FastAPI experience; System design and collaborative team workflows</t>
        </is>
      </c>
    </row>
    <row r="90">
      <c r="A90" t="inlineStr">
        <is>
          <t>TECHAVIDUS-261002-89</t>
        </is>
      </c>
      <c r="B90" t="inlineStr">
        <is>
          <t>Techavidus</t>
        </is>
      </c>
      <c r="C90" t="inlineStr">
        <is>
          <t>Software Developer Intern Trainee</t>
        </is>
      </c>
      <c r="D90" t="inlineStr">
        <is>
          <t>https://www.adzuna.in/details/5827200227?utm_medium=api&amp;utm_source=5ccdc27f</t>
        </is>
      </c>
      <c r="E90" t="inlineStr">
        <is>
          <t>AI Analyzer</t>
        </is>
      </c>
      <c r="F90" t="inlineStr">
        <is>
          <t>Gandhinagar, Gujarat</t>
        </is>
      </c>
      <c r="G90" t="inlineStr">
        <is>
          <t>UNKNOWN</t>
        </is>
      </c>
      <c r="H90" t="inlineStr">
        <is>
          <t>Not specified</t>
        </is>
      </c>
      <c r="I90" t="inlineStr">
        <is>
          <t>UNKNOWN</t>
        </is>
      </c>
      <c r="J90" t="inlineStr">
        <is>
          <t>UNKNOWN</t>
        </is>
      </c>
      <c r="K90" t="inlineStr">
        <is>
          <t>Asp Net MVC Core; Node JS; Java; Angular; React JS; Web Designing</t>
        </is>
      </c>
      <c r="M90" t="inlineStr">
        <is>
          <t>Education Graduation or Post Graduation in IT Job Summary Intern Requirements A final year Student or Recent Graduate in Computer Science Software Engineering or related area Knowledge of various programming languages Selfmotivated and resultsoriented Ability to interact with crossfunctional teams Strong problemsolving abilities Ability to work in a fastpaced environment Interns Required for the Technologies is Asp Net MVC Core Node JS Java Angular React JS Web Designing</t>
        </is>
      </c>
      <c r="N90" t="n">
        <v>62</v>
      </c>
      <c r="O90" t="n">
        <v>70</v>
      </c>
      <c r="P90" t="n">
        <v>75</v>
      </c>
      <c r="Q90" t="n">
        <v>80</v>
      </c>
      <c r="R90" t="n">
        <v>40</v>
      </c>
      <c r="S90" t="n">
        <v>30</v>
      </c>
      <c r="T90" t="n">
        <v>50</v>
      </c>
      <c r="U90" t="inlineStr">
        <is>
          <t>STRETCH</t>
        </is>
      </c>
      <c r="V90" t="inlineStr">
        <is>
          <t>STRETCH</t>
        </is>
      </c>
      <c r="W90" t="inlineStr">
        <is>
          <t>Asp Net MVC Core; Web Designing</t>
        </is>
      </c>
      <c r="X90" t="inlineStr">
        <is>
          <t>Amaanuddin_Ahmed_Resume.pdf</t>
        </is>
      </c>
      <c r="Y90" t="inlineStr">
        <is>
          <t>2026-10-02</t>
        </is>
      </c>
      <c r="Z90" t="inlineStr">
        <is>
          <t>Matches target role of Software Developer Intern.; Requires Node.js, Angular, and React.js, which are demonstrated skills.</t>
        </is>
      </c>
      <c r="AA90" t="inlineStr">
        <is>
          <t>ELIGIBLE</t>
        </is>
      </c>
      <c r="AB90" t="inlineStr">
        <is>
          <t>Final year student or recent graduate in computer science or related area matches MCA program status.</t>
        </is>
      </c>
      <c r="AC90" t="inlineStr">
        <is>
          <t>UNKNOWN</t>
        </is>
      </c>
      <c r="AD90" t="inlineStr">
        <is>
          <t>Exact joining dates and availability window are not specified in the JD.</t>
        </is>
      </c>
      <c r="AE90" t="inlineStr">
        <is>
          <t>UNKNOWN</t>
        </is>
      </c>
      <c r="AF90" t="n">
        <v>0</v>
      </c>
      <c r="AG90" t="inlineStr">
        <is>
          <t>No</t>
        </is>
      </c>
      <c r="AH90" t="inlineStr">
        <is>
          <t>UNKNOWN</t>
        </is>
      </c>
      <c r="AI90" t="inlineStr">
        <is>
          <t>No mention of conversion or PPO in the job description.</t>
        </is>
      </c>
      <c r="AK90" t="inlineStr">
        <is>
          <t>Location is Gandhinagar, Gujarat, which conflicts with preferred location Bengaluru.; Stipend is undisclosed, likely below the minimum target of ₹25,000/month.; No PPO information provided.</t>
        </is>
      </c>
      <c r="AL90" t="inlineStr">
        <is>
          <t>Node.js and Express architecture; Angular framework components and routing; React.js state management; C# / ASP.NET MVC Core fundamentals (working knowledge)</t>
        </is>
      </c>
    </row>
    <row r="91">
      <c r="A91" t="inlineStr">
        <is>
          <t>VIRTUAL-INTE-261002-90</t>
        </is>
      </c>
      <c r="B91" t="inlineStr">
        <is>
          <t>Virtual Internships</t>
        </is>
      </c>
      <c r="C91" t="inlineStr">
        <is>
          <t>Software Development Intern Vijayapura</t>
        </is>
      </c>
      <c r="D91" t="inlineStr">
        <is>
          <t>https://www.adzuna.in/details/5885446753?utm_medium=api&amp;utm_source=5ccdc27f</t>
        </is>
      </c>
      <c r="E91" t="inlineStr">
        <is>
          <t>AI Analyzer</t>
        </is>
      </c>
      <c r="F91" t="inlineStr">
        <is>
          <t>Vijayapura, India</t>
        </is>
      </c>
      <c r="G91" t="inlineStr">
        <is>
          <t>Remote</t>
        </is>
      </c>
      <c r="H91" t="inlineStr">
        <is>
          <t>Not specified</t>
        </is>
      </c>
      <c r="I91" t="inlineStr">
        <is>
          <t>Unknown</t>
        </is>
      </c>
      <c r="J91" t="inlineStr">
        <is>
          <t>NOT_MENTIONED</t>
        </is>
      </c>
      <c r="K91" t="inlineStr">
        <is>
          <t>Software Development</t>
        </is>
      </c>
      <c r="M91" t="inlineStr">
        <is>
          <t>About Virtual Internships Were on an ambitious and challenging mission to provide guaranteed internships to anyone anytime anywhereno one else is doing this at our scale Regardless of background major location or career field every student can gain invaluable experience at cuttingedge companies worldwide significantly enhancing their employability and career readiness Trusted by universities governments foundations and online education institutions were transforming learners lives globally 14 3…</t>
        </is>
      </c>
      <c r="N91" t="n">
        <v>40</v>
      </c>
      <c r="O91" t="n">
        <v>50</v>
      </c>
      <c r="P91" t="n">
        <v>60</v>
      </c>
      <c r="Q91" t="n">
        <v>60</v>
      </c>
      <c r="R91" t="n">
        <v>0</v>
      </c>
      <c r="S91" t="n">
        <v>0</v>
      </c>
      <c r="T91" t="n">
        <v>40</v>
      </c>
      <c r="U91" t="inlineStr">
        <is>
          <t>SKIP</t>
        </is>
      </c>
      <c r="V91" t="inlineStr">
        <is>
          <t>SKIP</t>
        </is>
      </c>
      <c r="X91" t="inlineStr">
        <is>
          <t>Standard Full Stack Resume</t>
        </is>
      </c>
      <c r="Y91" t="inlineStr">
        <is>
          <t>2026-10-02</t>
        </is>
      </c>
      <c r="Z91" t="inlineStr">
        <is>
          <t>Matches target internship role.</t>
        </is>
      </c>
      <c r="AA91" t="inlineStr">
        <is>
          <t>ELIGIBLE</t>
        </is>
      </c>
      <c r="AB91" t="inlineStr">
        <is>
          <t>Open to students seeking global internships.</t>
        </is>
      </c>
      <c r="AC91" t="inlineStr">
        <is>
          <t>UNKNOWN</t>
        </is>
      </c>
      <c r="AD91" t="inlineStr">
        <is>
          <t>Availability not explicitly specified in the job description.</t>
        </is>
      </c>
      <c r="AE91" t="inlineStr">
        <is>
          <t>UNKNOWN</t>
        </is>
      </c>
      <c r="AF91" t="n">
        <v>0</v>
      </c>
      <c r="AG91" t="inlineStr">
        <is>
          <t>No</t>
        </is>
      </c>
      <c r="AH91" t="inlineStr">
        <is>
          <t>NOT_MENTIONED</t>
        </is>
      </c>
      <c r="AI91" t="inlineStr">
        <is>
          <t>No mention of PPO or conversion.</t>
        </is>
      </c>
      <c r="AK91" t="inlineStr">
        <is>
          <t>Vague job description text with no specific technical stack requirements provided.</t>
        </is>
      </c>
      <c r="AL91" t="inlineStr">
        <is>
          <t>General software development background; Internship availability; Previous full stack projects</t>
        </is>
      </c>
    </row>
    <row r="92">
      <c r="A92" t="inlineStr">
        <is>
          <t>RADICAL-TECH-261002-91</t>
        </is>
      </c>
      <c r="B92" t="inlineStr">
        <is>
          <t>Radical Technologies</t>
        </is>
      </c>
      <c r="C92" t="inlineStr">
        <is>
          <t>Software Developer Intern</t>
        </is>
      </c>
      <c r="D92" t="inlineStr">
        <is>
          <t>https://www.adzuna.in/details/5827200307?utm_medium=api&amp;utm_source=5ccdc27f</t>
        </is>
      </c>
      <c r="E92" t="inlineStr">
        <is>
          <t>AI Analyzer</t>
        </is>
      </c>
      <c r="F92" t="inlineStr">
        <is>
          <t>Pune, Maharashtra</t>
        </is>
      </c>
      <c r="G92" t="inlineStr">
        <is>
          <t>Onsite</t>
        </is>
      </c>
      <c r="H92" t="inlineStr">
        <is>
          <t>₹5000 per month</t>
        </is>
      </c>
      <c r="I92" t="inlineStr">
        <is>
          <t>6 Months</t>
        </is>
      </c>
      <c r="J92" t="inlineStr">
        <is>
          <t>Not Mentioned</t>
        </is>
      </c>
      <c r="K92" t="inlineStr">
        <is>
          <t>React.js; Next.js; Node.js; React Native</t>
        </is>
      </c>
      <c r="M92" t="inlineStr">
        <is>
          <t>Apply before Job Title Software Developer Intern Backend Mobile Openings React js Next js Node js React Native Employment Type Internship Onsite Duration 6 Months Stipend 5000 per month Location Pune About the Chance We are hiring Software Developer Interns for multiple roles across Frontend Backend and Mobile Application Development This 6month fulltime onsite internship offers handson experience working on live production projects using modern web and mobile technologies Available Roles Skill…</t>
        </is>
      </c>
      <c r="N92" t="n">
        <v>44</v>
      </c>
      <c r="O92" t="n">
        <v>50</v>
      </c>
      <c r="P92" t="n">
        <v>60</v>
      </c>
      <c r="Q92" t="n">
        <v>70</v>
      </c>
      <c r="R92" t="n">
        <v>0</v>
      </c>
      <c r="S92" t="n">
        <v>20</v>
      </c>
      <c r="T92" t="n">
        <v>40</v>
      </c>
      <c r="U92" t="inlineStr">
        <is>
          <t>SKIP</t>
        </is>
      </c>
      <c r="V92" t="inlineStr">
        <is>
          <t>SKIP</t>
        </is>
      </c>
      <c r="W92" t="inlineStr">
        <is>
          <t>React.js; Next.js; React Native</t>
        </is>
      </c>
      <c r="X92" t="inlineStr">
        <is>
          <t>Amaan_Ahmed_Resume.pdf</t>
        </is>
      </c>
      <c r="Y92" t="inlineStr">
        <is>
          <t>2026-10-02</t>
        </is>
      </c>
      <c r="Z92" t="inlineStr">
        <is>
          <t>Provides hands-on internship experience in full stack / backend development.</t>
        </is>
      </c>
      <c r="AA92" t="inlineStr">
        <is>
          <t>Eligible</t>
        </is>
      </c>
      <c r="AC92" t="inlineStr">
        <is>
          <t>Unknown</t>
        </is>
      </c>
      <c r="AD92" t="inlineStr">
        <is>
          <t>Availability is not specified in the career brain relative to this specific start date or transition.</t>
        </is>
      </c>
      <c r="AE92" t="inlineStr">
        <is>
          <t>Below Target</t>
        </is>
      </c>
      <c r="AF92" t="n">
        <v>5000</v>
      </c>
      <c r="AG92" t="inlineStr">
        <is>
          <t>No</t>
        </is>
      </c>
      <c r="AH92" t="inlineStr">
        <is>
          <t>Not Mentioned</t>
        </is>
      </c>
      <c r="AI92" t="inlineStr">
        <is>
          <t>The job description does not mention PPO or conversion opportunities.</t>
        </is>
      </c>
      <c r="AJ92" t="inlineStr">
        <is>
          <t>Location requirement is Pune, but candidate prefers Bengaluru, India (onsite 6-month internship in Pune requires relocation).</t>
        </is>
      </c>
      <c r="AK92" t="inlineStr">
        <is>
          <t>Stipend of ₹5,000 per month is significantly below the candidate's minimum target of ₹25,000 per month.</t>
        </is>
      </c>
      <c r="AL92" t="inlineStr">
        <is>
          <t>Node.js and Express fundamentals; REST API development; JavaScript asynchronous programming</t>
        </is>
      </c>
    </row>
    <row r="93">
      <c r="A93" t="inlineStr">
        <is>
          <t>IRAGE-261002-92</t>
        </is>
      </c>
      <c r="B93" t="inlineStr">
        <is>
          <t>iRage</t>
        </is>
      </c>
      <c r="C93" t="inlineStr">
        <is>
          <t>Software Developer Intern LowLatency Systems</t>
        </is>
      </c>
      <c r="D93" t="inlineStr">
        <is>
          <t>https://www.adzuna.in/details/5885446725?utm_medium=api&amp;utm_source=5ccdc27f</t>
        </is>
      </c>
      <c r="E93" t="inlineStr">
        <is>
          <t>AI Analyzer</t>
        </is>
      </c>
      <c r="F93" t="inlineStr">
        <is>
          <t>Mumbai, Maharashtra</t>
        </is>
      </c>
      <c r="G93" t="inlineStr">
        <is>
          <t>On-site</t>
        </is>
      </c>
      <c r="I93" t="inlineStr">
        <is>
          <t>UNKNOWN</t>
        </is>
      </c>
      <c r="J93" t="inlineStr">
        <is>
          <t>Not Mentioned</t>
        </is>
      </c>
      <c r="K93" t="inlineStr">
        <is>
          <t>C; Go; Low-latency systems; High-frequency trading infrastructure; Algorithms; Data structures</t>
        </is>
      </c>
      <c r="M93" t="inlineStr">
        <is>
          <t>About the role iRage is hiring a Software Developer Intern to work on lowlatency systems and highfrequency trading infrastructure in Mumbai The role involves optimizing trading infrastructure using C Go and working on realtime data processing networking and performance tuning It is suited for candidates passionate about algorithms data structures and lowlatency system design How to Apply Apply through the iRage application form ResponsibilitiesOptimize highfrequency trading infrastructure in C …</t>
        </is>
      </c>
      <c r="N93" t="n">
        <v>21</v>
      </c>
      <c r="O93" t="n">
        <v>20</v>
      </c>
      <c r="P93" t="n">
        <v>30</v>
      </c>
      <c r="Q93" t="n">
        <v>25</v>
      </c>
      <c r="R93" t="n">
        <v>0</v>
      </c>
      <c r="S93" t="n">
        <v>0</v>
      </c>
      <c r="T93" t="n">
        <v>50</v>
      </c>
      <c r="U93" t="inlineStr">
        <is>
          <t>SKIP</t>
        </is>
      </c>
      <c r="V93" t="inlineStr">
        <is>
          <t>SKIP</t>
        </is>
      </c>
      <c r="W93" t="inlineStr">
        <is>
          <t>C; Go; Low-latency systems; High-frequency trading infrastructure</t>
        </is>
      </c>
      <c r="X93" t="inlineStr">
        <is>
          <t>Amaanuddin_Ahmed_Resume.pdf</t>
        </is>
      </c>
      <c r="Y93" t="inlineStr">
        <is>
          <t>2026-10-02</t>
        </is>
      </c>
      <c r="AA93" t="inlineStr">
        <is>
          <t>Ineligible</t>
        </is>
      </c>
      <c r="AB93" t="inlineStr">
        <is>
          <t>Location mismatch: Job is in Mumbai, Maharashtra while candidate prefers Bengaluru (or remote).; Core technology mismatch: Role requires low-latency systems development using C and Go, whereas candidate's primary expertise is in Full Stack (Angular, Node.js, MERN).</t>
        </is>
      </c>
      <c r="AC93" t="inlineStr">
        <is>
          <t>Available</t>
        </is>
      </c>
      <c r="AD93" t="inlineStr">
        <is>
          <t>Available for internship during MCA program.</t>
        </is>
      </c>
      <c r="AE93" t="inlineStr">
        <is>
          <t>UNKNOWN</t>
        </is>
      </c>
      <c r="AF93" t="n">
        <v>0</v>
      </c>
      <c r="AG93" t="inlineStr">
        <is>
          <t>No</t>
        </is>
      </c>
      <c r="AH93" t="inlineStr">
        <is>
          <t>Not Mentioned</t>
        </is>
      </c>
      <c r="AI93" t="inlineStr">
        <is>
          <t>No mention of PPO or conversion in the job description snippet.</t>
        </is>
      </c>
      <c r="AJ93" t="inlineStr">
        <is>
          <t>Location mismatch (Mumbai vs Bengaluru preference); Core tech stack mismatch (Low-latency C/Go vs Full Stack MERN/Angular)</t>
        </is>
      </c>
      <c r="AK93" t="inlineStr">
        <is>
          <t>Stipend details not provided; Duration not specified</t>
        </is>
      </c>
      <c r="AL93" t="inlineStr">
        <is>
          <t>C memory management; Go concurrency; Low-latency networking and performance tuning</t>
        </is>
      </c>
    </row>
    <row r="94">
      <c r="A94" t="inlineStr">
        <is>
          <t>47CYBER-INTE-261002-93</t>
        </is>
      </c>
      <c r="B94" t="inlineStr">
        <is>
          <t>47cyber Intelligence Private Limited</t>
        </is>
      </c>
      <c r="C94" t="inlineStr">
        <is>
          <t>Software Developer Intern Python Dgo</t>
        </is>
      </c>
      <c r="D94" t="inlineStr">
        <is>
          <t>https://www.adzuna.in/details/5827200202?utm_medium=api&amp;utm_source=5ccdc27f</t>
        </is>
      </c>
      <c r="E94" t="inlineStr">
        <is>
          <t>AI Analyzer</t>
        </is>
      </c>
      <c r="F94" t="inlineStr">
        <is>
          <t>Bhopal, Madhya Pradesh</t>
        </is>
      </c>
      <c r="G94" t="inlineStr">
        <is>
          <t>Unknown</t>
        </is>
      </c>
      <c r="H94" t="inlineStr">
        <is>
          <t>Not specified</t>
        </is>
      </c>
      <c r="I94" t="inlineStr">
        <is>
          <t>Unknown</t>
        </is>
      </c>
      <c r="J94" t="inlineStr">
        <is>
          <t>not mentioned</t>
        </is>
      </c>
      <c r="K94" t="inlineStr">
        <is>
          <t>Python; Django; REST APIs; Databases; Automation tools; Secure web applications</t>
        </is>
      </c>
      <c r="M94" t="inlineStr">
        <is>
          <t>47CYBER Intelligence Private Limited is looking for a passionate and motivated Software Developer Intern to join our development team This internship is designed for students and recent graduates who are eager to gain handson experience by working on realworld software projects using modern technologies As a Software Developer Intern you will contribute to live projects involving Python Django REST APIs databases automation tools and secure web applications while working alongside experienced d…</t>
        </is>
      </c>
      <c r="N94" t="n">
        <v>37</v>
      </c>
      <c r="O94" t="n">
        <v>40</v>
      </c>
      <c r="P94" t="n">
        <v>50</v>
      </c>
      <c r="Q94" t="n">
        <v>60</v>
      </c>
      <c r="R94" t="n">
        <v>0</v>
      </c>
      <c r="S94" t="n">
        <v>20</v>
      </c>
      <c r="T94" t="n">
        <v>40</v>
      </c>
      <c r="U94" t="inlineStr">
        <is>
          <t>SKIP</t>
        </is>
      </c>
      <c r="V94" t="inlineStr">
        <is>
          <t>SKIP</t>
        </is>
      </c>
      <c r="W94" t="inlineStr">
        <is>
          <t>Python; Django; Automation tools</t>
        </is>
      </c>
      <c r="X94" t="inlineStr">
        <is>
          <t>Amaanuddin_Ahmed_Resume.pdf</t>
        </is>
      </c>
      <c r="Y94" t="inlineStr">
        <is>
          <t>2026-10-02</t>
        </is>
      </c>
      <c r="Z94" t="inlineStr">
        <is>
          <t>Gain hands-on experience in software development.</t>
        </is>
      </c>
      <c r="AA94" t="inlineStr">
        <is>
          <t>eligible</t>
        </is>
      </c>
      <c r="AB94" t="inlineStr">
        <is>
          <t>Open to students and recent graduates.</t>
        </is>
      </c>
      <c r="AC94" t="inlineStr">
        <is>
          <t>unknown</t>
        </is>
      </c>
      <c r="AD94" t="inlineStr">
        <is>
          <t>Not specified in the candidate profile.</t>
        </is>
      </c>
      <c r="AE94" t="inlineStr">
        <is>
          <t>UNKNOWN</t>
        </is>
      </c>
      <c r="AF94" t="n">
        <v>0</v>
      </c>
      <c r="AG94" t="inlineStr">
        <is>
          <t>No</t>
        </is>
      </c>
      <c r="AH94" t="inlineStr">
        <is>
          <t>not mentioned</t>
        </is>
      </c>
      <c r="AI94" t="inlineStr">
        <is>
          <t>No mention of PPO or conversion in the job description.</t>
        </is>
      </c>
      <c r="AK94" t="inlineStr">
        <is>
          <t>Location is Bhopal, Madhya Pradesh which does not match preferred location (Bengaluru).; Stipend is unknown and below target.</t>
        </is>
      </c>
      <c r="AL94" t="inlineStr">
        <is>
          <t>Python and Django fundamentals; REST API development; Database design and management</t>
        </is>
      </c>
    </row>
    <row r="95">
      <c r="A95" t="inlineStr">
        <is>
          <t>IXG-INC-261002-94</t>
        </is>
      </c>
      <c r="B95" t="inlineStr">
        <is>
          <t>IXG Inc</t>
        </is>
      </c>
      <c r="C95" t="inlineStr">
        <is>
          <t>AI-native Software Developer Intern</t>
        </is>
      </c>
      <c r="D95" t="inlineStr">
        <is>
          <t>https://www.adzuna.in/details/5605916596?utm_medium=api&amp;utm_source=5ccdc27f</t>
        </is>
      </c>
      <c r="E95" t="inlineStr">
        <is>
          <t>AI Analyzer</t>
        </is>
      </c>
      <c r="F95" t="inlineStr">
        <is>
          <t>Hyderabad, Telangana</t>
        </is>
      </c>
      <c r="G95" t="inlineStr">
        <is>
          <t>onsite</t>
        </is>
      </c>
      <c r="I95" t="inlineStr">
        <is>
          <t>not specified</t>
        </is>
      </c>
      <c r="J95" t="inlineStr">
        <is>
          <t>NOT_MENTIONED</t>
        </is>
      </c>
      <c r="K95" t="inlineStr">
        <is>
          <t>Software Development; AI Agents</t>
        </is>
      </c>
      <c r="M95" t="inlineStr">
        <is>
          <t>AI-Native Software Developer Intern Build real AI agents used daily across the company We’re looking for a high-agency, AI-native software developer intern to help us build internal AI agents that improve productivity across our entire company (80–100 people using them daily). You will ship real systems , used by real teams, with real impact. If you’ve never built anything outside coursework, this role is probably not a fit. What You’ll Work On You will work directly on designing, building, dep…</t>
        </is>
      </c>
      <c r="N95" t="n">
        <v>51</v>
      </c>
      <c r="O95" t="n">
        <v>50</v>
      </c>
      <c r="P95" t="n">
        <v>60</v>
      </c>
      <c r="Q95" t="n">
        <v>55</v>
      </c>
      <c r="R95" t="n">
        <v>40</v>
      </c>
      <c r="S95" t="n">
        <v>30</v>
      </c>
      <c r="T95" t="n">
        <v>70</v>
      </c>
      <c r="U95" t="inlineStr">
        <is>
          <t>SKIP</t>
        </is>
      </c>
      <c r="V95" t="inlineStr">
        <is>
          <t>SKIP</t>
        </is>
      </c>
      <c r="W95" t="inlineStr">
        <is>
          <t>AI Agent development</t>
        </is>
      </c>
      <c r="X95" t="inlineStr">
        <is>
          <t>Standard Full Stack Resume</t>
        </is>
      </c>
      <c r="Y95" t="inlineStr">
        <is>
          <t>2026-10-02</t>
        </is>
      </c>
      <c r="Z95" t="inlineStr">
        <is>
          <t>High-impact role building real systems for internal productivity.</t>
        </is>
      </c>
      <c r="AA95" t="inlineStr">
        <is>
          <t>ELIGIBLE</t>
        </is>
      </c>
      <c r="AB95" t="inlineStr">
        <is>
          <t>Candidate is an MCA student graduating in 2027 and fits internship criteria.</t>
        </is>
      </c>
      <c r="AC95" t="inlineStr">
        <is>
          <t>UNKNOWN</t>
        </is>
      </c>
      <c r="AD95" t="inlineStr">
        <is>
          <t>Exact joining availability dates not specified in career brain.</t>
        </is>
      </c>
      <c r="AE95" t="inlineStr">
        <is>
          <t>UNKNOWN</t>
        </is>
      </c>
      <c r="AF95" t="n">
        <v>0</v>
      </c>
      <c r="AG95" t="inlineStr">
        <is>
          <t>No</t>
        </is>
      </c>
      <c r="AH95" t="inlineStr">
        <is>
          <t>NOT_MENTIONED</t>
        </is>
      </c>
      <c r="AI95" t="inlineStr">
        <is>
          <t>Job description snippet does not mention conversion to full-time employment.</t>
        </is>
      </c>
      <c r="AK95" t="inlineStr">
        <is>
          <t>Location is Hyderabad, whereas candidate preferred location is Bengaluru.; Stipend is completely unspecified.</t>
        </is>
      </c>
      <c r="AL95" t="inlineStr">
        <is>
          <t>Building autonomous systems and agents; API integrations with LLMs or AI tools; Full-stack scaling and deployment</t>
        </is>
      </c>
    </row>
    <row r="96">
      <c r="A96" t="inlineStr">
        <is>
          <t>MXPERTZ-INFO-261002-95</t>
        </is>
      </c>
      <c r="B96" t="inlineStr">
        <is>
          <t>Mxpertz Infolabs</t>
        </is>
      </c>
      <c r="C96" t="inlineStr">
        <is>
          <t>Junior Software Development Intern Indore</t>
        </is>
      </c>
      <c r="D96" t="inlineStr">
        <is>
          <t>https://www.adzuna.in/details/5808698567?utm_medium=api&amp;utm_source=5ccdc27f</t>
        </is>
      </c>
      <c r="E96" t="inlineStr">
        <is>
          <t>AI Analyzer</t>
        </is>
      </c>
      <c r="F96" t="inlineStr">
        <is>
          <t>Indore, India</t>
        </is>
      </c>
      <c r="G96" t="inlineStr">
        <is>
          <t>In-office</t>
        </is>
      </c>
      <c r="H96" t="inlineStr">
        <is>
          <t>Not specified</t>
        </is>
      </c>
      <c r="I96" t="inlineStr">
        <is>
          <t>Not specified</t>
        </is>
      </c>
      <c r="J96" t="inlineStr">
        <is>
          <t>UNKNOWN</t>
        </is>
      </c>
      <c r="K96" t="inlineStr">
        <is>
          <t>Mobile App Development; Android; iOS</t>
        </is>
      </c>
      <c r="M96" t="inlineStr">
        <is>
          <t>Responsibilities Developing Mobile apps for android and Ios Coordinating with the project management team to understand clients requirements and fulfilling it Keeping yourself updated with recent developments in the field so as to add more value to the company Coordinating with the testing team to remove all the bugs and issues in the application Who Can Apply Are available for full time inoffice internship Are passionate about software development Graduates and post graduates with a relevant d…</t>
        </is>
      </c>
      <c r="N96" t="n">
        <v>18</v>
      </c>
      <c r="O96" t="n">
        <v>20</v>
      </c>
      <c r="P96" t="n">
        <v>20</v>
      </c>
      <c r="Q96" t="n">
        <v>30</v>
      </c>
      <c r="R96" t="n">
        <v>0</v>
      </c>
      <c r="S96" t="n">
        <v>0</v>
      </c>
      <c r="T96" t="n">
        <v>40</v>
      </c>
      <c r="U96" t="inlineStr">
        <is>
          <t>SKIP</t>
        </is>
      </c>
      <c r="V96" t="inlineStr">
        <is>
          <t>SKIP</t>
        </is>
      </c>
      <c r="W96" t="inlineStr">
        <is>
          <t>Mobile App Development; Android; iOS</t>
        </is>
      </c>
      <c r="X96" t="inlineStr">
        <is>
          <t>Amaanuddin_Ahmed_Resume.pdf</t>
        </is>
      </c>
      <c r="Y96" t="inlineStr">
        <is>
          <t>2026-10-02</t>
        </is>
      </c>
      <c r="AA96" t="inlineStr">
        <is>
          <t>ELIGIBLE</t>
        </is>
      </c>
      <c r="AB96" t="inlineStr">
        <is>
          <t>Graduates and post graduates are eligible</t>
        </is>
      </c>
      <c r="AC96" t="inlineStr">
        <is>
          <t>UNKNOWN</t>
        </is>
      </c>
      <c r="AD96" t="inlineStr">
        <is>
          <t>Availability requirement for full-time in-office internship needs confirmation against candidate schedule.</t>
        </is>
      </c>
      <c r="AE96" t="inlineStr">
        <is>
          <t>UNKNOWN</t>
        </is>
      </c>
      <c r="AF96" t="n">
        <v>0</v>
      </c>
      <c r="AG96" t="inlineStr">
        <is>
          <t>No</t>
        </is>
      </c>
      <c r="AH96" t="inlineStr">
        <is>
          <t>UNKNOWN</t>
        </is>
      </c>
      <c r="AI96" t="inlineStr">
        <is>
          <t>No mention of PPO or conversion in the job description.</t>
        </is>
      </c>
      <c r="AJ96" t="inlineStr">
        <is>
          <t>Location requirement is Indore, in-office, which does not match preferred Bengaluru location.; Role requires Mobile App Development (Android/iOS), whereas candidate profile focuses on Full Stack / Web Development.</t>
        </is>
      </c>
      <c r="AK96" t="inlineStr">
        <is>
          <t>Unspecified stipend; In-office requirement in Indore</t>
        </is>
      </c>
      <c r="AL96" t="inlineStr">
        <is>
          <t>Mobile application development lifecycle; Cross-platform or native Android/iOS development; Debugging and testing workflows</t>
        </is>
      </c>
    </row>
    <row r="97">
      <c r="A97" t="inlineStr">
        <is>
          <t>ALGEBRA-SOFT-261002-96</t>
        </is>
      </c>
      <c r="B97" t="inlineStr">
        <is>
          <t>Algebra Softech</t>
        </is>
      </c>
      <c r="C97" t="inlineStr">
        <is>
          <t>Full Stack Developer Intern</t>
        </is>
      </c>
      <c r="D97" t="inlineStr">
        <is>
          <t>https://www.adzuna.in/details/5680028572?utm_medium=api&amp;utm_source=5ccdc27f</t>
        </is>
      </c>
      <c r="E97" t="inlineStr">
        <is>
          <t>AI Analyzer</t>
        </is>
      </c>
      <c r="F97" t="inlineStr">
        <is>
          <t>Indore, Madhya Pradesh</t>
        </is>
      </c>
      <c r="G97" t="inlineStr">
        <is>
          <t>On-site</t>
        </is>
      </c>
      <c r="H97" t="inlineStr">
        <is>
          <t>Unpaid Internship</t>
        </is>
      </c>
      <c r="I97" t="inlineStr">
        <is>
          <t>3–6 Months</t>
        </is>
      </c>
      <c r="J97" t="inlineStr">
        <is>
          <t>Not Mentioned</t>
        </is>
      </c>
      <c r="K97" t="inlineStr">
        <is>
          <t>React.js; Node.js; MongoDB; Express.js</t>
        </is>
      </c>
      <c r="M97" t="inlineStr">
        <is>
          <t>Location: Indore Position: Full Stack Developer Intern Type: Unpaid Internship Duration: 3–6 Months Role Overview We are looking for enthusiastic and passionate Full Stack Developer Interns who are eager to learn, build real-world projects, and gain hands-on experience in a professional environment. ✅ Key Responsibilities Assist in developing web applications (Frontend Backend) Work with technologies like React.js, Node.js, MongoDB, Express.js Develop and integrate APIs Debug, test, and optim…</t>
        </is>
      </c>
      <c r="N97" t="n">
        <v>52</v>
      </c>
      <c r="O97" t="n">
        <v>75</v>
      </c>
      <c r="P97" t="n">
        <v>70</v>
      </c>
      <c r="Q97" t="n">
        <v>80</v>
      </c>
      <c r="R97" t="n">
        <v>0</v>
      </c>
      <c r="S97" t="n">
        <v>0</v>
      </c>
      <c r="T97" t="n">
        <v>30</v>
      </c>
      <c r="U97" t="inlineStr">
        <is>
          <t>SKIP</t>
        </is>
      </c>
      <c r="V97" t="inlineStr">
        <is>
          <t>SKIP</t>
        </is>
      </c>
      <c r="W97" t="inlineStr">
        <is>
          <t>React.js</t>
        </is>
      </c>
      <c r="X97" t="inlineStr">
        <is>
          <t>Standard MERN Stack Resume</t>
        </is>
      </c>
      <c r="Y97" t="inlineStr">
        <is>
          <t>2026-10-02</t>
        </is>
      </c>
      <c r="Z97" t="inlineStr">
        <is>
          <t>Matches target Full Stack Developer Intern role; Requires MERN stack technologies</t>
        </is>
      </c>
      <c r="AA97" t="inlineStr">
        <is>
          <t>Eligible</t>
        </is>
      </c>
      <c r="AC97" t="inlineStr">
        <is>
          <t>Unknown</t>
        </is>
      </c>
      <c r="AD97" t="inlineStr">
        <is>
          <t>Not specified in profile.</t>
        </is>
      </c>
      <c r="AE97" t="inlineStr">
        <is>
          <t>Unpaid</t>
        </is>
      </c>
      <c r="AF97" t="n">
        <v>0</v>
      </c>
      <c r="AG97" t="inlineStr">
        <is>
          <t>No</t>
        </is>
      </c>
      <c r="AH97" t="inlineStr">
        <is>
          <t>Not Mentioned</t>
        </is>
      </c>
      <c r="AI97" t="inlineStr">
        <is>
          <t>No mention of PPO or conversion.</t>
        </is>
      </c>
      <c r="AK97" t="inlineStr">
        <is>
          <t>Unpaid Internship; Location is Indore, Madhya Pradesh (Candidate prefers Bengaluru or Remote)</t>
        </is>
      </c>
      <c r="AL97" t="inlineStr">
        <is>
          <t>MERN Stack architecture; REST API development; Debugging and testing workflows</t>
        </is>
      </c>
    </row>
    <row r="98">
      <c r="A98" t="inlineStr">
        <is>
          <t>STARTUPS-MAP-261002-97</t>
        </is>
      </c>
      <c r="B98" t="inlineStr">
        <is>
          <t>Startups Map (CrazyWebDev Technologies)</t>
        </is>
      </c>
      <c r="C98" t="inlineStr">
        <is>
          <t>Full Stack Developer Intern</t>
        </is>
      </c>
      <c r="D98" t="inlineStr">
        <is>
          <t>https://www.adzuna.in/details/5890487473?utm_medium=api&amp;utm_source=5ccdc27f</t>
        </is>
      </c>
      <c r="E98" t="inlineStr">
        <is>
          <t>AI Analyzer</t>
        </is>
      </c>
      <c r="F98" t="inlineStr">
        <is>
          <t>Jhansi, Uttar Pradesh</t>
        </is>
      </c>
      <c r="G98" t="inlineStr">
        <is>
          <t>Unknown</t>
        </is>
      </c>
      <c r="H98" t="inlineStr">
        <is>
          <t>15k Per Month</t>
        </is>
      </c>
      <c r="I98" t="inlineStr">
        <is>
          <t>Unknown</t>
        </is>
      </c>
      <c r="J98" t="inlineStr">
        <is>
          <t>unknown</t>
        </is>
      </c>
      <c r="K98" t="inlineStr">
        <is>
          <t>React JS; Next JS; Node JS; React Native; PostgreSQL</t>
        </is>
      </c>
      <c r="M98" t="inlineStr">
        <is>
          <t>CrazyWebDev Technologies Technology Full Stack Developer Intern Location Jhansi Experience Fresher Salary 15k Per Month Skills React JSNext JSNode JSReact NativePostgre SQL How to apply talent@crazywebdev.com</t>
        </is>
      </c>
      <c r="N98" t="n">
        <v>46</v>
      </c>
      <c r="O98" t="n">
        <v>40</v>
      </c>
      <c r="P98" t="n">
        <v>50</v>
      </c>
      <c r="Q98" t="n">
        <v>80</v>
      </c>
      <c r="R98" t="n">
        <v>40</v>
      </c>
      <c r="S98" t="n">
        <v>20</v>
      </c>
      <c r="T98" t="n">
        <v>40</v>
      </c>
      <c r="U98" t="inlineStr">
        <is>
          <t>SKIP</t>
        </is>
      </c>
      <c r="V98" t="inlineStr">
        <is>
          <t>SKIP</t>
        </is>
      </c>
      <c r="W98" t="inlineStr">
        <is>
          <t>React JS; Next JS; React Native; PostgreSQL</t>
        </is>
      </c>
      <c r="X98" t="inlineStr">
        <is>
          <t>Standard Full Stack Resume</t>
        </is>
      </c>
      <c r="Y98" t="inlineStr">
        <is>
          <t>2026-10-02</t>
        </is>
      </c>
      <c r="Z98" t="inlineStr">
        <is>
          <t>Matches the Full Stack Developer Intern target role</t>
        </is>
      </c>
      <c r="AA98" t="inlineStr">
        <is>
          <t>eligible</t>
        </is>
      </c>
      <c r="AB98" t="inlineStr">
        <is>
          <t>Open to freshers/students matching MCA profile</t>
        </is>
      </c>
      <c r="AC98" t="inlineStr">
        <is>
          <t>unknown</t>
        </is>
      </c>
      <c r="AD98" t="inlineStr">
        <is>
          <t>Not specified in the job description</t>
        </is>
      </c>
      <c r="AE98" t="inlineStr">
        <is>
          <t>known</t>
        </is>
      </c>
      <c r="AF98" t="n">
        <v>15000</v>
      </c>
      <c r="AG98" t="inlineStr">
        <is>
          <t>No</t>
        </is>
      </c>
      <c r="AH98" t="inlineStr">
        <is>
          <t>unknown</t>
        </is>
      </c>
      <c r="AI98" t="inlineStr">
        <is>
          <t>No PPO or conversion mention found in the JD</t>
        </is>
      </c>
      <c r="AK98" t="inlineStr">
        <is>
          <t>Stipend (₹15,000/month) is below the minimum candidate target of ₹25,000/month; Location (Jhansi, Uttar Pradesh) does not match preferred Bengaluru or remote preference</t>
        </is>
      </c>
      <c r="AL98" t="inlineStr">
        <is>
          <t>React.js and Next.js state management; Node.js asynchronous programming and backend architecture; PostgreSQL vs MongoDB relational database design; Cross-platform mobile development with React Native</t>
        </is>
      </c>
    </row>
    <row r="99">
      <c r="A99" t="inlineStr">
        <is>
          <t>PLETRA-TECHN-261002-98</t>
        </is>
      </c>
      <c r="B99" t="inlineStr">
        <is>
          <t>Pletra technologies Ind. Pvt. Ltd.</t>
        </is>
      </c>
      <c r="C99" t="inlineStr">
        <is>
          <t>Full Stack Developer Intern</t>
        </is>
      </c>
      <c r="D99" t="inlineStr">
        <is>
          <t>https://www.adzuna.in/details/4686704239?utm_medium=api&amp;utm_source=5ccdc27f</t>
        </is>
      </c>
      <c r="E99" t="inlineStr">
        <is>
          <t>AI Analyzer</t>
        </is>
      </c>
      <c r="F99" t="inlineStr">
        <is>
          <t>Pune, Maharashtra</t>
        </is>
      </c>
      <c r="G99" t="inlineStr">
        <is>
          <t>On-site</t>
        </is>
      </c>
      <c r="H99" t="inlineStr">
        <is>
          <t>6 to 8 K PM</t>
        </is>
      </c>
      <c r="I99" t="inlineStr">
        <is>
          <t>Unknown</t>
        </is>
      </c>
      <c r="J99" t="inlineStr">
        <is>
          <t>Not Mentioned</t>
        </is>
      </c>
      <c r="K99" t="inlineStr">
        <is>
          <t>React JS; React Native; Spring-Boot; Spring Cloud; Docker; Kubernetes; Java</t>
        </is>
      </c>
      <c r="M99" t="inlineStr">
        <is>
          <t>FULL STACK DEVELOPER (INTERNS) Skill- React JS/React Native/Spring-Boot/ Spring Cloud, Docker, Kubernetes, Java Experience Range: Fresher’s Location: Clover Hills Plaza, NIBM Road, Pune Education: BCA , BE , BSc(IT/CS) , BTech , MCA , MSc(IT/CS) , MTech. Stipend – 6 to 8 K PM Job Description: We are hiring Fresher trained resources in FULL Stack Technologies &amp; UI/UX (React JS / Native) developer to join Pletra technologies Ind. Pvt. Ltd. growing Engineering team. You will be working on the late…</t>
        </is>
      </c>
      <c r="N99" t="n">
        <v>42</v>
      </c>
      <c r="O99" t="n">
        <v>40</v>
      </c>
      <c r="P99" t="n">
        <v>50</v>
      </c>
      <c r="Q99" t="n">
        <v>60</v>
      </c>
      <c r="R99" t="n">
        <v>30</v>
      </c>
      <c r="S99" t="n">
        <v>20</v>
      </c>
      <c r="T99" t="n">
        <v>40</v>
      </c>
      <c r="U99" t="inlineStr">
        <is>
          <t>SKIP</t>
        </is>
      </c>
      <c r="V99" t="inlineStr">
        <is>
          <t>SKIP</t>
        </is>
      </c>
      <c r="W99" t="inlineStr">
        <is>
          <t>Spring-Boot; Spring Cloud; Java</t>
        </is>
      </c>
      <c r="X99" t="inlineStr">
        <is>
          <t>Amaanuddin_Ahmed_Resume.pdf</t>
        </is>
      </c>
      <c r="Y99" t="inlineStr">
        <is>
          <t>2026-10-02</t>
        </is>
      </c>
      <c r="AA99" t="inlineStr">
        <is>
          <t>Eligible</t>
        </is>
      </c>
      <c r="AB99" t="inlineStr">
        <is>
          <t>Education matches MCA requirement.</t>
        </is>
      </c>
      <c r="AC99" t="inlineStr">
        <is>
          <t>Unknown</t>
        </is>
      </c>
      <c r="AD99" t="inlineStr">
        <is>
          <t>Availability not explicitly specified in the candidate profile for this specific term.</t>
        </is>
      </c>
      <c r="AE99" t="inlineStr">
        <is>
          <t>Below Minimum Target</t>
        </is>
      </c>
      <c r="AF99" t="n">
        <v>6000</v>
      </c>
      <c r="AG99" t="inlineStr">
        <is>
          <t>No</t>
        </is>
      </c>
      <c r="AH99" t="inlineStr">
        <is>
          <t>Not Mentioned</t>
        </is>
      </c>
      <c r="AI99" t="inlineStr">
        <is>
          <t>No mention of PPO or conversion in the job description.</t>
        </is>
      </c>
      <c r="AK99" t="inlineStr">
        <is>
          <t>Stipend of ₹6,000–₹8,000/month is significantly below Amaan's minimum target of ₹25,000/month.; Location is Pune, while preferred location is Bengaluru.; Required stack (Java, Spring Boot) does not align with Amaan's core JavaScript/Node/Angular stack.</t>
        </is>
      </c>
      <c r="AL99" t="inlineStr">
        <is>
          <t>Java and Spring Boot fundamentals; React JS / React Native concepts; Containerization with Docker and Kubernetes</t>
        </is>
      </c>
    </row>
    <row r="100">
      <c r="A100" t="inlineStr">
        <is>
          <t>PITCHLINE-261002-99</t>
        </is>
      </c>
      <c r="B100" t="inlineStr">
        <is>
          <t>Pitchline</t>
        </is>
      </c>
      <c r="C100" t="inlineStr">
        <is>
          <t>Full Stack Developer Intern</t>
        </is>
      </c>
      <c r="D100" t="inlineStr">
        <is>
          <t>https://www.adzuna.in/details/5420122532?utm_medium=api&amp;utm_source=5ccdc27f</t>
        </is>
      </c>
      <c r="E100" t="inlineStr">
        <is>
          <t>AI Analyzer</t>
        </is>
      </c>
      <c r="F100" t="inlineStr">
        <is>
          <t>India</t>
        </is>
      </c>
      <c r="G100" t="inlineStr">
        <is>
          <t>remote</t>
        </is>
      </c>
      <c r="H100" t="inlineStr">
        <is>
          <t>₹20,000 - ₹30,000/month</t>
        </is>
      </c>
      <c r="I100" t="inlineStr">
        <is>
          <t>3 months</t>
        </is>
      </c>
      <c r="J100" t="inlineStr">
        <is>
          <t>not_mentioned</t>
        </is>
      </c>
      <c r="K100" t="inlineStr">
        <is>
          <t>Full Stack Development</t>
        </is>
      </c>
      <c r="M100" t="inlineStr">
        <is>
          <t>Full Stack Developer Internship – (Remote) Pay: ₹20,000 - ₹30,000/month | Duration: 3 months We’re building Pitchline - a voice based conversational sales AI agent, an ambitious AI-powered web app aimed at solving meaningful problems in the B2B space. It’s currently in MVP stage and has strong early demand. I’m looking for a hands-on an Full Stack Developer Intern who can work closely with me to bring this to life. You’ll be one of the first people to touch the codebase — shaping the foundation…</t>
        </is>
      </c>
      <c r="N100" t="n">
        <v>78</v>
      </c>
      <c r="O100" t="n">
        <v>85</v>
      </c>
      <c r="P100" t="n">
        <v>80</v>
      </c>
      <c r="Q100" t="n">
        <v>90</v>
      </c>
      <c r="R100" t="n">
        <v>50</v>
      </c>
      <c r="S100" t="n">
        <v>80</v>
      </c>
      <c r="T100" t="n">
        <v>80</v>
      </c>
      <c r="U100" t="inlineStr">
        <is>
          <t>CONSIDER</t>
        </is>
      </c>
      <c r="V100" t="inlineStr">
        <is>
          <t>CONSIDER</t>
        </is>
      </c>
      <c r="X100" t="inlineStr">
        <is>
          <t>Default Full Stack / MERN Resume</t>
        </is>
      </c>
      <c r="Y100" t="inlineStr">
        <is>
          <t>2026-10-02</t>
        </is>
      </c>
      <c r="Z100" t="inlineStr">
        <is>
          <t>Role matches target Full Stack Developer Intern position.; Stipend range (₹20k–₹30k) is close to the minimum target of ₹25,000/month.; Remote work mode aligns with preferences.</t>
        </is>
      </c>
      <c r="AA100" t="inlineStr">
        <is>
          <t>eligible</t>
        </is>
      </c>
      <c r="AC100" t="inlineStr">
        <is>
          <t>unknown</t>
        </is>
      </c>
      <c r="AD100" t="inlineStr">
        <is>
          <t>Not mentioned in the job description.</t>
        </is>
      </c>
      <c r="AE100" t="inlineStr">
        <is>
          <t>exact</t>
        </is>
      </c>
      <c r="AF100" t="n">
        <v>20000</v>
      </c>
      <c r="AG100" t="inlineStr">
        <is>
          <t>No</t>
        </is>
      </c>
      <c r="AH100" t="inlineStr">
        <is>
          <t>not_mentioned</t>
        </is>
      </c>
      <c r="AI100" t="inlineStr">
        <is>
          <t>No mention of PPO or conversion in the job description.</t>
        </is>
      </c>
      <c r="AL100" t="inlineStr">
        <is>
          <t>Full stack web development architecture; API integration and backend design; Previous full stack internship work at Sunflower Trip and Freelance</t>
        </is>
      </c>
    </row>
    <row r="101">
      <c r="A101" t="inlineStr">
        <is>
          <t>FLICKIT-261002-100</t>
        </is>
      </c>
      <c r="B101" t="inlineStr">
        <is>
          <t>Flickit</t>
        </is>
      </c>
      <c r="C101" t="inlineStr">
        <is>
          <t>Full Stack Development-Intern</t>
        </is>
      </c>
      <c r="D101" t="inlineStr">
        <is>
          <t>https://www.adzuna.in/details/4971284468?utm_medium=api&amp;utm_source=5ccdc27f</t>
        </is>
      </c>
      <c r="E101" t="inlineStr">
        <is>
          <t>AI Analyzer</t>
        </is>
      </c>
      <c r="F101" t="inlineStr">
        <is>
          <t>Bangalore, Karnataka</t>
        </is>
      </c>
      <c r="G101" t="inlineStr">
        <is>
          <t>Unknown</t>
        </is>
      </c>
      <c r="H101" t="inlineStr">
        <is>
          <t>Not specified</t>
        </is>
      </c>
      <c r="I101" t="inlineStr">
        <is>
          <t>Unknown</t>
        </is>
      </c>
      <c r="J101" t="inlineStr">
        <is>
          <t>UNKNOWN</t>
        </is>
      </c>
      <c r="K101" t="inlineStr">
        <is>
          <t>Flutter; React</t>
        </is>
      </c>
      <c r="M101" t="inlineStr">
        <is>
          <t>Job Description: We are looking for a talented and motivated Full Stack Development Intern to join our team. This internship offers an exciting opportunity to work on real-world project, enhance your skills, and gain hands-on experience in full-stack development using Flutter for mobile applications and React for web development. Key Responsibilities: Mobile App Development: Collaborate on building and enhancing the Flutter mobile application for Android and iOS. Web App Development: Assist in …</t>
        </is>
      </c>
      <c r="N101" t="n">
        <v>60</v>
      </c>
      <c r="O101" t="n">
        <v>60</v>
      </c>
      <c r="P101" t="n">
        <v>70</v>
      </c>
      <c r="Q101" t="n">
        <v>80</v>
      </c>
      <c r="R101" t="n">
        <v>50</v>
      </c>
      <c r="S101" t="n">
        <v>30</v>
      </c>
      <c r="T101" t="n">
        <v>60</v>
      </c>
      <c r="U101" t="inlineStr">
        <is>
          <t>STRETCH</t>
        </is>
      </c>
      <c r="V101" t="inlineStr">
        <is>
          <t>STRETCH</t>
        </is>
      </c>
      <c r="W101" t="inlineStr">
        <is>
          <t>Flutter</t>
        </is>
      </c>
      <c r="X101" t="inlineStr">
        <is>
          <t>Standard Full Stack Resume</t>
        </is>
      </c>
      <c r="Y101" t="inlineStr">
        <is>
          <t>2026-10-02</t>
        </is>
      </c>
      <c r="Z101" t="inlineStr">
        <is>
          <t>Full Stack Development Intern role in Bangalore matching primary target roles; Uses React for web development which candidate has demonstrated experience with</t>
        </is>
      </c>
      <c r="AA101" t="inlineStr">
        <is>
          <t>ELIGIBLE</t>
        </is>
      </c>
      <c r="AB101" t="inlineStr">
        <is>
          <t>Role matches target internship profile; Location is Bangalore matching preference</t>
        </is>
      </c>
      <c r="AC101" t="inlineStr">
        <is>
          <t>UNKNOWN</t>
        </is>
      </c>
      <c r="AD101" t="inlineStr">
        <is>
          <t>Availability not explicitly discussed in job description</t>
        </is>
      </c>
      <c r="AE101" t="inlineStr">
        <is>
          <t>UNKNOWN</t>
        </is>
      </c>
      <c r="AF101" t="n">
        <v>0</v>
      </c>
      <c r="AG101" t="inlineStr">
        <is>
          <t>No</t>
        </is>
      </c>
      <c r="AH101" t="inlineStr">
        <is>
          <t>UNKNOWN</t>
        </is>
      </c>
      <c r="AI101" t="inlineStr">
        <is>
          <t>No mention of PPO or conversion in the job description</t>
        </is>
      </c>
      <c r="AK101" t="inlineStr">
        <is>
          <t>Stipend information is missing; Flutter is a mandatory stack requirement which is not demonstrated in candidate profile</t>
        </is>
      </c>
      <c r="AL101" t="inlineStr">
        <is>
          <t>React.js state management and web development; Cross-platform mobile development concepts in Flutter; Full-stack architecture and API integration</t>
        </is>
      </c>
    </row>
    <row r="102">
      <c r="A102" t="inlineStr">
        <is>
          <t>SPACENOS-261002-101</t>
        </is>
      </c>
      <c r="B102" t="inlineStr">
        <is>
          <t>Spacenos</t>
        </is>
      </c>
      <c r="C102" t="inlineStr">
        <is>
          <t>Full Stack Developer Intern</t>
        </is>
      </c>
      <c r="D102" t="inlineStr">
        <is>
          <t>https://www.adzuna.in/details/3095392880?utm_medium=api&amp;utm_source=5ccdc27f</t>
        </is>
      </c>
      <c r="E102" t="inlineStr">
        <is>
          <t>AI Analyzer</t>
        </is>
      </c>
      <c r="F102" t="inlineStr">
        <is>
          <t>India</t>
        </is>
      </c>
      <c r="G102" t="inlineStr">
        <is>
          <t>UNKNOWN</t>
        </is>
      </c>
      <c r="H102" t="inlineStr">
        <is>
          <t>INR. 5,000 to INR. 15,000 per month</t>
        </is>
      </c>
      <c r="I102" t="inlineStr">
        <is>
          <t>UNKNOWN</t>
        </is>
      </c>
      <c r="J102" t="inlineStr">
        <is>
          <t>NOT_MENTIONED</t>
        </is>
      </c>
      <c r="K102" t="inlineStr">
        <is>
          <t>JavaScript; React.js; Node.js; Firebase; Firestore Functions; Git</t>
        </is>
      </c>
      <c r="M102" t="inlineStr">
        <is>
          <t>Stipend: INR. 5,000 to INR. 15,000 per month Performance Bonus Goodies for Elites We are looking for skilled Full Stack Developer interns who can oversee the complete software development road cycle at Spacenos and work on building amazing products. Skills Required Experience with JavaScript and ReactJs framework. Experience with NodeJs, Firebase and Firestore Functions. Candidates should have the ability to pick up new technologies quickly Knowledge of code versioning tools (such as Git, Mer…</t>
        </is>
      </c>
      <c r="N102" t="n">
        <v>61</v>
      </c>
      <c r="O102" t="n">
        <v>70</v>
      </c>
      <c r="P102" t="n">
        <v>75</v>
      </c>
      <c r="Q102" t="n">
        <v>80</v>
      </c>
      <c r="R102" t="n">
        <v>40</v>
      </c>
      <c r="S102" t="n">
        <v>20</v>
      </c>
      <c r="T102" t="n">
        <v>50</v>
      </c>
      <c r="U102" t="inlineStr">
        <is>
          <t>STRETCH</t>
        </is>
      </c>
      <c r="V102" t="inlineStr">
        <is>
          <t>STRETCH</t>
        </is>
      </c>
      <c r="W102" t="inlineStr">
        <is>
          <t>Firebase; Firestore Functions</t>
        </is>
      </c>
      <c r="X102" t="inlineStr">
        <is>
          <t>Standard Full Stack Resume</t>
        </is>
      </c>
      <c r="Y102" t="inlineStr">
        <is>
          <t>2026-10-02</t>
        </is>
      </c>
      <c r="Z102" t="inlineStr">
        <is>
          <t>Matches target role for Full Stack Developer Intern; Gives opportunity to apply JavaScript and Node.js skills</t>
        </is>
      </c>
      <c r="AA102" t="inlineStr">
        <is>
          <t>ELIGIBLE</t>
        </is>
      </c>
      <c r="AC102" t="inlineStr">
        <is>
          <t>UNKNOWN</t>
        </is>
      </c>
      <c r="AD102" t="inlineStr">
        <is>
          <t>Not specified in the candidate profile or job description.</t>
        </is>
      </c>
      <c r="AE102" t="inlineStr">
        <is>
          <t>EXPLICIT</t>
        </is>
      </c>
      <c r="AF102" t="n">
        <v>5000</v>
      </c>
      <c r="AG102" t="inlineStr">
        <is>
          <t>Yes</t>
        </is>
      </c>
      <c r="AH102" t="inlineStr">
        <is>
          <t>NOT_MENTIONED</t>
        </is>
      </c>
      <c r="AI102" t="inlineStr">
        <is>
          <t>No mention of conversion or PPO in the job description.</t>
        </is>
      </c>
      <c r="AK102" t="inlineStr">
        <is>
          <t>Stipend is below minimum target of 25,000 INR/month; Low stipend range (5,000 to 15,000 INR/month)</t>
        </is>
      </c>
      <c r="AL102" t="inlineStr">
        <is>
          <t>Node.js and Express architecture; React state management; NoSQL database concepts (experience with MongoDB applied to Firebase/Firestore); Git version control workflow</t>
        </is>
      </c>
    </row>
    <row r="103">
      <c r="A103" t="inlineStr">
        <is>
          <t>HBT-INTEGRIS-261002-102</t>
        </is>
      </c>
      <c r="B103" t="inlineStr">
        <is>
          <t>HBT Integrisys</t>
        </is>
      </c>
      <c r="C103" t="inlineStr">
        <is>
          <t>Full Stack Developer Intern</t>
        </is>
      </c>
      <c r="D103" t="inlineStr">
        <is>
          <t>https://www.adzuna.in/details/5884512656?utm_medium=api&amp;utm_source=5ccdc27f</t>
        </is>
      </c>
      <c r="E103" t="inlineStr">
        <is>
          <t>AI Analyzer</t>
        </is>
      </c>
      <c r="F103" t="inlineStr">
        <is>
          <t>Tamil Nadu, India</t>
        </is>
      </c>
      <c r="G103" t="inlineStr">
        <is>
          <t>On-site</t>
        </is>
      </c>
      <c r="I103" t="inlineStr">
        <is>
          <t>UNKNOWN</t>
        </is>
      </c>
      <c r="J103" t="inlineStr">
        <is>
          <t>Not Mentioned</t>
        </is>
      </c>
      <c r="M103" t="inlineStr">
        <is>
          <t>HBT Integrisys is seeking motivated and enthusiastic recent graduates to join our team as Full Stack Developer Interns. This internship offers practical software development experience through live projects in a professional office setting. About the Internship This internship is designed for individuals eager to kickstart their career in software development. You will gain hands-on experience, contribute to real-world projects, and receive mentorship from experienced developers. Eligibility &amp; …</t>
        </is>
      </c>
      <c r="N103" t="n">
        <v>64</v>
      </c>
      <c r="O103" t="n">
        <v>70</v>
      </c>
      <c r="P103" t="n">
        <v>75</v>
      </c>
      <c r="Q103" t="n">
        <v>90</v>
      </c>
      <c r="R103" t="n">
        <v>40</v>
      </c>
      <c r="S103" t="n">
        <v>30</v>
      </c>
      <c r="T103" t="n">
        <v>50</v>
      </c>
      <c r="U103" t="inlineStr">
        <is>
          <t>STRETCH</t>
        </is>
      </c>
      <c r="V103" t="inlineStr">
        <is>
          <t>STRETCH</t>
        </is>
      </c>
      <c r="X103" t="inlineStr">
        <is>
          <t>Amaanuddin_Ahmed_Resume_FullStack.pdf</t>
        </is>
      </c>
      <c r="Y103" t="inlineStr">
        <is>
          <t>2026-10-02</t>
        </is>
      </c>
      <c r="Z103" t="inlineStr">
        <is>
          <t>Role matches primary target of Full Stack Developer Intern.; Provides hands-on practical software development experience.</t>
        </is>
      </c>
      <c r="AA103" t="inlineStr">
        <is>
          <t>Eligible</t>
        </is>
      </c>
      <c r="AB103" t="inlineStr">
        <is>
          <t>Candidate is a recent graduate student pursuing MCA (2025-2027), fitting the recent graduates requirement.</t>
        </is>
      </c>
      <c r="AC103" t="inlineStr">
        <is>
          <t>Unknown</t>
        </is>
      </c>
      <c r="AD103" t="inlineStr">
        <is>
          <t>Exact start dates and availability match were not provided in the candidate profile.</t>
        </is>
      </c>
      <c r="AE103" t="inlineStr">
        <is>
          <t>UNKNOWN</t>
        </is>
      </c>
      <c r="AF103" t="n">
        <v>0</v>
      </c>
      <c r="AG103" t="inlineStr">
        <is>
          <t>No</t>
        </is>
      </c>
      <c r="AH103" t="inlineStr">
        <is>
          <t>Not Mentioned</t>
        </is>
      </c>
      <c r="AI103" t="inlineStr">
        <is>
          <t>The job description does not mention PPO or conversion opportunities.</t>
        </is>
      </c>
      <c r="AK103" t="inlineStr">
        <is>
          <t>Location is Tamil Nadu, India, whereas candidate prefers Bengaluru or remote.; Stipend is completely unknown.; Job description text is cut off.</t>
        </is>
      </c>
      <c r="AL103" t="inlineStr">
        <is>
          <t>Full stack development projects; Previous internship contributions at Sunflower Trip; Willingness to relocate to Tamil Nadu</t>
        </is>
      </c>
    </row>
    <row r="104">
      <c r="A104" t="inlineStr">
        <is>
          <t>SCALE.JOBS-261002-103</t>
        </is>
      </c>
      <c r="B104" t="inlineStr">
        <is>
          <t>scale.jobs</t>
        </is>
      </c>
      <c r="C104" t="inlineStr">
        <is>
          <t>Full Stack Developer Intern</t>
        </is>
      </c>
      <c r="D104" t="inlineStr">
        <is>
          <t>https://www.adzuna.in/details/5889570928?utm_medium=api&amp;utm_source=5ccdc27f</t>
        </is>
      </c>
      <c r="E104" t="inlineStr">
        <is>
          <t>AI Analyzer</t>
        </is>
      </c>
      <c r="F104" t="inlineStr">
        <is>
          <t>Hyderabad, Telangana</t>
        </is>
      </c>
      <c r="G104" t="inlineStr">
        <is>
          <t>Hybrid</t>
        </is>
      </c>
      <c r="H104" t="inlineStr">
        <is>
          <t>As per market standards</t>
        </is>
      </c>
      <c r="I104" t="inlineStr">
        <is>
          <t>Not specified</t>
        </is>
      </c>
      <c r="J104" t="inlineStr">
        <is>
          <t>NOT_MENTIONED</t>
        </is>
      </c>
      <c r="K104" t="inlineStr">
        <is>
          <t>Full Stack Development</t>
        </is>
      </c>
      <c r="M104" t="inlineStr">
        <is>
          <t>Location: Hyderabad in Office, WFH opportunity based on performance Shift: Dayshift with Flexible hours Employment Type: Full-time (Internship) Salary: As per market standards Experience: 0-6 Months About Us Scale.jobs is revolutionizing the job application process by providing human-powered assistance to job seekers in the US market. Our unique approach combines human expertise with smart technology to help our clients land their dream jobs. Role Overview We're seeking a passionate Full Stack …</t>
        </is>
      </c>
      <c r="N104" t="n">
        <v>74</v>
      </c>
      <c r="O104" t="n">
        <v>85</v>
      </c>
      <c r="P104" t="n">
        <v>90</v>
      </c>
      <c r="Q104" t="n">
        <v>90</v>
      </c>
      <c r="R104" t="n">
        <v>40</v>
      </c>
      <c r="S104" t="n">
        <v>50</v>
      </c>
      <c r="T104" t="n">
        <v>60</v>
      </c>
      <c r="U104" t="inlineStr">
        <is>
          <t>CONSIDER</t>
        </is>
      </c>
      <c r="V104" t="inlineStr">
        <is>
          <t>CONSIDER</t>
        </is>
      </c>
      <c r="X104" t="inlineStr">
        <is>
          <t>Standard Full Stack Resume</t>
        </is>
      </c>
      <c r="Y104" t="inlineStr">
        <is>
          <t>2026-10-02</t>
        </is>
      </c>
      <c r="Z104" t="inlineStr">
        <is>
          <t>Role matches target Full Stack Developer Intern position.; Experience requirement of 0-6 months is well-suited for the candidate.</t>
        </is>
      </c>
      <c r="AA104" t="inlineStr">
        <is>
          <t>ELIGIBLE</t>
        </is>
      </c>
      <c r="AB104" t="inlineStr">
        <is>
          <t>The role matches the candidate's target internship profile.; Experience requirement of 0-6 months aligns with the candidate's background.</t>
        </is>
      </c>
      <c r="AC104" t="inlineStr">
        <is>
          <t>UNKNOWN</t>
        </is>
      </c>
      <c r="AD104" t="inlineStr">
        <is>
          <t>Availability constraints are not specified in the career brain.</t>
        </is>
      </c>
      <c r="AE104" t="inlineStr">
        <is>
          <t>UNKNOWN</t>
        </is>
      </c>
      <c r="AF104" t="n">
        <v>0</v>
      </c>
      <c r="AG104" t="inlineStr">
        <is>
          <t>No</t>
        </is>
      </c>
      <c r="AH104" t="inlineStr">
        <is>
          <t>NOT_MENTIONED</t>
        </is>
      </c>
      <c r="AI104" t="inlineStr">
        <is>
          <t>No mention of a Pre-Placement Offer or conversion in the job description.</t>
        </is>
      </c>
      <c r="AK104" t="inlineStr">
        <is>
          <t>Location is Hyderabad, whereas candidate prefers Bengaluru (though WFH is optionally possible based on performance).; Stipend is listed as 'As per market standards' which is vague and unknown.</t>
        </is>
      </c>
      <c r="AL104" t="inlineStr">
        <is>
          <t>Full stack system architecture; Past internship experience with Angular and Node.js; API development and database management</t>
        </is>
      </c>
    </row>
    <row r="105">
      <c r="A105" t="inlineStr">
        <is>
          <t>INSTAWEB-LAB-261002-104</t>
        </is>
      </c>
      <c r="B105" t="inlineStr">
        <is>
          <t>InstaWeb Labs Pvt Ltd</t>
        </is>
      </c>
      <c r="C105" t="inlineStr">
        <is>
          <t>Full Stack Development Intern</t>
        </is>
      </c>
      <c r="D105" t="inlineStr">
        <is>
          <t>https://www.adzuna.in/details/5625720116?utm_medium=api&amp;utm_source=5ccdc27f</t>
        </is>
      </c>
      <c r="E105" t="inlineStr">
        <is>
          <t>AI Analyzer</t>
        </is>
      </c>
      <c r="F105" t="inlineStr">
        <is>
          <t>Malad, Baramati (Mumbai or Remote)</t>
        </is>
      </c>
      <c r="G105" t="inlineStr">
        <is>
          <t>Hybrid / Remote</t>
        </is>
      </c>
      <c r="H105" t="inlineStr">
        <is>
          <t>Not specified</t>
        </is>
      </c>
      <c r="I105" t="inlineStr">
        <is>
          <t>3 to 6 months</t>
        </is>
      </c>
      <c r="J105" t="inlineStr">
        <is>
          <t>NO</t>
        </is>
      </c>
      <c r="K105" t="inlineStr">
        <is>
          <t>Frontend Development; Backend Development</t>
        </is>
      </c>
      <c r="L105" t="inlineStr">
        <is>
          <t>Website builder platform tech</t>
        </is>
      </c>
      <c r="M105" t="inlineStr">
        <is>
          <t>Location: Mumbai or Remote Duration: 3 to 6 months About the Role Websites.co.in is looking for a Full Stack Developer Intern to support our engineering team across backend and frontend development. You will work on real product features and fixes across our website builder platform used by small businesses globally. This role is designed for learners who want practical full stack exposure. You will mainly assist, build small modules, fix bugs, and improve existing features under guidance. What…</t>
        </is>
      </c>
      <c r="N105" t="n">
        <v>72</v>
      </c>
      <c r="O105" t="n">
        <v>85</v>
      </c>
      <c r="P105" t="n">
        <v>90</v>
      </c>
      <c r="Q105" t="n">
        <v>95</v>
      </c>
      <c r="R105" t="n">
        <v>20</v>
      </c>
      <c r="S105" t="n">
        <v>50</v>
      </c>
      <c r="T105" t="n">
        <v>65</v>
      </c>
      <c r="U105" t="inlineStr">
        <is>
          <t>CONSIDER</t>
        </is>
      </c>
      <c r="V105" t="inlineStr">
        <is>
          <t>CONSIDER</t>
        </is>
      </c>
      <c r="X105" t="inlineStr">
        <is>
          <t>Amaanuddin_Ahmed_Resume.pdf</t>
        </is>
      </c>
      <c r="Y105" t="inlineStr">
        <is>
          <t>2026-10-02</t>
        </is>
      </c>
      <c r="Z105" t="inlineStr">
        <is>
          <t>Role matches target Full Stack Developer Intern position.; Supports remote or Mumbai-based work options.; Candidate has strong hands-on experience in MERN stack and relational databases.</t>
        </is>
      </c>
      <c r="AA105" t="inlineStr">
        <is>
          <t>ELIGIBLE</t>
        </is>
      </c>
      <c r="AB105" t="inlineStr">
        <is>
          <t>The role matches the candidate's primary target role of Full Stack Developer Intern.; Remote work mode is supported, which aligns with candidate location preferences.</t>
        </is>
      </c>
      <c r="AC105" t="inlineStr">
        <is>
          <t>UNKNOWN</t>
        </is>
      </c>
      <c r="AD105" t="inlineStr">
        <is>
          <t>Exact start date requirements are not specified in the job description.</t>
        </is>
      </c>
      <c r="AE105" t="inlineStr">
        <is>
          <t>UNKNOWN</t>
        </is>
      </c>
      <c r="AF105" t="n">
        <v>0</v>
      </c>
      <c r="AG105" t="inlineStr">
        <is>
          <t>No</t>
        </is>
      </c>
      <c r="AH105" t="inlineStr">
        <is>
          <t>NO</t>
        </is>
      </c>
      <c r="AI105" t="inlineStr">
        <is>
          <t>No mention of conversion or PPO in the job description.</t>
        </is>
      </c>
      <c r="AK105" t="inlineStr">
        <is>
          <t>Stipend is not disclosed.</t>
        </is>
      </c>
      <c r="AL105" t="inlineStr">
        <is>
          <t>Full stack development fundamentals; Previous full stack internship experience; API development and bug fixing workflow</t>
        </is>
      </c>
    </row>
    <row r="106">
      <c r="A106" t="inlineStr">
        <is>
          <t>CYPHEROCK-261002-105</t>
        </is>
      </c>
      <c r="B106" t="inlineStr">
        <is>
          <t>Cypherock</t>
        </is>
      </c>
      <c r="C106" t="inlineStr">
        <is>
          <t>Full Stack Developer Intern</t>
        </is>
      </c>
      <c r="D106" t="inlineStr">
        <is>
          <t>https://www.adzuna.in/details/2883808203?utm_medium=api&amp;utm_source=5ccdc27f</t>
        </is>
      </c>
      <c r="E106" t="inlineStr">
        <is>
          <t>AI Analyzer</t>
        </is>
      </c>
      <c r="F106" t="inlineStr">
        <is>
          <t>Delhi, India</t>
        </is>
      </c>
      <c r="G106" t="inlineStr">
        <is>
          <t>On-site</t>
        </is>
      </c>
      <c r="H106" t="inlineStr">
        <is>
          <t>Not specified</t>
        </is>
      </c>
      <c r="I106" t="inlineStr">
        <is>
          <t>Not specified</t>
        </is>
      </c>
      <c r="J106" t="inlineStr">
        <is>
          <t>NOT_MENTIONED</t>
        </is>
      </c>
      <c r="K106" t="inlineStr">
        <is>
          <t>Full Stack Development</t>
        </is>
      </c>
      <c r="L106" t="inlineStr">
        <is>
          <t>Blockchain; Security; Embedded Hardware; Cryptography</t>
        </is>
      </c>
      <c r="M106" t="inlineStr">
        <is>
          <t>At Cypherock, We are disrupting the current financial system by increasing the adoption of Blockchain-based digital assets through better key management solutions. We build "Worlds' first products" from India, work at the intersection of Blockchain, Security, Embedded Hardware and Cryptography, and have worked with companies like Google, Blockgeeks, Samsung, Lockheed Martin, Apollo Munich, Bank of America amongst others. As the primary person responsible for everything Blockchain in the company…</t>
        </is>
      </c>
      <c r="N106" t="n">
        <v>50</v>
      </c>
      <c r="O106" t="n">
        <v>50</v>
      </c>
      <c r="P106" t="n">
        <v>60</v>
      </c>
      <c r="Q106" t="n">
        <v>80</v>
      </c>
      <c r="R106" t="n">
        <v>30</v>
      </c>
      <c r="S106" t="n">
        <v>20</v>
      </c>
      <c r="T106" t="n">
        <v>50</v>
      </c>
      <c r="U106" t="inlineStr">
        <is>
          <t>SKIP</t>
        </is>
      </c>
      <c r="V106" t="inlineStr">
        <is>
          <t>SKIP</t>
        </is>
      </c>
      <c r="W106" t="inlineStr">
        <is>
          <t>Blockchain; Cryptography</t>
        </is>
      </c>
      <c r="X106" t="inlineStr">
        <is>
          <t>Amaanuddin_Ahmed_Resume.pdf</t>
        </is>
      </c>
      <c r="Y106" t="inlineStr">
        <is>
          <t>2026-10-02</t>
        </is>
      </c>
      <c r="Z106" t="inlineStr">
        <is>
          <t>Matches the Full Stack Developer Intern target role.</t>
        </is>
      </c>
      <c r="AA106" t="inlineStr">
        <is>
          <t>ELIGIBLE</t>
        </is>
      </c>
      <c r="AB106" t="inlineStr">
        <is>
          <t>No explicit degree or graduation year hard blockers mentioned in the short JD snippet.; Role matches candidate target roles.</t>
        </is>
      </c>
      <c r="AC106" t="inlineStr">
        <is>
          <t>UNKNOWN</t>
        </is>
      </c>
      <c r="AD106" t="inlineStr">
        <is>
          <t>Candidate availability timeline not specified relative to the start date.</t>
        </is>
      </c>
      <c r="AE106" t="inlineStr">
        <is>
          <t>UNKNOWN</t>
        </is>
      </c>
      <c r="AF106" t="n">
        <v>0</v>
      </c>
      <c r="AG106" t="inlineStr">
        <is>
          <t>No</t>
        </is>
      </c>
      <c r="AH106" t="inlineStr">
        <is>
          <t>NOT_MENTIONED</t>
        </is>
      </c>
      <c r="AI106" t="inlineStr">
        <is>
          <t>No mention of PPO or conversion in the job description snippet.</t>
        </is>
      </c>
      <c r="AK106" t="inlineStr">
        <is>
          <t>Location is Delhi, India while candidate prefers Bengaluru.; Stipend is completely unspecified.; Job description is very brief and lacks specific technology stack details.</t>
        </is>
      </c>
      <c r="AL106" t="inlineStr">
        <is>
          <t>Full stack web development architecture; Experience with distributed systems or security basics; Project lifecycle and deployment</t>
        </is>
      </c>
    </row>
    <row r="107">
      <c r="A107" t="inlineStr">
        <is>
          <t>TECHOLUTION--261002-106</t>
        </is>
      </c>
      <c r="B107" t="inlineStr">
        <is>
          <t>Techolution India Private Limited</t>
        </is>
      </c>
      <c r="C107" t="inlineStr">
        <is>
          <t>Full Stack Developer- Intern</t>
        </is>
      </c>
      <c r="D107" t="inlineStr">
        <is>
          <t>https://www.adzuna.in/details/5857747993?utm_medium=api&amp;utm_source=5ccdc27f</t>
        </is>
      </c>
      <c r="E107" t="inlineStr">
        <is>
          <t>AI Analyzer</t>
        </is>
      </c>
      <c r="F107" t="inlineStr">
        <is>
          <t>Hyderabad, Telangana</t>
        </is>
      </c>
      <c r="G107" t="inlineStr">
        <is>
          <t>Unknown</t>
        </is>
      </c>
      <c r="H107" t="inlineStr">
        <is>
          <t>Not specified</t>
        </is>
      </c>
      <c r="I107" t="inlineStr">
        <is>
          <t>Unknown</t>
        </is>
      </c>
      <c r="J107" t="inlineStr">
        <is>
          <t>Not Mentioned</t>
        </is>
      </c>
      <c r="K107" t="inlineStr">
        <is>
          <t>HTML; CSS; JavaScript; Node.js; MongoDB; React</t>
        </is>
      </c>
      <c r="M107" t="inlineStr">
        <is>
          <t>Develop responsive and user-friendly web applications using HTML , CSS , and JavaScript , ensuring seamless cross-browser compatibility and optimal performance Collaborate with senior developers to implement robust backend functionality using Node.js and MongoDB , focusing on scalable and efficient database operations Create dynamic and interactive user interfaces with React , incorporating modern design principles and state management techniques Participate in code reviews, providing construct…</t>
        </is>
      </c>
      <c r="N107" t="n">
        <v>77</v>
      </c>
      <c r="O107" t="n">
        <v>95</v>
      </c>
      <c r="P107" t="n">
        <v>90</v>
      </c>
      <c r="Q107" t="n">
        <v>95</v>
      </c>
      <c r="R107" t="n">
        <v>40</v>
      </c>
      <c r="S107" t="n">
        <v>40</v>
      </c>
      <c r="T107" t="n">
        <v>60</v>
      </c>
      <c r="U107" t="inlineStr">
        <is>
          <t>CONSIDER</t>
        </is>
      </c>
      <c r="V107" t="inlineStr">
        <is>
          <t>CONSIDER</t>
        </is>
      </c>
      <c r="X107" t="inlineStr">
        <is>
          <t>Standard Full Stack / MERN Resume</t>
        </is>
      </c>
      <c r="Y107" t="inlineStr">
        <is>
          <t>2026-10-02</t>
        </is>
      </c>
      <c r="Z107" t="inlineStr">
        <is>
          <t>The tech stack (HTML, CSS, JavaScript, React, Node.js, MongoDB) is an exact match for demonstrated skills.; Strong experience fit with MERN stack projects like StaySphere and Zenvest as well as professional internship experience.</t>
        </is>
      </c>
      <c r="AA107" t="inlineStr">
        <is>
          <t>Eligible</t>
        </is>
      </c>
      <c r="AB107" t="inlineStr">
        <is>
          <t>Role matches primary and secondary targets for internships; No degree or graduation year hard blockers mentioned in the short JD snippet</t>
        </is>
      </c>
      <c r="AC107" t="inlineStr">
        <is>
          <t>Unknown</t>
        </is>
      </c>
      <c r="AD107" t="inlineStr">
        <is>
          <t>Availability not explicitly specified in the candidate profile for this specific date</t>
        </is>
      </c>
      <c r="AE107" t="inlineStr">
        <is>
          <t>UNKNOWN</t>
        </is>
      </c>
      <c r="AF107" t="n">
        <v>0</v>
      </c>
      <c r="AG107" t="inlineStr">
        <is>
          <t>No</t>
        </is>
      </c>
      <c r="AH107" t="inlineStr">
        <is>
          <t>Not Mentioned</t>
        </is>
      </c>
      <c r="AI107" t="inlineStr">
        <is>
          <t>No mention of PPO or permanent conversion in the provided job description snippet.</t>
        </is>
      </c>
      <c r="AK107" t="inlineStr">
        <is>
          <t>Location is Hyderabad, whereas candidate prefers Bengaluru; Stipend is completely undisclosed; PPO information is missing</t>
        </is>
      </c>
      <c r="AL107" t="inlineStr">
        <is>
          <t>React state management techniques and component lifecycles; Node.js and MongoDB backend scalability and aggregation pipelines; Cross-browser compatibility best practices in HTML/CSS/JavaScript</t>
        </is>
      </c>
    </row>
    <row r="108">
      <c r="A108" t="inlineStr">
        <is>
          <t>STATNETICS-(-261002-107</t>
        </is>
      </c>
      <c r="B108" t="inlineStr">
        <is>
          <t>statnetics (CloudQA)</t>
        </is>
      </c>
      <c r="C108" t="inlineStr">
        <is>
          <t>Junior Full Stack Developer- Internship</t>
        </is>
      </c>
      <c r="D108" t="inlineStr">
        <is>
          <t>https://www.adzuna.in/details/2044154319?utm_medium=api&amp;utm_source=5ccdc27f</t>
        </is>
      </c>
      <c r="E108" t="inlineStr">
        <is>
          <t>AI Analyzer</t>
        </is>
      </c>
      <c r="F108" t="inlineStr">
        <is>
          <t>Hyderabad, Telangana</t>
        </is>
      </c>
      <c r="G108" t="inlineStr">
        <is>
          <t>Unknown</t>
        </is>
      </c>
      <c r="H108" t="inlineStr">
        <is>
          <t>Not specified</t>
        </is>
      </c>
      <c r="I108" t="inlineStr">
        <is>
          <t>Unknown</t>
        </is>
      </c>
      <c r="J108" t="inlineStr">
        <is>
          <t>Not Mentioned</t>
        </is>
      </c>
      <c r="K108" t="inlineStr">
        <is>
          <t>Front-end development; Back-end development</t>
        </is>
      </c>
      <c r="M108" t="inlineStr">
        <is>
          <t>CloudQA is a bootstrapped SaaS startup based out of Hyderabad. Our web application testing tools have helped companies ensure their customers get the best digital experiences. You would be working on a world class product in a technically strong team competing with ex-google teams and silicon valley startups. CloudQA is used by some of the leading enterprises, govt institutions and rising startups across the world.We seek a strong technical background in both front-end and back-end development.…</t>
        </is>
      </c>
      <c r="N108" t="n">
        <v>66</v>
      </c>
      <c r="O108" t="n">
        <v>75</v>
      </c>
      <c r="P108" t="n">
        <v>80</v>
      </c>
      <c r="Q108" t="n">
        <v>80</v>
      </c>
      <c r="R108" t="n">
        <v>40</v>
      </c>
      <c r="S108" t="n">
        <v>30</v>
      </c>
      <c r="T108" t="n">
        <v>60</v>
      </c>
      <c r="U108" t="inlineStr">
        <is>
          <t>STRETCH</t>
        </is>
      </c>
      <c r="V108" t="inlineStr">
        <is>
          <t>STRETCH</t>
        </is>
      </c>
      <c r="X108" t="inlineStr">
        <is>
          <t>Standard Full Stack Resume</t>
        </is>
      </c>
      <c r="Y108" t="inlineStr">
        <is>
          <t>2026-10-02</t>
        </is>
      </c>
      <c r="Z108" t="inlineStr">
        <is>
          <t>Matches the Full Stack Developer Intern target role.; Good opportunity to work in a SaaS startup environment.</t>
        </is>
      </c>
      <c r="AA108" t="inlineStr">
        <is>
          <t>Eligible</t>
        </is>
      </c>
      <c r="AB108" t="inlineStr">
        <is>
          <t>Candidate is an MCA student matching the full stack developer internship criteria.</t>
        </is>
      </c>
      <c r="AC108" t="inlineStr">
        <is>
          <t>Unknown</t>
        </is>
      </c>
      <c r="AD108" t="inlineStr">
        <is>
          <t>Not specified in candidate profile or career brain.</t>
        </is>
      </c>
      <c r="AE108" t="inlineStr">
        <is>
          <t>UNKNOWN</t>
        </is>
      </c>
      <c r="AF108" t="n">
        <v>0</v>
      </c>
      <c r="AG108" t="inlineStr">
        <is>
          <t>No</t>
        </is>
      </c>
      <c r="AH108" t="inlineStr">
        <is>
          <t>Not Mentioned</t>
        </is>
      </c>
      <c r="AI108" t="inlineStr">
        <is>
          <t>The job description does not mention PPO or conversion opportunities.</t>
        </is>
      </c>
      <c r="AK108" t="inlineStr">
        <is>
          <t>Location is Hyderabad, whereas candidate prefers Bengaluru.; Stipend is completely unknown.; PPO not mentioned.</t>
        </is>
      </c>
      <c r="AL108" t="inlineStr">
        <is>
          <t>Full-stack architecture; Front-end and back-end integration; Problem-solving and SaaS product development</t>
        </is>
      </c>
    </row>
    <row r="109">
      <c r="A109" t="inlineStr">
        <is>
          <t>TRANSFI-261002-108</t>
        </is>
      </c>
      <c r="B109" t="inlineStr">
        <is>
          <t>TransFi</t>
        </is>
      </c>
      <c r="C109" t="inlineStr">
        <is>
          <t>MERN Full Stack Developer Intern</t>
        </is>
      </c>
      <c r="D109" t="inlineStr">
        <is>
          <t>https://www.adzuna.in/details/4476844222?utm_medium=api&amp;utm_source=5ccdc27f</t>
        </is>
      </c>
      <c r="E109" t="inlineStr">
        <is>
          <t>AI Analyzer</t>
        </is>
      </c>
      <c r="F109" t="inlineStr">
        <is>
          <t>Mysore, Karnataka</t>
        </is>
      </c>
      <c r="G109" t="inlineStr">
        <is>
          <t>On-site</t>
        </is>
      </c>
      <c r="H109" t="inlineStr">
        <is>
          <t>Not specified</t>
        </is>
      </c>
      <c r="I109" t="inlineStr">
        <is>
          <t>Not specified</t>
        </is>
      </c>
      <c r="J109" t="inlineStr">
        <is>
          <t>UNKNOWN</t>
        </is>
      </c>
      <c r="K109" t="inlineStr">
        <is>
          <t>JavaScript; Node.js; Express.js; MongoDB; React.js; REST APIs</t>
        </is>
      </c>
      <c r="L109" t="inlineStr">
        <is>
          <t>Unit Testing; Integration Testing</t>
        </is>
      </c>
      <c r="M109" t="inlineStr">
        <is>
          <t>Binding of UI elements to JavaScript object models Creating RESTful services with Node.js MERN stack developer must have proven experience in front &amp; back-end development Work in a cross-functional team to deliver a complete user experience Developer must expertise into MongoDB, Express, Node.js, &amp; React. Create Unit and Integration tests to ensure the quality of code MERN full stack developer must have the ability to wear many hats and learn new technologies quickly Understanding &amp; proficiency…</t>
        </is>
      </c>
      <c r="N109" t="n">
        <v>76</v>
      </c>
      <c r="O109" t="n">
        <v>90</v>
      </c>
      <c r="P109" t="n">
        <v>85</v>
      </c>
      <c r="Q109" t="n">
        <v>95</v>
      </c>
      <c r="R109" t="n">
        <v>50</v>
      </c>
      <c r="S109" t="n">
        <v>40</v>
      </c>
      <c r="T109" t="n">
        <v>60</v>
      </c>
      <c r="U109" t="inlineStr">
        <is>
          <t>CONSIDER</t>
        </is>
      </c>
      <c r="V109" t="inlineStr">
        <is>
          <t>CONSIDER</t>
        </is>
      </c>
      <c r="W109" t="inlineStr">
        <is>
          <t>Unit Testing; Integration Testing</t>
        </is>
      </c>
      <c r="X109" t="inlineStr">
        <is>
          <t>Primary MERN / Full Stack Resume</t>
        </is>
      </c>
      <c r="Y109" t="inlineStr">
        <is>
          <t>2026-10-02</t>
        </is>
      </c>
      <c r="Z109" t="inlineStr">
        <is>
          <t>Direct technical match for MERN Stack Developer Intern role.; Strong project and internship experience in Node.js, Express, MongoDB, and React/Angular.</t>
        </is>
      </c>
      <c r="AA109" t="inlineStr">
        <is>
          <t>ELIGIBLE</t>
        </is>
      </c>
      <c r="AB109" t="inlineStr">
        <is>
          <t>Candidate profile aligns with MERN stack developer intern roles.; No strict degree or graduation year hard blockers mentioned in the description.</t>
        </is>
      </c>
      <c r="AC109" t="inlineStr">
        <is>
          <t>UNKNOWN</t>
        </is>
      </c>
      <c r="AD109" t="inlineStr">
        <is>
          <t>Exact start and end availability dates not specified in the job description.</t>
        </is>
      </c>
      <c r="AE109" t="inlineStr">
        <is>
          <t>UNKNOWN</t>
        </is>
      </c>
      <c r="AF109" t="n">
        <v>0</v>
      </c>
      <c r="AG109" t="inlineStr">
        <is>
          <t>No</t>
        </is>
      </c>
      <c r="AH109" t="inlineStr">
        <is>
          <t>UNKNOWN</t>
        </is>
      </c>
      <c r="AI109" t="inlineStr">
        <is>
          <t>No explicit mention of PPO or conversion opportunities in the short description.</t>
        </is>
      </c>
      <c r="AK109" t="inlineStr">
        <is>
          <t>Location is Mysore, Karnataka while candidate prefers Bengaluru or remote.; Stipend is completely undisclosed.</t>
        </is>
      </c>
      <c r="AL109" t="inlineStr">
        <is>
          <t>Building RESTful services with Node.js and Express; State management and UI binding in React; MongoDB schema design and database optimization; Writing unit and integration tests for full stack applications</t>
        </is>
      </c>
    </row>
    <row r="110">
      <c r="A110" t="inlineStr">
        <is>
          <t>KEYSHADE-261002-109</t>
        </is>
      </c>
      <c r="B110" t="inlineStr">
        <is>
          <t>keyshade</t>
        </is>
      </c>
      <c r="C110" t="inlineStr">
        <is>
          <t>Full-Stack Developer Intern</t>
        </is>
      </c>
      <c r="D110" t="inlineStr">
        <is>
          <t>https://www.adzuna.in/details/5006488241?utm_medium=api&amp;utm_source=5ccdc27f</t>
        </is>
      </c>
      <c r="E110" t="inlineStr">
        <is>
          <t>AI Analyzer</t>
        </is>
      </c>
      <c r="F110" t="inlineStr">
        <is>
          <t>India</t>
        </is>
      </c>
      <c r="G110" t="inlineStr">
        <is>
          <t>Remote</t>
        </is>
      </c>
      <c r="I110" t="inlineStr">
        <is>
          <t>Not specified</t>
        </is>
      </c>
      <c r="J110" t="inlineStr">
        <is>
          <t>Not Mentioned</t>
        </is>
      </c>
      <c r="K110" t="inlineStr">
        <is>
          <t>Full Stack Development; GitHub contribution</t>
        </is>
      </c>
      <c r="M110" t="inlineStr">
        <is>
          <t>Due to the high volume of applicants, we are only able to interview candidates who have actively contributed to Keyshade by attempting at least one of our GitHub (https://git.new/keyshade) issues. It’s okay if your PR doesn’t get merged—we are looking for genuine effort. Please include your GitHub username in the question section of this job post. We’re looking for a talented Full Stack Intern who thrives in a collaborative, fast-paced environment (but without the hustle culture). You’ll work o…</t>
        </is>
      </c>
      <c r="N110" t="n">
        <v>62</v>
      </c>
      <c r="O110" t="n">
        <v>75</v>
      </c>
      <c r="P110" t="n">
        <v>80</v>
      </c>
      <c r="Q110" t="n">
        <v>80</v>
      </c>
      <c r="R110" t="n">
        <v>40</v>
      </c>
      <c r="S110" t="n">
        <v>0</v>
      </c>
      <c r="T110" t="n">
        <v>50</v>
      </c>
      <c r="U110" t="inlineStr">
        <is>
          <t>SKIP</t>
        </is>
      </c>
      <c r="V110" t="inlineStr">
        <is>
          <t>SKIP</t>
        </is>
      </c>
      <c r="X110" t="inlineStr">
        <is>
          <t>Amaanuddin_Ahmed_Resume_Full_Stack.pdf</t>
        </is>
      </c>
      <c r="Y110" t="inlineStr">
        <is>
          <t>2026-10-02</t>
        </is>
      </c>
      <c r="Z110" t="inlineStr">
        <is>
          <t>Aligns with Full Stack Developer Intern target role.; Matches candidate's tech stack experience.</t>
        </is>
      </c>
      <c r="AA110" t="inlineStr">
        <is>
          <t>Eligible</t>
        </is>
      </c>
      <c r="AC110" t="inlineStr">
        <is>
          <t>Unknown</t>
        </is>
      </c>
      <c r="AD110" t="inlineStr">
        <is>
          <t>Not specified in candidate profile.</t>
        </is>
      </c>
      <c r="AE110" t="inlineStr">
        <is>
          <t>UNKNOWN</t>
        </is>
      </c>
      <c r="AF110" t="n">
        <v>0</v>
      </c>
      <c r="AG110" t="inlineStr">
        <is>
          <t>No</t>
        </is>
      </c>
      <c r="AH110" t="inlineStr">
        <is>
          <t>Not Mentioned</t>
        </is>
      </c>
      <c r="AI110" t="inlineStr">
        <is>
          <t>No mention of PPO or conversion in the short job description snippet.</t>
        </is>
      </c>
      <c r="AJ110" t="inlineStr">
        <is>
          <t>Requires active contribution to Keyshade by attempting at least one GitHub issue</t>
        </is>
      </c>
      <c r="AK110" t="inlineStr">
        <is>
          <t>Mandatory pre-application GitHub issue contribution required before being considered for interview.</t>
        </is>
      </c>
      <c r="AL110" t="inlineStr">
        <is>
          <t>Previous full stack project contributions; GitHub issue resolution approach</t>
        </is>
      </c>
    </row>
    <row r="111">
      <c r="A111" t="inlineStr">
        <is>
          <t>GETA-AI-LABS-261002-110</t>
        </is>
      </c>
      <c r="B111" t="inlineStr">
        <is>
          <t>Geta AI Labs Pvt Ltd</t>
        </is>
      </c>
      <c r="C111" t="inlineStr">
        <is>
          <t>Full Stack Development Intern (MERN Python)</t>
        </is>
      </c>
      <c r="D111" t="inlineStr">
        <is>
          <t>https://www.adzuna.in/details/5876449427?utm_medium=api&amp;utm_source=5ccdc27f</t>
        </is>
      </c>
      <c r="E111" t="inlineStr">
        <is>
          <t>AI Analyzer</t>
        </is>
      </c>
      <c r="F111" t="inlineStr">
        <is>
          <t>Pune, Maharashtra</t>
        </is>
      </c>
      <c r="G111" t="inlineStr">
        <is>
          <t>On-site</t>
        </is>
      </c>
      <c r="H111" t="inlineStr">
        <is>
          <t>Not specified</t>
        </is>
      </c>
      <c r="I111" t="inlineStr">
        <is>
          <t>Not specified</t>
        </is>
      </c>
      <c r="J111" t="inlineStr">
        <is>
          <t>NOT_MENTIONED</t>
        </is>
      </c>
      <c r="K111" t="inlineStr">
        <is>
          <t>MERN Stack; Python</t>
        </is>
      </c>
      <c r="M111" t="inlineStr">
        <is>
          <t>We are looking for a highly motivated and curious Full Stack Development Intern to join our engineering team. In this role, you will gain hands-on experience building scalable web applications and backend services. You will work across the entire stack, utilizing MERN technologies alongside Python to solve real-world problems. This is an excellent opportunity to learn from experienced developers, write production-level code, and kickstart your career in software engineering. Key Responsibilitie…</t>
        </is>
      </c>
      <c r="N111" t="n">
        <v>53</v>
      </c>
      <c r="O111" t="n">
        <v>70</v>
      </c>
      <c r="P111" t="n">
        <v>80</v>
      </c>
      <c r="Q111" t="n">
        <v>75</v>
      </c>
      <c r="R111" t="n">
        <v>0</v>
      </c>
      <c r="S111" t="n">
        <v>0</v>
      </c>
      <c r="T111" t="n">
        <v>50</v>
      </c>
      <c r="U111" t="inlineStr">
        <is>
          <t>SKIP</t>
        </is>
      </c>
      <c r="V111" t="inlineStr">
        <is>
          <t>SKIP</t>
        </is>
      </c>
      <c r="W111" t="inlineStr">
        <is>
          <t>Python</t>
        </is>
      </c>
      <c r="X111" t="inlineStr">
        <is>
          <t>Default Full Stack / MERN Resume</t>
        </is>
      </c>
      <c r="Y111" t="inlineStr">
        <is>
          <t>2026-10-02</t>
        </is>
      </c>
      <c r="Z111" t="inlineStr">
        <is>
          <t>Aligns with primary target roles for Full Stack internships.</t>
        </is>
      </c>
      <c r="AA111" t="inlineStr">
        <is>
          <t>BLOCKED</t>
        </is>
      </c>
      <c r="AB111" t="inlineStr">
        <is>
          <t>Job location is Pune, Maharashtra, while candidate preferred locations are Bengaluru or remote.</t>
        </is>
      </c>
      <c r="AC111" t="inlineStr">
        <is>
          <t>UNKNOWN</t>
        </is>
      </c>
      <c r="AD111" t="inlineStr">
        <is>
          <t>Candidate availability relative to start date is not specified in the career brain.</t>
        </is>
      </c>
      <c r="AE111" t="inlineStr">
        <is>
          <t>UNKNOWN</t>
        </is>
      </c>
      <c r="AF111" t="n">
        <v>0</v>
      </c>
      <c r="AG111" t="inlineStr">
        <is>
          <t>No</t>
        </is>
      </c>
      <c r="AH111" t="inlineStr">
        <is>
          <t>NOT_MENTIONED</t>
        </is>
      </c>
      <c r="AI111" t="inlineStr">
        <is>
          <t>The job description does not mention PPO or conversion to full-time.</t>
        </is>
      </c>
      <c r="AJ111" t="inlineStr">
        <is>
          <t>Location mismatch: Pune, Maharashtra vs Preferred Bengaluru/Remote</t>
        </is>
      </c>
      <c r="AK111" t="inlineStr">
        <is>
          <t>Unknown stipend; No PPO mentioned; Location mismatch</t>
        </is>
      </c>
      <c r="AL111" t="inlineStr">
        <is>
          <t>MERN stack architecture; Python backend integration with Node/Express; REST API development</t>
        </is>
      </c>
    </row>
    <row r="112">
      <c r="A112" t="inlineStr">
        <is>
          <t>GURURO-261002-111</t>
        </is>
      </c>
      <c r="B112" t="inlineStr">
        <is>
          <t>Gururo</t>
        </is>
      </c>
      <c r="C112" t="inlineStr">
        <is>
          <t>Full Stack Developer – Intern/Fresher/Experienced</t>
        </is>
      </c>
      <c r="D112" t="inlineStr">
        <is>
          <t>https://www.adzuna.in/details/5409733921?utm_medium=api&amp;utm_source=5ccdc27f</t>
        </is>
      </c>
      <c r="E112" t="inlineStr">
        <is>
          <t>AI Analyzer</t>
        </is>
      </c>
      <c r="F112" t="inlineStr">
        <is>
          <t>Vadodara, Gujarat</t>
        </is>
      </c>
      <c r="G112" t="inlineStr">
        <is>
          <t>Unknown</t>
        </is>
      </c>
      <c r="H112" t="inlineStr">
        <is>
          <t>Based on experience and role</t>
        </is>
      </c>
      <c r="I112" t="inlineStr">
        <is>
          <t>Minimum 3 months</t>
        </is>
      </c>
      <c r="J112" t="inlineStr">
        <is>
          <t>NOT_MENTIONED</t>
        </is>
      </c>
      <c r="K112" t="inlineStr">
        <is>
          <t>Full Stack Development</t>
        </is>
      </c>
      <c r="M112" t="inlineStr">
        <is>
          <t>Location: Vadodara Type: Full-time / Internship Duration (for interns): Minimum 3 months Stipend/CTC: Based on experience and role About Gururo Gururo is an industry leader in practical, career-transforming education. With a mission to empower professionals and students through real-world skills, we specialize in project management, leadership development, and emerging technologies. Join our fast-paced, mission-driven team and help build scalable, intelligent platforms that impact thousands glo…</t>
        </is>
      </c>
      <c r="N112" t="n">
        <v>69</v>
      </c>
      <c r="O112" t="n">
        <v>80</v>
      </c>
      <c r="P112" t="n">
        <v>85</v>
      </c>
      <c r="Q112" t="n">
        <v>80</v>
      </c>
      <c r="R112" t="n">
        <v>40</v>
      </c>
      <c r="S112" t="n">
        <v>40</v>
      </c>
      <c r="T112" t="n">
        <v>60</v>
      </c>
      <c r="U112" t="inlineStr">
        <is>
          <t>STRETCH</t>
        </is>
      </c>
      <c r="V112" t="inlineStr">
        <is>
          <t>STRETCH</t>
        </is>
      </c>
      <c r="X112" t="inlineStr">
        <is>
          <t>Standard Full Stack Resume</t>
        </is>
      </c>
      <c r="Y112" t="inlineStr">
        <is>
          <t>2026-10-02</t>
        </is>
      </c>
      <c r="Z112" t="inlineStr">
        <is>
          <t>Matches target Full Stack Developer Intern role; Open to interns and freshers</t>
        </is>
      </c>
      <c r="AA112" t="inlineStr">
        <is>
          <t>ELIGIBLE</t>
        </is>
      </c>
      <c r="AB112" t="inlineStr">
        <is>
          <t>Open to interns and freshers</t>
        </is>
      </c>
      <c r="AC112" t="inlineStr">
        <is>
          <t>UNKNOWN</t>
        </is>
      </c>
      <c r="AD112" t="inlineStr">
        <is>
          <t>Start date not specified</t>
        </is>
      </c>
      <c r="AE112" t="inlineStr">
        <is>
          <t>UNKNOWN</t>
        </is>
      </c>
      <c r="AF112" t="n">
        <v>0</v>
      </c>
      <c r="AG112" t="inlineStr">
        <is>
          <t>No</t>
        </is>
      </c>
      <c r="AH112" t="inlineStr">
        <is>
          <t>NOT_MENTIONED</t>
        </is>
      </c>
      <c r="AI112" t="inlineStr">
        <is>
          <t>No conversion or PPO mentioned in the job description.</t>
        </is>
      </c>
      <c r="AK112" t="inlineStr">
        <is>
          <t>Location is Vadodara, Gujarat while candidate prefers Bengaluru or remote; Stipend is undisclosed</t>
        </is>
      </c>
      <c r="AL112" t="inlineStr">
        <is>
          <t>Full stack system design and development workflow; Previous full stack internship experience; Handling end-to-end web deployment</t>
        </is>
      </c>
    </row>
    <row r="113">
      <c r="A113" t="inlineStr">
        <is>
          <t>SOFTTECHOVER-261002-112</t>
        </is>
      </c>
      <c r="B113" t="inlineStr">
        <is>
          <t>Softtechover</t>
        </is>
      </c>
      <c r="C113" t="inlineStr">
        <is>
          <t>PHP/Laravel/Vue/React &amp; Full-Stack Developer Intern</t>
        </is>
      </c>
      <c r="D113" t="inlineStr">
        <is>
          <t>https://www.adzuna.in/details/5905434316?utm_medium=api&amp;utm_source=5ccdc27f</t>
        </is>
      </c>
      <c r="E113" t="inlineStr">
        <is>
          <t>AI Analyzer</t>
        </is>
      </c>
      <c r="F113" t="inlineStr">
        <is>
          <t>Bhavnagar, Gujarat</t>
        </is>
      </c>
      <c r="G113" t="inlineStr">
        <is>
          <t>On-site</t>
        </is>
      </c>
      <c r="I113" t="inlineStr">
        <is>
          <t>6 months</t>
        </is>
      </c>
      <c r="J113" t="inlineStr">
        <is>
          <t>Not Mentioned</t>
        </is>
      </c>
      <c r="K113" t="inlineStr">
        <is>
          <t>PHP; Laravel; Vue.js; React.js</t>
        </is>
      </c>
      <c r="L113" t="inlineStr">
        <is>
          <t>Next.js; Android App Development; iOS App Development; Flutter; React Native</t>
        </is>
      </c>
      <c r="M113" t="inlineStr">
        <is>
          <t>Laravel Development PHP Development Ecommerce Development Customized Web Development VueJs Development NextJs Development ReactJs Development Android App Development iOS App Development Flutter App Development React Native App Development Web Redesigning We are looking for motivated and passionate freshers who want to start their career in Web and Full-Stack Development. This is a 6-month practical internship program where you will learn the fundamentals of modern web development and work with …</t>
        </is>
      </c>
      <c r="N113" t="n">
        <v>35</v>
      </c>
      <c r="O113" t="n">
        <v>40</v>
      </c>
      <c r="P113" t="n">
        <v>50</v>
      </c>
      <c r="Q113" t="n">
        <v>60</v>
      </c>
      <c r="R113" t="n">
        <v>0</v>
      </c>
      <c r="S113" t="n">
        <v>0</v>
      </c>
      <c r="T113" t="n">
        <v>40</v>
      </c>
      <c r="U113" t="inlineStr">
        <is>
          <t>SKIP</t>
        </is>
      </c>
      <c r="V113" t="inlineStr">
        <is>
          <t>SKIP</t>
        </is>
      </c>
      <c r="W113" t="inlineStr">
        <is>
          <t>PHP; Laravel; Vue.js; Next.js</t>
        </is>
      </c>
      <c r="X113" t="inlineStr">
        <is>
          <t>Amaanuddin_Ahmed_Resume_FullStack.pdf</t>
        </is>
      </c>
      <c r="Y113" t="inlineStr">
        <is>
          <t>2026-10-02</t>
        </is>
      </c>
      <c r="Z113" t="inlineStr">
        <is>
          <t>It is a full-stack developer internship position</t>
        </is>
      </c>
      <c r="AA113" t="inlineStr">
        <is>
          <t>Eligible</t>
        </is>
      </c>
      <c r="AB113" t="inlineStr">
        <is>
          <t>Target role matches full stack development intern profile</t>
        </is>
      </c>
      <c r="AC113" t="inlineStr">
        <is>
          <t>Unknown</t>
        </is>
      </c>
      <c r="AD113" t="inlineStr">
        <is>
          <t>Not specified in the job description</t>
        </is>
      </c>
      <c r="AE113" t="inlineStr">
        <is>
          <t>UNKNOWN</t>
        </is>
      </c>
      <c r="AF113" t="n">
        <v>0</v>
      </c>
      <c r="AG113" t="inlineStr">
        <is>
          <t>No</t>
        </is>
      </c>
      <c r="AH113" t="inlineStr">
        <is>
          <t>Not Mentioned</t>
        </is>
      </c>
      <c r="AI113" t="inlineStr">
        <is>
          <t>No mention of PPO or conversion in the job description.</t>
        </is>
      </c>
      <c r="AK113" t="inlineStr">
        <is>
          <t>Location is Bhavnagar, Gujarat while candidate prefers Bengaluru or remote; Stipend is unknown; Requires PHP and Laravel which are not core demonstrated skills</t>
        </is>
      </c>
      <c r="AL113" t="inlineStr">
        <is>
          <t>PHP and Laravel fundamentals; Vue.js vs React.js experience; Full-stack development workflow</t>
        </is>
      </c>
    </row>
    <row r="114">
      <c r="A114" t="inlineStr">
        <is>
          <t>WORQL-261002-113</t>
        </is>
      </c>
      <c r="B114" t="inlineStr">
        <is>
          <t>Worql</t>
        </is>
      </c>
      <c r="C114" t="inlineStr">
        <is>
          <t>Full-Stack Developer Intern</t>
        </is>
      </c>
      <c r="D114" t="inlineStr">
        <is>
          <t>https://www.adzuna.in/details/5795401527?utm_medium=api&amp;utm_source=5ccdc27f</t>
        </is>
      </c>
      <c r="E114" t="inlineStr">
        <is>
          <t>AI Analyzer</t>
        </is>
      </c>
      <c r="F114" t="inlineStr">
        <is>
          <t>India</t>
        </is>
      </c>
      <c r="G114" t="inlineStr">
        <is>
          <t>remote</t>
        </is>
      </c>
      <c r="H114" t="inlineStr">
        <is>
          <t>Not specified</t>
        </is>
      </c>
      <c r="I114" t="inlineStr">
        <is>
          <t>Not specified</t>
        </is>
      </c>
      <c r="J114" t="inlineStr">
        <is>
          <t>UNKNOWN</t>
        </is>
      </c>
      <c r="K114" t="inlineStr">
        <is>
          <t>Next.js; TypeScript</t>
        </is>
      </c>
      <c r="L114" t="inlineStr">
        <is>
          <t>LLM; GitHub</t>
        </is>
      </c>
      <c r="M114" t="inlineStr">
        <is>
          <t>Worql is building the contract and delivery infrastructure for the US-India engineering corridor. This is a founding-level engineering role. The bar is high, the ownership is real, and you'll work directly with the founder. What you'll do: ship the core product end to end. Our Next.js app assembles US-India contracts from a vetted clause library, runs a multi-pass LLM pipeline, and verifies delivery through a GitHub-integrated layer. You own features from schema to UI, ship them, and prove they…</t>
        </is>
      </c>
      <c r="N114" t="n">
        <v>51</v>
      </c>
      <c r="O114" t="n">
        <v>40</v>
      </c>
      <c r="P114" t="n">
        <v>60</v>
      </c>
      <c r="Q114" t="n">
        <v>80</v>
      </c>
      <c r="R114" t="n">
        <v>50</v>
      </c>
      <c r="S114" t="n">
        <v>0</v>
      </c>
      <c r="T114" t="n">
        <v>75</v>
      </c>
      <c r="U114" t="inlineStr">
        <is>
          <t>SKIP</t>
        </is>
      </c>
      <c r="V114" t="inlineStr">
        <is>
          <t>SKIP</t>
        </is>
      </c>
      <c r="W114" t="inlineStr">
        <is>
          <t>Next.js; TypeScript</t>
        </is>
      </c>
      <c r="X114" t="inlineStr">
        <is>
          <t>Standard Full Stack Resume</t>
        </is>
      </c>
      <c r="Y114" t="inlineStr">
        <is>
          <t>2026-10-02</t>
        </is>
      </c>
      <c r="Z114" t="inlineStr">
        <is>
          <t>Founding-level engineering role working directly with the founder.; Involves building core product end-to-end with modern tech stacks.</t>
        </is>
      </c>
      <c r="AA114" t="inlineStr">
        <is>
          <t>ELIGIBLE</t>
        </is>
      </c>
      <c r="AB114" t="inlineStr">
        <is>
          <t>Role matches target role criteria as a Full Stack Developer Intern.; Work mode is remote, which is acceptable.</t>
        </is>
      </c>
      <c r="AC114" t="inlineStr">
        <is>
          <t>UNKNOWN</t>
        </is>
      </c>
      <c r="AD114" t="inlineStr">
        <is>
          <t>Not specified in candidate profile or job description.</t>
        </is>
      </c>
      <c r="AE114" t="inlineStr">
        <is>
          <t>UNKNOWN</t>
        </is>
      </c>
      <c r="AF114" t="n">
        <v>0</v>
      </c>
      <c r="AG114" t="inlineStr">
        <is>
          <t>No</t>
        </is>
      </c>
      <c r="AH114" t="inlineStr">
        <is>
          <t>UNKNOWN</t>
        </is>
      </c>
      <c r="AI114" t="inlineStr">
        <is>
          <t>No explicit PPO or conversion mention found in the job description.</t>
        </is>
      </c>
      <c r="AK114" t="inlineStr">
        <is>
          <t>Stipend is not disclosed.</t>
        </is>
      </c>
      <c r="AL114" t="inlineStr">
        <is>
          <t>Next.js app architecture and server-side rendering; TypeScript advanced types and generics; Integrating LLM pipelines into full-stack applications; GitHub integration workflows</t>
        </is>
      </c>
    </row>
    <row r="115">
      <c r="A115" t="inlineStr">
        <is>
          <t>FCC-261002-114</t>
        </is>
      </c>
      <c r="B115" t="inlineStr">
        <is>
          <t>FcC</t>
        </is>
      </c>
      <c r="C115" t="inlineStr">
        <is>
          <t>Full Stack Software Developer Intern</t>
        </is>
      </c>
      <c r="D115" t="inlineStr">
        <is>
          <t>https://www.adzuna.in/details/5845820612?utm_medium=api&amp;utm_source=5ccdc27f</t>
        </is>
      </c>
      <c r="E115" t="inlineStr">
        <is>
          <t>AI Analyzer</t>
        </is>
      </c>
      <c r="F115" t="inlineStr">
        <is>
          <t>Delhi, India (Remote)</t>
        </is>
      </c>
      <c r="G115" t="inlineStr">
        <is>
          <t>Remote</t>
        </is>
      </c>
      <c r="H115" t="inlineStr">
        <is>
          <t>Unpaid</t>
        </is>
      </c>
      <c r="I115" t="inlineStr">
        <is>
          <t>6 Months</t>
        </is>
      </c>
      <c r="J115" t="inlineStr">
        <is>
          <t>NOT_MENTIONED</t>
        </is>
      </c>
      <c r="K115" t="inlineStr">
        <is>
          <t>Frontend; Backend; Databases; APIs; Authentication; Deployment</t>
        </is>
      </c>
      <c r="M115" t="inlineStr">
        <is>
          <t>Full Stack Software Developer Intern FcC Fluency Convenience Consistency Remote India About the Job Internship Type Unpaid Internship Duration 6 Months Mode Remote Joining Immediate Stipend unpaid Working Hours 4045 hours per week About the Role FcC is looking for a passionate and motivated Full Stack Software Developer Intern to join our technology team and help build and improve our EdTech platform You will work across frontend backend databases APIs authentication and deployment contributing…</t>
        </is>
      </c>
      <c r="N115" t="n">
        <v>62</v>
      </c>
      <c r="O115" t="n">
        <v>90</v>
      </c>
      <c r="P115" t="n">
        <v>90</v>
      </c>
      <c r="Q115" t="n">
        <v>90</v>
      </c>
      <c r="R115" t="n">
        <v>0</v>
      </c>
      <c r="S115" t="n">
        <v>0</v>
      </c>
      <c r="T115" t="n">
        <v>30</v>
      </c>
      <c r="U115" t="inlineStr">
        <is>
          <t>STRETCH</t>
        </is>
      </c>
      <c r="V115" t="inlineStr">
        <is>
          <t>STRETCH</t>
        </is>
      </c>
      <c r="X115" t="inlineStr">
        <is>
          <t>Default Full Stack / MERN Resume</t>
        </is>
      </c>
      <c r="Y115" t="inlineStr">
        <is>
          <t>2026-10-02</t>
        </is>
      </c>
      <c r="Z115" t="inlineStr">
        <is>
          <t>Matches target role for Full Stack Developer Intern; Remote work mode aligns with preferences</t>
        </is>
      </c>
      <c r="AA115" t="inlineStr">
        <is>
          <t>ELIGIBLE</t>
        </is>
      </c>
      <c r="AC115" t="inlineStr">
        <is>
          <t>UNKNOWN</t>
        </is>
      </c>
      <c r="AD115" t="inlineStr">
        <is>
          <t>Joining is immediate, but specific start date and full availability constraints are not mentioned against candidate calendar.</t>
        </is>
      </c>
      <c r="AE115" t="inlineStr">
        <is>
          <t>UNPAID</t>
        </is>
      </c>
      <c r="AF115" t="n">
        <v>0</v>
      </c>
      <c r="AG115" t="inlineStr">
        <is>
          <t>No</t>
        </is>
      </c>
      <c r="AH115" t="inlineStr">
        <is>
          <t>NOT_MENTIONED</t>
        </is>
      </c>
      <c r="AI115" t="inlineStr">
        <is>
          <t>Job description does not mention PPO or conversion opportunities.</t>
        </is>
      </c>
      <c r="AK115" t="inlineStr">
        <is>
          <t>Unpaid internship; Below minimum stipend target of ₹25,000/month</t>
        </is>
      </c>
      <c r="AL115" t="inlineStr">
        <is>
          <t>Full stack system architecture; API design and authentication; Database management and deployment workflows</t>
        </is>
      </c>
    </row>
    <row r="116">
      <c r="A116" t="inlineStr">
        <is>
          <t>BIZDATEUP-TE-261002-115</t>
        </is>
      </c>
      <c r="B116" t="inlineStr">
        <is>
          <t>Bizdateup Technologies Pvt Ltd</t>
        </is>
      </c>
      <c r="C116" t="inlineStr">
        <is>
          <t>Fullstack Intern</t>
        </is>
      </c>
      <c r="D116" t="inlineStr">
        <is>
          <t>https://www.adzuna.in/details/5416883965?utm_medium=api&amp;utm_source=5ccdc27f</t>
        </is>
      </c>
      <c r="E116" t="inlineStr">
        <is>
          <t>AI Analyzer</t>
        </is>
      </c>
      <c r="F116" t="inlineStr">
        <is>
          <t>Mumbai, Maharashtra</t>
        </is>
      </c>
      <c r="G116" t="inlineStr">
        <is>
          <t>on-site</t>
        </is>
      </c>
      <c r="H116" t="inlineStr">
        <is>
          <t>As per company standards</t>
        </is>
      </c>
      <c r="I116" t="inlineStr">
        <is>
          <t>unknown</t>
        </is>
      </c>
      <c r="J116" t="inlineStr">
        <is>
          <t>not mentioned</t>
        </is>
      </c>
      <c r="M116" t="inlineStr">
        <is>
          <t>Full Stack Developer Intern Company: BizDateUp Pvt Ltd Location : Charni Road, Mumbai Employment Type : Internship (Immediate Joining Preferred) Experience Level: Entry / Mid-Level(0 – 1 year experience) Stipend : As per company standards About BizDateUp Pvt Ltd BizDateUp Pvt Ltd is a dynamic and fast-paced technology startup committed to building innovative solutions. We believe in fostering a collaborative environment where our team members can learn, grow, and make a tangible impact on real-…</t>
        </is>
      </c>
      <c r="N116" t="n">
        <v>58</v>
      </c>
      <c r="O116" t="n">
        <v>70</v>
      </c>
      <c r="P116" t="n">
        <v>80</v>
      </c>
      <c r="Q116" t="n">
        <v>85</v>
      </c>
      <c r="R116" t="n">
        <v>0</v>
      </c>
      <c r="S116" t="n">
        <v>30</v>
      </c>
      <c r="T116" t="n">
        <v>50</v>
      </c>
      <c r="U116" t="inlineStr">
        <is>
          <t>SKIP</t>
        </is>
      </c>
      <c r="V116" t="inlineStr">
        <is>
          <t>SKIP</t>
        </is>
      </c>
      <c r="X116" t="inlineStr">
        <is>
          <t>Full Stack / MERN Resume</t>
        </is>
      </c>
      <c r="Y116" t="inlineStr">
        <is>
          <t>2026-10-02</t>
        </is>
      </c>
      <c r="Z116" t="inlineStr">
        <is>
          <t>Matches the Full Stack Developer Intern role profile.; Matches the 0-1 year experience bracket.</t>
        </is>
      </c>
      <c r="AA116" t="inlineStr">
        <is>
          <t>eligible</t>
        </is>
      </c>
      <c r="AB116" t="inlineStr">
        <is>
          <t>Meets the entry-level experience requirements of 0-1 year.</t>
        </is>
      </c>
      <c r="AC116" t="inlineStr">
        <is>
          <t>unknown</t>
        </is>
      </c>
      <c r="AD116" t="inlineStr">
        <is>
          <t>Immediate joining preferred, but specific start date requirements are not specified.</t>
        </is>
      </c>
      <c r="AE116" t="inlineStr">
        <is>
          <t>unknown</t>
        </is>
      </c>
      <c r="AF116" t="n">
        <v>0</v>
      </c>
      <c r="AG116" t="inlineStr">
        <is>
          <t>No</t>
        </is>
      </c>
      <c r="AH116" t="inlineStr">
        <is>
          <t>not mentioned</t>
        </is>
      </c>
      <c r="AI116" t="inlineStr">
        <is>
          <t>No mention of PPO or conversion to full-time employment in the job description.</t>
        </is>
      </c>
      <c r="AJ116" t="inlineStr">
        <is>
          <t>Location mismatch: Job is based in Mumbai, but candidate's preferred location is Bengaluru.</t>
        </is>
      </c>
      <c r="AK116" t="inlineStr">
        <is>
          <t>Stipend is undisclosed ("As per company standards") which may fall below the minimum target of ₹25,000/month.; On-site requirement in Mumbai conflicts with the candidate's Bengaluru location preference.</t>
        </is>
      </c>
      <c r="AL116" t="inlineStr">
        <is>
          <t>Full stack development experience; Immediate joining availability; Willingness to relocate to Mumbai</t>
        </is>
      </c>
    </row>
    <row r="117">
      <c r="A117" t="inlineStr">
        <is>
          <t>MERIDA-TECH--261002-116</t>
        </is>
      </c>
      <c r="B117" t="inlineStr">
        <is>
          <t>Merida Tech Minds Pvt Ltd</t>
        </is>
      </c>
      <c r="C117" t="inlineStr">
        <is>
          <t>Python Full Stack Developer Intern</t>
        </is>
      </c>
      <c r="D117" t="inlineStr">
        <is>
          <t>https://www.adzuna.in/details/5006723441?utm_medium=api&amp;utm_source=5ccdc27f</t>
        </is>
      </c>
      <c r="E117" t="inlineStr">
        <is>
          <t>AI Analyzer</t>
        </is>
      </c>
      <c r="F117" t="inlineStr">
        <is>
          <t>Bangalore, Karnataka</t>
        </is>
      </c>
      <c r="G117" t="inlineStr">
        <is>
          <t>On-site / Not Specified</t>
        </is>
      </c>
      <c r="H117" t="inlineStr">
        <is>
          <t>Not Specified</t>
        </is>
      </c>
      <c r="I117" t="inlineStr">
        <is>
          <t>Not Specified</t>
        </is>
      </c>
      <c r="J117" t="inlineStr">
        <is>
          <t>NOT MENTIONED</t>
        </is>
      </c>
      <c r="K117" t="inlineStr">
        <is>
          <t>Python; Django; Flask; HTML; CSS; JavaScript</t>
        </is>
      </c>
      <c r="L117" t="inlineStr">
        <is>
          <t>React; Angular</t>
        </is>
      </c>
      <c r="M117" t="inlineStr">
        <is>
          <t>We are seeking a Python Full Stack Developer Intern with a passion for coding and learning to join our team. This role offers an excellent opportunity to work on both backend and frontend technologies in real-world projects. Responsibilities: Develop and maintain web applications using Python and relevant frameworks (e.g., Django, Flask). Build responsive front-end interfaces using HTML, CSS, and JavaScript (React/Angular is a plus). Collaborate with team members to design and implement feature…</t>
        </is>
      </c>
      <c r="N117" t="n">
        <v>47</v>
      </c>
      <c r="O117" t="n">
        <v>50</v>
      </c>
      <c r="P117" t="n">
        <v>60</v>
      </c>
      <c r="Q117" t="n">
        <v>80</v>
      </c>
      <c r="R117" t="n">
        <v>0</v>
      </c>
      <c r="S117" t="n">
        <v>30</v>
      </c>
      <c r="T117" t="n">
        <v>50</v>
      </c>
      <c r="U117" t="inlineStr">
        <is>
          <t>SKIP</t>
        </is>
      </c>
      <c r="V117" t="inlineStr">
        <is>
          <t>SKIP</t>
        </is>
      </c>
      <c r="W117" t="inlineStr">
        <is>
          <t>Python; Django; Flask</t>
        </is>
      </c>
      <c r="X117" t="inlineStr">
        <is>
          <t>Amaanuddin_Ahmed_Resume.pdf</t>
        </is>
      </c>
      <c r="Y117" t="inlineStr">
        <is>
          <t>2026-10-02</t>
        </is>
      </c>
      <c r="Z117" t="inlineStr">
        <is>
          <t>Located in Bengaluru.; Matches desired internship role level.</t>
        </is>
      </c>
      <c r="AA117" t="inlineStr">
        <is>
          <t>ELIGIBLE</t>
        </is>
      </c>
      <c r="AB117" t="inlineStr">
        <is>
          <t>Location matches preferred Bengaluru preference.; Target role level (internship) aligns with candidate goals.</t>
        </is>
      </c>
      <c r="AC117" t="inlineStr">
        <is>
          <t>UNKNOWN</t>
        </is>
      </c>
      <c r="AD117" t="inlineStr">
        <is>
          <t>Candidate availability dates are not explicitly detailed in the career brain relative to start date.</t>
        </is>
      </c>
      <c r="AE117" t="inlineStr">
        <is>
          <t>UNKNOWN</t>
        </is>
      </c>
      <c r="AF117" t="n">
        <v>0</v>
      </c>
      <c r="AG117" t="inlineStr">
        <is>
          <t>No</t>
        </is>
      </c>
      <c r="AH117" t="inlineStr">
        <is>
          <t>NOT MENTIONED</t>
        </is>
      </c>
      <c r="AI117" t="inlineStr">
        <is>
          <t>The job description does not mention PPO or conversion opportunities.</t>
        </is>
      </c>
      <c r="AK117" t="inlineStr">
        <is>
          <t>Stipend is not disclosed.</t>
        </is>
      </c>
      <c r="AL117" t="inlineStr">
        <is>
          <t>Python fundamentals and web frameworks (Django/Flask); JavaScript asynchronous programming and DOM manipulation; RESTful API design and database integration</t>
        </is>
      </c>
    </row>
    <row r="118">
      <c r="A118" t="inlineStr">
        <is>
          <t>SPACENOS-261002-117</t>
        </is>
      </c>
      <c r="B118" t="inlineStr">
        <is>
          <t>Spacenos</t>
        </is>
      </c>
      <c r="C118" t="inlineStr">
        <is>
          <t>Full Stack Developer</t>
        </is>
      </c>
      <c r="D118" t="inlineStr">
        <is>
          <t>https://www.adzuna.in/details/3095392882?utm_medium=api&amp;utm_source=5ccdc27f</t>
        </is>
      </c>
      <c r="E118" t="inlineStr">
        <is>
          <t>AI Analyzer</t>
        </is>
      </c>
      <c r="F118" t="inlineStr">
        <is>
          <t>India</t>
        </is>
      </c>
      <c r="G118" t="inlineStr">
        <is>
          <t>UNKNOWN</t>
        </is>
      </c>
      <c r="I118" t="inlineStr">
        <is>
          <t>UNKNOWN</t>
        </is>
      </c>
      <c r="J118" t="inlineStr">
        <is>
          <t>UNKNOWN</t>
        </is>
      </c>
      <c r="K118" t="inlineStr">
        <is>
          <t>JavaScript; React.js; Node.js; Firebase; Firestore Functions; Git</t>
        </is>
      </c>
      <c r="L118" t="inlineStr">
        <is>
          <t>Mercurial; SVN</t>
        </is>
      </c>
      <c r="M118" t="inlineStr">
        <is>
          <t>We are looking for skilled Full Stack Developer interns who can oversee the complete software development road cycle at Spacenos and work on building amazing products. Skills Required Experience with JavaScript and ReactJs framework. Experience with NodeJs, Firebase and Firestore Functions. Candidates should have the ability to pick up new technologies quickly Knowledge of code versioning tools (such as Git, Mercurial, or SVN) Roles and Responsibilities Creating and converting high-fidelity des…</t>
        </is>
      </c>
      <c r="N118" t="n">
        <v>64</v>
      </c>
      <c r="O118" t="n">
        <v>70</v>
      </c>
      <c r="P118" t="n">
        <v>80</v>
      </c>
      <c r="Q118" t="n">
        <v>80</v>
      </c>
      <c r="R118" t="n">
        <v>40</v>
      </c>
      <c r="S118" t="n">
        <v>30</v>
      </c>
      <c r="T118" t="n">
        <v>60</v>
      </c>
      <c r="U118" t="inlineStr">
        <is>
          <t>STRETCH</t>
        </is>
      </c>
      <c r="V118" t="inlineStr">
        <is>
          <t>STRETCH</t>
        </is>
      </c>
      <c r="W118" t="inlineStr">
        <is>
          <t>Firebase; Firestore Functions</t>
        </is>
      </c>
      <c r="X118" t="inlineStr">
        <is>
          <t>Standard Full Stack Resume</t>
        </is>
      </c>
      <c r="Y118" t="inlineStr">
        <is>
          <t>2026-10-02</t>
        </is>
      </c>
      <c r="Z118" t="inlineStr">
        <is>
          <t>Matches the primary skill set in JavaScript, React.js, and Node.js.; Good alignment with full stack developer intern experience.</t>
        </is>
      </c>
      <c r="AA118" t="inlineStr">
        <is>
          <t>ELIGIBLE</t>
        </is>
      </c>
      <c r="AB118" t="inlineStr">
        <is>
          <t>No hard blockers found in the job description.</t>
        </is>
      </c>
      <c r="AC118" t="inlineStr">
        <is>
          <t>UNKNOWN</t>
        </is>
      </c>
      <c r="AD118" t="inlineStr">
        <is>
          <t>Candidate availability details are not provided in the career brain.</t>
        </is>
      </c>
      <c r="AE118" t="inlineStr">
        <is>
          <t>UNKNOWN</t>
        </is>
      </c>
      <c r="AF118" t="n">
        <v>0</v>
      </c>
      <c r="AG118" t="inlineStr">
        <is>
          <t>No</t>
        </is>
      </c>
      <c r="AH118" t="inlineStr">
        <is>
          <t>UNKNOWN</t>
        </is>
      </c>
      <c r="AI118" t="inlineStr">
        <is>
          <t>No mention of PPO or conversion in the job description.</t>
        </is>
      </c>
      <c r="AK118" t="inlineStr">
        <is>
          <t>No stipend information provided; No explicit PPO mention</t>
        </is>
      </c>
      <c r="AL118" t="inlineStr">
        <is>
          <t>React.js state management and component lifecycle; Node.js event loop and asynchronous programming; NoSQL database design with Firebase and Firestore; Git version control workflow</t>
        </is>
      </c>
    </row>
    <row r="119">
      <c r="A119" t="inlineStr">
        <is>
          <t>SEVEN-SEAS-D-261002-118</t>
        </is>
      </c>
      <c r="B119" t="inlineStr">
        <is>
          <t>Seven Seas Digital Marketing Agency / SevenMentor Pvt. Ltd.</t>
        </is>
      </c>
      <c r="C119" t="inlineStr">
        <is>
          <t>Web Full Stack Trainer / Full Stack Developer (Intern or Junior)</t>
        </is>
      </c>
      <c r="D119" t="inlineStr">
        <is>
          <t>https://www.adzuna.in/details/5904151536?utm_medium=api&amp;utm_source=5ccdc27f</t>
        </is>
      </c>
      <c r="E119" t="inlineStr">
        <is>
          <t>AI Analyzer</t>
        </is>
      </c>
      <c r="F119" t="inlineStr">
        <is>
          <t>Nagpur, Maharashtra</t>
        </is>
      </c>
      <c r="G119" t="inlineStr">
        <is>
          <t>On-site</t>
        </is>
      </c>
      <c r="H119" t="inlineStr">
        <is>
          <t>Not specified</t>
        </is>
      </c>
      <c r="I119" t="inlineStr">
        <is>
          <t>Not specified</t>
        </is>
      </c>
      <c r="J119" t="inlineStr">
        <is>
          <t>NOT_MENTIONED</t>
        </is>
      </c>
      <c r="K119" t="inlineStr">
        <is>
          <t>Node.js; Express.js; MongoDB; SQL; React.js; Tailwind CSS; Bootstrap; HTML; Git</t>
        </is>
      </c>
      <c r="L119" t="inlineStr">
        <is>
          <t>Figma; Adobe XD</t>
        </is>
      </c>
      <c r="M119" t="inlineStr">
        <is>
          <t>SevenMentor Pvt. Ltd. is looking for a passionate and responsible Full Stack Developer (Intern or Junior) to join our growing development team. This role involves working on the backend using Node.js, Express.js, and MongoDB or SQL, and frontend development using React.js, Tailwind CSS, and Bootstrap. The ideal candidate should also be able to convert Figma/Adobe XD designs into responsive HTML pages and have a solid understanding of Git and deployment processes. Key Responsibilities Design and…</t>
        </is>
      </c>
      <c r="N119" t="n">
        <v>68</v>
      </c>
      <c r="O119" t="n">
        <v>85</v>
      </c>
      <c r="P119" t="n">
        <v>75</v>
      </c>
      <c r="Q119" t="n">
        <v>70</v>
      </c>
      <c r="R119" t="n">
        <v>40</v>
      </c>
      <c r="S119" t="n">
        <v>50</v>
      </c>
      <c r="T119" t="n">
        <v>60</v>
      </c>
      <c r="U119" t="inlineStr">
        <is>
          <t>STRETCH</t>
        </is>
      </c>
      <c r="V119" t="inlineStr">
        <is>
          <t>STRETCH</t>
        </is>
      </c>
      <c r="W119" t="inlineStr">
        <is>
          <t>Tailwind CSS</t>
        </is>
      </c>
      <c r="X119" t="inlineStr">
        <is>
          <t>Standard Full Stack Resume highlighting MERN and Angular experience, Figma, and Git workflows.</t>
        </is>
      </c>
      <c r="Y119" t="inlineStr">
        <is>
          <t>2026-10-02</t>
        </is>
      </c>
      <c r="Z119" t="inlineStr">
        <is>
          <t>The tech stack (Node.js, Express, MongoDB/SQL, React, Git, Figma) heavily aligns with candidate's demonstrated MERN stack and frontend/backend experience.; Open to interns or junior developers.</t>
        </is>
      </c>
      <c r="AA119" t="inlineStr">
        <is>
          <t>ELIGIBLE</t>
        </is>
      </c>
      <c r="AC119" t="inlineStr">
        <is>
          <t>UNKNOWN</t>
        </is>
      </c>
      <c r="AD119" t="inlineStr">
        <is>
          <t>Start date and availability constraints are not mentioned in the candidate profile.</t>
        </is>
      </c>
      <c r="AE119" t="inlineStr">
        <is>
          <t>UNKNOWN</t>
        </is>
      </c>
      <c r="AF119" t="n">
        <v>0</v>
      </c>
      <c r="AG119" t="inlineStr">
        <is>
          <t>No</t>
        </is>
      </c>
      <c r="AH119" t="inlineStr">
        <is>
          <t>NOT_MENTIONED</t>
        </is>
      </c>
      <c r="AI119" t="inlineStr">
        <is>
          <t>No mention of conversion to a full-time employee or PPO in the job description.</t>
        </is>
      </c>
      <c r="AK119" t="inlineStr">
        <is>
          <t>Location is Nagpur, Maharashtra, whereas candidate's preferred location is Bengaluru.; Role title says Web Full Stack Trainer while description says Full Stack Developer (Intern or Junior).; Stipend is not disclosed.</t>
        </is>
      </c>
      <c r="AL119" t="inlineStr">
        <is>
          <t>Node.js and Express.js architecture and error handling; React.js state management and component lifecycle; Database design using MongoDB and SQL; Figma to responsive frontend conversion workflow; Experience with Git and deployment processes</t>
        </is>
      </c>
    </row>
    <row r="120">
      <c r="A120" t="inlineStr">
        <is>
          <t>ZIPLR-TECHNO-261002-119</t>
        </is>
      </c>
      <c r="B120" t="inlineStr">
        <is>
          <t>Ziplr Technology</t>
        </is>
      </c>
      <c r="C120" t="inlineStr">
        <is>
          <t>Internship - Full Stack Developer</t>
        </is>
      </c>
      <c r="D120" t="inlineStr">
        <is>
          <t>https://www.adzuna.in/details/4801482006?utm_medium=api&amp;utm_source=5ccdc27f</t>
        </is>
      </c>
      <c r="E120" t="inlineStr">
        <is>
          <t>AI Analyzer</t>
        </is>
      </c>
      <c r="F120" t="inlineStr">
        <is>
          <t>Bhubaneswar</t>
        </is>
      </c>
      <c r="G120" t="inlineStr">
        <is>
          <t>On-site</t>
        </is>
      </c>
      <c r="I120" t="inlineStr">
        <is>
          <t>UNKNOWN</t>
        </is>
      </c>
      <c r="J120" t="inlineStr">
        <is>
          <t>Not Mentioned</t>
        </is>
      </c>
      <c r="K120" t="inlineStr">
        <is>
          <t>PHP</t>
        </is>
      </c>
      <c r="M120" t="inlineStr">
        <is>
          <t>Internship - Full Stack Developer Ziplr is looking for techies in PHP to join our development team. Are you the best programmer in your batch or office? Do you lose your sleep till you have solved a technical problem? Can you stay up the whole night just to write a beautiful piece of code which runs flawlessly? Note - If you answered yes to all above asked questions only then, read the below text. Location: Bhubaneswar Brief: As a Full Stack Developer in the team, you will build new enterprise …</t>
        </is>
      </c>
      <c r="N120" t="n">
        <v>24</v>
      </c>
      <c r="O120" t="n">
        <v>20</v>
      </c>
      <c r="P120" t="n">
        <v>40</v>
      </c>
      <c r="Q120" t="n">
        <v>50</v>
      </c>
      <c r="R120" t="n">
        <v>0</v>
      </c>
      <c r="S120" t="n">
        <v>0</v>
      </c>
      <c r="T120" t="n">
        <v>30</v>
      </c>
      <c r="U120" t="inlineStr">
        <is>
          <t>SKIP</t>
        </is>
      </c>
      <c r="V120" t="inlineStr">
        <is>
          <t>SKIP</t>
        </is>
      </c>
      <c r="W120" t="inlineStr">
        <is>
          <t>PHP</t>
        </is>
      </c>
      <c r="X120" t="inlineStr">
        <is>
          <t>Amaanuddin_Ahmed_Resume.pdf</t>
        </is>
      </c>
      <c r="Y120" t="inlineStr">
        <is>
          <t>2026-10-02</t>
        </is>
      </c>
      <c r="AA120" t="inlineStr">
        <is>
          <t>NOT ELIGIBLE</t>
        </is>
      </c>
      <c r="AB120" t="inlineStr">
        <is>
          <t>Location mismatch: Job is located in Bhubaneswar, whereas candidate prefers Bengaluru, India.; Tech stack mismatch: Job requires PHP, which is only present as minor exposure in candidate profile and not demonstrated in major work experience.</t>
        </is>
      </c>
      <c r="AC120" t="inlineStr">
        <is>
          <t>UNKNOWN</t>
        </is>
      </c>
      <c r="AD120" t="inlineStr">
        <is>
          <t>Not specified in Career Brain.</t>
        </is>
      </c>
      <c r="AE120" t="inlineStr">
        <is>
          <t>UNKNOWN</t>
        </is>
      </c>
      <c r="AF120" t="n">
        <v>0</v>
      </c>
      <c r="AG120" t="inlineStr">
        <is>
          <t>No</t>
        </is>
      </c>
      <c r="AH120" t="inlineStr">
        <is>
          <t>Not Mentioned</t>
        </is>
      </c>
      <c r="AI120" t="inlineStr">
        <is>
          <t>The job description does not mention PPO or conversion opportunities.</t>
        </is>
      </c>
      <c r="AJ120" t="inlineStr">
        <is>
          <t>Location mismatch (Bhubaneswar vs Bengaluru preference); Mandatory PHP technology stack requirement not strongly demonstrated</t>
        </is>
      </c>
      <c r="AK120" t="inlineStr">
        <is>
          <t>Unspecified stipend; Unspecified location details in initial payload</t>
        </is>
      </c>
      <c r="AL120" t="inlineStr">
        <is>
          <t>PHP development experience; Relocation to Bhubaneswar</t>
        </is>
      </c>
    </row>
    <row r="121">
      <c r="A121" t="inlineStr">
        <is>
          <t>WEB-DIGITAL--261002-120</t>
        </is>
      </c>
      <c r="B121" t="inlineStr">
        <is>
          <t>Web Digital Mantra IT Services Pvt Ltd</t>
        </is>
      </c>
      <c r="C121" t="inlineStr">
        <is>
          <t>Backend Developer Intern</t>
        </is>
      </c>
      <c r="D121" t="inlineStr">
        <is>
          <t>https://www.adzuna.in/details/5775994272?utm_medium=api&amp;utm_source=5ccdc27f</t>
        </is>
      </c>
      <c r="E121" t="inlineStr">
        <is>
          <t>AI Analyzer</t>
        </is>
      </c>
      <c r="F121" t="inlineStr">
        <is>
          <t>Bangalore, Karnataka</t>
        </is>
      </c>
      <c r="G121" t="inlineStr">
        <is>
          <t>On-site / Unspecified</t>
        </is>
      </c>
      <c r="H121" t="inlineStr">
        <is>
          <t>Paid Internship</t>
        </is>
      </c>
      <c r="I121" t="inlineStr">
        <is>
          <t>6 Months</t>
        </is>
      </c>
      <c r="J121" t="inlineStr">
        <is>
          <t>NOT_MENTIONED</t>
        </is>
      </c>
      <c r="K121" t="inlineStr">
        <is>
          <t>Node.js; Python; PHP; Laravel; React.js; JSON; MySQL; MongoDB; PostgreSQL</t>
        </is>
      </c>
      <c r="L121" t="inlineStr">
        <is>
          <t>Kannada-speaking; AI-powered development tools</t>
        </is>
      </c>
      <c r="M121" t="inlineStr">
        <is>
          <t>We are looking for a passionate Backend Developer Intern (Paid Internship - 6 Months) with proficiency in Node.js, Python, PHP, and Laravel, along with working knowledge of React.js. Candidates should have prior internship experience, familiarity with AI-powered development tools, and strong problem-solving skills. Kannada-speaking candidates will be preferred. Skills:- React.js, NodeJS (Node.js), Python, PHP, Laravel, JSON, MySQL, MongoDB and PostgreSQL</t>
        </is>
      </c>
      <c r="N121" t="n">
        <v>68</v>
      </c>
      <c r="O121" t="n">
        <v>70</v>
      </c>
      <c r="P121" t="n">
        <v>85</v>
      </c>
      <c r="Q121" t="n">
        <v>90</v>
      </c>
      <c r="R121" t="n">
        <v>40</v>
      </c>
      <c r="S121" t="n">
        <v>50</v>
      </c>
      <c r="T121" t="n">
        <v>60</v>
      </c>
      <c r="U121" t="inlineStr">
        <is>
          <t>STRETCH</t>
        </is>
      </c>
      <c r="V121" t="inlineStr">
        <is>
          <t>STRETCH</t>
        </is>
      </c>
      <c r="W121" t="inlineStr">
        <is>
          <t>PHP; Laravel; PostgreSQL</t>
        </is>
      </c>
      <c r="X121" t="inlineStr">
        <is>
          <t>Amaanuddin_Ahmed_Resume_FullStack.pdf</t>
        </is>
      </c>
      <c r="Y121" t="inlineStr">
        <is>
          <t>2026-10-02</t>
        </is>
      </c>
      <c r="Z121" t="inlineStr">
        <is>
          <t>Matches target role for Backend Developer Intern in Bengaluru.; Candidate possesses strong matching skills in Node.js, Express, MySQL, and MongoDB.; Meets the prior internship experience requirement.</t>
        </is>
      </c>
      <c r="AA121" t="inlineStr">
        <is>
          <t>ELIGIBLE</t>
        </is>
      </c>
      <c r="AB121" t="inlineStr">
        <is>
          <t>Location matches preferred location (Bengaluru).; Candidate has prior internship experience.; Matches target role for Backend Developer Intern.</t>
        </is>
      </c>
      <c r="AC121" t="inlineStr">
        <is>
          <t>UNKNOWN</t>
        </is>
      </c>
      <c r="AD121" t="inlineStr">
        <is>
          <t>Exact availability dates not specified in the current profile relative to the start date.</t>
        </is>
      </c>
      <c r="AE121" t="inlineStr">
        <is>
          <t>UNKNOWN</t>
        </is>
      </c>
      <c r="AF121" t="n">
        <v>0</v>
      </c>
      <c r="AG121" t="inlineStr">
        <is>
          <t>No</t>
        </is>
      </c>
      <c r="AH121" t="inlineStr">
        <is>
          <t>NOT_MENTIONED</t>
        </is>
      </c>
      <c r="AI121" t="inlineStr">
        <is>
          <t>The job description does not mention PPO or permanent conversion.</t>
        </is>
      </c>
      <c r="AK121" t="inlineStr">
        <is>
          <t>Stipend amount is completely unspecified beyond 'Paid Internship'.</t>
        </is>
      </c>
      <c r="AL121" t="inlineStr">
        <is>
          <t>Node.js and Express backend architecture; Experience with relational and non-relational databases (MySQL, MongoDB); Familiarity with PHP/Laravel and Python; Handling JSON payloads and REST APIs</t>
        </is>
      </c>
    </row>
    <row r="122">
      <c r="A122" t="inlineStr">
        <is>
          <t>GARNISH-COMP-261002-121</t>
        </is>
      </c>
      <c r="B122" t="inlineStr">
        <is>
          <t>Garnish Company</t>
        </is>
      </c>
      <c r="C122" t="inlineStr">
        <is>
          <t>Backend Developer Intern</t>
        </is>
      </c>
      <c r="D122" t="inlineStr">
        <is>
          <t>https://www.adzuna.in/details/2087142658?utm_medium=api&amp;utm_source=5ccdc27f</t>
        </is>
      </c>
      <c r="E122" t="inlineStr">
        <is>
          <t>AI Analyzer</t>
        </is>
      </c>
      <c r="F122" t="inlineStr">
        <is>
          <t>Hyderabad, Telangana</t>
        </is>
      </c>
      <c r="G122" t="inlineStr">
        <is>
          <t>Unknown</t>
        </is>
      </c>
      <c r="I122" t="inlineStr">
        <is>
          <t>Unknown</t>
        </is>
      </c>
      <c r="J122" t="inlineStr">
        <is>
          <t>NOT_MENTIONED</t>
        </is>
      </c>
      <c r="K122" t="inlineStr">
        <is>
          <t>Node.js; Express.js</t>
        </is>
      </c>
      <c r="L122" t="inlineStr">
        <is>
          <t>Test-driven development</t>
        </is>
      </c>
      <c r="M122" t="inlineStr">
        <is>
          <t>Responsibilities: In this role, the individual will be part of the engineering team and will be responsible for Participating and collaborating with Product Owner/ Cross-functional teams in the organization to understand the business requirements and to deliver solutions that can scale. Design and Develop API in NodeJS using Express JS framework with relevant middleware integrations. Designing and implementing software that is simple, intuitive, and easy to use with Test first driven Approac…</t>
        </is>
      </c>
      <c r="N122" t="n">
        <v>76</v>
      </c>
      <c r="O122" t="n">
        <v>90</v>
      </c>
      <c r="P122" t="n">
        <v>85</v>
      </c>
      <c r="Q122" t="n">
        <v>90</v>
      </c>
      <c r="R122" t="n">
        <v>50</v>
      </c>
      <c r="S122" t="n">
        <v>50</v>
      </c>
      <c r="T122" t="n">
        <v>60</v>
      </c>
      <c r="U122" t="inlineStr">
        <is>
          <t>CONSIDER</t>
        </is>
      </c>
      <c r="V122" t="inlineStr">
        <is>
          <t>CONSIDER</t>
        </is>
      </c>
      <c r="X122" t="inlineStr">
        <is>
          <t>Standard Full Stack Resume</t>
        </is>
      </c>
      <c r="Y122" t="inlineStr">
        <is>
          <t>2026-10-02</t>
        </is>
      </c>
      <c r="Z122" t="inlineStr">
        <is>
          <t>The role strongly matches the candidate's core backend tech stack of Node.js and Express.js.; Candidate has prior internship and freelance experience building production APIs.</t>
        </is>
      </c>
      <c r="AA122" t="inlineStr">
        <is>
          <t>ELIGIBLE</t>
        </is>
      </c>
      <c r="AC122" t="inlineStr">
        <is>
          <t>UNKNOWN</t>
        </is>
      </c>
      <c r="AD122" t="inlineStr">
        <is>
          <t>Not specified in candidate profile.</t>
        </is>
      </c>
      <c r="AE122" t="inlineStr">
        <is>
          <t>UNKNOWN</t>
        </is>
      </c>
      <c r="AF122" t="n">
        <v>0</v>
      </c>
      <c r="AG122" t="inlineStr">
        <is>
          <t>No</t>
        </is>
      </c>
      <c r="AH122" t="inlineStr">
        <is>
          <t>NOT_MENTIONED</t>
        </is>
      </c>
      <c r="AK122" t="inlineStr">
        <is>
          <t>Location is Hyderabad, whereas candidate prefers Bengaluru.</t>
        </is>
      </c>
      <c r="AL122" t="inlineStr">
        <is>
          <t>Node.js and Express.js API design; Middleware integration in Express; Test-driven development approach</t>
        </is>
      </c>
    </row>
    <row r="123">
      <c r="A123" t="inlineStr">
        <is>
          <t>REJOLUT-261002-122</t>
        </is>
      </c>
      <c r="B123" t="inlineStr">
        <is>
          <t>Rejolut</t>
        </is>
      </c>
      <c r="C123" t="inlineStr">
        <is>
          <t>Backend Developer Intern</t>
        </is>
      </c>
      <c r="D123" t="inlineStr">
        <is>
          <t>https://www.adzuna.in/details/3801594182?utm_medium=api&amp;utm_source=5ccdc27f</t>
        </is>
      </c>
      <c r="E123" t="inlineStr">
        <is>
          <t>AI Analyzer</t>
        </is>
      </c>
      <c r="F123" t="inlineStr">
        <is>
          <t>Mumbai, Maharashtra</t>
        </is>
      </c>
      <c r="G123" t="inlineStr">
        <is>
          <t>On-site</t>
        </is>
      </c>
      <c r="I123" t="inlineStr">
        <is>
          <t>Not specified</t>
        </is>
      </c>
      <c r="J123" t="inlineStr">
        <is>
          <t>UNKNOWN</t>
        </is>
      </c>
      <c r="K123" t="inlineStr">
        <is>
          <t>Backend Development</t>
        </is>
      </c>
      <c r="L123" t="inlineStr">
        <is>
          <t>Blockchain; Machine Learning; Artificial Intelligence; IoT</t>
        </is>
      </c>
      <c r="M123" t="inlineStr">
        <is>
          <t>Rejolut is among the fastest-growing and award winning Tech companies working on leading technologies namely Blockchain, Machine Learning &amp; Artificial Intelligence, Complex mobile &amp; Web Apps, IoT, etc.Rejolut is a venture-backed company with clients in over several countries namely Malaysia Airlines,gba global,my-earth,biomes, Dlg-hub,etc. We are planning to expand our team to explore new opportunities and looking for creative, enthusiastic, and passionate individuals to join our team. Job Desc…</t>
        </is>
      </c>
      <c r="N123" t="n">
        <v>65</v>
      </c>
      <c r="O123" t="n">
        <v>75</v>
      </c>
      <c r="P123" t="n">
        <v>80</v>
      </c>
      <c r="Q123" t="n">
        <v>85</v>
      </c>
      <c r="R123" t="n">
        <v>50</v>
      </c>
      <c r="S123" t="n">
        <v>0</v>
      </c>
      <c r="T123" t="n">
        <v>60</v>
      </c>
      <c r="U123" t="inlineStr">
        <is>
          <t>STRETCH</t>
        </is>
      </c>
      <c r="V123" t="inlineStr">
        <is>
          <t>STRETCH</t>
        </is>
      </c>
      <c r="X123" t="inlineStr">
        <is>
          <t>Standard Full Stack / Backend Resume</t>
        </is>
      </c>
      <c r="Y123" t="inlineStr">
        <is>
          <t>2026-10-02</t>
        </is>
      </c>
      <c r="Z123" t="inlineStr">
        <is>
          <t>Role matches primary target of Backend Developer Intern; Candidate has strong demonstrated experience in Node.js and Express</t>
        </is>
      </c>
      <c r="AA123" t="inlineStr">
        <is>
          <t>ELIGIBLE</t>
        </is>
      </c>
      <c r="AC123" t="inlineStr">
        <is>
          <t>UNKNOWN</t>
        </is>
      </c>
      <c r="AD123" t="inlineStr">
        <is>
          <t>Candidate availability dates are not specified in the career brain.</t>
        </is>
      </c>
      <c r="AE123" t="inlineStr">
        <is>
          <t>UNKNOWN</t>
        </is>
      </c>
      <c r="AF123" t="n">
        <v>0</v>
      </c>
      <c r="AG123" t="inlineStr">
        <is>
          <t>No</t>
        </is>
      </c>
      <c r="AH123" t="inlineStr">
        <is>
          <t>UNKNOWN</t>
        </is>
      </c>
      <c r="AI123" t="inlineStr">
        <is>
          <t>No explicit mention of PPO or conversion in the job description snippet.</t>
        </is>
      </c>
      <c r="AK123" t="inlineStr">
        <is>
          <t>Location is Mumbai while candidate prefers Bengaluru; Stipend details are not provided</t>
        </is>
      </c>
      <c r="AL123" t="inlineStr">
        <is>
          <t>Node.js and Express architecture; Database design and management; RESTful API development</t>
        </is>
      </c>
    </row>
    <row r="124">
      <c r="A124" t="inlineStr">
        <is>
          <t>APPSCRIP-261002-123</t>
        </is>
      </c>
      <c r="B124" t="inlineStr">
        <is>
          <t>appscrip</t>
        </is>
      </c>
      <c r="C124" t="inlineStr">
        <is>
          <t>Python Backend Developer Intern (FastAPI)</t>
        </is>
      </c>
      <c r="D124" t="inlineStr">
        <is>
          <t>https://www.adzuna.in/details/5812187923?utm_medium=api&amp;utm_source=5ccdc27f</t>
        </is>
      </c>
      <c r="E124" t="inlineStr">
        <is>
          <t>AI Analyzer</t>
        </is>
      </c>
      <c r="F124" t="inlineStr">
        <is>
          <t>Bangalore, Karnataka</t>
        </is>
      </c>
      <c r="G124" t="inlineStr">
        <is>
          <t>On-site</t>
        </is>
      </c>
      <c r="H124" t="inlineStr">
        <is>
          <t>Not specified</t>
        </is>
      </c>
      <c r="I124" t="inlineStr">
        <is>
          <t>UNKNOWN</t>
        </is>
      </c>
      <c r="J124" t="inlineStr">
        <is>
          <t>NOT_MENTIONED</t>
        </is>
      </c>
      <c r="K124" t="inlineStr">
        <is>
          <t>Python; FastAPI</t>
        </is>
      </c>
      <c r="L124" t="inlineStr">
        <is>
          <t>AI; LLMs; cloud infrastructure</t>
        </is>
      </c>
      <c r="M124" t="inlineStr">
        <is>
          <t>Python Backend Developer Intern (FastAPI) Location: Bangalore (On-site) Company: Appscrip About Appscrip At Appscrip, we build products that solve real business problems using modern technologies like AI, cloud infrastructure, and scalable backend systems. We're looking for developers who enjoy building things, learning quickly, and aren't afraid to dive into new technologies. If you've built projects in Python, experimented with FastAPI, or spent time playing around with AI and LLMs, we'd love…</t>
        </is>
      </c>
      <c r="N124" t="n">
        <v>38</v>
      </c>
      <c r="O124" t="n">
        <v>40</v>
      </c>
      <c r="P124" t="n">
        <v>50</v>
      </c>
      <c r="Q124" t="n">
        <v>70</v>
      </c>
      <c r="R124" t="n">
        <v>0</v>
      </c>
      <c r="S124" t="n">
        <v>0</v>
      </c>
      <c r="T124" t="n">
        <v>50</v>
      </c>
      <c r="U124" t="inlineStr">
        <is>
          <t>SKIP</t>
        </is>
      </c>
      <c r="V124" t="inlineStr">
        <is>
          <t>SKIP</t>
        </is>
      </c>
      <c r="W124" t="inlineStr">
        <is>
          <t>Python; FastAPI</t>
        </is>
      </c>
      <c r="X124" t="inlineStr">
        <is>
          <t>Amaan_Ahmed_Resume_2025.pdf</t>
        </is>
      </c>
      <c r="Y124" t="inlineStr">
        <is>
          <t>2026-10-02</t>
        </is>
      </c>
      <c r="Z124" t="inlineStr">
        <is>
          <t>Located in Bangalore; Internship opportunity in backend development</t>
        </is>
      </c>
      <c r="AA124" t="inlineStr">
        <is>
          <t>ELIGIBLE</t>
        </is>
      </c>
      <c r="AB124" t="inlineStr">
        <is>
          <t>Location matches preferred location (Bangalore); Role aligns with internship search</t>
        </is>
      </c>
      <c r="AC124" t="inlineStr">
        <is>
          <t>UNKNOWN</t>
        </is>
      </c>
      <c r="AD124" t="inlineStr">
        <is>
          <t>Availability not explicitly stated in Career Brain</t>
        </is>
      </c>
      <c r="AE124" t="inlineStr">
        <is>
          <t>UNKNOWN</t>
        </is>
      </c>
      <c r="AF124" t="n">
        <v>0</v>
      </c>
      <c r="AG124" t="inlineStr">
        <is>
          <t>No</t>
        </is>
      </c>
      <c r="AH124" t="inlineStr">
        <is>
          <t>NOT_MENTIONED</t>
        </is>
      </c>
      <c r="AI124" t="inlineStr">
        <is>
          <t>No mention of PPO or conversion in the job description</t>
        </is>
      </c>
      <c r="AJ124" t="inlineStr">
        <is>
          <t>Python and FastAPI are listed as mandatory/primary requirements, but Python is only present as a working knowledge skill without project/work demonstration, and FastAPI is not demonstrated or listed as a core skill.</t>
        </is>
      </c>
      <c r="AK124" t="inlineStr">
        <is>
          <t>Stipend not disclosed</t>
        </is>
      </c>
      <c r="AL124" t="inlineStr">
        <is>
          <t>Python asynchronous programming; FastAPI dependency injection and routing; RESTful API design; Database integration with Python</t>
        </is>
      </c>
    </row>
    <row r="125">
      <c r="A125" t="inlineStr">
        <is>
          <t>JUMPINGMINDS-261002-124</t>
        </is>
      </c>
      <c r="B125" t="inlineStr">
        <is>
          <t>JumpingMinds</t>
        </is>
      </c>
      <c r="C125" t="inlineStr">
        <is>
          <t>Backend Developer Intern - Python/Django</t>
        </is>
      </c>
      <c r="D125" t="inlineStr">
        <is>
          <t>https://www.adzuna.in/details/4149351967?utm_medium=api&amp;utm_source=5ccdc27f</t>
        </is>
      </c>
      <c r="E125" t="inlineStr">
        <is>
          <t>AI Analyzer</t>
        </is>
      </c>
      <c r="F125" t="inlineStr">
        <is>
          <t>India</t>
        </is>
      </c>
      <c r="G125" t="inlineStr">
        <is>
          <t>UNKNOWN</t>
        </is>
      </c>
      <c r="H125" t="inlineStr">
        <is>
          <t>Not specified</t>
        </is>
      </c>
      <c r="I125" t="inlineStr">
        <is>
          <t>UNKNOWN</t>
        </is>
      </c>
      <c r="J125" t="inlineStr">
        <is>
          <t>NOT_MENTIONED</t>
        </is>
      </c>
      <c r="K125" t="inlineStr">
        <is>
          <t>Python; Django; Backend Development</t>
        </is>
      </c>
      <c r="L125" t="inlineStr">
        <is>
          <t>Startup experience</t>
        </is>
      </c>
      <c r="M125" t="inlineStr">
        <is>
          <t>We're looking for an experienced Backend Engineer Interns to join our growing team of engineers to help build and maintain our products. You should have prior internship experience as Backend intern using PythonDjango Requirements/Skills At least prior internship experience -on Backend development experience especially in Python &amp; Django stack is must Prior experience in tech and product startups ‍. Good communication skills Minimum 60% aggregate marks (Passed out year - 2022 &amp; 2023) Sound know…</t>
        </is>
      </c>
      <c r="N125" t="n">
        <v>20</v>
      </c>
      <c r="O125" t="n">
        <v>20</v>
      </c>
      <c r="P125" t="n">
        <v>20</v>
      </c>
      <c r="Q125" t="n">
        <v>40</v>
      </c>
      <c r="R125" t="n">
        <v>0</v>
      </c>
      <c r="S125" t="n">
        <v>0</v>
      </c>
      <c r="T125" t="n">
        <v>40</v>
      </c>
      <c r="U125" t="inlineStr">
        <is>
          <t>SKIP</t>
        </is>
      </c>
      <c r="V125" t="inlineStr">
        <is>
          <t>SKIP</t>
        </is>
      </c>
      <c r="W125" t="inlineStr">
        <is>
          <t>Python; Django</t>
        </is>
      </c>
      <c r="X125" t="inlineStr">
        <is>
          <t>Amaanuddin_Ahmed_Resume.pdf</t>
        </is>
      </c>
      <c r="Y125" t="inlineStr">
        <is>
          <t>2026-10-02</t>
        </is>
      </c>
      <c r="AA125" t="inlineStr">
        <is>
          <t>FAIL</t>
        </is>
      </c>
      <c r="AB125" t="inlineStr">
        <is>
          <t>Passed out year requirement is 2022 &amp; 2023, but candidate is in MCA 2025-2027 program.; Mandatory Python &amp; Django backend internship experience is missing from candidate's demonstrated work experience.</t>
        </is>
      </c>
      <c r="AC125" t="inlineStr">
        <is>
          <t>UNKNOWN</t>
        </is>
      </c>
      <c r="AD125" t="inlineStr">
        <is>
          <t>Availability not explicitly stated in relation to the specific timeline requested by the company.</t>
        </is>
      </c>
      <c r="AE125" t="inlineStr">
        <is>
          <t>UNKNOWN</t>
        </is>
      </c>
      <c r="AF125" t="n">
        <v>0</v>
      </c>
      <c r="AG125" t="inlineStr">
        <is>
          <t>No</t>
        </is>
      </c>
      <c r="AH125" t="inlineStr">
        <is>
          <t>NOT_MENTIONED</t>
        </is>
      </c>
      <c r="AI125" t="inlineStr">
        <is>
          <t>No mention of PPO or conversion in the job description.</t>
        </is>
      </c>
      <c r="AJ125" t="inlineStr">
        <is>
          <t>Passed out year requirement (2022 &amp; 2023); Mandatory prior Python &amp; Django backend internship experience</t>
        </is>
      </c>
      <c r="AK125" t="inlineStr">
        <is>
          <t>Outdated passed out year criteria (2022 &amp; 2023) for a current internship posting</t>
        </is>
      </c>
      <c r="AL125" t="inlineStr">
        <is>
          <t>Python and Django fundamentals; Backend architecture and REST APIs; Startup engineering workflows</t>
        </is>
      </c>
    </row>
    <row r="126">
      <c r="A126" t="inlineStr">
        <is>
          <t>MOGI-IO-261002-125</t>
        </is>
      </c>
      <c r="B126" t="inlineStr">
        <is>
          <t>Mogi IO</t>
        </is>
      </c>
      <c r="C126" t="inlineStr">
        <is>
          <t>Backend Developer Intern</t>
        </is>
      </c>
      <c r="D126" t="inlineStr">
        <is>
          <t>https://www.adzuna.in/details/3066949136?utm_medium=api&amp;utm_source=5ccdc27f</t>
        </is>
      </c>
      <c r="E126" t="inlineStr">
        <is>
          <t>AI Analyzer</t>
        </is>
      </c>
      <c r="F126" t="inlineStr">
        <is>
          <t>Delhi, India</t>
        </is>
      </c>
      <c r="G126" t="inlineStr">
        <is>
          <t>On-site</t>
        </is>
      </c>
      <c r="H126" t="inlineStr">
        <is>
          <t>Not specified</t>
        </is>
      </c>
      <c r="I126" t="inlineStr">
        <is>
          <t>Not specified</t>
        </is>
      </c>
      <c r="J126" t="inlineStr">
        <is>
          <t>Yes</t>
        </is>
      </c>
      <c r="K126" t="inlineStr">
        <is>
          <t>Node.js; MongoDB; Backend Development; Full Stack Development</t>
        </is>
      </c>
      <c r="L126" t="inlineStr">
        <is>
          <t>MEAN Stack</t>
        </is>
      </c>
      <c r="M126" t="inlineStr">
        <is>
          <t>Mogi I/O (www.mogiio.com), a Delhi based video delivery SaaS venture, is looking for a Full-stack /mean stack developer, both for an internship role. A candidate should be high performance, high energy. He would work on core video and image tech. Should be a hands-on Full Stack or mean stack coder. Experience – Any experience in Back end working on NodeJs and MongoDB. Some core requirements - Should be a hands-on Back end- NodeJs and MongoDB, with experience in building real world applications.…</t>
        </is>
      </c>
      <c r="N126" t="n">
        <v>78</v>
      </c>
      <c r="O126" t="n">
        <v>90</v>
      </c>
      <c r="P126" t="n">
        <v>85</v>
      </c>
      <c r="Q126" t="n">
        <v>85</v>
      </c>
      <c r="R126" t="n">
        <v>100</v>
      </c>
      <c r="S126" t="n">
        <v>0</v>
      </c>
      <c r="T126" t="n">
        <v>60</v>
      </c>
      <c r="U126" t="inlineStr">
        <is>
          <t>SKIP</t>
        </is>
      </c>
      <c r="V126" t="inlineStr">
        <is>
          <t>SKIP</t>
        </is>
      </c>
      <c r="X126" t="inlineStr">
        <is>
          <t>Amaanuddin_Ahmed_Resume.pdf</t>
        </is>
      </c>
      <c r="Y126" t="inlineStr">
        <is>
          <t>2026-10-02</t>
        </is>
      </c>
      <c r="Z126" t="inlineStr">
        <is>
          <t>Strong technical match for Node.js and MongoDB backend requirements.; Explicit PPO conversion opportunity aligns with high PPO priority.</t>
        </is>
      </c>
      <c r="AA126" t="inlineStr">
        <is>
          <t>No</t>
        </is>
      </c>
      <c r="AB126" t="inlineStr">
        <is>
          <t>Location mismatch: Job is in Delhi, India, whereas preferred location is Bengaluru, India.</t>
        </is>
      </c>
      <c r="AC126" t="inlineStr">
        <is>
          <t>Unknown</t>
        </is>
      </c>
      <c r="AD126" t="inlineStr">
        <is>
          <t>Availability not specified in candidate profile.</t>
        </is>
      </c>
      <c r="AE126" t="inlineStr">
        <is>
          <t>UNKNOWN</t>
        </is>
      </c>
      <c r="AF126" t="n">
        <v>0</v>
      </c>
      <c r="AG126" t="inlineStr">
        <is>
          <t>No</t>
        </is>
      </c>
      <c r="AH126" t="inlineStr">
        <is>
          <t>Yes</t>
        </is>
      </c>
      <c r="AI126" t="inlineStr">
        <is>
          <t>Converts to full-time</t>
        </is>
      </c>
      <c r="AJ126" t="inlineStr">
        <is>
          <t>Location mismatch: Job is in Delhi, India, while candidate prefers Bengaluru, India.</t>
        </is>
      </c>
      <c r="AK126" t="inlineStr">
        <is>
          <t>No stipend information provided; Location is Delhi instead of Bengaluru</t>
        </is>
      </c>
      <c r="AL126" t="inlineStr">
        <is>
          <t>Node.js event loop and asynchronous programming; MongoDB indexing and aggregation pipelines; Building and scaling REST APIs</t>
        </is>
      </c>
    </row>
    <row r="127">
      <c r="A127" t="inlineStr">
        <is>
          <t>FINHENCE-261002-126</t>
        </is>
      </c>
      <c r="B127" t="inlineStr">
        <is>
          <t>finhence</t>
        </is>
      </c>
      <c r="C127" t="inlineStr">
        <is>
          <t>backend web development intern</t>
        </is>
      </c>
      <c r="D127" t="inlineStr">
        <is>
          <t>https://www.adzuna.in/details/3126297326?utm_medium=api&amp;utm_source=5ccdc27f</t>
        </is>
      </c>
      <c r="E127" t="inlineStr">
        <is>
          <t>AI Analyzer</t>
        </is>
      </c>
      <c r="F127" t="inlineStr">
        <is>
          <t>Delhi, India</t>
        </is>
      </c>
      <c r="G127" t="inlineStr">
        <is>
          <t>On-site</t>
        </is>
      </c>
      <c r="I127" t="inlineStr">
        <is>
          <t>4 months</t>
        </is>
      </c>
      <c r="J127" t="inlineStr">
        <is>
          <t>UNKNOWN</t>
        </is>
      </c>
      <c r="K127" t="inlineStr">
        <is>
          <t>node.js; API; PHP</t>
        </is>
      </c>
      <c r="M127" t="inlineStr">
        <is>
          <t>finhence is hiring for the role of back-end web developement intern. duration- 4 months skills required - node.js, API , PHP etc experience- freshers/ undergraduates can apply Skills:- API, PHP and NodeJS (Node.js)</t>
        </is>
      </c>
      <c r="N127" t="n">
        <v>59</v>
      </c>
      <c r="O127" t="n">
        <v>70</v>
      </c>
      <c r="P127" t="n">
        <v>80</v>
      </c>
      <c r="Q127" t="n">
        <v>80</v>
      </c>
      <c r="R127" t="n">
        <v>40</v>
      </c>
      <c r="S127" t="n">
        <v>0</v>
      </c>
      <c r="T127" t="n">
        <v>40</v>
      </c>
      <c r="U127" t="inlineStr">
        <is>
          <t>SKIP</t>
        </is>
      </c>
      <c r="V127" t="inlineStr">
        <is>
          <t>SKIP</t>
        </is>
      </c>
      <c r="W127" t="inlineStr">
        <is>
          <t>PHP</t>
        </is>
      </c>
      <c r="X127" t="inlineStr">
        <is>
          <t>Amaanuddin_Ahmed_Resume.pdf</t>
        </is>
      </c>
      <c r="Y127" t="inlineStr">
        <is>
          <t>2026-10-02</t>
        </is>
      </c>
      <c r="Z127" t="inlineStr">
        <is>
          <t>Matches backend intern role requirement; Requires Node.js and APIs which candidate has demonstrated experience with</t>
        </is>
      </c>
      <c r="AA127" t="inlineStr">
        <is>
          <t>ELIGIBLE</t>
        </is>
      </c>
      <c r="AB127" t="inlineStr">
        <is>
          <t>Freshers and undergraduates can apply; Candidate is an MCA student matching intern status</t>
        </is>
      </c>
      <c r="AC127" t="inlineStr">
        <is>
          <t>UNKNOWN</t>
        </is>
      </c>
      <c r="AD127" t="inlineStr">
        <is>
          <t>Availability not explicitly specified in the career brain relative to start date</t>
        </is>
      </c>
      <c r="AE127" t="inlineStr">
        <is>
          <t>UNKNOWN</t>
        </is>
      </c>
      <c r="AF127" t="n">
        <v>0</v>
      </c>
      <c r="AG127" t="inlineStr">
        <is>
          <t>No</t>
        </is>
      </c>
      <c r="AH127" t="inlineStr">
        <is>
          <t>UNKNOWN</t>
        </is>
      </c>
      <c r="AI127" t="inlineStr">
        <is>
          <t>No mention of PPO or conversion in the job description</t>
        </is>
      </c>
      <c r="AJ127" t="inlineStr">
        <is>
          <t>Location mismatch: Job is in Delhi, India while candidate prefers Bengaluru, India</t>
        </is>
      </c>
      <c r="AK127" t="inlineStr">
        <is>
          <t>Location is Delhi, India which violates preferred location; Stipend is completely unknown</t>
        </is>
      </c>
      <c r="AL127" t="inlineStr">
        <is>
          <t>Node.js event loop and asynchronous programming; RESTful API design and security; PHP fundamentals and experience comparison with Node.js</t>
        </is>
      </c>
    </row>
    <row r="128">
      <c r="A128" t="inlineStr">
        <is>
          <t>SHIRYAM-261002-127</t>
        </is>
      </c>
      <c r="B128" t="inlineStr">
        <is>
          <t>shiryam</t>
        </is>
      </c>
      <c r="C128" t="inlineStr">
        <is>
          <t>Backend Developer (Python Intern)</t>
        </is>
      </c>
      <c r="D128" t="inlineStr">
        <is>
          <t>https://www.adzuna.in/details/3447826016?utm_medium=api&amp;utm_source=5ccdc27f</t>
        </is>
      </c>
      <c r="E128" t="inlineStr">
        <is>
          <t>AI Analyzer</t>
        </is>
      </c>
      <c r="F128" t="inlineStr">
        <is>
          <t>India</t>
        </is>
      </c>
      <c r="G128" t="inlineStr">
        <is>
          <t>Remote option available</t>
        </is>
      </c>
      <c r="H128" t="inlineStr">
        <is>
          <t>Competitive stipend</t>
        </is>
      </c>
      <c r="I128" t="inlineStr">
        <is>
          <t>unknown</t>
        </is>
      </c>
      <c r="J128" t="inlineStr">
        <is>
          <t>YES</t>
        </is>
      </c>
      <c r="K128" t="inlineStr">
        <is>
          <t>Python; Server-side logic; Web development</t>
        </is>
      </c>
      <c r="M128" t="inlineStr">
        <is>
          <t>We are looking for a Python Web Developer Intern responsible for managing the interchange of data between the server and the users. Your primary focus will be the development of all server-side logic, ensuring high performance and responsiveness to requests from the front-end. Perks of working with us: Competitive stipend Remote option available Certificate and Letter of recommendation Slack/Asana focussed environment Cool managers Meme focussed communication Opportunity to convert to work full…</t>
        </is>
      </c>
      <c r="N128" t="n">
        <v>52</v>
      </c>
      <c r="O128" t="n">
        <v>40</v>
      </c>
      <c r="P128" t="n">
        <v>50</v>
      </c>
      <c r="Q128" t="n">
        <v>60</v>
      </c>
      <c r="R128" t="n">
        <v>90</v>
      </c>
      <c r="S128" t="n">
        <v>20</v>
      </c>
      <c r="T128" t="n">
        <v>60</v>
      </c>
      <c r="U128" t="inlineStr">
        <is>
          <t>SKIP</t>
        </is>
      </c>
      <c r="V128" t="inlineStr">
        <is>
          <t>SKIP</t>
        </is>
      </c>
      <c r="W128" t="inlineStr">
        <is>
          <t>Python</t>
        </is>
      </c>
      <c r="X128" t="inlineStr">
        <is>
          <t>Amaanuddin_Ahmed_Resume_Default.pdf</t>
        </is>
      </c>
      <c r="Y128" t="inlineStr">
        <is>
          <t>2026-10-02</t>
        </is>
      </c>
      <c r="Z128" t="inlineStr">
        <is>
          <t>Mentions an opportunity to convert to a full-time role.; Remote work option is available.</t>
        </is>
      </c>
      <c r="AA128" t="inlineStr">
        <is>
          <t>ELIGIBLE</t>
        </is>
      </c>
      <c r="AB128" t="inlineStr">
        <is>
          <t>No hard blockers found in the job description regarding degree or graduation year.</t>
        </is>
      </c>
      <c r="AC128" t="inlineStr">
        <is>
          <t>UNKNOWN</t>
        </is>
      </c>
      <c r="AD128" t="inlineStr">
        <is>
          <t>Availability not explicitly specified in the candidate profile.</t>
        </is>
      </c>
      <c r="AE128" t="inlineStr">
        <is>
          <t>UNKNOWN</t>
        </is>
      </c>
      <c r="AF128" t="n">
        <v>0</v>
      </c>
      <c r="AG128" t="inlineStr">
        <is>
          <t>No</t>
        </is>
      </c>
      <c r="AH128" t="inlineStr">
        <is>
          <t>YES</t>
        </is>
      </c>
      <c r="AI128" t="inlineStr">
        <is>
          <t>Opportunity to convert to work full…</t>
        </is>
      </c>
      <c r="AK128" t="inlineStr">
        <is>
          <t>Stipend amount is unspecified ('Competitive stipend'); Primary tech stack is Python, which the candidate only has working knowledge of and has not demonstrated in professional experience.</t>
        </is>
      </c>
      <c r="AL128" t="inlineStr">
        <is>
          <t>Python web frameworks (Django/Flask); Server-side logic and database integration; API development and data exchange</t>
        </is>
      </c>
    </row>
    <row r="129">
      <c r="A129" t="inlineStr">
        <is>
          <t>PARKSMART-261002-128</t>
        </is>
      </c>
      <c r="B129" t="inlineStr">
        <is>
          <t>Parksmart</t>
        </is>
      </c>
      <c r="C129" t="inlineStr">
        <is>
          <t>Node Js Backend Intern</t>
        </is>
      </c>
      <c r="D129" t="inlineStr">
        <is>
          <t>https://www.adzuna.in/details/5241945722?utm_medium=api&amp;utm_source=5ccdc27f</t>
        </is>
      </c>
      <c r="E129" t="inlineStr">
        <is>
          <t>AI Analyzer</t>
        </is>
      </c>
      <c r="F129" t="inlineStr">
        <is>
          <t>Noida, Ghaziabad</t>
        </is>
      </c>
      <c r="G129" t="inlineStr">
        <is>
          <t>Remote / Onsite</t>
        </is>
      </c>
      <c r="H129" t="inlineStr">
        <is>
          <t>Not specified</t>
        </is>
      </c>
      <c r="I129" t="inlineStr">
        <is>
          <t>2 Months</t>
        </is>
      </c>
      <c r="J129" t="inlineStr">
        <is>
          <t>NOT_MENTIONED</t>
        </is>
      </c>
      <c r="K129" t="inlineStr">
        <is>
          <t>Node.js; Firebase; AWS; SQL; NoSQL; RESTful API integration; MVC Framework; React.js; MongoDB</t>
        </is>
      </c>
      <c r="M129" t="inlineStr">
        <is>
          <t>We're Urgently Hiring – Node.js Backend Development Intern Join our backend team as an intern and get hands-on experience building scalable, real-world applications with Node.js, Firebase, and AWS. Remote / Onsite Duration: 2 Months What You’ll Work On: Backend development using Node.js Firebase, SQL &amp; NoSQL database management RESTful API integration Deployment on AWS infrastructure Skills:- NodeJS (Node.js), Amazon Web Services (AWS), React.js, SQL, MongoDB and MVC Framework</t>
        </is>
      </c>
      <c r="N129" t="n">
        <v>63</v>
      </c>
      <c r="O129" t="n">
        <v>70</v>
      </c>
      <c r="P129" t="n">
        <v>80</v>
      </c>
      <c r="Q129" t="n">
        <v>85</v>
      </c>
      <c r="R129" t="n">
        <v>30</v>
      </c>
      <c r="S129" t="n">
        <v>40</v>
      </c>
      <c r="T129" t="n">
        <v>50</v>
      </c>
      <c r="U129" t="inlineStr">
        <is>
          <t>STRETCH</t>
        </is>
      </c>
      <c r="V129" t="inlineStr">
        <is>
          <t>STRETCH</t>
        </is>
      </c>
      <c r="W129" t="inlineStr">
        <is>
          <t>Firebase</t>
        </is>
      </c>
      <c r="X129" t="inlineStr">
        <is>
          <t>Amaanuddin_Ahmed_Resume.pdf</t>
        </is>
      </c>
      <c r="Y129" t="inlineStr">
        <is>
          <t>2026-10-02</t>
        </is>
      </c>
      <c r="Z129" t="inlineStr">
        <is>
          <t>Good alignment with Node.js backend development role.; Allows gaining experience with AWS deployment and backend architecture.</t>
        </is>
      </c>
      <c r="AA129" t="inlineStr">
        <is>
          <t>ELIGIBLE</t>
        </is>
      </c>
      <c r="AB129" t="inlineStr">
        <is>
          <t>No hard restrictions on graduation year or degree mentioned in the JD.; Matches technical scope for Node.js backend development.</t>
        </is>
      </c>
      <c r="AC129" t="inlineStr">
        <is>
          <t>UNKNOWN</t>
        </is>
      </c>
      <c r="AD129" t="inlineStr">
        <is>
          <t>Availability not explicitly detailed in the candidate profile besides being an MCA student graduating in 2027.</t>
        </is>
      </c>
      <c r="AE129" t="inlineStr">
        <is>
          <t>UNKNOWN</t>
        </is>
      </c>
      <c r="AF129" t="n">
        <v>0</v>
      </c>
      <c r="AG129" t="inlineStr">
        <is>
          <t>No</t>
        </is>
      </c>
      <c r="AH129" t="inlineStr">
        <is>
          <t>NOT_MENTIONED</t>
        </is>
      </c>
      <c r="AI129" t="inlineStr">
        <is>
          <t>No mention of PPO or conversion to full-time employment in the job description.</t>
        </is>
      </c>
      <c r="AK129" t="inlineStr">
        <is>
          <t>Stipend is completely unspecified.; Duration is short (2 Months).</t>
        </is>
      </c>
      <c r="AL129" t="inlineStr">
        <is>
          <t>Node.js event loop and asynchronous programming; MVC architecture implementation in Express/Node; Database design with SQL and MongoDB; AWS deployment and services experience</t>
        </is>
      </c>
    </row>
    <row r="130">
      <c r="A130" t="inlineStr">
        <is>
          <t>MIKO-GROUP-261002-129</t>
        </is>
      </c>
      <c r="B130" t="inlineStr">
        <is>
          <t>Miko Group</t>
        </is>
      </c>
      <c r="C130" t="inlineStr">
        <is>
          <t>Software Development Intern Backend Mumbai</t>
        </is>
      </c>
      <c r="D130" t="inlineStr">
        <is>
          <t>https://www.adzuna.in/details/5827200415?utm_medium=api&amp;utm_source=5ccdc27f</t>
        </is>
      </c>
      <c r="E130" t="inlineStr">
        <is>
          <t>AI Analyzer</t>
        </is>
      </c>
      <c r="F130" t="inlineStr">
        <is>
          <t>Mumbai, Maharashtra</t>
        </is>
      </c>
      <c r="G130" t="inlineStr">
        <is>
          <t>Onsite</t>
        </is>
      </c>
      <c r="H130" t="inlineStr">
        <is>
          <t>Not Specified</t>
        </is>
      </c>
      <c r="I130" t="inlineStr">
        <is>
          <t>Not Specified</t>
        </is>
      </c>
      <c r="J130" t="inlineStr">
        <is>
          <t>No</t>
        </is>
      </c>
      <c r="K130" t="inlineStr">
        <is>
          <t>Backend Development</t>
        </is>
      </c>
      <c r="M130" t="inlineStr">
        <is>
          <t>Location Dadar Mumbai Onsite Remote Experience 6 Months 1 Year About Miko Miko is an advanced consumer robotics innovation lab focused on bringing Robotics and AI to every consumer home Founded by entrepreneurs from IIT Bombay Miko is a global deeptech company with offices in the US UK and India serving customers across 140 countries Our flagship product Miko 3 is an AIpowered learning robot designed to educate engage and entertain children through conversational learning and interactive experi…</t>
        </is>
      </c>
      <c r="N130" t="n">
        <v>45</v>
      </c>
      <c r="O130" t="n">
        <v>60</v>
      </c>
      <c r="P130" t="n">
        <v>60</v>
      </c>
      <c r="Q130" t="n">
        <v>65</v>
      </c>
      <c r="R130" t="n">
        <v>0</v>
      </c>
      <c r="S130" t="n">
        <v>0</v>
      </c>
      <c r="T130" t="n">
        <v>50</v>
      </c>
      <c r="U130" t="inlineStr">
        <is>
          <t>SKIP</t>
        </is>
      </c>
      <c r="V130" t="inlineStr">
        <is>
          <t>SKIP</t>
        </is>
      </c>
      <c r="X130" t="inlineStr">
        <is>
          <t>Amaanuddin_Ahmed_Resume.pdf</t>
        </is>
      </c>
      <c r="Y130" t="inlineStr">
        <is>
          <t>2026-10-02</t>
        </is>
      </c>
      <c r="AA130" t="inlineStr">
        <is>
          <t>Ineligible</t>
        </is>
      </c>
      <c r="AB130" t="inlineStr">
        <is>
          <t>Job location is Mumbai, Maharashtra, but candidate's preferred location is Bengaluru, India.</t>
        </is>
      </c>
      <c r="AC130" t="inlineStr">
        <is>
          <t>Unknown</t>
        </is>
      </c>
      <c r="AD130" t="inlineStr">
        <is>
          <t>Availability dates are not specified in the job description.</t>
        </is>
      </c>
      <c r="AE130" t="inlineStr">
        <is>
          <t>UNKNOWN</t>
        </is>
      </c>
      <c r="AF130" t="n">
        <v>0</v>
      </c>
      <c r="AG130" t="inlineStr">
        <is>
          <t>No</t>
        </is>
      </c>
      <c r="AH130" t="inlineStr">
        <is>
          <t>No</t>
        </is>
      </c>
      <c r="AI130" t="inlineStr">
        <is>
          <t>No mention of PPO or conversion to full-time employment in the job description.</t>
        </is>
      </c>
      <c r="AJ130" t="inlineStr">
        <is>
          <t>Location mismatch: Job is onsite in Mumbai, candidate prefers Bengaluru.</t>
        </is>
      </c>
      <c r="AK130" t="inlineStr">
        <is>
          <t>Stipend is not disclosed.; No PPO mentioned.</t>
        </is>
      </c>
      <c r="AL130" t="inlineStr">
        <is>
          <t>Backend development principles; API design; Database management</t>
        </is>
      </c>
    </row>
    <row r="131">
      <c r="A131" t="inlineStr">
        <is>
          <t>YLYTIC-261002-130</t>
        </is>
      </c>
      <c r="B131" t="inlineStr">
        <is>
          <t>Ylytic</t>
        </is>
      </c>
      <c r="C131" t="inlineStr">
        <is>
          <t>Backend Developer Intern</t>
        </is>
      </c>
      <c r="D131" t="inlineStr">
        <is>
          <t>https://www.adzuna.in/details/3148437412?utm_medium=api&amp;utm_source=5ccdc27f</t>
        </is>
      </c>
      <c r="E131" t="inlineStr">
        <is>
          <t>AI Analyzer</t>
        </is>
      </c>
      <c r="F131" t="inlineStr">
        <is>
          <t>India</t>
        </is>
      </c>
      <c r="G131" t="inlineStr">
        <is>
          <t>UNKNOWN</t>
        </is>
      </c>
      <c r="H131" t="inlineStr">
        <is>
          <t>Not specified</t>
        </is>
      </c>
      <c r="I131" t="inlineStr">
        <is>
          <t>UNKNOWN</t>
        </is>
      </c>
      <c r="J131" t="inlineStr">
        <is>
          <t>YES</t>
        </is>
      </c>
      <c r="K131" t="inlineStr">
        <is>
          <t>Backend Development</t>
        </is>
      </c>
      <c r="L131" t="inlineStr">
        <is>
          <t>Analytics; Scalable Product Development</t>
        </is>
      </c>
      <c r="M131" t="inlineStr">
        <is>
          <t>Backend Development - Intern Converts into a full time position based on performance A Backend Developer, for an early-stage Analytics startup who can help us translate Product specs into a high-performing and scalable product across platforms. Also help in improving functionality of product. End goal is to achieve product-market objectives The candidate will have rich learning into what goes into developing, scaling a product from scratch. A chance to grow into a Backend Development Owner in m…</t>
        </is>
      </c>
      <c r="N131" t="n">
        <v>79</v>
      </c>
      <c r="O131" t="n">
        <v>80</v>
      </c>
      <c r="P131" t="n">
        <v>85</v>
      </c>
      <c r="Q131" t="n">
        <v>85</v>
      </c>
      <c r="R131" t="n">
        <v>90</v>
      </c>
      <c r="S131" t="n">
        <v>40</v>
      </c>
      <c r="T131" t="n">
        <v>75</v>
      </c>
      <c r="U131" t="inlineStr">
        <is>
          <t>CONSIDER</t>
        </is>
      </c>
      <c r="V131" t="inlineStr">
        <is>
          <t>CONSIDER</t>
        </is>
      </c>
      <c r="X131" t="inlineStr">
        <is>
          <t>Standard Full Stack / Backend Resume</t>
        </is>
      </c>
      <c r="Y131" t="inlineStr">
        <is>
          <t>2026-10-02</t>
        </is>
      </c>
      <c r="Z131" t="inlineStr">
        <is>
          <t>Explicit conversion to a full-time position (PPO) based on performance aligns with high priority goals.; Matches backend internship target roles and utilizes Node.js and Express experience.; Early-stage startup environment offers strong ownership and learning growth.</t>
        </is>
      </c>
      <c r="AA131" t="inlineStr">
        <is>
          <t>ELIGIBLE</t>
        </is>
      </c>
      <c r="AC131" t="inlineStr">
        <is>
          <t>UNKNOWN</t>
        </is>
      </c>
      <c r="AD131" t="inlineStr">
        <is>
          <t>Availability not explicitly specified in candidate profile regarding start dates.</t>
        </is>
      </c>
      <c r="AE131" t="inlineStr">
        <is>
          <t>UNKNOWN</t>
        </is>
      </c>
      <c r="AF131" t="n">
        <v>0</v>
      </c>
      <c r="AG131" t="inlineStr">
        <is>
          <t>No</t>
        </is>
      </c>
      <c r="AH131" t="inlineStr">
        <is>
          <t>YES</t>
        </is>
      </c>
      <c r="AI131" t="inlineStr">
        <is>
          <t>Converts into a full time position based on performance</t>
        </is>
      </c>
      <c r="AK131" t="inlineStr">
        <is>
          <t>Stipend is completely undisclosed</t>
        </is>
      </c>
      <c r="AL131" t="inlineStr">
        <is>
          <t>Backend development practices and scaling; Database design and query optimization; API architecture and performance tuning; Early-stage startup experience and product ownership</t>
        </is>
      </c>
    </row>
    <row r="132">
      <c r="A132" t="inlineStr">
        <is>
          <t>JUSPAY-TECHN-261002-131</t>
        </is>
      </c>
      <c r="B132" t="inlineStr">
        <is>
          <t>Juspay Technologies</t>
        </is>
      </c>
      <c r="C132" t="inlineStr">
        <is>
          <t>Software Development Engineer Backend Intern</t>
        </is>
      </c>
      <c r="D132" t="inlineStr">
        <is>
          <t>https://www.adzuna.in/details/5854847430?utm_medium=api&amp;utm_source=5ccdc27f</t>
        </is>
      </c>
      <c r="E132" t="inlineStr">
        <is>
          <t>AI Analyzer</t>
        </is>
      </c>
      <c r="F132" t="inlineStr">
        <is>
          <t>Bangalore, Karnataka</t>
        </is>
      </c>
      <c r="G132" t="inlineStr">
        <is>
          <t>On-site</t>
        </is>
      </c>
      <c r="H132" t="inlineStr">
        <is>
          <t>Not Specified</t>
        </is>
      </c>
      <c r="I132" t="inlineStr">
        <is>
          <t>Not Specified</t>
        </is>
      </c>
      <c r="J132" t="inlineStr">
        <is>
          <t>UNKNOWN</t>
        </is>
      </c>
      <c r="K132" t="inlineStr">
        <is>
          <t>Functional Programming</t>
        </is>
      </c>
      <c r="L132" t="inlineStr">
        <is>
          <t>Backend Development</t>
        </is>
      </c>
      <c r="M132" t="inlineStr">
        <is>
          <t>Software Development Engineer Backend Intern at Juspay is a genuinely different kind of internship listing most companies bury their tech stack in a generic modern technologies line but Juspay states directly that its built its entire core business logic in functional programming and describes itself as the largest company in the world doing so at this scale Understanding Juspays actual scale before applying This isnt a small fintech startup Juspay is a multinational payments technology company…</t>
        </is>
      </c>
      <c r="N132" t="n">
        <v>60</v>
      </c>
      <c r="O132" t="n">
        <v>50</v>
      </c>
      <c r="P132" t="n">
        <v>70</v>
      </c>
      <c r="Q132" t="n">
        <v>80</v>
      </c>
      <c r="R132" t="n">
        <v>50</v>
      </c>
      <c r="S132" t="n">
        <v>40</v>
      </c>
      <c r="T132" t="n">
        <v>80</v>
      </c>
      <c r="U132" t="inlineStr">
        <is>
          <t>STRETCH</t>
        </is>
      </c>
      <c r="V132" t="inlineStr">
        <is>
          <t>STRETCH</t>
        </is>
      </c>
      <c r="W132" t="inlineStr">
        <is>
          <t>Functional Programming</t>
        </is>
      </c>
      <c r="X132" t="inlineStr">
        <is>
          <t>Amaanuddin_Ahmed_Resume.pdf</t>
        </is>
      </c>
      <c r="Y132" t="inlineStr">
        <is>
          <t>2026-10-02</t>
        </is>
      </c>
      <c r="Z132" t="inlineStr">
        <is>
          <t>Juspay is a prominent multinational payments tech company offering high opportunity quality.; Matches the primary target role for backend internship.</t>
        </is>
      </c>
      <c r="AA132" t="inlineStr">
        <is>
          <t>ELIGIBLE</t>
        </is>
      </c>
      <c r="AB132" t="inlineStr">
        <is>
          <t>Location matches preferred location (Bangalore); Role matches target role (Backend Developer Intern); No explicit degree or graduation year blockers mentioned in the snippet</t>
        </is>
      </c>
      <c r="AC132" t="inlineStr">
        <is>
          <t>UNKNOWN</t>
        </is>
      </c>
      <c r="AD132" t="inlineStr">
        <is>
          <t>Availability dates not specified in the career brain</t>
        </is>
      </c>
      <c r="AE132" t="inlineStr">
        <is>
          <t>UNKNOWN</t>
        </is>
      </c>
      <c r="AF132" t="n">
        <v>0</v>
      </c>
      <c r="AG132" t="inlineStr">
        <is>
          <t>No</t>
        </is>
      </c>
      <c r="AH132" t="inlineStr">
        <is>
          <t>UNKNOWN</t>
        </is>
      </c>
      <c r="AI132" t="inlineStr">
        <is>
          <t>PPO or conversion details are not explicitly mentioned in the provided job description snippet.</t>
        </is>
      </c>
      <c r="AK132" t="inlineStr">
        <is>
          <t>Job description is heavily truncated and lacks specifics on stipend, duration, and exact tech requirements beyond functional programming.</t>
        </is>
      </c>
      <c r="AL132" t="inlineStr">
        <is>
          <t>Functional Programming concepts and paradigms; Backend system design and scale; Node.js and database management (MySQL/MongoDB)</t>
        </is>
      </c>
    </row>
    <row r="133">
      <c r="A133" t="inlineStr">
        <is>
          <t>SPRINGER-CAP-261002-132</t>
        </is>
      </c>
      <c r="B133" t="inlineStr">
        <is>
          <t>Springer Capital</t>
        </is>
      </c>
      <c r="C133" t="inlineStr">
        <is>
          <t>Backend Engineering Intern (Infrastructure Software)</t>
        </is>
      </c>
      <c r="D133" t="inlineStr">
        <is>
          <t>https://www.adzuna.in/details/5600695068?utm_medium=api&amp;utm_source=5ccdc27f</t>
        </is>
      </c>
      <c r="E133" t="inlineStr">
        <is>
          <t>AI Analyzer</t>
        </is>
      </c>
      <c r="F133" t="inlineStr">
        <is>
          <t>India</t>
        </is>
      </c>
      <c r="G133" t="inlineStr">
        <is>
          <t>Remote</t>
        </is>
      </c>
      <c r="H133" t="inlineStr">
        <is>
          <t>Unpaid (3000 INR is just a placeholder)</t>
        </is>
      </c>
      <c r="I133" t="inlineStr">
        <is>
          <t>12 weeks</t>
        </is>
      </c>
      <c r="J133" t="inlineStr">
        <is>
          <t>not_mentioned</t>
        </is>
      </c>
      <c r="K133" t="inlineStr">
        <is>
          <t>Backend Development; API Development; Database Management; Backend Architecture</t>
        </is>
      </c>
      <c r="M133" t="inlineStr">
        <is>
          <t>Backend Engineering Intern (Infrastructure Software) – Remote Position Type: Internship (Full-Time or Part-Time) Location: Remote Duration: 12 weeks Compensation: Unpaid (3000 INR is just a placeholder) About the Role We are seeking a motivated Backend Developer Intern to join our engineering team and contribute to building scalable, efficient, and secure backend services. This internship offers hands-on experience in API development, database management, and backend architecture, with guidance…</t>
        </is>
      </c>
      <c r="N133" t="n">
        <v>58</v>
      </c>
      <c r="O133" t="n">
        <v>80</v>
      </c>
      <c r="P133" t="n">
        <v>85</v>
      </c>
      <c r="Q133" t="n">
        <v>85</v>
      </c>
      <c r="R133" t="n">
        <v>0</v>
      </c>
      <c r="S133" t="n">
        <v>0</v>
      </c>
      <c r="T133" t="n">
        <v>40</v>
      </c>
      <c r="U133" t="inlineStr">
        <is>
          <t>SKIP</t>
        </is>
      </c>
      <c r="V133" t="inlineStr">
        <is>
          <t>SKIP</t>
        </is>
      </c>
      <c r="X133" t="inlineStr">
        <is>
          <t>Amaanuddin_Ahmed_Resume.pdf</t>
        </is>
      </c>
      <c r="Y133" t="inlineStr">
        <is>
          <t>2026-10-02</t>
        </is>
      </c>
      <c r="Z133" t="inlineStr">
        <is>
          <t>Remote work mode aligns with preferences; Gives practical infrastructure and backend experience</t>
        </is>
      </c>
      <c r="AA133" t="inlineStr">
        <is>
          <t>eligible</t>
        </is>
      </c>
      <c r="AC133" t="inlineStr">
        <is>
          <t>unknown</t>
        </is>
      </c>
      <c r="AD133" t="inlineStr">
        <is>
          <t>Not specified in the job description</t>
        </is>
      </c>
      <c r="AE133" t="inlineStr">
        <is>
          <t>unpaid</t>
        </is>
      </c>
      <c r="AF133" t="n">
        <v>0</v>
      </c>
      <c r="AG133" t="inlineStr">
        <is>
          <t>No</t>
        </is>
      </c>
      <c r="AH133" t="inlineStr">
        <is>
          <t>not_mentioned</t>
        </is>
      </c>
      <c r="AI133" t="inlineStr">
        <is>
          <t>No mention of PPO or conversion in the JD</t>
        </is>
      </c>
      <c r="AK133" t="inlineStr">
        <is>
          <t>Unpaid internship; Placeholder stipend amount</t>
        </is>
      </c>
      <c r="AL133" t="inlineStr">
        <is>
          <t>API development and security; Database management and schema design; Scalable backend architecture</t>
        </is>
      </c>
    </row>
    <row r="134">
      <c r="A134" t="inlineStr">
        <is>
          <t>ROBINHOOD-261002-133</t>
        </is>
      </c>
      <c r="B134" t="inlineStr">
        <is>
          <t>Robinhood</t>
        </is>
      </c>
      <c r="C134" t="inlineStr">
        <is>
          <t>Software Developer Intern, Backend (Summer 2027)</t>
        </is>
      </c>
      <c r="D134" t="inlineStr">
        <is>
          <t>https://www.adzuna.in/details/5885969900?utm_medium=api&amp;utm_source=5ccdc27f</t>
        </is>
      </c>
      <c r="E134" t="inlineStr">
        <is>
          <t>AI Analyzer</t>
        </is>
      </c>
      <c r="F134" t="inlineStr">
        <is>
          <t>India</t>
        </is>
      </c>
      <c r="G134" t="inlineStr">
        <is>
          <t>UNKNOWN</t>
        </is>
      </c>
      <c r="I134" t="inlineStr">
        <is>
          <t>Summer 2027</t>
        </is>
      </c>
      <c r="J134" t="inlineStr">
        <is>
          <t>NOT_MENTIONED</t>
        </is>
      </c>
      <c r="M134" t="inlineStr">
        <is>
          <t>Join us in building the future of finance. Our mission is to democratize finance for all. An estimated $124 trillion of assets will be inherited by younger generations in the next two decades. The largest transfer of wealth in human history. If you’re ready to be at the epicenter of this historic cultural and financial shift, keep reading. About the team role We are building an elite team, applying frontier technologies to the world's biggest financial problems. We're looking for bold thinkers…</t>
        </is>
      </c>
      <c r="N134" t="n">
        <v>66</v>
      </c>
      <c r="O134" t="n">
        <v>60</v>
      </c>
      <c r="P134" t="n">
        <v>70</v>
      </c>
      <c r="Q134" t="n">
        <v>80</v>
      </c>
      <c r="R134" t="n">
        <v>50</v>
      </c>
      <c r="S134" t="n">
        <v>50</v>
      </c>
      <c r="T134" t="n">
        <v>90</v>
      </c>
      <c r="U134" t="inlineStr">
        <is>
          <t>STRETCH</t>
        </is>
      </c>
      <c r="V134" t="inlineStr">
        <is>
          <t>STRETCH</t>
        </is>
      </c>
      <c r="X134" t="inlineStr">
        <is>
          <t>Amaanuddin_Ahmed_Resume.pdf</t>
        </is>
      </c>
      <c r="Y134" t="inlineStr">
        <is>
          <t>2026-10-02</t>
        </is>
      </c>
      <c r="Z134" t="inlineStr">
        <is>
          <t>Robinhood is a top-tier fintech company offering high opportunity quality.; Matches target role for Software Engineering Intern.</t>
        </is>
      </c>
      <c r="AA134" t="inlineStr">
        <is>
          <t>ELIGIBLE</t>
        </is>
      </c>
      <c r="AB134" t="inlineStr">
        <is>
          <t>Target role matches software developer intern; Location India matches candidate preference</t>
        </is>
      </c>
      <c r="AC134" t="inlineStr">
        <is>
          <t>UNKNOWN</t>
        </is>
      </c>
      <c r="AD134" t="inlineStr">
        <is>
          <t>Summer 2027 aligns with MCA program duration 2025-2027, but specific exact dates are not provided.</t>
        </is>
      </c>
      <c r="AE134" t="inlineStr">
        <is>
          <t>UNKNOWN</t>
        </is>
      </c>
      <c r="AF134" t="n">
        <v>0</v>
      </c>
      <c r="AG134" t="inlineStr">
        <is>
          <t>No</t>
        </is>
      </c>
      <c r="AH134" t="inlineStr">
        <is>
          <t>NOT_MENTIONED</t>
        </is>
      </c>
      <c r="AI134" t="inlineStr">
        <is>
          <t>The provided job description snippet does not explicitly mention full-time conversion or PPO.</t>
        </is>
      </c>
      <c r="AK134" t="inlineStr">
        <is>
          <t>Extremely brief job description snippet provided with no specific backend technology stack requirements.</t>
        </is>
      </c>
      <c r="AL134" t="inlineStr">
        <is>
          <t>Backend systems design and scalability; Distributed systems; Data structures and algorithms; Previous full-stack internship experience and API development</t>
        </is>
      </c>
    </row>
    <row r="135">
      <c r="A135" t="inlineStr">
        <is>
          <t>SMYTTEN-261002-134</t>
        </is>
      </c>
      <c r="B135" t="inlineStr">
        <is>
          <t>Smytten</t>
        </is>
      </c>
      <c r="C135" t="inlineStr">
        <is>
          <t>Software Development Engineer Intern – Backend</t>
        </is>
      </c>
      <c r="D135" t="inlineStr">
        <is>
          <t>https://www.adzuna.in/details/5902287405?utm_medium=api&amp;utm_source=5ccdc27f</t>
        </is>
      </c>
      <c r="E135" t="inlineStr">
        <is>
          <t>AI Analyzer</t>
        </is>
      </c>
      <c r="F135" t="inlineStr">
        <is>
          <t>Bangalore, Karnataka</t>
        </is>
      </c>
      <c r="G135" t="inlineStr">
        <is>
          <t>Not specified</t>
        </is>
      </c>
      <c r="I135" t="inlineStr">
        <is>
          <t>Not specified</t>
        </is>
      </c>
      <c r="J135" t="inlineStr">
        <is>
          <t>NOT_MENTIONED</t>
        </is>
      </c>
      <c r="K135" t="inlineStr">
        <is>
          <t>Backend Development; Node.js; Express</t>
        </is>
      </c>
      <c r="M135" t="inlineStr">
        <is>
          <t>ABOUT PULSEAI RESEARCH (https://pulseairesearch.com/) PulseAI Research is an AI-powered consumer intelligence and research platform, powered by Smytten. We help brands understand real consumer behaviour through data, AI, and insights from millions of real shopper interactions. From consumer research and product testing to behavioural insights, we enable brands to make faster, data-driven decisions. As an intern, you will be working alongside the teams building and scaling our AI-powered consume…</t>
        </is>
      </c>
      <c r="N135" t="n">
        <v>66</v>
      </c>
      <c r="O135" t="n">
        <v>80</v>
      </c>
      <c r="P135" t="n">
        <v>85</v>
      </c>
      <c r="Q135" t="n">
        <v>85</v>
      </c>
      <c r="R135" t="n">
        <v>40</v>
      </c>
      <c r="S135" t="n">
        <v>0</v>
      </c>
      <c r="T135" t="n">
        <v>60</v>
      </c>
      <c r="U135" t="inlineStr">
        <is>
          <t>STRETCH</t>
        </is>
      </c>
      <c r="V135" t="inlineStr">
        <is>
          <t>STRETCH</t>
        </is>
      </c>
      <c r="X135" t="inlineStr">
        <is>
          <t>Default Full Stack / Backend Resume</t>
        </is>
      </c>
      <c r="Y135" t="inlineStr">
        <is>
          <t>2026-10-02</t>
        </is>
      </c>
      <c r="Z135" t="inlineStr">
        <is>
          <t>Strong technical alignment with backend requirements using Node.js and Express; Based in Bangalore matching target location preference; Relevant internship experience in Full Stack and backend development</t>
        </is>
      </c>
      <c r="AA135" t="inlineStr">
        <is>
          <t>ELIGIBLE</t>
        </is>
      </c>
      <c r="AB135" t="inlineStr">
        <is>
          <t>Location matches preferred location (Bangalore); Target role matches backend/software engineering intern criteria</t>
        </is>
      </c>
      <c r="AC135" t="inlineStr">
        <is>
          <t>UNKNOWN</t>
        </is>
      </c>
      <c r="AD135" t="inlineStr">
        <is>
          <t>Availability not explicitly mentioned in the job description.</t>
        </is>
      </c>
      <c r="AE135" t="inlineStr">
        <is>
          <t>UNKNOWN</t>
        </is>
      </c>
      <c r="AF135" t="n">
        <v>0</v>
      </c>
      <c r="AG135" t="inlineStr">
        <is>
          <t>No</t>
        </is>
      </c>
      <c r="AH135" t="inlineStr">
        <is>
          <t>NOT_MENTIONED</t>
        </is>
      </c>
      <c r="AI135" t="inlineStr">
        <is>
          <t>No mention of PPO or conversion in the snippet.</t>
        </is>
      </c>
      <c r="AK135" t="inlineStr">
        <is>
          <t>Stipend information is missing; Job description snippet cuts off abruptly</t>
        </is>
      </c>
      <c r="AL135" t="inlineStr">
        <is>
          <t>Node.js and Express architecture; Database design and query optimization; Handling backend scalability for consumer platforms</t>
        </is>
      </c>
    </row>
    <row r="136">
      <c r="A136" t="inlineStr">
        <is>
          <t>LADYBIRD-WEB-261002-135</t>
        </is>
      </c>
      <c r="B136" t="inlineStr">
        <is>
          <t>Ladybird Web Solution Pvt Ltd</t>
        </is>
      </c>
      <c r="C136" t="inlineStr">
        <is>
          <t>Golang developer Internship</t>
        </is>
      </c>
      <c r="D136" t="inlineStr">
        <is>
          <t>https://www.adzuna.in/details/5800149660?utm_medium=api&amp;utm_source=5ccdc27f</t>
        </is>
      </c>
      <c r="E136" t="inlineStr">
        <is>
          <t>AI Analyzer</t>
        </is>
      </c>
      <c r="F136" t="inlineStr">
        <is>
          <t>Dharmapuri, Tamil Nadu</t>
        </is>
      </c>
      <c r="G136" t="inlineStr">
        <is>
          <t>Not Specified</t>
        </is>
      </c>
      <c r="H136" t="inlineStr">
        <is>
          <t>Not Specified</t>
        </is>
      </c>
      <c r="I136" t="inlineStr">
        <is>
          <t>Not Specified</t>
        </is>
      </c>
      <c r="J136" t="inlineStr">
        <is>
          <t>UNKNOWN</t>
        </is>
      </c>
      <c r="K136" t="inlineStr">
        <is>
          <t>Golang; Backend Development</t>
        </is>
      </c>
      <c r="M136" t="inlineStr">
        <is>
          <t>Overview We are looking for enthusiastic and motivated Golang Developer Interns to join our engineering team and gain hands-on experience in backend development. The internship provides an opportunity to work on real-world projects related to the Faveo Helpdesk platform, develop backend services and APIs using Golang, and learn industry-standard coding and development practices under the guidance of experienced developers. About Faveo Helpdesk: Faveo Helpdesk is a leading open-source, customiza…</t>
        </is>
      </c>
      <c r="N136" t="n">
        <v>18</v>
      </c>
      <c r="O136" t="n">
        <v>20</v>
      </c>
      <c r="P136" t="n">
        <v>20</v>
      </c>
      <c r="Q136" t="n">
        <v>30</v>
      </c>
      <c r="R136" t="n">
        <v>0</v>
      </c>
      <c r="S136" t="n">
        <v>0</v>
      </c>
      <c r="T136" t="n">
        <v>40</v>
      </c>
      <c r="U136" t="inlineStr">
        <is>
          <t>SKIP</t>
        </is>
      </c>
      <c r="V136" t="inlineStr">
        <is>
          <t>SKIP</t>
        </is>
      </c>
      <c r="W136" t="inlineStr">
        <is>
          <t>Golang</t>
        </is>
      </c>
      <c r="X136" t="inlineStr">
        <is>
          <t>Amaanuddin_Ahmed_Resume.pdf</t>
        </is>
      </c>
      <c r="Y136" t="inlineStr">
        <is>
          <t>2026-10-02</t>
        </is>
      </c>
      <c r="AA136" t="inlineStr">
        <is>
          <t>FAIL</t>
        </is>
      </c>
      <c r="AB136" t="inlineStr">
        <is>
          <t>Hard blocker: Candidate lacks mandatory Golang experience/skills required for a Golang Developer internship.; Location mismatch: Job is located in Dharmapuri, Tamil Nadu, while candidate prefers Bengaluru.</t>
        </is>
      </c>
      <c r="AC136" t="inlineStr">
        <is>
          <t>UNKNOWN</t>
        </is>
      </c>
      <c r="AD136" t="inlineStr">
        <is>
          <t>Availability not explicitly stated in the context.</t>
        </is>
      </c>
      <c r="AE136" t="inlineStr">
        <is>
          <t>UNKNOWN</t>
        </is>
      </c>
      <c r="AF136" t="n">
        <v>0</v>
      </c>
      <c r="AG136" t="inlineStr">
        <is>
          <t>No</t>
        </is>
      </c>
      <c r="AH136" t="inlineStr">
        <is>
          <t>UNKNOWN</t>
        </is>
      </c>
      <c r="AI136" t="inlineStr">
        <is>
          <t>No explicit mention of PPO or conversion in the job description snippet.</t>
        </is>
      </c>
      <c r="AJ136" t="inlineStr">
        <is>
          <t>Missing mandatory Golang skill; Location is Dharmapuri, Tamil Nadu (non-preferred)</t>
        </is>
      </c>
      <c r="AK136" t="inlineStr">
        <is>
          <t>Stipend not disclosed; Location mismatch</t>
        </is>
      </c>
    </row>
    <row r="137">
      <c r="A137" t="inlineStr">
        <is>
          <t>ROBINHOOD-261002-136</t>
        </is>
      </c>
      <c r="B137" t="inlineStr">
        <is>
          <t>Robinhood</t>
        </is>
      </c>
      <c r="C137" t="inlineStr">
        <is>
          <t>Software Developer Intern/Co-op, Backend (Winter 2027)</t>
        </is>
      </c>
      <c r="D137" t="inlineStr">
        <is>
          <t>https://www.adzuna.in/details/5885969908?utm_medium=api&amp;utm_source=5ccdc27f</t>
        </is>
      </c>
      <c r="E137" t="inlineStr">
        <is>
          <t>AI Analyzer</t>
        </is>
      </c>
      <c r="F137" t="inlineStr">
        <is>
          <t>India (Description mentions Toronto, Canada)</t>
        </is>
      </c>
      <c r="G137" t="inlineStr">
        <is>
          <t>unknown</t>
        </is>
      </c>
      <c r="I137" t="inlineStr">
        <is>
          <t>Winter 2027 Co-op/Internship</t>
        </is>
      </c>
      <c r="J137" t="inlineStr">
        <is>
          <t>UNKNOWN</t>
        </is>
      </c>
      <c r="K137" t="inlineStr">
        <is>
          <t>Backend Development; Web3; Smart Contracts; Blockchain Infrastructure</t>
        </is>
      </c>
      <c r="M137" t="inlineStr">
        <is>
          <t>About Robinhood: Robinhood is actively recruiting for the position of Software Developer Intern/Co-op, Backend (Winter 2027) (ENG Executive Office). Location &amp; Setup: Toronto, Canada Overview: Contribute directly to Robinhood's Web3, smart contract, and blockchain infrastructure. Complete candidate qualifications and application instructions are available on Hashtag Web3. View full posting details and apply online on Hashtag Web3</t>
        </is>
      </c>
      <c r="N137" t="n">
        <v>26</v>
      </c>
      <c r="O137" t="n">
        <v>20</v>
      </c>
      <c r="P137" t="n">
        <v>30</v>
      </c>
      <c r="Q137" t="n">
        <v>40</v>
      </c>
      <c r="R137" t="n">
        <v>0</v>
      </c>
      <c r="S137" t="n">
        <v>0</v>
      </c>
      <c r="T137" t="n">
        <v>80</v>
      </c>
      <c r="U137" t="inlineStr">
        <is>
          <t>SKIP</t>
        </is>
      </c>
      <c r="V137" t="inlineStr">
        <is>
          <t>SKIP</t>
        </is>
      </c>
      <c r="W137" t="inlineStr">
        <is>
          <t>Web3; Smart Contracts; Blockchain Infrastructure</t>
        </is>
      </c>
      <c r="X137" t="inlineStr">
        <is>
          <t>Amaanuddin_Ahmed_Resume.pdf</t>
        </is>
      </c>
      <c r="Y137" t="inlineStr">
        <is>
          <t>2026-10-02</t>
        </is>
      </c>
      <c r="Z137" t="inlineStr">
        <is>
          <t>Robinhood is a top-tier tech brand offering high opportunity quality.</t>
        </is>
      </c>
      <c r="AA137" t="inlineStr">
        <is>
          <t>INELIGIBLE</t>
        </is>
      </c>
      <c r="AB137" t="inlineStr">
        <is>
          <t>Job location setup explicitly targets Toronto, Canada, conflicting with candidate's preferred location (Bengaluru/Remote).; Term is Winter 2027 Co-op/Internship, whereas candidate's MCA program runs 2025–2027 and graduation timing might not align precisely with international co-op terms.</t>
        </is>
      </c>
      <c r="AC137" t="inlineStr">
        <is>
          <t>UNKNOWN</t>
        </is>
      </c>
      <c r="AD137" t="inlineStr">
        <is>
          <t>Exact start and end dates for Winter 2027 Co-op are not specified to confirm semester alignment.</t>
        </is>
      </c>
      <c r="AE137" t="inlineStr">
        <is>
          <t>UNKNOWN</t>
        </is>
      </c>
      <c r="AF137" t="n">
        <v>0</v>
      </c>
      <c r="AG137" t="inlineStr">
        <is>
          <t>No</t>
        </is>
      </c>
      <c r="AH137" t="inlineStr">
        <is>
          <t>UNKNOWN</t>
        </is>
      </c>
      <c r="AI137" t="inlineStr">
        <is>
          <t>No explicit mention of PPO conversion in the brief job description.</t>
        </is>
      </c>
      <c r="AJ137" t="inlineStr">
        <is>
          <t>Location mismatch (Toronto, Canada vs Bengaluru, India); Domain requirement (Web3 / Blockchain / Smart Contracts not present in candidate core stack)</t>
        </is>
      </c>
      <c r="AK137" t="inlineStr">
        <is>
          <t>Job description is sparse, pointing externally to Hashtag Web3 for qualifications and application instructions.</t>
        </is>
      </c>
      <c r="AL137" t="inlineStr">
        <is>
          <t>Backend system design; Smart contract execution and security; Distributed systems and blockchain infrastructure</t>
        </is>
      </c>
    </row>
    <row r="138">
      <c r="A138" t="inlineStr">
        <is>
          <t>QUHU-261002-137</t>
        </is>
      </c>
      <c r="B138" t="inlineStr">
        <is>
          <t>QuHu</t>
        </is>
      </c>
      <c r="C138" t="inlineStr">
        <is>
          <t>Backend Engineer</t>
        </is>
      </c>
      <c r="D138" t="inlineStr">
        <is>
          <t>https://www.adzuna.in/details/2297738733?utm_medium=api&amp;utm_source=5ccdc27f</t>
        </is>
      </c>
      <c r="E138" t="inlineStr">
        <is>
          <t>AI Analyzer</t>
        </is>
      </c>
      <c r="F138" t="inlineStr">
        <is>
          <t>Delhi, India</t>
        </is>
      </c>
      <c r="G138" t="inlineStr">
        <is>
          <t>unknown</t>
        </is>
      </c>
      <c r="I138" t="inlineStr">
        <is>
          <t>unknown</t>
        </is>
      </c>
      <c r="J138" t="inlineStr">
        <is>
          <t>unknown</t>
        </is>
      </c>
      <c r="K138" t="inlineStr">
        <is>
          <t>Backend Development; Software Development; Design Patterns</t>
        </is>
      </c>
      <c r="L138" t="inlineStr">
        <is>
          <t>AI; ML; Mobile; Commerce</t>
        </is>
      </c>
      <c r="M138" t="inlineStr">
        <is>
          <t>Job Description : We are currently building a next generation consumer tech product at the intersection of AI ML through Mobile and Commerce. The product requires building proprietary frameworks using latest technologies. We have an urgent requirement of a Backend Developer/ Fresher/ Intern, who would become core member of our Product Team, is a great problem solver, can learn quickly, and communicate clearly. Must Have Skill Set : Efficient software development background including design patt…</t>
        </is>
      </c>
      <c r="N138" t="n">
        <v>49</v>
      </c>
      <c r="O138" t="n">
        <v>65</v>
      </c>
      <c r="P138" t="n">
        <v>70</v>
      </c>
      <c r="Q138" t="n">
        <v>75</v>
      </c>
      <c r="R138" t="n">
        <v>0</v>
      </c>
      <c r="S138" t="n">
        <v>0</v>
      </c>
      <c r="T138" t="n">
        <v>40</v>
      </c>
      <c r="U138" t="inlineStr">
        <is>
          <t>SKIP</t>
        </is>
      </c>
      <c r="V138" t="inlineStr">
        <is>
          <t>SKIP</t>
        </is>
      </c>
      <c r="W138" t="inlineStr">
        <is>
          <t>AI/ML frameworks</t>
        </is>
      </c>
      <c r="X138" t="inlineStr">
        <is>
          <t>Standard Full Stack Resume</t>
        </is>
      </c>
      <c r="Y138" t="inlineStr">
        <is>
          <t>2026-10-02</t>
        </is>
      </c>
      <c r="Z138" t="inlineStr">
        <is>
          <t>Matches backend engineering intern/fresher profile requirements.</t>
        </is>
      </c>
      <c r="AA138" t="inlineStr">
        <is>
          <t>eligible</t>
        </is>
      </c>
      <c r="AB138" t="inlineStr">
        <is>
          <t>The role accepts freshers and interns, which matches the candidate's student and intern profile.</t>
        </is>
      </c>
      <c r="AC138" t="inlineStr">
        <is>
          <t>unknown</t>
        </is>
      </c>
      <c r="AD138" t="inlineStr">
        <is>
          <t>Candidate availability dates are not explicitly detailed in the career brain relative to this job.</t>
        </is>
      </c>
      <c r="AE138" t="inlineStr">
        <is>
          <t>UNKNOWN</t>
        </is>
      </c>
      <c r="AF138" t="n">
        <v>0</v>
      </c>
      <c r="AG138" t="inlineStr">
        <is>
          <t>No</t>
        </is>
      </c>
      <c r="AH138" t="inlineStr">
        <is>
          <t>unknown</t>
        </is>
      </c>
      <c r="AI138" t="inlineStr">
        <is>
          <t>No mention of PPO or conversion in the job description.</t>
        </is>
      </c>
      <c r="AK138" t="inlineStr">
        <is>
          <t>Location is Delhi, India while candidate prefers Bengaluru; Stipend/Salary information is missing entirely; No mention of PPO</t>
        </is>
      </c>
      <c r="AL138" t="inlineStr">
        <is>
          <t>Backend system design patterns; Node.js and Express architecture; Problem-solving and quick learning capability</t>
        </is>
      </c>
    </row>
    <row r="139">
      <c r="A139" t="inlineStr">
        <is>
          <t>XAGI-261002-138</t>
        </is>
      </c>
      <c r="B139" t="inlineStr">
        <is>
          <t>xAGI</t>
        </is>
      </c>
      <c r="C139" t="inlineStr">
        <is>
          <t>SDE Intern</t>
        </is>
      </c>
      <c r="D139" t="inlineStr">
        <is>
          <t>https://www.adzuna.in/details/5889506332?utm_medium=api&amp;utm_source=5ccdc27f</t>
        </is>
      </c>
      <c r="E139" t="inlineStr">
        <is>
          <t>AI Analyzer</t>
        </is>
      </c>
      <c r="F139" t="inlineStr">
        <is>
          <t>Bangalore, Karnataka</t>
        </is>
      </c>
      <c r="G139" t="inlineStr">
        <is>
          <t>unknown</t>
        </is>
      </c>
      <c r="I139" t="inlineStr">
        <is>
          <t>unknown</t>
        </is>
      </c>
      <c r="J139" t="inlineStr">
        <is>
          <t>NOT_MENTIONED</t>
        </is>
      </c>
      <c r="K139" t="inlineStr">
        <is>
          <t>Software Development; AI Systems</t>
        </is>
      </c>
      <c r="L139" t="inlineStr">
        <is>
          <t>AI Agents</t>
        </is>
      </c>
      <c r="M139" t="inlineStr">
        <is>
          <t>SDE Intern About xAGI xAGI is a leading AI agents development company on a mission to build India's first Artificial General Intelligence (AGI). We are a team of passionate engineers and researchers who are pushing the boundaries of what's possible in AI. About the Role As an SDE Intern at xAGI, you will play a crucial role in helping us develop cutting-edge AI agents. You will work alongside experienced engineers and researchers to design, develop, and test AI systems. This is a unique opportu…</t>
        </is>
      </c>
      <c r="N139" t="n">
        <v>67</v>
      </c>
      <c r="O139" t="n">
        <v>75</v>
      </c>
      <c r="P139" t="n">
        <v>80</v>
      </c>
      <c r="Q139" t="n">
        <v>85</v>
      </c>
      <c r="R139" t="n">
        <v>40</v>
      </c>
      <c r="S139" t="n">
        <v>30</v>
      </c>
      <c r="T139" t="n">
        <v>70</v>
      </c>
      <c r="U139" t="inlineStr">
        <is>
          <t>STRETCH</t>
        </is>
      </c>
      <c r="V139" t="inlineStr">
        <is>
          <t>STRETCH</t>
        </is>
      </c>
      <c r="W139" t="inlineStr">
        <is>
          <t>Artificial General Intelligence (AGI) development</t>
        </is>
      </c>
      <c r="X139" t="inlineStr">
        <is>
          <t>Standard Full Stack / Software Engineer Resume</t>
        </is>
      </c>
      <c r="Y139" t="inlineStr">
        <is>
          <t>2026-10-02</t>
        </is>
      </c>
      <c r="Z139" t="inlineStr">
        <is>
          <t>Role matches target SDE Intern position.; Location is in Bengaluru, matching preferences.; Good opportunity to work on AI agents if tech stack aligns.</t>
        </is>
      </c>
      <c r="AA139" t="inlineStr">
        <is>
          <t>ELIGIBLE</t>
        </is>
      </c>
      <c r="AB139" t="inlineStr">
        <is>
          <t>Candidate is located in Bengaluru and the role is in Bangalore.; No hard degree or graduation year blockers found in the brief JD description.</t>
        </is>
      </c>
      <c r="AC139" t="inlineStr">
        <is>
          <t>UNKNOWN</t>
        </is>
      </c>
      <c r="AD139" t="inlineStr">
        <is>
          <t>Availability constraints are not specified in the candidate profile.</t>
        </is>
      </c>
      <c r="AE139" t="inlineStr">
        <is>
          <t>UNKNOWN</t>
        </is>
      </c>
      <c r="AF139" t="n">
        <v>0</v>
      </c>
      <c r="AG139" t="inlineStr">
        <is>
          <t>No</t>
        </is>
      </c>
      <c r="AH139" t="inlineStr">
        <is>
          <t>NOT_MENTIONED</t>
        </is>
      </c>
      <c r="AI139" t="inlineStr">
        <is>
          <t>The job description does not explicitly mention PPO or conversion opportunities.</t>
        </is>
      </c>
      <c r="AK139" t="inlineStr">
        <is>
          <t>Stipend is completely missing/unknown.; Job description is very brief with sparse details about tech stack requirements.</t>
        </is>
      </c>
      <c r="AL139" t="inlineStr">
        <is>
          <t>Past software development experience; Understanding of AI workflows and agents; System design and coding fundamentals</t>
        </is>
      </c>
    </row>
    <row r="140">
      <c r="A140" t="inlineStr">
        <is>
          <t>AFFWORLD-TEC-261002-139</t>
        </is>
      </c>
      <c r="B140" t="inlineStr">
        <is>
          <t>Affworld Technologies</t>
        </is>
      </c>
      <c r="C140" t="inlineStr">
        <is>
          <t>SDE Intern</t>
        </is>
      </c>
      <c r="D140" t="inlineStr">
        <is>
          <t>https://www.adzuna.in/details/4801660754?utm_medium=api&amp;utm_source=5ccdc27f</t>
        </is>
      </c>
      <c r="E140" t="inlineStr">
        <is>
          <t>AI Analyzer</t>
        </is>
      </c>
      <c r="F140" t="inlineStr">
        <is>
          <t>Jaipur, Rajasthan</t>
        </is>
      </c>
      <c r="G140" t="inlineStr">
        <is>
          <t>UNKNOWN</t>
        </is>
      </c>
      <c r="H140" t="inlineStr">
        <is>
          <t>Not specified</t>
        </is>
      </c>
      <c r="I140" t="inlineStr">
        <is>
          <t>UNKNOWN</t>
        </is>
      </c>
      <c r="J140" t="inlineStr">
        <is>
          <t>UNKNOWN</t>
        </is>
      </c>
      <c r="K140" t="inlineStr">
        <is>
          <t>MERN stack; JavaScript; Node.js; Express.js; React.js; MongoDB</t>
        </is>
      </c>
      <c r="M140" t="inlineStr">
        <is>
          <t>Develop web applications using the MERN stack, ensuring high performance and responsiveness. Collaborate with cross-functional teams to define, design, and ship new features. Build reusable code and libraries for future use. Optimize applications for maximum speed and scalability. Implement security and data protection measures. Conduct thorough testing and debugging to ensure the application's stability and usability. Stay updated with emerging technologies and industry trends related to the M…</t>
        </is>
      </c>
      <c r="N140" t="n">
        <v>72</v>
      </c>
      <c r="O140" t="n">
        <v>90</v>
      </c>
      <c r="P140" t="n">
        <v>85</v>
      </c>
      <c r="Q140" t="n">
        <v>90</v>
      </c>
      <c r="R140" t="n">
        <v>40</v>
      </c>
      <c r="S140" t="n">
        <v>30</v>
      </c>
      <c r="T140" t="n">
        <v>60</v>
      </c>
      <c r="U140" t="inlineStr">
        <is>
          <t>CONSIDER</t>
        </is>
      </c>
      <c r="V140" t="inlineStr">
        <is>
          <t>CONSIDER</t>
        </is>
      </c>
      <c r="X140" t="inlineStr">
        <is>
          <t>Default Full Stack / MERN Resume</t>
        </is>
      </c>
      <c r="Y140" t="inlineStr">
        <is>
          <t>2026-10-02</t>
        </is>
      </c>
      <c r="Z140" t="inlineStr">
        <is>
          <t>Strong technical fit with demonstrated MERN stack experience; Great alignment with target SDE Intern role</t>
        </is>
      </c>
      <c r="AA140" t="inlineStr">
        <is>
          <t>ELIGIBLE</t>
        </is>
      </c>
      <c r="AB140" t="inlineStr">
        <is>
          <t>Role matches target internship profiles; No hard location blockers explicitly stated as mandatory disqualifier in text</t>
        </is>
      </c>
      <c r="AC140" t="inlineStr">
        <is>
          <t>UNKNOWN</t>
        </is>
      </c>
      <c r="AD140" t="inlineStr">
        <is>
          <t>Not specified in candidate profile</t>
        </is>
      </c>
      <c r="AE140" t="inlineStr">
        <is>
          <t>UNKNOWN</t>
        </is>
      </c>
      <c r="AF140" t="n">
        <v>0</v>
      </c>
      <c r="AG140" t="inlineStr">
        <is>
          <t>No</t>
        </is>
      </c>
      <c r="AH140" t="inlineStr">
        <is>
          <t>UNKNOWN</t>
        </is>
      </c>
      <c r="AI140" t="inlineStr">
        <is>
          <t>Not mentioned in the job description</t>
        </is>
      </c>
      <c r="AK140" t="inlineStr">
        <is>
          <t>Stipend not disclosed; Location is Jaipur while candidate prefers Bengaluru</t>
        </is>
      </c>
      <c r="AL140" t="inlineStr">
        <is>
          <t>MERN stack architecture; REST API development and security; Database optimization in MongoDB; Handling application state and performance in React</t>
        </is>
      </c>
    </row>
    <row r="141">
      <c r="A141" t="inlineStr">
        <is>
          <t>PGAGI-261002-140</t>
        </is>
      </c>
      <c r="B141" t="inlineStr">
        <is>
          <t>PGAGI</t>
        </is>
      </c>
      <c r="C141" t="inlineStr">
        <is>
          <t>SDE Intern – Mobile Application</t>
        </is>
      </c>
      <c r="D141" t="inlineStr">
        <is>
          <t>https://www.adzuna.in/details/5804688462?utm_medium=api&amp;utm_source=5ccdc27f</t>
        </is>
      </c>
      <c r="E141" t="inlineStr">
        <is>
          <t>AI Analyzer</t>
        </is>
      </c>
      <c r="F141" t="inlineStr">
        <is>
          <t>Remote</t>
        </is>
      </c>
      <c r="G141" t="inlineStr">
        <is>
          <t>Remote</t>
        </is>
      </c>
      <c r="I141" t="inlineStr">
        <is>
          <t>6 months</t>
        </is>
      </c>
      <c r="J141" t="inlineStr">
        <is>
          <t>YES</t>
        </is>
      </c>
      <c r="K141" t="inlineStr">
        <is>
          <t>Cross-platform mobile development; React Native</t>
        </is>
      </c>
      <c r="M141" t="inlineStr">
        <is>
          <t>Position Title: SDE Intern – Mobile Application Location: Remote Duration: 6 months (with potential for full-time conversion based on performance) About PGAGI: At PGAGI, we believe in a future where AI and human intelligence coexist in harmony, creating a world that is smarter, faster, and better. We are not just building AI; we are shaping a future where AI is a fundamental and positive force for businesses, societies, and the planet. Key Responsibilities: • Develop and maintain cross-platform…</t>
        </is>
      </c>
      <c r="N141" t="n">
        <v>56</v>
      </c>
      <c r="O141" t="n">
        <v>40</v>
      </c>
      <c r="P141" t="n">
        <v>60</v>
      </c>
      <c r="Q141" t="n">
        <v>70</v>
      </c>
      <c r="R141" t="n">
        <v>100</v>
      </c>
      <c r="S141" t="n">
        <v>0</v>
      </c>
      <c r="T141" t="n">
        <v>70</v>
      </c>
      <c r="U141" t="inlineStr">
        <is>
          <t>SKIP</t>
        </is>
      </c>
      <c r="V141" t="inlineStr">
        <is>
          <t>SKIP</t>
        </is>
      </c>
      <c r="W141" t="inlineStr">
        <is>
          <t>React Native; Cross-platform mobile development</t>
        </is>
      </c>
      <c r="X141" t="inlineStr">
        <is>
          <t>Standard Full Stack Resume</t>
        </is>
      </c>
      <c r="Y141" t="inlineStr">
        <is>
          <t>2026-10-02</t>
        </is>
      </c>
      <c r="Z141" t="inlineStr">
        <is>
          <t>Offers remote work flexibility which is preferred.; Includes a clear path to full-time conversion (PPO).</t>
        </is>
      </c>
      <c r="AA141" t="inlineStr">
        <is>
          <t>ELIGIBLE</t>
        </is>
      </c>
      <c r="AC141" t="inlineStr">
        <is>
          <t>UNKNOWN</t>
        </is>
      </c>
      <c r="AD141" t="inlineStr">
        <is>
          <t>Availability not explicitly stated in Career Brain beyond general profile status.</t>
        </is>
      </c>
      <c r="AE141" t="inlineStr">
        <is>
          <t>UNKNOWN</t>
        </is>
      </c>
      <c r="AF141" t="n">
        <v>0</v>
      </c>
      <c r="AG141" t="inlineStr">
        <is>
          <t>No</t>
        </is>
      </c>
      <c r="AH141" t="inlineStr">
        <is>
          <t>YES</t>
        </is>
      </c>
      <c r="AI141" t="inlineStr">
        <is>
          <t>6 months (with potential for full-time conversion based on performance)</t>
        </is>
      </c>
      <c r="AK141" t="inlineStr">
        <is>
          <t>Stipend is not disclosed.</t>
        </is>
      </c>
      <c r="AL141" t="inlineStr">
        <is>
          <t>Cross-platform mobile architecture; React Native vs Web technologies (Angular/React); State management in mobile apps; Previous full-stack project delivery lifecycle</t>
        </is>
      </c>
    </row>
    <row r="142">
      <c r="A142" t="inlineStr">
        <is>
          <t>PGAGI-261002-141</t>
        </is>
      </c>
      <c r="B142" t="inlineStr">
        <is>
          <t>PGAGI</t>
        </is>
      </c>
      <c r="C142" t="inlineStr">
        <is>
          <t>SDE Internship (Next Js)</t>
        </is>
      </c>
      <c r="D142" t="inlineStr">
        <is>
          <t>https://www.adzuna.in/details/5804689141?utm_medium=api&amp;utm_source=5ccdc27f</t>
        </is>
      </c>
      <c r="E142" t="inlineStr">
        <is>
          <t>AI Analyzer</t>
        </is>
      </c>
      <c r="F142" t="inlineStr">
        <is>
          <t>India</t>
        </is>
      </c>
      <c r="G142" t="inlineStr">
        <is>
          <t>UNKNOWN</t>
        </is>
      </c>
      <c r="H142" t="inlineStr">
        <is>
          <t>Not specified</t>
        </is>
      </c>
      <c r="I142" t="inlineStr">
        <is>
          <t>6 months</t>
        </is>
      </c>
      <c r="J142" t="inlineStr">
        <is>
          <t>NOT MENTIONED</t>
        </is>
      </c>
      <c r="K142" t="inlineStr">
        <is>
          <t>Next.js</t>
        </is>
      </c>
      <c r="L142" t="inlineStr">
        <is>
          <t>AI technologies</t>
        </is>
      </c>
      <c r="M142" t="inlineStr">
        <is>
          <t>We're at the forefront of creating advanced AI systems, from fully autonomous agents that provide intelligent customer interaction to data analysis tools that offer insightful business solutions. We are seeking enthusiastic interns who are passionate about AI and ready to tackle real-world problems using the latest technologies. Duration: 6 months Perks: - Hands-on experience with real AI projects. - Mentoring from industry experts. - A collaborative, innovative and flexible work environment Af…</t>
        </is>
      </c>
      <c r="N142" t="n">
        <v>35</v>
      </c>
      <c r="O142" t="n">
        <v>40</v>
      </c>
      <c r="P142" t="n">
        <v>50</v>
      </c>
      <c r="Q142" t="n">
        <v>60</v>
      </c>
      <c r="R142" t="n">
        <v>0</v>
      </c>
      <c r="S142" t="n">
        <v>0</v>
      </c>
      <c r="T142" t="n">
        <v>40</v>
      </c>
      <c r="U142" t="inlineStr">
        <is>
          <t>SKIP</t>
        </is>
      </c>
      <c r="V142" t="inlineStr">
        <is>
          <t>SKIP</t>
        </is>
      </c>
      <c r="W142" t="inlineStr">
        <is>
          <t>Next.js</t>
        </is>
      </c>
      <c r="X142" t="inlineStr">
        <is>
          <t>Standard Full Stack Resume</t>
        </is>
      </c>
      <c r="Y142" t="inlineStr">
        <is>
          <t>2026-10-02</t>
        </is>
      </c>
      <c r="Z142" t="inlineStr">
        <is>
          <t>6-month duration aligns with internship goals; Gain exposure to AI systems</t>
        </is>
      </c>
      <c r="AA142" t="inlineStr">
        <is>
          <t>ELIGIBLE</t>
        </is>
      </c>
      <c r="AB142" t="inlineStr">
        <is>
          <t>No strict blockers found in the brief job description text provided.</t>
        </is>
      </c>
      <c r="AC142" t="inlineStr">
        <is>
          <t>UNKNOWN</t>
        </is>
      </c>
      <c r="AD142" t="inlineStr">
        <is>
          <t>Availability not explicitly specified in the candidate profile.</t>
        </is>
      </c>
      <c r="AE142" t="inlineStr">
        <is>
          <t>UNKNOWN</t>
        </is>
      </c>
      <c r="AF142" t="n">
        <v>0</v>
      </c>
      <c r="AG142" t="inlineStr">
        <is>
          <t>No</t>
        </is>
      </c>
      <c r="AH142" t="inlineStr">
        <is>
          <t>NOT MENTIONED</t>
        </is>
      </c>
      <c r="AI142" t="inlineStr">
        <is>
          <t>No mention of PPO or conversion in the job description.</t>
        </is>
      </c>
      <c r="AK142" t="inlineStr">
        <is>
          <t>Stipend is completely undisclosed; Work mode/location is vague (just 'India'); Next.js is a key requirement not demonstrated in candidate's profile</t>
        </is>
      </c>
      <c r="AL142" t="inlineStr">
        <is>
          <t>Next.js app router and server-side rendering; React state management; Experience with AI integration or APIs</t>
        </is>
      </c>
    </row>
    <row r="143">
      <c r="A143" t="inlineStr">
        <is>
          <t>CARS24-261002-142</t>
        </is>
      </c>
      <c r="B143" t="inlineStr">
        <is>
          <t>Cars24</t>
        </is>
      </c>
      <c r="C143" t="inlineStr">
        <is>
          <t>Software Development Engineer SDE Intern</t>
        </is>
      </c>
      <c r="D143" t="inlineStr">
        <is>
          <t>https://www.adzuna.in/details/5885446727?utm_medium=api&amp;utm_source=5ccdc27f</t>
        </is>
      </c>
      <c r="E143" t="inlineStr">
        <is>
          <t>AI Analyzer</t>
        </is>
      </c>
      <c r="F143" t="inlineStr">
        <is>
          <t>Chennai, Tamil Nadu</t>
        </is>
      </c>
      <c r="G143" t="inlineStr">
        <is>
          <t>On-site</t>
        </is>
      </c>
      <c r="H143" t="inlineStr">
        <is>
          <t>Not specified</t>
        </is>
      </c>
      <c r="I143" t="inlineStr">
        <is>
          <t>Not specified</t>
        </is>
      </c>
      <c r="J143" t="inlineStr">
        <is>
          <t>Not Mentioned</t>
        </is>
      </c>
      <c r="K143" t="inlineStr">
        <is>
          <t>Software Development</t>
        </is>
      </c>
      <c r="M143" t="inlineStr">
        <is>
          <t>Cars24 is hiring a Software Development Engineer SDE Intern in Chennai a handson mentorled internship built for 2026 freshers and finalyear students 0 years of experience who want to build real software and grow fast in a modern engineering team As a Software Development Engineer SDE Intern you will work closely with senior engineers and the product team with your core focus on designing coding and shipping production software features You get structured onboarding code reviews regular feedback…</t>
        </is>
      </c>
      <c r="N143" t="n">
        <v>67</v>
      </c>
      <c r="O143" t="n">
        <v>70</v>
      </c>
      <c r="P143" t="n">
        <v>80</v>
      </c>
      <c r="Q143" t="n">
        <v>80</v>
      </c>
      <c r="R143" t="n">
        <v>40</v>
      </c>
      <c r="S143" t="n">
        <v>50</v>
      </c>
      <c r="T143" t="n">
        <v>70</v>
      </c>
      <c r="U143" t="inlineStr">
        <is>
          <t>SKIP</t>
        </is>
      </c>
      <c r="V143" t="inlineStr">
        <is>
          <t>SKIP</t>
        </is>
      </c>
      <c r="X143" t="inlineStr">
        <is>
          <t>Standard Full Stack Resume</t>
        </is>
      </c>
      <c r="Y143" t="inlineStr">
        <is>
          <t>2026-10-02</t>
        </is>
      </c>
      <c r="Z143" t="inlineStr">
        <is>
          <t>Target role matches software engineering internship profile; Open to 2026 graduates with zero prior professional experience requirement</t>
        </is>
      </c>
      <c r="AA143" t="inlineStr">
        <is>
          <t>ELIGIBLE</t>
        </is>
      </c>
      <c r="AB143" t="inlineStr">
        <is>
          <t>Open to 2026 freshers and final year students; 0 years of experience required</t>
        </is>
      </c>
      <c r="AC143" t="inlineStr">
        <is>
          <t>UNKNOWN</t>
        </is>
      </c>
      <c r="AD143" t="inlineStr">
        <is>
          <t>Availability not explicitly specified in the job description</t>
        </is>
      </c>
      <c r="AE143" t="inlineStr">
        <is>
          <t>UNKNOWN</t>
        </is>
      </c>
      <c r="AF143" t="n">
        <v>0</v>
      </c>
      <c r="AG143" t="inlineStr">
        <is>
          <t>No</t>
        </is>
      </c>
      <c r="AH143" t="inlineStr">
        <is>
          <t>Not Mentioned</t>
        </is>
      </c>
      <c r="AI143" t="inlineStr">
        <is>
          <t>No explicit mention of PPO or conversion in the job description</t>
        </is>
      </c>
      <c r="AJ143" t="inlineStr">
        <is>
          <t>Location mismatch: Job is in Chennai, Tamil Nadu, while candidate prefers Bengaluru</t>
        </is>
      </c>
      <c r="AK143" t="inlineStr">
        <is>
          <t>Location is Chennai, whereas candidate preference is Bengaluru; Stipend is unknown</t>
        </is>
      </c>
      <c r="AL143" t="inlineStr">
        <is>
          <t>Core programming and data structures; System design basics; Past internship experience and production deployments; Problem-solving capabilities</t>
        </is>
      </c>
    </row>
    <row r="144">
      <c r="A144" t="inlineStr">
        <is>
          <t>PGAGI-261002-143</t>
        </is>
      </c>
      <c r="B144" t="inlineStr">
        <is>
          <t>PGAGI</t>
        </is>
      </c>
      <c r="C144" t="inlineStr">
        <is>
          <t>React Native Intern</t>
        </is>
      </c>
      <c r="D144" t="inlineStr">
        <is>
          <t>https://www.adzuna.in/details/5722653710?utm_medium=api&amp;utm_source=5ccdc27f</t>
        </is>
      </c>
      <c r="E144" t="inlineStr">
        <is>
          <t>AI Analyzer</t>
        </is>
      </c>
      <c r="F144" t="inlineStr">
        <is>
          <t>Bangalore, Karnataka</t>
        </is>
      </c>
      <c r="G144" t="inlineStr">
        <is>
          <t>Remote</t>
        </is>
      </c>
      <c r="I144" t="inlineStr">
        <is>
          <t>6 months</t>
        </is>
      </c>
      <c r="J144" t="inlineStr">
        <is>
          <t>YES</t>
        </is>
      </c>
      <c r="K144" t="inlineStr">
        <is>
          <t>React Native; Mobile Application Development</t>
        </is>
      </c>
      <c r="M144" t="inlineStr">
        <is>
          <t>Position Title: SDE Intern – Mobile Application Location: Remote Duration: 6 months (with potential for full-time conversion based on performance) About PGAGI: At PGAGI, we believe in a future where AI and human intelligence coexist in harmony, creating a world that is smarter, faster, and better. We are not just building AI; we are shaping a future where AI is a fundamental and positive force for businesses, societies, and the planet. Key Responsibilities: • Develop and maintain cross-platform…</t>
        </is>
      </c>
      <c r="N144" t="n">
        <v>54</v>
      </c>
      <c r="O144" t="n">
        <v>40</v>
      </c>
      <c r="P144" t="n">
        <v>60</v>
      </c>
      <c r="Q144" t="n">
        <v>50</v>
      </c>
      <c r="R144" t="n">
        <v>100</v>
      </c>
      <c r="S144" t="n">
        <v>0</v>
      </c>
      <c r="T144" t="n">
        <v>70</v>
      </c>
      <c r="U144" t="inlineStr">
        <is>
          <t>SKIP</t>
        </is>
      </c>
      <c r="V144" t="inlineStr">
        <is>
          <t>SKIP</t>
        </is>
      </c>
      <c r="W144" t="inlineStr">
        <is>
          <t>React Native</t>
        </is>
      </c>
      <c r="X144" t="inlineStr">
        <is>
          <t>Standard Full Stack Resume</t>
        </is>
      </c>
      <c r="Y144" t="inlineStr">
        <is>
          <t>2026-10-02</t>
        </is>
      </c>
      <c r="Z144" t="inlineStr">
        <is>
          <t>Offers a 6-month internship with a clear PPO pathway.; Remote work mode aligns with candidate preferences.</t>
        </is>
      </c>
      <c r="AA144" t="inlineStr">
        <is>
          <t>ELIGIBLE</t>
        </is>
      </c>
      <c r="AB144" t="inlineStr">
        <is>
          <t>The candidate is an MCA student graduating in 2027 and fits the general software engineering intern profile.</t>
        </is>
      </c>
      <c r="AC144" t="inlineStr">
        <is>
          <t>UNKNOWN</t>
        </is>
      </c>
      <c r="AD144" t="inlineStr">
        <is>
          <t>Exact start date availability not explicitly mapped against company onboarding timeline.</t>
        </is>
      </c>
      <c r="AE144" t="inlineStr">
        <is>
          <t>UNKNOWN</t>
        </is>
      </c>
      <c r="AF144" t="n">
        <v>0</v>
      </c>
      <c r="AG144" t="inlineStr">
        <is>
          <t>No</t>
        </is>
      </c>
      <c r="AH144" t="inlineStr">
        <is>
          <t>YES</t>
        </is>
      </c>
      <c r="AI144" t="inlineStr">
        <is>
          <t>with potential for full-time conversion based on performance</t>
        </is>
      </c>
      <c r="AK144" t="inlineStr">
        <is>
          <t>Stipend is not disclosed.</t>
        </is>
      </c>
      <c r="AL144" t="inlineStr">
        <is>
          <t>Cross-platform mobile development concepts; React / React Native fundamentals; State management in mobile applications</t>
        </is>
      </c>
    </row>
    <row r="145">
      <c r="A145" t="inlineStr">
        <is>
          <t>LOGICAL-SOFT-261002-144</t>
        </is>
      </c>
      <c r="B145" t="inlineStr">
        <is>
          <t>LOGICAL Soft Tech</t>
        </is>
      </c>
      <c r="C145" t="inlineStr">
        <is>
          <t>node js interns</t>
        </is>
      </c>
      <c r="D145" t="inlineStr">
        <is>
          <t>https://www.adzuna.in/details/5032506906?utm_medium=api&amp;utm_source=5ccdc27f</t>
        </is>
      </c>
      <c r="E145" t="inlineStr">
        <is>
          <t>AI Analyzer</t>
        </is>
      </c>
      <c r="F145" t="inlineStr">
        <is>
          <t>Indore, Madhya Pradesh</t>
        </is>
      </c>
      <c r="G145" t="inlineStr">
        <is>
          <t>Work from office</t>
        </is>
      </c>
      <c r="I145" t="inlineStr">
        <is>
          <t>UNKNOWN</t>
        </is>
      </c>
      <c r="J145" t="inlineStr">
        <is>
          <t>Not mentioned</t>
        </is>
      </c>
      <c r="K145" t="inlineStr">
        <is>
          <t>Node.js; MongoDB; Backend Development; Database; Admin Panel; REST APIs</t>
        </is>
      </c>
      <c r="M145" t="inlineStr">
        <is>
          <t>We are looking for Complete Fresher candidate for Intern Position Node js who want to make career in IT company and want to learn Live Project working. Location : Indore, M.P( Work from office only) Responsibilities :- 1) He or she will be doing backend Development ( database, admin panel and Rest api) 2) He or she will be learning backend logics with node js and Mongo db databse 3) He or she will be working under Senior Guidance and module by module everything will learn from start and scratch…</t>
        </is>
      </c>
      <c r="N145" t="n">
        <v>61</v>
      </c>
      <c r="O145" t="n">
        <v>90</v>
      </c>
      <c r="P145" t="n">
        <v>90</v>
      </c>
      <c r="Q145" t="n">
        <v>85</v>
      </c>
      <c r="R145" t="n">
        <v>0</v>
      </c>
      <c r="S145" t="n">
        <v>0</v>
      </c>
      <c r="T145" t="n">
        <v>30</v>
      </c>
      <c r="U145" t="inlineStr">
        <is>
          <t>SKIP</t>
        </is>
      </c>
      <c r="V145" t="inlineStr">
        <is>
          <t>SKIP</t>
        </is>
      </c>
      <c r="X145" t="inlineStr">
        <is>
          <t>Full Stack Developer Resume</t>
        </is>
      </c>
      <c r="Y145" t="inlineStr">
        <is>
          <t>2026-10-02</t>
        </is>
      </c>
      <c r="Z145" t="inlineStr">
        <is>
          <t>Strong technical alignment with Node.js and MongoDB requirements.</t>
        </is>
      </c>
      <c r="AA145" t="inlineStr">
        <is>
          <t>Ineligible</t>
        </is>
      </c>
      <c r="AB145" t="inlineStr">
        <is>
          <t>Job requires work from office in Indore, Madhya Pradesh, but candidate's preferred location is Bengaluru, India.</t>
        </is>
      </c>
      <c r="AC145" t="inlineStr">
        <is>
          <t>UNKNOWN</t>
        </is>
      </c>
      <c r="AD145" t="inlineStr">
        <is>
          <t>Not specified in candidate profile.</t>
        </is>
      </c>
      <c r="AE145" t="inlineStr">
        <is>
          <t>UNKNOWN</t>
        </is>
      </c>
      <c r="AF145" t="n">
        <v>0</v>
      </c>
      <c r="AG145" t="inlineStr">
        <is>
          <t>No</t>
        </is>
      </c>
      <c r="AH145" t="inlineStr">
        <is>
          <t>Not mentioned</t>
        </is>
      </c>
      <c r="AI145" t="inlineStr">
        <is>
          <t>No PPO or conversion mention in the job description.</t>
        </is>
      </c>
      <c r="AJ145" t="inlineStr">
        <is>
          <t>Location mismatch: Job is Work from office in Indore, Madhya Pradesh; Candidate is based in Bengaluru.</t>
        </is>
      </c>
      <c r="AK145" t="inlineStr">
        <is>
          <t>Unpaid or unknown stipend (below minimum target); Targeting complete freshers when candidate has professional internship and freelance experience; No PPO mention</t>
        </is>
      </c>
      <c r="AL145" t="inlineStr">
        <is>
          <t>Node.js event loop and asynchronous programming; MongoDB schema design and aggregation pipelines; REST API architectural best practices</t>
        </is>
      </c>
    </row>
    <row r="146">
      <c r="A146" t="inlineStr">
        <is>
          <t>NORYN-TECH-P-261002-145</t>
        </is>
      </c>
      <c r="B146" t="inlineStr">
        <is>
          <t>Noryn Tech Private Limited</t>
        </is>
      </c>
      <c r="C146" t="inlineStr">
        <is>
          <t>Node Js Intern</t>
        </is>
      </c>
      <c r="D146" t="inlineStr">
        <is>
          <t>https://www.adzuna.in/details/5698481869?utm_medium=api&amp;utm_source=5ccdc27f</t>
        </is>
      </c>
      <c r="E146" t="inlineStr">
        <is>
          <t>AI Analyzer</t>
        </is>
      </c>
      <c r="F146" t="inlineStr">
        <is>
          <t>Indore, Madhya Pradesh</t>
        </is>
      </c>
      <c r="G146" t="inlineStr">
        <is>
          <t>on-site</t>
        </is>
      </c>
      <c r="I146" t="inlineStr">
        <is>
          <t>Not specified</t>
        </is>
      </c>
      <c r="J146" t="inlineStr">
        <is>
          <t>Not mentioned</t>
        </is>
      </c>
      <c r="K146" t="inlineStr">
        <is>
          <t>Node.js</t>
        </is>
      </c>
      <c r="M146" t="inlineStr">
        <is>
          <t>Description Noryn Tech Private Limited is excited to announce an opening for a Node.js Developer in our Indore office. This full-time, on-site position is perfect for those looking to kickstart their career in software development within the Business Supplies and Equipment industry. As a Node.js Developer, you will play a crucial role in building and maintaining server-side applications that enhance our product offerings. You will collaborate with a talented team to deliver innovative solutions…</t>
        </is>
      </c>
      <c r="N146" t="n">
        <v>62</v>
      </c>
      <c r="O146" t="n">
        <v>90</v>
      </c>
      <c r="P146" t="n">
        <v>85</v>
      </c>
      <c r="Q146" t="n">
        <v>90</v>
      </c>
      <c r="R146" t="n">
        <v>0</v>
      </c>
      <c r="S146" t="n">
        <v>0</v>
      </c>
      <c r="T146" t="n">
        <v>40</v>
      </c>
      <c r="U146" t="inlineStr">
        <is>
          <t>SKIP</t>
        </is>
      </c>
      <c r="V146" t="inlineStr">
        <is>
          <t>SKIP</t>
        </is>
      </c>
      <c r="X146" t="inlineStr">
        <is>
          <t>Amaanuddin_Ahmed_Resume.pdf</t>
        </is>
      </c>
      <c r="Y146" t="inlineStr">
        <is>
          <t>2026-10-02</t>
        </is>
      </c>
      <c r="Z146" t="inlineStr">
        <is>
          <t>Matches the Node.js Developer Intern target role; Candidate has strong demonstrated experience with Node.js and Express</t>
        </is>
      </c>
      <c r="AA146" t="inlineStr">
        <is>
          <t>fail</t>
        </is>
      </c>
      <c r="AB146" t="inlineStr">
        <is>
          <t>Location mismatch: Job is on-site in Indore, Madhya Pradesh, but candidate prefers Bengaluru or remote.</t>
        </is>
      </c>
      <c r="AC146" t="inlineStr">
        <is>
          <t>UNKNOWN</t>
        </is>
      </c>
      <c r="AD146" t="inlineStr">
        <is>
          <t>Availability not specified in the job description.</t>
        </is>
      </c>
      <c r="AE146" t="inlineStr">
        <is>
          <t>UNKNOWN</t>
        </is>
      </c>
      <c r="AF146" t="n">
        <v>0</v>
      </c>
      <c r="AG146" t="inlineStr">
        <is>
          <t>No</t>
        </is>
      </c>
      <c r="AH146" t="inlineStr">
        <is>
          <t>Not mentioned</t>
        </is>
      </c>
      <c r="AI146" t="inlineStr">
        <is>
          <t>No mention of PPO or conversion to full-time.</t>
        </is>
      </c>
      <c r="AJ146" t="inlineStr">
        <is>
          <t>Location: On-site in Indore vs. Candidate preferred location Bengaluru/Remote</t>
        </is>
      </c>
      <c r="AK146" t="inlineStr">
        <is>
          <t>No stipend information provided; On-site requirement in Indore does not match candidate location preference</t>
        </is>
      </c>
      <c r="AL146" t="inlineStr">
        <is>
          <t>Node.js event loop and asynchronous programming; Express.js middleware and routing; RESTful API design and database integration</t>
        </is>
      </c>
    </row>
    <row r="147">
      <c r="A147" t="inlineStr">
        <is>
          <t>VENTURA-SECU-261002-146</t>
        </is>
      </c>
      <c r="B147" t="inlineStr">
        <is>
          <t>ventura securities ltd</t>
        </is>
      </c>
      <c r="C147" t="inlineStr">
        <is>
          <t>NodeJS Developer</t>
        </is>
      </c>
      <c r="D147" t="inlineStr">
        <is>
          <t>https://www.adzuna.in/details/4176492451?utm_medium=api&amp;utm_source=5ccdc27f</t>
        </is>
      </c>
      <c r="E147" t="inlineStr">
        <is>
          <t>AI Analyzer</t>
        </is>
      </c>
      <c r="F147" t="inlineStr">
        <is>
          <t>India</t>
        </is>
      </c>
      <c r="G147" t="inlineStr">
        <is>
          <t>remote</t>
        </is>
      </c>
      <c r="H147" t="inlineStr">
        <is>
          <t>Not specified</t>
        </is>
      </c>
      <c r="I147" t="inlineStr">
        <is>
          <t>6 Months</t>
        </is>
      </c>
      <c r="J147" t="inlineStr">
        <is>
          <t>UNKNOWN</t>
        </is>
      </c>
      <c r="K147" t="inlineStr">
        <is>
          <t>Node.js; JavaScript; AWS</t>
        </is>
      </c>
      <c r="M147" t="inlineStr">
        <is>
          <t>JD-Backend Intern (NodeJs) Internship Span – 6 Months (Fulltime) Ventura Securities is establishing its fintech team - a remote-first, work from anywhere team with highly talented individuals who come from diverse backgrounds and looking to solve real client problems at scale. Ventura has been in the stockbroking business for 20 years and it is a robust and profitable franchise with 1000 employees currently. We are looking for passionate techies with skills primarily around AWS and Node’s/JS wh…</t>
        </is>
      </c>
      <c r="N147" t="n">
        <v>70</v>
      </c>
      <c r="O147" t="n">
        <v>75</v>
      </c>
      <c r="P147" t="n">
        <v>80</v>
      </c>
      <c r="Q147" t="n">
        <v>85</v>
      </c>
      <c r="R147" t="n">
        <v>50</v>
      </c>
      <c r="S147" t="n">
        <v>40</v>
      </c>
      <c r="T147" t="n">
        <v>70</v>
      </c>
      <c r="U147" t="inlineStr">
        <is>
          <t>CONSIDER</t>
        </is>
      </c>
      <c r="V147" t="inlineStr">
        <is>
          <t>CONSIDER</t>
        </is>
      </c>
      <c r="W147" t="inlineStr">
        <is>
          <t>AWS (listed as working knowledge, not demonstrated in production/projects)</t>
        </is>
      </c>
      <c r="X147" t="inlineStr">
        <is>
          <t>Default Full Stack / Backend Resume</t>
        </is>
      </c>
      <c r="Y147" t="inlineStr">
        <is>
          <t>2026-10-02</t>
        </is>
      </c>
      <c r="Z147" t="inlineStr">
        <is>
          <t>Role aligns well with target backend intern positions and uses Node.js.; Remote-first setup offers flexibility.; Ventura Securities is an established fintech firm providing good fintech domain exposure.</t>
        </is>
      </c>
      <c r="AA147" t="inlineStr">
        <is>
          <t>ELIGIBLE</t>
        </is>
      </c>
      <c r="AB147" t="inlineStr">
        <is>
          <t>Matches target intern profile for Node.js development.; Remote-first work mode aligns with candidate preferences.</t>
        </is>
      </c>
      <c r="AC147" t="inlineStr">
        <is>
          <t>UNKNOWN</t>
        </is>
      </c>
      <c r="AD147" t="inlineStr">
        <is>
          <t>Exact start date not specified in JD to cross-check availability against MCA schedule.</t>
        </is>
      </c>
      <c r="AE147" t="inlineStr">
        <is>
          <t>UNKNOWN</t>
        </is>
      </c>
      <c r="AF147" t="n">
        <v>0</v>
      </c>
      <c r="AG147" t="inlineStr">
        <is>
          <t>No</t>
        </is>
      </c>
      <c r="AH147" t="inlineStr">
        <is>
          <t>UNKNOWN</t>
        </is>
      </c>
      <c r="AI147" t="inlineStr">
        <is>
          <t>Not explicitly mentioned in the snippet.</t>
        </is>
      </c>
      <c r="AK147" t="inlineStr">
        <is>
          <t>Stipend information is missing.</t>
        </is>
      </c>
      <c r="AL147" t="inlineStr">
        <is>
          <t>Node.js event loop and asynchronous programming; Express.js middleware and REST API architecture; AWS services used for deployment and serverless architecture; Database integration with MySQL/MongoDB in Node.js</t>
        </is>
      </c>
    </row>
    <row r="148">
      <c r="A148" t="inlineStr">
        <is>
          <t>ALAAN-261002-147</t>
        </is>
      </c>
      <c r="B148" t="inlineStr">
        <is>
          <t>Alaan</t>
        </is>
      </c>
      <c r="C148" t="inlineStr">
        <is>
          <t>Fullstack Intern</t>
        </is>
      </c>
      <c r="D148" t="inlineStr">
        <is>
          <t>https://www.adzuna.in/details/5905923167?utm_medium=api&amp;utm_source=5ccdc27f</t>
        </is>
      </c>
      <c r="E148" t="inlineStr">
        <is>
          <t>AI Analyzer</t>
        </is>
      </c>
      <c r="F148" t="inlineStr">
        <is>
          <t>Bangalore, Karnataka</t>
        </is>
      </c>
      <c r="G148" t="inlineStr">
        <is>
          <t>On-site / Unspecified</t>
        </is>
      </c>
      <c r="H148" t="inlineStr">
        <is>
          <t>Unspecified</t>
        </is>
      </c>
      <c r="I148" t="inlineStr">
        <is>
          <t>Unspecified</t>
        </is>
      </c>
      <c r="J148" t="inlineStr">
        <is>
          <t>NOT_MENTIONED</t>
        </is>
      </c>
      <c r="K148" t="inlineStr">
        <is>
          <t>Node.js; JavaScript; TypeScript; React.js; Next.js</t>
        </is>
      </c>
      <c r="M148" t="inlineStr">
        <is>
          <t>About the role We are looking for a Full Stack Engineering Intern to join our Engineering team at Alaan, with a strong focus on backend development . You’ll work alongside our engineers to build and improve production features across our platform, primarily using Node.js and JavaScript/TypeScript , while also getting exposure to frontend development using React.js and Next.js . This is a hands-on engineering role where you’ll learn how real-world products are designed, built, shipped, and maint…</t>
        </is>
      </c>
      <c r="N148" t="n">
        <v>72</v>
      </c>
      <c r="O148" t="n">
        <v>75</v>
      </c>
      <c r="P148" t="n">
        <v>90</v>
      </c>
      <c r="Q148" t="n">
        <v>90</v>
      </c>
      <c r="R148" t="n">
        <v>50</v>
      </c>
      <c r="S148" t="n">
        <v>40</v>
      </c>
      <c r="T148" t="n">
        <v>70</v>
      </c>
      <c r="U148" t="inlineStr">
        <is>
          <t>CONSIDER</t>
        </is>
      </c>
      <c r="V148" t="inlineStr">
        <is>
          <t>CONSIDER</t>
        </is>
      </c>
      <c r="W148" t="inlineStr">
        <is>
          <t>TypeScript; Next.js</t>
        </is>
      </c>
      <c r="X148" t="inlineStr">
        <is>
          <t>Default Full Stack / MERN Resume</t>
        </is>
      </c>
      <c r="Y148" t="inlineStr">
        <is>
          <t>2026-10-02</t>
        </is>
      </c>
      <c r="Z148" t="inlineStr">
        <is>
          <t>Role matches primary target of Full Stack Developer Intern.; Strong overlap with demonstrated Node.js and React.js experience.; Located in Bangalore.</t>
        </is>
      </c>
      <c r="AA148" t="inlineStr">
        <is>
          <t>ELIGIBLE</t>
        </is>
      </c>
      <c r="AB148" t="inlineStr">
        <is>
          <t>Candidate is located in Bangalore, India.; Target role aligns with Full Stack Developer Intern.; No explicit graduation year or experience hard blockers mentioned.</t>
        </is>
      </c>
      <c r="AC148" t="inlineStr">
        <is>
          <t>UNKNOWN</t>
        </is>
      </c>
      <c r="AD148" t="inlineStr">
        <is>
          <t>Exact availability timeline is not specified in the career brain relative to the start date.</t>
        </is>
      </c>
      <c r="AE148" t="inlineStr">
        <is>
          <t>UNKNOWN</t>
        </is>
      </c>
      <c r="AF148" t="n">
        <v>0</v>
      </c>
      <c r="AG148" t="inlineStr">
        <is>
          <t>No</t>
        </is>
      </c>
      <c r="AH148" t="inlineStr">
        <is>
          <t>NOT_MENTIONED</t>
        </is>
      </c>
      <c r="AI148" t="inlineStr">
        <is>
          <t>The provided job description snippet does not explicitly mention PPO or conversion opportunities.</t>
        </is>
      </c>
      <c r="AK148" t="inlineStr">
        <is>
          <t>Stipend is not disclosed.; PPO is not mentioned.</t>
        </is>
      </c>
      <c r="AL148" t="inlineStr">
        <is>
          <t>Node.js backend development and asynchronous programming; JavaScript and TypeScript fundamentals; React.js state management and component lifecycle; API design and database integration</t>
        </is>
      </c>
    </row>
    <row r="149">
      <c r="A149" t="inlineStr">
        <is>
          <t>MPLOYCHEK-261002-148</t>
        </is>
      </c>
      <c r="B149" t="inlineStr">
        <is>
          <t>MPloyChek</t>
        </is>
      </c>
      <c r="C149" t="inlineStr">
        <is>
          <t>Software Engineering Intern Full Stack and Ai</t>
        </is>
      </c>
      <c r="D149" t="inlineStr">
        <is>
          <t>https://www.adzuna.in/details/5885446845?utm_medium=api&amp;utm_source=5ccdc27f</t>
        </is>
      </c>
      <c r="E149" t="inlineStr">
        <is>
          <t>AI Analyzer</t>
        </is>
      </c>
      <c r="F149" t="inlineStr">
        <is>
          <t>Chennai, Tamil Nadu</t>
        </is>
      </c>
      <c r="G149" t="inlineStr">
        <is>
          <t>Unknown</t>
        </is>
      </c>
      <c r="H149" t="inlineStr">
        <is>
          <t>Not specified</t>
        </is>
      </c>
      <c r="I149" t="inlineStr">
        <is>
          <t>Unknown</t>
        </is>
      </c>
      <c r="J149" t="inlineStr">
        <is>
          <t>unmentioned</t>
        </is>
      </c>
      <c r="K149" t="inlineStr">
        <is>
          <t>JavaScript; TypeScript; APIs; Node.js; Git</t>
        </is>
      </c>
      <c r="L149" t="inlineStr">
        <is>
          <t>AI-enabled workflows; contemporary web frameworks</t>
        </is>
      </c>
      <c r="M149" t="inlineStr">
        <is>
          <t>MPloyChek is a technologyled background verification platform owned and operated by NSQ Tech We help employers conduct faster more transparent and reliable employee screening Start your engineering career by shipping real product features across MPloyCheks web platform and AIenabled workflows Responsibilities Develop and test frontend and backend features Work with JavaScript TypeScript APIs Node js and contemporary web frameworks Debug issues write maintainable code and use Git in a teamorient…</t>
        </is>
      </c>
      <c r="N149" t="n">
        <v>66</v>
      </c>
      <c r="O149" t="n">
        <v>75</v>
      </c>
      <c r="P149" t="n">
        <v>80</v>
      </c>
      <c r="Q149" t="n">
        <v>85</v>
      </c>
      <c r="R149" t="n">
        <v>30</v>
      </c>
      <c r="S149" t="n">
        <v>40</v>
      </c>
      <c r="T149" t="n">
        <v>60</v>
      </c>
      <c r="U149" t="inlineStr">
        <is>
          <t>STRETCH</t>
        </is>
      </c>
      <c r="V149" t="inlineStr">
        <is>
          <t>STRETCH</t>
        </is>
      </c>
      <c r="W149" t="inlineStr">
        <is>
          <t>TypeScript</t>
        </is>
      </c>
      <c r="X149" t="inlineStr">
        <is>
          <t>Amaanuddin_Ahmed_Resume.pdf</t>
        </is>
      </c>
      <c r="Y149" t="inlineStr">
        <is>
          <t>2026-10-02</t>
        </is>
      </c>
      <c r="Z149" t="inlineStr">
        <is>
          <t>The role aligns with the candidate's target Full Stack Developer Intern and Software Engineer Intern positions.; The candidate has strong demonstrated experience in JavaScript, Node.js, and API development through internships and projects.</t>
        </is>
      </c>
      <c r="AA149" t="inlineStr">
        <is>
          <t>eligible</t>
        </is>
      </c>
      <c r="AB149" t="inlineStr">
        <is>
          <t>The candidate meets the general background expectations for a software engineering internship role.; No explicit hard blockers regarding degree, graduation year, or experience were mentioned in the job description.</t>
        </is>
      </c>
      <c r="AC149" t="inlineStr">
        <is>
          <t>unknown</t>
        </is>
      </c>
      <c r="AD149" t="inlineStr">
        <is>
          <t>Candidate availability for Chennai location or specific start date is not explicitly mentioned in the career brain.</t>
        </is>
      </c>
      <c r="AE149" t="inlineStr">
        <is>
          <t>UNKNOWN</t>
        </is>
      </c>
      <c r="AF149" t="n">
        <v>0</v>
      </c>
      <c r="AG149" t="inlineStr">
        <is>
          <t>No</t>
        </is>
      </c>
      <c r="AH149" t="inlineStr">
        <is>
          <t>unmentioned</t>
        </is>
      </c>
      <c r="AI149" t="inlineStr">
        <is>
          <t>The job description does not explicitly mention PPO or conversion opportunities.</t>
        </is>
      </c>
      <c r="AK149" t="inlineStr">
        <is>
          <t>Location is Chennai while candidate prefers Bengaluru (though remote is fine, work mode is unspecified here); Stipend is unknown; PPO information is missing</t>
        </is>
      </c>
      <c r="AL149" t="inlineStr">
        <is>
          <t>JavaScript asynchronous programming and Node.js backend development; Experience with REST APIs and Git collaborative workflows; TypeScript knowledge (working vs demonstrated experience); Handling background verification or data-intensive workflows</t>
        </is>
      </c>
    </row>
    <row r="150">
      <c r="A150" t="inlineStr">
        <is>
          <t>SOFTKNACK-261002-149</t>
        </is>
      </c>
      <c r="B150" t="inlineStr">
        <is>
          <t>Softknack</t>
        </is>
      </c>
      <c r="C150" t="inlineStr">
        <is>
          <t>Full Stack Engineering Interns</t>
        </is>
      </c>
      <c r="D150" t="inlineStr">
        <is>
          <t>https://www.adzuna.in/details/5845820630?utm_medium=api&amp;utm_source=5ccdc27f</t>
        </is>
      </c>
      <c r="E150" t="inlineStr">
        <is>
          <t>AI Analyzer</t>
        </is>
      </c>
      <c r="F150" t="inlineStr">
        <is>
          <t>Chennai, Tamil Nadu</t>
        </is>
      </c>
      <c r="G150" t="inlineStr">
        <is>
          <t>Unknown</t>
        </is>
      </c>
      <c r="I150" t="inlineStr">
        <is>
          <t>Unknown</t>
        </is>
      </c>
      <c r="J150" t="inlineStr">
        <is>
          <t>NOT_MENTIONED</t>
        </is>
      </c>
      <c r="K150" t="inlineStr">
        <is>
          <t>Node.js; React Native</t>
        </is>
      </c>
      <c r="M150" t="inlineStr">
        <is>
          <t>Were an earlystage startup building software products that real businesses depend on to run their day Every bug is a business that cant operate Every good decision you make now gets built into the foundation as we scale Were hiring 10 interns for our next builder cohort This isnt busywork or a toy side project Youll own real features end to end ship to production and see your code used by real clients within days Who were looking for Someone genuinely obsessed with building The kind of person w…</t>
        </is>
      </c>
      <c r="N150" t="n">
        <v>42</v>
      </c>
      <c r="O150" t="n">
        <v>50</v>
      </c>
      <c r="P150" t="n">
        <v>60</v>
      </c>
      <c r="Q150" t="n">
        <v>70</v>
      </c>
      <c r="R150" t="n">
        <v>0</v>
      </c>
      <c r="S150" t="n">
        <v>0</v>
      </c>
      <c r="T150" t="n">
        <v>50</v>
      </c>
      <c r="U150" t="inlineStr">
        <is>
          <t>SKIP</t>
        </is>
      </c>
      <c r="V150" t="inlineStr">
        <is>
          <t>SKIP</t>
        </is>
      </c>
      <c r="W150" t="inlineStr">
        <is>
          <t>React Native</t>
        </is>
      </c>
      <c r="X150" t="inlineStr">
        <is>
          <t>Amaanuddin_Ahmed_Resume.pdf</t>
        </is>
      </c>
      <c r="Y150" t="inlineStr">
        <is>
          <t>2026-10-02</t>
        </is>
      </c>
      <c r="Z150" t="inlineStr">
        <is>
          <t>Early-stage startup offering end-to-end feature ownership and production deployment</t>
        </is>
      </c>
      <c r="AA150" t="inlineStr">
        <is>
          <t>ELIGIBLE</t>
        </is>
      </c>
      <c r="AC150" t="inlineStr">
        <is>
          <t>UNKNOWN</t>
        </is>
      </c>
      <c r="AD150" t="inlineStr">
        <is>
          <t>Availability not specified in the candidate profile or career brain.</t>
        </is>
      </c>
      <c r="AE150" t="inlineStr">
        <is>
          <t>UNKNOWN</t>
        </is>
      </c>
      <c r="AF150" t="n">
        <v>0</v>
      </c>
      <c r="AG150" t="inlineStr">
        <is>
          <t>No</t>
        </is>
      </c>
      <c r="AH150" t="inlineStr">
        <is>
          <t>NOT_MENTIONED</t>
        </is>
      </c>
      <c r="AI150" t="inlineStr">
        <is>
          <t>No explicit mention of PPO or conversion in the job description snippet.</t>
        </is>
      </c>
      <c r="AK150" t="inlineStr">
        <is>
          <t>Location is Chennai, Tamil Nadu while candidate prefers Bengaluru or remote; React Native is required by the role but not demonstrated or listed in primary resume skills</t>
        </is>
      </c>
      <c r="AL150" t="inlineStr">
        <is>
          <t>Node.js and Express backend architecture; React Native mobile development familiarity; End-to-end feature shipping experience</t>
        </is>
      </c>
    </row>
    <row r="151">
      <c r="A151" t="inlineStr">
        <is>
          <t>FLEXBOARD-261002-150</t>
        </is>
      </c>
      <c r="B151" t="inlineStr">
        <is>
          <t>FlexBoard</t>
        </is>
      </c>
      <c r="C151" t="inlineStr">
        <is>
          <t>Remote Software Engineer Intern</t>
        </is>
      </c>
      <c r="D151" t="inlineStr">
        <is>
          <t>https://www.adzuna.in/details/5845820694?utm_medium=api&amp;utm_source=5ccdc27f</t>
        </is>
      </c>
      <c r="E151" t="inlineStr">
        <is>
          <t>AI Analyzer</t>
        </is>
      </c>
      <c r="F151" t="inlineStr">
        <is>
          <t>India</t>
        </is>
      </c>
      <c r="G151" t="inlineStr">
        <is>
          <t>Remote</t>
        </is>
      </c>
      <c r="H151" t="inlineStr">
        <is>
          <t>Not specified</t>
        </is>
      </c>
      <c r="I151" t="inlineStr">
        <is>
          <t>Not specified</t>
        </is>
      </c>
      <c r="J151" t="inlineStr">
        <is>
          <t>NO</t>
        </is>
      </c>
      <c r="K151" t="inlineStr">
        <is>
          <t>Software Development; Frontend or Backend Development</t>
        </is>
      </c>
      <c r="M151" t="inlineStr">
        <is>
          <t>Note The job is a remote job and is reputed company to candidates in USA reputed company is the leading destination for shortreputed company mobile video and they are seeking talented individuals for an internship in their Customer Service Platform team The role involves reputed companyend development understanding business requirements and optimizing development models to enhance user experience and satisfaction Responsibilities Responsible for reputed companyend development of the reputed com…</t>
        </is>
      </c>
      <c r="N151" t="n">
        <v>66</v>
      </c>
      <c r="O151" t="n">
        <v>75</v>
      </c>
      <c r="P151" t="n">
        <v>80</v>
      </c>
      <c r="Q151" t="n">
        <v>80</v>
      </c>
      <c r="R151" t="n">
        <v>40</v>
      </c>
      <c r="S151" t="n">
        <v>50</v>
      </c>
      <c r="T151" t="n">
        <v>45</v>
      </c>
      <c r="U151" t="inlineStr">
        <is>
          <t>STRETCH</t>
        </is>
      </c>
      <c r="V151" t="inlineStr">
        <is>
          <t>STRETCH</t>
        </is>
      </c>
      <c r="X151" t="inlineStr">
        <is>
          <t>Default Full Stack / Software Engineer Resume</t>
        </is>
      </c>
      <c r="Y151" t="inlineStr">
        <is>
          <t>2026-10-02</t>
        </is>
      </c>
      <c r="Z151" t="inlineStr">
        <is>
          <t>Matches target software engineering intern role.; Remote work mode fits candidate preferences.</t>
        </is>
      </c>
      <c r="AA151" t="inlineStr">
        <is>
          <t>ELIGIBLE</t>
        </is>
      </c>
      <c r="AB151" t="inlineStr">
        <is>
          <t>Candidate is an MCA student looking for internships matching software engineering roles.; Job is remote and open to candidates in India.</t>
        </is>
      </c>
      <c r="AC151" t="inlineStr">
        <is>
          <t>UNKNOWN</t>
        </is>
      </c>
      <c r="AD151" t="inlineStr">
        <is>
          <t>Availability not explicitly specified in the candidate profile.</t>
        </is>
      </c>
      <c r="AE151" t="inlineStr">
        <is>
          <t>UNKNOWN</t>
        </is>
      </c>
      <c r="AF151" t="n">
        <v>0</v>
      </c>
      <c r="AG151" t="inlineStr">
        <is>
          <t>No</t>
        </is>
      </c>
      <c r="AH151" t="inlineStr">
        <is>
          <t>NO</t>
        </is>
      </c>
      <c r="AI151" t="inlineStr">
        <is>
          <t>No mention of PPO or conversion in the job description.</t>
        </is>
      </c>
      <c r="AK151" t="inlineStr">
        <is>
          <t>Vague and fragmented job description text with repeated boilerplate terms ('reputed company').</t>
        </is>
      </c>
      <c r="AL151" t="inlineStr">
        <is>
          <t>Full stack development fundamentals; API design and integration; Handling business requirements and user satisfaction</t>
        </is>
      </c>
    </row>
    <row r="152">
      <c r="A152" t="inlineStr">
        <is>
          <t>CONAXWEB-SOL-261002-151</t>
        </is>
      </c>
      <c r="B152" t="inlineStr">
        <is>
          <t>ConaXweb Solutions</t>
        </is>
      </c>
      <c r="C152" t="inlineStr">
        <is>
          <t>MERN Stack Intern</t>
        </is>
      </c>
      <c r="D152" t="inlineStr">
        <is>
          <t>https://www.adzuna.in/details/4366939888?utm_medium=api&amp;utm_source=5ccdc27f</t>
        </is>
      </c>
      <c r="E152" t="inlineStr">
        <is>
          <t>AI Analyzer</t>
        </is>
      </c>
      <c r="F152" t="inlineStr">
        <is>
          <t>Allahabad, Uttar Pradesh</t>
        </is>
      </c>
      <c r="G152" t="inlineStr">
        <is>
          <t>On-site</t>
        </is>
      </c>
      <c r="H152" t="inlineStr">
        <is>
          <t>Not Specified</t>
        </is>
      </c>
      <c r="I152" t="inlineStr">
        <is>
          <t>Not Specified</t>
        </is>
      </c>
      <c r="J152" t="inlineStr">
        <is>
          <t>UNKNOWN</t>
        </is>
      </c>
      <c r="K152" t="inlineStr">
        <is>
          <t>MongoDB; Express; React; Node.js</t>
        </is>
      </c>
      <c r="M152" t="inlineStr">
        <is>
          <t>Job description We are looking for MERN Stack Interns to join our team and help us build and maintain high-performance web applications. As a MERN stack developer, you will be responsible for designing, developing, and deploying web applications using the MERN stack (MongoDB, Express, React, and Node.js). Key Responsibilities: Design and develop web applications using the MERN stack Write clean, maintainable, and efficient code Collaborate with the team to define, design, and ship new features …</t>
        </is>
      </c>
      <c r="N152" t="n">
        <v>70</v>
      </c>
      <c r="O152" t="n">
        <v>95</v>
      </c>
      <c r="P152" t="n">
        <v>90</v>
      </c>
      <c r="Q152" t="n">
        <v>95</v>
      </c>
      <c r="R152" t="n">
        <v>30</v>
      </c>
      <c r="S152" t="n">
        <v>10</v>
      </c>
      <c r="T152" t="n">
        <v>40</v>
      </c>
      <c r="U152" t="inlineStr">
        <is>
          <t>SKIP</t>
        </is>
      </c>
      <c r="V152" t="inlineStr">
        <is>
          <t>SKIP</t>
        </is>
      </c>
      <c r="X152" t="inlineStr">
        <is>
          <t>Amaanuddin_Ahmed_Resume_MERN_FullStack.pdf</t>
        </is>
      </c>
      <c r="Y152" t="inlineStr">
        <is>
          <t>2026-10-02</t>
        </is>
      </c>
      <c r="Z152" t="inlineStr">
        <is>
          <t>Strong technical alignment with the MERN stack requirements based on past projects and internships.</t>
        </is>
      </c>
      <c r="AA152" t="inlineStr">
        <is>
          <t>ELIGIBLE</t>
        </is>
      </c>
      <c r="AB152" t="inlineStr">
        <is>
          <t>Candidate is pursuing MCA and meets general tech criteria for MERN stack.</t>
        </is>
      </c>
      <c r="AC152" t="inlineStr">
        <is>
          <t>UNKNOWN</t>
        </is>
      </c>
      <c r="AD152" t="inlineStr">
        <is>
          <t>Exact joining availability details not specified in the career brain relative to this specific start window.</t>
        </is>
      </c>
      <c r="AE152" t="inlineStr">
        <is>
          <t>UNKNOWN</t>
        </is>
      </c>
      <c r="AF152" t="n">
        <v>0</v>
      </c>
      <c r="AG152" t="inlineStr">
        <is>
          <t>No</t>
        </is>
      </c>
      <c r="AH152" t="inlineStr">
        <is>
          <t>UNKNOWN</t>
        </is>
      </c>
      <c r="AI152" t="inlineStr">
        <is>
          <t>No mention of a PPO or conversion in the job description.</t>
        </is>
      </c>
      <c r="AJ152" t="inlineStr">
        <is>
          <t>Location mismatch: Job is in Allahabad, Uttar Pradesh, while candidate prefers Bengaluru (or remote).</t>
        </is>
      </c>
      <c r="AK152" t="inlineStr">
        <is>
          <t>Unknown stipend which likely falls below the candidate's minimum target of 25,000 INR/month for an off-location role.; Relocation required to Allahabad, Uttar Pradesh.</t>
        </is>
      </c>
      <c r="AL152" t="inlineStr">
        <is>
          <t>MERN stack architecture; RESTful API design; Database schema design with MongoDB; State management in React</t>
        </is>
      </c>
    </row>
    <row r="153">
      <c r="A153" t="inlineStr">
        <is>
          <t>MAXGEN-TECHN-261002-152</t>
        </is>
      </c>
      <c r="B153" t="inlineStr">
        <is>
          <t>MAXGEN TECHNOLOGIES PRIVATE LIMITED</t>
        </is>
      </c>
      <c r="C153" t="inlineStr">
        <is>
          <t>Mern Stack Internship</t>
        </is>
      </c>
      <c r="D153" t="inlineStr">
        <is>
          <t>https://www.adzuna.in/details/5842547711?utm_medium=api&amp;utm_source=5ccdc27f</t>
        </is>
      </c>
      <c r="E153" t="inlineStr">
        <is>
          <t>AI Analyzer</t>
        </is>
      </c>
      <c r="F153" t="inlineStr">
        <is>
          <t>Pune, India</t>
        </is>
      </c>
      <c r="G153" t="inlineStr">
        <is>
          <t>Hybrid</t>
        </is>
      </c>
      <c r="H153" t="inlineStr">
        <is>
          <t>Not specified</t>
        </is>
      </c>
      <c r="I153" t="inlineStr">
        <is>
          <t>Unknown</t>
        </is>
      </c>
      <c r="J153" t="inlineStr">
        <is>
          <t>No</t>
        </is>
      </c>
      <c r="K153" t="inlineStr">
        <is>
          <t>MERN Stack; Frontend Development; Backend Development</t>
        </is>
      </c>
      <c r="M153" t="inlineStr">
        <is>
          <t>Maxgen Technologies Pvt Ltd offering Web development program inpune we are offeringmernstackinternshipwith frontend and backend learning program Why seeking our program Online or Offline internships experienced staff Attractive locations Skills development services Live projects internships call at hidden mobile visit us www maxgentechnologies com Address 601 Konark Icon MagarpattaPune</t>
        </is>
      </c>
      <c r="N153" t="n">
        <v>63</v>
      </c>
      <c r="O153" t="n">
        <v>90</v>
      </c>
      <c r="P153" t="n">
        <v>85</v>
      </c>
      <c r="Q153" t="n">
        <v>85</v>
      </c>
      <c r="R153" t="n">
        <v>10</v>
      </c>
      <c r="S153" t="n">
        <v>20</v>
      </c>
      <c r="T153" t="n">
        <v>30</v>
      </c>
      <c r="U153" t="inlineStr">
        <is>
          <t>STRETCH</t>
        </is>
      </c>
      <c r="V153" t="inlineStr">
        <is>
          <t>STRETCH</t>
        </is>
      </c>
      <c r="X153" t="inlineStr">
        <is>
          <t>Full Stack Developer Resume</t>
        </is>
      </c>
      <c r="Y153" t="inlineStr">
        <is>
          <t>2026-10-02</t>
        </is>
      </c>
      <c r="Z153" t="inlineStr">
        <is>
          <t>Aligns well with MERN stack skill set.</t>
        </is>
      </c>
      <c r="AA153" t="inlineStr">
        <is>
          <t>Eligible</t>
        </is>
      </c>
      <c r="AC153" t="inlineStr">
        <is>
          <t>Unknown</t>
        </is>
      </c>
      <c r="AD153" t="inlineStr">
        <is>
          <t>Candidate availability details are not provided in the career brain.</t>
        </is>
      </c>
      <c r="AE153" t="inlineStr">
        <is>
          <t>UNKNOWN</t>
        </is>
      </c>
      <c r="AF153" t="n">
        <v>0</v>
      </c>
      <c r="AG153" t="inlineStr">
        <is>
          <t>No</t>
        </is>
      </c>
      <c r="AH153" t="inlineStr">
        <is>
          <t>No</t>
        </is>
      </c>
      <c r="AI153" t="inlineStr">
        <is>
          <t>No mention of PPO or job conversion in the job description.</t>
        </is>
      </c>
      <c r="AK153" t="inlineStr">
        <is>
          <t>Unpaid or unstated stipend; Program-style internship structure which may lack quality</t>
        </is>
      </c>
      <c r="AL153" t="inlineStr">
        <is>
          <t>MERN stack fundamentals; Previous project experience with Node and React; Availability for Pune location</t>
        </is>
      </c>
    </row>
    <row r="154">
      <c r="A154" t="inlineStr">
        <is>
          <t>MAXGEN-TECHN-261002-153</t>
        </is>
      </c>
      <c r="B154" t="inlineStr">
        <is>
          <t>MAXGEN TECHNOLOGIES PRIVATE LIMITED</t>
        </is>
      </c>
      <c r="C154" t="inlineStr">
        <is>
          <t>MERN Stack Internship</t>
        </is>
      </c>
      <c r="D154" t="inlineStr">
        <is>
          <t>https://www.adzuna.in/details/5854846598?utm_medium=api&amp;utm_source=5ccdc27f</t>
        </is>
      </c>
      <c r="E154" t="inlineStr">
        <is>
          <t>AI Analyzer</t>
        </is>
      </c>
      <c r="F154" t="inlineStr">
        <is>
          <t>Ahmedabad, India</t>
        </is>
      </c>
      <c r="G154" t="inlineStr">
        <is>
          <t>Hybrid</t>
        </is>
      </c>
      <c r="H154" t="inlineStr">
        <is>
          <t>Not specified</t>
        </is>
      </c>
      <c r="I154" t="inlineStr">
        <is>
          <t>Unknown</t>
        </is>
      </c>
      <c r="J154" t="inlineStr">
        <is>
          <t>Low</t>
        </is>
      </c>
      <c r="K154" t="inlineStr">
        <is>
          <t>MERN Stack; Web Development</t>
        </is>
      </c>
      <c r="M154" t="inlineStr">
        <is>
          <t>Maxgen Technologies Pvt ltd is an it company based in Ahmedabad Diploma and iT can join ourmernstcakinternshipand web development program Why looking for us Advance leanring Program hybridinternshipwe offer flexible hours duringinternship job placement assistant visit us at www maxgentechnologies com contact us hidden mobile address Abhijeet 3 603 Netaji Rd near Pantaloons Mithakhali Ellisbridge Ahmedabad</t>
        </is>
      </c>
      <c r="N154" t="n">
        <v>69</v>
      </c>
      <c r="O154" t="n">
        <v>90</v>
      </c>
      <c r="P154" t="n">
        <v>90</v>
      </c>
      <c r="Q154" t="n">
        <v>90</v>
      </c>
      <c r="R154" t="n">
        <v>30</v>
      </c>
      <c r="S154" t="n">
        <v>20</v>
      </c>
      <c r="T154" t="n">
        <v>40</v>
      </c>
      <c r="U154" t="inlineStr">
        <is>
          <t>SKIP</t>
        </is>
      </c>
      <c r="V154" t="inlineStr">
        <is>
          <t>SKIP</t>
        </is>
      </c>
      <c r="X154" t="inlineStr">
        <is>
          <t>Standard Full Stack / MERN Resume</t>
        </is>
      </c>
      <c r="Y154" t="inlineStr">
        <is>
          <t>2026-10-02</t>
        </is>
      </c>
      <c r="Z154" t="inlineStr">
        <is>
          <t>Strong technical alignment with MERN stack requirements.</t>
        </is>
      </c>
      <c r="AA154" t="inlineStr">
        <is>
          <t>Eligible with constraints</t>
        </is>
      </c>
      <c r="AB154" t="inlineStr">
        <is>
          <t>The role is physically located in Ahmedabad, India, whereas candidate's preferred location is Bengaluru.</t>
        </is>
      </c>
      <c r="AC154" t="inlineStr">
        <is>
          <t>Unknown</t>
        </is>
      </c>
      <c r="AD154" t="inlineStr">
        <is>
          <t>Candidate's exact start date availability for this specific listing is not explicitly matched.</t>
        </is>
      </c>
      <c r="AE154" t="inlineStr">
        <is>
          <t>UNKNOWN</t>
        </is>
      </c>
      <c r="AF154" t="n">
        <v>0</v>
      </c>
      <c r="AG154" t="inlineStr">
        <is>
          <t>No</t>
        </is>
      </c>
      <c r="AH154" t="inlineStr">
        <is>
          <t>Low</t>
        </is>
      </c>
      <c r="AI154" t="inlineStr">
        <is>
          <t>Job description mentions job placement assistance rather than a guaranteed PPO or conversion track.</t>
        </is>
      </c>
      <c r="AJ154" t="inlineStr">
        <is>
          <t>Location mismatch: Job is based in Ahmedabad, Gujarat, while candidate is based in Bengaluru and prefers Bengaluru.</t>
        </is>
      </c>
      <c r="AK154" t="inlineStr">
        <is>
          <t>Unpaid or unknown stipend structure; Location requires relocation or remote presence in Ahmedabad for hybrid work</t>
        </is>
      </c>
      <c r="AL154" t="inlineStr">
        <is>
          <t>MERN stack architecture; Previous full-stack project experience; Feasibility of working from Ahmedabad</t>
        </is>
      </c>
    </row>
    <row r="155">
      <c r="A155" t="inlineStr">
        <is>
          <t>ZECSER-BUSIN-261002-154</t>
        </is>
      </c>
      <c r="B155" t="inlineStr">
        <is>
          <t>Zecser Business LLP</t>
        </is>
      </c>
      <c r="C155" t="inlineStr">
        <is>
          <t>MERN Stack Developer Internship</t>
        </is>
      </c>
      <c r="D155" t="inlineStr">
        <is>
          <t>https://www.adzuna.in/details/5565364089?utm_medium=api&amp;utm_source=5ccdc27f</t>
        </is>
      </c>
      <c r="E155" t="inlineStr">
        <is>
          <t>AI Analyzer</t>
        </is>
      </c>
      <c r="F155" t="inlineStr">
        <is>
          <t>Kochi, Ernakulam</t>
        </is>
      </c>
      <c r="G155" t="inlineStr">
        <is>
          <t>On-site / Not specified</t>
        </is>
      </c>
      <c r="H155" t="inlineStr">
        <is>
          <t>Not specified</t>
        </is>
      </c>
      <c r="I155" t="inlineStr">
        <is>
          <t>Not specified</t>
        </is>
      </c>
      <c r="J155" t="inlineStr">
        <is>
          <t>NOT_MENTIONED</t>
        </is>
      </c>
      <c r="K155" t="inlineStr">
        <is>
          <t>MongoDB; Express.js; React.js; Node.js</t>
        </is>
      </c>
      <c r="M155" t="inlineStr">
        <is>
          <t>MERN Stack Developer Internship in Kerala Are you a passionate and motivated individual looking to kickstart your career as a MERN Stack Developer? This internship opportunity in Kerala offers you the chance to work with cutting-edge technologies while gaining real-world experience. As a MERN Stack Developer Intern, you will be part of a dynamic team dedicated to developing innovative web applications using MongoDB, Express.js, React.js, and Node.js. Key Responsibilities: Assist in the developm…</t>
        </is>
      </c>
      <c r="N155" t="n">
        <v>74</v>
      </c>
      <c r="O155" t="n">
        <v>95</v>
      </c>
      <c r="P155" t="n">
        <v>90</v>
      </c>
      <c r="Q155" t="n">
        <v>95</v>
      </c>
      <c r="R155" t="n">
        <v>40</v>
      </c>
      <c r="S155" t="n">
        <v>20</v>
      </c>
      <c r="T155" t="n">
        <v>50</v>
      </c>
      <c r="U155" t="inlineStr">
        <is>
          <t>CONSIDER</t>
        </is>
      </c>
      <c r="V155" t="inlineStr">
        <is>
          <t>CONSIDER</t>
        </is>
      </c>
      <c r="X155" t="inlineStr">
        <is>
          <t>Default Resume / MERN Focused</t>
        </is>
      </c>
      <c r="Y155" t="inlineStr">
        <is>
          <t>2026-10-02</t>
        </is>
      </c>
      <c r="Z155" t="inlineStr">
        <is>
          <t>Strong technical match for MERN stack requirements.; Good opportunity to gain further web application development experience.</t>
        </is>
      </c>
      <c r="AA155" t="inlineStr">
        <is>
          <t>ELIGIBLE</t>
        </is>
      </c>
      <c r="AB155" t="inlineStr">
        <is>
          <t>No strict degree, graduation year, or experience blockers mentioned in the short snippet.</t>
        </is>
      </c>
      <c r="AC155" t="inlineStr">
        <is>
          <t>UNKNOWN</t>
        </is>
      </c>
      <c r="AD155" t="inlineStr">
        <is>
          <t>Availability not explicitly discussed in career brain, but candidate is an MCA student looking for internships.</t>
        </is>
      </c>
      <c r="AE155" t="inlineStr">
        <is>
          <t>UNKNOWN</t>
        </is>
      </c>
      <c r="AF155" t="n">
        <v>0</v>
      </c>
      <c r="AG155" t="inlineStr">
        <is>
          <t>No</t>
        </is>
      </c>
      <c r="AH155" t="inlineStr">
        <is>
          <t>NOT_MENTIONED</t>
        </is>
      </c>
      <c r="AI155" t="inlineStr">
        <is>
          <t>No mention of PPO or conversion in the job description snippet.</t>
        </is>
      </c>
      <c r="AK155" t="inlineStr">
        <is>
          <t>Stipend is not disclosed.; Location is Kochi, Kerala (candidate prefers Bengaluru or remote).</t>
        </is>
      </c>
      <c r="AL155" t="inlineStr">
        <is>
          <t>MongoDB schema design and aggregation pipelines; Express.js middleware and error handling; React.js state management and component lifecycle; Node.js asynchronous programming and event loop</t>
        </is>
      </c>
    </row>
    <row r="156">
      <c r="A156" t="inlineStr">
        <is>
          <t>OCTALBEES-261002-155</t>
        </is>
      </c>
      <c r="B156" t="inlineStr">
        <is>
          <t>Octalbees</t>
        </is>
      </c>
      <c r="C156" t="inlineStr">
        <is>
          <t>MERN Stack Developer Intern</t>
        </is>
      </c>
      <c r="D156" t="inlineStr">
        <is>
          <t>https://www.adzuna.in/details/5879546730?utm_medium=api&amp;utm_source=5ccdc27f</t>
        </is>
      </c>
      <c r="E156" t="inlineStr">
        <is>
          <t>AI Analyzer</t>
        </is>
      </c>
      <c r="F156" t="inlineStr">
        <is>
          <t>India</t>
        </is>
      </c>
      <c r="G156" t="inlineStr">
        <is>
          <t>Unknown</t>
        </is>
      </c>
      <c r="H156" t="inlineStr">
        <is>
          <t>Not specified</t>
        </is>
      </c>
      <c r="I156" t="inlineStr">
        <is>
          <t>Unknown</t>
        </is>
      </c>
      <c r="J156" t="inlineStr">
        <is>
          <t>UNKNOWN</t>
        </is>
      </c>
      <c r="K156" t="inlineStr">
        <is>
          <t>MongoDB; Express.js; React.js; Node.js; REST APIs</t>
        </is>
      </c>
      <c r="M156" t="inlineStr">
        <is>
          <t>About the Role Octalbees is looking for a MERN Stack Developer Intern to join our development team and work on practical, industry-oriented web development projects. What You'll Work On Build and improve web applications using MongoDB, Express.js, React.js, and Node.js Develop responsive and user-friendly frontend interfaces Build and integrate REST APIs Work with databases, authentication, and backend services Debug, test, and optimize applications Collaborate with the team and follow professi…</t>
        </is>
      </c>
      <c r="N156" t="n">
        <v>77</v>
      </c>
      <c r="O156" t="n">
        <v>95</v>
      </c>
      <c r="P156" t="n">
        <v>90</v>
      </c>
      <c r="Q156" t="n">
        <v>95</v>
      </c>
      <c r="R156" t="n">
        <v>50</v>
      </c>
      <c r="S156" t="n">
        <v>30</v>
      </c>
      <c r="T156" t="n">
        <v>60</v>
      </c>
      <c r="U156" t="inlineStr">
        <is>
          <t>CONSIDER</t>
        </is>
      </c>
      <c r="V156" t="inlineStr">
        <is>
          <t>CONSIDER</t>
        </is>
      </c>
      <c r="X156" t="inlineStr">
        <is>
          <t>Amaanuddin_Ahmed_Resume_MERN_Stack.pdf</t>
        </is>
      </c>
      <c r="Y156" t="inlineStr">
        <is>
          <t>2026-10-02</t>
        </is>
      </c>
      <c r="Z156" t="inlineStr">
        <is>
          <t>The role is an exact match for MERN Stack Developer Intern which aligns with primary and secondary target roles.; Candidate has strong demonstrated project and internship experience using MongoDB, Express.js, React.js, and Node.js.</t>
        </is>
      </c>
      <c r="AA156" t="inlineStr">
        <is>
          <t>ELIGIBLE</t>
        </is>
      </c>
      <c r="AB156" t="inlineStr">
        <is>
          <t>Candidate is an MCA student matching the target internship criteria for MERN Stack.</t>
        </is>
      </c>
      <c r="AC156" t="inlineStr">
        <is>
          <t>UNKNOWN</t>
        </is>
      </c>
      <c r="AD156" t="inlineStr">
        <is>
          <t>Exact joining dates and availability constraints are not specified in the JD or profile details.</t>
        </is>
      </c>
      <c r="AE156" t="inlineStr">
        <is>
          <t>UNKNOWN</t>
        </is>
      </c>
      <c r="AF156" t="n">
        <v>0</v>
      </c>
      <c r="AG156" t="inlineStr">
        <is>
          <t>No</t>
        </is>
      </c>
      <c r="AH156" t="inlineStr">
        <is>
          <t>UNKNOWN</t>
        </is>
      </c>
      <c r="AI156" t="inlineStr">
        <is>
          <t>No explicit PPO or conversion mention found in the short JD excerpt.</t>
        </is>
      </c>
      <c r="AK156" t="inlineStr">
        <is>
          <t>Location is listed broadly as India without specifying remote or city-specific details; Stipend information is completely missing</t>
        </is>
      </c>
      <c r="AL156" t="inlineStr">
        <is>
          <t>MERN stack architecture and state management in React; REST API design principles and security best practices; Database schema design in MongoDB and query optimization; Previous full-stack internship experience and live deployments</t>
        </is>
      </c>
    </row>
    <row r="157">
      <c r="A157" t="inlineStr">
        <is>
          <t>PAATHZ-261002-156</t>
        </is>
      </c>
      <c r="B157" t="inlineStr">
        <is>
          <t>Paathz</t>
        </is>
      </c>
      <c r="C157" t="inlineStr">
        <is>
          <t>Software Engineer Intern MERN</t>
        </is>
      </c>
      <c r="D157" t="inlineStr">
        <is>
          <t>https://www.adzuna.in/details/5827200226?utm_medium=api&amp;utm_source=5ccdc27f</t>
        </is>
      </c>
      <c r="E157" t="inlineStr">
        <is>
          <t>AI Analyzer</t>
        </is>
      </c>
      <c r="F157" t="inlineStr">
        <is>
          <t>Hyderabad, Telangana</t>
        </is>
      </c>
      <c r="G157" t="inlineStr">
        <is>
          <t>UNKNOWN</t>
        </is>
      </c>
      <c r="I157" t="inlineStr">
        <is>
          <t>UNKNOWN</t>
        </is>
      </c>
      <c r="J157" t="inlineStr">
        <is>
          <t>UNKNOWN</t>
        </is>
      </c>
      <c r="K157" t="inlineStr">
        <is>
          <t>MERN Stack; MongoDB; Express.js; React.js; Node.js</t>
        </is>
      </c>
      <c r="M157" t="inlineStr">
        <is>
          <t>About Paathz Paathz is an AInative hospitality workforce platform connecting prevetted professionals with hotels and restaurants across Southeast Asia Europe and the Middle East We believe hospitality has a visibility problem not a labour shortage Our mission is to become the definitive crossborder talent corridor for the global hospitality industry The Role We are looking for a passionate Software Engineer Intern MERN eager to build realworld software products Youll work closely with experienc…</t>
        </is>
      </c>
      <c r="N157" t="n">
        <v>80</v>
      </c>
      <c r="O157" t="n">
        <v>95</v>
      </c>
      <c r="P157" t="n">
        <v>90</v>
      </c>
      <c r="Q157" t="n">
        <v>95</v>
      </c>
      <c r="R157" t="n">
        <v>50</v>
      </c>
      <c r="S157" t="n">
        <v>40</v>
      </c>
      <c r="T157" t="n">
        <v>75</v>
      </c>
      <c r="U157" t="inlineStr">
        <is>
          <t>APPLY</t>
        </is>
      </c>
      <c r="V157" t="inlineStr">
        <is>
          <t>APPLY</t>
        </is>
      </c>
      <c r="X157" t="inlineStr">
        <is>
          <t>Amaanuddin_Ahmed_Resume_MERN_FullStack.pdf</t>
        </is>
      </c>
      <c r="Y157" t="inlineStr">
        <is>
          <t>2026-10-02</t>
        </is>
      </c>
      <c r="Z157" t="inlineStr">
        <is>
          <t>The role is an exact match for the MERN Stack Developer Intern position target.; Candidate has strong demonstrated experience and projects using MongoDB, Express, React, and Node.js.</t>
        </is>
      </c>
      <c r="AA157" t="inlineStr">
        <is>
          <t>ELIGIBLE</t>
        </is>
      </c>
      <c r="AC157" t="inlineStr">
        <is>
          <t>UNKNOWN</t>
        </is>
      </c>
      <c r="AD157" t="inlineStr">
        <is>
          <t>Availability not specified in the candidate profile relative to the job start date.</t>
        </is>
      </c>
      <c r="AE157" t="inlineStr">
        <is>
          <t>UNKNOWN</t>
        </is>
      </c>
      <c r="AF157" t="n">
        <v>0</v>
      </c>
      <c r="AG157" t="inlineStr">
        <is>
          <t>No</t>
        </is>
      </c>
      <c r="AH157" t="inlineStr">
        <is>
          <t>UNKNOWN</t>
        </is>
      </c>
      <c r="AI157" t="inlineStr">
        <is>
          <t>No mention of PPO or conversion opportunities in the provided job description text.</t>
        </is>
      </c>
      <c r="AK157" t="inlineStr">
        <is>
          <t>Location is Hyderabad, whereas candidate prefers Bengaluru.; Stipend is completely undisclosed.</t>
        </is>
      </c>
      <c r="AL157" t="inlineStr">
        <is>
          <t>MERN stack architecture and REST API development; State management and component lifecycle in React.js; Database design and aggregation pipelines in MongoDB; Asynchronous programming and middleware handling in Node.js and Express</t>
        </is>
      </c>
      <c r="AM157" t="inlineStr">
        <is>
          <t>E:\InternshipHunter\applications\adzuna-5c386d8a95cc</t>
        </is>
      </c>
      <c r="AN157" t="inlineStr">
        <is>
          <t>Ready for Review</t>
        </is>
      </c>
      <c r="AO157" t="inlineStr">
        <is>
          <t>Generated</t>
        </is>
      </c>
      <c r="AP157" t="inlineStr">
        <is>
          <t>Generated</t>
        </is>
      </c>
      <c r="AQ157" t="inlineStr">
        <is>
          <t>Generated</t>
        </is>
      </c>
      <c r="AR157" t="inlineStr">
        <is>
          <t>Ready to Apply</t>
        </is>
      </c>
    </row>
    <row r="158">
      <c r="A158" t="inlineStr">
        <is>
          <t>IDLI-TECHNOL-261002-157</t>
        </is>
      </c>
      <c r="B158" t="inlineStr">
        <is>
          <t>Idli Technologies Pvt Ltd</t>
        </is>
      </c>
      <c r="C158" t="inlineStr">
        <is>
          <t>MERN Stack Developer Internship</t>
        </is>
      </c>
      <c r="D158" t="inlineStr">
        <is>
          <t>https://www.adzuna.in/details/5811667426?utm_medium=api&amp;utm_source=5ccdc27f</t>
        </is>
      </c>
      <c r="E158" t="inlineStr">
        <is>
          <t>AI Analyzer</t>
        </is>
      </c>
      <c r="F158" t="inlineStr">
        <is>
          <t>Raipur, Chhattisgarh</t>
        </is>
      </c>
      <c r="G158" t="inlineStr">
        <is>
          <t>UNKNOWN</t>
        </is>
      </c>
      <c r="I158" t="inlineStr">
        <is>
          <t>UNKNOWN</t>
        </is>
      </c>
      <c r="J158" t="inlineStr">
        <is>
          <t>UNKNOWN</t>
        </is>
      </c>
      <c r="K158" t="inlineStr">
        <is>
          <t>MongoDB; Express.js; React.js; Node.js</t>
        </is>
      </c>
      <c r="M158" t="inlineStr">
        <is>
          <t>Responsibilities Develop and maintain web applications using the MERN stack MongoDB Express js React js Node js Collaborate with the frontend and backend teams to integrate userfacing elements with serverside logic Write clean maintainable and efficient code Participate in code reviews and contribute to team discussions Assist in troubleshooting debugging and upgrading existing software Learn and apply new technologies and best practices in web development Requirements Basic understanding of fr…</t>
        </is>
      </c>
      <c r="N158" t="n">
        <v>78</v>
      </c>
      <c r="O158" t="n">
        <v>95</v>
      </c>
      <c r="P158" t="n">
        <v>90</v>
      </c>
      <c r="Q158" t="n">
        <v>95</v>
      </c>
      <c r="R158" t="n">
        <v>50</v>
      </c>
      <c r="S158" t="n">
        <v>40</v>
      </c>
      <c r="T158" t="n">
        <v>60</v>
      </c>
      <c r="U158" t="inlineStr">
        <is>
          <t>CONSIDER</t>
        </is>
      </c>
      <c r="V158" t="inlineStr">
        <is>
          <t>CONSIDER</t>
        </is>
      </c>
      <c r="X158" t="inlineStr">
        <is>
          <t>Full_Stack_Developer_Resume</t>
        </is>
      </c>
      <c r="Y158" t="inlineStr">
        <is>
          <t>2026-10-02</t>
        </is>
      </c>
      <c r="Z158" t="inlineStr">
        <is>
          <t>Perfect technical match for the MERN stack with demonstrated projects like StaySphere and Zenvest.; Good opportunity to gain further production experience in full-stack web development.</t>
        </is>
      </c>
      <c r="AA158" t="inlineStr">
        <is>
          <t>ELIGIBLE</t>
        </is>
      </c>
      <c r="AB158" t="inlineStr">
        <is>
          <t>The role aligns with the candidate's target MERN stack developer internship profile.; No strict educational or experience hard blockers mentioned.</t>
        </is>
      </c>
      <c r="AC158" t="inlineStr">
        <is>
          <t>UNKNOWN</t>
        </is>
      </c>
      <c r="AD158" t="inlineStr">
        <is>
          <t>Candidate's exact immediate availability window is not explicitly matched against start date.</t>
        </is>
      </c>
      <c r="AE158" t="inlineStr">
        <is>
          <t>UNKNOWN</t>
        </is>
      </c>
      <c r="AF158" t="n">
        <v>0</v>
      </c>
      <c r="AG158" t="inlineStr">
        <is>
          <t>No</t>
        </is>
      </c>
      <c r="AH158" t="inlineStr">
        <is>
          <t>UNKNOWN</t>
        </is>
      </c>
      <c r="AI158" t="inlineStr">
        <is>
          <t>No explicit PPO or conversion mention found in the job description.</t>
        </is>
      </c>
      <c r="AK158" t="inlineStr">
        <is>
          <t>Location is Raipur, Chhattisgarh, whereas candidate prefers Bengaluru or remote work.</t>
        </is>
      </c>
      <c r="AL158" t="inlineStr">
        <is>
          <t>MERN stack architecture and data flow; RESTful API design and debugging in Node.js/Express; React.js state management and component lifecycle; MongoDB schema design and aggregation pipelines</t>
        </is>
      </c>
    </row>
    <row r="159">
      <c r="A159" t="inlineStr">
        <is>
          <t>SPARKS-TO-ID-261002-158</t>
        </is>
      </c>
      <c r="B159" t="inlineStr">
        <is>
          <t>Sparks To Ideas</t>
        </is>
      </c>
      <c r="C159" t="inlineStr">
        <is>
          <t>MERN Stack Developer Intern</t>
        </is>
      </c>
      <c r="D159" t="inlineStr">
        <is>
          <t>https://www.adzuna.in/details/5856165557?utm_medium=api&amp;utm_source=5ccdc27f</t>
        </is>
      </c>
      <c r="E159" t="inlineStr">
        <is>
          <t>AI Analyzer</t>
        </is>
      </c>
      <c r="F159" t="inlineStr">
        <is>
          <t>Ahmedabad</t>
        </is>
      </c>
      <c r="G159" t="inlineStr">
        <is>
          <t>On-site</t>
        </is>
      </c>
      <c r="H159" t="inlineStr">
        <is>
          <t>Not specified</t>
        </is>
      </c>
      <c r="I159" t="inlineStr">
        <is>
          <t>Unknown</t>
        </is>
      </c>
      <c r="J159" t="inlineStr">
        <is>
          <t>not mentioned</t>
        </is>
      </c>
      <c r="K159" t="inlineStr">
        <is>
          <t>MongoDB; Express.js; React.js; Node.js</t>
        </is>
      </c>
      <c r="M159" t="inlineStr">
        <is>
          <t>Sparks to Ideas IT Company is a growing IT solutions provider specializing in modern web technologies We focus on handson training live project exposure and helping students build strong careers in full stack development We are looking for passionate MERN Stack Interns in Ahmedabad who are eager to learn and work on realtime web applications This internship provides complete exposure to frontend and backend development using the MERN stack Tools Technologies You Will Learn MongoDB Database Expr…</t>
        </is>
      </c>
      <c r="N159" t="n">
        <v>68</v>
      </c>
      <c r="O159" t="n">
        <v>95</v>
      </c>
      <c r="P159" t="n">
        <v>90</v>
      </c>
      <c r="Q159" t="n">
        <v>95</v>
      </c>
      <c r="R159" t="n">
        <v>0</v>
      </c>
      <c r="S159" t="n">
        <v>30</v>
      </c>
      <c r="T159" t="n">
        <v>40</v>
      </c>
      <c r="U159" t="inlineStr">
        <is>
          <t>SKIP</t>
        </is>
      </c>
      <c r="V159" t="inlineStr">
        <is>
          <t>SKIP</t>
        </is>
      </c>
      <c r="X159" t="inlineStr">
        <is>
          <t>Default Full Stack / MERN Resume</t>
        </is>
      </c>
      <c r="Y159" t="inlineStr">
        <is>
          <t>2026-10-02</t>
        </is>
      </c>
      <c r="Z159" t="inlineStr">
        <is>
          <t>Matches primary target role and MERN stack skill set.</t>
        </is>
      </c>
      <c r="AA159" t="inlineStr">
        <is>
          <t>Ineligible</t>
        </is>
      </c>
      <c r="AB159" t="inlineStr">
        <is>
          <t>Job is located in Ahmedabad, but candidate prefers Bengaluru, India.</t>
        </is>
      </c>
      <c r="AC159" t="inlineStr">
        <is>
          <t>unknown</t>
        </is>
      </c>
      <c r="AD159" t="inlineStr">
        <is>
          <t>Not specified</t>
        </is>
      </c>
      <c r="AE159" t="inlineStr">
        <is>
          <t>UNKNOWN</t>
        </is>
      </c>
      <c r="AF159" t="n">
        <v>0</v>
      </c>
      <c r="AG159" t="inlineStr">
        <is>
          <t>No</t>
        </is>
      </c>
      <c r="AH159" t="inlineStr">
        <is>
          <t>not mentioned</t>
        </is>
      </c>
      <c r="AI159" t="inlineStr">
        <is>
          <t>No mention of PPO or permanent conversion in the job description.</t>
        </is>
      </c>
      <c r="AJ159" t="inlineStr">
        <is>
          <t>Location mismatch: Job is in Ahmedabad, candidate prefers Bengaluru.</t>
        </is>
      </c>
      <c r="AK159" t="inlineStr">
        <is>
          <t>Company description mentions 'hands-on training live project exposure' which may indicate a paid training program rather than a standard paid internship.</t>
        </is>
      </c>
      <c r="AL159" t="inlineStr">
        <is>
          <t>MERN stack architecture; RESTful API development; Database management with MongoDB</t>
        </is>
      </c>
    </row>
    <row r="160">
      <c r="A160" t="inlineStr">
        <is>
          <t>LOGICAL-SOFT-261002-159</t>
        </is>
      </c>
      <c r="B160" t="inlineStr">
        <is>
          <t>LOGICAL Soft Tech</t>
        </is>
      </c>
      <c r="C160" t="inlineStr">
        <is>
          <t>web development Interns</t>
        </is>
      </c>
      <c r="D160" t="inlineStr">
        <is>
          <t>https://www.adzuna.in/details/5032506958?utm_medium=api&amp;utm_source=5ccdc27f</t>
        </is>
      </c>
      <c r="E160" t="inlineStr">
        <is>
          <t>AI Analyzer</t>
        </is>
      </c>
      <c r="F160" t="inlineStr">
        <is>
          <t>Indore, Madhya Pradesh</t>
        </is>
      </c>
      <c r="G160" t="inlineStr">
        <is>
          <t>Work from office</t>
        </is>
      </c>
      <c r="H160" t="inlineStr">
        <is>
          <t>Not specified</t>
        </is>
      </c>
      <c r="I160" t="inlineStr">
        <is>
          <t>UNKNOWN</t>
        </is>
      </c>
      <c r="J160" t="inlineStr">
        <is>
          <t>UNKNOWN</t>
        </is>
      </c>
      <c r="K160" t="inlineStr">
        <is>
          <t>MERN Stack; React.js; Node.js; HTML; CSS; JavaScript</t>
        </is>
      </c>
      <c r="M160" t="inlineStr">
        <is>
          <t>We are looking for Complete Freshers on Web MERN Stack Internship candidates who want to make career in IT company Software fields and want to learn Live Project working and want to become Software professionals. Location : Indore, M.P( Work from office only) Roles and Responsibilities :- 1) He or She will be working on both frontend design and backend Development on MERN Stack React js and Node js. 2) He or she will be doing custom design and development of frontend by using Html, CSS, JavaScr…</t>
        </is>
      </c>
      <c r="N160" t="n">
        <v>63</v>
      </c>
      <c r="O160" t="n">
        <v>95</v>
      </c>
      <c r="P160" t="n">
        <v>90</v>
      </c>
      <c r="Q160" t="n">
        <v>90</v>
      </c>
      <c r="R160" t="n">
        <v>0</v>
      </c>
      <c r="S160" t="n">
        <v>0</v>
      </c>
      <c r="T160" t="n">
        <v>30</v>
      </c>
      <c r="U160" t="inlineStr">
        <is>
          <t>SKIP</t>
        </is>
      </c>
      <c r="V160" t="inlineStr">
        <is>
          <t>SKIP</t>
        </is>
      </c>
      <c r="X160" t="inlineStr">
        <is>
          <t>Amaanuddin_Ahmed_Resume_FullStack.pdf</t>
        </is>
      </c>
      <c r="Y160" t="inlineStr">
        <is>
          <t>2026-10-02</t>
        </is>
      </c>
      <c r="Z160" t="inlineStr">
        <is>
          <t>Strong technical fit with the MERN stack requirements.</t>
        </is>
      </c>
      <c r="AA160" t="inlineStr">
        <is>
          <t>FAIL</t>
        </is>
      </c>
      <c r="AB160" t="inlineStr">
        <is>
          <t>Job requires work from office in Indore, Madhya Pradesh, but candidate's preferred location is Bengaluru, India.; Stipend is undisclosed and below target expectations.</t>
        </is>
      </c>
      <c r="AC160" t="inlineStr">
        <is>
          <t>UNKNOWN</t>
        </is>
      </c>
      <c r="AD160" t="inlineStr">
        <is>
          <t>Availability not explicitly specified in the job description.</t>
        </is>
      </c>
      <c r="AE160" t="inlineStr">
        <is>
          <t>UNKNOWN</t>
        </is>
      </c>
      <c r="AF160" t="n">
        <v>0</v>
      </c>
      <c r="AG160" t="inlineStr">
        <is>
          <t>No</t>
        </is>
      </c>
      <c r="AH160" t="inlineStr">
        <is>
          <t>UNKNOWN</t>
        </is>
      </c>
      <c r="AI160" t="inlineStr">
        <is>
          <t>No mention of PPO or conversion in the job description.</t>
        </is>
      </c>
      <c r="AJ160" t="inlineStr">
        <is>
          <t>Location mismatch: Job is strictly Work from Office in Indore, Madhya Pradesh, whereas candidate prefers Bengaluru.</t>
        </is>
      </c>
      <c r="AK160" t="inlineStr">
        <is>
          <t>Undisclosed stipend; Targeted towards 'Complete Freshers' which may indicate low quality or training-fee models</t>
        </is>
      </c>
      <c r="AL160" t="inlineStr">
        <is>
          <t>MERN Stack architecture; React state management; Node.js and Express REST APIs; HTML, CSS, and custom UI design</t>
        </is>
      </c>
    </row>
    <row r="161">
      <c r="A161" t="inlineStr">
        <is>
          <t>TACHE-TECHNO-261002-160</t>
        </is>
      </c>
      <c r="B161" t="inlineStr">
        <is>
          <t>Tache Technologies Pvt Ltd</t>
        </is>
      </c>
      <c r="C161" t="inlineStr">
        <is>
          <t>Java Developer: Intern</t>
        </is>
      </c>
      <c r="D161" t="inlineStr">
        <is>
          <t>https://www.adzuna.in/details/1171506730?utm_medium=api&amp;utm_source=5ccdc27f</t>
        </is>
      </c>
      <c r="E161" t="inlineStr">
        <is>
          <t>AI Analyzer</t>
        </is>
      </c>
      <c r="F161" t="inlineStr">
        <is>
          <t>Delhi, India</t>
        </is>
      </c>
      <c r="G161" t="inlineStr">
        <is>
          <t>Unknown</t>
        </is>
      </c>
      <c r="I161" t="inlineStr">
        <is>
          <t>Unknown</t>
        </is>
      </c>
      <c r="J161" t="inlineStr">
        <is>
          <t>UNKNOWN</t>
        </is>
      </c>
      <c r="K161" t="inlineStr">
        <is>
          <t>Java</t>
        </is>
      </c>
      <c r="M161" t="inlineStr">
        <is>
          <t>About Tache Technologies Private Limited (http://www.tache.in): Tache Technologies Private Limited was founded by renowned market research professionals in India. It is an independent market research agency offering high-quality marketing research, analysis, and consulting services across India. Tache works exclusively with companies looking for a personal guide through the varied cultures in India and the Asia Pacific, by helping them to connect with the local populace and delivering a unique …</t>
        </is>
      </c>
      <c r="N161" t="n">
        <v>38</v>
      </c>
      <c r="O161" t="n">
        <v>40</v>
      </c>
      <c r="P161" t="n">
        <v>40</v>
      </c>
      <c r="Q161" t="n">
        <v>40</v>
      </c>
      <c r="R161" t="n">
        <v>50</v>
      </c>
      <c r="S161" t="n">
        <v>0</v>
      </c>
      <c r="T161" t="n">
        <v>40</v>
      </c>
      <c r="U161" t="inlineStr">
        <is>
          <t>SKIP</t>
        </is>
      </c>
      <c r="V161" t="inlineStr">
        <is>
          <t>SKIP</t>
        </is>
      </c>
      <c r="W161" t="inlineStr">
        <is>
          <t>Java (Working knowledge only, not demonstrated in real projects)</t>
        </is>
      </c>
      <c r="X161" t="inlineStr">
        <is>
          <t>Default Resume</t>
        </is>
      </c>
      <c r="Y161" t="inlineStr">
        <is>
          <t>2026-10-02</t>
        </is>
      </c>
      <c r="AA161" t="inlineStr">
        <is>
          <t>eligible</t>
        </is>
      </c>
      <c r="AB161" t="inlineStr">
        <is>
          <t>Candidate is seeking internship opportunities.</t>
        </is>
      </c>
      <c r="AC161" t="inlineStr">
        <is>
          <t>available</t>
        </is>
      </c>
      <c r="AD161" t="inlineStr">
        <is>
          <t>Candidate is available for internships as part of MCA program.</t>
        </is>
      </c>
      <c r="AE161" t="inlineStr">
        <is>
          <t>UNKNOWN</t>
        </is>
      </c>
      <c r="AF161" t="n">
        <v>0</v>
      </c>
      <c r="AG161" t="inlineStr">
        <is>
          <t>No</t>
        </is>
      </c>
      <c r="AH161" t="inlineStr">
        <is>
          <t>UNKNOWN</t>
        </is>
      </c>
      <c r="AI161" t="inlineStr">
        <is>
          <t>No mention of PPO or conversion in the short job description snippet.</t>
        </is>
      </c>
      <c r="AJ161" t="inlineStr">
        <is>
          <t>Location mismatch (Job is in Delhi, India, candidate prefers Bengaluru); Role mismatch (Primary target roles are Software/Backend/Full Stack/MERN, not Java-focused enterprise backend); Java experience gap (Candidate has DSA with Java certification, but no production Java work experience)</t>
        </is>
      </c>
      <c r="AK161" t="inlineStr">
        <is>
          <t>Location is Delhi, India while candidate prefers Bengaluru; Job requires Java development, but candidate's production experience is in Angular, Node.js, Express, MySQL, C#, and MS SQL Server</t>
        </is>
      </c>
      <c r="AL161" t="inlineStr">
        <is>
          <t>Java OOP concepts and core libraries; Enterprise Java development experience</t>
        </is>
      </c>
    </row>
    <row r="162">
      <c r="A162" t="inlineStr">
        <is>
          <t>TECHVOLT-SOF-261002-161</t>
        </is>
      </c>
      <c r="B162" t="inlineStr">
        <is>
          <t>Techvolt Software Private Limited</t>
        </is>
      </c>
      <c r="C162" t="inlineStr">
        <is>
          <t>Java Developer</t>
        </is>
      </c>
      <c r="D162" t="inlineStr">
        <is>
          <t>https://www.adzuna.in/details/4686703728?utm_medium=api&amp;utm_source=5ccdc27f</t>
        </is>
      </c>
      <c r="E162" t="inlineStr">
        <is>
          <t>AI Analyzer</t>
        </is>
      </c>
      <c r="F162" t="inlineStr">
        <is>
          <t>Coimbatore, Tamil Nadu</t>
        </is>
      </c>
      <c r="G162" t="inlineStr">
        <is>
          <t>On-site</t>
        </is>
      </c>
      <c r="H162" t="inlineStr">
        <is>
          <t>Not specified</t>
        </is>
      </c>
      <c r="I162" t="inlineStr">
        <is>
          <t>Not specified</t>
        </is>
      </c>
      <c r="J162" t="inlineStr">
        <is>
          <t>UNKNOWN</t>
        </is>
      </c>
      <c r="K162" t="inlineStr">
        <is>
          <t>Java</t>
        </is>
      </c>
      <c r="M162" t="inlineStr">
        <is>
          <t>Java Developer||Coimbatore||Techvolt SoftwareDear Candidates, Greetings from Techvolt Software Private Limited.Techvolt Software,a Software Development company located in Saibaba Colony, Coimbatore.Techvolt Software involves in various business entity like Software Development, Web Development, Android Applications, Embedded Systems, IoT, Digital Marketing Services in Coimbatore.Job Profile:Techvolt software recruiting Java Developer for our branch located at COIMBATORE.Qualification:B.TECH, B.…</t>
        </is>
      </c>
      <c r="N162" t="n">
        <v>22</v>
      </c>
      <c r="O162" t="n">
        <v>30</v>
      </c>
      <c r="P162" t="n">
        <v>20</v>
      </c>
      <c r="Q162" t="n">
        <v>40</v>
      </c>
      <c r="R162" t="n">
        <v>0</v>
      </c>
      <c r="S162" t="n">
        <v>0</v>
      </c>
      <c r="T162" t="n">
        <v>30</v>
      </c>
      <c r="U162" t="inlineStr">
        <is>
          <t>SKIP</t>
        </is>
      </c>
      <c r="V162" t="inlineStr">
        <is>
          <t>SKIP</t>
        </is>
      </c>
      <c r="W162" t="inlineStr">
        <is>
          <t>Java production development experience</t>
        </is>
      </c>
      <c r="X162" t="inlineStr">
        <is>
          <t>Amaanuddin_Ahmed_Resume_General.pdf</t>
        </is>
      </c>
      <c r="Y162" t="inlineStr">
        <is>
          <t>2026-10-02</t>
        </is>
      </c>
      <c r="AA162" t="inlineStr">
        <is>
          <t>NOT_ELIGIBLE</t>
        </is>
      </c>
      <c r="AB162" t="inlineStr">
        <is>
          <t>Location mismatch: Job is in Coimbatore, Tamil Nadu while candidate prefers Bengaluru, India.; Primary technology mismatch: Role requires Java development, whereas candidate's core demonstrated stack is MERN/Angular/Node/C#, and Java is only a working knowledge/certification skill without project demonstration.</t>
        </is>
      </c>
      <c r="AC162" t="inlineStr">
        <is>
          <t>UNKNOWN</t>
        </is>
      </c>
      <c r="AD162" t="inlineStr">
        <is>
          <t>Candidate availability details are not specified.</t>
        </is>
      </c>
      <c r="AE162" t="inlineStr">
        <is>
          <t>UNKNOWN</t>
        </is>
      </c>
      <c r="AF162" t="n">
        <v>0</v>
      </c>
      <c r="AG162" t="inlineStr">
        <is>
          <t>No</t>
        </is>
      </c>
      <c r="AH162" t="inlineStr">
        <is>
          <t>UNKNOWN</t>
        </is>
      </c>
      <c r="AI162" t="inlineStr">
        <is>
          <t>No mention of PPO or conversion in the job description.</t>
        </is>
      </c>
      <c r="AJ162" t="inlineStr">
        <is>
          <t>Location mismatch (Coimbatore vs. Bengaluru preference); Core technology mismatch (Java developer role vs. JavaScript/Angular/Node/C# profile)</t>
        </is>
      </c>
      <c r="AK162" t="inlineStr">
        <is>
          <t>Unspecified stipend; Incomplete job description text</t>
        </is>
      </c>
      <c r="AL162" t="inlineStr">
        <is>
          <t>Java fundamentals; Object-Oriented Programming principles; Database connectivity in Java</t>
        </is>
      </c>
    </row>
    <row r="163">
      <c r="A163" t="inlineStr">
        <is>
          <t>MAXGEN-TECHN-261002-162</t>
        </is>
      </c>
      <c r="B163" t="inlineStr">
        <is>
          <t>MAXGEN TECHNOLOGIES PRIVATE LIMITED</t>
        </is>
      </c>
      <c r="C163" t="inlineStr">
        <is>
          <t>Java Developer Intern</t>
        </is>
      </c>
      <c r="D163" t="inlineStr">
        <is>
          <t>https://www.adzuna.in/details/5842547719?utm_medium=api&amp;utm_source=5ccdc27f</t>
        </is>
      </c>
      <c r="E163" t="inlineStr">
        <is>
          <t>AI Analyzer</t>
        </is>
      </c>
      <c r="F163" t="inlineStr">
        <is>
          <t>Pune, India</t>
        </is>
      </c>
      <c r="G163" t="inlineStr">
        <is>
          <t>On-site</t>
        </is>
      </c>
      <c r="H163" t="inlineStr">
        <is>
          <t>Not specified</t>
        </is>
      </c>
      <c r="I163" t="inlineStr">
        <is>
          <t>Not specified</t>
        </is>
      </c>
      <c r="J163" t="inlineStr">
        <is>
          <t>NOT_MENTIONED</t>
        </is>
      </c>
      <c r="K163" t="inlineStr">
        <is>
          <t>Java; Advanced Java; Hibernate</t>
        </is>
      </c>
      <c r="M163" t="inlineStr">
        <is>
          <t>Maxgen technologies is an it company based in Pune We are offering injava internshipwith advance java and hibernate program to fresher candidates in Maharashtra Benefit to Choosing us Advance skill program inspiring work culture live project during internship advance practical skills flexible working us contact us hidden mobile visit us www maxgentechnologies com Address 601 Konark Icon Magarpatta Pune</t>
        </is>
      </c>
      <c r="N163" t="n">
        <v>34</v>
      </c>
      <c r="O163" t="n">
        <v>40</v>
      </c>
      <c r="P163" t="n">
        <v>40</v>
      </c>
      <c r="Q163" t="n">
        <v>50</v>
      </c>
      <c r="R163" t="n">
        <v>0</v>
      </c>
      <c r="S163" t="n">
        <v>30</v>
      </c>
      <c r="T163" t="n">
        <v>30</v>
      </c>
      <c r="U163" t="inlineStr">
        <is>
          <t>SKIP</t>
        </is>
      </c>
      <c r="V163" t="inlineStr">
        <is>
          <t>SKIP</t>
        </is>
      </c>
      <c r="W163" t="inlineStr">
        <is>
          <t>Advanced Java; Hibernate</t>
        </is>
      </c>
      <c r="X163" t="inlineStr">
        <is>
          <t>Amaanuddin_Ahmed_Resume.pdf</t>
        </is>
      </c>
      <c r="Y163" t="inlineStr">
        <is>
          <t>2026-10-02</t>
        </is>
      </c>
      <c r="Z163" t="inlineStr">
        <is>
          <t>Provides hands-on experience with live projects for freshers</t>
        </is>
      </c>
      <c r="AA163" t="inlineStr">
        <is>
          <t>ELIGIBLE</t>
        </is>
      </c>
      <c r="AB163" t="inlineStr">
        <is>
          <t>Candidate is a fresher/MCA student matching internship criteria; No strict degree or graduation-year blockers violated</t>
        </is>
      </c>
      <c r="AC163" t="inlineStr">
        <is>
          <t>UNKNOWN</t>
        </is>
      </c>
      <c r="AD163" t="inlineStr">
        <is>
          <t>Availability not explicitly stated in the profile for this specific date range</t>
        </is>
      </c>
      <c r="AE163" t="inlineStr">
        <is>
          <t>UNKNOWN</t>
        </is>
      </c>
      <c r="AF163" t="n">
        <v>0</v>
      </c>
      <c r="AG163" t="inlineStr">
        <is>
          <t>No</t>
        </is>
      </c>
      <c r="AH163" t="inlineStr">
        <is>
          <t>NOT_MENTIONED</t>
        </is>
      </c>
      <c r="AI163" t="inlineStr">
        <is>
          <t>No explicit mention of PPO or job conversion in the job description</t>
        </is>
      </c>
      <c r="AK163" t="inlineStr">
        <is>
          <t>Location is Pune, India while candidate prefers Bengaluru; Unpaid or unknown stipend; Requires Java and Hibernate which are working knowledge only, not demonstrated in major work experience</t>
        </is>
      </c>
      <c r="AL163" t="inlineStr">
        <is>
          <t>Core Java fundamentals; Advanced Java concepts (Servlets, JSP); Hibernate ORM mapping and database connectivity</t>
        </is>
      </c>
    </row>
    <row r="164">
      <c r="A164" t="inlineStr">
        <is>
          <t>CIRQLLABS-261002-163</t>
        </is>
      </c>
      <c r="B164" t="inlineStr">
        <is>
          <t>Cirqllabs</t>
        </is>
      </c>
      <c r="C164" t="inlineStr">
        <is>
          <t>Python Developer Intern</t>
        </is>
      </c>
      <c r="D164" t="inlineStr">
        <is>
          <t>https://www.adzuna.in/details/5889503177?utm_medium=api&amp;utm_source=5ccdc27f</t>
        </is>
      </c>
      <c r="E164" t="inlineStr">
        <is>
          <t>AI Analyzer</t>
        </is>
      </c>
      <c r="F164" t="inlineStr">
        <is>
          <t>India</t>
        </is>
      </c>
      <c r="G164" t="inlineStr">
        <is>
          <t>unknown</t>
        </is>
      </c>
      <c r="I164" t="inlineStr">
        <is>
          <t>unknown</t>
        </is>
      </c>
      <c r="J164" t="inlineStr">
        <is>
          <t>yes</t>
        </is>
      </c>
      <c r="K164" t="inlineStr">
        <is>
          <t>Python</t>
        </is>
      </c>
      <c r="L164" t="inlineStr">
        <is>
          <t>Data Processing; System Integration; Databases; Data Pipelines</t>
        </is>
      </c>
      <c r="M164" t="inlineStr">
        <is>
          <t>About the Role We're looking for talented Python interns to join our development team. You'll work on real-world applications involving data processing, system integration, and building scalable software solutions. This is an internship with strong potential to convert into a full-time position based on performance and mutual fit. What You'll Work On Building Python applications and APIs Processing and analysing data from various sources Working with databases and data pipelines Contributing to…</t>
        </is>
      </c>
      <c r="N164" t="n">
        <v>49</v>
      </c>
      <c r="O164" t="n">
        <v>40</v>
      </c>
      <c r="P164" t="n">
        <v>50</v>
      </c>
      <c r="Q164" t="n">
        <v>50</v>
      </c>
      <c r="R164" t="n">
        <v>90</v>
      </c>
      <c r="S164" t="n">
        <v>0</v>
      </c>
      <c r="T164" t="n">
        <v>60</v>
      </c>
      <c r="U164" t="inlineStr">
        <is>
          <t>SKIP</t>
        </is>
      </c>
      <c r="V164" t="inlineStr">
        <is>
          <t>SKIP</t>
        </is>
      </c>
      <c r="W164" t="inlineStr">
        <is>
          <t>Python</t>
        </is>
      </c>
      <c r="X164" t="inlineStr">
        <is>
          <t>Amaanuddin_Ahmed_Resume.pdf</t>
        </is>
      </c>
      <c r="Y164" t="inlineStr">
        <is>
          <t>2026-10-02</t>
        </is>
      </c>
      <c r="Z164" t="inlineStr">
        <is>
          <t>Explicit PPO conversion opportunity mentioned; Good opportunity to break into Python development</t>
        </is>
      </c>
      <c r="AA164" t="inlineStr">
        <is>
          <t>eligible</t>
        </is>
      </c>
      <c r="AC164" t="inlineStr">
        <is>
          <t>unknown</t>
        </is>
      </c>
      <c r="AD164" t="inlineStr">
        <is>
          <t>Not specified in the job description</t>
        </is>
      </c>
      <c r="AE164" t="inlineStr">
        <is>
          <t>UNKNOWN</t>
        </is>
      </c>
      <c r="AF164" t="n">
        <v>0</v>
      </c>
      <c r="AG164" t="inlineStr">
        <is>
          <t>No</t>
        </is>
      </c>
      <c r="AH164" t="inlineStr">
        <is>
          <t>yes</t>
        </is>
      </c>
      <c r="AI164" t="inlineStr">
        <is>
          <t>This is an internship with strong potential to convert into a full-time position based on performance and mutual fit.</t>
        </is>
      </c>
      <c r="AK164" t="inlineStr">
        <is>
          <t>Stipend details not disclosed; Location is generic 'India' without work mode confirmation</t>
        </is>
      </c>
      <c r="AL164" t="inlineStr">
        <is>
          <t>Python fundamentals and scripting; Data processing and API building in Python; Database management and data pipelines</t>
        </is>
      </c>
    </row>
    <row r="165">
      <c r="A165" t="inlineStr">
        <is>
          <t>7S-IQ-PRIVAT-261002-164</t>
        </is>
      </c>
      <c r="B165" t="inlineStr">
        <is>
          <t>7S IQ Private limited</t>
        </is>
      </c>
      <c r="C165" t="inlineStr">
        <is>
          <t>Python developer Internship</t>
        </is>
      </c>
      <c r="D165" t="inlineStr">
        <is>
          <t>https://www.adzuna.in/details/5574696213?utm_medium=api&amp;utm_source=5ccdc27f</t>
        </is>
      </c>
      <c r="E165" t="inlineStr">
        <is>
          <t>AI Analyzer</t>
        </is>
      </c>
      <c r="F165" t="inlineStr">
        <is>
          <t>Chennai, Tamil Nadu</t>
        </is>
      </c>
      <c r="G165" t="inlineStr">
        <is>
          <t>Work From Home</t>
        </is>
      </c>
      <c r="H165" t="inlineStr">
        <is>
          <t>Not specified</t>
        </is>
      </c>
      <c r="I165" t="inlineStr">
        <is>
          <t>UNKNOWN</t>
        </is>
      </c>
      <c r="J165" t="inlineStr">
        <is>
          <t>NOT_MENTIONED</t>
        </is>
      </c>
      <c r="K165" t="inlineStr">
        <is>
          <t>Python; Python frameworks; Backend systems; Automation solutions</t>
        </is>
      </c>
      <c r="M165" t="inlineStr">
        <is>
          <t>Python Developer – Job Description Company: 7S IQ Pvt Ltd Location: Chennai / Work From Home Job Type: Internship About the Role We are looking for a talented and detail-oriented Python Developer to join our development team. The ideal candidate should have strong problem-solving skills, experience with Python frameworks, and the ability to build efficient backend systems and automation solutions. Key Responsibilities Develop, test, and maintain Python-based applications and scripts Work with f…</t>
        </is>
      </c>
      <c r="N165" t="n">
        <v>32</v>
      </c>
      <c r="O165" t="n">
        <v>40</v>
      </c>
      <c r="P165" t="n">
        <v>40</v>
      </c>
      <c r="Q165" t="n">
        <v>50</v>
      </c>
      <c r="R165" t="n">
        <v>0</v>
      </c>
      <c r="S165" t="n">
        <v>0</v>
      </c>
      <c r="T165" t="n">
        <v>40</v>
      </c>
      <c r="U165" t="inlineStr">
        <is>
          <t>SKIP</t>
        </is>
      </c>
      <c r="V165" t="inlineStr">
        <is>
          <t>SKIP</t>
        </is>
      </c>
      <c r="W165" t="inlineStr">
        <is>
          <t>Python frameworks</t>
        </is>
      </c>
      <c r="X165" t="inlineStr">
        <is>
          <t>Amaanuddin_Ahmed_Resume.pdf</t>
        </is>
      </c>
      <c r="Y165" t="inlineStr">
        <is>
          <t>2026-10-02</t>
        </is>
      </c>
      <c r="Z165" t="inlineStr">
        <is>
          <t>Provides an internship opportunity in Python development.</t>
        </is>
      </c>
      <c r="AA165" t="inlineStr">
        <is>
          <t>ELIGIBLE</t>
        </is>
      </c>
      <c r="AB165" t="inlineStr">
        <is>
          <t>The candidate fits the internship criteria and Python is listed as a working knowledge skill on the resume.</t>
        </is>
      </c>
      <c r="AC165" t="inlineStr">
        <is>
          <t>UNKNOWN</t>
        </is>
      </c>
      <c r="AD165" t="inlineStr">
        <is>
          <t>Availability start date is not specified in the career brain.</t>
        </is>
      </c>
      <c r="AE165" t="inlineStr">
        <is>
          <t>UNKNOWN</t>
        </is>
      </c>
      <c r="AF165" t="n">
        <v>0</v>
      </c>
      <c r="AG165" t="inlineStr">
        <is>
          <t>No</t>
        </is>
      </c>
      <c r="AH165" t="inlineStr">
        <is>
          <t>NOT_MENTIONED</t>
        </is>
      </c>
      <c r="AI165" t="inlineStr">
        <is>
          <t>No mention of PPO or conversion in the job description.</t>
        </is>
      </c>
      <c r="AK165" t="inlineStr">
        <is>
          <t>Stipend is completely undisclosed; Location is Chennai or WFH, but Python is only a working knowledge skill for the candidate rather than demonstrated</t>
        </is>
      </c>
      <c r="AL165" t="inlineStr">
        <is>
          <t>Python basics and data structures; Python web frameworks (Django or Flask); Backend systems design and REST APIs; Automation scripting in Python</t>
        </is>
      </c>
    </row>
    <row r="166">
      <c r="A166" t="inlineStr">
        <is>
          <t>PRAXINFO-261002-165</t>
        </is>
      </c>
      <c r="B166" t="inlineStr">
        <is>
          <t>PRAXINFO</t>
        </is>
      </c>
      <c r="C166" t="inlineStr">
        <is>
          <t>Python Developer Intern</t>
        </is>
      </c>
      <c r="D166" t="inlineStr">
        <is>
          <t>https://www.adzuna.in/details/1455831792?utm_medium=api&amp;utm_source=5ccdc27f</t>
        </is>
      </c>
      <c r="E166" t="inlineStr">
        <is>
          <t>AI Analyzer</t>
        </is>
      </c>
      <c r="F166" t="inlineStr">
        <is>
          <t>Ahmedabad, Gujarat</t>
        </is>
      </c>
      <c r="G166" t="inlineStr">
        <is>
          <t>Unknown</t>
        </is>
      </c>
      <c r="I166" t="inlineStr">
        <is>
          <t>Unknown</t>
        </is>
      </c>
      <c r="J166" t="inlineStr">
        <is>
          <t>UNKNOWN</t>
        </is>
      </c>
      <c r="K166" t="inlineStr">
        <is>
          <t>Python; SQL; HTML; Linux; AJAX; Javascript; Django</t>
        </is>
      </c>
      <c r="M166" t="inlineStr">
        <is>
          <t>Should have knowledge of:: Python SQL HTML Linux AJAX/ JSSkills Excellent Communication Skills Have to be a quick learner Complete project on time Skills:- Python, Django and Javascript</t>
        </is>
      </c>
      <c r="N166" t="n">
        <v>48</v>
      </c>
      <c r="O166" t="n">
        <v>50</v>
      </c>
      <c r="P166" t="n">
        <v>60</v>
      </c>
      <c r="Q166" t="n">
        <v>50</v>
      </c>
      <c r="R166" t="n">
        <v>40</v>
      </c>
      <c r="S166" t="n">
        <v>30</v>
      </c>
      <c r="T166" t="n">
        <v>40</v>
      </c>
      <c r="U166" t="inlineStr">
        <is>
          <t>SKIP</t>
        </is>
      </c>
      <c r="V166" t="inlineStr">
        <is>
          <t>SKIP</t>
        </is>
      </c>
      <c r="W166" t="inlineStr">
        <is>
          <t>Linux; AJAX; Django</t>
        </is>
      </c>
      <c r="X166" t="inlineStr">
        <is>
          <t>Default Resume</t>
        </is>
      </c>
      <c r="Y166" t="inlineStr">
        <is>
          <t>2026-10-02</t>
        </is>
      </c>
      <c r="AA166" t="inlineStr">
        <is>
          <t>ELIGIBLE</t>
        </is>
      </c>
      <c r="AB166" t="inlineStr">
        <is>
          <t>No strict degree or experience blockers mentioned in the job description.</t>
        </is>
      </c>
      <c r="AC166" t="inlineStr">
        <is>
          <t>UNKNOWN</t>
        </is>
      </c>
      <c r="AD166" t="inlineStr">
        <is>
          <t>Availability not specified in the candidate profile.</t>
        </is>
      </c>
      <c r="AE166" t="inlineStr">
        <is>
          <t>UNKNOWN</t>
        </is>
      </c>
      <c r="AF166" t="n">
        <v>0</v>
      </c>
      <c r="AG166" t="inlineStr">
        <is>
          <t>No</t>
        </is>
      </c>
      <c r="AH166" t="inlineStr">
        <is>
          <t>UNKNOWN</t>
        </is>
      </c>
      <c r="AI166" t="inlineStr">
        <is>
          <t>No mention of PPO or conversion in the job description.</t>
        </is>
      </c>
      <c r="AK166" t="inlineStr">
        <is>
          <t>Location is Ahmedabad, Gujarat, which does not match the candidate's preferred location of Bengaluru or remote.; Stipend is completely undisclosed.; Role is Python Developer Intern, whereas candidate's primary target is Full Stack / Backend / Software Engineer using MERN/Angular stack.</t>
        </is>
      </c>
      <c r="AL166" t="inlineStr">
        <is>
          <t>Python fundamentals and Django framework experience; SQL and database management; Linux commands and environment setup</t>
        </is>
      </c>
    </row>
    <row r="167">
      <c r="A167" t="inlineStr">
        <is>
          <t>VENTURA-SECU-261002-166</t>
        </is>
      </c>
      <c r="B167" t="inlineStr">
        <is>
          <t>ventura securities ltd</t>
        </is>
      </c>
      <c r="C167" t="inlineStr">
        <is>
          <t>Python Developer Intern</t>
        </is>
      </c>
      <c r="D167" t="inlineStr">
        <is>
          <t>https://www.adzuna.in/details/4176492504?utm_medium=api&amp;utm_source=5ccdc27f</t>
        </is>
      </c>
      <c r="E167" t="inlineStr">
        <is>
          <t>AI Analyzer</t>
        </is>
      </c>
      <c r="F167" t="inlineStr">
        <is>
          <t>India</t>
        </is>
      </c>
      <c r="G167" t="inlineStr">
        <is>
          <t>remote</t>
        </is>
      </c>
      <c r="I167" t="inlineStr">
        <is>
          <t>UNKNOWN</t>
        </is>
      </c>
      <c r="J167" t="inlineStr">
        <is>
          <t>UNKNOWN</t>
        </is>
      </c>
      <c r="K167" t="inlineStr">
        <is>
          <t>Python; AWS</t>
        </is>
      </c>
      <c r="M167" t="inlineStr">
        <is>
          <t>Ventura Securities is establishing its fintech team - a remote-first, work from anywhere team with highly talented individuals who come from diverse backgrounds and looking to solve real client problems at scale. Ventura has been in the stockbroking business for 20 years and it is a robust and profitable franchise with 1000 employees currently. We are looking for passionate techies with skills primarily around AWS and Python who are aspiring for a fast-track career. Your Key Responsibilities: 1…</t>
        </is>
      </c>
      <c r="N167" t="n">
        <v>45</v>
      </c>
      <c r="O167" t="n">
        <v>40</v>
      </c>
      <c r="P167" t="n">
        <v>50</v>
      </c>
      <c r="Q167" t="n">
        <v>45</v>
      </c>
      <c r="R167" t="n">
        <v>50</v>
      </c>
      <c r="S167" t="n">
        <v>30</v>
      </c>
      <c r="T167" t="n">
        <v>60</v>
      </c>
      <c r="U167" t="inlineStr">
        <is>
          <t>SKIP</t>
        </is>
      </c>
      <c r="V167" t="inlineStr">
        <is>
          <t>SKIP</t>
        </is>
      </c>
      <c r="W167" t="inlineStr">
        <is>
          <t>Python; AWS</t>
        </is>
      </c>
      <c r="X167" t="inlineStr">
        <is>
          <t>Default Resume</t>
        </is>
      </c>
      <c r="Y167" t="inlineStr">
        <is>
          <t>2026-10-02</t>
        </is>
      </c>
      <c r="Z167" t="inlineStr">
        <is>
          <t>Remote-first work environment matches candidate preferences.; Fintech domain aligns with candidate's interest in trading platforms like Zenvest.</t>
        </is>
      </c>
      <c r="AA167" t="inlineStr">
        <is>
          <t>ELIGIBLE</t>
        </is>
      </c>
      <c r="AC167" t="inlineStr">
        <is>
          <t>UNKNOWN</t>
        </is>
      </c>
      <c r="AD167" t="inlineStr">
        <is>
          <t>Availability not specified in the candidate profile.</t>
        </is>
      </c>
      <c r="AE167" t="inlineStr">
        <is>
          <t>UNKNOWN</t>
        </is>
      </c>
      <c r="AF167" t="n">
        <v>0</v>
      </c>
      <c r="AG167" t="inlineStr">
        <is>
          <t>No</t>
        </is>
      </c>
      <c r="AH167" t="inlineStr">
        <is>
          <t>UNKNOWN</t>
        </is>
      </c>
      <c r="AI167" t="inlineStr">
        <is>
          <t>No explicit mention of PPO or conversion in the job description.</t>
        </is>
      </c>
      <c r="AK167" t="inlineStr">
        <is>
          <t>Stipend not disclosed; Requires professional Python expertise while candidate's Python is working knowledge only</t>
        </is>
      </c>
      <c r="AL167" t="inlineStr">
        <is>
          <t>Python core concepts and scripting; AWS cloud services and serverless architecture; Fintech application scaling</t>
        </is>
      </c>
    </row>
    <row r="168">
      <c r="A168" t="inlineStr">
        <is>
          <t>MAXGEN-TECHN-261002-167</t>
        </is>
      </c>
      <c r="B168" t="inlineStr">
        <is>
          <t>MAXGEN TECHNOLOGIES PRIVATE LIMITED</t>
        </is>
      </c>
      <c r="C168" t="inlineStr">
        <is>
          <t>Python Developer Internship</t>
        </is>
      </c>
      <c r="D168" t="inlineStr">
        <is>
          <t>https://www.adzuna.in/details/5863635745?utm_medium=api&amp;utm_source=5ccdc27f</t>
        </is>
      </c>
      <c r="E168" t="inlineStr">
        <is>
          <t>AI Analyzer</t>
        </is>
      </c>
      <c r="F168" t="inlineStr">
        <is>
          <t>Ahmedabad, India</t>
        </is>
      </c>
      <c r="G168" t="inlineStr">
        <is>
          <t>Hybrid / Online or Offline</t>
        </is>
      </c>
      <c r="I168" t="inlineStr">
        <is>
          <t>UNKNOWN</t>
        </is>
      </c>
      <c r="J168" t="inlineStr">
        <is>
          <t>POSSIBLE</t>
        </is>
      </c>
      <c r="K168" t="inlineStr">
        <is>
          <t>Python</t>
        </is>
      </c>
      <c r="L168" t="inlineStr">
        <is>
          <t>Machine Learning</t>
        </is>
      </c>
      <c r="M168" t="inlineStr">
        <is>
          <t>Maxgen Technologies Pvt ltd offering internships in Ahmedabad the interns will get live project pythoninternshipand machine learning program with job placement Why interns seeking us Career oriented Program professional work culture advance technology online or offline options supportive management call us hidden mobile visit us www maxgentechnologies com Address 6th Floor 603 Abhijeet 3 Near Law garden Ahmedabad</t>
        </is>
      </c>
      <c r="N168" t="n">
        <v>25</v>
      </c>
      <c r="O168" t="n">
        <v>20</v>
      </c>
      <c r="P168" t="n">
        <v>20</v>
      </c>
      <c r="Q168" t="n">
        <v>40</v>
      </c>
      <c r="R168" t="n">
        <v>40</v>
      </c>
      <c r="S168" t="n">
        <v>0</v>
      </c>
      <c r="T168" t="n">
        <v>30</v>
      </c>
      <c r="U168" t="inlineStr">
        <is>
          <t>SKIP</t>
        </is>
      </c>
      <c r="V168" t="inlineStr">
        <is>
          <t>SKIP</t>
        </is>
      </c>
      <c r="W168" t="inlineStr">
        <is>
          <t>Python; Machine Learning</t>
        </is>
      </c>
      <c r="X168" t="inlineStr">
        <is>
          <t>Default Resume</t>
        </is>
      </c>
      <c r="Y168" t="inlineStr">
        <is>
          <t>2026-10-02</t>
        </is>
      </c>
      <c r="Z168" t="inlineStr">
        <is>
          <t>Provides learning and project experience in Python and Machine Learning.</t>
        </is>
      </c>
      <c r="AA168" t="inlineStr">
        <is>
          <t>Eligible with constraints</t>
        </is>
      </c>
      <c r="AB168" t="inlineStr">
        <is>
          <t>Location is Ahmedabad, whereas candidate preferred location is Bengaluru.</t>
        </is>
      </c>
      <c r="AC168" t="inlineStr">
        <is>
          <t>UNKNOWN</t>
        </is>
      </c>
      <c r="AD168" t="inlineStr">
        <is>
          <t>Not specified in candidate profile or job description</t>
        </is>
      </c>
      <c r="AE168" t="inlineStr">
        <is>
          <t>UNKNOWN</t>
        </is>
      </c>
      <c r="AF168" t="n">
        <v>0</v>
      </c>
      <c r="AG168" t="inlineStr">
        <is>
          <t>No</t>
        </is>
      </c>
      <c r="AH168" t="inlineStr">
        <is>
          <t>POSSIBLE</t>
        </is>
      </c>
      <c r="AI168" t="inlineStr">
        <is>
          <t>Mention of job placement support.</t>
        </is>
      </c>
      <c r="AJ168" t="inlineStr">
        <is>
          <t>Location mismatch (Ahmedabad vs Bengaluru preference)</t>
        </is>
      </c>
      <c r="AK168" t="inlineStr">
        <is>
          <t>No stipend mentioned; Unclear internship duration</t>
        </is>
      </c>
      <c r="AL168" t="inlineStr">
        <is>
          <t>Python Basics; Machine Learning Fundamentals; Internship Duration and Mode</t>
        </is>
      </c>
    </row>
    <row r="169">
      <c r="A169" t="inlineStr">
        <is>
          <t>PEERXP-261002-168</t>
        </is>
      </c>
      <c r="B169" t="inlineStr">
        <is>
          <t>PeerXP</t>
        </is>
      </c>
      <c r="C169" t="inlineStr">
        <is>
          <t>Python Django Developer Internship</t>
        </is>
      </c>
      <c r="D169" t="inlineStr">
        <is>
          <t>https://www.adzuna.in/details/4795892724?utm_medium=api&amp;utm_source=5ccdc27f</t>
        </is>
      </c>
      <c r="E169" t="inlineStr">
        <is>
          <t>AI Analyzer</t>
        </is>
      </c>
      <c r="F169" t="inlineStr">
        <is>
          <t>Bangalore, Karnataka</t>
        </is>
      </c>
      <c r="G169" t="inlineStr">
        <is>
          <t>Unknown</t>
        </is>
      </c>
      <c r="H169" t="inlineStr">
        <is>
          <t>Not specified</t>
        </is>
      </c>
      <c r="I169" t="inlineStr">
        <is>
          <t>Unknown</t>
        </is>
      </c>
      <c r="J169" t="inlineStr">
        <is>
          <t>UNKNOWN</t>
        </is>
      </c>
      <c r="K169" t="inlineStr">
        <is>
          <t>Python; Django; ReactJS; RESTful APIs; JavaScript; HTML5; CSS3; SQL; NoSQL; Django ORM</t>
        </is>
      </c>
      <c r="M169" t="inlineStr">
        <is>
          <t>Requirements Design and implement a full-stack web application using Python Django framework and ReactJS. 1 years of experience in building and deploying web applications. Experience in designing and using RESTful APIs. Basic knowledge in front-end technologies such as JavaScript, , ReactJS, HTML5, and CSS3. Understanding of fundamental design principles behind a scalable application. Understanding of databases, SQL and non-relational, plus the Django ORM. Strong proficiency in JavaScript, incl…</t>
        </is>
      </c>
      <c r="N169" t="n">
        <v>32</v>
      </c>
      <c r="O169" t="n">
        <v>40</v>
      </c>
      <c r="P169" t="n">
        <v>40</v>
      </c>
      <c r="Q169" t="n">
        <v>50</v>
      </c>
      <c r="R169" t="n">
        <v>0</v>
      </c>
      <c r="S169" t="n">
        <v>0</v>
      </c>
      <c r="T169" t="n">
        <v>50</v>
      </c>
      <c r="U169" t="inlineStr">
        <is>
          <t>SKIP</t>
        </is>
      </c>
      <c r="V169" t="inlineStr">
        <is>
          <t>SKIP</t>
        </is>
      </c>
      <c r="W169" t="inlineStr">
        <is>
          <t>Python; Django; Django ORM</t>
        </is>
      </c>
      <c r="X169" t="inlineStr">
        <is>
          <t>Amaanuddin_Ahmed_Resume.pdf</t>
        </is>
      </c>
      <c r="Y169" t="inlineStr">
        <is>
          <t>2026-10-02</t>
        </is>
      </c>
      <c r="AA169" t="inlineStr">
        <is>
          <t>FAIL</t>
        </is>
      </c>
      <c r="AB169" t="inlineStr">
        <is>
          <t>Requires 1 year of experience in building and deploying web applications, which exceeds candidate's current professional internship duration.; Mandatory Python Django framework expertise is lacking in candidate's demonstrated project and work experience.</t>
        </is>
      </c>
      <c r="AC169" t="inlineStr">
        <is>
          <t>UNKNOWN</t>
        </is>
      </c>
      <c r="AD169" t="inlineStr">
        <is>
          <t>Not enough data provided about specific internship start/end date constraints against the company's timeline.</t>
        </is>
      </c>
      <c r="AE169" t="inlineStr">
        <is>
          <t>UNKNOWN</t>
        </is>
      </c>
      <c r="AF169" t="n">
        <v>0</v>
      </c>
      <c r="AG169" t="inlineStr">
        <is>
          <t>No</t>
        </is>
      </c>
      <c r="AH169" t="inlineStr">
        <is>
          <t>UNKNOWN</t>
        </is>
      </c>
      <c r="AI169" t="inlineStr">
        <is>
          <t>No mention of PPO or conversion opportunities in the job description.</t>
        </is>
      </c>
      <c r="AJ169" t="inlineStr">
        <is>
          <t>1 years of experience in building and deploying web applications; Python Django framework</t>
        </is>
      </c>
      <c r="AK169" t="inlineStr">
        <is>
          <t>Stipend not disclosed; Work mode not specified</t>
        </is>
      </c>
      <c r="AL169" t="inlineStr">
        <is>
          <t>Python and Django architecture; Django ORM vs raw SQL queries; Building scalable full-stack applications with React and Django</t>
        </is>
      </c>
    </row>
    <row r="170">
      <c r="A170" t="inlineStr">
        <is>
          <t>MAXGEN-TECHN-261002-169</t>
        </is>
      </c>
      <c r="B170" t="inlineStr">
        <is>
          <t>MAXGEN TECHNOLOGIES PRIVATE LIMITED</t>
        </is>
      </c>
      <c r="C170" t="inlineStr">
        <is>
          <t>Python Web Development Internship</t>
        </is>
      </c>
      <c r="D170" t="inlineStr">
        <is>
          <t>https://www.adzuna.in/details/5875071090?utm_medium=api&amp;utm_source=5ccdc27f</t>
        </is>
      </c>
      <c r="E170" t="inlineStr">
        <is>
          <t>AI Analyzer</t>
        </is>
      </c>
      <c r="F170" t="inlineStr">
        <is>
          <t>Ahmedabad</t>
        </is>
      </c>
      <c r="G170" t="inlineStr">
        <is>
          <t>Unknown</t>
        </is>
      </c>
      <c r="H170" t="inlineStr">
        <is>
          <t>Not specified</t>
        </is>
      </c>
      <c r="I170" t="inlineStr">
        <is>
          <t>Unknown</t>
        </is>
      </c>
      <c r="J170" t="inlineStr">
        <is>
          <t>MENTIONED</t>
        </is>
      </c>
      <c r="K170" t="inlineStr">
        <is>
          <t>Python; Django</t>
        </is>
      </c>
      <c r="L170" t="inlineStr">
        <is>
          <t>Machine Learning</t>
        </is>
      </c>
      <c r="M170" t="inlineStr">
        <is>
          <t>Maxgen Technologies Pvt ltd offeringinternshipin Ahmedabad Diploma and Engineering freshers will get live projectpythoninternshipwith Django machine learning program Why we first option Flexible working hours College project Program job placement after program live projects during program professional working environment call us at hidden mobile visit us www amxgentechnologies com Address Abhijeet 3 603 Netaji Rd near Pantaloons Mithakhali Ellisbridge Ahmedabad</t>
        </is>
      </c>
      <c r="N170" t="n">
        <v>44</v>
      </c>
      <c r="O170" t="n">
        <v>40</v>
      </c>
      <c r="P170" t="n">
        <v>50</v>
      </c>
      <c r="Q170" t="n">
        <v>50</v>
      </c>
      <c r="R170" t="n">
        <v>60</v>
      </c>
      <c r="S170" t="n">
        <v>20</v>
      </c>
      <c r="T170" t="n">
        <v>40</v>
      </c>
      <c r="U170" t="inlineStr">
        <is>
          <t>SKIP</t>
        </is>
      </c>
      <c r="V170" t="inlineStr">
        <is>
          <t>SKIP</t>
        </is>
      </c>
      <c r="W170" t="inlineStr">
        <is>
          <t>Python; Django</t>
        </is>
      </c>
      <c r="X170" t="inlineStr">
        <is>
          <t>Amaanuddin_Ahmed_Resume.pdf</t>
        </is>
      </c>
      <c r="Y170" t="inlineStr">
        <is>
          <t>2026-10-02</t>
        </is>
      </c>
      <c r="Z170" t="inlineStr">
        <is>
          <t>Offers live projects and potential job placement.</t>
        </is>
      </c>
      <c r="AA170" t="inlineStr">
        <is>
          <t>ELIGIBLE</t>
        </is>
      </c>
      <c r="AB170" t="inlineStr">
        <is>
          <t>Open to Diploma and Engineering freshers.</t>
        </is>
      </c>
      <c r="AC170" t="inlineStr">
        <is>
          <t>UNKNOWN</t>
        </is>
      </c>
      <c r="AD170" t="inlineStr">
        <is>
          <t>Not specified in candidate profile or job description.</t>
        </is>
      </c>
      <c r="AE170" t="inlineStr">
        <is>
          <t>UNKNOWN</t>
        </is>
      </c>
      <c r="AF170" t="n">
        <v>0</v>
      </c>
      <c r="AG170" t="inlineStr">
        <is>
          <t>No</t>
        </is>
      </c>
      <c r="AH170" t="inlineStr">
        <is>
          <t>MENTIONED</t>
        </is>
      </c>
      <c r="AI170" t="inlineStr">
        <is>
          <t>job placement after program</t>
        </is>
      </c>
      <c r="AK170" t="inlineStr">
        <is>
          <t>Location is Ahmedabad, whereas candidate prefers Bengaluru or remote.; Python is only listed on resume as working knowledge, not demonstrated in real projects.</t>
        </is>
      </c>
      <c r="AL170" t="inlineStr">
        <is>
          <t>Python basics and OOP concepts; Django framework architecture; Previous project experience in web development</t>
        </is>
      </c>
    </row>
    <row r="171">
      <c r="A171" t="inlineStr">
        <is>
          <t>ZIPLR-TECHNO-261002-170</t>
        </is>
      </c>
      <c r="B171" t="inlineStr">
        <is>
          <t>Ziplr Technology</t>
        </is>
      </c>
      <c r="C171" t="inlineStr">
        <is>
          <t>Internship - Python Developer</t>
        </is>
      </c>
      <c r="D171" t="inlineStr">
        <is>
          <t>https://www.adzuna.in/details/4801618879?utm_medium=api&amp;utm_source=5ccdc27f</t>
        </is>
      </c>
      <c r="E171" t="inlineStr">
        <is>
          <t>AI Analyzer</t>
        </is>
      </c>
      <c r="F171" t="inlineStr">
        <is>
          <t>Bhubaneswar, India</t>
        </is>
      </c>
      <c r="G171" t="inlineStr">
        <is>
          <t>Unknown</t>
        </is>
      </c>
      <c r="I171" t="inlineStr">
        <is>
          <t>Unknown</t>
        </is>
      </c>
      <c r="J171" t="inlineStr">
        <is>
          <t>NOT_MENTIONED</t>
        </is>
      </c>
      <c r="K171" t="inlineStr">
        <is>
          <t>Python</t>
        </is>
      </c>
      <c r="M171" t="inlineStr">
        <is>
          <t>Internship - Python Developer Ziplr is looking for techies in python to join our development team. Are you the best programmer in your batch or office? Do you lose your sleep till you have solved a technical problem? Can you stay up the whole night just to write a beautiful piece of code which runs flawlessly? Note - If you answered yes to all above asked questions only then, read the below text. Location: Bhubaneswar Brief: As a Python developer in the team, you will build new enterprise appli…</t>
        </is>
      </c>
      <c r="N171" t="n">
        <v>34</v>
      </c>
      <c r="O171" t="n">
        <v>40</v>
      </c>
      <c r="P171" t="n">
        <v>50</v>
      </c>
      <c r="Q171" t="n">
        <v>50</v>
      </c>
      <c r="R171" t="n">
        <v>0</v>
      </c>
      <c r="S171" t="n">
        <v>0</v>
      </c>
      <c r="T171" t="n">
        <v>40</v>
      </c>
      <c r="U171" t="inlineStr">
        <is>
          <t>SKIP</t>
        </is>
      </c>
      <c r="V171" t="inlineStr">
        <is>
          <t>SKIP</t>
        </is>
      </c>
      <c r="W171" t="inlineStr">
        <is>
          <t>Python</t>
        </is>
      </c>
      <c r="X171" t="inlineStr">
        <is>
          <t>Amaanuddin_Ahmed_Resume_Default.pdf</t>
        </is>
      </c>
      <c r="Y171" t="inlineStr">
        <is>
          <t>2026-10-02</t>
        </is>
      </c>
      <c r="AA171" t="inlineStr">
        <is>
          <t>NO</t>
        </is>
      </c>
      <c r="AB171" t="inlineStr">
        <is>
          <t>Location mismatch: Job is in Bhubaneswar, India while preferred location is Bengaluru.; Primary technology stack mismatch: Job requires Python Developer, but candidate's demonstrated core strengths are in MERN and Angular/Node/C#, with Python only as a working knowledge skill.</t>
        </is>
      </c>
      <c r="AC171" t="inlineStr">
        <is>
          <t>UNKNOWN</t>
        </is>
      </c>
      <c r="AD171" t="inlineStr">
        <is>
          <t>Candidate availability details are not provided in the career brain.</t>
        </is>
      </c>
      <c r="AE171" t="inlineStr">
        <is>
          <t>UNKNOWN</t>
        </is>
      </c>
      <c r="AF171" t="n">
        <v>0</v>
      </c>
      <c r="AG171" t="inlineStr">
        <is>
          <t>No</t>
        </is>
      </c>
      <c r="AH171" t="inlineStr">
        <is>
          <t>NOT_MENTIONED</t>
        </is>
      </c>
      <c r="AI171" t="inlineStr">
        <is>
          <t>No mention of PPO or conversion in the job description.</t>
        </is>
      </c>
      <c r="AJ171" t="inlineStr">
        <is>
          <t>Location is Bhubaneswar, India; Mandatory primary technology is Python (candidate's main experience is in JS/TS/Node/Angular/C#)</t>
        </is>
      </c>
      <c r="AK171" t="inlineStr">
        <is>
          <t>Vague and non-standard cultural fit requirements in the JD preamble</t>
        </is>
      </c>
      <c r="AL171" t="inlineStr">
        <is>
          <t>Python core concepts and enterprise application development; Problem-solving and debugging workflows</t>
        </is>
      </c>
    </row>
    <row r="172">
      <c r="A172" t="inlineStr">
        <is>
          <t>BRIDGE-IT-261002-171</t>
        </is>
      </c>
      <c r="B172" t="inlineStr">
        <is>
          <t>Bridge-it</t>
        </is>
      </c>
      <c r="C172" t="inlineStr">
        <is>
          <t>AI Engineer Intern</t>
        </is>
      </c>
      <c r="D172" t="inlineStr">
        <is>
          <t>https://www.adzuna.in/details/5873854630?utm_medium=api&amp;utm_source=5ccdc27f</t>
        </is>
      </c>
      <c r="E172" t="inlineStr">
        <is>
          <t>AI Analyzer</t>
        </is>
      </c>
      <c r="F172" t="inlineStr">
        <is>
          <t>Delhi, India</t>
        </is>
      </c>
      <c r="G172" t="inlineStr">
        <is>
          <t>UNKNOWN</t>
        </is>
      </c>
      <c r="H172" t="inlineStr">
        <is>
          <t>UNKNOWN</t>
        </is>
      </c>
      <c r="I172" t="inlineStr">
        <is>
          <t>UNKNOWN</t>
        </is>
      </c>
      <c r="J172" t="inlineStr">
        <is>
          <t>UNKNOWN</t>
        </is>
      </c>
      <c r="K172" t="inlineStr">
        <is>
          <t>Generative AI; Prompt Engineering; RAG; Python; LangGraph; Knowledge Graphs; REST APIs</t>
        </is>
      </c>
      <c r="M172" t="inlineStr">
        <is>
          <t>AI Engineer Internship at Bridge-it Key Responsibilities: Use Generative AI models for real-world applications. Identify and create datasets to build a domain specific knowledge base Work on Prompt Engineering and create advanced Retrieval-Augmented Generation (RAG) systems. Build and optimize scalable REST APIs using Python. Utilize frameworks like LangGraph for complex AI workflows. Collaborate on implementing knowledge graphs and Agentic frameworks such as LangGraph. Contribute to backend de…</t>
        </is>
      </c>
      <c r="N172" t="n">
        <v>19</v>
      </c>
      <c r="O172" t="n">
        <v>20</v>
      </c>
      <c r="P172" t="n">
        <v>30</v>
      </c>
      <c r="Q172" t="n">
        <v>20</v>
      </c>
      <c r="R172" t="n">
        <v>0</v>
      </c>
      <c r="S172" t="n">
        <v>0</v>
      </c>
      <c r="T172" t="n">
        <v>40</v>
      </c>
      <c r="U172" t="inlineStr">
        <is>
          <t>SKIP</t>
        </is>
      </c>
      <c r="V172" t="inlineStr">
        <is>
          <t>SKIP</t>
        </is>
      </c>
      <c r="W172" t="inlineStr">
        <is>
          <t>Generative AI; Prompt Engineering; RAG; Python; LangGraph; Knowledge Graphs</t>
        </is>
      </c>
      <c r="X172" t="inlineStr">
        <is>
          <t>Amaanuddin_Ahmed_Resume.pdf</t>
        </is>
      </c>
      <c r="Y172" t="inlineStr">
        <is>
          <t>2026-10-02</t>
        </is>
      </c>
      <c r="AA172" t="inlineStr">
        <is>
          <t>INELIGIBLE</t>
        </is>
      </c>
      <c r="AB172" t="inlineStr">
        <is>
          <t>Location mismatch: Job is in Delhi, India, while candidate's preferred location is Bengaluru, India.; Role mismatch: Candidate's target roles are in Software Engineering/Full Stack/Backend, whereas this role is AI Engineering.; Mandatory technology gap: Requires Python, LangGraph, RAG, and knowledge graphs which are outside Amaan's core demonstrated stack.</t>
        </is>
      </c>
      <c r="AC172" t="inlineStr">
        <is>
          <t>UNKNOWN</t>
        </is>
      </c>
      <c r="AD172" t="inlineStr">
        <is>
          <t>Availability not specified in the career brain relative to this specific role timeline.</t>
        </is>
      </c>
      <c r="AE172" t="inlineStr">
        <is>
          <t>UNKNOWN</t>
        </is>
      </c>
      <c r="AF172" t="n">
        <v>0</v>
      </c>
      <c r="AG172" t="inlineStr">
        <is>
          <t>No</t>
        </is>
      </c>
      <c r="AH172" t="inlineStr">
        <is>
          <t>UNKNOWN</t>
        </is>
      </c>
      <c r="AI172" t="inlineStr">
        <is>
          <t>No mention of PPO or conversion in the job description.</t>
        </is>
      </c>
      <c r="AJ172" t="inlineStr">
        <is>
          <t>Location mismatch (Delhi vs Bengaluru); Role mismatch (AI Engineer vs Full Stack/Backend Engineering); Mandatory technology gap (Python, LangGraph, RAG)</t>
        </is>
      </c>
      <c r="AK172" t="inlineStr">
        <is>
          <t>Unspecified stipend; Location outside preferred region</t>
        </is>
      </c>
      <c r="AL172" t="inlineStr">
        <is>
          <t>Python backend development; RAG systems and LangGraph; Knowledge graphs and Generative AI</t>
        </is>
      </c>
    </row>
    <row r="173">
      <c r="A173" t="inlineStr">
        <is>
          <t>STYLUMIA-INT-261002-172</t>
        </is>
      </c>
      <c r="B173" t="inlineStr">
        <is>
          <t>Stylumia Intelligence Technology</t>
        </is>
      </c>
      <c r="C173" t="inlineStr">
        <is>
          <t>Ai Engineering Intern</t>
        </is>
      </c>
      <c r="D173" t="inlineStr">
        <is>
          <t>https://www.adzuna.in/details/5889556368?utm_medium=api&amp;utm_source=5ccdc27f</t>
        </is>
      </c>
      <c r="E173" t="inlineStr">
        <is>
          <t>AI Analyzer</t>
        </is>
      </c>
      <c r="F173" t="inlineStr">
        <is>
          <t>Bangalore, Karnataka</t>
        </is>
      </c>
      <c r="G173" t="inlineStr">
        <is>
          <t>Unknown</t>
        </is>
      </c>
      <c r="H173" t="inlineStr">
        <is>
          <t>Not specified</t>
        </is>
      </c>
      <c r="I173" t="inlineStr">
        <is>
          <t>Unknown</t>
        </is>
      </c>
      <c r="J173" t="inlineStr">
        <is>
          <t>Unknown</t>
        </is>
      </c>
      <c r="K173" t="inlineStr">
        <is>
          <t>Data Science; AI Engineering</t>
        </is>
      </c>
      <c r="M173" t="inlineStr">
        <is>
          <t>Do you see patterns where others see noise? Can you turn messy data into AI that actually moves the needle? Do you get a kick out of shipping — not just analyzing? If yes, we'd love to work with you. At Stylumia, we're looking for high-agency Data Science / AI Engineer interns to help build the intelligence layer behind how global fashion, beauty, and home brands make decisions. What you'll do: ✨ Build and ship AI-powered features that decode trends across fashion, beauty &amp; home Work with lar…</t>
        </is>
      </c>
      <c r="N173" t="n">
        <v>30</v>
      </c>
      <c r="O173" t="n">
        <v>20</v>
      </c>
      <c r="P173" t="n">
        <v>30</v>
      </c>
      <c r="Q173" t="n">
        <v>35</v>
      </c>
      <c r="R173" t="n">
        <v>50</v>
      </c>
      <c r="S173" t="n">
        <v>0</v>
      </c>
      <c r="T173" t="n">
        <v>50</v>
      </c>
      <c r="U173" t="inlineStr">
        <is>
          <t>SKIP</t>
        </is>
      </c>
      <c r="V173" t="inlineStr">
        <is>
          <t>SKIP</t>
        </is>
      </c>
      <c r="W173" t="inlineStr">
        <is>
          <t>Data Science; AI Engineering</t>
        </is>
      </c>
      <c r="X173" t="inlineStr">
        <is>
          <t>Amaanuddin_Ahmed_Resume.pdf</t>
        </is>
      </c>
      <c r="Y173" t="inlineStr">
        <is>
          <t>2026-10-02</t>
        </is>
      </c>
      <c r="Z173" t="inlineStr">
        <is>
          <t>Located in Bengaluru; Internship opportunity in the tech sector</t>
        </is>
      </c>
      <c r="AA173" t="inlineStr">
        <is>
          <t>Eligible</t>
        </is>
      </c>
      <c r="AB173" t="inlineStr">
        <is>
          <t>Location matches Bengaluru preference; Role type matches internship target</t>
        </is>
      </c>
      <c r="AC173" t="inlineStr">
        <is>
          <t>Unknown</t>
        </is>
      </c>
      <c r="AD173" t="inlineStr">
        <is>
          <t>Availability not explicitly stated in profile</t>
        </is>
      </c>
      <c r="AE173" t="inlineStr">
        <is>
          <t>UNKNOWN</t>
        </is>
      </c>
      <c r="AF173" t="n">
        <v>0</v>
      </c>
      <c r="AG173" t="inlineStr">
        <is>
          <t>No</t>
        </is>
      </c>
      <c r="AH173" t="inlineStr">
        <is>
          <t>Unknown</t>
        </is>
      </c>
      <c r="AI173" t="inlineStr">
        <is>
          <t>No mention of PPO or conversion in the job description</t>
        </is>
      </c>
      <c r="AK173" t="inlineStr">
        <is>
          <t>Incomplete job description text; No stipend information provided</t>
        </is>
      </c>
      <c r="AL173" t="inlineStr">
        <is>
          <t>Data science fundamentals; AI engineering and machine learning workflows; Python for data analysis</t>
        </is>
      </c>
    </row>
    <row r="174">
      <c r="A174" t="inlineStr">
        <is>
          <t>SYNORUS-261002-173</t>
        </is>
      </c>
      <c r="B174" t="inlineStr">
        <is>
          <t>Synorus</t>
        </is>
      </c>
      <c r="C174" t="inlineStr">
        <is>
          <t>AI engineer Intern</t>
        </is>
      </c>
      <c r="D174" t="inlineStr">
        <is>
          <t>https://www.adzuna.in/details/5476465881?utm_medium=api&amp;utm_source=5ccdc27f</t>
        </is>
      </c>
      <c r="E174" t="inlineStr">
        <is>
          <t>AI Analyzer</t>
        </is>
      </c>
      <c r="F174" t="inlineStr">
        <is>
          <t>India</t>
        </is>
      </c>
      <c r="G174" t="inlineStr">
        <is>
          <t>UNKNOWN</t>
        </is>
      </c>
      <c r="H174" t="inlineStr">
        <is>
          <t>Not specified</t>
        </is>
      </c>
      <c r="I174" t="inlineStr">
        <is>
          <t>UNKNOWN</t>
        </is>
      </c>
      <c r="J174" t="inlineStr">
        <is>
          <t>NOT_MENTIONED</t>
        </is>
      </c>
      <c r="K174" t="inlineStr">
        <is>
          <t>AI; LLM Engineering; RAG pipelines; Legaltech</t>
        </is>
      </c>
      <c r="L174" t="inlineStr">
        <is>
          <t>Domain-tuned LLMs; Secure reasoning systems</t>
        </is>
      </c>
      <c r="M174" t="inlineStr">
        <is>
          <t>About Synorus Synorus is building a next-generation ecosystem of AI-first products. Our flagship legal-AI platform LexVault is redefining legal research, drafting, knowledge retrieval, and case intelligence using domain-tuned LLMs, private RAG pipelines, and secure reasoning systems. If you are passionate about AI, legaltech, and training high-performance models — this internship will put you on the front line of innovation. Role Overview We are seeking passionate AI/LLM Engineering Interns who…</t>
        </is>
      </c>
      <c r="N174" t="n">
        <v>21</v>
      </c>
      <c r="O174" t="n">
        <v>20</v>
      </c>
      <c r="P174" t="n">
        <v>20</v>
      </c>
      <c r="Q174" t="n">
        <v>40</v>
      </c>
      <c r="R174" t="n">
        <v>0</v>
      </c>
      <c r="S174" t="n">
        <v>0</v>
      </c>
      <c r="T174" t="n">
        <v>50</v>
      </c>
      <c r="U174" t="inlineStr">
        <is>
          <t>SKIP</t>
        </is>
      </c>
      <c r="V174" t="inlineStr">
        <is>
          <t>SKIP</t>
        </is>
      </c>
      <c r="W174" t="inlineStr">
        <is>
          <t>AI; LLM Engineering; RAG pipelines</t>
        </is>
      </c>
      <c r="X174" t="inlineStr">
        <is>
          <t>Amaanuddin_Ahmed_Resume.pdf</t>
        </is>
      </c>
      <c r="Y174" t="inlineStr">
        <is>
          <t>2026-10-02</t>
        </is>
      </c>
      <c r="Z174" t="inlineStr">
        <is>
          <t>Interest in cutting-edge AI and legaltech products.</t>
        </is>
      </c>
      <c r="AA174" t="inlineStr">
        <is>
          <t>ELIGIBLE</t>
        </is>
      </c>
      <c r="AB174" t="inlineStr">
        <is>
          <t>No explicit degree or hard experience blockers are mentioned in the snippet.</t>
        </is>
      </c>
      <c r="AC174" t="inlineStr">
        <is>
          <t>UNKNOWN</t>
        </is>
      </c>
      <c r="AD174" t="inlineStr">
        <is>
          <t>Not specified in profile.</t>
        </is>
      </c>
      <c r="AE174" t="inlineStr">
        <is>
          <t>UNKNOWN</t>
        </is>
      </c>
      <c r="AF174" t="n">
        <v>0</v>
      </c>
      <c r="AG174" t="inlineStr">
        <is>
          <t>No</t>
        </is>
      </c>
      <c r="AH174" t="inlineStr">
        <is>
          <t>NOT_MENTIONED</t>
        </is>
      </c>
      <c r="AI174" t="inlineStr">
        <is>
          <t>The snippet cuts off and does not mention PPO or conversion.</t>
        </is>
      </c>
      <c r="AK174" t="inlineStr">
        <is>
          <t>Stipend is not disclosed; Job description snippet is incomplete</t>
        </is>
      </c>
      <c r="AL174" t="inlineStr">
        <is>
          <t>LLM fine-tuning; Retrieval-Augmented Generation (RAG); Vector databases and embeddings</t>
        </is>
      </c>
    </row>
    <row r="175">
      <c r="A175" t="inlineStr">
        <is>
          <t>LETSINTERN-261002-174</t>
        </is>
      </c>
      <c r="B175" t="inlineStr">
        <is>
          <t>LetsIntern</t>
        </is>
      </c>
      <c r="C175" t="inlineStr">
        <is>
          <t>AI Engineer (Intern)</t>
        </is>
      </c>
      <c r="D175" t="inlineStr">
        <is>
          <t>https://www.adzuna.in/details/5649491294?utm_medium=api&amp;utm_source=5ccdc27f</t>
        </is>
      </c>
      <c r="E175" t="inlineStr">
        <is>
          <t>AI Analyzer</t>
        </is>
      </c>
      <c r="F175" t="inlineStr">
        <is>
          <t>India</t>
        </is>
      </c>
      <c r="G175" t="inlineStr">
        <is>
          <t>Unknown</t>
        </is>
      </c>
      <c r="I175" t="inlineStr">
        <is>
          <t>Unknown</t>
        </is>
      </c>
      <c r="J175" t="inlineStr">
        <is>
          <t>Not Mentioned</t>
        </is>
      </c>
      <c r="K175" t="inlineStr">
        <is>
          <t>Artificial Intelligence; Machine Learning</t>
        </is>
      </c>
      <c r="M175" t="inlineStr">
        <is>
          <t>About the Job : We are looking for a passionate and driven AI Intern to join our dynamic team. As an intern, you will have the opportunity to work on real-world projects, develop AI models, and collaborate with experienced professionals in the field. This internship is designed to provide hands-on experience in AI and machine learning, offering you the chance to contribute to impactful projects while enhancing your skills. Job Description: We are seeking a talented Artificial Intelligence Speci…</t>
        </is>
      </c>
      <c r="N175" t="n">
        <v>29</v>
      </c>
      <c r="O175" t="n">
        <v>30</v>
      </c>
      <c r="P175" t="n">
        <v>40</v>
      </c>
      <c r="Q175" t="n">
        <v>40</v>
      </c>
      <c r="R175" t="n">
        <v>0</v>
      </c>
      <c r="S175" t="n">
        <v>20</v>
      </c>
      <c r="T175" t="n">
        <v>40</v>
      </c>
      <c r="U175" t="inlineStr">
        <is>
          <t>SKIP</t>
        </is>
      </c>
      <c r="V175" t="inlineStr">
        <is>
          <t>SKIP</t>
        </is>
      </c>
      <c r="W175" t="inlineStr">
        <is>
          <t>Artificial Intelligence; Machine Learning</t>
        </is>
      </c>
      <c r="X175" t="inlineStr">
        <is>
          <t>Amaanuddin_Ahmed_Resume.pdf</t>
        </is>
      </c>
      <c r="Y175" t="inlineStr">
        <is>
          <t>2026-10-02</t>
        </is>
      </c>
      <c r="Z175" t="inlineStr">
        <is>
          <t>Provides hands-on experience in the tech sector.</t>
        </is>
      </c>
      <c r="AA175" t="inlineStr">
        <is>
          <t>eligible</t>
        </is>
      </c>
      <c r="AB175" t="inlineStr">
        <is>
          <t>Open to student interns meeting general profile criteria.</t>
        </is>
      </c>
      <c r="AC175" t="inlineStr">
        <is>
          <t>Unknown</t>
        </is>
      </c>
      <c r="AD175" t="inlineStr">
        <is>
          <t>Not specified in candidate profile or job description.</t>
        </is>
      </c>
      <c r="AE175" t="inlineStr">
        <is>
          <t>UNKNOWN</t>
        </is>
      </c>
      <c r="AF175" t="n">
        <v>0</v>
      </c>
      <c r="AG175" t="inlineStr">
        <is>
          <t>No</t>
        </is>
      </c>
      <c r="AH175" t="inlineStr">
        <is>
          <t>Not Mentioned</t>
        </is>
      </c>
      <c r="AI175" t="inlineStr">
        <is>
          <t>No mention of conversion or PPO in the job description snippet.</t>
        </is>
      </c>
      <c r="AK175" t="inlineStr">
        <is>
          <t>Role focuses heavily on AI/ML engineering, whereas candidate's core expertise is in Full Stack Web Development (MERN, Angular, Node.js).</t>
        </is>
      </c>
      <c r="AL175" t="inlineStr">
        <is>
          <t>AI and Machine Learning fundamentals; Model development and evaluation; Python for data science</t>
        </is>
      </c>
    </row>
    <row r="176">
      <c r="A176" t="inlineStr">
        <is>
          <t>RECRUIT-SQUA-261002-175</t>
        </is>
      </c>
      <c r="B176" t="inlineStr">
        <is>
          <t>Recruit Square</t>
        </is>
      </c>
      <c r="C176" t="inlineStr">
        <is>
          <t>AI Engineer - Intern</t>
        </is>
      </c>
      <c r="D176" t="inlineStr">
        <is>
          <t>https://www.adzuna.in/details/5506162409?utm_medium=api&amp;utm_source=5ccdc27f</t>
        </is>
      </c>
      <c r="E176" t="inlineStr">
        <is>
          <t>AI Analyzer</t>
        </is>
      </c>
      <c r="F176" t="inlineStr">
        <is>
          <t>India</t>
        </is>
      </c>
      <c r="G176" t="inlineStr">
        <is>
          <t>UNKNOWN</t>
        </is>
      </c>
      <c r="H176" t="inlineStr">
        <is>
          <t>Not specified</t>
        </is>
      </c>
      <c r="I176" t="inlineStr">
        <is>
          <t>UNKNOWN</t>
        </is>
      </c>
      <c r="J176" t="inlineStr">
        <is>
          <t>UNKNOWN</t>
        </is>
      </c>
      <c r="K176" t="inlineStr">
        <is>
          <t>Artificial Intelligence (AI); AI Agents; Large Language Models (LLM) tuning</t>
        </is>
      </c>
      <c r="M176" t="inlineStr">
        <is>
          <t>We are looking for AI Interns from IIT and Top Colleges of India who have worked on AI Based projects during their tenure or have any experience in AI. Skills:- Artificial Intelligence (AI), AI Agents and Large Language Models (LLM) tuning</t>
        </is>
      </c>
      <c r="N176" t="n">
        <v>18</v>
      </c>
      <c r="O176" t="n">
        <v>20</v>
      </c>
      <c r="P176" t="n">
        <v>20</v>
      </c>
      <c r="Q176" t="n">
        <v>30</v>
      </c>
      <c r="R176" t="n">
        <v>0</v>
      </c>
      <c r="S176" t="n">
        <v>0</v>
      </c>
      <c r="T176" t="n">
        <v>30</v>
      </c>
      <c r="U176" t="inlineStr">
        <is>
          <t>SKIP</t>
        </is>
      </c>
      <c r="V176" t="inlineStr">
        <is>
          <t>SKIP</t>
        </is>
      </c>
      <c r="W176" t="inlineStr">
        <is>
          <t>Artificial Intelligence (AI); AI Agents; Large Language Models (LLM) tuning</t>
        </is>
      </c>
      <c r="X176" t="inlineStr">
        <is>
          <t>Default Resume</t>
        </is>
      </c>
      <c r="Y176" t="inlineStr">
        <is>
          <t>2026-10-02</t>
        </is>
      </c>
      <c r="AA176" t="inlineStr">
        <is>
          <t>FAIL</t>
        </is>
      </c>
      <c r="AB176" t="inlineStr">
        <is>
          <t>Job explicitly requires candidates from IIT and Top Colleges of India, whereas candidate is from PES University.</t>
        </is>
      </c>
      <c r="AC176" t="inlineStr">
        <is>
          <t>UNKNOWN</t>
        </is>
      </c>
      <c r="AD176" t="inlineStr">
        <is>
          <t>Availability not specified in job description.</t>
        </is>
      </c>
      <c r="AE176" t="inlineStr">
        <is>
          <t>UNKNOWN</t>
        </is>
      </c>
      <c r="AF176" t="n">
        <v>0</v>
      </c>
      <c r="AG176" t="inlineStr">
        <is>
          <t>No</t>
        </is>
      </c>
      <c r="AH176" t="inlineStr">
        <is>
          <t>UNKNOWN</t>
        </is>
      </c>
      <c r="AI176" t="inlineStr">
        <is>
          <t>No mention of PPO or conversion in the job description.</t>
        </is>
      </c>
      <c r="AJ176" t="inlineStr">
        <is>
          <t>College tier requirement: IIT and Top Colleges of India (candidate is from PES University)</t>
        </is>
      </c>
      <c r="AK176" t="inlineStr">
        <is>
          <t>Elitist college tier filter</t>
        </is>
      </c>
      <c r="AL176" t="inlineStr">
        <is>
          <t>AI Agents; LLM fine-tuning; Artificial Intelligence fundamentals</t>
        </is>
      </c>
    </row>
    <row r="177">
      <c r="A177" t="inlineStr">
        <is>
          <t>SETOO-SOLUTI-261002-176</t>
        </is>
      </c>
      <c r="B177" t="inlineStr">
        <is>
          <t>Setoo Solution Pvt Ltd</t>
        </is>
      </c>
      <c r="C177" t="inlineStr">
        <is>
          <t>Gen AI Engineer Intern</t>
        </is>
      </c>
      <c r="D177" t="inlineStr">
        <is>
          <t>https://www.adzuna.in/details/5845822186?utm_medium=api&amp;utm_source=5ccdc27f</t>
        </is>
      </c>
      <c r="E177" t="inlineStr">
        <is>
          <t>AI Analyzer</t>
        </is>
      </c>
      <c r="F177" t="inlineStr">
        <is>
          <t>Pune, Maharashtra</t>
        </is>
      </c>
      <c r="G177" t="inlineStr">
        <is>
          <t>unknown</t>
        </is>
      </c>
      <c r="I177" t="inlineStr">
        <is>
          <t>unknown</t>
        </is>
      </c>
      <c r="J177" t="inlineStr">
        <is>
          <t>high</t>
        </is>
      </c>
      <c r="K177" t="inlineStr">
        <is>
          <t>LangChain; LlamaIndex; AutoGPT; Vector Databases; Pinecone; ChromaDB; Weaviate; Prompt Engineering</t>
        </is>
      </c>
      <c r="M177" t="inlineStr">
        <is>
          <t>Role: Gen AI Engineer Intern (Leading to PPO) Education: B.E./B.Tech (CSE/IT), MCA, or M.Sc. IT Focus: Building, fine-tuning, and deploying Generative AI solutions. Key Responsibilities: LLM Implementation: Work with frameworks like LangChain, LlamaIndex, or AutoGPT to build AI agents. RAG Pipelines: Develop Retrieval-Augmented Generation (RAG) systems using Vector Databases (Pinecone, ChromaDB, or Weaviate). Prompt Engineering: Design and optimize prompts to improve model accuracy and reduce "…</t>
        </is>
      </c>
      <c r="N177" t="n">
        <v>39</v>
      </c>
      <c r="O177" t="n">
        <v>20</v>
      </c>
      <c r="P177" t="n">
        <v>30</v>
      </c>
      <c r="Q177" t="n">
        <v>35</v>
      </c>
      <c r="R177" t="n">
        <v>90</v>
      </c>
      <c r="S177" t="n">
        <v>20</v>
      </c>
      <c r="T177" t="n">
        <v>60</v>
      </c>
      <c r="U177" t="inlineStr">
        <is>
          <t>SKIP</t>
        </is>
      </c>
      <c r="V177" t="inlineStr">
        <is>
          <t>SKIP</t>
        </is>
      </c>
      <c r="W177" t="inlineStr">
        <is>
          <t>LangChain; LlamaIndex; AutoGPT; Vector Databases; Pinecone; ChromaDB; Weaviate; Prompt Engineering</t>
        </is>
      </c>
      <c r="X177" t="inlineStr">
        <is>
          <t>Standard Full Stack Resume</t>
        </is>
      </c>
      <c r="Y177" t="inlineStr">
        <is>
          <t>2026-10-02</t>
        </is>
      </c>
      <c r="Z177" t="inlineStr">
        <is>
          <t>Mentions PPO conversion opportunity; Education criteria matches MCA</t>
        </is>
      </c>
      <c r="AA177" t="inlineStr">
        <is>
          <t>eligible</t>
        </is>
      </c>
      <c r="AB177" t="inlineStr">
        <is>
          <t>Education requirement includes MCA which matches candidate's degree.</t>
        </is>
      </c>
      <c r="AC177" t="inlineStr">
        <is>
          <t>unknown</t>
        </is>
      </c>
      <c r="AD177" t="inlineStr">
        <is>
          <t>Candidate availability dates are not specified in the career brain.</t>
        </is>
      </c>
      <c r="AE177" t="inlineStr">
        <is>
          <t>UNKNOWN</t>
        </is>
      </c>
      <c r="AF177" t="n">
        <v>0</v>
      </c>
      <c r="AG177" t="inlineStr">
        <is>
          <t>No</t>
        </is>
      </c>
      <c r="AH177" t="inlineStr">
        <is>
          <t>high</t>
        </is>
      </c>
      <c r="AI177" t="inlineStr">
        <is>
          <t>Leading to PPO</t>
        </is>
      </c>
      <c r="AK177" t="inlineStr">
        <is>
          <t>Location is Pune while candidate prefers Bengaluru or remote; Role is Gen AI which does not align closely with candidate's primary Full Stack/Backend target roles</t>
        </is>
      </c>
      <c r="AL177" t="inlineStr">
        <is>
          <t>LLM frameworks like LangChain and LlamaIndex; Retrieval-Augmented Generation (RAG) and Vector Databases; Prompt engineering techniques</t>
        </is>
      </c>
    </row>
    <row r="178">
      <c r="A178" t="inlineStr">
        <is>
          <t>XIARCH-BHARA-261002-177</t>
        </is>
      </c>
      <c r="B178" t="inlineStr">
        <is>
          <t>Xiarch Bharat Pvt Ltd</t>
        </is>
      </c>
      <c r="C178" t="inlineStr">
        <is>
          <t>Agentic AI Engineer Intern</t>
        </is>
      </c>
      <c r="D178" t="inlineStr">
        <is>
          <t>https://www.adzuna.in/details/5889345196?utm_medium=api&amp;utm_source=5ccdc27f</t>
        </is>
      </c>
      <c r="E178" t="inlineStr">
        <is>
          <t>AI Analyzer</t>
        </is>
      </c>
      <c r="F178" t="inlineStr">
        <is>
          <t>Dlf Ph, Gurgaon</t>
        </is>
      </c>
      <c r="G178" t="inlineStr">
        <is>
          <t>On-site</t>
        </is>
      </c>
      <c r="H178" t="inlineStr">
        <is>
          <t>Not specified</t>
        </is>
      </c>
      <c r="I178" t="inlineStr">
        <is>
          <t>Unknown</t>
        </is>
      </c>
      <c r="J178" t="inlineStr">
        <is>
          <t>NOT MENTIONED</t>
        </is>
      </c>
      <c r="K178" t="inlineStr">
        <is>
          <t>Agentic AI; Artificial Intelligence</t>
        </is>
      </c>
      <c r="L178" t="inlineStr">
        <is>
          <t>Cybersecurity; Infrastructure &amp; Security Operations</t>
        </is>
      </c>
      <c r="M178" t="inlineStr">
        <is>
          <t>Agentic AI Engineer Intern About Xiarch Bharat Infrastructure &amp; Security Operations Xiarch Bharat is a CERT-In empanelled cybersecurity services company with over 20 years of experience. We specialize in 24×7 SOC monitoring, Vulnerability Assessment &amp; Penetration Testing (VAPT), GRC, DPDP compliance, ISO audits, and Zero Trust networking solutions (pfSense/FortiGate). We serve 4000 clients across India and are rapidly scaling our infrastructure and product capabilities with AI-powered security …</t>
        </is>
      </c>
      <c r="N178" t="n">
        <v>20</v>
      </c>
      <c r="O178" t="n">
        <v>20</v>
      </c>
      <c r="P178" t="n">
        <v>20</v>
      </c>
      <c r="Q178" t="n">
        <v>30</v>
      </c>
      <c r="R178" t="n">
        <v>0</v>
      </c>
      <c r="S178" t="n">
        <v>0</v>
      </c>
      <c r="T178" t="n">
        <v>50</v>
      </c>
      <c r="U178" t="inlineStr">
        <is>
          <t>SKIP</t>
        </is>
      </c>
      <c r="V178" t="inlineStr">
        <is>
          <t>SKIP</t>
        </is>
      </c>
      <c r="W178" t="inlineStr">
        <is>
          <t>Agentic AI; AI Agent frameworks</t>
        </is>
      </c>
      <c r="X178" t="inlineStr">
        <is>
          <t>Amaanuddin_Ahmed_Resume.pdf</t>
        </is>
      </c>
      <c r="Y178" t="inlineStr">
        <is>
          <t>2026-10-02</t>
        </is>
      </c>
      <c r="AA178" t="inlineStr">
        <is>
          <t>NOT ELIGIBLE</t>
        </is>
      </c>
      <c r="AB178" t="inlineStr">
        <is>
          <t>Location mismatch: Role is in Gurgaon, whereas candidate prefers Bengaluru, India.; Role mismatch: Role focuses on Agentic AI Engineering, whereas candidate's primary target roles are Software/Full Stack/Backend Developer Intern.</t>
        </is>
      </c>
      <c r="AC178" t="inlineStr">
        <is>
          <t>UNKNOWN</t>
        </is>
      </c>
      <c r="AD178" t="inlineStr">
        <is>
          <t>Candidate availability dates are not specified in the career brain.</t>
        </is>
      </c>
      <c r="AE178" t="inlineStr">
        <is>
          <t>UNKNOWN</t>
        </is>
      </c>
      <c r="AF178" t="n">
        <v>0</v>
      </c>
      <c r="AG178" t="inlineStr">
        <is>
          <t>No</t>
        </is>
      </c>
      <c r="AH178" t="inlineStr">
        <is>
          <t>NOT MENTIONED</t>
        </is>
      </c>
      <c r="AI178" t="inlineStr">
        <is>
          <t>The job description does not mention PPO or conversion opportunities.</t>
        </is>
      </c>
      <c r="AJ178" t="inlineStr">
        <is>
          <t>Location is Gurgaon, India (preferred: Bengaluru); Role requires specialized Agentic AI Engineering skills, which do not match candidate's core full-stack focus</t>
        </is>
      </c>
      <c r="AK178" t="inlineStr">
        <is>
          <t>Stipend is not disclosed; No mention of PPO</t>
        </is>
      </c>
      <c r="AL178" t="inlineStr">
        <is>
          <t>AI Agent Architectures; LLM Integration and Prompt Engineering; Cybersecurity concepts</t>
        </is>
      </c>
    </row>
    <row r="179">
      <c r="A179" t="inlineStr">
        <is>
          <t>PRICEWATERHO-261002-178</t>
        </is>
      </c>
      <c r="B179" t="inlineStr">
        <is>
          <t>PricewaterhouseCoopers</t>
        </is>
      </c>
      <c r="C179" t="inlineStr">
        <is>
          <t>Business AI Engineer - Intern - 2027</t>
        </is>
      </c>
      <c r="D179" t="inlineStr">
        <is>
          <t>https://www.adzuna.in/details/5894078928?utm_medium=api&amp;utm_source=5ccdc27f</t>
        </is>
      </c>
      <c r="E179" t="inlineStr">
        <is>
          <t>AI Analyzer</t>
        </is>
      </c>
      <c r="F179" t="inlineStr">
        <is>
          <t>India</t>
        </is>
      </c>
      <c r="G179" t="inlineStr">
        <is>
          <t>UNKNOWN</t>
        </is>
      </c>
      <c r="H179" t="inlineStr">
        <is>
          <t>Not specified</t>
        </is>
      </c>
      <c r="I179" t="inlineStr">
        <is>
          <t>UNKNOWN</t>
        </is>
      </c>
      <c r="J179" t="inlineStr">
        <is>
          <t>UNKNOWN</t>
        </is>
      </c>
      <c r="M179" t="inlineStr">
        <is>
          <t>Industry/Sector Specialism IFS - Information Technology (IT) Management Level Intern/Trainee Job Description &amp; Summary The Opportunity Join our Acceleration Center India and help shape the future of business for our diverse client portfolio across geographies and jurisdictions. You’ll work at the heart of global teams across Advisory, Assurance, Tax and Business Services—solving real client challenges through connected collaboration. We’ll help you grow your skills so you can go further. With h…</t>
        </is>
      </c>
      <c r="N179" t="n">
        <v>49</v>
      </c>
      <c r="O179" t="n">
        <v>50</v>
      </c>
      <c r="P179" t="n">
        <v>60</v>
      </c>
      <c r="Q179" t="n">
        <v>50</v>
      </c>
      <c r="R179" t="n">
        <v>50</v>
      </c>
      <c r="S179" t="n">
        <v>0</v>
      </c>
      <c r="T179" t="n">
        <v>70</v>
      </c>
      <c r="U179" t="inlineStr">
        <is>
          <t>SKIP</t>
        </is>
      </c>
      <c r="V179" t="inlineStr">
        <is>
          <t>SKIP</t>
        </is>
      </c>
      <c r="X179" t="inlineStr">
        <is>
          <t>Default Full Stack Resume</t>
        </is>
      </c>
      <c r="Y179" t="inlineStr">
        <is>
          <t>2026-10-02</t>
        </is>
      </c>
      <c r="Z179" t="inlineStr">
        <is>
          <t>PwC brand name and potential enterprise scale exposure.</t>
        </is>
      </c>
      <c r="AA179" t="inlineStr">
        <is>
          <t>ELIGIBLE</t>
        </is>
      </c>
      <c r="AB179" t="inlineStr">
        <is>
          <t>Targeting 2027 graduation matches MCA program timeline (2025-2027).</t>
        </is>
      </c>
      <c r="AC179" t="inlineStr">
        <is>
          <t>UNKNOWN</t>
        </is>
      </c>
      <c r="AD179" t="inlineStr">
        <is>
          <t>Not specified in job description</t>
        </is>
      </c>
      <c r="AE179" t="inlineStr">
        <is>
          <t>UNKNOWN</t>
        </is>
      </c>
      <c r="AF179" t="n">
        <v>0</v>
      </c>
      <c r="AG179" t="inlineStr">
        <is>
          <t>No</t>
        </is>
      </c>
      <c r="AH179" t="inlineStr">
        <is>
          <t>UNKNOWN</t>
        </is>
      </c>
      <c r="AI179" t="inlineStr">
        <is>
          <t>No explicit PPO mention found in the truncated description.</t>
        </is>
      </c>
      <c r="AK179" t="inlineStr">
        <is>
          <t>Incomplete job description provided, lacking technical stack and concrete requirements.</t>
        </is>
      </c>
      <c r="AL179" t="inlineStr">
        <is>
          <t>AI engineering concepts; Full-stack development; Problem solving</t>
        </is>
      </c>
    </row>
    <row r="180">
      <c r="A180" t="inlineStr">
        <is>
          <t>DV-TRADING-261002-179</t>
        </is>
      </c>
      <c r="B180" t="inlineStr">
        <is>
          <t>DV Trading</t>
        </is>
      </c>
      <c r="C180" t="inlineStr">
        <is>
          <t>AI Engineer Intern - Summer 2027</t>
        </is>
      </c>
      <c r="D180" t="inlineStr">
        <is>
          <t>https://www.adzuna.in/details/5879541721?utm_medium=api&amp;utm_source=5ccdc27f</t>
        </is>
      </c>
      <c r="E180" t="inlineStr">
        <is>
          <t>AI Analyzer</t>
        </is>
      </c>
      <c r="F180" t="inlineStr">
        <is>
          <t>India</t>
        </is>
      </c>
      <c r="G180" t="inlineStr">
        <is>
          <t>Unknown</t>
        </is>
      </c>
      <c r="I180" t="inlineStr">
        <is>
          <t>Summer 2027</t>
        </is>
      </c>
      <c r="J180" t="inlineStr">
        <is>
          <t>UNKNOWN</t>
        </is>
      </c>
      <c r="M180" t="inlineStr">
        <is>
          <t>About Us : Founded 20 years ago and headquartered in Chicago, the DV&gt;DV Group of financial services firms has grown to more than 600 people operating throughout North America, Europe and Asia. Since spinning out of a large brokerage firm in 2016, DV Trading has rapidly scaled as an independent proprietary trading firm utilizing its own capital, trading strategies, and risk management methodologies to provide liquidity to worldwide financial markets and hedging opportunities to commodity produce…</t>
        </is>
      </c>
      <c r="N180" t="n">
        <v>28</v>
      </c>
      <c r="O180" t="n">
        <v>20</v>
      </c>
      <c r="P180" t="n">
        <v>30</v>
      </c>
      <c r="Q180" t="n">
        <v>20</v>
      </c>
      <c r="R180" t="n">
        <v>50</v>
      </c>
      <c r="S180" t="n">
        <v>0</v>
      </c>
      <c r="T180" t="n">
        <v>60</v>
      </c>
      <c r="U180" t="inlineStr">
        <is>
          <t>SKIP</t>
        </is>
      </c>
      <c r="V180" t="inlineStr">
        <is>
          <t>SKIP</t>
        </is>
      </c>
      <c r="W180" t="inlineStr">
        <is>
          <t>AI/ML engineering skills</t>
        </is>
      </c>
      <c r="X180" t="inlineStr">
        <is>
          <t>Amaanuddin_Ahmed_Resume.pdf</t>
        </is>
      </c>
      <c r="Y180" t="inlineStr">
        <is>
          <t>2026-10-02</t>
        </is>
      </c>
      <c r="Z180" t="inlineStr">
        <is>
          <t>Reputable global financial services firm</t>
        </is>
      </c>
      <c r="AA180" t="inlineStr">
        <is>
          <t>ELIGIBLE</t>
        </is>
      </c>
      <c r="AB180" t="inlineStr">
        <is>
          <t>No explicit hard degree or experience blockers mentioned in the short snippet</t>
        </is>
      </c>
      <c r="AC180" t="inlineStr">
        <is>
          <t>UNKNOWN</t>
        </is>
      </c>
      <c r="AD180" t="inlineStr">
        <is>
          <t>Graduating in 2027, but exact internship start dates not detailed beyond Summer 2027</t>
        </is>
      </c>
      <c r="AE180" t="inlineStr">
        <is>
          <t>UNKNOWN</t>
        </is>
      </c>
      <c r="AF180" t="n">
        <v>0</v>
      </c>
      <c r="AG180" t="inlineStr">
        <is>
          <t>No</t>
        </is>
      </c>
      <c r="AH180" t="inlineStr">
        <is>
          <t>UNKNOWN</t>
        </is>
      </c>
      <c r="AI180" t="inlineStr">
        <is>
          <t>Not mentioned in the provided snippet</t>
        </is>
      </c>
      <c r="AK180" t="inlineStr">
        <is>
          <t>Job description snippet is incomplete and cuts off; AI Engineer role does not align with primary target roles (Software Engineer / Full Stack / Backend Developer Intern)</t>
        </is>
      </c>
      <c r="AL180" t="inlineStr">
        <is>
          <t>AI/ML fundamentals; Python; Proprietary trading technology</t>
        </is>
      </c>
    </row>
    <row r="181">
      <c r="A181" t="inlineStr">
        <is>
          <t>PGAGI-261002-180</t>
        </is>
      </c>
      <c r="B181" t="inlineStr">
        <is>
          <t>PGAGI</t>
        </is>
      </c>
      <c r="C181" t="inlineStr">
        <is>
          <t>AI Backend engineering Intern</t>
        </is>
      </c>
      <c r="D181" t="inlineStr">
        <is>
          <t>https://www.adzuna.in/details/5747224186?utm_medium=api&amp;utm_source=5ccdc27f</t>
        </is>
      </c>
      <c r="E181" t="inlineStr">
        <is>
          <t>AI Analyzer</t>
        </is>
      </c>
      <c r="F181" t="inlineStr">
        <is>
          <t>Bangalore, Karnataka</t>
        </is>
      </c>
      <c r="G181" t="inlineStr">
        <is>
          <t>UNKNOWN</t>
        </is>
      </c>
      <c r="I181" t="inlineStr">
        <is>
          <t>UNKNOWN</t>
        </is>
      </c>
      <c r="J181" t="inlineStr">
        <is>
          <t>NOT_MENTIONED</t>
        </is>
      </c>
      <c r="K181" t="inlineStr">
        <is>
          <t>AI; Backend engineering</t>
        </is>
      </c>
      <c r="L181" t="inlineStr">
        <is>
          <t>Autonomous agents; Data analysis</t>
        </is>
      </c>
      <c r="M181" t="inlineStr">
        <is>
          <t>About PGAGI: We're at the forefront of creating advanced AI systems, from fully autonomous agents that provide intelligent customer interaction to data analysis tools that offer insightful business solutions. We are seeking enthusiastic interns who are passionate about AI and ready to tackle real-world problems using the latest technologies. About the Role We are at the forefront of building advanced AI systems — from fully autonomous agents that power intelligent customer interactions, to data…</t>
        </is>
      </c>
      <c r="N181" t="n">
        <v>48</v>
      </c>
      <c r="O181" t="n">
        <v>50</v>
      </c>
      <c r="P181" t="n">
        <v>60</v>
      </c>
      <c r="Q181" t="n">
        <v>60</v>
      </c>
      <c r="R181" t="n">
        <v>30</v>
      </c>
      <c r="S181" t="n">
        <v>20</v>
      </c>
      <c r="T181" t="n">
        <v>50</v>
      </c>
      <c r="U181" t="inlineStr">
        <is>
          <t>SKIP</t>
        </is>
      </c>
      <c r="V181" t="inlineStr">
        <is>
          <t>SKIP</t>
        </is>
      </c>
      <c r="W181" t="inlineStr">
        <is>
          <t>AI Backend engineering; Advanced AI systems development</t>
        </is>
      </c>
      <c r="X181" t="inlineStr">
        <is>
          <t>Amaan_Ahmed_Fullstack_Resume.pdf</t>
        </is>
      </c>
      <c r="Y181" t="inlineStr">
        <is>
          <t>2026-10-02</t>
        </is>
      </c>
      <c r="Z181" t="inlineStr">
        <is>
          <t>Located in Bangalore, which matches candidate's preferred location.; Internship role in backend development aligns generally with candidate profile.</t>
        </is>
      </c>
      <c r="AA181" t="inlineStr">
        <is>
          <t>ELIGIBLE</t>
        </is>
      </c>
      <c r="AB181" t="inlineStr">
        <is>
          <t>Location matches preferred location of Bengaluru.</t>
        </is>
      </c>
      <c r="AC181" t="inlineStr">
        <is>
          <t>UNKNOWN</t>
        </is>
      </c>
      <c r="AD181" t="inlineStr">
        <is>
          <t>Not specified in the job description.</t>
        </is>
      </c>
      <c r="AE181" t="inlineStr">
        <is>
          <t>UNKNOWN</t>
        </is>
      </c>
      <c r="AF181" t="n">
        <v>0</v>
      </c>
      <c r="AG181" t="inlineStr">
        <is>
          <t>No</t>
        </is>
      </c>
      <c r="AH181" t="inlineStr">
        <is>
          <t>NOT_MENTIONED</t>
        </is>
      </c>
      <c r="AI181" t="inlineStr">
        <is>
          <t>No mention of conversion or PPO in the provided JD text.</t>
        </is>
      </c>
      <c r="AK181" t="inlineStr">
        <is>
          <t>Incomplete and cut off job description text; Stipend information is completely missing; No explicit mention of PPO or technical stack requirements</t>
        </is>
      </c>
      <c r="AL181" t="inlineStr">
        <is>
          <t>Backend architecture; AI systems integration; Node.js and API development; Handling autonomous agents and data tools</t>
        </is>
      </c>
    </row>
    <row r="182">
      <c r="A182" t="inlineStr">
        <is>
          <t>GURURO-261002-181</t>
        </is>
      </c>
      <c r="B182" t="inlineStr">
        <is>
          <t>Gururo</t>
        </is>
      </c>
      <c r="C182" t="inlineStr">
        <is>
          <t>AI/ML Engineer - Intern/Fresher/Experienced</t>
        </is>
      </c>
      <c r="D182" t="inlineStr">
        <is>
          <t>https://www.adzuna.in/details/5527658896?utm_medium=api&amp;utm_source=5ccdc27f</t>
        </is>
      </c>
      <c r="E182" t="inlineStr">
        <is>
          <t>AI Analyzer</t>
        </is>
      </c>
      <c r="F182" t="inlineStr">
        <is>
          <t>Vadodara, Gujarat</t>
        </is>
      </c>
      <c r="G182" t="inlineStr">
        <is>
          <t>On-site/Not specified</t>
        </is>
      </c>
      <c r="H182" t="inlineStr">
        <is>
          <t>Based on experience and role</t>
        </is>
      </c>
      <c r="I182" t="inlineStr">
        <is>
          <t>Minimum 3 months</t>
        </is>
      </c>
      <c r="J182" t="inlineStr">
        <is>
          <t>NOT_MENTIONED</t>
        </is>
      </c>
      <c r="K182" t="inlineStr">
        <is>
          <t>AI/ML; Python</t>
        </is>
      </c>
      <c r="M182" t="inlineStr">
        <is>
          <t>Location: Vadodara Type: Full-time / Internship Duration (for interns): Minimum 3 months Stipend/CTC: Based on experience and role About Gururo Gururo is an industry leader in practical, career-transforming education. With a mission to empower professionals and students through real-world skills, we specialize in project management, leadership development, and emerging technologies. Join our fast-paced, mission-driven team and work on AI/ML-powered platforms that impact thousands globally. Who …</t>
        </is>
      </c>
      <c r="N182" t="n">
        <v>24</v>
      </c>
      <c r="O182" t="n">
        <v>20</v>
      </c>
      <c r="P182" t="n">
        <v>20</v>
      </c>
      <c r="Q182" t="n">
        <v>30</v>
      </c>
      <c r="R182" t="n">
        <v>0</v>
      </c>
      <c r="S182" t="n">
        <v>40</v>
      </c>
      <c r="T182" t="n">
        <v>50</v>
      </c>
      <c r="U182" t="inlineStr">
        <is>
          <t>SKIP</t>
        </is>
      </c>
      <c r="V182" t="inlineStr">
        <is>
          <t>SKIP</t>
        </is>
      </c>
      <c r="W182" t="inlineStr">
        <is>
          <t>AI/ML engineering; Machine Learning frameworks</t>
        </is>
      </c>
      <c r="X182" t="inlineStr">
        <is>
          <t>Amaanuddin_Ahmed_Resume.pdf</t>
        </is>
      </c>
      <c r="Y182" t="inlineStr">
        <is>
          <t>2026-10-02</t>
        </is>
      </c>
      <c r="Z182" t="inlineStr">
        <is>
          <t>Open to internships and freshers</t>
        </is>
      </c>
      <c r="AA182" t="inlineStr">
        <is>
          <t>ELIGIBLE</t>
        </is>
      </c>
      <c r="AB182" t="inlineStr">
        <is>
          <t>Open to interns and freshers; No strict degree or graduation year blockades mentioned in the snippet</t>
        </is>
      </c>
      <c r="AC182" t="inlineStr">
        <is>
          <t>UNKNOWN</t>
        </is>
      </c>
      <c r="AD182" t="inlineStr">
        <is>
          <t>Candidate availability dates are not explicitly detailed relative to start date</t>
        </is>
      </c>
      <c r="AE182" t="inlineStr">
        <is>
          <t>UNKNOWN</t>
        </is>
      </c>
      <c r="AF182" t="n">
        <v>0</v>
      </c>
      <c r="AG182" t="inlineStr">
        <is>
          <t>No</t>
        </is>
      </c>
      <c r="AH182" t="inlineStr">
        <is>
          <t>NOT_MENTIONED</t>
        </is>
      </c>
      <c r="AI182" t="inlineStr">
        <is>
          <t>No explicit PPO or conversion mention found in the snippet</t>
        </is>
      </c>
      <c r="AK182" t="inlineStr">
        <is>
          <t>Location is Vadodara, Gujarat, which mismatches candidate preference for Bengaluru; Role is AI/ML Engineer while candidate profile is strictly Full Stack / Software Engineering</t>
        </is>
      </c>
      <c r="AL182" t="inlineStr">
        <is>
          <t>Machine Learning algorithms; AI platform development; Python experience</t>
        </is>
      </c>
    </row>
    <row r="183">
      <c r="A183" t="inlineStr">
        <is>
          <t>ENGINEERING-261002-182</t>
        </is>
      </c>
      <c r="B183" t="inlineStr">
        <is>
          <t>Engineering</t>
        </is>
      </c>
      <c r="C183" t="inlineStr">
        <is>
          <t>Software Engineering Intern (AI-Native)</t>
        </is>
      </c>
      <c r="D183" t="inlineStr">
        <is>
          <t>https://www.adzuna.in/details/5892976691?utm_medium=api&amp;utm_source=5ccdc27f</t>
        </is>
      </c>
      <c r="E183" t="inlineStr">
        <is>
          <t>AI Analyzer</t>
        </is>
      </c>
      <c r="F183" t="inlineStr">
        <is>
          <t>Pune, Maharashtra</t>
        </is>
      </c>
      <c r="G183" t="inlineStr">
        <is>
          <t>UNKNOWN</t>
        </is>
      </c>
      <c r="H183" t="inlineStr">
        <is>
          <t>UNKNOWN</t>
        </is>
      </c>
      <c r="I183" t="inlineStr">
        <is>
          <t>8-12 weeks</t>
        </is>
      </c>
      <c r="J183" t="inlineStr">
        <is>
          <t>POSSIBLE</t>
        </is>
      </c>
      <c r="K183" t="inlineStr">
        <is>
          <t>AI Agent Delivery; Full Stack Delivery</t>
        </is>
      </c>
      <c r="M183" t="inlineStr">
        <is>
          <t>SOFTWARE ENGINEERING INTERN (AI Agent Delivery) Duration: 8–12 weeks (extendable based on performance) Joining: Immediate / As per campus schedule We are building agents on askyara.ai a platform where new AI agents are conceived, built, and taken to market. To scale from an idea to 100 shipped agents in 12 months, we need someone who can hold the whole delivery machine together without slowing it down. What you need to achieve Facilitate the shipping of 100 AI agents on the askyara.ai platform…</t>
        </is>
      </c>
      <c r="N183" t="n">
        <v>62</v>
      </c>
      <c r="O183" t="n">
        <v>60</v>
      </c>
      <c r="P183" t="n">
        <v>70</v>
      </c>
      <c r="Q183" t="n">
        <v>65</v>
      </c>
      <c r="R183" t="n">
        <v>60</v>
      </c>
      <c r="S183" t="n">
        <v>50</v>
      </c>
      <c r="T183" t="n">
        <v>60</v>
      </c>
      <c r="U183" t="inlineStr">
        <is>
          <t>STRETCH</t>
        </is>
      </c>
      <c r="V183" t="inlineStr">
        <is>
          <t>STRETCH</t>
        </is>
      </c>
      <c r="W183" t="inlineStr">
        <is>
          <t>AI Agent Development</t>
        </is>
      </c>
      <c r="X183" t="inlineStr">
        <is>
          <t>Amaanuddin_Ahmed_Resume.pdf</t>
        </is>
      </c>
      <c r="Y183" t="inlineStr">
        <is>
          <t>2026-10-02</t>
        </is>
      </c>
      <c r="Z183" t="inlineStr">
        <is>
          <t>Good internship opportunity in AI agent delivery platform askyara.ai; Performance-based extension available</t>
        </is>
      </c>
      <c r="AA183" t="inlineStr">
        <is>
          <t>ELIGIBLE</t>
        </is>
      </c>
      <c r="AB183" t="inlineStr">
        <is>
          <t>No explicit degree or graduation year blockers mentioned in the short snippet</t>
        </is>
      </c>
      <c r="AC183" t="inlineStr">
        <is>
          <t>UNKNOWN</t>
        </is>
      </c>
      <c r="AD183" t="inlineStr">
        <is>
          <t>Immediate / As per campus schedule mentioned, but exact candidate availability match is unverified.</t>
        </is>
      </c>
      <c r="AE183" t="inlineStr">
        <is>
          <t>UNKNOWN</t>
        </is>
      </c>
      <c r="AF183" t="n">
        <v>0</v>
      </c>
      <c r="AG183" t="inlineStr">
        <is>
          <t>No</t>
        </is>
      </c>
      <c r="AH183" t="inlineStr">
        <is>
          <t>POSSIBLE</t>
        </is>
      </c>
      <c r="AI183" t="inlineStr">
        <is>
          <t>Duration is extendable based on performance</t>
        </is>
      </c>
      <c r="AK183" t="inlineStr">
        <is>
          <t>Location is Pune, Maharashtra while candidate prefers Bengaluru</t>
        </is>
      </c>
      <c r="AL183" t="inlineStr">
        <is>
          <t>AI Agent Architecture; Full Stack Delivery Workflow; Fast-paced shipping experience</t>
        </is>
      </c>
    </row>
    <row r="184">
      <c r="A184" t="inlineStr">
        <is>
          <t>HOME-DEPOT-261002-183</t>
        </is>
      </c>
      <c r="B184" t="inlineStr">
        <is>
          <t>Home Depot</t>
        </is>
      </c>
      <c r="C184" t="inlineStr">
        <is>
          <t>2027 Summer Internship - Software Engineering</t>
        </is>
      </c>
      <c r="D184" t="inlineStr">
        <is>
          <t>https://www.adzuna.com/land/ad/5863937256?se=4MjHS1q-8RGg86qnhZQLEg&amp;utm_medium=api&amp;utm_source=5ccdc27f&amp;v=0A0992D0F0F1A80A6FF601B189F98E6F6C5FEB8F</t>
        </is>
      </c>
      <c r="E184" t="inlineStr">
        <is>
          <t>AI Analyzer</t>
        </is>
      </c>
      <c r="F184" t="inlineStr">
        <is>
          <t>Atlanta, Fulton County</t>
        </is>
      </c>
      <c r="G184" t="inlineStr">
        <is>
          <t>Unknown</t>
        </is>
      </c>
      <c r="H184" t="inlineStr">
        <is>
          <t>Not specified</t>
        </is>
      </c>
      <c r="I184" t="inlineStr">
        <is>
          <t>11 weeks (May 17 - July 30, 2027)</t>
        </is>
      </c>
      <c r="J184" t="inlineStr">
        <is>
          <t>Not Mentioned</t>
        </is>
      </c>
      <c r="M184" t="inlineStr">
        <is>
          <t>Internship Overview: The Home Depot's Summer Internship program offers college students an opportunity to develop leadership skills and gain hands on experience in a corporate environment. During an 11-week period from May 17 - July 30, 2027, interns will be assigned to a functional team such as Supply Chain, Marketing, e-commerce, Technology, Finance, Operations, Merchandising, Pro, Home Services, Human Resources, etc. Interns will learn more about our retail business and our corporate offices…</t>
        </is>
      </c>
      <c r="N184" t="n">
        <v>48</v>
      </c>
      <c r="O184" t="n">
        <v>50</v>
      </c>
      <c r="P184" t="n">
        <v>50</v>
      </c>
      <c r="Q184" t="n">
        <v>70</v>
      </c>
      <c r="R184" t="n">
        <v>40</v>
      </c>
      <c r="S184" t="n">
        <v>0</v>
      </c>
      <c r="T184" t="n">
        <v>60</v>
      </c>
      <c r="U184" t="inlineStr">
        <is>
          <t>SKIP</t>
        </is>
      </c>
      <c r="V184" t="inlineStr">
        <is>
          <t>SKIP</t>
        </is>
      </c>
      <c r="X184" t="inlineStr">
        <is>
          <t>Amaanuddin_Ahmed_Resume.pdf</t>
        </is>
      </c>
      <c r="Y184" t="inlineStr">
        <is>
          <t>2026-10-02</t>
        </is>
      </c>
      <c r="Z184" t="inlineStr">
        <is>
          <t>Prestigious large enterprise brand (Home Depot)</t>
        </is>
      </c>
      <c r="AA184" t="inlineStr">
        <is>
          <t>No</t>
        </is>
      </c>
      <c r="AB184" t="inlineStr">
        <is>
          <t>Location mismatch: Job is located in Atlanta, Fulton County, whereas candidate prefers Bengaluru, India (or remote).</t>
        </is>
      </c>
      <c r="AC184" t="inlineStr">
        <is>
          <t>Yes</t>
        </is>
      </c>
      <c r="AD184" t="inlineStr">
        <is>
          <t>Matches the 2027 MCA graduation timeline and summer window.</t>
        </is>
      </c>
      <c r="AE184" t="inlineStr">
        <is>
          <t>UNKNOWN</t>
        </is>
      </c>
      <c r="AF184" t="n">
        <v>0</v>
      </c>
      <c r="AG184" t="inlineStr">
        <is>
          <t>No</t>
        </is>
      </c>
      <c r="AH184" t="inlineStr">
        <is>
          <t>Not Mentioned</t>
        </is>
      </c>
      <c r="AI184" t="inlineStr">
        <is>
          <t>The job description mentions a summer internship program overview but does not explicitly guarantee or mention a conversion to a full-time PPO.</t>
        </is>
      </c>
      <c r="AJ184" t="inlineStr">
        <is>
          <t>Location mismatch (Atlanta, USA vs Bengaluru, India preference)</t>
        </is>
      </c>
      <c r="AK184" t="inlineStr">
        <is>
          <t>Stipend is completely unstated; Exact technical requirements are sparse in the brief description</t>
        </is>
      </c>
      <c r="AL184" t="inlineStr">
        <is>
          <t>Software Engineering fundamentals; Problem solving and data structures; Past internship experience and project architecture</t>
        </is>
      </c>
    </row>
    <row r="185">
      <c r="A185" t="inlineStr">
        <is>
          <t>CONSTELLATIO-261002-184</t>
        </is>
      </c>
      <c r="B185" t="inlineStr">
        <is>
          <t>Constellation</t>
        </is>
      </c>
      <c r="C185" t="inlineStr">
        <is>
          <t>2027 Summer Information Technology Software Development Intern</t>
        </is>
      </c>
      <c r="D185" t="inlineStr">
        <is>
          <t>https://www.adzuna.com/land/ad/5882512556?se=vj5QTFq-8RGVe9UZ9ts8hQ&amp;utm_medium=api&amp;utm_source=5ccdc27f&amp;v=7BED702FB0901D1548DC2FC64B401AE0BB703E2A</t>
        </is>
      </c>
      <c r="E185" t="inlineStr">
        <is>
          <t>AI Analyzer</t>
        </is>
      </c>
      <c r="F185" t="inlineStr">
        <is>
          <t>Druid, Baltimore</t>
        </is>
      </c>
      <c r="G185" t="inlineStr">
        <is>
          <t>Remote</t>
        </is>
      </c>
      <c r="H185" t="inlineStr">
        <is>
          <t>Not specified</t>
        </is>
      </c>
      <c r="I185" t="inlineStr">
        <is>
          <t>Summer 2027</t>
        </is>
      </c>
      <c r="J185" t="inlineStr">
        <is>
          <t>NOT_MENTIONED</t>
        </is>
      </c>
      <c r="M185" t="inlineStr">
        <is>
          <t>WHO WE ARE As the largest private-sector power producer in the world and the nation's largest producer of clean and reliable energy, Constellation is focused on our purpose: lighting the way to a brilliant tomorrow for all. We have been the leader in clean energy production for more than a decade, and we are cultivating a workplace where our employees can grow, thrive, and contribute. Now integrated with Calpine, our portfolio includes 55 gigawatts of capacity from nuclear, natural gas, geother…</t>
        </is>
      </c>
      <c r="N185" t="n">
        <v>12</v>
      </c>
      <c r="O185" t="n">
        <v>0</v>
      </c>
      <c r="P185" t="n">
        <v>0</v>
      </c>
      <c r="Q185" t="n">
        <v>50</v>
      </c>
      <c r="R185" t="n">
        <v>0</v>
      </c>
      <c r="S185" t="n">
        <v>0</v>
      </c>
      <c r="T185" t="n">
        <v>50</v>
      </c>
      <c r="U185" t="inlineStr">
        <is>
          <t>SKIP</t>
        </is>
      </c>
      <c r="V185" t="inlineStr">
        <is>
          <t>SKIP</t>
        </is>
      </c>
      <c r="X185" t="inlineStr">
        <is>
          <t>Amaanuddin_Ahmed_Resume.pdf</t>
        </is>
      </c>
      <c r="Y185" t="inlineStr">
        <is>
          <t>2026-10-02</t>
        </is>
      </c>
      <c r="AA185" t="inlineStr">
        <is>
          <t>BLOCKED</t>
        </is>
      </c>
      <c r="AB185" t="inlineStr">
        <is>
          <t>Job location/work authorization requirement appears restricted to US (Druid, Baltimore / US energy company context), whereas candidate is based in Bengaluru, India and requires remote/India-based opportunities.</t>
        </is>
      </c>
      <c r="AC185" t="inlineStr">
        <is>
          <t>UNKNOWN</t>
        </is>
      </c>
      <c r="AD185" t="inlineStr">
        <is>
          <t>Candidate graduation is 2027, but exact summer internship term availability policies regarding international remote work are unspecified.</t>
        </is>
      </c>
      <c r="AE185" t="inlineStr">
        <is>
          <t>UNKNOWN</t>
        </is>
      </c>
      <c r="AF185" t="n">
        <v>0</v>
      </c>
      <c r="AG185" t="inlineStr">
        <is>
          <t>No</t>
        </is>
      </c>
      <c r="AH185" t="inlineStr">
        <is>
          <t>NOT_MENTIONED</t>
        </is>
      </c>
      <c r="AI185" t="inlineStr">
        <is>
          <t>No mention of conversion to full-time employment or PPO in the truncated snippet.</t>
        </is>
      </c>
      <c r="AJ185" t="inlineStr">
        <is>
          <t>Location/Geography restriction (US-based role vs candidate in Bengaluru, India)</t>
        </is>
      </c>
      <c r="AK185" t="inlineStr">
        <is>
          <t>Incomplete job description snippet provided; Geographical mismatch for international applicant</t>
        </is>
      </c>
    </row>
    <row r="186">
      <c r="A186" t="inlineStr">
        <is>
          <t>SPRINGER-CAP-261002-185</t>
        </is>
      </c>
      <c r="B186" t="inlineStr">
        <is>
          <t>Springer Capital</t>
        </is>
      </c>
      <c r="C186" t="inlineStr">
        <is>
          <t>Backend Developer Intern</t>
        </is>
      </c>
      <c r="D186" t="inlineStr">
        <is>
          <t>https://www.adzuna.com/details/5639252991?utm_medium=api&amp;utm_source=5ccdc27f</t>
        </is>
      </c>
      <c r="E186" t="inlineStr">
        <is>
          <t>AI Analyzer</t>
        </is>
      </c>
      <c r="F186" t="inlineStr">
        <is>
          <t>Chicago, Cook County</t>
        </is>
      </c>
      <c r="G186" t="inlineStr">
        <is>
          <t>Remote</t>
        </is>
      </c>
      <c r="I186" t="inlineStr">
        <is>
          <t>3 months</t>
        </is>
      </c>
      <c r="J186" t="inlineStr">
        <is>
          <t>NOT_MENTIONED</t>
        </is>
      </c>
      <c r="K186" t="inlineStr">
        <is>
          <t>Backend development; APIs; SQL; NoSQL</t>
        </is>
      </c>
      <c r="M186" t="inlineStr">
        <is>
          <t>About the Role We are looking for enthusiastic Backend Developer Interns to join our team remotely for a 3-month internship . This is an excellent opportunity to gain hands-on experience in backend development, work on real projects, and expand your technical skills. Responsibilities Assist in developing and maintaining backend services and APIs. Work with databases (SQL/NoSQL) for data storage and retrieval. Collaborate with frontend developers to integrate user-facing elements with server-sid…</t>
        </is>
      </c>
      <c r="N186" t="n">
        <v>71</v>
      </c>
      <c r="O186" t="n">
        <v>90</v>
      </c>
      <c r="P186" t="n">
        <v>85</v>
      </c>
      <c r="Q186" t="n">
        <v>95</v>
      </c>
      <c r="R186" t="n">
        <v>30</v>
      </c>
      <c r="S186" t="n">
        <v>20</v>
      </c>
      <c r="T186" t="n">
        <v>60</v>
      </c>
      <c r="U186" t="inlineStr">
        <is>
          <t>CONSIDER</t>
        </is>
      </c>
      <c r="V186" t="inlineStr">
        <is>
          <t>CONSIDER</t>
        </is>
      </c>
      <c r="X186" t="inlineStr">
        <is>
          <t>standard_fullstack_resume</t>
        </is>
      </c>
      <c r="Y186" t="inlineStr">
        <is>
          <t>2026-10-02</t>
        </is>
      </c>
      <c r="Z186" t="inlineStr">
        <is>
          <t>The role is a direct match for a Backend Developer Intern position; Candidate has strong demonstrated experience in Node.js, Express, MySQL, and MongoDB which directly satisfies the core backend and database requirements</t>
        </is>
      </c>
      <c r="AA186" t="inlineStr">
        <is>
          <t>ELIGIBLE</t>
        </is>
      </c>
      <c r="AB186" t="inlineStr">
        <is>
          <t>Role is a Backend Developer Intern matching primary target roles; Work mode is remote, which fits candidate preferences</t>
        </is>
      </c>
      <c r="AC186" t="inlineStr">
        <is>
          <t>UNKNOWN</t>
        </is>
      </c>
      <c r="AD186" t="inlineStr">
        <is>
          <t>Exact availability dates are not specified in the candidate profile besides being an MCA student graduating in 2027.</t>
        </is>
      </c>
      <c r="AE186" t="inlineStr">
        <is>
          <t>UNKNOWN</t>
        </is>
      </c>
      <c r="AF186" t="n">
        <v>0</v>
      </c>
      <c r="AG186" t="inlineStr">
        <is>
          <t>No</t>
        </is>
      </c>
      <c r="AH186" t="inlineStr">
        <is>
          <t>NOT_MENTIONED</t>
        </is>
      </c>
      <c r="AI186" t="inlineStr">
        <is>
          <t>The job description mentions gaining hands-on experience and working on real projects, but does not explicitly state conversion to a full-time role (PPO).</t>
        </is>
      </c>
      <c r="AK186" t="inlineStr">
        <is>
          <t>Stipend is completely unspecified (unknown); PPO is not mentioned</t>
        </is>
      </c>
      <c r="AL186" t="inlineStr">
        <is>
          <t>Backend service architecture and API design; Database design and querying with SQL and NoSQL; Experience with Node.js and Express in production; Collaboration workflows with frontend developers</t>
        </is>
      </c>
    </row>
    <row r="187">
      <c r="A187" t="inlineStr">
        <is>
          <t>MIRAKLLABS-261002-186</t>
        </is>
      </c>
      <c r="B187" t="inlineStr">
        <is>
          <t>mirakllabs</t>
        </is>
      </c>
      <c r="C187" t="inlineStr">
        <is>
          <t>Software Engineer Intern</t>
        </is>
      </c>
      <c r="D187" t="inlineStr">
        <is>
          <t>https://www.arbeitnow.fr/jobs/companies/mirakllabs/software-engineer-intern-paris-183656</t>
        </is>
      </c>
      <c r="E187" t="inlineStr">
        <is>
          <t>AI Analyzer</t>
        </is>
      </c>
      <c r="F187" t="inlineStr">
        <is>
          <t>Paris</t>
        </is>
      </c>
      <c r="G187" t="inlineStr">
        <is>
          <t>On-site</t>
        </is>
      </c>
      <c r="H187" t="inlineStr">
        <is>
          <t>€1,200 – €1,400 per month</t>
        </is>
      </c>
      <c r="I187" t="inlineStr">
        <is>
          <t>6 months</t>
        </is>
      </c>
      <c r="J187" t="inlineStr">
        <is>
          <t>none mentioned</t>
        </is>
      </c>
      <c r="K187" t="inlineStr">
        <is>
          <t>Master's degree; Frontend development; Object-oriented programming; React; Angular; JavaScript; TypeScript; Java; French</t>
        </is>
      </c>
      <c r="L187" t="inlineStr">
        <is>
          <t>Spring Boot; Kafka; ElasticSearch; PostgreSQL; CI/CD; Docker</t>
        </is>
      </c>
      <c r="M187" t="inlineStr">
        <is>
          <t>&lt;div class="content-intro"&gt;&lt;p&gt;&lt;strong&gt;About Mirakl:&lt;/strong&gt;&lt;/p&gt; &lt;p&gt;Founded in 2012, Mirakl has been at the forefront of marketplace innovation, empowering every business to compete in the platform economy.&lt;br&gt;&lt;br&gt;Today, Mirakl’s operating system combines an enterprise marketplace solution (Mirakl Platform) that enables retailers and B2B organizations to launch, scale, and operate marketplaces and dropship, AI-powered multichannel selling (Mirakl Connect), retail media (Mirakl Ads) and an agentic commerce infrastructure (Mirakl Nexus).&lt;br&gt;&lt;br&gt;With dual headquarters in Boston and Paris, Mirakl helps a global ecosystem of 450+ marketplaces (B2C and B2B) and a network of over 100k third-party marketplace sellers. Brands like Macy’s, Decathlon, Carrefour, Asos, and Airbus Helicopters use Mirakl to grow their businesses in new and remarkable ways.&lt;/p&gt; &lt;p&gt;For more information: &lt;a href="http://www.mirakl.com"&gt;www.mirakl.com&lt;/a&gt;.&lt;/p&gt; &lt;p&gt;&lt;strong&gt;Mirakl in Numbers:&lt;/strong&gt;&lt;/p&gt; &lt;ul&gt; &lt;li&gt;🗓️ Founded in 2012 | Member of French Tech Next40&lt;/li&gt; &lt;li&gt;👥 750+ employees in 9 offices worldwide: Paris, Barcelona, Bordeaux, Boston, London, Munich, New York, Sydney, Tokyo&lt;/li&gt; &lt;li&gt;🇫🇷 350+ Mirakl Tech teams members mainly based in France&lt;/li&gt; &lt;li&gt;⚙️ 5 Saas Solutions&lt;/li&gt; &lt;/ul&gt; &lt;p&gt;&lt;strong&gt;Our Values:&lt;/strong&gt;&lt;/p&gt; &lt;p&gt;Working at Mirakl means accelerating your career alongside ambitious, passionate, and supportive colleagues. We're proud of the diversity of backgrounds, perspectives, and experiences that make our teams unique.&lt;/p&gt; &lt;p&gt;Our 5 values guide how we collaborate:&lt;/p&gt; &lt;ul&gt; &lt;li&gt;💡&lt;strong&gt; Work Hard Together:&lt;/strong&gt; Teamwork and collaboration are the foundation of our success&lt;/li&gt; &lt;li&gt;🏆 &lt;strong&gt;Get Things Done: &lt;/strong&gt;&amp;nbsp;We prioritize action and efficiency for impactful results&lt;/li&gt; &lt;li&gt;🚀 &lt;strong&gt;Go Above &amp;amp; Beyond:&lt;/strong&gt;&amp;nbsp; We tackle challenges proactively and always aim for excellence&lt;/li&gt; &lt;li&gt;🎓 &lt;strong&gt;Succeed Through Expertise:&lt;/strong&gt; Knowledge sharing and continuous learning are core to our culture&lt;/li&gt; &lt;li&gt;🤝 &lt;strong&gt;Satisfy &amp;amp; Empower Clients:&lt;/strong&gt; We're committed to our clients' success&lt;/li&gt; &lt;/ul&gt;&lt;/div&gt;&lt;h3&gt;&lt;strong&gt;1. The Team You'll Join&lt;/strong&gt;&lt;/h3&gt; &lt;p&gt;You'll be part of our Mirakl Labs Financial Services squad, based in Paris. The team is structured as a cross-functional Squad composed of a Senior Engineering Manager, a Product Manager, Software Engineers&amp;nbsp; and a QA engineer. You'll be mentored by &lt;strong&gt;Wael Osmani, Software Engineer&lt;/strong&gt;. &lt;span class="font-semibold text-foreground"&gt;You’ll join a team that builds and ships the core product features powering some of the world’s most ambitious marketplace platforms, with a particular focus on financial services capabilities.&lt;/span&gt;&lt;/p&gt; &lt;h3&gt;&lt;br&gt;&lt;strong&gt;2. Your Impact&lt;/strong&gt;&lt;/h3&gt; &lt;ul&gt; &lt;li class="break-words text-foreground text-base leading-relaxed"&gt;Contribute to the development and evolution of a production application, primarily on the frontend — from UI implementation to user experience improvements&lt;/li&gt; &lt;li class="break-words text-foreground text-base leading-relaxed"&gt;Support backend work by participating in API design and development, collaborating closely with the engineering team&lt;/li&gt; &lt;li class="break-words text-foreground text-base leading-relaxed"&gt;Work hand-in-hand with UX/UI designers to deliver features that are both technically solid and user-centric&lt;/li&gt; &lt;li class="break-words text-foreground text-base leading-relaxed"&gt;Take part in agile rituals — stand-ups, sprint reviews, and retrospectives — and contribute actively to the team's roadmap&lt;/li&gt; &lt;li class="break-words text-foreground text-base leading-relaxed"&gt;Monitor and take ownership of your contributions in production, following a &lt;em&gt;you build it, you run it&lt;/em&gt; mindset&lt;/li&gt; &lt;/ul&gt; &lt;h3&gt;&lt;strong&gt;&lt;br&gt;3. What You'll Bring to the Role&lt;/strong&gt;&lt;/h3&gt; &lt;div class="whitespace-pre-wrap break-words font-normal first:pt-0 last:pb-0 py-1 @sm:pt-2 @sm:pb-[10px] @sm:leading-relaxed text-base leading-relaxed text-foreground"&gt;&lt;strong class="font-semibold text-foreground"&gt;Experience:&lt;/strong&gt;&lt;/div&gt; &lt;ul class="pb-2 flex flex-col gap-1 list-disc pl-6 text-foreground text-base leading-relaxed"&gt; &lt;li class="break-words text-foreground text-base leading-relaxed"&gt;Currently pursuing a Master's degree (M1 or M2) in software engineering, computer science, or a related field, and looking for a 6-month internship&lt;/li&gt; &lt;li class="break-words text-foreground text-base leading-relaxed"&gt;First hands-on development experience through an internship, academic project, apprenticeship, or personal project&lt;/li&gt; &lt;li class="break-words text-foreground text-base leading-relaxed"&gt;Solid understanding of frontend development and object-oriented programming principles&lt;/li&gt; &lt;/ul&gt; &lt;div class="whitespace-pre-wrap break-words font-normal first:pt-0 last:pb-0 py-1 @sm:pt-2 @sm:pb-[10px] @sm:leading-relaxed text-base leading-relaxed text-foreground"&gt;&lt;strong class="font-semibold text-foreground"&gt;Skills:&lt;/strong&gt;&lt;/div&gt; &lt;ul clas</t>
        </is>
      </c>
      <c r="N187" t="n">
        <v>44</v>
      </c>
      <c r="O187" t="n">
        <v>50</v>
      </c>
      <c r="P187" t="n">
        <v>40</v>
      </c>
      <c r="Q187" t="n">
        <v>60</v>
      </c>
      <c r="R187" t="n">
        <v>0</v>
      </c>
      <c r="S187" t="n">
        <v>50</v>
      </c>
      <c r="T187" t="n">
        <v>70</v>
      </c>
      <c r="U187" t="inlineStr">
        <is>
          <t>SKIP</t>
        </is>
      </c>
      <c r="V187" t="inlineStr">
        <is>
          <t>SKIP</t>
        </is>
      </c>
      <c r="W187" t="inlineStr">
        <is>
          <t>French (fluent); Java (demonstrated); TypeScript; React (demonstrated)</t>
        </is>
      </c>
      <c r="X187" t="inlineStr">
        <is>
          <t>Amaanuddin_Ahmed_Resume.pdf</t>
        </is>
      </c>
      <c r="Y187" t="inlineStr">
        <is>
          <t>2026-10-02</t>
        </is>
      </c>
      <c r="Z187" t="inlineStr">
        <is>
          <t>Good technical learning opportunity in a well-known company squad.</t>
        </is>
      </c>
      <c r="AA187" t="inlineStr">
        <is>
          <t>not eligible</t>
        </is>
      </c>
      <c r="AB187" t="inlineStr">
        <is>
          <t>Location mismatch: Job is based in Paris, France while candidate prefers Bengaluru, India.; Language blocker: Role requires fluent French, which is not present in the candidate profile.</t>
        </is>
      </c>
      <c r="AC187" t="inlineStr">
        <is>
          <t>unknown</t>
        </is>
      </c>
      <c r="AD187" t="inlineStr">
        <is>
          <t>Candidate availability dates are not explicitly detailed relative to the specific start window required.</t>
        </is>
      </c>
      <c r="AE187" t="inlineStr">
        <is>
          <t>known</t>
        </is>
      </c>
      <c r="AF187" t="n">
        <v>108000</v>
      </c>
      <c r="AG187" t="inlineStr">
        <is>
          <t>No</t>
        </is>
      </c>
      <c r="AH187" t="inlineStr">
        <is>
          <t>none mentioned</t>
        </is>
      </c>
      <c r="AI187" t="inlineStr">
        <is>
          <t>No explicit mention of permanent conversion or PPO in the job description.</t>
        </is>
      </c>
      <c r="AJ187" t="inlineStr">
        <is>
          <t>Location in Paris, France; Fluent French language requirement</t>
        </is>
      </c>
      <c r="AK187" t="inlineStr">
        <is>
          <t>Requires relocation to Paris; Requires fluent French</t>
        </is>
      </c>
      <c r="AL187" t="inlineStr">
        <is>
          <t>Frontend development principles with Angular/React; Java and Spring Boot fundamentals; API design and development; Production monitoring and debugging</t>
        </is>
      </c>
    </row>
    <row r="188">
      <c r="A188" t="inlineStr">
        <is>
          <t>MIRAKL---LAB-261002-187</t>
        </is>
      </c>
      <c r="B188" t="inlineStr">
        <is>
          <t>Mirakl - Labs</t>
        </is>
      </c>
      <c r="C188" t="inlineStr">
        <is>
          <t>Software Engineer Intern</t>
        </is>
      </c>
      <c r="D188" t="inlineStr">
        <is>
          <t>https://www.arbeitnow.fr/jobs/companies/mirakl-labs/software-engineer-intern-bordeaux-188781</t>
        </is>
      </c>
      <c r="E188" t="inlineStr">
        <is>
          <t>AI Analyzer</t>
        </is>
      </c>
      <c r="F188" t="inlineStr">
        <is>
          <t>Bordeaux, France</t>
        </is>
      </c>
      <c r="G188" t="inlineStr">
        <is>
          <t>On-site / Hybrid</t>
        </is>
      </c>
      <c r="H188" t="inlineStr">
        <is>
          <t>€1,200 – €1,400 per month</t>
        </is>
      </c>
      <c r="I188" t="inlineStr">
        <is>
          <t>6 months</t>
        </is>
      </c>
      <c r="J188" t="inlineStr">
        <is>
          <t>none</t>
        </is>
      </c>
      <c r="K188" t="inlineStr">
        <is>
          <t>Java; Spring Boot; ReactJS; Kafka; ElasticSearch; PostgreSQL; CI/CD; Git; Docker</t>
        </is>
      </c>
      <c r="L188" t="inlineStr">
        <is>
          <t>LLMs; AI agents; Testing best practices</t>
        </is>
      </c>
      <c r="M188" t="inlineStr">
        <is>
          <t>About Mirakl: Founded in 2012, Mirakl has been at the forefront of marketplace innovation, empowering every business to compete in the platform economy. Today, Mirakl's operating system combines an enterprise marketplace solution (Mirakl Platform) that enables retailers and B2B organizations to launch, scale, and operate marketplaces and dropship, AI-powered multichannel selling (Mirakl Connect), retail media (Mirakl Ads) and an agentic commerce infrastructure (Mirakl Nexus). With dual headquarters in Boston and Paris, Mirakl helps a global ecosystem of 450+ marketplaces (B2C and B2B) and a network of over 100k third-party marketplace sellers. Brands like Macy's, Decathlon, Carrefour, Asos, and Airbus Helicopters use Mirakl to grow their businesses in new and remarkable ways. For more information: www.mirakl.com . Mirakl in Numbers: 🗓️ Founded in 2012 | Member of French Tech Next40 👥 750+ employees in 9 offices worldwide: Paris, Barcelona, Bordeaux, Boston, London, Munich, New York, Sydney, Tokyo 🇫🇷 350+ Mirakl Tech teams members mainly based in France ⚙️ 5 Saas Solutions Our Values: Working at Mirakl means accelerating your career alongside ambitious, passionate, and supportive colleagues. We're proud of the diversity of backgrounds, perspectives, and experiences that make our teams unique. Our 5 values guide how we collaborate: 💡 Work Hard Together: Teamwork and collaboration are the foundation of our success 🏆 Get Things Done: We prioritize action and efficiency for impactful results 🚀 Go Above &amp; Beyond: We tackle challenges proactively and always aim for excellence 🎓 Succeed Through Expertise: Knowledge sharing and continuous learning are core to our culture 🤝 Satisfy &amp; Empower Clients: We're committed to our clients' success 1. The Team You'll Join You'll join one of the Mirakl Labs Ads teams for a six-month internship starting in January or February 2027 , based in Paris or Bordeaux . You'll be part of a cross-functional Squad made up of a Senior Engineering Manager, a Product Manager, Software Engineers, and a QA Engineer. 2. Your Impact Contribute to the development and enhancement of an AI agent that autonomously generates and executes test scenarios, covering new feature validation, regression testing, and exploratory testing. Help design, write, and run test cases to evaluate the agent's performance. Explore different technical approaches and contribute to benchmarking their results. Work under the guidance of experienced engineers and QA team members Contribute to the project using existing programming skills 3. What You'll Bring to the Role Experience: Currently pursuing a degree in software engineering, computer science, or a related field (engineering school, university, or career change), and looking for a 6-month internship First hands-on development experience through an internship, academic project, apprenticeship, or personal project Good understanding of a programming language Proficient in working with LLMs and developing skills and/or agents Appreciation for software quality best practices: testing, clean code, design patterns Strong team player with a genuine enthusiasm for knowledge sharing and problem-solving 4. Tech Stack Back-end: Java 21, Spring Boot Front-end: ReactJS Data &amp; Messaging: Kafka, ElasticSearch, PostgreSQL Tooling &amp; Practices: CI/CD, Git, Docker, Monitoring 5. Languages French: Fluent English: Professional proficiency (written and spoken) Compensation, Perks &amp; Benefits Pay Range: €1,200 – €1,400 per month Our Hiring Process We warmly encourage you to apply to any of our roles, even if you think you're not an exact match. Please click the "Apply" button to submit your application — this helps us make the best possible assessment and get back to you as quickly as possible. Manual screening of your CV by a recruiter , then an AI-powered screening conversation (10 min) with Emma , Mirakl's AI Talent Ambassador, to explore your background and motivation for the role. You will need to complete this step within 3 days, otherwise we won't be able to move forward with your application. Recruiter interview (30 min) — conversation about your background, motivations, and an introduction to Mirakl Hiring Manager interview (45 min) — technical discussion STAR interview (1h) — exchange with one or two team members exploring Mirakl's values and culture We welcome collaborators with their diverse perspectives and experiences to power us forward. These often far exceed conventional job requirements and help us create a culture of continuous learning. If you're ready to join a global leader powering digital transformation for 450+ of the world's most innovative retailers and B2B organizations. As part of our recruitment process, Mirakl processes your personal data to review and manage your application and, where appropriate, to consider your profile for future opportunities. You can exercise your data protection rights at any time, and as further detailed in our policies. For more inf</t>
        </is>
      </c>
      <c r="N188" t="n">
        <v>46</v>
      </c>
      <c r="O188" t="n">
        <v>40</v>
      </c>
      <c r="P188" t="n">
        <v>60</v>
      </c>
      <c r="Q188" t="n">
        <v>50</v>
      </c>
      <c r="R188" t="n">
        <v>0</v>
      </c>
      <c r="S188" t="n">
        <v>70</v>
      </c>
      <c r="T188" t="n">
        <v>80</v>
      </c>
      <c r="U188" t="inlineStr">
        <is>
          <t>SKIP</t>
        </is>
      </c>
      <c r="V188" t="inlineStr">
        <is>
          <t>SKIP</t>
        </is>
      </c>
      <c r="W188" t="inlineStr">
        <is>
          <t>Java; Spring Boot; Kafka; ElasticSearch; PostgreSQL; LLM and AI agent development</t>
        </is>
      </c>
      <c r="X188" t="inlineStr">
        <is>
          <t>Default Full Stack / MERN Resume</t>
        </is>
      </c>
      <c r="Y188" t="inlineStr">
        <is>
          <t>2026-10-02</t>
        </is>
      </c>
      <c r="Z188" t="inlineStr">
        <is>
          <t>Great brand and exciting AI agent test automation project.; Six-month structured internship program.</t>
        </is>
      </c>
      <c r="AA188" t="inlineStr">
        <is>
          <t>eligible</t>
        </is>
      </c>
      <c r="AB188" t="inlineStr">
        <is>
          <t>Candidate is pursuing a relevant MCA degree matching the academic requirements.; Candidate has hands-on full-stack development experience from multiple internships.</t>
        </is>
      </c>
      <c r="AC188" t="inlineStr">
        <is>
          <t>unknown</t>
        </is>
      </c>
      <c r="AD188" t="inlineStr">
        <is>
          <t>Candidate availability for relocating to France or exact start date in early 2027 is unconfirmed.</t>
        </is>
      </c>
      <c r="AE188" t="inlineStr">
        <is>
          <t>known</t>
        </is>
      </c>
      <c r="AF188" t="n">
        <v>108000</v>
      </c>
      <c r="AG188" t="inlineStr">
        <is>
          <t>No</t>
        </is>
      </c>
      <c r="AH188" t="inlineStr">
        <is>
          <t>none</t>
        </is>
      </c>
      <c r="AI188" t="inlineStr">
        <is>
          <t>No explicit mention of a permanent retention offer (PPO) upon internship completion in the job description.</t>
        </is>
      </c>
      <c r="AJ188" t="inlineStr">
        <is>
          <t>Location requirement: Based in Paris or Bordeaux, France (Candidate is in Bengaluru, India and preferred location is Bengaluru/Remote).</t>
        </is>
      </c>
      <c r="AK188" t="inlineStr">
        <is>
          <t>Geographic relocation required to France.; French language proficiency required (Fluent French, though not strictly marked as an absolute blocker in text, it is listed under Languages).</t>
        </is>
      </c>
      <c r="AL188" t="inlineStr">
        <is>
          <t>Experience with React and modern frontend state management; Understanding of LLMs and AI agent workflows; Testing frameworks, clean code, and design patterns</t>
        </is>
      </c>
    </row>
    <row r="189">
      <c r="A189" t="inlineStr">
        <is>
          <t>LAELAPS-261002-188</t>
        </is>
      </c>
      <c r="B189" t="inlineStr">
        <is>
          <t>Laelaps</t>
        </is>
      </c>
      <c r="C189" t="inlineStr">
        <is>
          <t>Software Engineer, Robot Autonomy (Actuator Control &amp; Locomotion), Intern</t>
        </is>
      </c>
      <c r="D189" t="inlineStr">
        <is>
          <t>https://www.arbeitnow.ch/jobs/companies/laelaps/software-engineer-robot-autonomy-actuator-control-locomotion-intern-zurich-419100</t>
        </is>
      </c>
      <c r="E189" t="inlineStr">
        <is>
          <t>AI Analyzer</t>
        </is>
      </c>
      <c r="F189" t="inlineStr">
        <is>
          <t>Zürich, Switzerland</t>
        </is>
      </c>
      <c r="G189" t="inlineStr">
        <is>
          <t>On-site</t>
        </is>
      </c>
      <c r="I189" t="inlineStr">
        <is>
          <t>Not specified</t>
        </is>
      </c>
      <c r="J189" t="inlineStr">
        <is>
          <t>UNKNOWN</t>
        </is>
      </c>
      <c r="K189" t="inlineStr">
        <is>
          <t>Python; PyTorch; Docker; Git; Reinforcement Learning; Robot Dynamics; Robot Control; Robotics Simulators (Isaac Sim, MuJoCo, or Gazebo)</t>
        </is>
      </c>
      <c r="L189" t="inlineStr">
        <is>
          <t>C++; ROS 2; Legged robots deployment; Actuator control</t>
        </is>
      </c>
      <c r="M189" t="inlineStr">
        <is>
          <t>Our Mission At Laelaps AI, we believe robotics is entering a transformative decade, much like the arrival of the internet. Advances in AI, cloud computing, and hardware are reshaping what autonomous systems can do. Our mission is to build the intelligent software that powers physical security in the real world - enabling robots and sensors to handle dangerous and critical tasks that humans shouldn't have to. By engineering the orchestration layer for intelligent security, we aim to create a world that is safer, more secure, and more resilient. We're a strong founding team based in Zurich, backed by visionary investors and advisors. We are engineering the future of security today! THE ROLE As a Reinforcement Learning Intern on Robot Autonomy, you'll train locomotion and low-level control policies for our legged security robots and help take them from simulation to real hardware. You'll work close to the actuators, from joint-level behavior through coordinated locomotion, on robots that patrol outdoor sites across varied terrain and challenging weather. This role is highly practical: you'll design training setups, run experiments in simulation, transfer policies to physical robots, and measure how they hold up. You'll get hands-on experience with the gap between a policy that works in simulation and one that keeps a robot on its feet on wet ground at night. WHAT YOU'LL WORK ON Train and evaluate reinforcement learning policies for locomotion and low-level control in simulation. Apply sim-to-real techniques such as domain randomization, reward design, and policy robustness methods, and test the results on physical robots. Make policies robust to varied terrain, challenging weather, and noisy, delayed, or missing sensor data. Explore control approaches that transfer across robot embodiments with different actuators and dynamics. Build evaluation workflows with clear metrics and repeatable experiments, in simulation and on hardware. Apply solid engineering practices: experiment tracking, version control, reproducible training runs. WHO WE'RE LOOKING FOR We're looking for a motivated robotics or machine learning student excited to apply academic training in a fast-moving startup. You'll be surrounded by a team that values learning, experimentation, and building things that actually work in the real world. YOUR BACKGROUND: Currently pursuing a PhD or recently completed a Master's degree in Robotics, Machine Learning, Computer Science, or a closely related field. Hands-on experience training reinforcement learning policies for robot control, in simulation or on hardware. Experience with robotics simulators such as Isaac Sim, MuJoCo, or Gazebo. Solid grounding in robot dynamics and control. Good coding skills in Python, with PyTorch (or JAX). Comfortable using Docker and Git in your workflows. NICE TO HAVE: Experience deploying learned policies on physical robots, ideally legged. Experience with low-level actuator, motor, or joint control. C++ and ROS 2 experience. Publications at top robotics or ML venues (CoRL, RSS, ICRA, NeurIPS). What We Offer Ownership: you are able to ship products and deliver project end-to-end. Mission: autonomous security that keeps people and critical sites safe, including in defence. Career path: a ground-floor seat with real runway. Prove your value and you will not have barriers to grow. Team: work directly with PhD-level co-founders in AI, Robotics, and Physics, alongside a strong (and fun) founding team. Compensation: Competitive equity/salary package Culture: International founding team that is serious about building but does not take itself too seriously. Find Jobs in Switzerland on Arbeitnow</t>
        </is>
      </c>
      <c r="N189" t="n">
        <v>18</v>
      </c>
      <c r="O189" t="n">
        <v>5</v>
      </c>
      <c r="P189" t="n">
        <v>10</v>
      </c>
      <c r="Q189" t="n">
        <v>5</v>
      </c>
      <c r="R189" t="n">
        <v>40</v>
      </c>
      <c r="S189" t="n">
        <v>0</v>
      </c>
      <c r="T189" t="n">
        <v>80</v>
      </c>
      <c r="U189" t="inlineStr">
        <is>
          <t>SKIP</t>
        </is>
      </c>
      <c r="V189" t="inlineStr">
        <is>
          <t>SKIP</t>
        </is>
      </c>
      <c r="W189" t="inlineStr">
        <is>
          <t>Reinforcement Learning; Robot Dynamics; Robot Control; Robotics Simulators (Isaac Sim, MuJoCo, Gazebo); PyTorch; Python (working knowledge only, not demonstrated in projects)</t>
        </is>
      </c>
      <c r="X189" t="inlineStr">
        <is>
          <t>Amaanuddin_Ahmed_Resume.pdf</t>
        </is>
      </c>
      <c r="Y189" t="inlineStr">
        <is>
          <t>2026-10-02</t>
        </is>
      </c>
      <c r="AA189" t="inlineStr">
        <is>
          <t>INELIGIBLE</t>
        </is>
      </c>
      <c r="AB189" t="inlineStr">
        <is>
          <t>The role requires currently pursuing a PhD or recently completed a Master's degree in Robotics, Machine Learning, Computer Science, or a closely related field, whereas the candidate is currently pursuing an MCA.; The location is Zürich, Switzerland, requiring relocation or international presence, whereas the candidate's preferred location is Bengaluru, India.; The role requires hands-on experience training reinforcement learning policies for robot control in simulation or on hardware, which the candidate does not possess.</t>
        </is>
      </c>
      <c r="AC189" t="inlineStr">
        <is>
          <t>UNKNOWN</t>
        </is>
      </c>
      <c r="AD189" t="inlineStr">
        <is>
          <t>Availability not explicitly specified in the candidate profile.</t>
        </is>
      </c>
      <c r="AE189" t="inlineStr">
        <is>
          <t>UNKNOWN</t>
        </is>
      </c>
      <c r="AF189" t="n">
        <v>0</v>
      </c>
      <c r="AG189" t="inlineStr">
        <is>
          <t>No</t>
        </is>
      </c>
      <c r="AH189" t="inlineStr">
        <is>
          <t>UNKNOWN</t>
        </is>
      </c>
      <c r="AI189" t="inlineStr">
        <is>
          <t>No explicit conversion or PPO mention in the JD, though a career path is suggested.</t>
        </is>
      </c>
      <c r="AJ189" t="inlineStr">
        <is>
          <t>Degree requirement: Role requires pursuing PhD or recently completed Master's degree in Robotics/ML/CS; candidate is in MCA.; Technical requirement: Extensive reinforcement learning and robot control simulation experience required.; Location requirement: Zürich, Switzerland.</t>
        </is>
      </c>
      <c r="AK189" t="inlineStr">
        <is>
          <t>Complete mismatch in technical domain (Web Development vs. Robot Autonomy &amp; Reinforcement Learning).</t>
        </is>
      </c>
    </row>
    <row r="190">
      <c r="A190" t="inlineStr">
        <is>
          <t>GARDACP-261002-189</t>
        </is>
      </c>
      <c r="B190" t="inlineStr">
        <is>
          <t>Gardacp</t>
        </is>
      </c>
      <c r="C190" t="inlineStr">
        <is>
          <t>Software Engineer Intern (AI Internal Tools)</t>
        </is>
      </c>
      <c r="D190" t="inlineStr">
        <is>
          <t>https://www.arbeitnow.ch/jobs/companies/gardacp/software-engineer-intern-ai-internal-tools-geneva-geneva-zug-zug-95006</t>
        </is>
      </c>
      <c r="E190" t="inlineStr">
        <is>
          <t>AI Analyzer</t>
        </is>
      </c>
      <c r="F190" t="inlineStr">
        <is>
          <t>Geneva, Switzerland; Zug, Switzerland</t>
        </is>
      </c>
      <c r="G190" t="inlineStr">
        <is>
          <t>On-site</t>
        </is>
      </c>
      <c r="I190" t="inlineStr">
        <is>
          <t>6 months</t>
        </is>
      </c>
      <c r="J190" t="inlineStr">
        <is>
          <t>None</t>
        </is>
      </c>
      <c r="K190" t="inlineStr">
        <is>
          <t>Programming proficiency; Software engineering fundamentals; Backend services/APIs; Version control; Testing and debugging</t>
        </is>
      </c>
      <c r="L190" t="inlineStr">
        <is>
          <t>AI platform experience; Cloud technology; Financial markets interest</t>
        </is>
      </c>
      <c r="M190" t="inlineStr">
        <is>
          <t>&lt;div class="content-intro"&gt;&lt;p&gt;Garda Capital Partners (Garda) is a multi-billion dollar alternative investment firm with over 22 years of experience deploying relative value strategies across fixed income markets for institutional investors. We hire, grow, and mentor great talent and remain steadfast in our commitment to building a culture that helps them succeed. Garda is more than a workplace. We are built on trust, integrity, and a shared vision for how we work together, the enduring relationships we build, and the consistency of our results. Garda's primary offices are located in Wayzata, New York City, West Palm Beach, Geneva, Zug, Copenhagen, Singapore, and Scottsdale.&amp;nbsp;&lt;/p&gt;&lt;/div&gt;&lt;p&gt;Garda is seeking a&amp;nbsp;&lt;strong&gt;Software Engineer Intern (AI Internal Tools)&lt;/strong&gt; for a 6-month internship, who will report to the AI Lead. The role focuses on building and improving internal systems, tools, and engineering infrastructure that let teams across Garda use AI effectively, safely, and reliably.&lt;/p&gt; &lt;p&gt;This is a hands-on engineering position spanning internal applications, integrations, shared AI platform components, evaluation tooling, observability, and developer workflows — contributing to both new features and existing production systems. It is not model training, quant research, or one-off prototyping; the focus is on maintainable, reusable systems for broad internal use.&lt;/p&gt; &lt;p&gt;Ideal candidates are strong technical students who thrive on ambiguity, pick up new technologies quickly, and take ownership of code quality. While AI-assisted development tools are used, the intern is expected to apply solid engineering judgment, test rigorously, and deliver secure, maintainable work.&lt;/p&gt; &lt;p&gt;&lt;span style="text-decoration: underline;"&gt;&lt;strong&gt;Position Responsibilities&lt;/strong&gt;&lt;/span&gt;&lt;/p&gt; &lt;ul&gt; &lt;li&gt;Build and improve internal applications, backend services, APIs, and integrations that bring AI capabilities into firm workflows.&lt;/li&gt; &lt;li&gt;Contribute to shared AI platform capabilities, such as gateway services, access and identity integrations, monitoring, observability, and support tooling.&lt;/li&gt; &lt;li&gt;Deliver small, production-minded features and services, including design, implementation, testing, documentation, deployment support, and iterative improvement after release.&lt;/li&gt; &lt;li&gt;Help evaluate AI models, tools, and internal AI applications; contribute to practical evaluation methods, benchmarks, monitoring, and feedback loops.&lt;/li&gt; &lt;li&gt;Identify recurring needs and generalizable patterns in work across teams, then help turn them into reusable components, standards, or automation rather than one-off solutions.&lt;/li&gt; &lt;li&gt;Work with engineers, infrastructure, security, compliance, and internal users to understand requirements, navigate dependencies, and incorporate feedback into robust solutions.&lt;/li&gt; &lt;li&gt;Use AI-assisted development tools effectively while maintaining ownership of code quality, correctness, security, reliability, and maintainability.&lt;/li&gt; &lt;li&gt;Support and improve existing systems by investigating issues, improving documentation, and helping make services easier to operate and support.&lt;/li&gt; &lt;/ul&gt; &lt;p&gt;&lt;span style="text-decoration: underline;"&gt;&lt;strong&gt;Qualifications &amp;amp; Desired Skills&lt;/strong&gt;&lt;/span&gt;&lt;/p&gt; &lt;ul&gt; &lt;li&gt;Pursuing a Bachelor's in Computer Science, Engineering, Mathematics, or Quantitative Finance&lt;/li&gt; &lt;li&gt;Demonstrated software-development experience through coursework, internships, personal projects, open-source work, or similar practical experience.&lt;/li&gt; &lt;li&gt;Proficiency in at least one programming language and the ability and interest to learn the languages, frameworks, and tools required for the work.&lt;/li&gt; &lt;li&gt;Strong software-engineering fundamentals, including data structures, algorithms, debugging, testing, version control, and clear code design.&lt;/li&gt; &lt;li&gt;Interest in building backend services, APIs, internal applications, integrations, or developer/infrastructure tooling.&lt;/li&gt; &lt;li&gt;Sound problem-solving skills and good judgment about trade-offs among speed, quality, reliability, and maintainability.&lt;/li&gt; &lt;li&gt;Comfort working in a changing environment, clarifying ambiguous requirements, and iterating constructively with stakeholders.&lt;/li&gt; &lt;li&gt;Clear written and verbal communication skills; able to collaborate with both technical and non-technical colleagues.&lt;/li&gt; &lt;li&gt;Interest in practical AI systems and AI-enabled development. Prior experience with a particular AI platform, programming language, or cloud technology is welcome but not required.&lt;/li&gt; &lt;li&gt;Interest in financial markets or investment management is a plus, but is not required.&lt;/li&gt; &lt;/ul&gt; &lt;p&gt;&amp;nbsp;&lt;/p&gt; &lt;p&gt;&lt;a href="https://www.gardacp.com/wp-content/uploads/2025/06/Candidate_Privacy_Notice.pdf"&gt;Candidate Privacy Policy&lt;/a&gt;&lt;/p&gt; Find more English Speaking Jobs in Switzerland on Arbeitnow</t>
        </is>
      </c>
      <c r="N190" t="n">
        <v>60</v>
      </c>
      <c r="O190" t="n">
        <v>70</v>
      </c>
      <c r="P190" t="n">
        <v>75</v>
      </c>
      <c r="Q190" t="n">
        <v>70</v>
      </c>
      <c r="R190" t="n">
        <v>0</v>
      </c>
      <c r="S190" t="n">
        <v>50</v>
      </c>
      <c r="T190" t="n">
        <v>85</v>
      </c>
      <c r="U190" t="inlineStr">
        <is>
          <t>SKIP</t>
        </is>
      </c>
      <c r="V190" t="inlineStr">
        <is>
          <t>SKIP</t>
        </is>
      </c>
      <c r="W190" t="inlineStr">
        <is>
          <t>AI internal tool frameworks; Advanced evaluation tooling for AI</t>
        </is>
      </c>
      <c r="X190" t="inlineStr">
        <is>
          <t>Amaanuddin_Ahmed_Resume.pdf</t>
        </is>
      </c>
      <c r="Y190" t="inlineStr">
        <is>
          <t>2026-10-02</t>
        </is>
      </c>
      <c r="Z190" t="inlineStr">
        <is>
          <t>Interesting infrastructure and internal tooling role involving backend services and AI systems.</t>
        </is>
      </c>
      <c r="AA190" t="inlineStr">
        <is>
          <t>Ineligible</t>
        </is>
      </c>
      <c r="AB190" t="inlineStr">
        <is>
          <t>Location mismatch: Candidate is in Bengaluru, India, while the role requires working on-site in Geneva or Zug, Switzerland.; Degree requirement mismatch: Role specifies Bachelor's in Computer Science, Engineering, Mathematics, or Quantitative Finance, whereas the candidate is pursuing an MCA.</t>
        </is>
      </c>
      <c r="AC190" t="inlineStr">
        <is>
          <t>UNKNOWN</t>
        </is>
      </c>
      <c r="AD190" t="inlineStr">
        <is>
          <t>Availability relative to Swiss internship timelines and on-site relocation constraints is not specified.</t>
        </is>
      </c>
      <c r="AE190" t="inlineStr">
        <is>
          <t>UNKNOWN</t>
        </is>
      </c>
      <c r="AF190" t="n">
        <v>0</v>
      </c>
      <c r="AG190" t="inlineStr">
        <is>
          <t>No</t>
        </is>
      </c>
      <c r="AH190" t="inlineStr">
        <is>
          <t>None</t>
        </is>
      </c>
      <c r="AI190" t="inlineStr">
        <is>
          <t>No explicit conversion or PPO mention found in the job description.</t>
        </is>
      </c>
      <c r="AJ190" t="inlineStr">
        <is>
          <t>Location: On-site in Switzerland (Geneva/Zug); Degree specification: Bachelor's degree required (Candidate has MCA)</t>
        </is>
      </c>
      <c r="AK190" t="inlineStr">
        <is>
          <t>Geographic restriction to Switzerland without sponsorship details</t>
        </is>
      </c>
      <c r="AL190" t="inlineStr">
        <is>
          <t>Backend systems and API design; Experience with AI or integration tools; Debugging and testing workflows</t>
        </is>
      </c>
    </row>
    <row r="191">
      <c r="A191" t="inlineStr">
        <is>
          <t>STARK-261002-190</t>
        </is>
      </c>
      <c r="B191" t="inlineStr">
        <is>
          <t>Stark</t>
        </is>
      </c>
      <c r="C191" t="inlineStr">
        <is>
          <t>Working Student – Flight Software Engineering (PX4 / Autopilot)</t>
        </is>
      </c>
      <c r="D191" t="inlineStr">
        <is>
          <t>https://www.arbeitnow.com/jobs/companies/stark/working-student-flight-software-engineering-px4-autopilot-all-genders-berlin-248712</t>
        </is>
      </c>
      <c r="E191" t="inlineStr">
        <is>
          <t>AI Analyzer</t>
        </is>
      </c>
      <c r="F191" t="inlineStr">
        <is>
          <t>Berlin</t>
        </is>
      </c>
      <c r="G191" t="inlineStr">
        <is>
          <t>On-site</t>
        </is>
      </c>
      <c r="I191" t="inlineStr">
        <is>
          <t>Not specified</t>
        </is>
      </c>
      <c r="J191" t="inlineStr">
        <is>
          <t>No</t>
        </is>
      </c>
      <c r="K191" t="inlineStr">
        <is>
          <t>Python; PX4 / ArduPilot / Flight control systems; Citizenship of a NATO member state</t>
        </is>
      </c>
      <c r="L191" t="inlineStr">
        <is>
          <t>SITL / HITL simulation environments; Flight-log analysis; Telemetry data; Automated testing frameworks; Drones; Robotics; Embedded systems</t>
        </is>
      </c>
      <c r="M191" t="inlineStr">
        <is>
          <t>About Us STARK is a European defence technology company building the next generation of unmanned systems. We design, develop and manufacture software-defined, mass-scalable and cost-effective platforms that give NATO operators a decisive edge in highly contested environments. We are focused on delivering deployable, high-performance capability — not future promises. In a time of rising threats, our work strengthens the technological edge of NATO Allies and their Partners. Your mission Your mission is to work hands-on with the software that flies our aircraft. You support the flight software team on the PX4 / autopilot stack — writing and testing Python tooling, wrangling flight logs, and helping turn what happens in the air into something the engineers can act on. You aren't just running scripts on the side; you are contributing to the autopilot layer that every other capability on the aircraft depends on — and learning how real flight software is built, tested, and flown Responsibilities You support the development and testing of PX4 / autopilot software, from configuration to log analysis. You write and maintain Python tooling for test automation, data processing, and flight-log analysis. You help reproduce, isolate, and document software issues found in simulation and flight test. You process and visualise flight and telemetry data to make system behaviour observable to the engineering team. You support the loop between test results and software changes, so findings actually drive the next iteration. You keep tooling, scripts, and documentation clean and reusable. Qualifications You are currently enrolled in a Bachelor's or Master's in Computer Science, Software Engineering, Aerospace, or a comparable technical field. You have hands-on experience with Python, ideally including data processing or automation. You are familiar with PX4, ArduPilot, or comparable autopilot / flight control systems. You must be a citizen of a NATO member state due to export control and security regulations. You are available 20 hours per week during the semester, with flexibility around your studies. You have good written and verbal communication skills in English; German is a plus. Nice to have You have experience working with SITL / HITL simulation environments. You have worked with flight-log analysis, telemetry data, or automated testing frameworks. You have personal or university projects involving drones, robotics, embedded systems, or autonomous vehicles. Find more English Speaking Jobs in Germany on Arbeitnow</t>
        </is>
      </c>
      <c r="N191" t="n">
        <v>14</v>
      </c>
      <c r="O191" t="n">
        <v>20</v>
      </c>
      <c r="P191" t="n">
        <v>10</v>
      </c>
      <c r="Q191" t="n">
        <v>10</v>
      </c>
      <c r="R191" t="n">
        <v>0</v>
      </c>
      <c r="S191" t="n">
        <v>0</v>
      </c>
      <c r="T191" t="n">
        <v>40</v>
      </c>
      <c r="U191" t="inlineStr">
        <is>
          <t>SKIP</t>
        </is>
      </c>
      <c r="V191" t="inlineStr">
        <is>
          <t>SKIP</t>
        </is>
      </c>
      <c r="W191" t="inlineStr">
        <is>
          <t>Python (working knowledge only, not demonstrated in production); PX4 / ArduPilot / Flight control systems; NATO citizenship</t>
        </is>
      </c>
      <c r="X191" t="inlineStr">
        <is>
          <t>Amaanuddin_Ahmed_Resume.pdf</t>
        </is>
      </c>
      <c r="Y191" t="inlineStr">
        <is>
          <t>2026-10-02</t>
        </is>
      </c>
      <c r="AA191" t="inlineStr">
        <is>
          <t>Not Eligible</t>
        </is>
      </c>
      <c r="AB191" t="inlineStr">
        <is>
          <t>Must be a citizen of a NATO member state due to export control and security regulations.; Location is Berlin, Germany, whereas candidate prefers Bengaluru, India.; Missing mandatory experience/familiarity with PX4, ArduPilot, or comparable autopilot / flight control systems.</t>
        </is>
      </c>
      <c r="AC191" t="inlineStr">
        <is>
          <t>Unknown</t>
        </is>
      </c>
      <c r="AD191" t="inlineStr">
        <is>
          <t>Availability for part-time working student hours in Berlin while enrolled in MCA in Bengaluru is not specified.</t>
        </is>
      </c>
      <c r="AE191" t="inlineStr">
        <is>
          <t>UNKNOWN</t>
        </is>
      </c>
      <c r="AF191" t="n">
        <v>0</v>
      </c>
      <c r="AG191" t="inlineStr">
        <is>
          <t>No</t>
        </is>
      </c>
      <c r="AH191" t="inlineStr">
        <is>
          <t>No</t>
        </is>
      </c>
      <c r="AI191" t="inlineStr">
        <is>
          <t>No conversion or PPO is mentioned in the job description.</t>
        </is>
      </c>
      <c r="AJ191" t="inlineStr">
        <is>
          <t>Must be a citizen of a NATO member state due to export control and security regulations.; Location is Berlin, Germany (requires relocation / local presence).</t>
        </is>
      </c>
      <c r="AK191" t="inlineStr">
        <is>
          <t>Location mismatch (Berlin vs Bengaluru); Citizenship requirement violation</t>
        </is>
      </c>
    </row>
    <row r="192">
      <c r="A192" t="inlineStr">
        <is>
          <t>TIKTOK-261002-191</t>
        </is>
      </c>
      <c r="B192" t="inlineStr">
        <is>
          <t>TikTok</t>
        </is>
      </c>
      <c r="C192" t="inlineStr">
        <is>
          <t>Machine Learning Ops Engineer Intern (Ads Infra)</t>
        </is>
      </c>
      <c r="D192" t="inlineStr">
        <is>
          <t>https://www.themuse.com/jobs/tiktok/machine-learning-ops-engineer-intern-ads-infra-2027-start</t>
        </is>
      </c>
      <c r="E192" t="inlineStr">
        <is>
          <t>AI Analyzer</t>
        </is>
      </c>
      <c r="F192" t="inlineStr">
        <is>
          <t>Singapore</t>
        </is>
      </c>
      <c r="G192" t="inlineStr">
        <is>
          <t>onsite</t>
        </is>
      </c>
      <c r="H192" t="inlineStr">
        <is>
          <t>Not specified</t>
        </is>
      </c>
      <c r="I192" t="inlineStr">
        <is>
          <t>Not specified</t>
        </is>
      </c>
      <c r="J192" t="inlineStr">
        <is>
          <t>UNKNOWN</t>
        </is>
      </c>
      <c r="K192" t="inlineStr">
        <is>
          <t>Linux; Networking; Storage; Python; Go; C; C++; Java; Production Operations</t>
        </is>
      </c>
      <c r="L192" t="inlineStr">
        <is>
          <t>SRE internship of machine learning systems; SRE internship of ads/recommendation/search systems</t>
        </is>
      </c>
      <c r="M192" t="inlineStr">
        <is>
          <t>Responsibilities Team Introduction MLOps - Global SRE team is responsible for the reliability of the machine learning infrastructure powering ByteDance's global advertising systems. We ensure the stability, scalability, and operational efficiency of the entire machine learning lifecycle, including data pipelines, model development, training, deployment, inference, monitoring, and continuous optimization. We are looking for talented individuals to join us for an internship. Our internship program offers students hands-on experience, industry exposure, and opportunities to apply their knowledge to real-world challenges while building a strong foundation for personal and professional growth. Interns will gain practical experience, explore potential career paths, and participate in social events, learning programs, and development workshops alongside industry professionals. Candidates may apply to a maximum of two positions across Our Company and its affiliates globally. Applications will be considered in the order they are submitted. Applications are reviewed on a rolling basis, so we encourage you to apply early. Please clearly state your availability in your resume, including your start and end dates. Responsibilities - Define and drive Service Level Objectives (SLOs) for online machine learning inference systems, ensuring the reliability, availability, and performance of large-scale production inference services; - Ensure the reliability and operational excellence of offline machine learning training pipelines, continuously improving training job success rates; - Drive infrastructure capacity planning and resource management for machine learning workloads, ensuring compute resources meet evolving business demands while continuously improving GPU and CPU utilization through performance optimization; - Lead the enablement of new machine learning frameworks and GPU platforms, driving large-scale production deployment while maintaining model quality and business performance; - Design, build, and maintain MLOps platforms and automation tools, including quota management, job diagnostics, monitoring and observability, resource management, and operational tooling. Qualifications Minimum Qualifications - Currently pursuing a Undergraduate/ Master's in Computer Science or Software Engineering or a related discipline. - Expertise in Linux operating systems, networking, storage. - Experience programming in at least one of the following programming languages: Python, Go, C, C++, or Java. - Experience in troubleshooting application issues, or production operations. - Effective communication skills and a sense of ownership and drive. Preferred Qualifications - Experience in SRE internship of machine learning systems. - Experience in SRE internship of ads/recommendation/search systems.</t>
        </is>
      </c>
      <c r="N192" t="n">
        <v>21</v>
      </c>
      <c r="O192" t="n">
        <v>20</v>
      </c>
      <c r="P192" t="n">
        <v>20</v>
      </c>
      <c r="Q192" t="n">
        <v>20</v>
      </c>
      <c r="R192" t="n">
        <v>0</v>
      </c>
      <c r="S192" t="n">
        <v>0</v>
      </c>
      <c r="T192" t="n">
        <v>80</v>
      </c>
      <c r="U192" t="inlineStr">
        <is>
          <t>SKIP</t>
        </is>
      </c>
      <c r="V192" t="inlineStr">
        <is>
          <t>SKIP</t>
        </is>
      </c>
      <c r="W192" t="inlineStr">
        <is>
          <t>Linux system administration; Networking and storage infrastructure; SRE and MLOps production systems; Python, Go, C, or C++ production experience</t>
        </is>
      </c>
      <c r="X192" t="inlineStr">
        <is>
          <t>Amaanuddin_Ahmed_Resume.pdf</t>
        </is>
      </c>
      <c r="Y192" t="inlineStr">
        <is>
          <t>2026-10-02</t>
        </is>
      </c>
      <c r="AA192" t="inlineStr">
        <is>
          <t>Ineligible</t>
        </is>
      </c>
      <c r="AB192" t="inlineStr">
        <is>
          <t>Job location is Singapore, but candidate's preferred location is Bengaluru, India.; Role requires MLOps, SRE, Linux, networking, and storage expertise, which is outside candidate's core Full Stack / Backend / MERN profile.</t>
        </is>
      </c>
      <c r="AC192" t="inlineStr">
        <is>
          <t>UNKNOWN</t>
        </is>
      </c>
      <c r="AD192" t="inlineStr">
        <is>
          <t>Availability and exact start dates are not specified in the candidate profile.</t>
        </is>
      </c>
      <c r="AE192" t="inlineStr">
        <is>
          <t>UNKNOWN</t>
        </is>
      </c>
      <c r="AF192" t="n">
        <v>0</v>
      </c>
      <c r="AG192" t="inlineStr">
        <is>
          <t>No</t>
        </is>
      </c>
      <c r="AH192" t="inlineStr">
        <is>
          <t>UNKNOWN</t>
        </is>
      </c>
      <c r="AI192" t="inlineStr">
        <is>
          <t>No explicit PPO or conversion mention found in the job description.</t>
        </is>
      </c>
      <c r="AJ192" t="inlineStr">
        <is>
          <t>Location mismatch: Role is in Singapore, candidate prefers Bengaluru (or remote).; Domain mismatch: Role is heavily focused on MLOps, SRE, and infrastructure, whereas candidate profile is focused on Full Stack / MERN development.</t>
        </is>
      </c>
      <c r="AK192" t="inlineStr">
        <is>
          <t>Location is outside preferred geography.</t>
        </is>
      </c>
      <c r="AL192" t="inlineStr">
        <is>
          <t>Linux operating systems and networking fundamentals; MLOps and SRE practices for large-scale training and inference; GPU/CPU resource management and capacity planning</t>
        </is>
      </c>
    </row>
    <row r="193">
      <c r="A193" t="inlineStr">
        <is>
          <t>TD-BANK-261002-192</t>
        </is>
      </c>
      <c r="B193" t="inlineStr">
        <is>
          <t>TD Bank</t>
        </is>
      </c>
      <c r="C193" t="inlineStr">
        <is>
          <t>2027 Spring Co-op - Global Technology &amp; Solutions - Software Engineer (SWE)</t>
        </is>
      </c>
      <c r="D193" t="inlineStr">
        <is>
          <t>https://www.themuse.com/jobs/tdbank/2027-spring-coop-global-technology-solutions-software-engineer-swe</t>
        </is>
      </c>
      <c r="E193" t="inlineStr">
        <is>
          <t>AI Analyzer</t>
        </is>
      </c>
      <c r="F193" t="inlineStr">
        <is>
          <t>Mount Laurel, New Jersey, United States of America</t>
        </is>
      </c>
      <c r="G193" t="inlineStr">
        <is>
          <t>Hybrid</t>
        </is>
      </c>
      <c r="H193" t="inlineStr">
        <is>
          <t>$30.74 USD / hour</t>
        </is>
      </c>
      <c r="I193" t="inlineStr">
        <is>
          <t>Winter/Term 2 Work Term</t>
        </is>
      </c>
      <c r="J193" t="inlineStr">
        <is>
          <t>NOT MENTIONED</t>
        </is>
      </c>
      <c r="K193" t="inlineStr">
        <is>
          <t>Java; JavaScript; Jira</t>
        </is>
      </c>
      <c r="L193" t="inlineStr">
        <is>
          <t>Microsoft Office; AI and Machine Learning</t>
        </is>
      </c>
      <c r="M193" t="inlineStr">
        <is>
          <t xml:space="preserve">Role Type: Internship/Co-op Work Term: Winter/Term 2 Work Location : Mount Laurel, New Jersey, United States of America Hours: 40 Pay Details: $30.74 - $30.74 USD 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 As a candidate, you are encouraged to ask compensation related questions and have an open dialogue with your recruiter who can provide you more specific details for this role. Job Description: A co-op assists designated department management and staff in performing assigned tasks under direct or general supervision. Exemplifies the TD Bank Culture and Customer Service Philosophy. This Global Technology Solutions (GTS) Co-op functions as a Software Engineer Co-op. GTS is offering in-person co-op opportunities in Mount Laurel, NJ. Candidates will be required to be in-office 4 days a week. A relocation stipend will be offered. Depth &amp; Scope: Builds an understanding of the businesses and Customers the role supports May answer and direct incoming calls internally and externally Provides support for Manager and others areas, as indicated May assist in completing various departmental projects/reports Assists with operational and administrative functions Performs diversified clerical duties as assigned May support or partner with several business functions/areas/departments Participates in various projects and tasks, as assigned Education &amp; Experience: High School Diploma required Currently enrolled in 4 year college program Graduation date of May 2028 preferred Currently pursuing a degree in Computer Science or a related field Entry Level position, no work experience required Some knowledge of Java, JavaScript, and/or Jira preferred Must have interest in AI and Machine Learning 3.2 GPA or higher preferred Excellent computer skills, including Microsoft Office Excellent interpersonal skills Demonstrated leadership qualities Good written and oral communications skills Detail oriented and self-motivated Ability to handle multiple tasks in a fast-paced environment Ability to work in an office environment Who We Are TD is one of the world's leading global financial institutions and is the fifth largest bank in North America by branches/stores. Every day, we strive to make every interaction, product, and experience remarkably human and refreshingly simple for over 27 million households and businesses in Canada, the United States and around the world. More than 95,000 TD colleagues bring their skills, talent, and creativity to foster deeper relationships, ensure disciplined execution, and build a simpler, faster banking experience. TD is deeply committed to being a leader in client experience, that is why we believe that all colleagues, no matter where they work, are client facing. Together, we are reimagining what banking can be for our clients, colleagues and communities. Our Total Rewards Package Our Total Rewards package reflects the investments we make in our colleagues to help them and their families achieve their financial, physical and mental well-being goals. Total Rewards at TD includes base salary and variable compensation/incentive awards (e.g., eligibility for cash and/or equity incentive awards, generally through participation in an incentive plan) and several other key plans such as health and well-being benefits, savings and retirement programs, paid time off (including Vacation PTO, Flex PTO, and Holiday PTO), banking benefits and discounts, career development, and reward and recognition. Learn more Additional Information: We're delighted that you're considering building a career with TD. Through regular development conversations, training programs, and a competitive benefits plan, we're committed to providing the support our colleagues need to thrive both at work and at home. 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If you're passionate about helping clients and building deep, lasting relationships, TD offers diverse career paths where you can grow your expertise and make a meaningful impact. We're committed to your success and foster a respectful workplace where diverse perspectives are valued, everyone has fair opportunities to grow, and you can unlock your full potential to achieve your career goals. Here </t>
        </is>
      </c>
      <c r="N193" t="n">
        <v>49</v>
      </c>
      <c r="O193" t="n">
        <v>40</v>
      </c>
      <c r="P193" t="n">
        <v>50</v>
      </c>
      <c r="Q193" t="n">
        <v>60</v>
      </c>
      <c r="R193" t="n">
        <v>0</v>
      </c>
      <c r="S193" t="n">
        <v>100</v>
      </c>
      <c r="T193" t="n">
        <v>80</v>
      </c>
      <c r="U193" t="inlineStr">
        <is>
          <t>SKIP</t>
        </is>
      </c>
      <c r="V193" t="inlineStr">
        <is>
          <t>SKIP</t>
        </is>
      </c>
      <c r="W193" t="inlineStr">
        <is>
          <t>Java; Jira</t>
        </is>
      </c>
      <c r="X193" t="inlineStr">
        <is>
          <t>Amaanuddin_Ahmed_Resume.pdf</t>
        </is>
      </c>
      <c r="Y193" t="inlineStr">
        <is>
          <t>2026-10-02</t>
        </is>
      </c>
      <c r="Z193" t="inlineStr">
        <is>
          <t>Strong hourly compensation rate matching financial targets.; Reputable global financial institution.</t>
        </is>
      </c>
      <c r="AA193" t="inlineStr">
        <is>
          <t>NOT ELIGIBLE</t>
        </is>
      </c>
      <c r="AB193" t="inlineStr">
        <is>
          <t>Location is Marlton/Mount Laurel, NJ, USA, but candidate is based in Bengaluru, India and requires relocation internationally without visa sponsorship mentioned.; Graduation year mismatch: Job prefers graduation date of May 2028 from a 4-year college program, whereas candidate is in an MCA program from 2025 to 2027.; Work mode is in-person 4 days a week in Mount Laurel, NJ, violating candidate preferred location of Bengaluru or remote.</t>
        </is>
      </c>
      <c r="AC193" t="inlineStr">
        <is>
          <t>UNKNOWN</t>
        </is>
      </c>
      <c r="AD193" t="inlineStr">
        <is>
          <t>Candidate availability dates for a Spring co-op in the US do not align with the ongoing MCA program in India.</t>
        </is>
      </c>
      <c r="AE193" t="inlineStr">
        <is>
          <t>EXACT</t>
        </is>
      </c>
      <c r="AF193" t="n">
        <v>215000</v>
      </c>
      <c r="AG193" t="inlineStr">
        <is>
          <t>No</t>
        </is>
      </c>
      <c r="AH193" t="inlineStr">
        <is>
          <t>NOT MENTIONED</t>
        </is>
      </c>
      <c r="AI193" t="inlineStr">
        <is>
          <t>The job description mentions a co-op program, career development, and onboarding, but does not explicitly guarantee or mention a permanent full-time conversion (PPO).</t>
        </is>
      </c>
      <c r="AJ193" t="inlineStr">
        <is>
          <t>Geographic location requirement (Mount Laurel, New Jersey, USA vs. Bengaluru, India); Graduation year preference (May 2028 vs. candidate graduation in 2027); Mandatory in-office work mode (4 days a week in NJ)</t>
        </is>
      </c>
      <c r="AK193" t="inlineStr">
        <is>
          <t>International location requiring local US presence/relocation without explicit international visa sponsorship details.</t>
        </is>
      </c>
      <c r="AL193" t="inlineStr">
        <is>
          <t>JavaScript fundamentals; Experience with Java and object-oriented programming; Interest in AI and Machine Learning; Collaboration and teamwork using Jira</t>
        </is>
      </c>
    </row>
    <row r="194">
      <c r="A194" t="inlineStr">
        <is>
          <t>TIKTOK-261002-193</t>
        </is>
      </c>
      <c r="B194" t="inlineStr">
        <is>
          <t>TikTok</t>
        </is>
      </c>
      <c r="C194" t="inlineStr">
        <is>
          <t>Software Engineer Project Intern (Model Infrastructure) - 2026 Start (BS/MS)</t>
        </is>
      </c>
      <c r="D194" t="inlineStr">
        <is>
          <t>https://www.themuse.com/jobs/tiktok/software-engineer-project-intern-model-infrastructure-2026-start-bsms</t>
        </is>
      </c>
      <c r="E194" t="inlineStr">
        <is>
          <t>AI Analyzer</t>
        </is>
      </c>
      <c r="F194" t="inlineStr">
        <is>
          <t>San Jose, CA</t>
        </is>
      </c>
      <c r="G194" t="inlineStr">
        <is>
          <t>On-site</t>
        </is>
      </c>
      <c r="I194" t="inlineStr">
        <is>
          <t>Not specified</t>
        </is>
      </c>
      <c r="J194" t="inlineStr">
        <is>
          <t>Not Mentioned</t>
        </is>
      </c>
      <c r="K194" t="inlineStr">
        <is>
          <t>C++; Python; Computer Architecture; GPU software stack (CUDA, Triton, or NCCL); Deep learning frameworks (PyTorch, TensorFlow)</t>
        </is>
      </c>
      <c r="L194" t="inlineStr">
        <is>
          <t>Transformer-based architectures; 3D parallelism; torch.compile; NCCL/UCX; RDMA networking</t>
        </is>
      </c>
      <c r="M194" t="inlineStr">
        <is>
          <t>Responsibilities About the Team The TikTok Model Infrastructure team is the core engine powering the world's most engaged "For You" feed. We focus on the engineering efficiency and architectural evolution of recommendation models at an unprecedented scale. As we lead the industry's shift toward LLM2Rec and Large Recommendation Models (LRM), our mission is to build ultra-high-performance infrastructure that bridges the gap between massive data scale and extreme algorithmic complexity. We tackle the industry's most demanding "frontier" challenges: managing Petabyte-scale distributed embedding states, optimizing thousand-node GPU clusters, and perfecting real-time Sparse/Dense streaming. Our work ensures that models with hundreds of billions of dense parameters-on par with the world's largest LLMs-can operate with millisecond-level latency. We are seeking Software Engineering Interns to join the Model Infra team to redefine the performance boundaries of recommendation systems. In this role, you will focus on the efficiency of the entire model lifecycle. You will work on the convergence of generative AI and recommendation architecture, optimizing everything from the raw throughput of multi-billion parameter dense blocks to the efficient retrieval of sparse features across massive distributed memory fabrics. As a project intern, you will have the opportunity to engage in impactful short-term projects that provide you with a glimpse of professional real-world experience. You will gain practical skills through on-the-job learning in a fast-paced work environment and develop a deeper understanding of your career interests. Applications will be reviewed on a rolling basis - we encourage you to apply early. Responsibilities - Engineering Efficiency at Scale: Drive the optimization of training and inference pipelines to maximize hardware utilization (MFU/HFU) for models featuring hundreds of billions of dense parameters. - LLM2Rec Infrastructure: Architect specialized systems to support the integration of LLMs into the recommendation stack, focusing on memory-efficient attention mechanisms and advanced KV cache management for long-sequence user modeling. - Massive Sparse &amp; Dense Streaming: Build and optimize high-concurrency engines for Petabyte-scale streaming training, handling continuous parameter updates and high-frequency data ingestion without compromising stability. - Hardware-Aware Co-Design: Work closely with researchers to design next-generation recommendation architectures optimized for modern GPU/NPU interconnects, ensuring high-bandwidth utilization across the cluster. - Distributed State Management: Innovate on how we store and synchronize massive model states across heterogeneous memory hierarchies (HBM, DDR, and NVMe). Qualifications Minimum Qualification(s) - Currently pursuing an Undergraduate/Master in Software Development, Computer Science, Computer Engineering, or a related technical discipline. - Strong programming skills in C++ and Python. - Solid understanding of Computer Architecture and the GPU software stack (CUDA, Triton, or NCCL). - Experience with deep learning frameworks (e.g., PyTorch, TensorFlow) and a desire to "look under the hood" of model execution runtimes. - A strong interest in solving system-level bottlenecks in large-scale distributed environments. Preferred Qualification(s) - Experience with Transformer-based architectures, 3D parallelism (TP/PP/DP). - Deep understanding of the torch.compile stack, including TorchDynamo (graph acquisition) and TorchInductor (lowering). - Hands-on experience writing high-performance kernels or optimizing collective communication (e.g., customizing NCCL/UCX). - Familiarity with RDMA networking, high-performance storage, or specialized Parameter Server architectures. - Success in programming competitions (ACM-ICPC) or contributions to prominent open-source AI infrastructure or high-performance computing projects.</t>
        </is>
      </c>
      <c r="N194" t="n">
        <v>24</v>
      </c>
      <c r="O194" t="n">
        <v>20</v>
      </c>
      <c r="P194" t="n">
        <v>20</v>
      </c>
      <c r="Q194" t="n">
        <v>40</v>
      </c>
      <c r="R194" t="n">
        <v>0</v>
      </c>
      <c r="S194" t="n">
        <v>0</v>
      </c>
      <c r="T194" t="n">
        <v>80</v>
      </c>
      <c r="U194" t="inlineStr">
        <is>
          <t>SKIP</t>
        </is>
      </c>
      <c r="V194" t="inlineStr">
        <is>
          <t>SKIP</t>
        </is>
      </c>
      <c r="W194" t="inlineStr">
        <is>
          <t>C++; CUDA; PyTorch; Distributed Systems; GPU Infrastructure</t>
        </is>
      </c>
      <c r="X194" t="inlineStr">
        <is>
          <t>Amaanuddin_Ahmed_Resume.pdf</t>
        </is>
      </c>
      <c r="Y194" t="inlineStr">
        <is>
          <t>2026-10-02</t>
        </is>
      </c>
      <c r="AA194" t="inlineStr">
        <is>
          <t>Ineligible</t>
        </is>
      </c>
      <c r="AB194" t="inlineStr">
        <is>
          <t>Location mismatch: Job is in San Jose, CA, whereas candidate prefers Bengaluru, India.; Mandatory technology gap: Strong programming skills in C++ and GPU software stack (CUDA, Triton, or NCCL) are required, which the candidate lacks.</t>
        </is>
      </c>
      <c r="AC194" t="inlineStr">
        <is>
          <t>Unknown</t>
        </is>
      </c>
      <c r="AD194" t="inlineStr">
        <is>
          <t>Availability timeline not explicitly matched against the 2026 start requirement.</t>
        </is>
      </c>
      <c r="AE194" t="inlineStr">
        <is>
          <t>UNKNOWN</t>
        </is>
      </c>
      <c r="AF194" t="n">
        <v>0</v>
      </c>
      <c r="AG194" t="inlineStr">
        <is>
          <t>No</t>
        </is>
      </c>
      <c r="AH194" t="inlineStr">
        <is>
          <t>Not Mentioned</t>
        </is>
      </c>
      <c r="AI194" t="inlineStr">
        <is>
          <t>No explicit mention of a conversion to a full-time offer (PPO) in the job description.</t>
        </is>
      </c>
      <c r="AJ194" t="inlineStr">
        <is>
          <t>Location mismatch (San Jose, CA vs Bengaluru); Mandatory C++ and GPU stack (CUDA/Triton) requirements not met</t>
        </is>
      </c>
      <c r="AK194" t="inlineStr">
        <is>
          <t>Geographic relocation required to US</t>
        </is>
      </c>
      <c r="AL194" t="inlineStr">
        <is>
          <t>CUDA and GPU architecture; Distributed deep learning training; C++ memory management</t>
        </is>
      </c>
    </row>
    <row r="195">
      <c r="A195" t="inlineStr">
        <is>
          <t>SPECTRUM-261002-194</t>
        </is>
      </c>
      <c r="B195" t="inlineStr">
        <is>
          <t>Spectrum</t>
        </is>
      </c>
      <c r="C195" t="inlineStr">
        <is>
          <t>2027 Summer Intern: Software Engineer</t>
        </is>
      </c>
      <c r="D195" t="inlineStr">
        <is>
          <t>https://www.themuse.com/jobs/spectrum/2027-summer-intern-software-engineer-be7eee</t>
        </is>
      </c>
      <c r="E195" t="inlineStr">
        <is>
          <t>AI Analyzer</t>
        </is>
      </c>
      <c r="F195" t="inlineStr">
        <is>
          <t>Greenwood Village, CO</t>
        </is>
      </c>
      <c r="G195" t="inlineStr">
        <is>
          <t>On-site</t>
        </is>
      </c>
      <c r="H195" t="inlineStr">
        <is>
          <t>The base pay for this position generally is between $00 and $00.</t>
        </is>
      </c>
      <c r="I195" t="inlineStr">
        <is>
          <t>11 weeks</t>
        </is>
      </c>
      <c r="J195" t="inlineStr">
        <is>
          <t>Not Mentioned</t>
        </is>
      </c>
      <c r="K195" t="inlineStr">
        <is>
          <t>Python; Software Development</t>
        </is>
      </c>
      <c r="L195" t="inlineStr">
        <is>
          <t>Python; database administration; AI use</t>
        </is>
      </c>
      <c r="M195" t="inlineStr">
        <is>
          <t>This role requires the ability to work lawfully in the U.S. without employment-based immigration sponsorship, now or in the future. At a Glance You're a motivated student with a current 3.0 GPA or higher currently pursuing a degree in one of the following areas from an accredited college or university: Business Technology Management,Communications,Computer Information Systems,Computer Science,Cyber Security,Data Science,Electrical Engineering,Engineering Technology Management,Electrical and Computer Engineering,Quantum Engineering Software This is a paid, full-time, 11-week internship designed to give you real-world experience and meaningful exposure to the telecommunications industry in your chosen field. Internship program runs from May 26 through August 6, 2027. In addition to role-specific projects, you'll take part in professional development sessions, networking opportunities, mentorship and experiences that help you grow personally and professionally. The Spectrum Internship Experience As part of America's Connectivity Company®, you'll join a team that serves millions of customers and communities nationwide, while gaining valuable insight into the work that powers connection every day. Throughout the summer, you'll contribute to meaningful work, strengthen your skills and have opportunities to: Grow your skills in a dynamic, innovative business environment. Build connections with team members and senior leaders who can help you better understand our business and what it's like to work here. Learn from a mentor, who can provide guidance, support and career advice. What you can expect in this role As a Spectrum intern, you'll spend the summer working alongside two teams: your respective department and your intern cohort. Department and team-focused projects account for about 80% of your schedule. You'll spend the other 20% on internship experiences that include a kickoff conference, professional development sessions and networking activities, webinars, community service, cross-functional projects and final presentations. This experience is designed to help you explore your interests, expand your network and leave with a deeper understanding of both your field and the impact of our business. Internship responsibilities may include: Define, design, develop, deploy software tools that make operating the network easier, more efficient, resulting in an improved customer experience. Translates requests and ideas into working and functioning tools that Access Ops and other team members can use to improve customer experience. Required qualifications Must be a rising senior with an expected graduation date between December 2027 and May 2028 Must be currently enrolled in an accredited College or University completing a bachelor's degree Must have at least a 3.0 GPA or greater in current program Ability to travel locally to Spectrum intern development events and activities throughout the program Authorization to work in the U.S. without restrictions or need for future sponsorship Preferred Qualifications Python, data base admin, development, AI use, etc. #LI-RC1 GGN100 2026-81909 GGN100 2026 Here, our employees don't just have jobs, they're building careers. That's why we offer a comprehensive pay and benefits package that rewards employees for their contributions to our success, supporting all aspects of their well-being at every stage of life. A qualified applicant's criminal history, if any, will be considered in a manner consistent with applicable laws, including local ordinances. This job posting will remain open until 2026-10-01 11:00 PM (UTC) and will be extended if necessary. The base pay for this position generally is between $00 and $00 . The actual compensation offered will carefully consider a wide range of factors, including your skills, qualifications, experience, and location. We comply with local wage minimums and also, certain positions are eligible for additional forms of other incentive-based compensation such as bonuses. Get to Know Us Charter Communications provides superior communication and entertainment products for residential and business customers through the Spectrum brand. Our offerings include Spectrum Internet®, TV, Mobile and Voice. Beyond our connectivity solutions, we also provide local news, programming and regional sports via Spectrum Networks and multiscreen advertising solutions via Spectrum Reach. When you join our team, you'll be keeping our customers connected to what matters most in 41 states across the U.S. Watch this video to learn more. Grow Your Career Here We're committed to growing a workforce that reflects the customers and communities we serve - providing opportunities for employment and advancement to all team members. Spectrum is an Equal Opportunity Employer, including job seekers with disabilities and veterans. Learn about Life at Spectrum.</t>
        </is>
      </c>
      <c r="N195" t="n">
        <v>34</v>
      </c>
      <c r="O195" t="n">
        <v>40</v>
      </c>
      <c r="P195" t="n">
        <v>50</v>
      </c>
      <c r="Q195" t="n">
        <v>50</v>
      </c>
      <c r="R195" t="n">
        <v>0</v>
      </c>
      <c r="S195" t="n">
        <v>0</v>
      </c>
      <c r="T195" t="n">
        <v>40</v>
      </c>
      <c r="U195" t="inlineStr">
        <is>
          <t>SKIP</t>
        </is>
      </c>
      <c r="V195" t="inlineStr">
        <is>
          <t>SKIP</t>
        </is>
      </c>
      <c r="W195" t="inlineStr">
        <is>
          <t>Python</t>
        </is>
      </c>
      <c r="X195" t="inlineStr">
        <is>
          <t>Amaanuddin_Ahmed_Resume.pdf</t>
        </is>
      </c>
      <c r="Y195" t="inlineStr">
        <is>
          <t>2026-10-02</t>
        </is>
      </c>
      <c r="AA195" t="inlineStr">
        <is>
          <t>Ineligible</t>
        </is>
      </c>
      <c r="AB195" t="inlineStr">
        <is>
          <t>Requires authorization to work in the U.S. without restrictions or need for future sponsorship.; Must be a rising senior with an expected graduation date between December 2027 and May 2028, whereas candidate is graduating in 2027 (MCA 2025-2027).</t>
        </is>
      </c>
      <c r="AC195" t="inlineStr">
        <is>
          <t>Unknown</t>
        </is>
      </c>
      <c r="AD195" t="inlineStr">
        <is>
          <t>Not specified in profile</t>
        </is>
      </c>
      <c r="AE195" t="inlineStr">
        <is>
          <t>UNKNOWN</t>
        </is>
      </c>
      <c r="AF195" t="n">
        <v>0</v>
      </c>
      <c r="AG195" t="inlineStr">
        <is>
          <t>No</t>
        </is>
      </c>
      <c r="AH195" t="inlineStr">
        <is>
          <t>Not Mentioned</t>
        </is>
      </c>
      <c r="AI195" t="inlineStr">
        <is>
          <t>The job description mentions an 11-week internship with professional development and department projects, but does not explicitly guarantee or mention a permanent full-time offer (PPO).</t>
        </is>
      </c>
      <c r="AJ195" t="inlineStr">
        <is>
          <t>Requires authorization to work in the U.S. without sponsorship.; Degree/graduation timeline mismatch (requires rising senior with graduation between Dec 2027 and May 2028).</t>
        </is>
      </c>
      <c r="AK195" t="inlineStr">
        <is>
          <t>US work authorization required; Stipend details listed as $00 and $00</t>
        </is>
      </c>
      <c r="AL195" t="inlineStr">
        <is>
          <t>Software engineering fundamentals; Python development; Database administration basics</t>
        </is>
      </c>
    </row>
    <row r="196">
      <c r="A196" t="inlineStr">
        <is>
          <t>TIKTOK-261002-195</t>
        </is>
      </c>
      <c r="B196" t="inlineStr">
        <is>
          <t>TikTok</t>
        </is>
      </c>
      <c r="C196" t="inlineStr">
        <is>
          <t>Backend Software Engineer Intern (TikTok-Global Live-Foundation) - 2027 Summer</t>
        </is>
      </c>
      <c r="D196" t="inlineStr">
        <is>
          <t>https://www.themuse.com/jobs/tiktok/backend-software-engineer-intern-tiktokglobal-livefoundation-2027-summer</t>
        </is>
      </c>
      <c r="E196" t="inlineStr">
        <is>
          <t>AI Analyzer</t>
        </is>
      </c>
      <c r="F196" t="inlineStr">
        <is>
          <t>San Jose, CA</t>
        </is>
      </c>
      <c r="G196" t="inlineStr">
        <is>
          <t>Onsite</t>
        </is>
      </c>
      <c r="I196" t="inlineStr">
        <is>
          <t>12 weeks</t>
        </is>
      </c>
      <c r="J196" t="inlineStr">
        <is>
          <t>Not Mentioned</t>
        </is>
      </c>
      <c r="K196" t="inlineStr">
        <is>
          <t>Software Development; Computer Science; Data Structures and Algorithms; Go; Java; Python; C++</t>
        </is>
      </c>
      <c r="L196" t="inlineStr">
        <is>
          <t>Concurrency; Database; Message Queue; Content Moderation System</t>
        </is>
      </c>
      <c r="M196" t="inlineStr">
        <is>
          <t>Responsibilities The TikTok LIVE Foundation Governance Engineering team is a global team responsible for ensuring the quality of live streaming content. It takes on the responsibility of building the backend system, collaborating with data scientists, ecosystem governance managers, the operations team, and the Trust &amp; Safety Algorithm team. Together, we develop human-based and machine-based moderation, the penalty center, and permission governance tools to ensure our content is high quality and enjoyable to our users worldwide. We are looking for talented individuals to join us for an internship. Our internship program offers students hands-on experience, industry exposure, and opportunities to apply their knowledge to real-world challenges while building a strong foundation for personal and professional growth. Interns will gain practical experience, explore potential career paths, and participate in social events, learning programs, and development workshops alongside industry professionals. Candidates may apply to a maximum of two positions across Our Company and its affiliates globally. Applications will be considered in the order they are submitted. Applications are reviewed on a rolling basis, so we encourage you to apply early. Please clearly state your availability in your resume, including your start and end dates. Responsibilities: - Work closely with product managers, data scientists, UI designers, and other engineers to iterate on data driven product ideas. - Improve system design and architecture to ensure service reliability, performance, and extensibility. - Learn and understand how TikTok products work and help build end-to-end solutions. - Learn and grow from working with great colleagues and taking on challenges. - Help our team grow from your expertise, experience, and perspectives. Qualifications Minimum Qualifications: - Currently pursuing an Undergraduate/Graduate in Software Development, Computer Science, Computer Engineering, or a related technical discipline. - Able to commit to working for 12 weeks during the Summer of 2027. - Strong knowledge of data structures and algorithms, proficient in at least one coding language, including but not limited to Go, Java, Python, C++. - Curiosity towards new technology and outstanding ability to analyze and solve problems. - Good grasp of software engineering and how to build a system in a scalable and extensive manner. Preferred Qualifications: - Passion about techniques and solving challenging problems. - Understanding of concurrency, database, and message queue. - Experience in content moderation system. As a condition of employment, all successful candidates must be able to establish authorization to work in the United States. For this position, the Company does not provide sponsorship or any immigration-related benefits. By submitting an application for this role, you accept and agree to our global applicant privacy policy, which may be accessed here: https://careers.tiktok.com/legal/privacy</t>
        </is>
      </c>
      <c r="N196" t="n">
        <v>39</v>
      </c>
      <c r="O196" t="n">
        <v>40</v>
      </c>
      <c r="P196" t="n">
        <v>50</v>
      </c>
      <c r="Q196" t="n">
        <v>60</v>
      </c>
      <c r="R196" t="n">
        <v>0</v>
      </c>
      <c r="S196" t="n">
        <v>0</v>
      </c>
      <c r="T196" t="n">
        <v>80</v>
      </c>
      <c r="U196" t="inlineStr">
        <is>
          <t>SKIP</t>
        </is>
      </c>
      <c r="V196" t="inlineStr">
        <is>
          <t>SKIP</t>
        </is>
      </c>
      <c r="W196" t="inlineStr">
        <is>
          <t>Go; C++; Concurrency; Message Queue</t>
        </is>
      </c>
      <c r="X196" t="inlineStr">
        <is>
          <t>Amaanuddin_Ahmed_Resume_FullStack.pdf</t>
        </is>
      </c>
      <c r="Y196" t="inlineStr">
        <is>
          <t>2026-10-02</t>
        </is>
      </c>
      <c r="AA196" t="inlineStr">
        <is>
          <t>Ineligible</t>
        </is>
      </c>
      <c r="AB196" t="inlineStr">
        <is>
          <t>Job requires authorization to work in the United States and does not provide sponsorship or immigration-related benefits, while candidate is based in Bengaluru, India.; Required languages include Go, Java, Python, C++; candidate lacks demonstrated production experience in Go, C++, or Java.</t>
        </is>
      </c>
      <c r="AC196" t="inlineStr">
        <is>
          <t>Unknown</t>
        </is>
      </c>
      <c r="AD196" t="inlineStr">
        <is>
          <t>Candidate availability dates for Summer 2027 are not explicitly provided in the profile.</t>
        </is>
      </c>
      <c r="AE196" t="inlineStr">
        <is>
          <t>UNKNOWN</t>
        </is>
      </c>
      <c r="AF196" t="n">
        <v>0</v>
      </c>
      <c r="AG196" t="inlineStr">
        <is>
          <t>No</t>
        </is>
      </c>
      <c r="AH196" t="inlineStr">
        <is>
          <t>Not Mentioned</t>
        </is>
      </c>
      <c r="AI196" t="inlineStr">
        <is>
          <t>The job description mentions hands-on experience, industry exposure, and building a foundation, but does not explicitly guarantee or mention a Pre-Placement Offer (PPO).</t>
        </is>
      </c>
      <c r="AJ196" t="inlineStr">
        <is>
          <t>Must be able to establish authorization to work in the United States without company sponsorship.; Required proficiency in at least one of Go, Java, Python, or C++ (Java and Python are listed as working knowledge on resume, but lack project demonstration).</t>
        </is>
      </c>
      <c r="AK196" t="inlineStr">
        <is>
          <t>No visa sponsorship provided for the US location.</t>
        </is>
      </c>
      <c r="AL196" t="inlineStr">
        <is>
          <t>Data Structures and Algorithms; System Design and Scalability; Database and Concurrency Concepts</t>
        </is>
      </c>
    </row>
    <row r="197">
      <c r="A197" t="inlineStr">
        <is>
          <t>TIKTOK-261002-196</t>
        </is>
      </c>
      <c r="B197" t="inlineStr">
        <is>
          <t>TikTok</t>
        </is>
      </c>
      <c r="C197" t="inlineStr">
        <is>
          <t>Software Engineer Intern (TikTok Global E-Commerce Recommendation &amp; Search Architecture) - 2027 Start</t>
        </is>
      </c>
      <c r="D197" t="inlineStr">
        <is>
          <t>https://www.themuse.com/jobs/tiktok/software-engineer-intern-tiktok-global-ecommerce-recommendation-search-architecture-2027-start</t>
        </is>
      </c>
      <c r="E197" t="inlineStr">
        <is>
          <t>AI Analyzer</t>
        </is>
      </c>
      <c r="F197" t="inlineStr">
        <is>
          <t>Singapore</t>
        </is>
      </c>
      <c r="G197" t="inlineStr">
        <is>
          <t>On-site</t>
        </is>
      </c>
      <c r="H197" t="inlineStr">
        <is>
          <t>Not specified</t>
        </is>
      </c>
      <c r="I197" t="inlineStr">
        <is>
          <t>At least 3 months</t>
        </is>
      </c>
      <c r="J197" t="inlineStr">
        <is>
          <t>None mentioned</t>
        </is>
      </c>
      <c r="K197" t="inlineStr">
        <is>
          <t>C++; Python; Data structures and algorithms; PyTorch; TensorFlow; Transformer architectures; Large Language Models (LLMs)</t>
        </is>
      </c>
      <c r="L197" t="inlineStr">
        <is>
          <t>LLM training or inference; Distributed training concepts (DP, TP, PP, FSDP, ZeRO); GPU programming technologies (CUDA, Triton)</t>
        </is>
      </c>
      <c r="M197" t="inlineStr">
        <is>
          <t>Responsibilities E-commerce is a new and fast growing business that aims at connecting all customers to excellent sellers and quality products, through E-commerce live-streaming, E-commerce short videos, and commodity recommendation. Our E-commerce Recommendation and Search Infra team is responsible for building up and optimizing the infrastructure for such recommendation and search systems, so as to provide the best experience for our users. We work closely with applied machine learning engineers and build scalable systems to support all kinds of innovative algorithms and techniques. The Search team is mainly responsible for the search algorithm innovation and architecture research and development of TikTok Shop. We use cutting-edge machine learning technology for end-to-end modeling and continuous innovation and breakthroughs, while focusing on the construction and performance optimization of distributed systems and machine learning systems. We are looking for talented individuals to join us for an internship. Our internship program offers students hands-on experience, industry exposure, and opportunities to apply their knowledge to real-world challenges while building a strong foundation for personal and professional growth. Interns will gain practical experience, explore potential career paths, and participate in social events, learning programs, and development workshops alongside industry professionals. Candidates may apply to a maximum of two positions across Our Company and its affiliates globally. Applications will be considered in the order they are submitted. Applications are reviewed on a rolling basis, so we encourage you to apply early. Please clearly state your availability in your resume, including your start and end dates. Successful candidates must be able to commit to at least 3 months long internship period. Responsibilities - Design, build and optimize distributed training infrastructure and low-latency online inference systems for large-scale recommendation models and Large Language Models - Develop high-performance GPU kernel implementations and efficient inter-node communication primitives to improve training and inference efficiency - Build compiler optimization passes and operator fusion technologies for deep learning frameworks to accelerate model execution Qualifications Minimum Qualifications: - Currently pursuing a Bachelor's or Master's degree in Computer Science, Computer Engineering, Information Systems, or a related technical discipline - Strong programming skills in C++ or Python, with solid understanding of data structures and algorithms - Familiarity with PyTorch or TensorFlow, and basic knowledge of Transformer architectures and Large Language Models (LLMs) Preferred Qualifications: - Hands-on experience with LLM training or inference through academic projects, internships, or open-source contributions - Familiarity with distributed training concepts (DP, TP, PP, FSDP, ZeRO) or GPU programming technologies (CUDA, Triton) - Strong problem-solving skills and passion for building large-scale AI systems</t>
        </is>
      </c>
      <c r="N197" t="n">
        <v>34</v>
      </c>
      <c r="O197" t="n">
        <v>20</v>
      </c>
      <c r="P197" t="n">
        <v>30</v>
      </c>
      <c r="Q197" t="n">
        <v>40</v>
      </c>
      <c r="R197" t="n">
        <v>10</v>
      </c>
      <c r="S197" t="n">
        <v>50</v>
      </c>
      <c r="T197" t="n">
        <v>90</v>
      </c>
      <c r="U197" t="inlineStr">
        <is>
          <t>SKIP</t>
        </is>
      </c>
      <c r="V197" t="inlineStr">
        <is>
          <t>SKIP</t>
        </is>
      </c>
      <c r="W197" t="inlineStr">
        <is>
          <t>C++; PyTorch; TensorFlow; Transformer architectures; Large Language Models (LLMs); GPU programming (CUDA, Triton); Distributed training concepts</t>
        </is>
      </c>
      <c r="X197" t="inlineStr">
        <is>
          <t>Amaanuddin_Ahmed_Resume.pdf</t>
        </is>
      </c>
      <c r="Y197" t="inlineStr">
        <is>
          <t>2026-10-02</t>
        </is>
      </c>
      <c r="Z197" t="inlineStr">
        <is>
          <t>Prestigious global company (TikTok) and high-quality infrastructure engineering opportunity.</t>
        </is>
      </c>
      <c r="AA197" t="inlineStr">
        <is>
          <t>Eligible</t>
        </is>
      </c>
      <c r="AB197" t="inlineStr">
        <is>
          <t>Currently pursuing a Master's degree in Computer Science or a related technical discipline (MCA program matches)</t>
        </is>
      </c>
      <c r="AC197" t="inlineStr">
        <is>
          <t>unknown</t>
        </is>
      </c>
      <c r="AD197" t="inlineStr">
        <is>
          <t>Start and end dates must be clearly stated in the resume, which requires confirmation.</t>
        </is>
      </c>
      <c r="AE197" t="inlineStr">
        <is>
          <t>UNKNOWN</t>
        </is>
      </c>
      <c r="AF197" t="n">
        <v>0</v>
      </c>
      <c r="AG197" t="inlineStr">
        <is>
          <t>No</t>
        </is>
      </c>
      <c r="AH197" t="inlineStr">
        <is>
          <t>None mentioned</t>
        </is>
      </c>
      <c r="AI197" t="inlineStr">
        <is>
          <t>The job description mentions an internship program with hands-on experience, learning programs, and professional growth, but does not explicitly guarantee or mention a conversion to a full-time PPO.</t>
        </is>
      </c>
      <c r="AK197" t="inlineStr">
        <is>
          <t>Location is Singapore, while candidate preferred location is Bengaluru, India (or remote); Heavy requirement for C++, PyTorch, TensorFlow, and LLM infrastructure which does not match candidate's core MERN/Angular stack</t>
        </is>
      </c>
      <c r="AL197" t="inlineStr">
        <is>
          <t>Data Structures and Algorithms in C++ or Python; PyTorch/TensorFlow framework internals and model optimization; Large Language Model (LLM) training and inference infrastructure; Distributed systems and GPU programming (CUDA, Triton)</t>
        </is>
      </c>
    </row>
    <row r="198">
      <c r="A198" t="inlineStr">
        <is>
          <t>TIKTOK-261002-197</t>
        </is>
      </c>
      <c r="B198" t="inlineStr">
        <is>
          <t>TikTok</t>
        </is>
      </c>
      <c r="C198" t="inlineStr">
        <is>
          <t>Software Development Engineer Intern (Global E-Commerce-Quality Platform &amp; AI Test Automation) - 2027 Summer</t>
        </is>
      </c>
      <c r="D198" t="inlineStr">
        <is>
          <t>https://www.themuse.com/jobs/tiktok/software-development-engineer-intern-global-ecommercequality-platform-ai-test-automation-2027-summer</t>
        </is>
      </c>
      <c r="E198" t="inlineStr">
        <is>
          <t>AI Analyzer</t>
        </is>
      </c>
      <c r="F198" t="inlineStr">
        <is>
          <t>Seattle, WA</t>
        </is>
      </c>
      <c r="G198" t="inlineStr">
        <is>
          <t>On-site</t>
        </is>
      </c>
      <c r="I198" t="inlineStr">
        <is>
          <t>Summer 2027</t>
        </is>
      </c>
      <c r="J198" t="inlineStr">
        <is>
          <t>Not Mentioned</t>
        </is>
      </c>
      <c r="K198" t="inlineStr">
        <is>
          <t>Software testing fundamentals; Networking; Databases; Algorithms; System design; Coding and debugging</t>
        </is>
      </c>
      <c r="L198" t="inlineStr">
        <is>
          <t>Test automation; Quality engineering; AI testing; Intelligent automation; Developer tools</t>
        </is>
      </c>
      <c r="M198" t="inlineStr">
        <is>
          <t>Responsibilities Global E-Commerce Team is a content E-commerce business with international short video products as the carrier. It is committed to becoming the first choice for users to discover and purchase good products at affordable prices. The global E-commerce business team hopes to provide users with a more tailored and efficient consumption experience, enabling merchants to receive reliable platform services in different scenarios such as live E-commerce, and short video content E-commerce, so as to make more affordable and high-quality products sell easily and a better life within reach. We are looking for talented individuals to join us for an internship. Our internship program offers students hands-on experience, industry exposure, and opportunities to apply their knowledge to real-world challenges while building a strong foundation for personal and professional growth. Interns will gain practical experience, explore potential career paths, and participate in social events, learning programs, and development workshops alongside industry professionals. Candidates may apply to a maximum of two positions across Our Company and its affiliates globally. Applications will be considered in the order they are submitted. Applications are reviewed on a rolling basis, so we encourage you to apply early. Please clearly state your availability in your resume, including your start and end dates. Candidates who pass resume screening will be invited to participate in Our Company's technical online assessment. Responsibilities: - Work alongside developers and cross-functional stakeholders to understand product requirements and translate them into effective quality strategies. - Build and maintain automation solutions for functional, regression, integration, and performance testing. - Participate in requirement reviews and technical design discussions to identify quality risks and improve testability. - Develop reusable tools, scripts, and frameworks that improve engineering efficiency and reduce manual testing effort. - Analyze bottlenecks in quality workflows and help improve testing processes, tools, and platform capabilities. - Support AI testing initiatives, including validating AI-enabled features, improving automated test generation, or using AI-assisted quality workflows to increase testing effectiveness. Qualifications Minimum Qualifications: - Currently pursuing a Bachelor's degree in Computer Science or a related discipline. - Understanding of software testing fundamentals, networking, databases, algorithms, and system design. - Hands-on coding ability and basic understanding of development and debugging workflows. - Strong execution ability, learning agility, and attention to detail. Preferred Qualifications: - Interest in test automation, quality engineering, developer tools, or scalable testing infrastructure. - Experience from internships, academic projects, competitions, or research related to software engineering or testing. - Interest in AI testing, intelligent automation, or evaluating the quality and reliability of AI-driven product features. - Comfortable working in a fast-moving, collaborative, and globally distributed team environment.</t>
        </is>
      </c>
      <c r="N198" t="n">
        <v>36</v>
      </c>
      <c r="O198" t="n">
        <v>50</v>
      </c>
      <c r="P198" t="n">
        <v>45</v>
      </c>
      <c r="Q198" t="n">
        <v>40</v>
      </c>
      <c r="R198" t="n">
        <v>0</v>
      </c>
      <c r="S198" t="n">
        <v>0</v>
      </c>
      <c r="T198" t="n">
        <v>60</v>
      </c>
      <c r="U198" t="inlineStr">
        <is>
          <t>SKIP</t>
        </is>
      </c>
      <c r="V198" t="inlineStr">
        <is>
          <t>SKIP</t>
        </is>
      </c>
      <c r="W198" t="inlineStr">
        <is>
          <t>Software testing fundamentals; Test automation; AI testing</t>
        </is>
      </c>
      <c r="X198" t="inlineStr">
        <is>
          <t>Amaanuddin_Ahmed_Resume.pdf</t>
        </is>
      </c>
      <c r="Y198" t="inlineStr">
        <is>
          <t>2026-10-02</t>
        </is>
      </c>
      <c r="Z198" t="inlineStr">
        <is>
          <t>Big tech brand name with global scale e-commerce platform exposure.</t>
        </is>
      </c>
      <c r="AA198" t="inlineStr">
        <is>
          <t>Ineligible</t>
        </is>
      </c>
      <c r="AB198" t="inlineStr">
        <is>
          <t>Job location is Seattle, WA, but candidate prefers Bengaluru, India.; Requires Bachelor's degree pursuit, while candidate is pursuing an MCA.</t>
        </is>
      </c>
      <c r="AC198" t="inlineStr">
        <is>
          <t>Unknown</t>
        </is>
      </c>
      <c r="AD198" t="inlineStr">
        <is>
          <t>Candidate availability dates are not explicitly detailed relative to the specific Summer 2027 term start/end requirements.</t>
        </is>
      </c>
      <c r="AE198" t="inlineStr">
        <is>
          <t>UNKNOWN</t>
        </is>
      </c>
      <c r="AF198" t="n">
        <v>0</v>
      </c>
      <c r="AG198" t="inlineStr">
        <is>
          <t>No</t>
        </is>
      </c>
      <c r="AH198" t="inlineStr">
        <is>
          <t>Not Mentioned</t>
        </is>
      </c>
      <c r="AI198" t="inlineStr">
        <is>
          <t>No mention of conversion to full-time or PPO in the job description.</t>
        </is>
      </c>
      <c r="AJ198" t="inlineStr">
        <is>
          <t>Geographic location mismatch (Seattle, WA vs Bengaluru, India); Degree level mismatch (Bachelor's required vs MCA candidate)</t>
        </is>
      </c>
      <c r="AK198" t="inlineStr">
        <is>
          <t>Location is out of preferred region; Degree requirement mismatch</t>
        </is>
      </c>
      <c r="AL198" t="inlineStr">
        <is>
          <t>Test automation frameworks; System design and testing workflows; AI-assisted quality validation</t>
        </is>
      </c>
    </row>
    <row r="199">
      <c r="A199" t="inlineStr">
        <is>
          <t>HN-WHO-IS-HI-261002-198</t>
        </is>
      </c>
      <c r="B199" t="inlineStr">
        <is>
          <t>HN Who Is Hiring</t>
        </is>
      </c>
      <c r="C199" t="inlineStr">
        <is>
          <t>Software Engineering Intern</t>
        </is>
      </c>
      <c r="D199" t="inlineStr">
        <is>
          <t>https://news.ycombinator.com/item?id=49930874</t>
        </is>
      </c>
      <c r="E199" t="inlineStr">
        <is>
          <t>AI Analyzer</t>
        </is>
      </c>
      <c r="F199" t="inlineStr">
        <is>
          <t>Kabianga, Kenya</t>
        </is>
      </c>
      <c r="G199" t="inlineStr">
        <is>
          <t>Remote</t>
        </is>
      </c>
      <c r="H199" t="inlineStr">
        <is>
          <t>Unspecified</t>
        </is>
      </c>
      <c r="I199" t="inlineStr">
        <is>
          <t>UNKNOWN</t>
        </is>
      </c>
      <c r="J199" t="inlineStr">
        <is>
          <t>UNKNOWN</t>
        </is>
      </c>
      <c r="K199" t="inlineStr">
        <is>
          <t>Python; Javascript; TypeScript; HTML/CSS UI; PostgreSQL; REST APIs; Web Scraping</t>
        </is>
      </c>
      <c r="L199" t="inlineStr">
        <is>
          <t>Selenium; Playwright; Headless Browsers; Vercel; Render; GitHub</t>
        </is>
      </c>
      <c r="M199" t="inlineStr">
        <is>
          <t>hopefreymosingi | Location: Kabianga, Kenya | Remote: Open | Willing to relocate: Yes | Technologies: Python, Javascript, TypeScript, HTML/CSS UI, PostgreSQL, REST APIs, Web Scraping (Selenium, Playwright), Headless Browsers, Vercel, Render, GitHub | Project Portfolio: Built a fully automated cross-platform social application that aggregates content and handles multi-platform publishing. Integrated automated DM/comment engines and third-party developer APIs. Experienced in full-stack web and desktop app architecture, moving into mobile development. Email: hopefreymosingi1@gmail.com | Open to contract work, internships, and full-time junior/mid-level roles.</t>
        </is>
      </c>
      <c r="N199" t="n">
        <v>50</v>
      </c>
      <c r="O199" t="n">
        <v>50</v>
      </c>
      <c r="P199" t="n">
        <v>70</v>
      </c>
      <c r="Q199" t="n">
        <v>80</v>
      </c>
      <c r="R199" t="n">
        <v>30</v>
      </c>
      <c r="S199" t="n">
        <v>0</v>
      </c>
      <c r="T199" t="n">
        <v>40</v>
      </c>
      <c r="U199" t="inlineStr">
        <is>
          <t>SKIP</t>
        </is>
      </c>
      <c r="V199" t="inlineStr">
        <is>
          <t>SKIP</t>
        </is>
      </c>
      <c r="W199" t="inlineStr">
        <is>
          <t>Python; TypeScript; PostgreSQL; Web Scraping; Selenium; Playwright; Headless Browsers</t>
        </is>
      </c>
      <c r="X199" t="inlineStr">
        <is>
          <t>Amaanuddin_Ahmed_Resume_Full_Stack.pdf</t>
        </is>
      </c>
      <c r="Y199" t="inlineStr">
        <is>
          <t>2026-10-02</t>
        </is>
      </c>
      <c r="Z199" t="inlineStr">
        <is>
          <t>Accepts remote internship applications.; Aligns with general full-stack developer intern target roles.</t>
        </is>
      </c>
      <c r="AA199" t="inlineStr">
        <is>
          <t>ELIGIBLE</t>
        </is>
      </c>
      <c r="AB199" t="inlineStr">
        <is>
          <t>The role is open to remote work and accepts internships.; No strict degree, graduation year, or location blockers are mentioned for this Hacker News listing.</t>
        </is>
      </c>
      <c r="AC199" t="inlineStr">
        <is>
          <t>UNKNOWN</t>
        </is>
      </c>
      <c r="AD199" t="inlineStr">
        <is>
          <t>Exact start and end dates are not specified in the job description.</t>
        </is>
      </c>
      <c r="AE199" t="inlineStr">
        <is>
          <t>UNKNOWN</t>
        </is>
      </c>
      <c r="AF199" t="n">
        <v>0</v>
      </c>
      <c r="AG199" t="inlineStr">
        <is>
          <t>No</t>
        </is>
      </c>
      <c r="AH199" t="inlineStr">
        <is>
          <t>UNKNOWN</t>
        </is>
      </c>
      <c r="AI199" t="inlineStr">
        <is>
          <t>No mention of conversion or PPO in the unstructured HN listing.</t>
        </is>
      </c>
      <c r="AK199" t="inlineStr">
        <is>
          <t>The listing is an unstructured personal/direct post on Hacker News rather than a formal corporate opening.; Stipend details are completely missing.</t>
        </is>
      </c>
      <c r="AL199" t="inlineStr">
        <is>
          <t>JavaScript asynchronous programming; Handling REST APIs and database integrations; Experience with full-stack web architectures</t>
        </is>
      </c>
    </row>
    <row r="200">
      <c r="A200" t="inlineStr">
        <is>
          <t>STOKE-SPACE-261002-199</t>
        </is>
      </c>
      <c r="B200" t="inlineStr">
        <is>
          <t>Stoke Space</t>
        </is>
      </c>
      <c r="C200" t="inlineStr">
        <is>
          <t>Software Engineer Intern</t>
        </is>
      </c>
      <c r="D200" t="inlineStr">
        <is>
          <t>https://news.ycombinator.com/item?id=49929563</t>
        </is>
      </c>
      <c r="E200" t="inlineStr">
        <is>
          <t>AI Analyzer</t>
        </is>
      </c>
      <c r="F200" t="inlineStr">
        <is>
          <t>Seattle, WA / Moses Lake, WA / Cape Canaveral, FL, USA</t>
        </is>
      </c>
      <c r="G200" t="inlineStr">
        <is>
          <t>onsite</t>
        </is>
      </c>
      <c r="H200" t="inlineStr">
        <is>
          <t>Not specified</t>
        </is>
      </c>
      <c r="I200" t="inlineStr">
        <is>
          <t>~14 week terms (summer and fall 2027 classes)</t>
        </is>
      </c>
      <c r="J200" t="inlineStr">
        <is>
          <t>unknown</t>
        </is>
      </c>
      <c r="K200" t="inlineStr">
        <is>
          <t>Rust; TypeScript; Svelte; WASM; LabVIEW</t>
        </is>
      </c>
      <c r="L200" t="inlineStr">
        <is>
          <t>Firmware; Flight Computer Software; Autonomy; Ground Support Software</t>
        </is>
      </c>
      <c r="M200" t="inlineStr">
        <is>
          <t>Stoke Space | ONSITE in Seattle, WA / Moses Lake, WA / Cape Canaveral, FL | Software Engineer | Full-Time, Internship | Salary: $98k-$289k USD | https://www.stokespace.com Company: At Stoke, we believe a thriving space economy will enable a vibrant, sustainable, and equitable future here on Earth. That is why we’re building Nova, our fully and rapidly reusable launch vehicle. Designed for daily flight, Nova tackles the core challenges of space transportation by reducing cost, increasing availability, and improving reliability. By radically lowering launch costs and increasing flight cadence, we’re helping create a truly scalable space industry. Technologies: The team I'm on, Vehicle Software, makes a full in house control stack (firmware, flight computer, autonomy, ground support) in Rust. Data collected from our operations is served by a blazing fast front end written in Typescript, Svelte, and WASM, served by a Rust API. Our launch-day interface is in LabVIEW. Roles: For full-time, we are currently hiring for a Rust-based controls engineer, a front-end engineer with experience in the stack above, and a strong software engineer with interest in working in both Rust and LabVIEW. We are also hiring software integration engineers in Kent and Moses Lake. On the intern side, we are currently looking for talented interns for our summer and fall 2027 classes (~14 week terms from March to September). Apply at https://www.stokespace.com/open-roles?department=Software , and feel free to DM me with questions!</t>
        </is>
      </c>
      <c r="N200" t="n">
        <v>21</v>
      </c>
      <c r="O200" t="n">
        <v>10</v>
      </c>
      <c r="P200" t="n">
        <v>20</v>
      </c>
      <c r="Q200" t="n">
        <v>40</v>
      </c>
      <c r="R200" t="n">
        <v>0</v>
      </c>
      <c r="S200" t="n">
        <v>0</v>
      </c>
      <c r="T200" t="n">
        <v>80</v>
      </c>
      <c r="U200" t="inlineStr">
        <is>
          <t>SKIP</t>
        </is>
      </c>
      <c r="V200" t="inlineStr">
        <is>
          <t>SKIP</t>
        </is>
      </c>
      <c r="W200" t="inlineStr">
        <is>
          <t>Rust; TypeScript; Svelte; WASM; LabVIEW</t>
        </is>
      </c>
      <c r="X200" t="inlineStr">
        <is>
          <t>Amaanuddin_Ahmed_Resume.pdf</t>
        </is>
      </c>
      <c r="Y200" t="inlineStr">
        <is>
          <t>2026-10-02</t>
        </is>
      </c>
      <c r="AA200" t="inlineStr">
        <is>
          <t>ineligible</t>
        </is>
      </c>
      <c r="AB200" t="inlineStr">
        <is>
          <t>The role is strictly ONSITE in the United States (Seattle, WA / Moses Lake, WA / Cape Canaveral, FL), whereas the candidate is based in Bengaluru, India and requires remote work or relocation support not indicated for interns.; The core tech stack requires Rust, Svelte, and WASM or LabVIEW, which are not present in the candidate's demonstrated skill set.</t>
        </is>
      </c>
      <c r="AC200" t="inlineStr">
        <is>
          <t>unknown</t>
        </is>
      </c>
      <c r="AD200" t="inlineStr">
        <is>
          <t>The internship runs from March to September 2027 (~14 week terms), which aligns with the candidate's MCA program (2025-2027), but exact availability dates have not been specified.</t>
        </is>
      </c>
      <c r="AE200" t="inlineStr">
        <is>
          <t>unknown</t>
        </is>
      </c>
      <c r="AF200" t="n">
        <v>0</v>
      </c>
      <c r="AG200" t="inlineStr">
        <is>
          <t>No</t>
        </is>
      </c>
      <c r="AH200" t="inlineStr">
        <is>
          <t>unknown</t>
        </is>
      </c>
      <c r="AI200" t="inlineStr">
        <is>
          <t>No mention of PPO or conversion opportunities in the job description.</t>
        </is>
      </c>
      <c r="AJ200" t="inlineStr">
        <is>
          <t>Strictly ONSITE in United States locations (Seattle, WA / Moses Lake, WA / Cape Canaveral, FL); Mandatory tech stack (Rust, Svelte, WASM / LabVIEW) not matched</t>
        </is>
      </c>
      <c r="AK200" t="inlineStr">
        <is>
          <t>Location mismatch (US Onsite vs India based); Tech stack mismatch (Systems/Aerospace software vs Web/Full stack profile)</t>
        </is>
      </c>
      <c r="AL200" t="inlineStr">
        <is>
          <t>Rust concurrency and memory safety; Frontend development with TypeScript and Svelte; Control systems and flight software architecture</t>
        </is>
      </c>
    </row>
    <row r="201">
      <c r="A201" t="inlineStr">
        <is>
          <t>STELLAR-SCIE-261002-200</t>
        </is>
      </c>
      <c r="B201" t="inlineStr">
        <is>
          <t>Stellar Science</t>
        </is>
      </c>
      <c r="C201" t="inlineStr">
        <is>
          <t>Intern</t>
        </is>
      </c>
      <c r="D201" t="inlineStr">
        <is>
          <t>https://news.ycombinator.com/item?id=49929352</t>
        </is>
      </c>
      <c r="E201" t="inlineStr">
        <is>
          <t>AI Analyzer</t>
        </is>
      </c>
      <c r="F201" t="inlineStr">
        <is>
          <t>Albuquerque NM, Washington DC (Tysons VA), Dayton OH</t>
        </is>
      </c>
      <c r="G201" t="inlineStr">
        <is>
          <t>hybrid</t>
        </is>
      </c>
      <c r="H201" t="inlineStr">
        <is>
          <t>not specified</t>
        </is>
      </c>
      <c r="I201" t="inlineStr">
        <is>
          <t>unknown</t>
        </is>
      </c>
      <c r="J201" t="inlineStr">
        <is>
          <t>not mentioned</t>
        </is>
      </c>
      <c r="K201" t="inlineStr">
        <is>
          <t>C++23; Qt 6.9; CMake; git; OpenGL; CUDA; Boost; Jenkins</t>
        </is>
      </c>
      <c r="L201" t="inlineStr">
        <is>
          <t>Python; Java; TypeScript; React</t>
        </is>
      </c>
      <c r="M201" t="inlineStr">
        <is>
          <t>Stellar Science | Hybrid (USA) Albuquerque NM, Washington DC (Tysons VA), Dayton OH | Full time, interns/co-ops | U.S. citizenship required | https://www.stellarscience.com Company : We're a small scientific software development company that develops custom scientific and engineering analysis applications in domains including: space situational awareness (monitoring the locations, health and status of on-orbit satellites), image simulation, high power microwave systems, modeling and simulation, laser systems modeling, AI/ML including physics-informed neural networks (PINN), human body thermoregulation, computer vision and image processing, high performance computing (HPC), computer aided design (CAD), and more. All exciting applications and no CRUD. We emphasize high quality code and lightweight processes that free software engineers to be productive. Experience : Except for interns, we currently require a Bachelors degree in physics, engineering, math, computer science, or a related field. Masters or PhD is a plus. (Roughly 25% of our staff have PhDs.) Technologies : Lots of C++23, Qt 6.9, CMake, git, OpenGL, CUDA, Boost, Jenkins. Windows and Linux, msvc/gcc/clang/clangcl. AI/ML and analysis projects use Python and C++. Web projects use Java and Typescript/React. We're a bit behind the curve on developer AI adoption, and we're okay with that. Apply online : at https://www.stellarscience.com/careers/ .</t>
        </is>
      </c>
      <c r="N201" t="n">
        <v>12</v>
      </c>
      <c r="O201" t="n">
        <v>10</v>
      </c>
      <c r="P201" t="n">
        <v>10</v>
      </c>
      <c r="Q201" t="n">
        <v>20</v>
      </c>
      <c r="R201" t="n">
        <v>0</v>
      </c>
      <c r="S201" t="n">
        <v>0</v>
      </c>
      <c r="T201" t="n">
        <v>40</v>
      </c>
      <c r="U201" t="inlineStr">
        <is>
          <t>SKIP</t>
        </is>
      </c>
      <c r="V201" t="inlineStr">
        <is>
          <t>SKIP</t>
        </is>
      </c>
      <c r="W201" t="inlineStr">
        <is>
          <t>C++23; Qt 6.9; CMake; OpenGL; CUDA; Boost; Jenkins</t>
        </is>
      </c>
      <c r="X201" t="inlineStr">
        <is>
          <t>Amaanuddin_Ahmed_Resume.pdf</t>
        </is>
      </c>
      <c r="Y201" t="inlineStr">
        <is>
          <t>2026-10-02</t>
        </is>
      </c>
      <c r="AA201" t="inlineStr">
        <is>
          <t>ineligible</t>
        </is>
      </c>
      <c r="AB201" t="inlineStr">
        <is>
          <t>U.S. citizenship required; Location is in the USA (candidate is in Bengaluru, India)</t>
        </is>
      </c>
      <c r="AC201" t="inlineStr">
        <is>
          <t>unknown</t>
        </is>
      </c>
      <c r="AD201" t="inlineStr">
        <is>
          <t>Not specified in profile</t>
        </is>
      </c>
      <c r="AE201" t="inlineStr">
        <is>
          <t>unknown</t>
        </is>
      </c>
      <c r="AF201" t="n">
        <v>0</v>
      </c>
      <c r="AG201" t="inlineStr">
        <is>
          <t>No</t>
        </is>
      </c>
      <c r="AH201" t="inlineStr">
        <is>
          <t>not mentioned</t>
        </is>
      </c>
      <c r="AI201" t="inlineStr">
        <is>
          <t>No mention of PPO or conversion.</t>
        </is>
      </c>
      <c r="AJ201" t="inlineStr">
        <is>
          <t>U.S. citizenship required; Location requirements (USA only)</t>
        </is>
      </c>
      <c r="AK201" t="inlineStr">
        <is>
          <t>U.S. citizenship required; Location mismatch</t>
        </is>
      </c>
    </row>
    <row r="202">
      <c r="A202" t="inlineStr">
        <is>
          <t>QUALCOMM-261002-201</t>
        </is>
      </c>
      <c r="B202" t="inlineStr">
        <is>
          <t>Qualcomm</t>
        </is>
      </c>
      <c r="C202" t="inlineStr">
        <is>
          <t>Software Developer (QEMU / Hexagon DSP)</t>
        </is>
      </c>
      <c r="D202" t="inlineStr">
        <is>
          <t>https://news.ycombinator.com/item?id=49928358</t>
        </is>
      </c>
      <c r="E202" t="inlineStr">
        <is>
          <t>AI Analyzer</t>
        </is>
      </c>
      <c r="F202" t="inlineStr">
        <is>
          <t>Canada</t>
        </is>
      </c>
      <c r="G202" t="inlineStr">
        <is>
          <t>Remote</t>
        </is>
      </c>
      <c r="I202" t="inlineStr">
        <is>
          <t>Not Specified</t>
        </is>
      </c>
      <c r="J202" t="inlineStr">
        <is>
          <t>No</t>
        </is>
      </c>
      <c r="K202" t="inlineStr">
        <is>
          <t>C; C++; Rust; QEMU; Assembly/Disassembly</t>
        </is>
      </c>
      <c r="L202" t="inlineStr">
        <is>
          <t>VLIW architecture; Open Source contributions</t>
        </is>
      </c>
      <c r="M202" t="inlineStr">
        <is>
          <t>Qualcomm | Canada | Full Time | Engineer | Remote(Canada)| QEMU My team is looking to hire a ~entry-level software developer to help us design and extend QEMU support [1] for the Hexagon DSP [2]. We're looking for candidates who have experience coding in C, C++ or Rust* and who aren't afraid of rolling up their sleeves and poring over disassembled code. This particular architecture is a bit more challenging than most, because it's a bit unique. It's a VLIW [3], so it's a great opportunity to learn about an interesting architecture. Millions of Hexagon DSPs are out there, most are found in DragonWing/Snapdragon/DragonFly SoCs for Laptops, Android phones, cars and more! We collaborate a lot with Open Source communities like QEMU, LLVM [4], the Linux kernel [5], and more. I love being able to work on Open Source software at my day job. You can contact me directly (email addr is in my HN user link). If you don't have experience with QEMU - don't worry! Most of us didn't have any experience with it until recently, too. The rest of the team you'd work with lives mostly in Canada, EU, US. * Rust experience may serve the role well but we don’t (yet) have any product software in Rust. [1] https://github.com/qemu/qemu/tree/master/target/hexagon [2] https://en.wikipedia.org/wiki/Qualcomm_Hexagon [3] https://en.wikipedia.org/wiki/Very_long_instruction_word [4] https://foundation.llvm.org/docs/sponsors/ [5] https://www.linuxfoundation.org/our-members-are-our-superpow...</t>
        </is>
      </c>
      <c r="N202" t="n">
        <v>15</v>
      </c>
      <c r="O202" t="n">
        <v>10</v>
      </c>
      <c r="P202" t="n">
        <v>15</v>
      </c>
      <c r="Q202" t="n">
        <v>20</v>
      </c>
      <c r="R202" t="n">
        <v>0</v>
      </c>
      <c r="S202" t="n">
        <v>0</v>
      </c>
      <c r="T202" t="n">
        <v>60</v>
      </c>
      <c r="U202" t="inlineStr">
        <is>
          <t>SKIP</t>
        </is>
      </c>
      <c r="V202" t="inlineStr">
        <is>
          <t>SKIP</t>
        </is>
      </c>
      <c r="W202" t="inlineStr">
        <is>
          <t>C; C++; Rust; QEMU</t>
        </is>
      </c>
      <c r="X202" t="inlineStr">
        <is>
          <t>Amaanuddin_Ahmed_Resume.pdf</t>
        </is>
      </c>
      <c r="Y202" t="inlineStr">
        <is>
          <t>2026-10-02</t>
        </is>
      </c>
      <c r="AA202" t="inlineStr">
        <is>
          <t>Ineligible</t>
        </is>
      </c>
      <c r="AB202" t="inlineStr">
        <is>
          <t>Job location is restricted to Remote (Canada) and requires candidate presence/eligibility in Canada.; Job type is Full Time, whereas candidate is seeking an internship.; Mandatory systems/low-level programming technologies (C, C++, Rust, QEMU, Assembly/disassembled code analysis) are absent from candidate's demonstrated skill set.</t>
        </is>
      </c>
      <c r="AC202" t="inlineStr">
        <is>
          <t>Unknown</t>
        </is>
      </c>
      <c r="AD202" t="inlineStr">
        <is>
          <t>Availability is compatible with student status, but geographic and job-type constraints block application.</t>
        </is>
      </c>
      <c r="AE202" t="inlineStr">
        <is>
          <t>UNKNOWN</t>
        </is>
      </c>
      <c r="AF202" t="n">
        <v>0</v>
      </c>
      <c r="AG202" t="inlineStr">
        <is>
          <t>No</t>
        </is>
      </c>
      <c r="AH202" t="inlineStr">
        <is>
          <t>No</t>
        </is>
      </c>
      <c r="AI202" t="inlineStr">
        <is>
          <t>Job is listed as Full Time permanent entry-level role, not an internship with PPO conversion.</t>
        </is>
      </c>
      <c r="AJ202" t="inlineStr">
        <is>
          <t>Remote (Canada) location restriction; Full-time role requirement vs student internship target; Lack of required systems programming languages (C, C++, Rust)</t>
        </is>
      </c>
      <c r="AK202" t="inlineStr">
        <is>
          <t>Geographic mismatch; Employment type mismatch</t>
        </is>
      </c>
      <c r="AL202" t="inlineStr">
        <is>
          <t>C/C++ memory management; QEMU emulation internals; VLIW architecture concepts</t>
        </is>
      </c>
    </row>
    <row r="203">
      <c r="A203" t="inlineStr">
        <is>
          <t>COLUMN-261002-202</t>
        </is>
      </c>
      <c r="B203" t="inlineStr">
        <is>
          <t>Column</t>
        </is>
      </c>
      <c r="C203" t="inlineStr">
        <is>
          <t>Software Engineer</t>
        </is>
      </c>
      <c r="D203" t="inlineStr">
        <is>
          <t>https://news.ycombinator.com/item?id=49927896</t>
        </is>
      </c>
      <c r="E203" t="inlineStr">
        <is>
          <t>AI Analyzer</t>
        </is>
      </c>
      <c r="F203" t="inlineStr">
        <is>
          <t>San Francisco, CA</t>
        </is>
      </c>
      <c r="G203" t="inlineStr">
        <is>
          <t>onsite</t>
        </is>
      </c>
      <c r="H203" t="inlineStr">
        <is>
          <t>not specified</t>
        </is>
      </c>
      <c r="I203" t="inlineStr">
        <is>
          <t>not specified</t>
        </is>
      </c>
      <c r="J203" t="inlineStr">
        <is>
          <t>unknown</t>
        </is>
      </c>
      <c r="K203" t="inlineStr">
        <is>
          <t>Software Engineering</t>
        </is>
      </c>
      <c r="L203" t="inlineStr">
        <is>
          <t>Backend; Infra; Product; Security</t>
        </is>
      </c>
      <c r="M203" t="inlineStr">
        <is>
          <t>Column ( https://column.com ) | ONSITE San Francisco, CA | Full Time | Software Engineers (Backend, Infra, Product, Security) | Forward-deployed Engineers | Solutions Engineers, Payment Ops, Growth, Partnerships &amp; Emerging Markets Column is building the infrastructure that powers the US dollar globally. We're a software first company, but also own a nationally chartered bank that we've built from the ground up. We're processing trillions of dollars annually, supporting some of the largest and most sophisticated companies out there like Wise, Bilt, Brex, Ramp, Mercury and dozens of others. We just launched stablecoins, full-stack card issuing, global banking, and multicurrency accounts: https://column.com/launch Column was founded by William Hockey, who previously started Plaid. We keep an extremely lean and experienced team, and we're looking for ambitious people who want to build incredible software from first principles: - Software Engineers (Backend, Infra, Product, Security) - Forward-deployed Engineers - Solutions Engineers - Payment Operations (new grad / early career) - Growth - Partnerships - Emerging Markets Profitable and owned by employees and founders. Apply here: https://column.com/careers</t>
        </is>
      </c>
      <c r="N203" t="n">
        <v>29</v>
      </c>
      <c r="O203" t="n">
        <v>40</v>
      </c>
      <c r="P203" t="n">
        <v>30</v>
      </c>
      <c r="Q203" t="n">
        <v>20</v>
      </c>
      <c r="R203" t="n">
        <v>0</v>
      </c>
      <c r="S203" t="n">
        <v>0</v>
      </c>
      <c r="T203" t="n">
        <v>80</v>
      </c>
      <c r="U203" t="inlineStr">
        <is>
          <t>SKIP</t>
        </is>
      </c>
      <c r="V203" t="inlineStr">
        <is>
          <t>SKIP</t>
        </is>
      </c>
      <c r="W203" t="inlineStr">
        <is>
          <t>Infra; Security</t>
        </is>
      </c>
      <c r="X203" t="inlineStr">
        <is>
          <t>Amaanuddin_Ahmed_Resume.pdf</t>
        </is>
      </c>
      <c r="Y203" t="inlineStr">
        <is>
          <t>2026-10-02</t>
        </is>
      </c>
      <c r="Z203" t="inlineStr">
        <is>
          <t>Column is a prestigious financial infrastructure company founded by the co-founder of Plaid.</t>
        </is>
      </c>
      <c r="AA203" t="inlineStr">
        <is>
          <t>ineligible</t>
        </is>
      </c>
      <c r="AB203" t="inlineStr">
        <is>
          <t>Job requires ONSITE presence in San Francisco, CA, but candidate prefers Bengaluru, India (or remote).; Role is advertised as Full Time, whereas candidate is looking for an internship.</t>
        </is>
      </c>
      <c r="AC203" t="inlineStr">
        <is>
          <t>unknown</t>
        </is>
      </c>
      <c r="AD203" t="inlineStr">
        <is>
          <t>Not specified</t>
        </is>
      </c>
      <c r="AE203" t="inlineStr">
        <is>
          <t>unknown</t>
        </is>
      </c>
      <c r="AF203" t="n">
        <v>0</v>
      </c>
      <c r="AG203" t="inlineStr">
        <is>
          <t>No</t>
        </is>
      </c>
      <c r="AH203" t="inlineStr">
        <is>
          <t>unknown</t>
        </is>
      </c>
      <c r="AI203" t="inlineStr">
        <is>
          <t>No mention of PPO or conversion since this is a full-time role.</t>
        </is>
      </c>
      <c r="AJ203" t="inlineStr">
        <is>
          <t>ONSITE San Francisco, CA location requirement conflicts with candidate location preferences.; Full-time employment type conflicts with candidate internship target.</t>
        </is>
      </c>
      <c r="AL203" t="inlineStr">
        <is>
          <t>Backend system architecture; Distributed infrastructure</t>
        </is>
      </c>
    </row>
    <row r="204">
      <c r="A204" t="inlineStr">
        <is>
          <t>RINSE-261002-203</t>
        </is>
      </c>
      <c r="B204" t="inlineStr">
        <is>
          <t>Rinse</t>
        </is>
      </c>
      <c r="C204" t="inlineStr">
        <is>
          <t>Software Engineer</t>
        </is>
      </c>
      <c r="D204" t="inlineStr">
        <is>
          <t>https://news.ycombinator.com/item?id=49927692</t>
        </is>
      </c>
      <c r="E204" t="inlineStr">
        <is>
          <t>AI Analyzer</t>
        </is>
      </c>
      <c r="F204" t="inlineStr">
        <is>
          <t>Remote (US or Canada) or specific US/Canada cities</t>
        </is>
      </c>
      <c r="G204" t="inlineStr">
        <is>
          <t>Remote</t>
        </is>
      </c>
      <c r="H204" t="inlineStr">
        <is>
          <t>Salary: $80k-$200k USD (listed as Full-Time role, not an internship stipend)</t>
        </is>
      </c>
      <c r="I204" t="inlineStr">
        <is>
          <t>Not specified</t>
        </is>
      </c>
      <c r="J204" t="inlineStr">
        <is>
          <t>none</t>
        </is>
      </c>
      <c r="K204" t="inlineStr">
        <is>
          <t>React; TypeScript; CSS; Python; Django</t>
        </is>
      </c>
      <c r="L204" t="inlineStr">
        <is>
          <t>AI; Computer Vision; MCP services; React Native; Postgres</t>
        </is>
      </c>
      <c r="M204" t="inlineStr">
        <is>
          <t>RINSE | REMOTE (US or Canada) or San Francisco, Los Angeles, Chicago, Boston, New York City, New Jersey, Seattle, Austin, Toronto, or Washington DC | Software Engineer | Full-Time | Salary: $80k-$200k USD | https://www.rinse.com Rinse provides dry cleaning and laundry delivery services to customers in twelve metropolitan areas in the US and Canada. We have sophisticated logistics optimization software, a polished consumer product, and firm business fundamentals. We're now over a decade old - this is a stable, yet consistently growing and innovating, company. Our engineering team is distributed across the United States and internationally, and has been entirely remote for years now, but a desk can be provided in the above cities if you'd prefer. We're open to both newly-graduated engineers or more senior engineers, provided they meet our bar. We're particularly interested in true full-stack engineers, with strong React / Typescript / CSS skills to complement comfort in a Python / Django environment. We're also seeking engineers with experience leveraging AI to automate complex operational processes. This season, we're particularly interested in new grads or junior engineers, to round out the team. We're also looking for people with experience manipulating video data at scale, for computer vision applications. Similarly, we're interested in adding people with experience building and managing MCP services. You will join a high-caliber team where collaboration, honesty, and open communication are at the core of everything we do. Search term bingo: Logistics, Django, Python, Optimization, React, React Native, Postgres, Mobile Engineer, Automation, Delivery, OR-tools, Forecasting, Vision, Physical AI, MCP</t>
        </is>
      </c>
      <c r="N204" t="n">
        <v>34</v>
      </c>
      <c r="O204" t="n">
        <v>40</v>
      </c>
      <c r="P204" t="n">
        <v>40</v>
      </c>
      <c r="Q204" t="n">
        <v>20</v>
      </c>
      <c r="R204" t="n">
        <v>0</v>
      </c>
      <c r="S204" t="n">
        <v>50</v>
      </c>
      <c r="T204" t="n">
        <v>60</v>
      </c>
      <c r="U204" t="inlineStr">
        <is>
          <t>SKIP</t>
        </is>
      </c>
      <c r="V204" t="inlineStr">
        <is>
          <t>SKIP</t>
        </is>
      </c>
      <c r="W204" t="inlineStr">
        <is>
          <t>TypeScript; Python; Django</t>
        </is>
      </c>
      <c r="X204" t="inlineStr">
        <is>
          <t>Amaanuddin_Ahmed_Resume.pdf</t>
        </is>
      </c>
      <c r="Y204" t="inlineStr">
        <is>
          <t>2026-10-02</t>
        </is>
      </c>
      <c r="AA204" t="inlineStr">
        <is>
          <t>ineligible</t>
        </is>
      </c>
      <c r="AB204" t="inlineStr">
        <is>
          <t>The role requires residency/eligibility in the US or Canada, whereas the candidate is located in Bengaluru, India.; The job type is Full-Time, while the candidate is seeking an internship.</t>
        </is>
      </c>
      <c r="AC204" t="inlineStr">
        <is>
          <t>unknown</t>
        </is>
      </c>
      <c r="AD204" t="inlineStr">
        <is>
          <t>Candidate availability relative to US/Canada full-time hiring timelines was not specified.</t>
        </is>
      </c>
      <c r="AE204" t="inlineStr">
        <is>
          <t>UNKNOWN</t>
        </is>
      </c>
      <c r="AF204" t="n">
        <v>0</v>
      </c>
      <c r="AG204" t="inlineStr">
        <is>
          <t>No</t>
        </is>
      </c>
      <c r="AH204" t="inlineStr">
        <is>
          <t>none</t>
        </is>
      </c>
      <c r="AI204" t="inlineStr">
        <is>
          <t>No mention of PPO or conversion since this is a direct full-time hire.</t>
        </is>
      </c>
      <c r="AJ204" t="inlineStr">
        <is>
          <t>Location requirement restricts candidates to US or Canada; Employment type is Full-Time, whereas candidate is targeting Internships</t>
        </is>
      </c>
      <c r="AK204" t="inlineStr">
        <is>
          <t>Role is full-time while candidate is an MCA student graduating in 2027 looking for internships; Geographic location outside US/Canada</t>
        </is>
      </c>
      <c r="AL204" t="inlineStr">
        <is>
          <t>Python and Django backend development; TypeScript and React front-end architecture; AI and computer vision automation workflows</t>
        </is>
      </c>
    </row>
    <row r="205">
      <c r="A205" t="inlineStr">
        <is>
          <t>TEN179030912-261002-204</t>
        </is>
      </c>
      <c r="B205" t="inlineStr">
        <is>
          <t>ten1790309126</t>
        </is>
      </c>
      <c r="C205" t="inlineStr">
        <is>
          <t>Software Development Intern</t>
        </is>
      </c>
      <c r="D205" t="inlineStr">
        <is>
          <t>https://internshala.com/internship/detail/work-from-home-software-development-internship-at-ten1790309126</t>
        </is>
      </c>
      <c r="E205" t="inlineStr">
        <is>
          <t>AI Analyzer</t>
        </is>
      </c>
      <c r="F205" t="inlineStr">
        <is>
          <t>India</t>
        </is>
      </c>
      <c r="G205" t="inlineStr">
        <is>
          <t>Work from Home</t>
        </is>
      </c>
      <c r="H205" t="inlineStr">
        <is>
          <t>Not specified</t>
        </is>
      </c>
      <c r="I205" t="inlineStr">
        <is>
          <t>Not specified</t>
        </is>
      </c>
      <c r="J205" t="inlineStr">
        <is>
          <t>Not mentioned</t>
        </is>
      </c>
      <c r="M205" t="inlineStr">
        <is>
          <t>Software Development</t>
        </is>
      </c>
      <c r="N205" t="n">
        <v>46</v>
      </c>
      <c r="O205" t="n">
        <v>50</v>
      </c>
      <c r="P205" t="n">
        <v>50</v>
      </c>
      <c r="Q205" t="n">
        <v>60</v>
      </c>
      <c r="R205" t="n">
        <v>40</v>
      </c>
      <c r="S205" t="n">
        <v>30</v>
      </c>
      <c r="T205" t="n">
        <v>30</v>
      </c>
      <c r="U205" t="inlineStr">
        <is>
          <t>SKIP</t>
        </is>
      </c>
      <c r="V205" t="inlineStr">
        <is>
          <t>SKIP</t>
        </is>
      </c>
      <c r="X205" t="inlineStr">
        <is>
          <t>Amaanuddin_Ahmed_Resume.pdf</t>
        </is>
      </c>
      <c r="Y205" t="inlineStr">
        <is>
          <t>2026-10-02</t>
        </is>
      </c>
      <c r="Z205" t="inlineStr">
        <is>
          <t>Matches general software development internship profile</t>
        </is>
      </c>
      <c r="AA205" t="inlineStr">
        <is>
          <t>Eligible</t>
        </is>
      </c>
      <c r="AB205" t="inlineStr">
        <is>
          <t>Meets general education and background criteria for software development internships</t>
        </is>
      </c>
      <c r="AC205" t="inlineStr">
        <is>
          <t>Available</t>
        </is>
      </c>
      <c r="AD205" t="inlineStr">
        <is>
          <t>Candidate is pursuing MCA (2025-2027) and actively looking for internships</t>
        </is>
      </c>
      <c r="AE205" t="inlineStr">
        <is>
          <t>UNKNOWN</t>
        </is>
      </c>
      <c r="AF205" t="n">
        <v>0</v>
      </c>
      <c r="AG205" t="inlineStr">
        <is>
          <t>No</t>
        </is>
      </c>
      <c r="AH205" t="inlineStr">
        <is>
          <t>Not mentioned</t>
        </is>
      </c>
      <c r="AI205" t="inlineStr">
        <is>
          <t>No mention of PPO or conversion in the sparse job description</t>
        </is>
      </c>
      <c r="AK205" t="inlineStr">
        <is>
          <t>Extremely sparse job description lacking company name, specific tech stack, duration, and stipend information</t>
        </is>
      </c>
      <c r="AL205" t="inlineStr">
        <is>
          <t>Full stack web development fundamentals; JavaScript and Node.js concepts; Previous internship projects at Sunflower Trip and Freelance</t>
        </is>
      </c>
    </row>
    <row r="206">
      <c r="A206" t="inlineStr">
        <is>
          <t>PICOVOICE-261002-205</t>
        </is>
      </c>
      <c r="B206" t="inlineStr">
        <is>
          <t>Picovoice</t>
        </is>
      </c>
      <c r="C206" t="inlineStr">
        <is>
          <t>Software Engineer Intern</t>
        </is>
      </c>
      <c r="D206" t="inlineStr">
        <is>
          <t>https://wellfound.com/jobs/2482629-software-engineer-intern</t>
        </is>
      </c>
      <c r="E206" t="inlineStr">
        <is>
          <t>AI Analyzer</t>
        </is>
      </c>
      <c r="F206" t="inlineStr">
        <is>
          <t>Vancouver</t>
        </is>
      </c>
      <c r="G206" t="inlineStr">
        <is>
          <t>In office</t>
        </is>
      </c>
      <c r="H206" t="inlineStr">
        <is>
          <t>$30k – $60k CAD</t>
        </is>
      </c>
      <c r="I206" t="inlineStr">
        <is>
          <t>Not specified</t>
        </is>
      </c>
      <c r="J206" t="inlineStr">
        <is>
          <t>NOT_MENTIONED</t>
        </is>
      </c>
      <c r="M206" t="inlineStr">
        <is>
          <t>$30k – $60k CAD • No equity • • • In office • Vancouver • • • 0 years of exp • • • yesterday • • yesterday</t>
        </is>
      </c>
      <c r="N206" t="n">
        <v>52</v>
      </c>
      <c r="O206" t="n">
        <v>50</v>
      </c>
      <c r="P206" t="n">
        <v>50</v>
      </c>
      <c r="Q206" t="n">
        <v>70</v>
      </c>
      <c r="R206" t="n">
        <v>0</v>
      </c>
      <c r="S206" t="n">
        <v>100</v>
      </c>
      <c r="T206" t="n">
        <v>70</v>
      </c>
      <c r="U206" t="inlineStr">
        <is>
          <t>SKIP</t>
        </is>
      </c>
      <c r="V206" t="inlineStr">
        <is>
          <t>SKIP</t>
        </is>
      </c>
      <c r="X206" t="inlineStr">
        <is>
          <t>Amaanuddin_Ahmed_Resume.pdf</t>
        </is>
      </c>
      <c r="Y206" t="inlineStr">
        <is>
          <t>2026-10-02</t>
        </is>
      </c>
      <c r="Z206" t="inlineStr">
        <is>
          <t>High stipend in CAD.</t>
        </is>
      </c>
      <c r="AA206" t="inlineStr">
        <is>
          <t>BLOCKED</t>
        </is>
      </c>
      <c r="AB206" t="inlineStr">
        <is>
          <t>Job requires working in-office in Vancouver, Canada, whereas candidate prefers Bengaluru, India.</t>
        </is>
      </c>
      <c r="AC206" t="inlineStr">
        <is>
          <t>UNKNOWN</t>
        </is>
      </c>
      <c r="AD206" t="inlineStr">
        <is>
          <t>Availability not specified in career brain or job description for Vancouver relocation.</t>
        </is>
      </c>
      <c r="AE206" t="inlineStr">
        <is>
          <t>DISCLOSED</t>
        </is>
      </c>
      <c r="AF206" t="n">
        <v>1800000</v>
      </c>
      <c r="AG206" t="inlineStr">
        <is>
          <t>No</t>
        </is>
      </c>
      <c r="AH206" t="inlineStr">
        <is>
          <t>NOT_MENTIONED</t>
        </is>
      </c>
      <c r="AI206" t="inlineStr">
        <is>
          <t>Job description does not mention conversion or PPO.</t>
        </is>
      </c>
      <c r="AJ206" t="inlineStr">
        <is>
          <t>Location is Vancouver, Canada (In-office), which violates candidate location preference of Bengaluru, India.</t>
        </is>
      </c>
      <c r="AK206" t="inlineStr">
        <is>
          <t>Requires relocation to Canada for an internship.</t>
        </is>
      </c>
    </row>
    <row r="207">
      <c r="A207" t="inlineStr">
        <is>
          <t>FIELDGUIDE-261002-206</t>
        </is>
      </c>
      <c r="B207" t="inlineStr">
        <is>
          <t>Fieldguide</t>
        </is>
      </c>
      <c r="C207" t="inlineStr">
        <is>
          <t>Software Engineer, Agents (Internal Audit)</t>
        </is>
      </c>
      <c r="D207" t="inlineStr">
        <is>
          <t>https://wellfound.com/jobs/4238913-software-engineer-agents-internal-audit</t>
        </is>
      </c>
      <c r="E207" t="inlineStr">
        <is>
          <t>AI Analyzer</t>
        </is>
      </c>
      <c r="F207" t="inlineStr">
        <is>
          <t>San Francisco, CA / Remote</t>
        </is>
      </c>
      <c r="G207" t="inlineStr">
        <is>
          <t>Remote</t>
        </is>
      </c>
      <c r="H207" t="inlineStr">
        <is>
          <t>$170k – $300k (Full-time annual salary equivalent listed on Wellfound)</t>
        </is>
      </c>
      <c r="I207" t="inlineStr">
        <is>
          <t>Not Specified</t>
        </is>
      </c>
      <c r="J207" t="inlineStr">
        <is>
          <t>no</t>
        </is>
      </c>
      <c r="M207" t="inlineStr">
        <is>
          <t>Full-time • • $170k – $300k • • • Remote • San Francisco • • • 2 weeks ago • • 2 weeks ago</t>
        </is>
      </c>
      <c r="N207" t="n">
        <v>42</v>
      </c>
      <c r="O207" t="n">
        <v>40</v>
      </c>
      <c r="P207" t="n">
        <v>30</v>
      </c>
      <c r="Q207" t="n">
        <v>40</v>
      </c>
      <c r="R207" t="n">
        <v>0</v>
      </c>
      <c r="S207" t="n">
        <v>100</v>
      </c>
      <c r="T207" t="n">
        <v>80</v>
      </c>
      <c r="U207" t="inlineStr">
        <is>
          <t>SKIP</t>
        </is>
      </c>
      <c r="V207" t="inlineStr">
        <is>
          <t>SKIP</t>
        </is>
      </c>
      <c r="X207" t="inlineStr">
        <is>
          <t>Amaanuddin_Ahmed_Resume.pdf</t>
        </is>
      </c>
      <c r="Y207" t="inlineStr">
        <is>
          <t>2026-10-02</t>
        </is>
      </c>
      <c r="Z207" t="inlineStr">
        <is>
          <t>High compensation range listed for full-time.</t>
        </is>
      </c>
      <c r="AA207" t="inlineStr">
        <is>
          <t>eligible</t>
        </is>
      </c>
      <c r="AB207" t="inlineStr">
        <is>
          <t>The candidate is actively pursuing an MCA degree and seeking full-time or internship opportunities.; No explicit graduation year or degree blockers stated in the sparse job description.</t>
        </is>
      </c>
      <c r="AC207" t="inlineStr">
        <is>
          <t>unknown</t>
        </is>
      </c>
      <c r="AD207" t="inlineStr">
        <is>
          <t>Candidate availability dates are not explicitly matched against start date since start date is not mentioned.</t>
        </is>
      </c>
      <c r="AE207" t="inlineStr">
        <is>
          <t>not_specified</t>
        </is>
      </c>
      <c r="AF207" t="n">
        <v>0</v>
      </c>
      <c r="AG207" t="inlineStr">
        <is>
          <t>No</t>
        </is>
      </c>
      <c r="AH207" t="inlineStr">
        <is>
          <t>no</t>
        </is>
      </c>
      <c r="AI207" t="inlineStr">
        <is>
          <t>Job is listed as a full-time role with an annual salary range ($170k - $300k), not explicitly an internship with conversion.</t>
        </is>
      </c>
      <c r="AK207" t="inlineStr">
        <is>
          <t>The JD states a full-time salary range of $170k - $300k while the job type snippet says 'Full-time • • $170k – $300k • • • Remote • San Francisco', making it a full-time experienced software engineering position rather than an entry-level student internship.</t>
        </is>
      </c>
      <c r="AL207" t="inlineStr">
        <is>
          <t>AI Agents; Internal Audit workflows; Full-stack Software Engineering at scale</t>
        </is>
      </c>
    </row>
  </sheetData>
  <autoFilter ref="A1:Z1"/>
  <dataValidations count="9">
    <dataValidation sqref="AR2:AR10000" showDropDown="0" showInputMessage="0" showErrorMessage="0" allowBlank="1" errorTitle="Invalid Apply Status" error="Choose a status from the dropdown." promptTitle="Application Status" prompt="Select the current application status." type="list">
      <formula1>"NOT APPLIED,APPLIED,REJECTED,WITHDRAWN"</formula1>
    </dataValidation>
    <dataValidation sqref="AR2:AR10000" showDropDown="0" showInputMessage="0" showErrorMessage="0" allowBlank="1" errorTitle="Invalid Apply Status" error="Choose a status from the dropdown." promptTitle="Application Status" prompt="Select the current application status." type="list">
      <formula1>"NOT APPLIED,APPLIED,REJECTED,WITHDRAWN"</formula1>
    </dataValidation>
    <dataValidation sqref="AR2:AR10000" showDropDown="0" showInputMessage="0" showErrorMessage="0" allowBlank="1" errorTitle="Invalid Apply Status" error="Choose a status from the dropdown." promptTitle="Application Status" prompt="Select the current application status." type="list">
      <formula1>"NOT APPLIED,APPLIED,REJECTED,WITHDRAWN"</formula1>
    </dataValidation>
    <dataValidation sqref="AR2:AR10000" showDropDown="0" showInputMessage="0" showErrorMessage="0" allowBlank="1" errorTitle="Invalid Apply Status" error="Choose a status from the dropdown." promptTitle="Application Status" prompt="Select the current application status." type="list">
      <formula1>"NOT APPLIED,APPLIED,REJECTED,WITHDRAWN"</formula1>
    </dataValidation>
    <dataValidation sqref="AR2:AR10000" showDropDown="0" showInputMessage="0" showErrorMessage="0" allowBlank="1" errorTitle="Invalid Apply Status" error="Choose a status from the dropdown." promptTitle="Application Status" prompt="Select the current application status." type="list">
      <formula1>"NOT APPLIED,APPLIED,REJECTED,WITHDRAWN"</formula1>
    </dataValidation>
    <dataValidation sqref="AR2:AR10000" showDropDown="0" showInputMessage="0" showErrorMessage="0" allowBlank="1" errorTitle="Invalid Apply Status" error="Choose a status from the dropdown." promptTitle="Application Status" prompt="Select the current application status." type="list">
      <formula1>"NOT APPLIED,APPLIED,REJECTED,WITHDRAWN"</formula1>
    </dataValidation>
    <dataValidation sqref="AR2:AR10000" showDropDown="0" showInputMessage="0" showErrorMessage="0" allowBlank="1" errorTitle="Invalid Apply Status" error="Choose a status from the dropdown." promptTitle="Application Status" prompt="Select the current application status." type="list">
      <formula1>"Ready to Apply,NOT APPLIED,APPLIED,REJECTED,WITHDRAWN"</formula1>
    </dataValidation>
    <dataValidation sqref="AR2:AR10000" showDropDown="0" showInputMessage="0" showErrorMessage="0" allowBlank="1" errorTitle="Invalid Apply Status" error="Choose a status from the dropdown." promptTitle="Application Status" prompt="Select the current application status." type="list">
      <formula1>"Ready to Apply,NOT APPLIED,APPLIED,REJECTED,WITHDRAWN"</formula1>
    </dataValidation>
    <dataValidation sqref="AR2:AR10000" showDropDown="0" showInputMessage="0" showErrorMessage="0" allowBlank="1" errorTitle="Invalid Apply Status" error="Choose a status from the dropdown." promptTitle="Application Status" prompt="Select the current application status." type="list">
      <formula1>"Ready to Apply,NOT APPLIED,APPLIED,REJECTED,WITHDRAWN"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500"/>
  <sheetViews>
    <sheetView workbookViewId="0">
      <pane ySplit="1" topLeftCell="A2" activePane="bottomLeft" state="frozen"/>
      <selection pane="bottomLeft" activeCell="A1" sqref="A1"/>
    </sheetView>
  </sheetViews>
  <sheetFormatPr baseColWidth="8" defaultRowHeight="15"/>
  <cols>
    <col width="16" customWidth="1" style="15" min="1" max="1"/>
    <col width="12" customWidth="1" style="15" min="2" max="5"/>
    <col width="16" customWidth="1" style="15" min="6" max="6"/>
    <col width="14" customWidth="1" style="15" min="7" max="7"/>
    <col width="12" customWidth="1" style="15" min="8" max="8"/>
    <col width="13" customWidth="1" style="15" min="9" max="9"/>
    <col width="16" customWidth="1" style="15" min="10" max="10"/>
    <col width="40" customWidth="1" style="15" min="11" max="12"/>
    <col width="16" customWidth="1" style="15" min="13" max="13"/>
    <col width="40" customWidth="1" style="15" min="14" max="15"/>
    <col width="12" customWidth="1" style="15" min="16" max="16"/>
    <col width="30" customWidth="1" style="15" min="17" max="17"/>
  </cols>
  <sheetData>
    <row r="1">
      <c r="A1" s="1" t="inlineStr">
        <is>
          <t>Application ID</t>
        </is>
      </c>
      <c r="B1" s="1" t="inlineStr">
        <is>
          <t>Job ID</t>
        </is>
      </c>
      <c r="C1" s="1" t="inlineStr">
        <is>
          <t>Company</t>
        </is>
      </c>
      <c r="D1" s="1" t="inlineStr">
        <is>
          <t>Role</t>
        </is>
      </c>
      <c r="E1" s="1" t="inlineStr">
        <is>
          <t>Job URL</t>
        </is>
      </c>
      <c r="F1" s="1" t="inlineStr">
        <is>
          <t>Resume Version</t>
        </is>
      </c>
      <c r="G1" s="1" t="inlineStr">
        <is>
          <t>Applied Date</t>
        </is>
      </c>
      <c r="H1" s="1" t="inlineStr">
        <is>
          <t>Status</t>
        </is>
      </c>
      <c r="I1" s="1" t="inlineStr">
        <is>
          <t>Next Action</t>
        </is>
      </c>
      <c r="J1" s="1" t="inlineStr">
        <is>
          <t>Follow-up Date</t>
        </is>
      </c>
      <c r="K1" s="1" t="inlineStr">
        <is>
          <t>Application Notes</t>
        </is>
      </c>
      <c r="L1" s="1" t="inlineStr">
        <is>
          <t>OA Date</t>
        </is>
      </c>
      <c r="M1" s="1" t="inlineStr">
        <is>
          <t>Interview Date</t>
        </is>
      </c>
      <c r="N1" s="1" t="inlineStr">
        <is>
          <t>Outcome</t>
        </is>
      </c>
      <c r="O1" s="1" t="inlineStr">
        <is>
          <t>Stipend</t>
        </is>
      </c>
      <c r="P1" s="1" t="inlineStr">
        <is>
          <t>PPO</t>
        </is>
      </c>
      <c r="Q1" s="1" t="inlineStr">
        <is>
          <t>Days Since Applied</t>
        </is>
      </c>
    </row>
    <row r="2">
      <c r="A2" s="2" t="n"/>
      <c r="B2" s="2" t="n"/>
      <c r="C2" s="2" t="n"/>
      <c r="D2" s="2" t="n"/>
      <c r="E2" s="2" t="n"/>
      <c r="F2" s="2" t="n"/>
      <c r="G2" s="2" t="n"/>
      <c r="H2" s="2" t="n"/>
      <c r="I2" s="2" t="n"/>
      <c r="J2" s="2" t="n"/>
      <c r="K2" s="2" t="n"/>
      <c r="L2" s="2" t="n"/>
      <c r="M2" s="2" t="n"/>
      <c r="N2" s="2" t="n"/>
      <c r="O2" s="2" t="n"/>
      <c r="P2" s="2" t="n"/>
      <c r="Q2" s="2">
        <f>IF(G2="","",TODAY()-G2)</f>
        <v/>
      </c>
    </row>
    <row r="3">
      <c r="A3" s="2" t="n"/>
      <c r="B3" s="2" t="n"/>
      <c r="C3" s="2" t="n"/>
      <c r="D3" s="2" t="n"/>
      <c r="E3" s="2" t="n"/>
      <c r="F3" s="2" t="n"/>
      <c r="G3" s="2" t="n"/>
      <c r="H3" s="2" t="n"/>
      <c r="I3" s="2" t="n"/>
      <c r="J3" s="2" t="n"/>
      <c r="K3" s="2" t="n"/>
      <c r="L3" s="2" t="n"/>
      <c r="M3" s="2" t="n"/>
      <c r="N3" s="2" t="n"/>
      <c r="O3" s="2" t="n"/>
      <c r="P3" s="2" t="n"/>
      <c r="Q3" s="2">
        <f>IF(G3="","",TODAY()-G3)</f>
        <v/>
      </c>
    </row>
    <row r="4">
      <c r="A4" s="2" t="n"/>
      <c r="B4" s="2" t="n"/>
      <c r="C4" s="2" t="n"/>
      <c r="D4" s="2" t="n"/>
      <c r="E4" s="2" t="n"/>
      <c r="F4" s="2" t="n"/>
      <c r="G4" s="2" t="n"/>
      <c r="H4" s="2" t="n"/>
      <c r="I4" s="2" t="n"/>
      <c r="J4" s="2" t="n"/>
      <c r="K4" s="2" t="n"/>
      <c r="L4" s="2" t="n"/>
      <c r="M4" s="2" t="n"/>
      <c r="N4" s="2" t="n"/>
      <c r="O4" s="2" t="n"/>
      <c r="P4" s="2" t="n"/>
      <c r="Q4" s="2">
        <f>IF(G4="","",TODAY()-G4)</f>
        <v/>
      </c>
    </row>
    <row r="5">
      <c r="A5" s="2" t="n"/>
      <c r="B5" s="2" t="n"/>
      <c r="C5" s="2" t="n"/>
      <c r="D5" s="2" t="n"/>
      <c r="E5" s="2" t="n"/>
      <c r="F5" s="2" t="n"/>
      <c r="G5" s="2" t="n"/>
      <c r="H5" s="2" t="n"/>
      <c r="I5" s="2" t="n"/>
      <c r="J5" s="2" t="n"/>
      <c r="K5" s="2" t="n"/>
      <c r="L5" s="2" t="n"/>
      <c r="M5" s="2" t="n"/>
      <c r="N5" s="2" t="n"/>
      <c r="O5" s="2" t="n"/>
      <c r="P5" s="2" t="n"/>
      <c r="Q5" s="2">
        <f>IF(G5="","",TODAY()-G5)</f>
        <v/>
      </c>
    </row>
    <row r="6">
      <c r="A6" s="2" t="n"/>
      <c r="B6" s="2" t="n"/>
      <c r="C6" s="2" t="n"/>
      <c r="D6" s="2" t="n"/>
      <c r="E6" s="2" t="n"/>
      <c r="F6" s="2" t="n"/>
      <c r="G6" s="2" t="n"/>
      <c r="H6" s="2" t="n"/>
      <c r="I6" s="2" t="n"/>
      <c r="J6" s="2" t="n"/>
      <c r="K6" s="2" t="n"/>
      <c r="L6" s="2" t="n"/>
      <c r="M6" s="2" t="n"/>
      <c r="N6" s="2" t="n"/>
      <c r="O6" s="2" t="n"/>
      <c r="P6" s="2" t="n"/>
      <c r="Q6" s="2">
        <f>IF(G6="","",TODAY()-G6)</f>
        <v/>
      </c>
    </row>
    <row r="7">
      <c r="A7" s="2" t="n"/>
      <c r="B7" s="2" t="n"/>
      <c r="C7" s="2" t="n"/>
      <c r="D7" s="2" t="n"/>
      <c r="E7" s="2" t="n"/>
      <c r="F7" s="2" t="n"/>
      <c r="G7" s="2" t="n"/>
      <c r="H7" s="2" t="n"/>
      <c r="I7" s="2" t="n"/>
      <c r="J7" s="2" t="n"/>
      <c r="K7" s="2" t="n"/>
      <c r="L7" s="2" t="n"/>
      <c r="M7" s="2" t="n"/>
      <c r="N7" s="2" t="n"/>
      <c r="O7" s="2" t="n"/>
      <c r="P7" s="2" t="n"/>
      <c r="Q7" s="2">
        <f>IF(G7="","",TODAY()-G7)</f>
        <v/>
      </c>
    </row>
    <row r="8">
      <c r="A8" s="2" t="n"/>
      <c r="B8" s="2" t="n"/>
      <c r="C8" s="2" t="n"/>
      <c r="D8" s="2" t="n"/>
      <c r="E8" s="2" t="n"/>
      <c r="F8" s="2" t="n"/>
      <c r="G8" s="2" t="n"/>
      <c r="H8" s="2" t="n"/>
      <c r="I8" s="2" t="n"/>
      <c r="J8" s="2" t="n"/>
      <c r="K8" s="2" t="n"/>
      <c r="L8" s="2" t="n"/>
      <c r="M8" s="2" t="n"/>
      <c r="N8" s="2" t="n"/>
      <c r="O8" s="2" t="n"/>
      <c r="P8" s="2" t="n"/>
      <c r="Q8" s="2">
        <f>IF(G8="","",TODAY()-G8)</f>
        <v/>
      </c>
    </row>
    <row r="9">
      <c r="A9" s="2" t="n"/>
      <c r="B9" s="2" t="n"/>
      <c r="C9" s="2" t="n"/>
      <c r="D9" s="2" t="n"/>
      <c r="E9" s="2" t="n"/>
      <c r="F9" s="2" t="n"/>
      <c r="G9" s="2" t="n"/>
      <c r="H9" s="2" t="n"/>
      <c r="I9" s="2" t="n"/>
      <c r="J9" s="2" t="n"/>
      <c r="K9" s="2" t="n"/>
      <c r="L9" s="2" t="n"/>
      <c r="M9" s="2" t="n"/>
      <c r="N9" s="2" t="n"/>
      <c r="O9" s="2" t="n"/>
      <c r="P9" s="2" t="n"/>
      <c r="Q9" s="2">
        <f>IF(G9="","",TODAY()-G9)</f>
        <v/>
      </c>
    </row>
    <row r="10">
      <c r="A10" s="2" t="n"/>
      <c r="B10" s="2" t="n"/>
      <c r="C10" s="2" t="n"/>
      <c r="D10" s="2" t="n"/>
      <c r="E10" s="2" t="n"/>
      <c r="F10" s="2" t="n"/>
      <c r="G10" s="2" t="n"/>
      <c r="H10" s="2" t="n"/>
      <c r="I10" s="2" t="n"/>
      <c r="J10" s="2" t="n"/>
      <c r="K10" s="2" t="n"/>
      <c r="L10" s="2" t="n"/>
      <c r="M10" s="2" t="n"/>
      <c r="N10" s="2" t="n"/>
      <c r="O10" s="2" t="n"/>
      <c r="P10" s="2" t="n"/>
      <c r="Q10" s="2">
        <f>IF(G10="","",TODAY()-G10)</f>
        <v/>
      </c>
    </row>
    <row r="11">
      <c r="A11" s="2" t="n"/>
      <c r="B11" s="2" t="n"/>
      <c r="C11" s="2" t="n"/>
      <c r="D11" s="2" t="n"/>
      <c r="E11" s="2" t="n"/>
      <c r="F11" s="2" t="n"/>
      <c r="G11" s="2" t="n"/>
      <c r="H11" s="2" t="n"/>
      <c r="I11" s="2" t="n"/>
      <c r="J11" s="2" t="n"/>
      <c r="K11" s="2" t="n"/>
      <c r="L11" s="2" t="n"/>
      <c r="M11" s="2" t="n"/>
      <c r="N11" s="2" t="n"/>
      <c r="O11" s="2" t="n"/>
      <c r="P11" s="2" t="n"/>
      <c r="Q11" s="2">
        <f>IF(G11="","",TODAY()-G11)</f>
        <v/>
      </c>
    </row>
    <row r="12">
      <c r="A12" s="2" t="n"/>
      <c r="B12" s="2" t="n"/>
      <c r="C12" s="2" t="n"/>
      <c r="D12" s="2" t="n"/>
      <c r="E12" s="2" t="n"/>
      <c r="F12" s="2" t="n"/>
      <c r="G12" s="2" t="n"/>
      <c r="H12" s="2" t="n"/>
      <c r="I12" s="2" t="n"/>
      <c r="J12" s="2" t="n"/>
      <c r="K12" s="2" t="n"/>
      <c r="L12" s="2" t="n"/>
      <c r="M12" s="2" t="n"/>
      <c r="N12" s="2" t="n"/>
      <c r="O12" s="2" t="n"/>
      <c r="P12" s="2" t="n"/>
      <c r="Q12" s="2">
        <f>IF(G12="","",TODAY()-G12)</f>
        <v/>
      </c>
    </row>
    <row r="13">
      <c r="A13" s="2" t="n"/>
      <c r="B13" s="2" t="n"/>
      <c r="C13" s="2" t="n"/>
      <c r="D13" s="2" t="n"/>
      <c r="E13" s="2" t="n"/>
      <c r="F13" s="2" t="n"/>
      <c r="G13" s="2" t="n"/>
      <c r="H13" s="2" t="n"/>
      <c r="I13" s="2" t="n"/>
      <c r="J13" s="2" t="n"/>
      <c r="K13" s="2" t="n"/>
      <c r="L13" s="2" t="n"/>
      <c r="M13" s="2" t="n"/>
      <c r="N13" s="2" t="n"/>
      <c r="O13" s="2" t="n"/>
      <c r="P13" s="2" t="n"/>
      <c r="Q13" s="2">
        <f>IF(G13="","",TODAY()-G13)</f>
        <v/>
      </c>
    </row>
    <row r="14">
      <c r="A14" s="2" t="n"/>
      <c r="B14" s="2" t="n"/>
      <c r="C14" s="2" t="n"/>
      <c r="D14" s="2" t="n"/>
      <c r="E14" s="2" t="n"/>
      <c r="F14" s="2" t="n"/>
      <c r="G14" s="2" t="n"/>
      <c r="H14" s="2" t="n"/>
      <c r="I14" s="2" t="n"/>
      <c r="J14" s="2" t="n"/>
      <c r="K14" s="2" t="n"/>
      <c r="L14" s="2" t="n"/>
      <c r="M14" s="2" t="n"/>
      <c r="N14" s="2" t="n"/>
      <c r="O14" s="2" t="n"/>
      <c r="P14" s="2" t="n"/>
      <c r="Q14" s="2">
        <f>IF(G14="","",TODAY()-G14)</f>
        <v/>
      </c>
    </row>
    <row r="15">
      <c r="A15" s="2" t="n"/>
      <c r="B15" s="2" t="n"/>
      <c r="C15" s="2" t="n"/>
      <c r="D15" s="2" t="n"/>
      <c r="E15" s="2" t="n"/>
      <c r="F15" s="2" t="n"/>
      <c r="G15" s="2" t="n"/>
      <c r="H15" s="2" t="n"/>
      <c r="I15" s="2" t="n"/>
      <c r="J15" s="2" t="n"/>
      <c r="K15" s="2" t="n"/>
      <c r="L15" s="2" t="n"/>
      <c r="M15" s="2" t="n"/>
      <c r="N15" s="2" t="n"/>
      <c r="O15" s="2" t="n"/>
      <c r="P15" s="2" t="n"/>
      <c r="Q15" s="2">
        <f>IF(G15="","",TODAY()-G15)</f>
        <v/>
      </c>
    </row>
    <row r="16">
      <c r="A16" s="2" t="n"/>
      <c r="B16" s="2" t="n"/>
      <c r="C16" s="2" t="n"/>
      <c r="D16" s="2" t="n"/>
      <c r="E16" s="2" t="n"/>
      <c r="F16" s="2" t="n"/>
      <c r="G16" s="2" t="n"/>
      <c r="H16" s="2" t="n"/>
      <c r="I16" s="2" t="n"/>
      <c r="J16" s="2" t="n"/>
      <c r="K16" s="2" t="n"/>
      <c r="L16" s="2" t="n"/>
      <c r="M16" s="2" t="n"/>
      <c r="N16" s="2" t="n"/>
      <c r="O16" s="2" t="n"/>
      <c r="P16" s="2" t="n"/>
      <c r="Q16" s="2">
        <f>IF(G16="","",TODAY()-G16)</f>
        <v/>
      </c>
    </row>
    <row r="17">
      <c r="A17" s="2" t="n"/>
      <c r="B17" s="2" t="n"/>
      <c r="C17" s="2" t="n"/>
      <c r="D17" s="2" t="n"/>
      <c r="E17" s="2" t="n"/>
      <c r="F17" s="2" t="n"/>
      <c r="G17" s="2" t="n"/>
      <c r="H17" s="2" t="n"/>
      <c r="I17" s="2" t="n"/>
      <c r="J17" s="2" t="n"/>
      <c r="K17" s="2" t="n"/>
      <c r="L17" s="2" t="n"/>
      <c r="M17" s="2" t="n"/>
      <c r="N17" s="2" t="n"/>
      <c r="O17" s="2" t="n"/>
      <c r="P17" s="2" t="n"/>
      <c r="Q17" s="2">
        <f>IF(G17="","",TODAY()-G17)</f>
        <v/>
      </c>
    </row>
    <row r="18">
      <c r="A18" s="2" t="n"/>
      <c r="B18" s="2" t="n"/>
      <c r="C18" s="2" t="n"/>
      <c r="D18" s="2" t="n"/>
      <c r="E18" s="2" t="n"/>
      <c r="F18" s="2" t="n"/>
      <c r="G18" s="2" t="n"/>
      <c r="H18" s="2" t="n"/>
      <c r="I18" s="2" t="n"/>
      <c r="J18" s="2" t="n"/>
      <c r="K18" s="2" t="n"/>
      <c r="L18" s="2" t="n"/>
      <c r="M18" s="2" t="n"/>
      <c r="N18" s="2" t="n"/>
      <c r="O18" s="2" t="n"/>
      <c r="P18" s="2" t="n"/>
      <c r="Q18" s="2">
        <f>IF(G18="","",TODAY()-G18)</f>
        <v/>
      </c>
    </row>
    <row r="19">
      <c r="A19" s="2" t="n"/>
      <c r="B19" s="2" t="n"/>
      <c r="C19" s="2" t="n"/>
      <c r="D19" s="2" t="n"/>
      <c r="E19" s="2" t="n"/>
      <c r="F19" s="2" t="n"/>
      <c r="G19" s="2" t="n"/>
      <c r="H19" s="2" t="n"/>
      <c r="I19" s="2" t="n"/>
      <c r="J19" s="2" t="n"/>
      <c r="K19" s="2" t="n"/>
      <c r="L19" s="2" t="n"/>
      <c r="M19" s="2" t="n"/>
      <c r="N19" s="2" t="n"/>
      <c r="O19" s="2" t="n"/>
      <c r="P19" s="2" t="n"/>
      <c r="Q19" s="2">
        <f>IF(G19="","",TODAY()-G19)</f>
        <v/>
      </c>
    </row>
    <row r="20">
      <c r="A20" s="2" t="n"/>
      <c r="B20" s="2" t="n"/>
      <c r="C20" s="2" t="n"/>
      <c r="D20" s="2" t="n"/>
      <c r="E20" s="2" t="n"/>
      <c r="F20" s="2" t="n"/>
      <c r="G20" s="2" t="n"/>
      <c r="H20" s="2" t="n"/>
      <c r="I20" s="2" t="n"/>
      <c r="J20" s="2" t="n"/>
      <c r="K20" s="2" t="n"/>
      <c r="L20" s="2" t="n"/>
      <c r="M20" s="2" t="n"/>
      <c r="N20" s="2" t="n"/>
      <c r="O20" s="2" t="n"/>
      <c r="P20" s="2" t="n"/>
      <c r="Q20" s="2">
        <f>IF(G20="","",TODAY()-G20)</f>
        <v/>
      </c>
    </row>
    <row r="21">
      <c r="A21" s="2" t="n"/>
      <c r="B21" s="2" t="n"/>
      <c r="C21" s="2" t="n"/>
      <c r="D21" s="2" t="n"/>
      <c r="E21" s="2" t="n"/>
      <c r="F21" s="2" t="n"/>
      <c r="G21" s="2" t="n"/>
      <c r="H21" s="2" t="n"/>
      <c r="I21" s="2" t="n"/>
      <c r="J21" s="2" t="n"/>
      <c r="K21" s="2" t="n"/>
      <c r="L21" s="2" t="n"/>
      <c r="M21" s="2" t="n"/>
      <c r="N21" s="2" t="n"/>
      <c r="O21" s="2" t="n"/>
      <c r="P21" s="2" t="n"/>
      <c r="Q21" s="2">
        <f>IF(G21="","",TODAY()-G21)</f>
        <v/>
      </c>
    </row>
    <row r="22">
      <c r="A22" s="2" t="n"/>
      <c r="B22" s="2" t="n"/>
      <c r="C22" s="2" t="n"/>
      <c r="D22" s="2" t="n"/>
      <c r="E22" s="2" t="n"/>
      <c r="F22" s="2" t="n"/>
      <c r="G22" s="2" t="n"/>
      <c r="H22" s="2" t="n"/>
      <c r="I22" s="2" t="n"/>
      <c r="J22" s="2" t="n"/>
      <c r="K22" s="2" t="n"/>
      <c r="L22" s="2" t="n"/>
      <c r="M22" s="2" t="n"/>
      <c r="N22" s="2" t="n"/>
      <c r="O22" s="2" t="n"/>
      <c r="P22" s="2" t="n"/>
      <c r="Q22" s="2">
        <f>IF(G22="","",TODAY()-G22)</f>
        <v/>
      </c>
    </row>
    <row r="23">
      <c r="A23" s="2" t="n"/>
      <c r="B23" s="2" t="n"/>
      <c r="C23" s="2" t="n"/>
      <c r="D23" s="2" t="n"/>
      <c r="E23" s="2" t="n"/>
      <c r="F23" s="2" t="n"/>
      <c r="G23" s="2" t="n"/>
      <c r="H23" s="2" t="n"/>
      <c r="I23" s="2" t="n"/>
      <c r="J23" s="2" t="n"/>
      <c r="K23" s="2" t="n"/>
      <c r="L23" s="2" t="n"/>
      <c r="M23" s="2" t="n"/>
      <c r="N23" s="2" t="n"/>
      <c r="O23" s="2" t="n"/>
      <c r="P23" s="2" t="n"/>
      <c r="Q23" s="2">
        <f>IF(G23="","",TODAY()-G23)</f>
        <v/>
      </c>
    </row>
    <row r="24">
      <c r="A24" s="2" t="n"/>
      <c r="B24" s="2" t="n"/>
      <c r="C24" s="2" t="n"/>
      <c r="D24" s="2" t="n"/>
      <c r="E24" s="2" t="n"/>
      <c r="F24" s="2" t="n"/>
      <c r="G24" s="2" t="n"/>
      <c r="H24" s="2" t="n"/>
      <c r="I24" s="2" t="n"/>
      <c r="J24" s="2" t="n"/>
      <c r="K24" s="2" t="n"/>
      <c r="L24" s="2" t="n"/>
      <c r="M24" s="2" t="n"/>
      <c r="N24" s="2" t="n"/>
      <c r="O24" s="2" t="n"/>
      <c r="P24" s="2" t="n"/>
      <c r="Q24" s="2">
        <f>IF(G24="","",TODAY()-G24)</f>
        <v/>
      </c>
    </row>
    <row r="25">
      <c r="A25" s="2" t="n"/>
      <c r="B25" s="2" t="n"/>
      <c r="C25" s="2" t="n"/>
      <c r="D25" s="2" t="n"/>
      <c r="E25" s="2" t="n"/>
      <c r="F25" s="2" t="n"/>
      <c r="G25" s="2" t="n"/>
      <c r="H25" s="2" t="n"/>
      <c r="I25" s="2" t="n"/>
      <c r="J25" s="2" t="n"/>
      <c r="K25" s="2" t="n"/>
      <c r="L25" s="2" t="n"/>
      <c r="M25" s="2" t="n"/>
      <c r="N25" s="2" t="n"/>
      <c r="O25" s="2" t="n"/>
      <c r="P25" s="2" t="n"/>
      <c r="Q25" s="2">
        <f>IF(G25="","",TODAY()-G25)</f>
        <v/>
      </c>
    </row>
    <row r="26">
      <c r="A26" s="2" t="n"/>
      <c r="B26" s="2" t="n"/>
      <c r="C26" s="2" t="n"/>
      <c r="D26" s="2" t="n"/>
      <c r="E26" s="2" t="n"/>
      <c r="F26" s="2" t="n"/>
      <c r="G26" s="2" t="n"/>
      <c r="H26" s="2" t="n"/>
      <c r="I26" s="2" t="n"/>
      <c r="J26" s="2" t="n"/>
      <c r="K26" s="2" t="n"/>
      <c r="L26" s="2" t="n"/>
      <c r="M26" s="2" t="n"/>
      <c r="N26" s="2" t="n"/>
      <c r="O26" s="2" t="n"/>
      <c r="P26" s="2" t="n"/>
      <c r="Q26" s="2">
        <f>IF(G26="","",TODAY()-G26)</f>
        <v/>
      </c>
    </row>
    <row r="27">
      <c r="A27" s="2" t="n"/>
      <c r="B27" s="2" t="n"/>
      <c r="C27" s="2" t="n"/>
      <c r="D27" s="2" t="n"/>
      <c r="E27" s="2" t="n"/>
      <c r="F27" s="2" t="n"/>
      <c r="G27" s="2" t="n"/>
      <c r="H27" s="2" t="n"/>
      <c r="I27" s="2" t="n"/>
      <c r="J27" s="2" t="n"/>
      <c r="K27" s="2" t="n"/>
      <c r="L27" s="2" t="n"/>
      <c r="M27" s="2" t="n"/>
      <c r="N27" s="2" t="n"/>
      <c r="O27" s="2" t="n"/>
      <c r="P27" s="2" t="n"/>
      <c r="Q27" s="2">
        <f>IF(G27="","",TODAY()-G27)</f>
        <v/>
      </c>
    </row>
    <row r="28">
      <c r="A28" s="2" t="n"/>
      <c r="B28" s="2" t="n"/>
      <c r="C28" s="2" t="n"/>
      <c r="D28" s="2" t="n"/>
      <c r="E28" s="2" t="n"/>
      <c r="F28" s="2" t="n"/>
      <c r="G28" s="2" t="n"/>
      <c r="H28" s="2" t="n"/>
      <c r="I28" s="2" t="n"/>
      <c r="J28" s="2" t="n"/>
      <c r="K28" s="2" t="n"/>
      <c r="L28" s="2" t="n"/>
      <c r="M28" s="2" t="n"/>
      <c r="N28" s="2" t="n"/>
      <c r="O28" s="2" t="n"/>
      <c r="P28" s="2" t="n"/>
      <c r="Q28" s="2">
        <f>IF(G28="","",TODAY()-G28)</f>
        <v/>
      </c>
    </row>
    <row r="29">
      <c r="A29" s="2" t="n"/>
      <c r="B29" s="2" t="n"/>
      <c r="C29" s="2" t="n"/>
      <c r="D29" s="2" t="n"/>
      <c r="E29" s="2" t="n"/>
      <c r="F29" s="2" t="n"/>
      <c r="G29" s="2" t="n"/>
      <c r="H29" s="2" t="n"/>
      <c r="I29" s="2" t="n"/>
      <c r="J29" s="2" t="n"/>
      <c r="K29" s="2" t="n"/>
      <c r="L29" s="2" t="n"/>
      <c r="M29" s="2" t="n"/>
      <c r="N29" s="2" t="n"/>
      <c r="O29" s="2" t="n"/>
      <c r="P29" s="2" t="n"/>
      <c r="Q29" s="2">
        <f>IF(G29="","",TODAY()-G29)</f>
        <v/>
      </c>
    </row>
    <row r="30">
      <c r="A30" s="2" t="n"/>
      <c r="B30" s="2" t="n"/>
      <c r="C30" s="2" t="n"/>
      <c r="D30" s="2" t="n"/>
      <c r="E30" s="2" t="n"/>
      <c r="F30" s="2" t="n"/>
      <c r="G30" s="2" t="n"/>
      <c r="H30" s="2" t="n"/>
      <c r="I30" s="2" t="n"/>
      <c r="J30" s="2" t="n"/>
      <c r="K30" s="2" t="n"/>
      <c r="L30" s="2" t="n"/>
      <c r="M30" s="2" t="n"/>
      <c r="N30" s="2" t="n"/>
      <c r="O30" s="2" t="n"/>
      <c r="P30" s="2" t="n"/>
      <c r="Q30" s="2">
        <f>IF(G30="","",TODAY()-G30)</f>
        <v/>
      </c>
    </row>
    <row r="31">
      <c r="A31" s="2" t="n"/>
      <c r="B31" s="2" t="n"/>
      <c r="C31" s="2" t="n"/>
      <c r="D31" s="2" t="n"/>
      <c r="E31" s="2" t="n"/>
      <c r="F31" s="2" t="n"/>
      <c r="G31" s="2" t="n"/>
      <c r="H31" s="2" t="n"/>
      <c r="I31" s="2" t="n"/>
      <c r="J31" s="2" t="n"/>
      <c r="K31" s="2" t="n"/>
      <c r="L31" s="2" t="n"/>
      <c r="M31" s="2" t="n"/>
      <c r="N31" s="2" t="n"/>
      <c r="O31" s="2" t="n"/>
      <c r="P31" s="2" t="n"/>
      <c r="Q31" s="2">
        <f>IF(G31="","",TODAY()-G31)</f>
        <v/>
      </c>
    </row>
    <row r="32">
      <c r="A32" s="2" t="n"/>
      <c r="B32" s="2" t="n"/>
      <c r="C32" s="2" t="n"/>
      <c r="D32" s="2" t="n"/>
      <c r="E32" s="2" t="n"/>
      <c r="F32" s="2" t="n"/>
      <c r="G32" s="2" t="n"/>
      <c r="H32" s="2" t="n"/>
      <c r="I32" s="2" t="n"/>
      <c r="J32" s="2" t="n"/>
      <c r="K32" s="2" t="n"/>
      <c r="L32" s="2" t="n"/>
      <c r="M32" s="2" t="n"/>
      <c r="N32" s="2" t="n"/>
      <c r="O32" s="2" t="n"/>
      <c r="P32" s="2" t="n"/>
      <c r="Q32" s="2">
        <f>IF(G32="","",TODAY()-G32)</f>
        <v/>
      </c>
    </row>
    <row r="33">
      <c r="A33" s="2" t="n"/>
      <c r="B33" s="2" t="n"/>
      <c r="C33" s="2" t="n"/>
      <c r="D33" s="2" t="n"/>
      <c r="E33" s="2" t="n"/>
      <c r="F33" s="2" t="n"/>
      <c r="G33" s="2" t="n"/>
      <c r="H33" s="2" t="n"/>
      <c r="I33" s="2" t="n"/>
      <c r="J33" s="2" t="n"/>
      <c r="K33" s="2" t="n"/>
      <c r="L33" s="2" t="n"/>
      <c r="M33" s="2" t="n"/>
      <c r="N33" s="2" t="n"/>
      <c r="O33" s="2" t="n"/>
      <c r="P33" s="2" t="n"/>
      <c r="Q33" s="2">
        <f>IF(G33="","",TODAY()-G33)</f>
        <v/>
      </c>
    </row>
    <row r="34">
      <c r="A34" s="2" t="n"/>
      <c r="B34" s="2" t="n"/>
      <c r="C34" s="2" t="n"/>
      <c r="D34" s="2" t="n"/>
      <c r="E34" s="2" t="n"/>
      <c r="F34" s="2" t="n"/>
      <c r="G34" s="2" t="n"/>
      <c r="H34" s="2" t="n"/>
      <c r="I34" s="2" t="n"/>
      <c r="J34" s="2" t="n"/>
      <c r="K34" s="2" t="n"/>
      <c r="L34" s="2" t="n"/>
      <c r="M34" s="2" t="n"/>
      <c r="N34" s="2" t="n"/>
      <c r="O34" s="2" t="n"/>
      <c r="P34" s="2" t="n"/>
      <c r="Q34" s="2">
        <f>IF(G34="","",TODAY()-G34)</f>
        <v/>
      </c>
    </row>
    <row r="35">
      <c r="A35" s="2" t="n"/>
      <c r="B35" s="2" t="n"/>
      <c r="C35" s="2" t="n"/>
      <c r="D35" s="2" t="n"/>
      <c r="E35" s="2" t="n"/>
      <c r="F35" s="2" t="n"/>
      <c r="G35" s="2" t="n"/>
      <c r="H35" s="2" t="n"/>
      <c r="I35" s="2" t="n"/>
      <c r="J35" s="2" t="n"/>
      <c r="K35" s="2" t="n"/>
      <c r="L35" s="2" t="n"/>
      <c r="M35" s="2" t="n"/>
      <c r="N35" s="2" t="n"/>
      <c r="O35" s="2" t="n"/>
      <c r="P35" s="2" t="n"/>
      <c r="Q35" s="2">
        <f>IF(G35="","",TODAY()-G35)</f>
        <v/>
      </c>
    </row>
    <row r="36">
      <c r="A36" s="2" t="n"/>
      <c r="B36" s="2" t="n"/>
      <c r="C36" s="2" t="n"/>
      <c r="D36" s="2" t="n"/>
      <c r="E36" s="2" t="n"/>
      <c r="F36" s="2" t="n"/>
      <c r="G36" s="2" t="n"/>
      <c r="H36" s="2" t="n"/>
      <c r="I36" s="2" t="n"/>
      <c r="J36" s="2" t="n"/>
      <c r="K36" s="2" t="n"/>
      <c r="L36" s="2" t="n"/>
      <c r="M36" s="2" t="n"/>
      <c r="N36" s="2" t="n"/>
      <c r="O36" s="2" t="n"/>
      <c r="P36" s="2" t="n"/>
      <c r="Q36" s="2">
        <f>IF(G36="","",TODAY()-G36)</f>
        <v/>
      </c>
    </row>
    <row r="37">
      <c r="A37" s="2" t="n"/>
      <c r="B37" s="2" t="n"/>
      <c r="C37" s="2" t="n"/>
      <c r="D37" s="2" t="n"/>
      <c r="E37" s="2" t="n"/>
      <c r="F37" s="2" t="n"/>
      <c r="G37" s="2" t="n"/>
      <c r="H37" s="2" t="n"/>
      <c r="I37" s="2" t="n"/>
      <c r="J37" s="2" t="n"/>
      <c r="K37" s="2" t="n"/>
      <c r="L37" s="2" t="n"/>
      <c r="M37" s="2" t="n"/>
      <c r="N37" s="2" t="n"/>
      <c r="O37" s="2" t="n"/>
      <c r="P37" s="2" t="n"/>
      <c r="Q37" s="2">
        <f>IF(G37="","",TODAY()-G37)</f>
        <v/>
      </c>
    </row>
    <row r="38">
      <c r="A38" s="2" t="n"/>
      <c r="B38" s="2" t="n"/>
      <c r="C38" s="2" t="n"/>
      <c r="D38" s="2" t="n"/>
      <c r="E38" s="2" t="n"/>
      <c r="F38" s="2" t="n"/>
      <c r="G38" s="2" t="n"/>
      <c r="H38" s="2" t="n"/>
      <c r="I38" s="2" t="n"/>
      <c r="J38" s="2" t="n"/>
      <c r="K38" s="2" t="n"/>
      <c r="L38" s="2" t="n"/>
      <c r="M38" s="2" t="n"/>
      <c r="N38" s="2" t="n"/>
      <c r="O38" s="2" t="n"/>
      <c r="P38" s="2" t="n"/>
      <c r="Q38" s="2">
        <f>IF(G38="","",TODAY()-G38)</f>
        <v/>
      </c>
    </row>
    <row r="39">
      <c r="A39" s="2" t="n"/>
      <c r="B39" s="2" t="n"/>
      <c r="C39" s="2" t="n"/>
      <c r="D39" s="2" t="n"/>
      <c r="E39" s="2" t="n"/>
      <c r="F39" s="2" t="n"/>
      <c r="G39" s="2" t="n"/>
      <c r="H39" s="2" t="n"/>
      <c r="I39" s="2" t="n"/>
      <c r="J39" s="2" t="n"/>
      <c r="K39" s="2" t="n"/>
      <c r="L39" s="2" t="n"/>
      <c r="M39" s="2" t="n"/>
      <c r="N39" s="2" t="n"/>
      <c r="O39" s="2" t="n"/>
      <c r="P39" s="2" t="n"/>
      <c r="Q39" s="2">
        <f>IF(G39="","",TODAY()-G39)</f>
        <v/>
      </c>
    </row>
    <row r="40">
      <c r="A40" s="2" t="n"/>
      <c r="B40" s="2" t="n"/>
      <c r="C40" s="2" t="n"/>
      <c r="D40" s="2" t="n"/>
      <c r="E40" s="2" t="n"/>
      <c r="F40" s="2" t="n"/>
      <c r="G40" s="2" t="n"/>
      <c r="H40" s="2" t="n"/>
      <c r="I40" s="2" t="n"/>
      <c r="J40" s="2" t="n"/>
      <c r="K40" s="2" t="n"/>
      <c r="L40" s="2" t="n"/>
      <c r="M40" s="2" t="n"/>
      <c r="N40" s="2" t="n"/>
      <c r="O40" s="2" t="n"/>
      <c r="P40" s="2" t="n"/>
      <c r="Q40" s="2">
        <f>IF(G40="","",TODAY()-G40)</f>
        <v/>
      </c>
    </row>
    <row r="41">
      <c r="A41" s="2" t="n"/>
      <c r="B41" s="2" t="n"/>
      <c r="C41" s="2" t="n"/>
      <c r="D41" s="2" t="n"/>
      <c r="E41" s="2" t="n"/>
      <c r="F41" s="2" t="n"/>
      <c r="G41" s="2" t="n"/>
      <c r="H41" s="2" t="n"/>
      <c r="I41" s="2" t="n"/>
      <c r="J41" s="2" t="n"/>
      <c r="K41" s="2" t="n"/>
      <c r="L41" s="2" t="n"/>
      <c r="M41" s="2" t="n"/>
      <c r="N41" s="2" t="n"/>
      <c r="O41" s="2" t="n"/>
      <c r="P41" s="2" t="n"/>
      <c r="Q41" s="2">
        <f>IF(G41="","",TODAY()-G41)</f>
        <v/>
      </c>
    </row>
    <row r="42">
      <c r="A42" s="2" t="n"/>
      <c r="B42" s="2" t="n"/>
      <c r="C42" s="2" t="n"/>
      <c r="D42" s="2" t="n"/>
      <c r="E42" s="2" t="n"/>
      <c r="F42" s="2" t="n"/>
      <c r="G42" s="2" t="n"/>
      <c r="H42" s="2" t="n"/>
      <c r="I42" s="2" t="n"/>
      <c r="J42" s="2" t="n"/>
      <c r="K42" s="2" t="n"/>
      <c r="L42" s="2" t="n"/>
      <c r="M42" s="2" t="n"/>
      <c r="N42" s="2" t="n"/>
      <c r="O42" s="2" t="n"/>
      <c r="P42" s="2" t="n"/>
      <c r="Q42" s="2">
        <f>IF(G42="","",TODAY()-G42)</f>
        <v/>
      </c>
    </row>
    <row r="43">
      <c r="A43" s="2" t="n"/>
      <c r="B43" s="2" t="n"/>
      <c r="C43" s="2" t="n"/>
      <c r="D43" s="2" t="n"/>
      <c r="E43" s="2" t="n"/>
      <c r="F43" s="2" t="n"/>
      <c r="G43" s="2" t="n"/>
      <c r="H43" s="2" t="n"/>
      <c r="I43" s="2" t="n"/>
      <c r="J43" s="2" t="n"/>
      <c r="K43" s="2" t="n"/>
      <c r="L43" s="2" t="n"/>
      <c r="M43" s="2" t="n"/>
      <c r="N43" s="2" t="n"/>
      <c r="O43" s="2" t="n"/>
      <c r="P43" s="2" t="n"/>
      <c r="Q43" s="2">
        <f>IF(G43="","",TODAY()-G43)</f>
        <v/>
      </c>
    </row>
    <row r="44">
      <c r="A44" s="2" t="n"/>
      <c r="B44" s="2" t="n"/>
      <c r="C44" s="2" t="n"/>
      <c r="D44" s="2" t="n"/>
      <c r="E44" s="2" t="n"/>
      <c r="F44" s="2" t="n"/>
      <c r="G44" s="2" t="n"/>
      <c r="H44" s="2" t="n"/>
      <c r="I44" s="2" t="n"/>
      <c r="J44" s="2" t="n"/>
      <c r="K44" s="2" t="n"/>
      <c r="L44" s="2" t="n"/>
      <c r="M44" s="2" t="n"/>
      <c r="N44" s="2" t="n"/>
      <c r="O44" s="2" t="n"/>
      <c r="P44" s="2" t="n"/>
      <c r="Q44" s="2">
        <f>IF(G44="","",TODAY()-G44)</f>
        <v/>
      </c>
    </row>
    <row r="45">
      <c r="A45" s="2" t="n"/>
      <c r="B45" s="2" t="n"/>
      <c r="C45" s="2" t="n"/>
      <c r="D45" s="2" t="n"/>
      <c r="E45" s="2" t="n"/>
      <c r="F45" s="2" t="n"/>
      <c r="G45" s="2" t="n"/>
      <c r="H45" s="2" t="n"/>
      <c r="I45" s="2" t="n"/>
      <c r="J45" s="2" t="n"/>
      <c r="K45" s="2" t="n"/>
      <c r="L45" s="2" t="n"/>
      <c r="M45" s="2" t="n"/>
      <c r="N45" s="2" t="n"/>
      <c r="O45" s="2" t="n"/>
      <c r="P45" s="2" t="n"/>
      <c r="Q45" s="2">
        <f>IF(G45="","",TODAY()-G45)</f>
        <v/>
      </c>
    </row>
    <row r="46">
      <c r="A46" s="2" t="n"/>
      <c r="B46" s="2" t="n"/>
      <c r="C46" s="2" t="n"/>
      <c r="D46" s="2" t="n"/>
      <c r="E46" s="2" t="n"/>
      <c r="F46" s="2" t="n"/>
      <c r="G46" s="2" t="n"/>
      <c r="H46" s="2" t="n"/>
      <c r="I46" s="2" t="n"/>
      <c r="J46" s="2" t="n"/>
      <c r="K46" s="2" t="n"/>
      <c r="L46" s="2" t="n"/>
      <c r="M46" s="2" t="n"/>
      <c r="N46" s="2" t="n"/>
      <c r="O46" s="2" t="n"/>
      <c r="P46" s="2" t="n"/>
      <c r="Q46" s="2">
        <f>IF(G46="","",TODAY()-G46)</f>
        <v/>
      </c>
    </row>
    <row r="47">
      <c r="A47" s="2" t="n"/>
      <c r="B47" s="2" t="n"/>
      <c r="C47" s="2" t="n"/>
      <c r="D47" s="2" t="n"/>
      <c r="E47" s="2" t="n"/>
      <c r="F47" s="2" t="n"/>
      <c r="G47" s="2" t="n"/>
      <c r="H47" s="2" t="n"/>
      <c r="I47" s="2" t="n"/>
      <c r="J47" s="2" t="n"/>
      <c r="K47" s="2" t="n"/>
      <c r="L47" s="2" t="n"/>
      <c r="M47" s="2" t="n"/>
      <c r="N47" s="2" t="n"/>
      <c r="O47" s="2" t="n"/>
      <c r="P47" s="2" t="n"/>
      <c r="Q47" s="2">
        <f>IF(G47="","",TODAY()-G47)</f>
        <v/>
      </c>
    </row>
    <row r="48">
      <c r="A48" s="2" t="n"/>
      <c r="B48" s="2" t="n"/>
      <c r="C48" s="2" t="n"/>
      <c r="D48" s="2" t="n"/>
      <c r="E48" s="2" t="n"/>
      <c r="F48" s="2" t="n"/>
      <c r="G48" s="2" t="n"/>
      <c r="H48" s="2" t="n"/>
      <c r="I48" s="2" t="n"/>
      <c r="J48" s="2" t="n"/>
      <c r="K48" s="2" t="n"/>
      <c r="L48" s="2" t="n"/>
      <c r="M48" s="2" t="n"/>
      <c r="N48" s="2" t="n"/>
      <c r="O48" s="2" t="n"/>
      <c r="P48" s="2" t="n"/>
      <c r="Q48" s="2">
        <f>IF(G48="","",TODAY()-G48)</f>
        <v/>
      </c>
    </row>
    <row r="49">
      <c r="A49" s="2" t="n"/>
      <c r="B49" s="2" t="n"/>
      <c r="C49" s="2" t="n"/>
      <c r="D49" s="2" t="n"/>
      <c r="E49" s="2" t="n"/>
      <c r="F49" s="2" t="n"/>
      <c r="G49" s="2" t="n"/>
      <c r="H49" s="2" t="n"/>
      <c r="I49" s="2" t="n"/>
      <c r="J49" s="2" t="n"/>
      <c r="K49" s="2" t="n"/>
      <c r="L49" s="2" t="n"/>
      <c r="M49" s="2" t="n"/>
      <c r="N49" s="2" t="n"/>
      <c r="O49" s="2" t="n"/>
      <c r="P49" s="2" t="n"/>
      <c r="Q49" s="2">
        <f>IF(G49="","",TODAY()-G49)</f>
        <v/>
      </c>
    </row>
    <row r="50">
      <c r="A50" s="2" t="n"/>
      <c r="B50" s="2" t="n"/>
      <c r="C50" s="2" t="n"/>
      <c r="D50" s="2" t="n"/>
      <c r="E50" s="2" t="n"/>
      <c r="F50" s="2" t="n"/>
      <c r="G50" s="2" t="n"/>
      <c r="H50" s="2" t="n"/>
      <c r="I50" s="2" t="n"/>
      <c r="J50" s="2" t="n"/>
      <c r="K50" s="2" t="n"/>
      <c r="L50" s="2" t="n"/>
      <c r="M50" s="2" t="n"/>
      <c r="N50" s="2" t="n"/>
      <c r="O50" s="2" t="n"/>
      <c r="P50" s="2" t="n"/>
      <c r="Q50" s="2">
        <f>IF(G50="","",TODAY()-G50)</f>
        <v/>
      </c>
    </row>
    <row r="51">
      <c r="A51" s="2" t="n"/>
      <c r="B51" s="2" t="n"/>
      <c r="C51" s="2" t="n"/>
      <c r="D51" s="2" t="n"/>
      <c r="E51" s="2" t="n"/>
      <c r="F51" s="2" t="n"/>
      <c r="G51" s="2" t="n"/>
      <c r="H51" s="2" t="n"/>
      <c r="I51" s="2" t="n"/>
      <c r="J51" s="2" t="n"/>
      <c r="K51" s="2" t="n"/>
      <c r="L51" s="2" t="n"/>
      <c r="M51" s="2" t="n"/>
      <c r="N51" s="2" t="n"/>
      <c r="O51" s="2" t="n"/>
      <c r="P51" s="2" t="n"/>
      <c r="Q51" s="2">
        <f>IF(G51="","",TODAY()-G51)</f>
        <v/>
      </c>
    </row>
    <row r="52">
      <c r="A52" s="2" t="n"/>
      <c r="B52" s="2" t="n"/>
      <c r="C52" s="2" t="n"/>
      <c r="D52" s="2" t="n"/>
      <c r="E52" s="2" t="n"/>
      <c r="F52" s="2" t="n"/>
      <c r="G52" s="2" t="n"/>
      <c r="H52" s="2" t="n"/>
      <c r="I52" s="2" t="n"/>
      <c r="J52" s="2" t="n"/>
      <c r="K52" s="2" t="n"/>
      <c r="L52" s="2" t="n"/>
      <c r="M52" s="2" t="n"/>
      <c r="N52" s="2" t="n"/>
      <c r="O52" s="2" t="n"/>
      <c r="P52" s="2" t="n"/>
      <c r="Q52" s="2">
        <f>IF(G52="","",TODAY()-G52)</f>
        <v/>
      </c>
    </row>
    <row r="53">
      <c r="A53" s="2" t="n"/>
      <c r="B53" s="2" t="n"/>
      <c r="C53" s="2" t="n"/>
      <c r="D53" s="2" t="n"/>
      <c r="E53" s="2" t="n"/>
      <c r="F53" s="2" t="n"/>
      <c r="G53" s="2" t="n"/>
      <c r="H53" s="2" t="n"/>
      <c r="I53" s="2" t="n"/>
      <c r="J53" s="2" t="n"/>
      <c r="K53" s="2" t="n"/>
      <c r="L53" s="2" t="n"/>
      <c r="M53" s="2" t="n"/>
      <c r="N53" s="2" t="n"/>
      <c r="O53" s="2" t="n"/>
      <c r="P53" s="2" t="n"/>
      <c r="Q53" s="2">
        <f>IF(G53="","",TODAY()-G53)</f>
        <v/>
      </c>
    </row>
    <row r="54">
      <c r="A54" s="2" t="n"/>
      <c r="B54" s="2" t="n"/>
      <c r="C54" s="2" t="n"/>
      <c r="D54" s="2" t="n"/>
      <c r="E54" s="2" t="n"/>
      <c r="F54" s="2" t="n"/>
      <c r="G54" s="2" t="n"/>
      <c r="H54" s="2" t="n"/>
      <c r="I54" s="2" t="n"/>
      <c r="J54" s="2" t="n"/>
      <c r="K54" s="2" t="n"/>
      <c r="L54" s="2" t="n"/>
      <c r="M54" s="2" t="n"/>
      <c r="N54" s="2" t="n"/>
      <c r="O54" s="2" t="n"/>
      <c r="P54" s="2" t="n"/>
      <c r="Q54" s="2">
        <f>IF(G54="","",TODAY()-G54)</f>
        <v/>
      </c>
    </row>
    <row r="55">
      <c r="A55" s="2" t="n"/>
      <c r="B55" s="2" t="n"/>
      <c r="C55" s="2" t="n"/>
      <c r="D55" s="2" t="n"/>
      <c r="E55" s="2" t="n"/>
      <c r="F55" s="2" t="n"/>
      <c r="G55" s="2" t="n"/>
      <c r="H55" s="2" t="n"/>
      <c r="I55" s="2" t="n"/>
      <c r="J55" s="2" t="n"/>
      <c r="K55" s="2" t="n"/>
      <c r="L55" s="2" t="n"/>
      <c r="M55" s="2" t="n"/>
      <c r="N55" s="2" t="n"/>
      <c r="O55" s="2" t="n"/>
      <c r="P55" s="2" t="n"/>
      <c r="Q55" s="2">
        <f>IF(G55="","",TODAY()-G55)</f>
        <v/>
      </c>
    </row>
    <row r="56">
      <c r="A56" s="2" t="n"/>
      <c r="B56" s="2" t="n"/>
      <c r="C56" s="2" t="n"/>
      <c r="D56" s="2" t="n"/>
      <c r="E56" s="2" t="n"/>
      <c r="F56" s="2" t="n"/>
      <c r="G56" s="2" t="n"/>
      <c r="H56" s="2" t="n"/>
      <c r="I56" s="2" t="n"/>
      <c r="J56" s="2" t="n"/>
      <c r="K56" s="2" t="n"/>
      <c r="L56" s="2" t="n"/>
      <c r="M56" s="2" t="n"/>
      <c r="N56" s="2" t="n"/>
      <c r="O56" s="2" t="n"/>
      <c r="P56" s="2" t="n"/>
      <c r="Q56" s="2">
        <f>IF(G56="","",TODAY()-G56)</f>
        <v/>
      </c>
    </row>
    <row r="57">
      <c r="A57" s="2" t="n"/>
      <c r="B57" s="2" t="n"/>
      <c r="C57" s="2" t="n"/>
      <c r="D57" s="2" t="n"/>
      <c r="E57" s="2" t="n"/>
      <c r="F57" s="2" t="n"/>
      <c r="G57" s="2" t="n"/>
      <c r="H57" s="2" t="n"/>
      <c r="I57" s="2" t="n"/>
      <c r="J57" s="2" t="n"/>
      <c r="K57" s="2" t="n"/>
      <c r="L57" s="2" t="n"/>
      <c r="M57" s="2" t="n"/>
      <c r="N57" s="2" t="n"/>
      <c r="O57" s="2" t="n"/>
      <c r="P57" s="2" t="n"/>
      <c r="Q57" s="2">
        <f>IF(G57="","",TODAY()-G57)</f>
        <v/>
      </c>
    </row>
    <row r="58">
      <c r="A58" s="2" t="n"/>
      <c r="B58" s="2" t="n"/>
      <c r="C58" s="2" t="n"/>
      <c r="D58" s="2" t="n"/>
      <c r="E58" s="2" t="n"/>
      <c r="F58" s="2" t="n"/>
      <c r="G58" s="2" t="n"/>
      <c r="H58" s="2" t="n"/>
      <c r="I58" s="2" t="n"/>
      <c r="J58" s="2" t="n"/>
      <c r="K58" s="2" t="n"/>
      <c r="L58" s="2" t="n"/>
      <c r="M58" s="2" t="n"/>
      <c r="N58" s="2" t="n"/>
      <c r="O58" s="2" t="n"/>
      <c r="P58" s="2" t="n"/>
      <c r="Q58" s="2">
        <f>IF(G58="","",TODAY()-G58)</f>
        <v/>
      </c>
    </row>
    <row r="59">
      <c r="A59" s="2" t="n"/>
      <c r="B59" s="2" t="n"/>
      <c r="C59" s="2" t="n"/>
      <c r="D59" s="2" t="n"/>
      <c r="E59" s="2" t="n"/>
      <c r="F59" s="2" t="n"/>
      <c r="G59" s="2" t="n"/>
      <c r="H59" s="2" t="n"/>
      <c r="I59" s="2" t="n"/>
      <c r="J59" s="2" t="n"/>
      <c r="K59" s="2" t="n"/>
      <c r="L59" s="2" t="n"/>
      <c r="M59" s="2" t="n"/>
      <c r="N59" s="2" t="n"/>
      <c r="O59" s="2" t="n"/>
      <c r="P59" s="2" t="n"/>
      <c r="Q59" s="2">
        <f>IF(G59="","",TODAY()-G59)</f>
        <v/>
      </c>
    </row>
    <row r="60">
      <c r="A60" s="2" t="n"/>
      <c r="B60" s="2" t="n"/>
      <c r="C60" s="2" t="n"/>
      <c r="D60" s="2" t="n"/>
      <c r="E60" s="2" t="n"/>
      <c r="F60" s="2" t="n"/>
      <c r="G60" s="2" t="n"/>
      <c r="H60" s="2" t="n"/>
      <c r="I60" s="2" t="n"/>
      <c r="J60" s="2" t="n"/>
      <c r="K60" s="2" t="n"/>
      <c r="L60" s="2" t="n"/>
      <c r="M60" s="2" t="n"/>
      <c r="N60" s="2" t="n"/>
      <c r="O60" s="2" t="n"/>
      <c r="P60" s="2" t="n"/>
      <c r="Q60" s="2">
        <f>IF(G60="","",TODAY()-G60)</f>
        <v/>
      </c>
    </row>
    <row r="61">
      <c r="A61" s="2" t="n"/>
      <c r="B61" s="2" t="n"/>
      <c r="C61" s="2" t="n"/>
      <c r="D61" s="2" t="n"/>
      <c r="E61" s="2" t="n"/>
      <c r="F61" s="2" t="n"/>
      <c r="G61" s="2" t="n"/>
      <c r="H61" s="2" t="n"/>
      <c r="I61" s="2" t="n"/>
      <c r="J61" s="2" t="n"/>
      <c r="K61" s="2" t="n"/>
      <c r="L61" s="2" t="n"/>
      <c r="M61" s="2" t="n"/>
      <c r="N61" s="2" t="n"/>
      <c r="O61" s="2" t="n"/>
      <c r="P61" s="2" t="n"/>
      <c r="Q61" s="2">
        <f>IF(G61="","",TODAY()-G61)</f>
        <v/>
      </c>
    </row>
    <row r="62">
      <c r="A62" s="2" t="n"/>
      <c r="B62" s="2" t="n"/>
      <c r="C62" s="2" t="n"/>
      <c r="D62" s="2" t="n"/>
      <c r="E62" s="2" t="n"/>
      <c r="F62" s="2" t="n"/>
      <c r="G62" s="2" t="n"/>
      <c r="H62" s="2" t="n"/>
      <c r="I62" s="2" t="n"/>
      <c r="J62" s="2" t="n"/>
      <c r="K62" s="2" t="n"/>
      <c r="L62" s="2" t="n"/>
      <c r="M62" s="2" t="n"/>
      <c r="N62" s="2" t="n"/>
      <c r="O62" s="2" t="n"/>
      <c r="P62" s="2" t="n"/>
      <c r="Q62" s="2">
        <f>IF(G62="","",TODAY()-G62)</f>
        <v/>
      </c>
    </row>
    <row r="63">
      <c r="A63" s="2" t="n"/>
      <c r="B63" s="2" t="n"/>
      <c r="C63" s="2" t="n"/>
      <c r="D63" s="2" t="n"/>
      <c r="E63" s="2" t="n"/>
      <c r="F63" s="2" t="n"/>
      <c r="G63" s="2" t="n"/>
      <c r="H63" s="2" t="n"/>
      <c r="I63" s="2" t="n"/>
      <c r="J63" s="2" t="n"/>
      <c r="K63" s="2" t="n"/>
      <c r="L63" s="2" t="n"/>
      <c r="M63" s="2" t="n"/>
      <c r="N63" s="2" t="n"/>
      <c r="O63" s="2" t="n"/>
      <c r="P63" s="2" t="n"/>
      <c r="Q63" s="2">
        <f>IF(G63="","",TODAY()-G63)</f>
        <v/>
      </c>
    </row>
    <row r="64">
      <c r="A64" s="2" t="n"/>
      <c r="B64" s="2" t="n"/>
      <c r="C64" s="2" t="n"/>
      <c r="D64" s="2" t="n"/>
      <c r="E64" s="2" t="n"/>
      <c r="F64" s="2" t="n"/>
      <c r="G64" s="2" t="n"/>
      <c r="H64" s="2" t="n"/>
      <c r="I64" s="2" t="n"/>
      <c r="J64" s="2" t="n"/>
      <c r="K64" s="2" t="n"/>
      <c r="L64" s="2" t="n"/>
      <c r="M64" s="2" t="n"/>
      <c r="N64" s="2" t="n"/>
      <c r="O64" s="2" t="n"/>
      <c r="P64" s="2" t="n"/>
      <c r="Q64" s="2">
        <f>IF(G64="","",TODAY()-G64)</f>
        <v/>
      </c>
    </row>
    <row r="65">
      <c r="A65" s="2" t="n"/>
      <c r="B65" s="2" t="n"/>
      <c r="C65" s="2" t="n"/>
      <c r="D65" s="2" t="n"/>
      <c r="E65" s="2" t="n"/>
      <c r="F65" s="2" t="n"/>
      <c r="G65" s="2" t="n"/>
      <c r="H65" s="2" t="n"/>
      <c r="I65" s="2" t="n"/>
      <c r="J65" s="2" t="n"/>
      <c r="K65" s="2" t="n"/>
      <c r="L65" s="2" t="n"/>
      <c r="M65" s="2" t="n"/>
      <c r="N65" s="2" t="n"/>
      <c r="O65" s="2" t="n"/>
      <c r="P65" s="2" t="n"/>
      <c r="Q65" s="2">
        <f>IF(G65="","",TODAY()-G65)</f>
        <v/>
      </c>
    </row>
    <row r="66">
      <c r="A66" s="2" t="n"/>
      <c r="B66" s="2" t="n"/>
      <c r="C66" s="2" t="n"/>
      <c r="D66" s="2" t="n"/>
      <c r="E66" s="2" t="n"/>
      <c r="F66" s="2" t="n"/>
      <c r="G66" s="2" t="n"/>
      <c r="H66" s="2" t="n"/>
      <c r="I66" s="2" t="n"/>
      <c r="J66" s="2" t="n"/>
      <c r="K66" s="2" t="n"/>
      <c r="L66" s="2" t="n"/>
      <c r="M66" s="2" t="n"/>
      <c r="N66" s="2" t="n"/>
      <c r="O66" s="2" t="n"/>
      <c r="P66" s="2" t="n"/>
      <c r="Q66" s="2">
        <f>IF(G66="","",TODAY()-G66)</f>
        <v/>
      </c>
    </row>
    <row r="67">
      <c r="A67" s="2" t="n"/>
      <c r="B67" s="2" t="n"/>
      <c r="C67" s="2" t="n"/>
      <c r="D67" s="2" t="n"/>
      <c r="E67" s="2" t="n"/>
      <c r="F67" s="2" t="n"/>
      <c r="G67" s="2" t="n"/>
      <c r="H67" s="2" t="n"/>
      <c r="I67" s="2" t="n"/>
      <c r="J67" s="2" t="n"/>
      <c r="K67" s="2" t="n"/>
      <c r="L67" s="2" t="n"/>
      <c r="M67" s="2" t="n"/>
      <c r="N67" s="2" t="n"/>
      <c r="O67" s="2" t="n"/>
      <c r="P67" s="2" t="n"/>
      <c r="Q67" s="2">
        <f>IF(G67="","",TODAY()-G67)</f>
        <v/>
      </c>
    </row>
    <row r="68">
      <c r="A68" s="2" t="n"/>
      <c r="B68" s="2" t="n"/>
      <c r="C68" s="2" t="n"/>
      <c r="D68" s="2" t="n"/>
      <c r="E68" s="2" t="n"/>
      <c r="F68" s="2" t="n"/>
      <c r="G68" s="2" t="n"/>
      <c r="H68" s="2" t="n"/>
      <c r="I68" s="2" t="n"/>
      <c r="J68" s="2" t="n"/>
      <c r="K68" s="2" t="n"/>
      <c r="L68" s="2" t="n"/>
      <c r="M68" s="2" t="n"/>
      <c r="N68" s="2" t="n"/>
      <c r="O68" s="2" t="n"/>
      <c r="P68" s="2" t="n"/>
      <c r="Q68" s="2">
        <f>IF(G68="","",TODAY()-G68)</f>
        <v/>
      </c>
    </row>
    <row r="69">
      <c r="A69" s="2" t="n"/>
      <c r="B69" s="2" t="n"/>
      <c r="C69" s="2" t="n"/>
      <c r="D69" s="2" t="n"/>
      <c r="E69" s="2" t="n"/>
      <c r="F69" s="2" t="n"/>
      <c r="G69" s="2" t="n"/>
      <c r="H69" s="2" t="n"/>
      <c r="I69" s="2" t="n"/>
      <c r="J69" s="2" t="n"/>
      <c r="K69" s="2" t="n"/>
      <c r="L69" s="2" t="n"/>
      <c r="M69" s="2" t="n"/>
      <c r="N69" s="2" t="n"/>
      <c r="O69" s="2" t="n"/>
      <c r="P69" s="2" t="n"/>
      <c r="Q69" s="2">
        <f>IF(G69="","",TODAY()-G69)</f>
        <v/>
      </c>
    </row>
    <row r="70">
      <c r="A70" s="2" t="n"/>
      <c r="B70" s="2" t="n"/>
      <c r="C70" s="2" t="n"/>
      <c r="D70" s="2" t="n"/>
      <c r="E70" s="2" t="n"/>
      <c r="F70" s="2" t="n"/>
      <c r="G70" s="2" t="n"/>
      <c r="H70" s="2" t="n"/>
      <c r="I70" s="2" t="n"/>
      <c r="J70" s="2" t="n"/>
      <c r="K70" s="2" t="n"/>
      <c r="L70" s="2" t="n"/>
      <c r="M70" s="2" t="n"/>
      <c r="N70" s="2" t="n"/>
      <c r="O70" s="2" t="n"/>
      <c r="P70" s="2" t="n"/>
      <c r="Q70" s="2">
        <f>IF(G70="","",TODAY()-G70)</f>
        <v/>
      </c>
    </row>
    <row r="71">
      <c r="A71" s="2" t="n"/>
      <c r="B71" s="2" t="n"/>
      <c r="C71" s="2" t="n"/>
      <c r="D71" s="2" t="n"/>
      <c r="E71" s="2" t="n"/>
      <c r="F71" s="2" t="n"/>
      <c r="G71" s="2" t="n"/>
      <c r="H71" s="2" t="n"/>
      <c r="I71" s="2" t="n"/>
      <c r="J71" s="2" t="n"/>
      <c r="K71" s="2" t="n"/>
      <c r="L71" s="2" t="n"/>
      <c r="M71" s="2" t="n"/>
      <c r="N71" s="2" t="n"/>
      <c r="O71" s="2" t="n"/>
      <c r="P71" s="2" t="n"/>
      <c r="Q71" s="2">
        <f>IF(G71="","",TODAY()-G71)</f>
        <v/>
      </c>
    </row>
    <row r="72">
      <c r="A72" s="2" t="n"/>
      <c r="B72" s="2" t="n"/>
      <c r="C72" s="2" t="n"/>
      <c r="D72" s="2" t="n"/>
      <c r="E72" s="2" t="n"/>
      <c r="F72" s="2" t="n"/>
      <c r="G72" s="2" t="n"/>
      <c r="H72" s="2" t="n"/>
      <c r="I72" s="2" t="n"/>
      <c r="J72" s="2" t="n"/>
      <c r="K72" s="2" t="n"/>
      <c r="L72" s="2" t="n"/>
      <c r="M72" s="2" t="n"/>
      <c r="N72" s="2" t="n"/>
      <c r="O72" s="2" t="n"/>
      <c r="P72" s="2" t="n"/>
      <c r="Q72" s="2">
        <f>IF(G72="","",TODAY()-G72)</f>
        <v/>
      </c>
    </row>
    <row r="73">
      <c r="A73" s="2" t="n"/>
      <c r="B73" s="2" t="n"/>
      <c r="C73" s="2" t="n"/>
      <c r="D73" s="2" t="n"/>
      <c r="E73" s="2" t="n"/>
      <c r="F73" s="2" t="n"/>
      <c r="G73" s="2" t="n"/>
      <c r="H73" s="2" t="n"/>
      <c r="I73" s="2" t="n"/>
      <c r="J73" s="2" t="n"/>
      <c r="K73" s="2" t="n"/>
      <c r="L73" s="2" t="n"/>
      <c r="M73" s="2" t="n"/>
      <c r="N73" s="2" t="n"/>
      <c r="O73" s="2" t="n"/>
      <c r="P73" s="2" t="n"/>
      <c r="Q73" s="2">
        <f>IF(G73="","",TODAY()-G73)</f>
        <v/>
      </c>
    </row>
    <row r="74">
      <c r="A74" s="2" t="n"/>
      <c r="B74" s="2" t="n"/>
      <c r="C74" s="2" t="n"/>
      <c r="D74" s="2" t="n"/>
      <c r="E74" s="2" t="n"/>
      <c r="F74" s="2" t="n"/>
      <c r="G74" s="2" t="n"/>
      <c r="H74" s="2" t="n"/>
      <c r="I74" s="2" t="n"/>
      <c r="J74" s="2" t="n"/>
      <c r="K74" s="2" t="n"/>
      <c r="L74" s="2" t="n"/>
      <c r="M74" s="2" t="n"/>
      <c r="N74" s="2" t="n"/>
      <c r="O74" s="2" t="n"/>
      <c r="P74" s="2" t="n"/>
      <c r="Q74" s="2">
        <f>IF(G74="","",TODAY()-G74)</f>
        <v/>
      </c>
    </row>
    <row r="75">
      <c r="A75" s="2" t="n"/>
      <c r="B75" s="2" t="n"/>
      <c r="C75" s="2" t="n"/>
      <c r="D75" s="2" t="n"/>
      <c r="E75" s="2" t="n"/>
      <c r="F75" s="2" t="n"/>
      <c r="G75" s="2" t="n"/>
      <c r="H75" s="2" t="n"/>
      <c r="I75" s="2" t="n"/>
      <c r="J75" s="2" t="n"/>
      <c r="K75" s="2" t="n"/>
      <c r="L75" s="2" t="n"/>
      <c r="M75" s="2" t="n"/>
      <c r="N75" s="2" t="n"/>
      <c r="O75" s="2" t="n"/>
      <c r="P75" s="2" t="n"/>
      <c r="Q75" s="2">
        <f>IF(G75="","",TODAY()-G75)</f>
        <v/>
      </c>
    </row>
    <row r="76">
      <c r="A76" s="2" t="n"/>
      <c r="B76" s="2" t="n"/>
      <c r="C76" s="2" t="n"/>
      <c r="D76" s="2" t="n"/>
      <c r="E76" s="2" t="n"/>
      <c r="F76" s="2" t="n"/>
      <c r="G76" s="2" t="n"/>
      <c r="H76" s="2" t="n"/>
      <c r="I76" s="2" t="n"/>
      <c r="J76" s="2" t="n"/>
      <c r="K76" s="2" t="n"/>
      <c r="L76" s="2" t="n"/>
      <c r="M76" s="2" t="n"/>
      <c r="N76" s="2" t="n"/>
      <c r="O76" s="2" t="n"/>
      <c r="P76" s="2" t="n"/>
      <c r="Q76" s="2">
        <f>IF(G76="","",TODAY()-G76)</f>
        <v/>
      </c>
    </row>
    <row r="77">
      <c r="A77" s="2" t="n"/>
      <c r="B77" s="2" t="n"/>
      <c r="C77" s="2" t="n"/>
      <c r="D77" s="2" t="n"/>
      <c r="E77" s="2" t="n"/>
      <c r="F77" s="2" t="n"/>
      <c r="G77" s="2" t="n"/>
      <c r="H77" s="2" t="n"/>
      <c r="I77" s="2" t="n"/>
      <c r="J77" s="2" t="n"/>
      <c r="K77" s="2" t="n"/>
      <c r="L77" s="2" t="n"/>
      <c r="M77" s="2" t="n"/>
      <c r="N77" s="2" t="n"/>
      <c r="O77" s="2" t="n"/>
      <c r="P77" s="2" t="n"/>
      <c r="Q77" s="2">
        <f>IF(G77="","",TODAY()-G77)</f>
        <v/>
      </c>
    </row>
    <row r="78">
      <c r="A78" s="2" t="n"/>
      <c r="B78" s="2" t="n"/>
      <c r="C78" s="2" t="n"/>
      <c r="D78" s="2" t="n"/>
      <c r="E78" s="2" t="n"/>
      <c r="F78" s="2" t="n"/>
      <c r="G78" s="2" t="n"/>
      <c r="H78" s="2" t="n"/>
      <c r="I78" s="2" t="n"/>
      <c r="J78" s="2" t="n"/>
      <c r="K78" s="2" t="n"/>
      <c r="L78" s="2" t="n"/>
      <c r="M78" s="2" t="n"/>
      <c r="N78" s="2" t="n"/>
      <c r="O78" s="2" t="n"/>
      <c r="P78" s="2" t="n"/>
      <c r="Q78" s="2">
        <f>IF(G78="","",TODAY()-G78)</f>
        <v/>
      </c>
    </row>
    <row r="79">
      <c r="A79" s="2" t="n"/>
      <c r="B79" s="2" t="n"/>
      <c r="C79" s="2" t="n"/>
      <c r="D79" s="2" t="n"/>
      <c r="E79" s="2" t="n"/>
      <c r="F79" s="2" t="n"/>
      <c r="G79" s="2" t="n"/>
      <c r="H79" s="2" t="n"/>
      <c r="I79" s="2" t="n"/>
      <c r="J79" s="2" t="n"/>
      <c r="K79" s="2" t="n"/>
      <c r="L79" s="2" t="n"/>
      <c r="M79" s="2" t="n"/>
      <c r="N79" s="2" t="n"/>
      <c r="O79" s="2" t="n"/>
      <c r="P79" s="2" t="n"/>
      <c r="Q79" s="2">
        <f>IF(G79="","",TODAY()-G79)</f>
        <v/>
      </c>
    </row>
    <row r="80">
      <c r="A80" s="2" t="n"/>
      <c r="B80" s="2" t="n"/>
      <c r="C80" s="2" t="n"/>
      <c r="D80" s="2" t="n"/>
      <c r="E80" s="2" t="n"/>
      <c r="F80" s="2" t="n"/>
      <c r="G80" s="2" t="n"/>
      <c r="H80" s="2" t="n"/>
      <c r="I80" s="2" t="n"/>
      <c r="J80" s="2" t="n"/>
      <c r="K80" s="2" t="n"/>
      <c r="L80" s="2" t="n"/>
      <c r="M80" s="2" t="n"/>
      <c r="N80" s="2" t="n"/>
      <c r="O80" s="2" t="n"/>
      <c r="P80" s="2" t="n"/>
      <c r="Q80" s="2">
        <f>IF(G80="","",TODAY()-G80)</f>
        <v/>
      </c>
    </row>
    <row r="81">
      <c r="A81" s="2" t="n"/>
      <c r="B81" s="2" t="n"/>
      <c r="C81" s="2" t="n"/>
      <c r="D81" s="2" t="n"/>
      <c r="E81" s="2" t="n"/>
      <c r="F81" s="2" t="n"/>
      <c r="G81" s="2" t="n"/>
      <c r="H81" s="2" t="n"/>
      <c r="I81" s="2" t="n"/>
      <c r="J81" s="2" t="n"/>
      <c r="K81" s="2" t="n"/>
      <c r="L81" s="2" t="n"/>
      <c r="M81" s="2" t="n"/>
      <c r="N81" s="2" t="n"/>
      <c r="O81" s="2" t="n"/>
      <c r="P81" s="2" t="n"/>
      <c r="Q81" s="2">
        <f>IF(G81="","",TODAY()-G81)</f>
        <v/>
      </c>
    </row>
    <row r="82">
      <c r="A82" s="2" t="n"/>
      <c r="B82" s="2" t="n"/>
      <c r="C82" s="2" t="n"/>
      <c r="D82" s="2" t="n"/>
      <c r="E82" s="2" t="n"/>
      <c r="F82" s="2" t="n"/>
      <c r="G82" s="2" t="n"/>
      <c r="H82" s="2" t="n"/>
      <c r="I82" s="2" t="n"/>
      <c r="J82" s="2" t="n"/>
      <c r="K82" s="2" t="n"/>
      <c r="L82" s="2" t="n"/>
      <c r="M82" s="2" t="n"/>
      <c r="N82" s="2" t="n"/>
      <c r="O82" s="2" t="n"/>
      <c r="P82" s="2" t="n"/>
      <c r="Q82" s="2">
        <f>IF(G82="","",TODAY()-G82)</f>
        <v/>
      </c>
    </row>
    <row r="83">
      <c r="A83" s="2" t="n"/>
      <c r="B83" s="2" t="n"/>
      <c r="C83" s="2" t="n"/>
      <c r="D83" s="2" t="n"/>
      <c r="E83" s="2" t="n"/>
      <c r="F83" s="2" t="n"/>
      <c r="G83" s="2" t="n"/>
      <c r="H83" s="2" t="n"/>
      <c r="I83" s="2" t="n"/>
      <c r="J83" s="2" t="n"/>
      <c r="K83" s="2" t="n"/>
      <c r="L83" s="2" t="n"/>
      <c r="M83" s="2" t="n"/>
      <c r="N83" s="2" t="n"/>
      <c r="O83" s="2" t="n"/>
      <c r="P83" s="2" t="n"/>
      <c r="Q83" s="2">
        <f>IF(G83="","",TODAY()-G83)</f>
        <v/>
      </c>
    </row>
    <row r="84">
      <c r="A84" s="2" t="n"/>
      <c r="B84" s="2" t="n"/>
      <c r="C84" s="2" t="n"/>
      <c r="D84" s="2" t="n"/>
      <c r="E84" s="2" t="n"/>
      <c r="F84" s="2" t="n"/>
      <c r="G84" s="2" t="n"/>
      <c r="H84" s="2" t="n"/>
      <c r="I84" s="2" t="n"/>
      <c r="J84" s="2" t="n"/>
      <c r="K84" s="2" t="n"/>
      <c r="L84" s="2" t="n"/>
      <c r="M84" s="2" t="n"/>
      <c r="N84" s="2" t="n"/>
      <c r="O84" s="2" t="n"/>
      <c r="P84" s="2" t="n"/>
      <c r="Q84" s="2">
        <f>IF(G84="","",TODAY()-G84)</f>
        <v/>
      </c>
    </row>
    <row r="85">
      <c r="A85" s="2" t="n"/>
      <c r="B85" s="2" t="n"/>
      <c r="C85" s="2" t="n"/>
      <c r="D85" s="2" t="n"/>
      <c r="E85" s="2" t="n"/>
      <c r="F85" s="2" t="n"/>
      <c r="G85" s="2" t="n"/>
      <c r="H85" s="2" t="n"/>
      <c r="I85" s="2" t="n"/>
      <c r="J85" s="2" t="n"/>
      <c r="K85" s="2" t="n"/>
      <c r="L85" s="2" t="n"/>
      <c r="M85" s="2" t="n"/>
      <c r="N85" s="2" t="n"/>
      <c r="O85" s="2" t="n"/>
      <c r="P85" s="2" t="n"/>
      <c r="Q85" s="2">
        <f>IF(G85="","",TODAY()-G85)</f>
        <v/>
      </c>
    </row>
    <row r="86">
      <c r="A86" s="2" t="n"/>
      <c r="B86" s="2" t="n"/>
      <c r="C86" s="2" t="n"/>
      <c r="D86" s="2" t="n"/>
      <c r="E86" s="2" t="n"/>
      <c r="F86" s="2" t="n"/>
      <c r="G86" s="2" t="n"/>
      <c r="H86" s="2" t="n"/>
      <c r="I86" s="2" t="n"/>
      <c r="J86" s="2" t="n"/>
      <c r="K86" s="2" t="n"/>
      <c r="L86" s="2" t="n"/>
      <c r="M86" s="2" t="n"/>
      <c r="N86" s="2" t="n"/>
      <c r="O86" s="2" t="n"/>
      <c r="P86" s="2" t="n"/>
      <c r="Q86" s="2">
        <f>IF(G86="","",TODAY()-G86)</f>
        <v/>
      </c>
    </row>
    <row r="87">
      <c r="A87" s="2" t="n"/>
      <c r="B87" s="2" t="n"/>
      <c r="C87" s="2" t="n"/>
      <c r="D87" s="2" t="n"/>
      <c r="E87" s="2" t="n"/>
      <c r="F87" s="2" t="n"/>
      <c r="G87" s="2" t="n"/>
      <c r="H87" s="2" t="n"/>
      <c r="I87" s="2" t="n"/>
      <c r="J87" s="2" t="n"/>
      <c r="K87" s="2" t="n"/>
      <c r="L87" s="2" t="n"/>
      <c r="M87" s="2" t="n"/>
      <c r="N87" s="2" t="n"/>
      <c r="O87" s="2" t="n"/>
      <c r="P87" s="2" t="n"/>
      <c r="Q87" s="2">
        <f>IF(G87="","",TODAY()-G87)</f>
        <v/>
      </c>
    </row>
    <row r="88">
      <c r="A88" s="2" t="n"/>
      <c r="B88" s="2" t="n"/>
      <c r="C88" s="2" t="n"/>
      <c r="D88" s="2" t="n"/>
      <c r="E88" s="2" t="n"/>
      <c r="F88" s="2" t="n"/>
      <c r="G88" s="2" t="n"/>
      <c r="H88" s="2" t="n"/>
      <c r="I88" s="2" t="n"/>
      <c r="J88" s="2" t="n"/>
      <c r="K88" s="2" t="n"/>
      <c r="L88" s="2" t="n"/>
      <c r="M88" s="2" t="n"/>
      <c r="N88" s="2" t="n"/>
      <c r="O88" s="2" t="n"/>
      <c r="P88" s="2" t="n"/>
      <c r="Q88" s="2">
        <f>IF(G88="","",TODAY()-G88)</f>
        <v/>
      </c>
    </row>
    <row r="89">
      <c r="A89" s="2" t="n"/>
      <c r="B89" s="2" t="n"/>
      <c r="C89" s="2" t="n"/>
      <c r="D89" s="2" t="n"/>
      <c r="E89" s="2" t="n"/>
      <c r="F89" s="2" t="n"/>
      <c r="G89" s="2" t="n"/>
      <c r="H89" s="2" t="n"/>
      <c r="I89" s="2" t="n"/>
      <c r="J89" s="2" t="n"/>
      <c r="K89" s="2" t="n"/>
      <c r="L89" s="2" t="n"/>
      <c r="M89" s="2" t="n"/>
      <c r="N89" s="2" t="n"/>
      <c r="O89" s="2" t="n"/>
      <c r="P89" s="2" t="n"/>
      <c r="Q89" s="2">
        <f>IF(G89="","",TODAY()-G89)</f>
        <v/>
      </c>
    </row>
    <row r="90">
      <c r="A90" s="2" t="n"/>
      <c r="B90" s="2" t="n"/>
      <c r="C90" s="2" t="n"/>
      <c r="D90" s="2" t="n"/>
      <c r="E90" s="2" t="n"/>
      <c r="F90" s="2" t="n"/>
      <c r="G90" s="2" t="n"/>
      <c r="H90" s="2" t="n"/>
      <c r="I90" s="2" t="n"/>
      <c r="J90" s="2" t="n"/>
      <c r="K90" s="2" t="n"/>
      <c r="L90" s="2" t="n"/>
      <c r="M90" s="2" t="n"/>
      <c r="N90" s="2" t="n"/>
      <c r="O90" s="2" t="n"/>
      <c r="P90" s="2" t="n"/>
      <c r="Q90" s="2">
        <f>IF(G90="","",TODAY()-G90)</f>
        <v/>
      </c>
    </row>
    <row r="91">
      <c r="A91" s="2" t="n"/>
      <c r="B91" s="2" t="n"/>
      <c r="C91" s="2" t="n"/>
      <c r="D91" s="2" t="n"/>
      <c r="E91" s="2" t="n"/>
      <c r="F91" s="2" t="n"/>
      <c r="G91" s="2" t="n"/>
      <c r="H91" s="2" t="n"/>
      <c r="I91" s="2" t="n"/>
      <c r="J91" s="2" t="n"/>
      <c r="K91" s="2" t="n"/>
      <c r="L91" s="2" t="n"/>
      <c r="M91" s="2" t="n"/>
      <c r="N91" s="2" t="n"/>
      <c r="O91" s="2" t="n"/>
      <c r="P91" s="2" t="n"/>
      <c r="Q91" s="2">
        <f>IF(G91="","",TODAY()-G91)</f>
        <v/>
      </c>
    </row>
    <row r="92">
      <c r="A92" s="2" t="n"/>
      <c r="B92" s="2" t="n"/>
      <c r="C92" s="2" t="n"/>
      <c r="D92" s="2" t="n"/>
      <c r="E92" s="2" t="n"/>
      <c r="F92" s="2" t="n"/>
      <c r="G92" s="2" t="n"/>
      <c r="H92" s="2" t="n"/>
      <c r="I92" s="2" t="n"/>
      <c r="J92" s="2" t="n"/>
      <c r="K92" s="2" t="n"/>
      <c r="L92" s="2" t="n"/>
      <c r="M92" s="2" t="n"/>
      <c r="N92" s="2" t="n"/>
      <c r="O92" s="2" t="n"/>
      <c r="P92" s="2" t="n"/>
      <c r="Q92" s="2">
        <f>IF(G92="","",TODAY()-G92)</f>
        <v/>
      </c>
    </row>
    <row r="93">
      <c r="A93" s="2" t="n"/>
      <c r="B93" s="2" t="n"/>
      <c r="C93" s="2" t="n"/>
      <c r="D93" s="2" t="n"/>
      <c r="E93" s="2" t="n"/>
      <c r="F93" s="2" t="n"/>
      <c r="G93" s="2" t="n"/>
      <c r="H93" s="2" t="n"/>
      <c r="I93" s="2" t="n"/>
      <c r="J93" s="2" t="n"/>
      <c r="K93" s="2" t="n"/>
      <c r="L93" s="2" t="n"/>
      <c r="M93" s="2" t="n"/>
      <c r="N93" s="2" t="n"/>
      <c r="O93" s="2" t="n"/>
      <c r="P93" s="2" t="n"/>
      <c r="Q93" s="2">
        <f>IF(G93="","",TODAY()-G93)</f>
        <v/>
      </c>
    </row>
    <row r="94">
      <c r="A94" s="2" t="n"/>
      <c r="B94" s="2" t="n"/>
      <c r="C94" s="2" t="n"/>
      <c r="D94" s="2" t="n"/>
      <c r="E94" s="2" t="n"/>
      <c r="F94" s="2" t="n"/>
      <c r="G94" s="2" t="n"/>
      <c r="H94" s="2" t="n"/>
      <c r="I94" s="2" t="n"/>
      <c r="J94" s="2" t="n"/>
      <c r="K94" s="2" t="n"/>
      <c r="L94" s="2" t="n"/>
      <c r="M94" s="2" t="n"/>
      <c r="N94" s="2" t="n"/>
      <c r="O94" s="2" t="n"/>
      <c r="P94" s="2" t="n"/>
      <c r="Q94" s="2">
        <f>IF(G94="","",TODAY()-G94)</f>
        <v/>
      </c>
    </row>
    <row r="95">
      <c r="A95" s="2" t="n"/>
      <c r="B95" s="2" t="n"/>
      <c r="C95" s="2" t="n"/>
      <c r="D95" s="2" t="n"/>
      <c r="E95" s="2" t="n"/>
      <c r="F95" s="2" t="n"/>
      <c r="G95" s="2" t="n"/>
      <c r="H95" s="2" t="n"/>
      <c r="I95" s="2" t="n"/>
      <c r="J95" s="2" t="n"/>
      <c r="K95" s="2" t="n"/>
      <c r="L95" s="2" t="n"/>
      <c r="M95" s="2" t="n"/>
      <c r="N95" s="2" t="n"/>
      <c r="O95" s="2" t="n"/>
      <c r="P95" s="2" t="n"/>
      <c r="Q95" s="2">
        <f>IF(G95="","",TODAY()-G95)</f>
        <v/>
      </c>
    </row>
    <row r="96">
      <c r="A96" s="2" t="n"/>
      <c r="B96" s="2" t="n"/>
      <c r="C96" s="2" t="n"/>
      <c r="D96" s="2" t="n"/>
      <c r="E96" s="2" t="n"/>
      <c r="F96" s="2" t="n"/>
      <c r="G96" s="2" t="n"/>
      <c r="H96" s="2" t="n"/>
      <c r="I96" s="2" t="n"/>
      <c r="J96" s="2" t="n"/>
      <c r="K96" s="2" t="n"/>
      <c r="L96" s="2" t="n"/>
      <c r="M96" s="2" t="n"/>
      <c r="N96" s="2" t="n"/>
      <c r="O96" s="2" t="n"/>
      <c r="P96" s="2" t="n"/>
      <c r="Q96" s="2">
        <f>IF(G96="","",TODAY()-G96)</f>
        <v/>
      </c>
    </row>
    <row r="97">
      <c r="A97" s="2" t="n"/>
      <c r="B97" s="2" t="n"/>
      <c r="C97" s="2" t="n"/>
      <c r="D97" s="2" t="n"/>
      <c r="E97" s="2" t="n"/>
      <c r="F97" s="2" t="n"/>
      <c r="G97" s="2" t="n"/>
      <c r="H97" s="2" t="n"/>
      <c r="I97" s="2" t="n"/>
      <c r="J97" s="2" t="n"/>
      <c r="K97" s="2" t="n"/>
      <c r="L97" s="2" t="n"/>
      <c r="M97" s="2" t="n"/>
      <c r="N97" s="2" t="n"/>
      <c r="O97" s="2" t="n"/>
      <c r="P97" s="2" t="n"/>
      <c r="Q97" s="2">
        <f>IF(G97="","",TODAY()-G97)</f>
        <v/>
      </c>
    </row>
    <row r="98">
      <c r="A98" s="2" t="n"/>
      <c r="B98" s="2" t="n"/>
      <c r="C98" s="2" t="n"/>
      <c r="D98" s="2" t="n"/>
      <c r="E98" s="2" t="n"/>
      <c r="F98" s="2" t="n"/>
      <c r="G98" s="2" t="n"/>
      <c r="H98" s="2" t="n"/>
      <c r="I98" s="2" t="n"/>
      <c r="J98" s="2" t="n"/>
      <c r="K98" s="2" t="n"/>
      <c r="L98" s="2" t="n"/>
      <c r="M98" s="2" t="n"/>
      <c r="N98" s="2" t="n"/>
      <c r="O98" s="2" t="n"/>
      <c r="P98" s="2" t="n"/>
      <c r="Q98" s="2">
        <f>IF(G98="","",TODAY()-G98)</f>
        <v/>
      </c>
    </row>
    <row r="99">
      <c r="A99" s="2" t="n"/>
      <c r="B99" s="2" t="n"/>
      <c r="C99" s="2" t="n"/>
      <c r="D99" s="2" t="n"/>
      <c r="E99" s="2" t="n"/>
      <c r="F99" s="2" t="n"/>
      <c r="G99" s="2" t="n"/>
      <c r="H99" s="2" t="n"/>
      <c r="I99" s="2" t="n"/>
      <c r="J99" s="2" t="n"/>
      <c r="K99" s="2" t="n"/>
      <c r="L99" s="2" t="n"/>
      <c r="M99" s="2" t="n"/>
      <c r="N99" s="2" t="n"/>
      <c r="O99" s="2" t="n"/>
      <c r="P99" s="2" t="n"/>
      <c r="Q99" s="2">
        <f>IF(G99="","",TODAY()-G99)</f>
        <v/>
      </c>
    </row>
    <row r="100">
      <c r="A100" s="2" t="n"/>
      <c r="B100" s="2" t="n"/>
      <c r="C100" s="2" t="n"/>
      <c r="D100" s="2" t="n"/>
      <c r="E100" s="2" t="n"/>
      <c r="F100" s="2" t="n"/>
      <c r="G100" s="2" t="n"/>
      <c r="H100" s="2" t="n"/>
      <c r="I100" s="2" t="n"/>
      <c r="J100" s="2" t="n"/>
      <c r="K100" s="2" t="n"/>
      <c r="L100" s="2" t="n"/>
      <c r="M100" s="2" t="n"/>
      <c r="N100" s="2" t="n"/>
      <c r="O100" s="2" t="n"/>
      <c r="P100" s="2" t="n"/>
      <c r="Q100" s="2">
        <f>IF(G100="","",TODAY()-G100)</f>
        <v/>
      </c>
    </row>
    <row r="101">
      <c r="A101" s="2" t="n"/>
      <c r="B101" s="2" t="n"/>
      <c r="C101" s="2" t="n"/>
      <c r="D101" s="2" t="n"/>
      <c r="E101" s="2" t="n"/>
      <c r="F101" s="2" t="n"/>
      <c r="G101" s="2" t="n"/>
      <c r="H101" s="2" t="n"/>
      <c r="I101" s="2" t="n"/>
      <c r="J101" s="2" t="n"/>
      <c r="K101" s="2" t="n"/>
      <c r="L101" s="2" t="n"/>
      <c r="M101" s="2" t="n"/>
      <c r="N101" s="2" t="n"/>
      <c r="O101" s="2" t="n"/>
      <c r="P101" s="2" t="n"/>
      <c r="Q101" s="2">
        <f>IF(G101="","",TODAY()-G101)</f>
        <v/>
      </c>
    </row>
    <row r="102">
      <c r="A102" s="2" t="n"/>
      <c r="B102" s="2" t="n"/>
      <c r="C102" s="2" t="n"/>
      <c r="D102" s="2" t="n"/>
      <c r="E102" s="2" t="n"/>
      <c r="F102" s="2" t="n"/>
      <c r="G102" s="2" t="n"/>
      <c r="H102" s="2" t="n"/>
      <c r="I102" s="2" t="n"/>
      <c r="J102" s="2" t="n"/>
      <c r="K102" s="2" t="n"/>
      <c r="L102" s="2" t="n"/>
      <c r="M102" s="2" t="n"/>
      <c r="N102" s="2" t="n"/>
      <c r="O102" s="2" t="n"/>
      <c r="P102" s="2" t="n"/>
      <c r="Q102" s="2">
        <f>IF(G102="","",TODAY()-G102)</f>
        <v/>
      </c>
    </row>
    <row r="103">
      <c r="A103" s="2" t="n"/>
      <c r="B103" s="2" t="n"/>
      <c r="C103" s="2" t="n"/>
      <c r="D103" s="2" t="n"/>
      <c r="E103" s="2" t="n"/>
      <c r="F103" s="2" t="n"/>
      <c r="G103" s="2" t="n"/>
      <c r="H103" s="2" t="n"/>
      <c r="I103" s="2" t="n"/>
      <c r="J103" s="2" t="n"/>
      <c r="K103" s="2" t="n"/>
      <c r="L103" s="2" t="n"/>
      <c r="M103" s="2" t="n"/>
      <c r="N103" s="2" t="n"/>
      <c r="O103" s="2" t="n"/>
      <c r="P103" s="2" t="n"/>
      <c r="Q103" s="2">
        <f>IF(G103="","",TODAY()-G103)</f>
        <v/>
      </c>
    </row>
    <row r="104">
      <c r="A104" s="2" t="n"/>
      <c r="B104" s="2" t="n"/>
      <c r="C104" s="2" t="n"/>
      <c r="D104" s="2" t="n"/>
      <c r="E104" s="2" t="n"/>
      <c r="F104" s="2" t="n"/>
      <c r="G104" s="2" t="n"/>
      <c r="H104" s="2" t="n"/>
      <c r="I104" s="2" t="n"/>
      <c r="J104" s="2" t="n"/>
      <c r="K104" s="2" t="n"/>
      <c r="L104" s="2" t="n"/>
      <c r="M104" s="2" t="n"/>
      <c r="N104" s="2" t="n"/>
      <c r="O104" s="2" t="n"/>
      <c r="P104" s="2" t="n"/>
      <c r="Q104" s="2">
        <f>IF(G104="","",TODAY()-G104)</f>
        <v/>
      </c>
    </row>
    <row r="105">
      <c r="A105" s="2" t="n"/>
      <c r="B105" s="2" t="n"/>
      <c r="C105" s="2" t="n"/>
      <c r="D105" s="2" t="n"/>
      <c r="E105" s="2" t="n"/>
      <c r="F105" s="2" t="n"/>
      <c r="G105" s="2" t="n"/>
      <c r="H105" s="2" t="n"/>
      <c r="I105" s="2" t="n"/>
      <c r="J105" s="2" t="n"/>
      <c r="K105" s="2" t="n"/>
      <c r="L105" s="2" t="n"/>
      <c r="M105" s="2" t="n"/>
      <c r="N105" s="2" t="n"/>
      <c r="O105" s="2" t="n"/>
      <c r="P105" s="2" t="n"/>
      <c r="Q105" s="2">
        <f>IF(G105="","",TODAY()-G105)</f>
        <v/>
      </c>
    </row>
    <row r="106">
      <c r="A106" s="2" t="n"/>
      <c r="B106" s="2" t="n"/>
      <c r="C106" s="2" t="n"/>
      <c r="D106" s="2" t="n"/>
      <c r="E106" s="2" t="n"/>
      <c r="F106" s="2" t="n"/>
      <c r="G106" s="2" t="n"/>
      <c r="H106" s="2" t="n"/>
      <c r="I106" s="2" t="n"/>
      <c r="J106" s="2" t="n"/>
      <c r="K106" s="2" t="n"/>
      <c r="L106" s="2" t="n"/>
      <c r="M106" s="2" t="n"/>
      <c r="N106" s="2" t="n"/>
      <c r="O106" s="2" t="n"/>
      <c r="P106" s="2" t="n"/>
      <c r="Q106" s="2">
        <f>IF(G106="","",TODAY()-G106)</f>
        <v/>
      </c>
    </row>
    <row r="107">
      <c r="A107" s="2" t="n"/>
      <c r="B107" s="2" t="n"/>
      <c r="C107" s="2" t="n"/>
      <c r="D107" s="2" t="n"/>
      <c r="E107" s="2" t="n"/>
      <c r="F107" s="2" t="n"/>
      <c r="G107" s="2" t="n"/>
      <c r="H107" s="2" t="n"/>
      <c r="I107" s="2" t="n"/>
      <c r="J107" s="2" t="n"/>
      <c r="K107" s="2" t="n"/>
      <c r="L107" s="2" t="n"/>
      <c r="M107" s="2" t="n"/>
      <c r="N107" s="2" t="n"/>
      <c r="O107" s="2" t="n"/>
      <c r="P107" s="2" t="n"/>
      <c r="Q107" s="2">
        <f>IF(G107="","",TODAY()-G107)</f>
        <v/>
      </c>
    </row>
    <row r="108">
      <c r="A108" s="2" t="n"/>
      <c r="B108" s="2" t="n"/>
      <c r="C108" s="2" t="n"/>
      <c r="D108" s="2" t="n"/>
      <c r="E108" s="2" t="n"/>
      <c r="F108" s="2" t="n"/>
      <c r="G108" s="2" t="n"/>
      <c r="H108" s="2" t="n"/>
      <c r="I108" s="2" t="n"/>
      <c r="J108" s="2" t="n"/>
      <c r="K108" s="2" t="n"/>
      <c r="L108" s="2" t="n"/>
      <c r="M108" s="2" t="n"/>
      <c r="N108" s="2" t="n"/>
      <c r="O108" s="2" t="n"/>
      <c r="P108" s="2" t="n"/>
      <c r="Q108" s="2">
        <f>IF(G108="","",TODAY()-G108)</f>
        <v/>
      </c>
    </row>
    <row r="109">
      <c r="A109" s="2" t="n"/>
      <c r="B109" s="2" t="n"/>
      <c r="C109" s="2" t="n"/>
      <c r="D109" s="2" t="n"/>
      <c r="E109" s="2" t="n"/>
      <c r="F109" s="2" t="n"/>
      <c r="G109" s="2" t="n"/>
      <c r="H109" s="2" t="n"/>
      <c r="I109" s="2" t="n"/>
      <c r="J109" s="2" t="n"/>
      <c r="K109" s="2" t="n"/>
      <c r="L109" s="2" t="n"/>
      <c r="M109" s="2" t="n"/>
      <c r="N109" s="2" t="n"/>
      <c r="O109" s="2" t="n"/>
      <c r="P109" s="2" t="n"/>
      <c r="Q109" s="2">
        <f>IF(G109="","",TODAY()-G109)</f>
        <v/>
      </c>
    </row>
    <row r="110">
      <c r="A110" s="2" t="n"/>
      <c r="B110" s="2" t="n"/>
      <c r="C110" s="2" t="n"/>
      <c r="D110" s="2" t="n"/>
      <c r="E110" s="2" t="n"/>
      <c r="F110" s="2" t="n"/>
      <c r="G110" s="2" t="n"/>
      <c r="H110" s="2" t="n"/>
      <c r="I110" s="2" t="n"/>
      <c r="J110" s="2" t="n"/>
      <c r="K110" s="2" t="n"/>
      <c r="L110" s="2" t="n"/>
      <c r="M110" s="2" t="n"/>
      <c r="N110" s="2" t="n"/>
      <c r="O110" s="2" t="n"/>
      <c r="P110" s="2" t="n"/>
      <c r="Q110" s="2">
        <f>IF(G110="","",TODAY()-G110)</f>
        <v/>
      </c>
    </row>
    <row r="111">
      <c r="A111" s="2" t="n"/>
      <c r="B111" s="2" t="n"/>
      <c r="C111" s="2" t="n"/>
      <c r="D111" s="2" t="n"/>
      <c r="E111" s="2" t="n"/>
      <c r="F111" s="2" t="n"/>
      <c r="G111" s="2" t="n"/>
      <c r="H111" s="2" t="n"/>
      <c r="I111" s="2" t="n"/>
      <c r="J111" s="2" t="n"/>
      <c r="K111" s="2" t="n"/>
      <c r="L111" s="2" t="n"/>
      <c r="M111" s="2" t="n"/>
      <c r="N111" s="2" t="n"/>
      <c r="O111" s="2" t="n"/>
      <c r="P111" s="2" t="n"/>
      <c r="Q111" s="2">
        <f>IF(G111="","",TODAY()-G111)</f>
        <v/>
      </c>
    </row>
    <row r="112">
      <c r="A112" s="2" t="n"/>
      <c r="B112" s="2" t="n"/>
      <c r="C112" s="2" t="n"/>
      <c r="D112" s="2" t="n"/>
      <c r="E112" s="2" t="n"/>
      <c r="F112" s="2" t="n"/>
      <c r="G112" s="2" t="n"/>
      <c r="H112" s="2" t="n"/>
      <c r="I112" s="2" t="n"/>
      <c r="J112" s="2" t="n"/>
      <c r="K112" s="2" t="n"/>
      <c r="L112" s="2" t="n"/>
      <c r="M112" s="2" t="n"/>
      <c r="N112" s="2" t="n"/>
      <c r="O112" s="2" t="n"/>
      <c r="P112" s="2" t="n"/>
      <c r="Q112" s="2">
        <f>IF(G112="","",TODAY()-G112)</f>
        <v/>
      </c>
    </row>
    <row r="113">
      <c r="A113" s="2" t="n"/>
      <c r="B113" s="2" t="n"/>
      <c r="C113" s="2" t="n"/>
      <c r="D113" s="2" t="n"/>
      <c r="E113" s="2" t="n"/>
      <c r="F113" s="2" t="n"/>
      <c r="G113" s="2" t="n"/>
      <c r="H113" s="2" t="n"/>
      <c r="I113" s="2" t="n"/>
      <c r="J113" s="2" t="n"/>
      <c r="K113" s="2" t="n"/>
      <c r="L113" s="2" t="n"/>
      <c r="M113" s="2" t="n"/>
      <c r="N113" s="2" t="n"/>
      <c r="O113" s="2" t="n"/>
      <c r="P113" s="2" t="n"/>
      <c r="Q113" s="2">
        <f>IF(G113="","",TODAY()-G113)</f>
        <v/>
      </c>
    </row>
    <row r="114">
      <c r="A114" s="2" t="n"/>
      <c r="B114" s="2" t="n"/>
      <c r="C114" s="2" t="n"/>
      <c r="D114" s="2" t="n"/>
      <c r="E114" s="2" t="n"/>
      <c r="F114" s="2" t="n"/>
      <c r="G114" s="2" t="n"/>
      <c r="H114" s="2" t="n"/>
      <c r="I114" s="2" t="n"/>
      <c r="J114" s="2" t="n"/>
      <c r="K114" s="2" t="n"/>
      <c r="L114" s="2" t="n"/>
      <c r="M114" s="2" t="n"/>
      <c r="N114" s="2" t="n"/>
      <c r="O114" s="2" t="n"/>
      <c r="P114" s="2" t="n"/>
      <c r="Q114" s="2">
        <f>IF(G114="","",TODAY()-G114)</f>
        <v/>
      </c>
    </row>
    <row r="115">
      <c r="A115" s="2" t="n"/>
      <c r="B115" s="2" t="n"/>
      <c r="C115" s="2" t="n"/>
      <c r="D115" s="2" t="n"/>
      <c r="E115" s="2" t="n"/>
      <c r="F115" s="2" t="n"/>
      <c r="G115" s="2" t="n"/>
      <c r="H115" s="2" t="n"/>
      <c r="I115" s="2" t="n"/>
      <c r="J115" s="2" t="n"/>
      <c r="K115" s="2" t="n"/>
      <c r="L115" s="2" t="n"/>
      <c r="M115" s="2" t="n"/>
      <c r="N115" s="2" t="n"/>
      <c r="O115" s="2" t="n"/>
      <c r="P115" s="2" t="n"/>
      <c r="Q115" s="2">
        <f>IF(G115="","",TODAY()-G115)</f>
        <v/>
      </c>
    </row>
    <row r="116">
      <c r="A116" s="2" t="n"/>
      <c r="B116" s="2" t="n"/>
      <c r="C116" s="2" t="n"/>
      <c r="D116" s="2" t="n"/>
      <c r="E116" s="2" t="n"/>
      <c r="F116" s="2" t="n"/>
      <c r="G116" s="2" t="n"/>
      <c r="H116" s="2" t="n"/>
      <c r="I116" s="2" t="n"/>
      <c r="J116" s="2" t="n"/>
      <c r="K116" s="2" t="n"/>
      <c r="L116" s="2" t="n"/>
      <c r="M116" s="2" t="n"/>
      <c r="N116" s="2" t="n"/>
      <c r="O116" s="2" t="n"/>
      <c r="P116" s="2" t="n"/>
      <c r="Q116" s="2">
        <f>IF(G116="","",TODAY()-G116)</f>
        <v/>
      </c>
    </row>
    <row r="117">
      <c r="A117" s="2" t="n"/>
      <c r="B117" s="2" t="n"/>
      <c r="C117" s="2" t="n"/>
      <c r="D117" s="2" t="n"/>
      <c r="E117" s="2" t="n"/>
      <c r="F117" s="2" t="n"/>
      <c r="G117" s="2" t="n"/>
      <c r="H117" s="2" t="n"/>
      <c r="I117" s="2" t="n"/>
      <c r="J117" s="2" t="n"/>
      <c r="K117" s="2" t="n"/>
      <c r="L117" s="2" t="n"/>
      <c r="M117" s="2" t="n"/>
      <c r="N117" s="2" t="n"/>
      <c r="O117" s="2" t="n"/>
      <c r="P117" s="2" t="n"/>
      <c r="Q117" s="2">
        <f>IF(G117="","",TODAY()-G117)</f>
        <v/>
      </c>
    </row>
    <row r="118">
      <c r="A118" s="2" t="n"/>
      <c r="B118" s="2" t="n"/>
      <c r="C118" s="2" t="n"/>
      <c r="D118" s="2" t="n"/>
      <c r="E118" s="2" t="n"/>
      <c r="F118" s="2" t="n"/>
      <c r="G118" s="2" t="n"/>
      <c r="H118" s="2" t="n"/>
      <c r="I118" s="2" t="n"/>
      <c r="J118" s="2" t="n"/>
      <c r="K118" s="2" t="n"/>
      <c r="L118" s="2" t="n"/>
      <c r="M118" s="2" t="n"/>
      <c r="N118" s="2" t="n"/>
      <c r="O118" s="2" t="n"/>
      <c r="P118" s="2" t="n"/>
      <c r="Q118" s="2">
        <f>IF(G118="","",TODAY()-G118)</f>
        <v/>
      </c>
    </row>
    <row r="119">
      <c r="A119" s="2" t="n"/>
      <c r="B119" s="2" t="n"/>
      <c r="C119" s="2" t="n"/>
      <c r="D119" s="2" t="n"/>
      <c r="E119" s="2" t="n"/>
      <c r="F119" s="2" t="n"/>
      <c r="G119" s="2" t="n"/>
      <c r="H119" s="2" t="n"/>
      <c r="I119" s="2" t="n"/>
      <c r="J119" s="2" t="n"/>
      <c r="K119" s="2" t="n"/>
      <c r="L119" s="2" t="n"/>
      <c r="M119" s="2" t="n"/>
      <c r="N119" s="2" t="n"/>
      <c r="O119" s="2" t="n"/>
      <c r="P119" s="2" t="n"/>
      <c r="Q119" s="2">
        <f>IF(G119="","",TODAY()-G119)</f>
        <v/>
      </c>
    </row>
    <row r="120">
      <c r="A120" s="2" t="n"/>
      <c r="B120" s="2" t="n"/>
      <c r="C120" s="2" t="n"/>
      <c r="D120" s="2" t="n"/>
      <c r="E120" s="2" t="n"/>
      <c r="F120" s="2" t="n"/>
      <c r="G120" s="2" t="n"/>
      <c r="H120" s="2" t="n"/>
      <c r="I120" s="2" t="n"/>
      <c r="J120" s="2" t="n"/>
      <c r="K120" s="2" t="n"/>
      <c r="L120" s="2" t="n"/>
      <c r="M120" s="2" t="n"/>
      <c r="N120" s="2" t="n"/>
      <c r="O120" s="2" t="n"/>
      <c r="P120" s="2" t="n"/>
      <c r="Q120" s="2">
        <f>IF(G120="","",TODAY()-G120)</f>
        <v/>
      </c>
    </row>
    <row r="121">
      <c r="A121" s="2" t="n"/>
      <c r="B121" s="2" t="n"/>
      <c r="C121" s="2" t="n"/>
      <c r="D121" s="2" t="n"/>
      <c r="E121" s="2" t="n"/>
      <c r="F121" s="2" t="n"/>
      <c r="G121" s="2" t="n"/>
      <c r="H121" s="2" t="n"/>
      <c r="I121" s="2" t="n"/>
      <c r="J121" s="2" t="n"/>
      <c r="K121" s="2" t="n"/>
      <c r="L121" s="2" t="n"/>
      <c r="M121" s="2" t="n"/>
      <c r="N121" s="2" t="n"/>
      <c r="O121" s="2" t="n"/>
      <c r="P121" s="2" t="n"/>
      <c r="Q121" s="2">
        <f>IF(G121="","",TODAY()-G121)</f>
        <v/>
      </c>
    </row>
    <row r="122">
      <c r="A122" s="2" t="n"/>
      <c r="B122" s="2" t="n"/>
      <c r="C122" s="2" t="n"/>
      <c r="D122" s="2" t="n"/>
      <c r="E122" s="2" t="n"/>
      <c r="F122" s="2" t="n"/>
      <c r="G122" s="2" t="n"/>
      <c r="H122" s="2" t="n"/>
      <c r="I122" s="2" t="n"/>
      <c r="J122" s="2" t="n"/>
      <c r="K122" s="2" t="n"/>
      <c r="L122" s="2" t="n"/>
      <c r="M122" s="2" t="n"/>
      <c r="N122" s="2" t="n"/>
      <c r="O122" s="2" t="n"/>
      <c r="P122" s="2" t="n"/>
      <c r="Q122" s="2">
        <f>IF(G122="","",TODAY()-G122)</f>
        <v/>
      </c>
    </row>
    <row r="123">
      <c r="A123" s="2" t="n"/>
      <c r="B123" s="2" t="n"/>
      <c r="C123" s="2" t="n"/>
      <c r="D123" s="2" t="n"/>
      <c r="E123" s="2" t="n"/>
      <c r="F123" s="2" t="n"/>
      <c r="G123" s="2" t="n"/>
      <c r="H123" s="2" t="n"/>
      <c r="I123" s="2" t="n"/>
      <c r="J123" s="2" t="n"/>
      <c r="K123" s="2" t="n"/>
      <c r="L123" s="2" t="n"/>
      <c r="M123" s="2" t="n"/>
      <c r="N123" s="2" t="n"/>
      <c r="O123" s="2" t="n"/>
      <c r="P123" s="2" t="n"/>
      <c r="Q123" s="2">
        <f>IF(G123="","",TODAY()-G123)</f>
        <v/>
      </c>
    </row>
    <row r="124">
      <c r="A124" s="2" t="n"/>
      <c r="B124" s="2" t="n"/>
      <c r="C124" s="2" t="n"/>
      <c r="D124" s="2" t="n"/>
      <c r="E124" s="2" t="n"/>
      <c r="F124" s="2" t="n"/>
      <c r="G124" s="2" t="n"/>
      <c r="H124" s="2" t="n"/>
      <c r="I124" s="2" t="n"/>
      <c r="J124" s="2" t="n"/>
      <c r="K124" s="2" t="n"/>
      <c r="L124" s="2" t="n"/>
      <c r="M124" s="2" t="n"/>
      <c r="N124" s="2" t="n"/>
      <c r="O124" s="2" t="n"/>
      <c r="P124" s="2" t="n"/>
      <c r="Q124" s="2">
        <f>IF(G124="","",TODAY()-G124)</f>
        <v/>
      </c>
    </row>
    <row r="125">
      <c r="A125" s="2" t="n"/>
      <c r="B125" s="2" t="n"/>
      <c r="C125" s="2" t="n"/>
      <c r="D125" s="2" t="n"/>
      <c r="E125" s="2" t="n"/>
      <c r="F125" s="2" t="n"/>
      <c r="G125" s="2" t="n"/>
      <c r="H125" s="2" t="n"/>
      <c r="I125" s="2" t="n"/>
      <c r="J125" s="2" t="n"/>
      <c r="K125" s="2" t="n"/>
      <c r="L125" s="2" t="n"/>
      <c r="M125" s="2" t="n"/>
      <c r="N125" s="2" t="n"/>
      <c r="O125" s="2" t="n"/>
      <c r="P125" s="2" t="n"/>
      <c r="Q125" s="2">
        <f>IF(G125="","",TODAY()-G125)</f>
        <v/>
      </c>
    </row>
    <row r="126">
      <c r="A126" s="2" t="n"/>
      <c r="B126" s="2" t="n"/>
      <c r="C126" s="2" t="n"/>
      <c r="D126" s="2" t="n"/>
      <c r="E126" s="2" t="n"/>
      <c r="F126" s="2" t="n"/>
      <c r="G126" s="2" t="n"/>
      <c r="H126" s="2" t="n"/>
      <c r="I126" s="2" t="n"/>
      <c r="J126" s="2" t="n"/>
      <c r="K126" s="2" t="n"/>
      <c r="L126" s="2" t="n"/>
      <c r="M126" s="2" t="n"/>
      <c r="N126" s="2" t="n"/>
      <c r="O126" s="2" t="n"/>
      <c r="P126" s="2" t="n"/>
      <c r="Q126" s="2">
        <f>IF(G126="","",TODAY()-G126)</f>
        <v/>
      </c>
    </row>
    <row r="127">
      <c r="A127" s="2" t="n"/>
      <c r="B127" s="2" t="n"/>
      <c r="C127" s="2" t="n"/>
      <c r="D127" s="2" t="n"/>
      <c r="E127" s="2" t="n"/>
      <c r="F127" s="2" t="n"/>
      <c r="G127" s="2" t="n"/>
      <c r="H127" s="2" t="n"/>
      <c r="I127" s="2" t="n"/>
      <c r="J127" s="2" t="n"/>
      <c r="K127" s="2" t="n"/>
      <c r="L127" s="2" t="n"/>
      <c r="M127" s="2" t="n"/>
      <c r="N127" s="2" t="n"/>
      <c r="O127" s="2" t="n"/>
      <c r="P127" s="2" t="n"/>
      <c r="Q127" s="2">
        <f>IF(G127="","",TODAY()-G127)</f>
        <v/>
      </c>
    </row>
    <row r="128">
      <c r="A128" s="2" t="n"/>
      <c r="B128" s="2" t="n"/>
      <c r="C128" s="2" t="n"/>
      <c r="D128" s="2" t="n"/>
      <c r="E128" s="2" t="n"/>
      <c r="F128" s="2" t="n"/>
      <c r="G128" s="2" t="n"/>
      <c r="H128" s="2" t="n"/>
      <c r="I128" s="2" t="n"/>
      <c r="J128" s="2" t="n"/>
      <c r="K128" s="2" t="n"/>
      <c r="L128" s="2" t="n"/>
      <c r="M128" s="2" t="n"/>
      <c r="N128" s="2" t="n"/>
      <c r="O128" s="2" t="n"/>
      <c r="P128" s="2" t="n"/>
      <c r="Q128" s="2">
        <f>IF(G128="","",TODAY()-G128)</f>
        <v/>
      </c>
    </row>
    <row r="129">
      <c r="A129" s="2" t="n"/>
      <c r="B129" s="2" t="n"/>
      <c r="C129" s="2" t="n"/>
      <c r="D129" s="2" t="n"/>
      <c r="E129" s="2" t="n"/>
      <c r="F129" s="2" t="n"/>
      <c r="G129" s="2" t="n"/>
      <c r="H129" s="2" t="n"/>
      <c r="I129" s="2" t="n"/>
      <c r="J129" s="2" t="n"/>
      <c r="K129" s="2" t="n"/>
      <c r="L129" s="2" t="n"/>
      <c r="M129" s="2" t="n"/>
      <c r="N129" s="2" t="n"/>
      <c r="O129" s="2" t="n"/>
      <c r="P129" s="2" t="n"/>
      <c r="Q129" s="2">
        <f>IF(G129="","",TODAY()-G129)</f>
        <v/>
      </c>
    </row>
    <row r="130">
      <c r="A130" s="2" t="n"/>
      <c r="B130" s="2" t="n"/>
      <c r="C130" s="2" t="n"/>
      <c r="D130" s="2" t="n"/>
      <c r="E130" s="2" t="n"/>
      <c r="F130" s="2" t="n"/>
      <c r="G130" s="2" t="n"/>
      <c r="H130" s="2" t="n"/>
      <c r="I130" s="2" t="n"/>
      <c r="J130" s="2" t="n"/>
      <c r="K130" s="2" t="n"/>
      <c r="L130" s="2" t="n"/>
      <c r="M130" s="2" t="n"/>
      <c r="N130" s="2" t="n"/>
      <c r="O130" s="2" t="n"/>
      <c r="P130" s="2" t="n"/>
      <c r="Q130" s="2">
        <f>IF(G130="","",TODAY()-G130)</f>
        <v/>
      </c>
    </row>
    <row r="131">
      <c r="A131" s="2" t="n"/>
      <c r="B131" s="2" t="n"/>
      <c r="C131" s="2" t="n"/>
      <c r="D131" s="2" t="n"/>
      <c r="E131" s="2" t="n"/>
      <c r="F131" s="2" t="n"/>
      <c r="G131" s="2" t="n"/>
      <c r="H131" s="2" t="n"/>
      <c r="I131" s="2" t="n"/>
      <c r="J131" s="2" t="n"/>
      <c r="K131" s="2" t="n"/>
      <c r="L131" s="2" t="n"/>
      <c r="M131" s="2" t="n"/>
      <c r="N131" s="2" t="n"/>
      <c r="O131" s="2" t="n"/>
      <c r="P131" s="2" t="n"/>
      <c r="Q131" s="2">
        <f>IF(G131="","",TODAY()-G131)</f>
        <v/>
      </c>
    </row>
    <row r="132">
      <c r="A132" s="2" t="n"/>
      <c r="B132" s="2" t="n"/>
      <c r="C132" s="2" t="n"/>
      <c r="D132" s="2" t="n"/>
      <c r="E132" s="2" t="n"/>
      <c r="F132" s="2" t="n"/>
      <c r="G132" s="2" t="n"/>
      <c r="H132" s="2" t="n"/>
      <c r="I132" s="2" t="n"/>
      <c r="J132" s="2" t="n"/>
      <c r="K132" s="2" t="n"/>
      <c r="L132" s="2" t="n"/>
      <c r="M132" s="2" t="n"/>
      <c r="N132" s="2" t="n"/>
      <c r="O132" s="2" t="n"/>
      <c r="P132" s="2" t="n"/>
      <c r="Q132" s="2">
        <f>IF(G132="","",TODAY()-G132)</f>
        <v/>
      </c>
    </row>
    <row r="133">
      <c r="A133" s="2" t="n"/>
      <c r="B133" s="2" t="n"/>
      <c r="C133" s="2" t="n"/>
      <c r="D133" s="2" t="n"/>
      <c r="E133" s="2" t="n"/>
      <c r="F133" s="2" t="n"/>
      <c r="G133" s="2" t="n"/>
      <c r="H133" s="2" t="n"/>
      <c r="I133" s="2" t="n"/>
      <c r="J133" s="2" t="n"/>
      <c r="K133" s="2" t="n"/>
      <c r="L133" s="2" t="n"/>
      <c r="M133" s="2" t="n"/>
      <c r="N133" s="2" t="n"/>
      <c r="O133" s="2" t="n"/>
      <c r="P133" s="2" t="n"/>
      <c r="Q133" s="2">
        <f>IF(G133="","",TODAY()-G133)</f>
        <v/>
      </c>
    </row>
    <row r="134">
      <c r="A134" s="2" t="n"/>
      <c r="B134" s="2" t="n"/>
      <c r="C134" s="2" t="n"/>
      <c r="D134" s="2" t="n"/>
      <c r="E134" s="2" t="n"/>
      <c r="F134" s="2" t="n"/>
      <c r="G134" s="2" t="n"/>
      <c r="H134" s="2" t="n"/>
      <c r="I134" s="2" t="n"/>
      <c r="J134" s="2" t="n"/>
      <c r="K134" s="2" t="n"/>
      <c r="L134" s="2" t="n"/>
      <c r="M134" s="2" t="n"/>
      <c r="N134" s="2" t="n"/>
      <c r="O134" s="2" t="n"/>
      <c r="P134" s="2" t="n"/>
      <c r="Q134" s="2">
        <f>IF(G134="","",TODAY()-G134)</f>
        <v/>
      </c>
    </row>
    <row r="135">
      <c r="A135" s="2" t="n"/>
      <c r="B135" s="2" t="n"/>
      <c r="C135" s="2" t="n"/>
      <c r="D135" s="2" t="n"/>
      <c r="E135" s="2" t="n"/>
      <c r="F135" s="2" t="n"/>
      <c r="G135" s="2" t="n"/>
      <c r="H135" s="2" t="n"/>
      <c r="I135" s="2" t="n"/>
      <c r="J135" s="2" t="n"/>
      <c r="K135" s="2" t="n"/>
      <c r="L135" s="2" t="n"/>
      <c r="M135" s="2" t="n"/>
      <c r="N135" s="2" t="n"/>
      <c r="O135" s="2" t="n"/>
      <c r="P135" s="2" t="n"/>
      <c r="Q135" s="2">
        <f>IF(G135="","",TODAY()-G135)</f>
        <v/>
      </c>
    </row>
    <row r="136">
      <c r="A136" s="2" t="n"/>
      <c r="B136" s="2" t="n"/>
      <c r="C136" s="2" t="n"/>
      <c r="D136" s="2" t="n"/>
      <c r="E136" s="2" t="n"/>
      <c r="F136" s="2" t="n"/>
      <c r="G136" s="2" t="n"/>
      <c r="H136" s="2" t="n"/>
      <c r="I136" s="2" t="n"/>
      <c r="J136" s="2" t="n"/>
      <c r="K136" s="2" t="n"/>
      <c r="L136" s="2" t="n"/>
      <c r="M136" s="2" t="n"/>
      <c r="N136" s="2" t="n"/>
      <c r="O136" s="2" t="n"/>
      <c r="P136" s="2" t="n"/>
      <c r="Q136" s="2">
        <f>IF(G136="","",TODAY()-G136)</f>
        <v/>
      </c>
    </row>
    <row r="137">
      <c r="A137" s="2" t="n"/>
      <c r="B137" s="2" t="n"/>
      <c r="C137" s="2" t="n"/>
      <c r="D137" s="2" t="n"/>
      <c r="E137" s="2" t="n"/>
      <c r="F137" s="2" t="n"/>
      <c r="G137" s="2" t="n"/>
      <c r="H137" s="2" t="n"/>
      <c r="I137" s="2" t="n"/>
      <c r="J137" s="2" t="n"/>
      <c r="K137" s="2" t="n"/>
      <c r="L137" s="2" t="n"/>
      <c r="M137" s="2" t="n"/>
      <c r="N137" s="2" t="n"/>
      <c r="O137" s="2" t="n"/>
      <c r="P137" s="2" t="n"/>
      <c r="Q137" s="2">
        <f>IF(G137="","",TODAY()-G137)</f>
        <v/>
      </c>
    </row>
    <row r="138">
      <c r="A138" s="2" t="n"/>
      <c r="B138" s="2" t="n"/>
      <c r="C138" s="2" t="n"/>
      <c r="D138" s="2" t="n"/>
      <c r="E138" s="2" t="n"/>
      <c r="F138" s="2" t="n"/>
      <c r="G138" s="2" t="n"/>
      <c r="H138" s="2" t="n"/>
      <c r="I138" s="2" t="n"/>
      <c r="J138" s="2" t="n"/>
      <c r="K138" s="2" t="n"/>
      <c r="L138" s="2" t="n"/>
      <c r="M138" s="2" t="n"/>
      <c r="N138" s="2" t="n"/>
      <c r="O138" s="2" t="n"/>
      <c r="P138" s="2" t="n"/>
      <c r="Q138" s="2">
        <f>IF(G138="","",TODAY()-G138)</f>
        <v/>
      </c>
    </row>
    <row r="139">
      <c r="A139" s="2" t="n"/>
      <c r="B139" s="2" t="n"/>
      <c r="C139" s="2" t="n"/>
      <c r="D139" s="2" t="n"/>
      <c r="E139" s="2" t="n"/>
      <c r="F139" s="2" t="n"/>
      <c r="G139" s="2" t="n"/>
      <c r="H139" s="2" t="n"/>
      <c r="I139" s="2" t="n"/>
      <c r="J139" s="2" t="n"/>
      <c r="K139" s="2" t="n"/>
      <c r="L139" s="2" t="n"/>
      <c r="M139" s="2" t="n"/>
      <c r="N139" s="2" t="n"/>
      <c r="O139" s="2" t="n"/>
      <c r="P139" s="2" t="n"/>
      <c r="Q139" s="2">
        <f>IF(G139="","",TODAY()-G139)</f>
        <v/>
      </c>
    </row>
    <row r="140">
      <c r="A140" s="2" t="n"/>
      <c r="B140" s="2" t="n"/>
      <c r="C140" s="2" t="n"/>
      <c r="D140" s="2" t="n"/>
      <c r="E140" s="2" t="n"/>
      <c r="F140" s="2" t="n"/>
      <c r="G140" s="2" t="n"/>
      <c r="H140" s="2" t="n"/>
      <c r="I140" s="2" t="n"/>
      <c r="J140" s="2" t="n"/>
      <c r="K140" s="2" t="n"/>
      <c r="L140" s="2" t="n"/>
      <c r="M140" s="2" t="n"/>
      <c r="N140" s="2" t="n"/>
      <c r="O140" s="2" t="n"/>
      <c r="P140" s="2" t="n"/>
      <c r="Q140" s="2">
        <f>IF(G140="","",TODAY()-G140)</f>
        <v/>
      </c>
    </row>
    <row r="141">
      <c r="A141" s="2" t="n"/>
      <c r="B141" s="2" t="n"/>
      <c r="C141" s="2" t="n"/>
      <c r="D141" s="2" t="n"/>
      <c r="E141" s="2" t="n"/>
      <c r="F141" s="2" t="n"/>
      <c r="G141" s="2" t="n"/>
      <c r="H141" s="2" t="n"/>
      <c r="I141" s="2" t="n"/>
      <c r="J141" s="2" t="n"/>
      <c r="K141" s="2" t="n"/>
      <c r="L141" s="2" t="n"/>
      <c r="M141" s="2" t="n"/>
      <c r="N141" s="2" t="n"/>
      <c r="O141" s="2" t="n"/>
      <c r="P141" s="2" t="n"/>
      <c r="Q141" s="2">
        <f>IF(G141="","",TODAY()-G141)</f>
        <v/>
      </c>
    </row>
    <row r="142">
      <c r="A142" s="2" t="n"/>
      <c r="B142" s="2" t="n"/>
      <c r="C142" s="2" t="n"/>
      <c r="D142" s="2" t="n"/>
      <c r="E142" s="2" t="n"/>
      <c r="F142" s="2" t="n"/>
      <c r="G142" s="2" t="n"/>
      <c r="H142" s="2" t="n"/>
      <c r="I142" s="2" t="n"/>
      <c r="J142" s="2" t="n"/>
      <c r="K142" s="2" t="n"/>
      <c r="L142" s="2" t="n"/>
      <c r="M142" s="2" t="n"/>
      <c r="N142" s="2" t="n"/>
      <c r="O142" s="2" t="n"/>
      <c r="P142" s="2" t="n"/>
      <c r="Q142" s="2">
        <f>IF(G142="","",TODAY()-G142)</f>
        <v/>
      </c>
    </row>
    <row r="143">
      <c r="A143" s="2" t="n"/>
      <c r="B143" s="2" t="n"/>
      <c r="C143" s="2" t="n"/>
      <c r="D143" s="2" t="n"/>
      <c r="E143" s="2" t="n"/>
      <c r="F143" s="2" t="n"/>
      <c r="G143" s="2" t="n"/>
      <c r="H143" s="2" t="n"/>
      <c r="I143" s="2" t="n"/>
      <c r="J143" s="2" t="n"/>
      <c r="K143" s="2" t="n"/>
      <c r="L143" s="2" t="n"/>
      <c r="M143" s="2" t="n"/>
      <c r="N143" s="2" t="n"/>
      <c r="O143" s="2" t="n"/>
      <c r="P143" s="2" t="n"/>
      <c r="Q143" s="2">
        <f>IF(G143="","",TODAY()-G143)</f>
        <v/>
      </c>
    </row>
    <row r="144">
      <c r="A144" s="2" t="n"/>
      <c r="B144" s="2" t="n"/>
      <c r="C144" s="2" t="n"/>
      <c r="D144" s="2" t="n"/>
      <c r="E144" s="2" t="n"/>
      <c r="F144" s="2" t="n"/>
      <c r="G144" s="2" t="n"/>
      <c r="H144" s="2" t="n"/>
      <c r="I144" s="2" t="n"/>
      <c r="J144" s="2" t="n"/>
      <c r="K144" s="2" t="n"/>
      <c r="L144" s="2" t="n"/>
      <c r="M144" s="2" t="n"/>
      <c r="N144" s="2" t="n"/>
      <c r="O144" s="2" t="n"/>
      <c r="P144" s="2" t="n"/>
      <c r="Q144" s="2">
        <f>IF(G144="","",TODAY()-G144)</f>
        <v/>
      </c>
    </row>
    <row r="145">
      <c r="A145" s="2" t="n"/>
      <c r="B145" s="2" t="n"/>
      <c r="C145" s="2" t="n"/>
      <c r="D145" s="2" t="n"/>
      <c r="E145" s="2" t="n"/>
      <c r="F145" s="2" t="n"/>
      <c r="G145" s="2" t="n"/>
      <c r="H145" s="2" t="n"/>
      <c r="I145" s="2" t="n"/>
      <c r="J145" s="2" t="n"/>
      <c r="K145" s="2" t="n"/>
      <c r="L145" s="2" t="n"/>
      <c r="M145" s="2" t="n"/>
      <c r="N145" s="2" t="n"/>
      <c r="O145" s="2" t="n"/>
      <c r="P145" s="2" t="n"/>
      <c r="Q145" s="2">
        <f>IF(G145="","",TODAY()-G145)</f>
        <v/>
      </c>
    </row>
    <row r="146">
      <c r="A146" s="2" t="n"/>
      <c r="B146" s="2" t="n"/>
      <c r="C146" s="2" t="n"/>
      <c r="D146" s="2" t="n"/>
      <c r="E146" s="2" t="n"/>
      <c r="F146" s="2" t="n"/>
      <c r="G146" s="2" t="n"/>
      <c r="H146" s="2" t="n"/>
      <c r="I146" s="2" t="n"/>
      <c r="J146" s="2" t="n"/>
      <c r="K146" s="2" t="n"/>
      <c r="L146" s="2" t="n"/>
      <c r="M146" s="2" t="n"/>
      <c r="N146" s="2" t="n"/>
      <c r="O146" s="2" t="n"/>
      <c r="P146" s="2" t="n"/>
      <c r="Q146" s="2">
        <f>IF(G146="","",TODAY()-G146)</f>
        <v/>
      </c>
    </row>
    <row r="147">
      <c r="A147" s="2" t="n"/>
      <c r="B147" s="2" t="n"/>
      <c r="C147" s="2" t="n"/>
      <c r="D147" s="2" t="n"/>
      <c r="E147" s="2" t="n"/>
      <c r="F147" s="2" t="n"/>
      <c r="G147" s="2" t="n"/>
      <c r="H147" s="2" t="n"/>
      <c r="I147" s="2" t="n"/>
      <c r="J147" s="2" t="n"/>
      <c r="K147" s="2" t="n"/>
      <c r="L147" s="2" t="n"/>
      <c r="M147" s="2" t="n"/>
      <c r="N147" s="2" t="n"/>
      <c r="O147" s="2" t="n"/>
      <c r="P147" s="2" t="n"/>
      <c r="Q147" s="2">
        <f>IF(G147="","",TODAY()-G147)</f>
        <v/>
      </c>
    </row>
    <row r="148">
      <c r="A148" s="2" t="n"/>
      <c r="B148" s="2" t="n"/>
      <c r="C148" s="2" t="n"/>
      <c r="D148" s="2" t="n"/>
      <c r="E148" s="2" t="n"/>
      <c r="F148" s="2" t="n"/>
      <c r="G148" s="2" t="n"/>
      <c r="H148" s="2" t="n"/>
      <c r="I148" s="2" t="n"/>
      <c r="J148" s="2" t="n"/>
      <c r="K148" s="2" t="n"/>
      <c r="L148" s="2" t="n"/>
      <c r="M148" s="2" t="n"/>
      <c r="N148" s="2" t="n"/>
      <c r="O148" s="2" t="n"/>
      <c r="P148" s="2" t="n"/>
      <c r="Q148" s="2">
        <f>IF(G148="","",TODAY()-G148)</f>
        <v/>
      </c>
    </row>
    <row r="149">
      <c r="A149" s="2" t="n"/>
      <c r="B149" s="2" t="n"/>
      <c r="C149" s="2" t="n"/>
      <c r="D149" s="2" t="n"/>
      <c r="E149" s="2" t="n"/>
      <c r="F149" s="2" t="n"/>
      <c r="G149" s="2" t="n"/>
      <c r="H149" s="2" t="n"/>
      <c r="I149" s="2" t="n"/>
      <c r="J149" s="2" t="n"/>
      <c r="K149" s="2" t="n"/>
      <c r="L149" s="2" t="n"/>
      <c r="M149" s="2" t="n"/>
      <c r="N149" s="2" t="n"/>
      <c r="O149" s="2" t="n"/>
      <c r="P149" s="2" t="n"/>
      <c r="Q149" s="2">
        <f>IF(G149="","",TODAY()-G149)</f>
        <v/>
      </c>
    </row>
    <row r="150">
      <c r="A150" s="2" t="n"/>
      <c r="B150" s="2" t="n"/>
      <c r="C150" s="2" t="n"/>
      <c r="D150" s="2" t="n"/>
      <c r="E150" s="2" t="n"/>
      <c r="F150" s="2" t="n"/>
      <c r="G150" s="2" t="n"/>
      <c r="H150" s="2" t="n"/>
      <c r="I150" s="2" t="n"/>
      <c r="J150" s="2" t="n"/>
      <c r="K150" s="2" t="n"/>
      <c r="L150" s="2" t="n"/>
      <c r="M150" s="2" t="n"/>
      <c r="N150" s="2" t="n"/>
      <c r="O150" s="2" t="n"/>
      <c r="P150" s="2" t="n"/>
      <c r="Q150" s="2">
        <f>IF(G150="","",TODAY()-G150)</f>
        <v/>
      </c>
    </row>
    <row r="151">
      <c r="A151" s="2" t="n"/>
      <c r="B151" s="2" t="n"/>
      <c r="C151" s="2" t="n"/>
      <c r="D151" s="2" t="n"/>
      <c r="E151" s="2" t="n"/>
      <c r="F151" s="2" t="n"/>
      <c r="G151" s="2" t="n"/>
      <c r="H151" s="2" t="n"/>
      <c r="I151" s="2" t="n"/>
      <c r="J151" s="2" t="n"/>
      <c r="K151" s="2" t="n"/>
      <c r="L151" s="2" t="n"/>
      <c r="M151" s="2" t="n"/>
      <c r="N151" s="2" t="n"/>
      <c r="O151" s="2" t="n"/>
      <c r="P151" s="2" t="n"/>
      <c r="Q151" s="2">
        <f>IF(G151="","",TODAY()-G151)</f>
        <v/>
      </c>
    </row>
    <row r="152">
      <c r="A152" s="2" t="n"/>
      <c r="B152" s="2" t="n"/>
      <c r="C152" s="2" t="n"/>
      <c r="D152" s="2" t="n"/>
      <c r="E152" s="2" t="n"/>
      <c r="F152" s="2" t="n"/>
      <c r="G152" s="2" t="n"/>
      <c r="H152" s="2" t="n"/>
      <c r="I152" s="2" t="n"/>
      <c r="J152" s="2" t="n"/>
      <c r="K152" s="2" t="n"/>
      <c r="L152" s="2" t="n"/>
      <c r="M152" s="2" t="n"/>
      <c r="N152" s="2" t="n"/>
      <c r="O152" s="2" t="n"/>
      <c r="P152" s="2" t="n"/>
      <c r="Q152" s="2">
        <f>IF(G152="","",TODAY()-G152)</f>
        <v/>
      </c>
    </row>
    <row r="153">
      <c r="A153" s="2" t="n"/>
      <c r="B153" s="2" t="n"/>
      <c r="C153" s="2" t="n"/>
      <c r="D153" s="2" t="n"/>
      <c r="E153" s="2" t="n"/>
      <c r="F153" s="2" t="n"/>
      <c r="G153" s="2" t="n"/>
      <c r="H153" s="2" t="n"/>
      <c r="I153" s="2" t="n"/>
      <c r="J153" s="2" t="n"/>
      <c r="K153" s="2" t="n"/>
      <c r="L153" s="2" t="n"/>
      <c r="M153" s="2" t="n"/>
      <c r="N153" s="2" t="n"/>
      <c r="O153" s="2" t="n"/>
      <c r="P153" s="2" t="n"/>
      <c r="Q153" s="2">
        <f>IF(G153="","",TODAY()-G153)</f>
        <v/>
      </c>
    </row>
    <row r="154">
      <c r="A154" s="2" t="n"/>
      <c r="B154" s="2" t="n"/>
      <c r="C154" s="2" t="n"/>
      <c r="D154" s="2" t="n"/>
      <c r="E154" s="2" t="n"/>
      <c r="F154" s="2" t="n"/>
      <c r="G154" s="2" t="n"/>
      <c r="H154" s="2" t="n"/>
      <c r="I154" s="2" t="n"/>
      <c r="J154" s="2" t="n"/>
      <c r="K154" s="2" t="n"/>
      <c r="L154" s="2" t="n"/>
      <c r="M154" s="2" t="n"/>
      <c r="N154" s="2" t="n"/>
      <c r="O154" s="2" t="n"/>
      <c r="P154" s="2" t="n"/>
      <c r="Q154" s="2">
        <f>IF(G154="","",TODAY()-G154)</f>
        <v/>
      </c>
    </row>
    <row r="155">
      <c r="A155" s="2" t="n"/>
      <c r="B155" s="2" t="n"/>
      <c r="C155" s="2" t="n"/>
      <c r="D155" s="2" t="n"/>
      <c r="E155" s="2" t="n"/>
      <c r="F155" s="2" t="n"/>
      <c r="G155" s="2" t="n"/>
      <c r="H155" s="2" t="n"/>
      <c r="I155" s="2" t="n"/>
      <c r="J155" s="2" t="n"/>
      <c r="K155" s="2" t="n"/>
      <c r="L155" s="2" t="n"/>
      <c r="M155" s="2" t="n"/>
      <c r="N155" s="2" t="n"/>
      <c r="O155" s="2" t="n"/>
      <c r="P155" s="2" t="n"/>
      <c r="Q155" s="2">
        <f>IF(G155="","",TODAY()-G155)</f>
        <v/>
      </c>
    </row>
    <row r="156">
      <c r="A156" s="2" t="n"/>
      <c r="B156" s="2" t="n"/>
      <c r="C156" s="2" t="n"/>
      <c r="D156" s="2" t="n"/>
      <c r="E156" s="2" t="n"/>
      <c r="F156" s="2" t="n"/>
      <c r="G156" s="2" t="n"/>
      <c r="H156" s="2" t="n"/>
      <c r="I156" s="2" t="n"/>
      <c r="J156" s="2" t="n"/>
      <c r="K156" s="2" t="n"/>
      <c r="L156" s="2" t="n"/>
      <c r="M156" s="2" t="n"/>
      <c r="N156" s="2" t="n"/>
      <c r="O156" s="2" t="n"/>
      <c r="P156" s="2" t="n"/>
      <c r="Q156" s="2">
        <f>IF(G156="","",TODAY()-G156)</f>
        <v/>
      </c>
    </row>
    <row r="157">
      <c r="A157" s="2" t="n"/>
      <c r="B157" s="2" t="n"/>
      <c r="C157" s="2" t="n"/>
      <c r="D157" s="2" t="n"/>
      <c r="E157" s="2" t="n"/>
      <c r="F157" s="2" t="n"/>
      <c r="G157" s="2" t="n"/>
      <c r="H157" s="2" t="n"/>
      <c r="I157" s="2" t="n"/>
      <c r="J157" s="2" t="n"/>
      <c r="K157" s="2" t="n"/>
      <c r="L157" s="2" t="n"/>
      <c r="M157" s="2" t="n"/>
      <c r="N157" s="2" t="n"/>
      <c r="O157" s="2" t="n"/>
      <c r="P157" s="2" t="n"/>
      <c r="Q157" s="2">
        <f>IF(G157="","",TODAY()-G157)</f>
        <v/>
      </c>
    </row>
    <row r="158">
      <c r="A158" s="2" t="n"/>
      <c r="B158" s="2" t="n"/>
      <c r="C158" s="2" t="n"/>
      <c r="D158" s="2" t="n"/>
      <c r="E158" s="2" t="n"/>
      <c r="F158" s="2" t="n"/>
      <c r="G158" s="2" t="n"/>
      <c r="H158" s="2" t="n"/>
      <c r="I158" s="2" t="n"/>
      <c r="J158" s="2" t="n"/>
      <c r="K158" s="2" t="n"/>
      <c r="L158" s="2" t="n"/>
      <c r="M158" s="2" t="n"/>
      <c r="N158" s="2" t="n"/>
      <c r="O158" s="2" t="n"/>
      <c r="P158" s="2" t="n"/>
      <c r="Q158" s="2">
        <f>IF(G158="","",TODAY()-G158)</f>
        <v/>
      </c>
    </row>
    <row r="159">
      <c r="A159" s="2" t="n"/>
      <c r="B159" s="2" t="n"/>
      <c r="C159" s="2" t="n"/>
      <c r="D159" s="2" t="n"/>
      <c r="E159" s="2" t="n"/>
      <c r="F159" s="2" t="n"/>
      <c r="G159" s="2" t="n"/>
      <c r="H159" s="2" t="n"/>
      <c r="I159" s="2" t="n"/>
      <c r="J159" s="2" t="n"/>
      <c r="K159" s="2" t="n"/>
      <c r="L159" s="2" t="n"/>
      <c r="M159" s="2" t="n"/>
      <c r="N159" s="2" t="n"/>
      <c r="O159" s="2" t="n"/>
      <c r="P159" s="2" t="n"/>
      <c r="Q159" s="2">
        <f>IF(G159="","",TODAY()-G159)</f>
        <v/>
      </c>
    </row>
    <row r="160">
      <c r="A160" s="2" t="n"/>
      <c r="B160" s="2" t="n"/>
      <c r="C160" s="2" t="n"/>
      <c r="D160" s="2" t="n"/>
      <c r="E160" s="2" t="n"/>
      <c r="F160" s="2" t="n"/>
      <c r="G160" s="2" t="n"/>
      <c r="H160" s="2" t="n"/>
      <c r="I160" s="2" t="n"/>
      <c r="J160" s="2" t="n"/>
      <c r="K160" s="2" t="n"/>
      <c r="L160" s="2" t="n"/>
      <c r="M160" s="2" t="n"/>
      <c r="N160" s="2" t="n"/>
      <c r="O160" s="2" t="n"/>
      <c r="P160" s="2" t="n"/>
      <c r="Q160" s="2">
        <f>IF(G160="","",TODAY()-G160)</f>
        <v/>
      </c>
    </row>
    <row r="161">
      <c r="A161" s="2" t="n"/>
      <c r="B161" s="2" t="n"/>
      <c r="C161" s="2" t="n"/>
      <c r="D161" s="2" t="n"/>
      <c r="E161" s="2" t="n"/>
      <c r="F161" s="2" t="n"/>
      <c r="G161" s="2" t="n"/>
      <c r="H161" s="2" t="n"/>
      <c r="I161" s="2" t="n"/>
      <c r="J161" s="2" t="n"/>
      <c r="K161" s="2" t="n"/>
      <c r="L161" s="2" t="n"/>
      <c r="M161" s="2" t="n"/>
      <c r="N161" s="2" t="n"/>
      <c r="O161" s="2" t="n"/>
      <c r="P161" s="2" t="n"/>
      <c r="Q161" s="2">
        <f>IF(G161="","",TODAY()-G161)</f>
        <v/>
      </c>
    </row>
    <row r="162">
      <c r="A162" s="2" t="n"/>
      <c r="B162" s="2" t="n"/>
      <c r="C162" s="2" t="n"/>
      <c r="D162" s="2" t="n"/>
      <c r="E162" s="2" t="n"/>
      <c r="F162" s="2" t="n"/>
      <c r="G162" s="2" t="n"/>
      <c r="H162" s="2" t="n"/>
      <c r="I162" s="2" t="n"/>
      <c r="J162" s="2" t="n"/>
      <c r="K162" s="2" t="n"/>
      <c r="L162" s="2" t="n"/>
      <c r="M162" s="2" t="n"/>
      <c r="N162" s="2" t="n"/>
      <c r="O162" s="2" t="n"/>
      <c r="P162" s="2" t="n"/>
      <c r="Q162" s="2">
        <f>IF(G162="","",TODAY()-G162)</f>
        <v/>
      </c>
    </row>
    <row r="163">
      <c r="A163" s="2" t="n"/>
      <c r="B163" s="2" t="n"/>
      <c r="C163" s="2" t="n"/>
      <c r="D163" s="2" t="n"/>
      <c r="E163" s="2" t="n"/>
      <c r="F163" s="2" t="n"/>
      <c r="G163" s="2" t="n"/>
      <c r="H163" s="2" t="n"/>
      <c r="I163" s="2" t="n"/>
      <c r="J163" s="2" t="n"/>
      <c r="K163" s="2" t="n"/>
      <c r="L163" s="2" t="n"/>
      <c r="M163" s="2" t="n"/>
      <c r="N163" s="2" t="n"/>
      <c r="O163" s="2" t="n"/>
      <c r="P163" s="2" t="n"/>
      <c r="Q163" s="2">
        <f>IF(G163="","",TODAY()-G163)</f>
        <v/>
      </c>
    </row>
    <row r="164">
      <c r="A164" s="2" t="n"/>
      <c r="B164" s="2" t="n"/>
      <c r="C164" s="2" t="n"/>
      <c r="D164" s="2" t="n"/>
      <c r="E164" s="2" t="n"/>
      <c r="F164" s="2" t="n"/>
      <c r="G164" s="2" t="n"/>
      <c r="H164" s="2" t="n"/>
      <c r="I164" s="2" t="n"/>
      <c r="J164" s="2" t="n"/>
      <c r="K164" s="2" t="n"/>
      <c r="L164" s="2" t="n"/>
      <c r="M164" s="2" t="n"/>
      <c r="N164" s="2" t="n"/>
      <c r="O164" s="2" t="n"/>
      <c r="P164" s="2" t="n"/>
      <c r="Q164" s="2">
        <f>IF(G164="","",TODAY()-G164)</f>
        <v/>
      </c>
    </row>
    <row r="165">
      <c r="A165" s="2" t="n"/>
      <c r="B165" s="2" t="n"/>
      <c r="C165" s="2" t="n"/>
      <c r="D165" s="2" t="n"/>
      <c r="E165" s="2" t="n"/>
      <c r="F165" s="2" t="n"/>
      <c r="G165" s="2" t="n"/>
      <c r="H165" s="2" t="n"/>
      <c r="I165" s="2" t="n"/>
      <c r="J165" s="2" t="n"/>
      <c r="K165" s="2" t="n"/>
      <c r="L165" s="2" t="n"/>
      <c r="M165" s="2" t="n"/>
      <c r="N165" s="2" t="n"/>
      <c r="O165" s="2" t="n"/>
      <c r="P165" s="2" t="n"/>
      <c r="Q165" s="2">
        <f>IF(G165="","",TODAY()-G165)</f>
        <v/>
      </c>
    </row>
    <row r="166">
      <c r="A166" s="2" t="n"/>
      <c r="B166" s="2" t="n"/>
      <c r="C166" s="2" t="n"/>
      <c r="D166" s="2" t="n"/>
      <c r="E166" s="2" t="n"/>
      <c r="F166" s="2" t="n"/>
      <c r="G166" s="2" t="n"/>
      <c r="H166" s="2" t="n"/>
      <c r="I166" s="2" t="n"/>
      <c r="J166" s="2" t="n"/>
      <c r="K166" s="2" t="n"/>
      <c r="L166" s="2" t="n"/>
      <c r="M166" s="2" t="n"/>
      <c r="N166" s="2" t="n"/>
      <c r="O166" s="2" t="n"/>
      <c r="P166" s="2" t="n"/>
      <c r="Q166" s="2">
        <f>IF(G166="","",TODAY()-G166)</f>
        <v/>
      </c>
    </row>
    <row r="167">
      <c r="A167" s="2" t="n"/>
      <c r="B167" s="2" t="n"/>
      <c r="C167" s="2" t="n"/>
      <c r="D167" s="2" t="n"/>
      <c r="E167" s="2" t="n"/>
      <c r="F167" s="2" t="n"/>
      <c r="G167" s="2" t="n"/>
      <c r="H167" s="2" t="n"/>
      <c r="I167" s="2" t="n"/>
      <c r="J167" s="2" t="n"/>
      <c r="K167" s="2" t="n"/>
      <c r="L167" s="2" t="n"/>
      <c r="M167" s="2" t="n"/>
      <c r="N167" s="2" t="n"/>
      <c r="O167" s="2" t="n"/>
      <c r="P167" s="2" t="n"/>
      <c r="Q167" s="2">
        <f>IF(G167="","",TODAY()-G167)</f>
        <v/>
      </c>
    </row>
    <row r="168">
      <c r="A168" s="2" t="n"/>
      <c r="B168" s="2" t="n"/>
      <c r="C168" s="2" t="n"/>
      <c r="D168" s="2" t="n"/>
      <c r="E168" s="2" t="n"/>
      <c r="F168" s="2" t="n"/>
      <c r="G168" s="2" t="n"/>
      <c r="H168" s="2" t="n"/>
      <c r="I168" s="2" t="n"/>
      <c r="J168" s="2" t="n"/>
      <c r="K168" s="2" t="n"/>
      <c r="L168" s="2" t="n"/>
      <c r="M168" s="2" t="n"/>
      <c r="N168" s="2" t="n"/>
      <c r="O168" s="2" t="n"/>
      <c r="P168" s="2" t="n"/>
      <c r="Q168" s="2">
        <f>IF(G168="","",TODAY()-G168)</f>
        <v/>
      </c>
    </row>
    <row r="169">
      <c r="A169" s="2" t="n"/>
      <c r="B169" s="2" t="n"/>
      <c r="C169" s="2" t="n"/>
      <c r="D169" s="2" t="n"/>
      <c r="E169" s="2" t="n"/>
      <c r="F169" s="2" t="n"/>
      <c r="G169" s="2" t="n"/>
      <c r="H169" s="2" t="n"/>
      <c r="I169" s="2" t="n"/>
      <c r="J169" s="2" t="n"/>
      <c r="K169" s="2" t="n"/>
      <c r="L169" s="2" t="n"/>
      <c r="M169" s="2" t="n"/>
      <c r="N169" s="2" t="n"/>
      <c r="O169" s="2" t="n"/>
      <c r="P169" s="2" t="n"/>
      <c r="Q169" s="2">
        <f>IF(G169="","",TODAY()-G169)</f>
        <v/>
      </c>
    </row>
    <row r="170">
      <c r="A170" s="2" t="n"/>
      <c r="B170" s="2" t="n"/>
      <c r="C170" s="2" t="n"/>
      <c r="D170" s="2" t="n"/>
      <c r="E170" s="2" t="n"/>
      <c r="F170" s="2" t="n"/>
      <c r="G170" s="2" t="n"/>
      <c r="H170" s="2" t="n"/>
      <c r="I170" s="2" t="n"/>
      <c r="J170" s="2" t="n"/>
      <c r="K170" s="2" t="n"/>
      <c r="L170" s="2" t="n"/>
      <c r="M170" s="2" t="n"/>
      <c r="N170" s="2" t="n"/>
      <c r="O170" s="2" t="n"/>
      <c r="P170" s="2" t="n"/>
      <c r="Q170" s="2">
        <f>IF(G170="","",TODAY()-G170)</f>
        <v/>
      </c>
    </row>
    <row r="171">
      <c r="A171" s="2" t="n"/>
      <c r="B171" s="2" t="n"/>
      <c r="C171" s="2" t="n"/>
      <c r="D171" s="2" t="n"/>
      <c r="E171" s="2" t="n"/>
      <c r="F171" s="2" t="n"/>
      <c r="G171" s="2" t="n"/>
      <c r="H171" s="2" t="n"/>
      <c r="I171" s="2" t="n"/>
      <c r="J171" s="2" t="n"/>
      <c r="K171" s="2" t="n"/>
      <c r="L171" s="2" t="n"/>
      <c r="M171" s="2" t="n"/>
      <c r="N171" s="2" t="n"/>
      <c r="O171" s="2" t="n"/>
      <c r="P171" s="2" t="n"/>
      <c r="Q171" s="2">
        <f>IF(G171="","",TODAY()-G171)</f>
        <v/>
      </c>
    </row>
    <row r="172">
      <c r="A172" s="2" t="n"/>
      <c r="B172" s="2" t="n"/>
      <c r="C172" s="2" t="n"/>
      <c r="D172" s="2" t="n"/>
      <c r="E172" s="2" t="n"/>
      <c r="F172" s="2" t="n"/>
      <c r="G172" s="2" t="n"/>
      <c r="H172" s="2" t="n"/>
      <c r="I172" s="2" t="n"/>
      <c r="J172" s="2" t="n"/>
      <c r="K172" s="2" t="n"/>
      <c r="L172" s="2" t="n"/>
      <c r="M172" s="2" t="n"/>
      <c r="N172" s="2" t="n"/>
      <c r="O172" s="2" t="n"/>
      <c r="P172" s="2" t="n"/>
      <c r="Q172" s="2">
        <f>IF(G172="","",TODAY()-G172)</f>
        <v/>
      </c>
    </row>
    <row r="173">
      <c r="A173" s="2" t="n"/>
      <c r="B173" s="2" t="n"/>
      <c r="C173" s="2" t="n"/>
      <c r="D173" s="2" t="n"/>
      <c r="E173" s="2" t="n"/>
      <c r="F173" s="2" t="n"/>
      <c r="G173" s="2" t="n"/>
      <c r="H173" s="2" t="n"/>
      <c r="I173" s="2" t="n"/>
      <c r="J173" s="2" t="n"/>
      <c r="K173" s="2" t="n"/>
      <c r="L173" s="2" t="n"/>
      <c r="M173" s="2" t="n"/>
      <c r="N173" s="2" t="n"/>
      <c r="O173" s="2" t="n"/>
      <c r="P173" s="2" t="n"/>
      <c r="Q173" s="2">
        <f>IF(G173="","",TODAY()-G173)</f>
        <v/>
      </c>
    </row>
    <row r="174">
      <c r="A174" s="2" t="n"/>
      <c r="B174" s="2" t="n"/>
      <c r="C174" s="2" t="n"/>
      <c r="D174" s="2" t="n"/>
      <c r="E174" s="2" t="n"/>
      <c r="F174" s="2" t="n"/>
      <c r="G174" s="2" t="n"/>
      <c r="H174" s="2" t="n"/>
      <c r="I174" s="2" t="n"/>
      <c r="J174" s="2" t="n"/>
      <c r="K174" s="2" t="n"/>
      <c r="L174" s="2" t="n"/>
      <c r="M174" s="2" t="n"/>
      <c r="N174" s="2" t="n"/>
      <c r="O174" s="2" t="n"/>
      <c r="P174" s="2" t="n"/>
      <c r="Q174" s="2">
        <f>IF(G174="","",TODAY()-G174)</f>
        <v/>
      </c>
    </row>
    <row r="175">
      <c r="A175" s="2" t="n"/>
      <c r="B175" s="2" t="n"/>
      <c r="C175" s="2" t="n"/>
      <c r="D175" s="2" t="n"/>
      <c r="E175" s="2" t="n"/>
      <c r="F175" s="2" t="n"/>
      <c r="G175" s="2" t="n"/>
      <c r="H175" s="2" t="n"/>
      <c r="I175" s="2" t="n"/>
      <c r="J175" s="2" t="n"/>
      <c r="K175" s="2" t="n"/>
      <c r="L175" s="2" t="n"/>
      <c r="M175" s="2" t="n"/>
      <c r="N175" s="2" t="n"/>
      <c r="O175" s="2" t="n"/>
      <c r="P175" s="2" t="n"/>
      <c r="Q175" s="2">
        <f>IF(G175="","",TODAY()-G175)</f>
        <v/>
      </c>
    </row>
    <row r="176">
      <c r="A176" s="2" t="n"/>
      <c r="B176" s="2" t="n"/>
      <c r="C176" s="2" t="n"/>
      <c r="D176" s="2" t="n"/>
      <c r="E176" s="2" t="n"/>
      <c r="F176" s="2" t="n"/>
      <c r="G176" s="2" t="n"/>
      <c r="H176" s="2" t="n"/>
      <c r="I176" s="2" t="n"/>
      <c r="J176" s="2" t="n"/>
      <c r="K176" s="2" t="n"/>
      <c r="L176" s="2" t="n"/>
      <c r="M176" s="2" t="n"/>
      <c r="N176" s="2" t="n"/>
      <c r="O176" s="2" t="n"/>
      <c r="P176" s="2" t="n"/>
      <c r="Q176" s="2">
        <f>IF(G176="","",TODAY()-G176)</f>
        <v/>
      </c>
    </row>
    <row r="177">
      <c r="A177" s="2" t="n"/>
      <c r="B177" s="2" t="n"/>
      <c r="C177" s="2" t="n"/>
      <c r="D177" s="2" t="n"/>
      <c r="E177" s="2" t="n"/>
      <c r="F177" s="2" t="n"/>
      <c r="G177" s="2" t="n"/>
      <c r="H177" s="2" t="n"/>
      <c r="I177" s="2" t="n"/>
      <c r="J177" s="2" t="n"/>
      <c r="K177" s="2" t="n"/>
      <c r="L177" s="2" t="n"/>
      <c r="M177" s="2" t="n"/>
      <c r="N177" s="2" t="n"/>
      <c r="O177" s="2" t="n"/>
      <c r="P177" s="2" t="n"/>
      <c r="Q177" s="2">
        <f>IF(G177="","",TODAY()-G177)</f>
        <v/>
      </c>
    </row>
    <row r="178">
      <c r="A178" s="2" t="n"/>
      <c r="B178" s="2" t="n"/>
      <c r="C178" s="2" t="n"/>
      <c r="D178" s="2" t="n"/>
      <c r="E178" s="2" t="n"/>
      <c r="F178" s="2" t="n"/>
      <c r="G178" s="2" t="n"/>
      <c r="H178" s="2" t="n"/>
      <c r="I178" s="2" t="n"/>
      <c r="J178" s="2" t="n"/>
      <c r="K178" s="2" t="n"/>
      <c r="L178" s="2" t="n"/>
      <c r="M178" s="2" t="n"/>
      <c r="N178" s="2" t="n"/>
      <c r="O178" s="2" t="n"/>
      <c r="P178" s="2" t="n"/>
      <c r="Q178" s="2">
        <f>IF(G178="","",TODAY()-G178)</f>
        <v/>
      </c>
    </row>
    <row r="179">
      <c r="A179" s="2" t="n"/>
      <c r="B179" s="2" t="n"/>
      <c r="C179" s="2" t="n"/>
      <c r="D179" s="2" t="n"/>
      <c r="E179" s="2" t="n"/>
      <c r="F179" s="2" t="n"/>
      <c r="G179" s="2" t="n"/>
      <c r="H179" s="2" t="n"/>
      <c r="I179" s="2" t="n"/>
      <c r="J179" s="2" t="n"/>
      <c r="K179" s="2" t="n"/>
      <c r="L179" s="2" t="n"/>
      <c r="M179" s="2" t="n"/>
      <c r="N179" s="2" t="n"/>
      <c r="O179" s="2" t="n"/>
      <c r="P179" s="2" t="n"/>
      <c r="Q179" s="2">
        <f>IF(G179="","",TODAY()-G179)</f>
        <v/>
      </c>
    </row>
    <row r="180">
      <c r="A180" s="2" t="n"/>
      <c r="B180" s="2" t="n"/>
      <c r="C180" s="2" t="n"/>
      <c r="D180" s="2" t="n"/>
      <c r="E180" s="2" t="n"/>
      <c r="F180" s="2" t="n"/>
      <c r="G180" s="2" t="n"/>
      <c r="H180" s="2" t="n"/>
      <c r="I180" s="2" t="n"/>
      <c r="J180" s="2" t="n"/>
      <c r="K180" s="2" t="n"/>
      <c r="L180" s="2" t="n"/>
      <c r="M180" s="2" t="n"/>
      <c r="N180" s="2" t="n"/>
      <c r="O180" s="2" t="n"/>
      <c r="P180" s="2" t="n"/>
      <c r="Q180" s="2">
        <f>IF(G180="","",TODAY()-G180)</f>
        <v/>
      </c>
    </row>
    <row r="181">
      <c r="A181" s="2" t="n"/>
      <c r="B181" s="2" t="n"/>
      <c r="C181" s="2" t="n"/>
      <c r="D181" s="2" t="n"/>
      <c r="E181" s="2" t="n"/>
      <c r="F181" s="2" t="n"/>
      <c r="G181" s="2" t="n"/>
      <c r="H181" s="2" t="n"/>
      <c r="I181" s="2" t="n"/>
      <c r="J181" s="2" t="n"/>
      <c r="K181" s="2" t="n"/>
      <c r="L181" s="2" t="n"/>
      <c r="M181" s="2" t="n"/>
      <c r="N181" s="2" t="n"/>
      <c r="O181" s="2" t="n"/>
      <c r="P181" s="2" t="n"/>
      <c r="Q181" s="2">
        <f>IF(G181="","",TODAY()-G181)</f>
        <v/>
      </c>
    </row>
    <row r="182">
      <c r="A182" s="2" t="n"/>
      <c r="B182" s="2" t="n"/>
      <c r="C182" s="2" t="n"/>
      <c r="D182" s="2" t="n"/>
      <c r="E182" s="2" t="n"/>
      <c r="F182" s="2" t="n"/>
      <c r="G182" s="2" t="n"/>
      <c r="H182" s="2" t="n"/>
      <c r="I182" s="2" t="n"/>
      <c r="J182" s="2" t="n"/>
      <c r="K182" s="2" t="n"/>
      <c r="L182" s="2" t="n"/>
      <c r="M182" s="2" t="n"/>
      <c r="N182" s="2" t="n"/>
      <c r="O182" s="2" t="n"/>
      <c r="P182" s="2" t="n"/>
      <c r="Q182" s="2">
        <f>IF(G182="","",TODAY()-G182)</f>
        <v/>
      </c>
    </row>
    <row r="183">
      <c r="A183" s="2" t="n"/>
      <c r="B183" s="2" t="n"/>
      <c r="C183" s="2" t="n"/>
      <c r="D183" s="2" t="n"/>
      <c r="E183" s="2" t="n"/>
      <c r="F183" s="2" t="n"/>
      <c r="G183" s="2" t="n"/>
      <c r="H183" s="2" t="n"/>
      <c r="I183" s="2" t="n"/>
      <c r="J183" s="2" t="n"/>
      <c r="K183" s="2" t="n"/>
      <c r="L183" s="2" t="n"/>
      <c r="M183" s="2" t="n"/>
      <c r="N183" s="2" t="n"/>
      <c r="O183" s="2" t="n"/>
      <c r="P183" s="2" t="n"/>
      <c r="Q183" s="2">
        <f>IF(G183="","",TODAY()-G183)</f>
        <v/>
      </c>
    </row>
    <row r="184">
      <c r="A184" s="2" t="n"/>
      <c r="B184" s="2" t="n"/>
      <c r="C184" s="2" t="n"/>
      <c r="D184" s="2" t="n"/>
      <c r="E184" s="2" t="n"/>
      <c r="F184" s="2" t="n"/>
      <c r="G184" s="2" t="n"/>
      <c r="H184" s="2" t="n"/>
      <c r="I184" s="2" t="n"/>
      <c r="J184" s="2" t="n"/>
      <c r="K184" s="2" t="n"/>
      <c r="L184" s="2" t="n"/>
      <c r="M184" s="2" t="n"/>
      <c r="N184" s="2" t="n"/>
      <c r="O184" s="2" t="n"/>
      <c r="P184" s="2" t="n"/>
      <c r="Q184" s="2">
        <f>IF(G184="","",TODAY()-G184)</f>
        <v/>
      </c>
    </row>
    <row r="185">
      <c r="A185" s="2" t="n"/>
      <c r="B185" s="2" t="n"/>
      <c r="C185" s="2" t="n"/>
      <c r="D185" s="2" t="n"/>
      <c r="E185" s="2" t="n"/>
      <c r="F185" s="2" t="n"/>
      <c r="G185" s="2" t="n"/>
      <c r="H185" s="2" t="n"/>
      <c r="I185" s="2" t="n"/>
      <c r="J185" s="2" t="n"/>
      <c r="K185" s="2" t="n"/>
      <c r="L185" s="2" t="n"/>
      <c r="M185" s="2" t="n"/>
      <c r="N185" s="2" t="n"/>
      <c r="O185" s="2" t="n"/>
      <c r="P185" s="2" t="n"/>
      <c r="Q185" s="2">
        <f>IF(G185="","",TODAY()-G185)</f>
        <v/>
      </c>
    </row>
    <row r="186">
      <c r="A186" s="2" t="n"/>
      <c r="B186" s="2" t="n"/>
      <c r="C186" s="2" t="n"/>
      <c r="D186" s="2" t="n"/>
      <c r="E186" s="2" t="n"/>
      <c r="F186" s="2" t="n"/>
      <c r="G186" s="2" t="n"/>
      <c r="H186" s="2" t="n"/>
      <c r="I186" s="2" t="n"/>
      <c r="J186" s="2" t="n"/>
      <c r="K186" s="2" t="n"/>
      <c r="L186" s="2" t="n"/>
      <c r="M186" s="2" t="n"/>
      <c r="N186" s="2" t="n"/>
      <c r="O186" s="2" t="n"/>
      <c r="P186" s="2" t="n"/>
      <c r="Q186" s="2">
        <f>IF(G186="","",TODAY()-G186)</f>
        <v/>
      </c>
    </row>
    <row r="187">
      <c r="A187" s="2" t="n"/>
      <c r="B187" s="2" t="n"/>
      <c r="C187" s="2" t="n"/>
      <c r="D187" s="2" t="n"/>
      <c r="E187" s="2" t="n"/>
      <c r="F187" s="2" t="n"/>
      <c r="G187" s="2" t="n"/>
      <c r="H187" s="2" t="n"/>
      <c r="I187" s="2" t="n"/>
      <c r="J187" s="2" t="n"/>
      <c r="K187" s="2" t="n"/>
      <c r="L187" s="2" t="n"/>
      <c r="M187" s="2" t="n"/>
      <c r="N187" s="2" t="n"/>
      <c r="O187" s="2" t="n"/>
      <c r="P187" s="2" t="n"/>
      <c r="Q187" s="2">
        <f>IF(G187="","",TODAY()-G187)</f>
        <v/>
      </c>
    </row>
    <row r="188">
      <c r="A188" s="2" t="n"/>
      <c r="B188" s="2" t="n"/>
      <c r="C188" s="2" t="n"/>
      <c r="D188" s="2" t="n"/>
      <c r="E188" s="2" t="n"/>
      <c r="F188" s="2" t="n"/>
      <c r="G188" s="2" t="n"/>
      <c r="H188" s="2" t="n"/>
      <c r="I188" s="2" t="n"/>
      <c r="J188" s="2" t="n"/>
      <c r="K188" s="2" t="n"/>
      <c r="L188" s="2" t="n"/>
      <c r="M188" s="2" t="n"/>
      <c r="N188" s="2" t="n"/>
      <c r="O188" s="2" t="n"/>
      <c r="P188" s="2" t="n"/>
      <c r="Q188" s="2">
        <f>IF(G188="","",TODAY()-G188)</f>
        <v/>
      </c>
    </row>
    <row r="189">
      <c r="A189" s="2" t="n"/>
      <c r="B189" s="2" t="n"/>
      <c r="C189" s="2" t="n"/>
      <c r="D189" s="2" t="n"/>
      <c r="E189" s="2" t="n"/>
      <c r="F189" s="2" t="n"/>
      <c r="G189" s="2" t="n"/>
      <c r="H189" s="2" t="n"/>
      <c r="I189" s="2" t="n"/>
      <c r="J189" s="2" t="n"/>
      <c r="K189" s="2" t="n"/>
      <c r="L189" s="2" t="n"/>
      <c r="M189" s="2" t="n"/>
      <c r="N189" s="2" t="n"/>
      <c r="O189" s="2" t="n"/>
      <c r="P189" s="2" t="n"/>
      <c r="Q189" s="2">
        <f>IF(G189="","",TODAY()-G189)</f>
        <v/>
      </c>
    </row>
    <row r="190">
      <c r="A190" s="2" t="n"/>
      <c r="B190" s="2" t="n"/>
      <c r="C190" s="2" t="n"/>
      <c r="D190" s="2" t="n"/>
      <c r="E190" s="2" t="n"/>
      <c r="F190" s="2" t="n"/>
      <c r="G190" s="2" t="n"/>
      <c r="H190" s="2" t="n"/>
      <c r="I190" s="2" t="n"/>
      <c r="J190" s="2" t="n"/>
      <c r="K190" s="2" t="n"/>
      <c r="L190" s="2" t="n"/>
      <c r="M190" s="2" t="n"/>
      <c r="N190" s="2" t="n"/>
      <c r="O190" s="2" t="n"/>
      <c r="P190" s="2" t="n"/>
      <c r="Q190" s="2">
        <f>IF(G190="","",TODAY()-G190)</f>
        <v/>
      </c>
    </row>
    <row r="191">
      <c r="A191" s="2" t="n"/>
      <c r="B191" s="2" t="n"/>
      <c r="C191" s="2" t="n"/>
      <c r="D191" s="2" t="n"/>
      <c r="E191" s="2" t="n"/>
      <c r="F191" s="2" t="n"/>
      <c r="G191" s="2" t="n"/>
      <c r="H191" s="2" t="n"/>
      <c r="I191" s="2" t="n"/>
      <c r="J191" s="2" t="n"/>
      <c r="K191" s="2" t="n"/>
      <c r="L191" s="2" t="n"/>
      <c r="M191" s="2" t="n"/>
      <c r="N191" s="2" t="n"/>
      <c r="O191" s="2" t="n"/>
      <c r="P191" s="2" t="n"/>
      <c r="Q191" s="2">
        <f>IF(G191="","",TODAY()-G191)</f>
        <v/>
      </c>
    </row>
    <row r="192">
      <c r="A192" s="2" t="n"/>
      <c r="B192" s="2" t="n"/>
      <c r="C192" s="2" t="n"/>
      <c r="D192" s="2" t="n"/>
      <c r="E192" s="2" t="n"/>
      <c r="F192" s="2" t="n"/>
      <c r="G192" s="2" t="n"/>
      <c r="H192" s="2" t="n"/>
      <c r="I192" s="2" t="n"/>
      <c r="J192" s="2" t="n"/>
      <c r="K192" s="2" t="n"/>
      <c r="L192" s="2" t="n"/>
      <c r="M192" s="2" t="n"/>
      <c r="N192" s="2" t="n"/>
      <c r="O192" s="2" t="n"/>
      <c r="P192" s="2" t="n"/>
      <c r="Q192" s="2">
        <f>IF(G192="","",TODAY()-G192)</f>
        <v/>
      </c>
    </row>
    <row r="193">
      <c r="A193" s="2" t="n"/>
      <c r="B193" s="2" t="n"/>
      <c r="C193" s="2" t="n"/>
      <c r="D193" s="2" t="n"/>
      <c r="E193" s="2" t="n"/>
      <c r="F193" s="2" t="n"/>
      <c r="G193" s="2" t="n"/>
      <c r="H193" s="2" t="n"/>
      <c r="I193" s="2" t="n"/>
      <c r="J193" s="2" t="n"/>
      <c r="K193" s="2" t="n"/>
      <c r="L193" s="2" t="n"/>
      <c r="M193" s="2" t="n"/>
      <c r="N193" s="2" t="n"/>
      <c r="O193" s="2" t="n"/>
      <c r="P193" s="2" t="n"/>
      <c r="Q193" s="2">
        <f>IF(G193="","",TODAY()-G193)</f>
        <v/>
      </c>
    </row>
    <row r="194">
      <c r="A194" s="2" t="n"/>
      <c r="B194" s="2" t="n"/>
      <c r="C194" s="2" t="n"/>
      <c r="D194" s="2" t="n"/>
      <c r="E194" s="2" t="n"/>
      <c r="F194" s="2" t="n"/>
      <c r="G194" s="2" t="n"/>
      <c r="H194" s="2" t="n"/>
      <c r="I194" s="2" t="n"/>
      <c r="J194" s="2" t="n"/>
      <c r="K194" s="2" t="n"/>
      <c r="L194" s="2" t="n"/>
      <c r="M194" s="2" t="n"/>
      <c r="N194" s="2" t="n"/>
      <c r="O194" s="2" t="n"/>
      <c r="P194" s="2" t="n"/>
      <c r="Q194" s="2">
        <f>IF(G194="","",TODAY()-G194)</f>
        <v/>
      </c>
    </row>
    <row r="195">
      <c r="A195" s="2" t="n"/>
      <c r="B195" s="2" t="n"/>
      <c r="C195" s="2" t="n"/>
      <c r="D195" s="2" t="n"/>
      <c r="E195" s="2" t="n"/>
      <c r="F195" s="2" t="n"/>
      <c r="G195" s="2" t="n"/>
      <c r="H195" s="2" t="n"/>
      <c r="I195" s="2" t="n"/>
      <c r="J195" s="2" t="n"/>
      <c r="K195" s="2" t="n"/>
      <c r="L195" s="2" t="n"/>
      <c r="M195" s="2" t="n"/>
      <c r="N195" s="2" t="n"/>
      <c r="O195" s="2" t="n"/>
      <c r="P195" s="2" t="n"/>
      <c r="Q195" s="2">
        <f>IF(G195="","",TODAY()-G195)</f>
        <v/>
      </c>
    </row>
    <row r="196">
      <c r="A196" s="2" t="n"/>
      <c r="B196" s="2" t="n"/>
      <c r="C196" s="2" t="n"/>
      <c r="D196" s="2" t="n"/>
      <c r="E196" s="2" t="n"/>
      <c r="F196" s="2" t="n"/>
      <c r="G196" s="2" t="n"/>
      <c r="H196" s="2" t="n"/>
      <c r="I196" s="2" t="n"/>
      <c r="J196" s="2" t="n"/>
      <c r="K196" s="2" t="n"/>
      <c r="L196" s="2" t="n"/>
      <c r="M196" s="2" t="n"/>
      <c r="N196" s="2" t="n"/>
      <c r="O196" s="2" t="n"/>
      <c r="P196" s="2" t="n"/>
      <c r="Q196" s="2">
        <f>IF(G196="","",TODAY()-G196)</f>
        <v/>
      </c>
    </row>
    <row r="197">
      <c r="A197" s="2" t="n"/>
      <c r="B197" s="2" t="n"/>
      <c r="C197" s="2" t="n"/>
      <c r="D197" s="2" t="n"/>
      <c r="E197" s="2" t="n"/>
      <c r="F197" s="2" t="n"/>
      <c r="G197" s="2" t="n"/>
      <c r="H197" s="2" t="n"/>
      <c r="I197" s="2" t="n"/>
      <c r="J197" s="2" t="n"/>
      <c r="K197" s="2" t="n"/>
      <c r="L197" s="2" t="n"/>
      <c r="M197" s="2" t="n"/>
      <c r="N197" s="2" t="n"/>
      <c r="O197" s="2" t="n"/>
      <c r="P197" s="2" t="n"/>
      <c r="Q197" s="2">
        <f>IF(G197="","",TODAY()-G197)</f>
        <v/>
      </c>
    </row>
    <row r="198">
      <c r="A198" s="2" t="n"/>
      <c r="B198" s="2" t="n"/>
      <c r="C198" s="2" t="n"/>
      <c r="D198" s="2" t="n"/>
      <c r="E198" s="2" t="n"/>
      <c r="F198" s="2" t="n"/>
      <c r="G198" s="2" t="n"/>
      <c r="H198" s="2" t="n"/>
      <c r="I198" s="2" t="n"/>
      <c r="J198" s="2" t="n"/>
      <c r="K198" s="2" t="n"/>
      <c r="L198" s="2" t="n"/>
      <c r="M198" s="2" t="n"/>
      <c r="N198" s="2" t="n"/>
      <c r="O198" s="2" t="n"/>
      <c r="P198" s="2" t="n"/>
      <c r="Q198" s="2">
        <f>IF(G198="","",TODAY()-G198)</f>
        <v/>
      </c>
    </row>
    <row r="199">
      <c r="A199" s="2" t="n"/>
      <c r="B199" s="2" t="n"/>
      <c r="C199" s="2" t="n"/>
      <c r="D199" s="2" t="n"/>
      <c r="E199" s="2" t="n"/>
      <c r="F199" s="2" t="n"/>
      <c r="G199" s="2" t="n"/>
      <c r="H199" s="2" t="n"/>
      <c r="I199" s="2" t="n"/>
      <c r="J199" s="2" t="n"/>
      <c r="K199" s="2" t="n"/>
      <c r="L199" s="2" t="n"/>
      <c r="M199" s="2" t="n"/>
      <c r="N199" s="2" t="n"/>
      <c r="O199" s="2" t="n"/>
      <c r="P199" s="2" t="n"/>
      <c r="Q199" s="2">
        <f>IF(G199="","",TODAY()-G199)</f>
        <v/>
      </c>
    </row>
    <row r="200">
      <c r="A200" s="2" t="n"/>
      <c r="B200" s="2" t="n"/>
      <c r="C200" s="2" t="n"/>
      <c r="D200" s="2" t="n"/>
      <c r="E200" s="2" t="n"/>
      <c r="F200" s="2" t="n"/>
      <c r="G200" s="2" t="n"/>
      <c r="H200" s="2" t="n"/>
      <c r="I200" s="2" t="n"/>
      <c r="J200" s="2" t="n"/>
      <c r="K200" s="2" t="n"/>
      <c r="L200" s="2" t="n"/>
      <c r="M200" s="2" t="n"/>
      <c r="N200" s="2" t="n"/>
      <c r="O200" s="2" t="n"/>
      <c r="P200" s="2" t="n"/>
      <c r="Q200" s="2">
        <f>IF(G200="","",TODAY()-G200)</f>
        <v/>
      </c>
    </row>
    <row r="201">
      <c r="A201" s="2" t="n"/>
      <c r="B201" s="2" t="n"/>
      <c r="C201" s="2" t="n"/>
      <c r="D201" s="2" t="n"/>
      <c r="E201" s="2" t="n"/>
      <c r="F201" s="2" t="n"/>
      <c r="G201" s="2" t="n"/>
      <c r="H201" s="2" t="n"/>
      <c r="I201" s="2" t="n"/>
      <c r="J201" s="2" t="n"/>
      <c r="K201" s="2" t="n"/>
      <c r="L201" s="2" t="n"/>
      <c r="M201" s="2" t="n"/>
      <c r="N201" s="2" t="n"/>
      <c r="O201" s="2" t="n"/>
      <c r="P201" s="2" t="n"/>
      <c r="Q201" s="2">
        <f>IF(G201="","",TODAY()-G201)</f>
        <v/>
      </c>
    </row>
    <row r="202">
      <c r="A202" s="2" t="n"/>
      <c r="B202" s="2" t="n"/>
      <c r="C202" s="2" t="n"/>
      <c r="D202" s="2" t="n"/>
      <c r="E202" s="2" t="n"/>
      <c r="F202" s="2" t="n"/>
      <c r="G202" s="2" t="n"/>
      <c r="H202" s="2" t="n"/>
      <c r="I202" s="2" t="n"/>
      <c r="J202" s="2" t="n"/>
      <c r="K202" s="2" t="n"/>
      <c r="L202" s="2" t="n"/>
      <c r="M202" s="2" t="n"/>
      <c r="N202" s="2" t="n"/>
      <c r="O202" s="2" t="n"/>
      <c r="P202" s="2" t="n"/>
      <c r="Q202" s="2">
        <f>IF(G202="","",TODAY()-G202)</f>
        <v/>
      </c>
    </row>
    <row r="203">
      <c r="A203" s="2" t="n"/>
      <c r="B203" s="2" t="n"/>
      <c r="C203" s="2" t="n"/>
      <c r="D203" s="2" t="n"/>
      <c r="E203" s="2" t="n"/>
      <c r="F203" s="2" t="n"/>
      <c r="G203" s="2" t="n"/>
      <c r="H203" s="2" t="n"/>
      <c r="I203" s="2" t="n"/>
      <c r="J203" s="2" t="n"/>
      <c r="K203" s="2" t="n"/>
      <c r="L203" s="2" t="n"/>
      <c r="M203" s="2" t="n"/>
      <c r="N203" s="2" t="n"/>
      <c r="O203" s="2" t="n"/>
      <c r="P203" s="2" t="n"/>
      <c r="Q203" s="2">
        <f>IF(G203="","",TODAY()-G203)</f>
        <v/>
      </c>
    </row>
    <row r="204">
      <c r="A204" s="2" t="n"/>
      <c r="B204" s="2" t="n"/>
      <c r="C204" s="2" t="n"/>
      <c r="D204" s="2" t="n"/>
      <c r="E204" s="2" t="n"/>
      <c r="F204" s="2" t="n"/>
      <c r="G204" s="2" t="n"/>
      <c r="H204" s="2" t="n"/>
      <c r="I204" s="2" t="n"/>
      <c r="J204" s="2" t="n"/>
      <c r="K204" s="2" t="n"/>
      <c r="L204" s="2" t="n"/>
      <c r="M204" s="2" t="n"/>
      <c r="N204" s="2" t="n"/>
      <c r="O204" s="2" t="n"/>
      <c r="P204" s="2" t="n"/>
      <c r="Q204" s="2">
        <f>IF(G204="","",TODAY()-G204)</f>
        <v/>
      </c>
    </row>
    <row r="205">
      <c r="A205" s="2" t="n"/>
      <c r="B205" s="2" t="n"/>
      <c r="C205" s="2" t="n"/>
      <c r="D205" s="2" t="n"/>
      <c r="E205" s="2" t="n"/>
      <c r="F205" s="2" t="n"/>
      <c r="G205" s="2" t="n"/>
      <c r="H205" s="2" t="n"/>
      <c r="I205" s="2" t="n"/>
      <c r="J205" s="2" t="n"/>
      <c r="K205" s="2" t="n"/>
      <c r="L205" s="2" t="n"/>
      <c r="M205" s="2" t="n"/>
      <c r="N205" s="2" t="n"/>
      <c r="O205" s="2" t="n"/>
      <c r="P205" s="2" t="n"/>
      <c r="Q205" s="2">
        <f>IF(G205="","",TODAY()-G205)</f>
        <v/>
      </c>
    </row>
    <row r="206">
      <c r="A206" s="2" t="n"/>
      <c r="B206" s="2" t="n"/>
      <c r="C206" s="2" t="n"/>
      <c r="D206" s="2" t="n"/>
      <c r="E206" s="2" t="n"/>
      <c r="F206" s="2" t="n"/>
      <c r="G206" s="2" t="n"/>
      <c r="H206" s="2" t="n"/>
      <c r="I206" s="2" t="n"/>
      <c r="J206" s="2" t="n"/>
      <c r="K206" s="2" t="n"/>
      <c r="L206" s="2" t="n"/>
      <c r="M206" s="2" t="n"/>
      <c r="N206" s="2" t="n"/>
      <c r="O206" s="2" t="n"/>
      <c r="P206" s="2" t="n"/>
      <c r="Q206" s="2">
        <f>IF(G206="","",TODAY()-G206)</f>
        <v/>
      </c>
    </row>
    <row r="207">
      <c r="A207" s="2" t="n"/>
      <c r="B207" s="2" t="n"/>
      <c r="C207" s="2" t="n"/>
      <c r="D207" s="2" t="n"/>
      <c r="E207" s="2" t="n"/>
      <c r="F207" s="2" t="n"/>
      <c r="G207" s="2" t="n"/>
      <c r="H207" s="2" t="n"/>
      <c r="I207" s="2" t="n"/>
      <c r="J207" s="2" t="n"/>
      <c r="K207" s="2" t="n"/>
      <c r="L207" s="2" t="n"/>
      <c r="M207" s="2" t="n"/>
      <c r="N207" s="2" t="n"/>
      <c r="O207" s="2" t="n"/>
      <c r="P207" s="2" t="n"/>
      <c r="Q207" s="2">
        <f>IF(G207="","",TODAY()-G207)</f>
        <v/>
      </c>
    </row>
    <row r="208">
      <c r="A208" s="2" t="n"/>
      <c r="B208" s="2" t="n"/>
      <c r="C208" s="2" t="n"/>
      <c r="D208" s="2" t="n"/>
      <c r="E208" s="2" t="n"/>
      <c r="F208" s="2" t="n"/>
      <c r="G208" s="2" t="n"/>
      <c r="H208" s="2" t="n"/>
      <c r="I208" s="2" t="n"/>
      <c r="J208" s="2" t="n"/>
      <c r="K208" s="2" t="n"/>
      <c r="L208" s="2" t="n"/>
      <c r="M208" s="2" t="n"/>
      <c r="N208" s="2" t="n"/>
      <c r="O208" s="2" t="n"/>
      <c r="P208" s="2" t="n"/>
      <c r="Q208" s="2">
        <f>IF(G208="","",TODAY()-G208)</f>
        <v/>
      </c>
    </row>
    <row r="209">
      <c r="A209" s="2" t="n"/>
      <c r="B209" s="2" t="n"/>
      <c r="C209" s="2" t="n"/>
      <c r="D209" s="2" t="n"/>
      <c r="E209" s="2" t="n"/>
      <c r="F209" s="2" t="n"/>
      <c r="G209" s="2" t="n"/>
      <c r="H209" s="2" t="n"/>
      <c r="I209" s="2" t="n"/>
      <c r="J209" s="2" t="n"/>
      <c r="K209" s="2" t="n"/>
      <c r="L209" s="2" t="n"/>
      <c r="M209" s="2" t="n"/>
      <c r="N209" s="2" t="n"/>
      <c r="O209" s="2" t="n"/>
      <c r="P209" s="2" t="n"/>
      <c r="Q209" s="2">
        <f>IF(G209="","",TODAY()-G209)</f>
        <v/>
      </c>
    </row>
    <row r="210">
      <c r="A210" s="2" t="n"/>
      <c r="B210" s="2" t="n"/>
      <c r="C210" s="2" t="n"/>
      <c r="D210" s="2" t="n"/>
      <c r="E210" s="2" t="n"/>
      <c r="F210" s="2" t="n"/>
      <c r="G210" s="2" t="n"/>
      <c r="H210" s="2" t="n"/>
      <c r="I210" s="2" t="n"/>
      <c r="J210" s="2" t="n"/>
      <c r="K210" s="2" t="n"/>
      <c r="L210" s="2" t="n"/>
      <c r="M210" s="2" t="n"/>
      <c r="N210" s="2" t="n"/>
      <c r="O210" s="2" t="n"/>
      <c r="P210" s="2" t="n"/>
      <c r="Q210" s="2">
        <f>IF(G210="","",TODAY()-G210)</f>
        <v/>
      </c>
    </row>
    <row r="211">
      <c r="A211" s="2" t="n"/>
      <c r="B211" s="2" t="n"/>
      <c r="C211" s="2" t="n"/>
      <c r="D211" s="2" t="n"/>
      <c r="E211" s="2" t="n"/>
      <c r="F211" s="2" t="n"/>
      <c r="G211" s="2" t="n"/>
      <c r="H211" s="2" t="n"/>
      <c r="I211" s="2" t="n"/>
      <c r="J211" s="2" t="n"/>
      <c r="K211" s="2" t="n"/>
      <c r="L211" s="2" t="n"/>
      <c r="M211" s="2" t="n"/>
      <c r="N211" s="2" t="n"/>
      <c r="O211" s="2" t="n"/>
      <c r="P211" s="2" t="n"/>
      <c r="Q211" s="2">
        <f>IF(G211="","",TODAY()-G211)</f>
        <v/>
      </c>
    </row>
    <row r="212">
      <c r="A212" s="2" t="n"/>
      <c r="B212" s="2" t="n"/>
      <c r="C212" s="2" t="n"/>
      <c r="D212" s="2" t="n"/>
      <c r="E212" s="2" t="n"/>
      <c r="F212" s="2" t="n"/>
      <c r="G212" s="2" t="n"/>
      <c r="H212" s="2" t="n"/>
      <c r="I212" s="2" t="n"/>
      <c r="J212" s="2" t="n"/>
      <c r="K212" s="2" t="n"/>
      <c r="L212" s="2" t="n"/>
      <c r="M212" s="2" t="n"/>
      <c r="N212" s="2" t="n"/>
      <c r="O212" s="2" t="n"/>
      <c r="P212" s="2" t="n"/>
      <c r="Q212" s="2">
        <f>IF(G212="","",TODAY()-G212)</f>
        <v/>
      </c>
    </row>
    <row r="213">
      <c r="A213" s="2" t="n"/>
      <c r="B213" s="2" t="n"/>
      <c r="C213" s="2" t="n"/>
      <c r="D213" s="2" t="n"/>
      <c r="E213" s="2" t="n"/>
      <c r="F213" s="2" t="n"/>
      <c r="G213" s="2" t="n"/>
      <c r="H213" s="2" t="n"/>
      <c r="I213" s="2" t="n"/>
      <c r="J213" s="2" t="n"/>
      <c r="K213" s="2" t="n"/>
      <c r="L213" s="2" t="n"/>
      <c r="M213" s="2" t="n"/>
      <c r="N213" s="2" t="n"/>
      <c r="O213" s="2" t="n"/>
      <c r="P213" s="2" t="n"/>
      <c r="Q213" s="2">
        <f>IF(G213="","",TODAY()-G213)</f>
        <v/>
      </c>
    </row>
    <row r="214">
      <c r="A214" s="2" t="n"/>
      <c r="B214" s="2" t="n"/>
      <c r="C214" s="2" t="n"/>
      <c r="D214" s="2" t="n"/>
      <c r="E214" s="2" t="n"/>
      <c r="F214" s="2" t="n"/>
      <c r="G214" s="2" t="n"/>
      <c r="H214" s="2" t="n"/>
      <c r="I214" s="2" t="n"/>
      <c r="J214" s="2" t="n"/>
      <c r="K214" s="2" t="n"/>
      <c r="L214" s="2" t="n"/>
      <c r="M214" s="2" t="n"/>
      <c r="N214" s="2" t="n"/>
      <c r="O214" s="2" t="n"/>
      <c r="P214" s="2" t="n"/>
      <c r="Q214" s="2">
        <f>IF(G214="","",TODAY()-G214)</f>
        <v/>
      </c>
    </row>
    <row r="215">
      <c r="A215" s="2" t="n"/>
      <c r="B215" s="2" t="n"/>
      <c r="C215" s="2" t="n"/>
      <c r="D215" s="2" t="n"/>
      <c r="E215" s="2" t="n"/>
      <c r="F215" s="2" t="n"/>
      <c r="G215" s="2" t="n"/>
      <c r="H215" s="2" t="n"/>
      <c r="I215" s="2" t="n"/>
      <c r="J215" s="2" t="n"/>
      <c r="K215" s="2" t="n"/>
      <c r="L215" s="2" t="n"/>
      <c r="M215" s="2" t="n"/>
      <c r="N215" s="2" t="n"/>
      <c r="O215" s="2" t="n"/>
      <c r="P215" s="2" t="n"/>
      <c r="Q215" s="2">
        <f>IF(G215="","",TODAY()-G215)</f>
        <v/>
      </c>
    </row>
    <row r="216">
      <c r="A216" s="2" t="n"/>
      <c r="B216" s="2" t="n"/>
      <c r="C216" s="2" t="n"/>
      <c r="D216" s="2" t="n"/>
      <c r="E216" s="2" t="n"/>
      <c r="F216" s="2" t="n"/>
      <c r="G216" s="2" t="n"/>
      <c r="H216" s="2" t="n"/>
      <c r="I216" s="2" t="n"/>
      <c r="J216" s="2" t="n"/>
      <c r="K216" s="2" t="n"/>
      <c r="L216" s="2" t="n"/>
      <c r="M216" s="2" t="n"/>
      <c r="N216" s="2" t="n"/>
      <c r="O216" s="2" t="n"/>
      <c r="P216" s="2" t="n"/>
      <c r="Q216" s="2">
        <f>IF(G216="","",TODAY()-G216)</f>
        <v/>
      </c>
    </row>
    <row r="217">
      <c r="A217" s="2" t="n"/>
      <c r="B217" s="2" t="n"/>
      <c r="C217" s="2" t="n"/>
      <c r="D217" s="2" t="n"/>
      <c r="E217" s="2" t="n"/>
      <c r="F217" s="2" t="n"/>
      <c r="G217" s="2" t="n"/>
      <c r="H217" s="2" t="n"/>
      <c r="I217" s="2" t="n"/>
      <c r="J217" s="2" t="n"/>
      <c r="K217" s="2" t="n"/>
      <c r="L217" s="2" t="n"/>
      <c r="M217" s="2" t="n"/>
      <c r="N217" s="2" t="n"/>
      <c r="O217" s="2" t="n"/>
      <c r="P217" s="2" t="n"/>
      <c r="Q217" s="2">
        <f>IF(G217="","",TODAY()-G217)</f>
        <v/>
      </c>
    </row>
    <row r="218">
      <c r="A218" s="2" t="n"/>
      <c r="B218" s="2" t="n"/>
      <c r="C218" s="2" t="n"/>
      <c r="D218" s="2" t="n"/>
      <c r="E218" s="2" t="n"/>
      <c r="F218" s="2" t="n"/>
      <c r="G218" s="2" t="n"/>
      <c r="H218" s="2" t="n"/>
      <c r="I218" s="2" t="n"/>
      <c r="J218" s="2" t="n"/>
      <c r="K218" s="2" t="n"/>
      <c r="L218" s="2" t="n"/>
      <c r="M218" s="2" t="n"/>
      <c r="N218" s="2" t="n"/>
      <c r="O218" s="2" t="n"/>
      <c r="P218" s="2" t="n"/>
      <c r="Q218" s="2">
        <f>IF(G218="","",TODAY()-G218)</f>
        <v/>
      </c>
    </row>
    <row r="219">
      <c r="A219" s="2" t="n"/>
      <c r="B219" s="2" t="n"/>
      <c r="C219" s="2" t="n"/>
      <c r="D219" s="2" t="n"/>
      <c r="E219" s="2" t="n"/>
      <c r="F219" s="2" t="n"/>
      <c r="G219" s="2" t="n"/>
      <c r="H219" s="2" t="n"/>
      <c r="I219" s="2" t="n"/>
      <c r="J219" s="2" t="n"/>
      <c r="K219" s="2" t="n"/>
      <c r="L219" s="2" t="n"/>
      <c r="M219" s="2" t="n"/>
      <c r="N219" s="2" t="n"/>
      <c r="O219" s="2" t="n"/>
      <c r="P219" s="2" t="n"/>
      <c r="Q219" s="2">
        <f>IF(G219="","",TODAY()-G219)</f>
        <v/>
      </c>
    </row>
    <row r="220">
      <c r="A220" s="2" t="n"/>
      <c r="B220" s="2" t="n"/>
      <c r="C220" s="2" t="n"/>
      <c r="D220" s="2" t="n"/>
      <c r="E220" s="2" t="n"/>
      <c r="F220" s="2" t="n"/>
      <c r="G220" s="2" t="n"/>
      <c r="H220" s="2" t="n"/>
      <c r="I220" s="2" t="n"/>
      <c r="J220" s="2" t="n"/>
      <c r="K220" s="2" t="n"/>
      <c r="L220" s="2" t="n"/>
      <c r="M220" s="2" t="n"/>
      <c r="N220" s="2" t="n"/>
      <c r="O220" s="2" t="n"/>
      <c r="P220" s="2" t="n"/>
      <c r="Q220" s="2">
        <f>IF(G220="","",TODAY()-G220)</f>
        <v/>
      </c>
    </row>
    <row r="221">
      <c r="A221" s="2" t="n"/>
      <c r="B221" s="2" t="n"/>
      <c r="C221" s="2" t="n"/>
      <c r="D221" s="2" t="n"/>
      <c r="E221" s="2" t="n"/>
      <c r="F221" s="2" t="n"/>
      <c r="G221" s="2" t="n"/>
      <c r="H221" s="2" t="n"/>
      <c r="I221" s="2" t="n"/>
      <c r="J221" s="2" t="n"/>
      <c r="K221" s="2" t="n"/>
      <c r="L221" s="2" t="n"/>
      <c r="M221" s="2" t="n"/>
      <c r="N221" s="2" t="n"/>
      <c r="O221" s="2" t="n"/>
      <c r="P221" s="2" t="n"/>
      <c r="Q221" s="2">
        <f>IF(G221="","",TODAY()-G221)</f>
        <v/>
      </c>
    </row>
    <row r="222">
      <c r="A222" s="2" t="n"/>
      <c r="B222" s="2" t="n"/>
      <c r="C222" s="2" t="n"/>
      <c r="D222" s="2" t="n"/>
      <c r="E222" s="2" t="n"/>
      <c r="F222" s="2" t="n"/>
      <c r="G222" s="2" t="n"/>
      <c r="H222" s="2" t="n"/>
      <c r="I222" s="2" t="n"/>
      <c r="J222" s="2" t="n"/>
      <c r="K222" s="2" t="n"/>
      <c r="L222" s="2" t="n"/>
      <c r="M222" s="2" t="n"/>
      <c r="N222" s="2" t="n"/>
      <c r="O222" s="2" t="n"/>
      <c r="P222" s="2" t="n"/>
      <c r="Q222" s="2">
        <f>IF(G222="","",TODAY()-G222)</f>
        <v/>
      </c>
    </row>
    <row r="223">
      <c r="A223" s="2" t="n"/>
      <c r="B223" s="2" t="n"/>
      <c r="C223" s="2" t="n"/>
      <c r="D223" s="2" t="n"/>
      <c r="E223" s="2" t="n"/>
      <c r="F223" s="2" t="n"/>
      <c r="G223" s="2" t="n"/>
      <c r="H223" s="2" t="n"/>
      <c r="I223" s="2" t="n"/>
      <c r="J223" s="2" t="n"/>
      <c r="K223" s="2" t="n"/>
      <c r="L223" s="2" t="n"/>
      <c r="M223" s="2" t="n"/>
      <c r="N223" s="2" t="n"/>
      <c r="O223" s="2" t="n"/>
      <c r="P223" s="2" t="n"/>
      <c r="Q223" s="2">
        <f>IF(G223="","",TODAY()-G223)</f>
        <v/>
      </c>
    </row>
    <row r="224">
      <c r="A224" s="2" t="n"/>
      <c r="B224" s="2" t="n"/>
      <c r="C224" s="2" t="n"/>
      <c r="D224" s="2" t="n"/>
      <c r="E224" s="2" t="n"/>
      <c r="F224" s="2" t="n"/>
      <c r="G224" s="2" t="n"/>
      <c r="H224" s="2" t="n"/>
      <c r="I224" s="2" t="n"/>
      <c r="J224" s="2" t="n"/>
      <c r="K224" s="2" t="n"/>
      <c r="L224" s="2" t="n"/>
      <c r="M224" s="2" t="n"/>
      <c r="N224" s="2" t="n"/>
      <c r="O224" s="2" t="n"/>
      <c r="P224" s="2" t="n"/>
      <c r="Q224" s="2">
        <f>IF(G224="","",TODAY()-G224)</f>
        <v/>
      </c>
    </row>
    <row r="225">
      <c r="A225" s="2" t="n"/>
      <c r="B225" s="2" t="n"/>
      <c r="C225" s="2" t="n"/>
      <c r="D225" s="2" t="n"/>
      <c r="E225" s="2" t="n"/>
      <c r="F225" s="2" t="n"/>
      <c r="G225" s="2" t="n"/>
      <c r="H225" s="2" t="n"/>
      <c r="I225" s="2" t="n"/>
      <c r="J225" s="2" t="n"/>
      <c r="K225" s="2" t="n"/>
      <c r="L225" s="2" t="n"/>
      <c r="M225" s="2" t="n"/>
      <c r="N225" s="2" t="n"/>
      <c r="O225" s="2" t="n"/>
      <c r="P225" s="2" t="n"/>
      <c r="Q225" s="2">
        <f>IF(G225="","",TODAY()-G225)</f>
        <v/>
      </c>
    </row>
    <row r="226">
      <c r="A226" s="2" t="n"/>
      <c r="B226" s="2" t="n"/>
      <c r="C226" s="2" t="n"/>
      <c r="D226" s="2" t="n"/>
      <c r="E226" s="2" t="n"/>
      <c r="F226" s="2" t="n"/>
      <c r="G226" s="2" t="n"/>
      <c r="H226" s="2" t="n"/>
      <c r="I226" s="2" t="n"/>
      <c r="J226" s="2" t="n"/>
      <c r="K226" s="2" t="n"/>
      <c r="L226" s="2" t="n"/>
      <c r="M226" s="2" t="n"/>
      <c r="N226" s="2" t="n"/>
      <c r="O226" s="2" t="n"/>
      <c r="P226" s="2" t="n"/>
      <c r="Q226" s="2">
        <f>IF(G226="","",TODAY()-G226)</f>
        <v/>
      </c>
    </row>
    <row r="227">
      <c r="A227" s="2" t="n"/>
      <c r="B227" s="2" t="n"/>
      <c r="C227" s="2" t="n"/>
      <c r="D227" s="2" t="n"/>
      <c r="E227" s="2" t="n"/>
      <c r="F227" s="2" t="n"/>
      <c r="G227" s="2" t="n"/>
      <c r="H227" s="2" t="n"/>
      <c r="I227" s="2" t="n"/>
      <c r="J227" s="2" t="n"/>
      <c r="K227" s="2" t="n"/>
      <c r="L227" s="2" t="n"/>
      <c r="M227" s="2" t="n"/>
      <c r="N227" s="2" t="n"/>
      <c r="O227" s="2" t="n"/>
      <c r="P227" s="2" t="n"/>
      <c r="Q227" s="2">
        <f>IF(G227="","",TODAY()-G227)</f>
        <v/>
      </c>
    </row>
    <row r="228">
      <c r="A228" s="2" t="n"/>
      <c r="B228" s="2" t="n"/>
      <c r="C228" s="2" t="n"/>
      <c r="D228" s="2" t="n"/>
      <c r="E228" s="2" t="n"/>
      <c r="F228" s="2" t="n"/>
      <c r="G228" s="2" t="n"/>
      <c r="H228" s="2" t="n"/>
      <c r="I228" s="2" t="n"/>
      <c r="J228" s="2" t="n"/>
      <c r="K228" s="2" t="n"/>
      <c r="L228" s="2" t="n"/>
      <c r="M228" s="2" t="n"/>
      <c r="N228" s="2" t="n"/>
      <c r="O228" s="2" t="n"/>
      <c r="P228" s="2" t="n"/>
      <c r="Q228" s="2">
        <f>IF(G228="","",TODAY()-G228)</f>
        <v/>
      </c>
    </row>
    <row r="229">
      <c r="A229" s="2" t="n"/>
      <c r="B229" s="2" t="n"/>
      <c r="C229" s="2" t="n"/>
      <c r="D229" s="2" t="n"/>
      <c r="E229" s="2" t="n"/>
      <c r="F229" s="2" t="n"/>
      <c r="G229" s="2" t="n"/>
      <c r="H229" s="2" t="n"/>
      <c r="I229" s="2" t="n"/>
      <c r="J229" s="2" t="n"/>
      <c r="K229" s="2" t="n"/>
      <c r="L229" s="2" t="n"/>
      <c r="M229" s="2" t="n"/>
      <c r="N229" s="2" t="n"/>
      <c r="O229" s="2" t="n"/>
      <c r="P229" s="2" t="n"/>
      <c r="Q229" s="2">
        <f>IF(G229="","",TODAY()-G229)</f>
        <v/>
      </c>
    </row>
    <row r="230">
      <c r="A230" s="2" t="n"/>
      <c r="B230" s="2" t="n"/>
      <c r="C230" s="2" t="n"/>
      <c r="D230" s="2" t="n"/>
      <c r="E230" s="2" t="n"/>
      <c r="F230" s="2" t="n"/>
      <c r="G230" s="2" t="n"/>
      <c r="H230" s="2" t="n"/>
      <c r="I230" s="2" t="n"/>
      <c r="J230" s="2" t="n"/>
      <c r="K230" s="2" t="n"/>
      <c r="L230" s="2" t="n"/>
      <c r="M230" s="2" t="n"/>
      <c r="N230" s="2" t="n"/>
      <c r="O230" s="2" t="n"/>
      <c r="P230" s="2" t="n"/>
      <c r="Q230" s="2">
        <f>IF(G230="","",TODAY()-G230)</f>
        <v/>
      </c>
    </row>
    <row r="231">
      <c r="A231" s="2" t="n"/>
      <c r="B231" s="2" t="n"/>
      <c r="C231" s="2" t="n"/>
      <c r="D231" s="2" t="n"/>
      <c r="E231" s="2" t="n"/>
      <c r="F231" s="2" t="n"/>
      <c r="G231" s="2" t="n"/>
      <c r="H231" s="2" t="n"/>
      <c r="I231" s="2" t="n"/>
      <c r="J231" s="2" t="n"/>
      <c r="K231" s="2" t="n"/>
      <c r="L231" s="2" t="n"/>
      <c r="M231" s="2" t="n"/>
      <c r="N231" s="2" t="n"/>
      <c r="O231" s="2" t="n"/>
      <c r="P231" s="2" t="n"/>
      <c r="Q231" s="2">
        <f>IF(G231="","",TODAY()-G231)</f>
        <v/>
      </c>
    </row>
    <row r="232">
      <c r="A232" s="2" t="n"/>
      <c r="B232" s="2" t="n"/>
      <c r="C232" s="2" t="n"/>
      <c r="D232" s="2" t="n"/>
      <c r="E232" s="2" t="n"/>
      <c r="F232" s="2" t="n"/>
      <c r="G232" s="2" t="n"/>
      <c r="H232" s="2" t="n"/>
      <c r="I232" s="2" t="n"/>
      <c r="J232" s="2" t="n"/>
      <c r="K232" s="2" t="n"/>
      <c r="L232" s="2" t="n"/>
      <c r="M232" s="2" t="n"/>
      <c r="N232" s="2" t="n"/>
      <c r="O232" s="2" t="n"/>
      <c r="P232" s="2" t="n"/>
      <c r="Q232" s="2">
        <f>IF(G232="","",TODAY()-G232)</f>
        <v/>
      </c>
    </row>
    <row r="233">
      <c r="A233" s="2" t="n"/>
      <c r="B233" s="2" t="n"/>
      <c r="C233" s="2" t="n"/>
      <c r="D233" s="2" t="n"/>
      <c r="E233" s="2" t="n"/>
      <c r="F233" s="2" t="n"/>
      <c r="G233" s="2" t="n"/>
      <c r="H233" s="2" t="n"/>
      <c r="I233" s="2" t="n"/>
      <c r="J233" s="2" t="n"/>
      <c r="K233" s="2" t="n"/>
      <c r="L233" s="2" t="n"/>
      <c r="M233" s="2" t="n"/>
      <c r="N233" s="2" t="n"/>
      <c r="O233" s="2" t="n"/>
      <c r="P233" s="2" t="n"/>
      <c r="Q233" s="2">
        <f>IF(G233="","",TODAY()-G233)</f>
        <v/>
      </c>
    </row>
    <row r="234">
      <c r="A234" s="2" t="n"/>
      <c r="B234" s="2" t="n"/>
      <c r="C234" s="2" t="n"/>
      <c r="D234" s="2" t="n"/>
      <c r="E234" s="2" t="n"/>
      <c r="F234" s="2" t="n"/>
      <c r="G234" s="2" t="n"/>
      <c r="H234" s="2" t="n"/>
      <c r="I234" s="2" t="n"/>
      <c r="J234" s="2" t="n"/>
      <c r="K234" s="2" t="n"/>
      <c r="L234" s="2" t="n"/>
      <c r="M234" s="2" t="n"/>
      <c r="N234" s="2" t="n"/>
      <c r="O234" s="2" t="n"/>
      <c r="P234" s="2" t="n"/>
      <c r="Q234" s="2">
        <f>IF(G234="","",TODAY()-G234)</f>
        <v/>
      </c>
    </row>
    <row r="235">
      <c r="A235" s="2" t="n"/>
      <c r="B235" s="2" t="n"/>
      <c r="C235" s="2" t="n"/>
      <c r="D235" s="2" t="n"/>
      <c r="E235" s="2" t="n"/>
      <c r="F235" s="2" t="n"/>
      <c r="G235" s="2" t="n"/>
      <c r="H235" s="2" t="n"/>
      <c r="I235" s="2" t="n"/>
      <c r="J235" s="2" t="n"/>
      <c r="K235" s="2" t="n"/>
      <c r="L235" s="2" t="n"/>
      <c r="M235" s="2" t="n"/>
      <c r="N235" s="2" t="n"/>
      <c r="O235" s="2" t="n"/>
      <c r="P235" s="2" t="n"/>
      <c r="Q235" s="2">
        <f>IF(G235="","",TODAY()-G235)</f>
        <v/>
      </c>
    </row>
    <row r="236">
      <c r="A236" s="2" t="n"/>
      <c r="B236" s="2" t="n"/>
      <c r="C236" s="2" t="n"/>
      <c r="D236" s="2" t="n"/>
      <c r="E236" s="2" t="n"/>
      <c r="F236" s="2" t="n"/>
      <c r="G236" s="2" t="n"/>
      <c r="H236" s="2" t="n"/>
      <c r="I236" s="2" t="n"/>
      <c r="J236" s="2" t="n"/>
      <c r="K236" s="2" t="n"/>
      <c r="L236" s="2" t="n"/>
      <c r="M236" s="2" t="n"/>
      <c r="N236" s="2" t="n"/>
      <c r="O236" s="2" t="n"/>
      <c r="P236" s="2" t="n"/>
      <c r="Q236" s="2">
        <f>IF(G236="","",TODAY()-G236)</f>
        <v/>
      </c>
    </row>
    <row r="237">
      <c r="A237" s="2" t="n"/>
      <c r="B237" s="2" t="n"/>
      <c r="C237" s="2" t="n"/>
      <c r="D237" s="2" t="n"/>
      <c r="E237" s="2" t="n"/>
      <c r="F237" s="2" t="n"/>
      <c r="G237" s="2" t="n"/>
      <c r="H237" s="2" t="n"/>
      <c r="I237" s="2" t="n"/>
      <c r="J237" s="2" t="n"/>
      <c r="K237" s="2" t="n"/>
      <c r="L237" s="2" t="n"/>
      <c r="M237" s="2" t="n"/>
      <c r="N237" s="2" t="n"/>
      <c r="O237" s="2" t="n"/>
      <c r="P237" s="2" t="n"/>
      <c r="Q237" s="2">
        <f>IF(G237="","",TODAY()-G237)</f>
        <v/>
      </c>
    </row>
    <row r="238">
      <c r="A238" s="2" t="n"/>
      <c r="B238" s="2" t="n"/>
      <c r="C238" s="2" t="n"/>
      <c r="D238" s="2" t="n"/>
      <c r="E238" s="2" t="n"/>
      <c r="F238" s="2" t="n"/>
      <c r="G238" s="2" t="n"/>
      <c r="H238" s="2" t="n"/>
      <c r="I238" s="2" t="n"/>
      <c r="J238" s="2" t="n"/>
      <c r="K238" s="2" t="n"/>
      <c r="L238" s="2" t="n"/>
      <c r="M238" s="2" t="n"/>
      <c r="N238" s="2" t="n"/>
      <c r="O238" s="2" t="n"/>
      <c r="P238" s="2" t="n"/>
      <c r="Q238" s="2">
        <f>IF(G238="","",TODAY()-G238)</f>
        <v/>
      </c>
    </row>
    <row r="239">
      <c r="A239" s="2" t="n"/>
      <c r="B239" s="2" t="n"/>
      <c r="C239" s="2" t="n"/>
      <c r="D239" s="2" t="n"/>
      <c r="E239" s="2" t="n"/>
      <c r="F239" s="2" t="n"/>
      <c r="G239" s="2" t="n"/>
      <c r="H239" s="2" t="n"/>
      <c r="I239" s="2" t="n"/>
      <c r="J239" s="2" t="n"/>
      <c r="K239" s="2" t="n"/>
      <c r="L239" s="2" t="n"/>
      <c r="M239" s="2" t="n"/>
      <c r="N239" s="2" t="n"/>
      <c r="O239" s="2" t="n"/>
      <c r="P239" s="2" t="n"/>
      <c r="Q239" s="2">
        <f>IF(G239="","",TODAY()-G239)</f>
        <v/>
      </c>
    </row>
    <row r="240">
      <c r="A240" s="2" t="n"/>
      <c r="B240" s="2" t="n"/>
      <c r="C240" s="2" t="n"/>
      <c r="D240" s="2" t="n"/>
      <c r="E240" s="2" t="n"/>
      <c r="F240" s="2" t="n"/>
      <c r="G240" s="2" t="n"/>
      <c r="H240" s="2" t="n"/>
      <c r="I240" s="2" t="n"/>
      <c r="J240" s="2" t="n"/>
      <c r="K240" s="2" t="n"/>
      <c r="L240" s="2" t="n"/>
      <c r="M240" s="2" t="n"/>
      <c r="N240" s="2" t="n"/>
      <c r="O240" s="2" t="n"/>
      <c r="P240" s="2" t="n"/>
      <c r="Q240" s="2">
        <f>IF(G240="","",TODAY()-G240)</f>
        <v/>
      </c>
    </row>
    <row r="241">
      <c r="A241" s="2" t="n"/>
      <c r="B241" s="2" t="n"/>
      <c r="C241" s="2" t="n"/>
      <c r="D241" s="2" t="n"/>
      <c r="E241" s="2" t="n"/>
      <c r="F241" s="2" t="n"/>
      <c r="G241" s="2" t="n"/>
      <c r="H241" s="2" t="n"/>
      <c r="I241" s="2" t="n"/>
      <c r="J241" s="2" t="n"/>
      <c r="K241" s="2" t="n"/>
      <c r="L241" s="2" t="n"/>
      <c r="M241" s="2" t="n"/>
      <c r="N241" s="2" t="n"/>
      <c r="O241" s="2" t="n"/>
      <c r="P241" s="2" t="n"/>
      <c r="Q241" s="2">
        <f>IF(G241="","",TODAY()-G241)</f>
        <v/>
      </c>
    </row>
    <row r="242">
      <c r="A242" s="2" t="n"/>
      <c r="B242" s="2" t="n"/>
      <c r="C242" s="2" t="n"/>
      <c r="D242" s="2" t="n"/>
      <c r="E242" s="2" t="n"/>
      <c r="F242" s="2" t="n"/>
      <c r="G242" s="2" t="n"/>
      <c r="H242" s="2" t="n"/>
      <c r="I242" s="2" t="n"/>
      <c r="J242" s="2" t="n"/>
      <c r="K242" s="2" t="n"/>
      <c r="L242" s="2" t="n"/>
      <c r="M242" s="2" t="n"/>
      <c r="N242" s="2" t="n"/>
      <c r="O242" s="2" t="n"/>
      <c r="P242" s="2" t="n"/>
      <c r="Q242" s="2">
        <f>IF(G242="","",TODAY()-G242)</f>
        <v/>
      </c>
    </row>
    <row r="243">
      <c r="A243" s="2" t="n"/>
      <c r="B243" s="2" t="n"/>
      <c r="C243" s="2" t="n"/>
      <c r="D243" s="2" t="n"/>
      <c r="E243" s="2" t="n"/>
      <c r="F243" s="2" t="n"/>
      <c r="G243" s="2" t="n"/>
      <c r="H243" s="2" t="n"/>
      <c r="I243" s="2" t="n"/>
      <c r="J243" s="2" t="n"/>
      <c r="K243" s="2" t="n"/>
      <c r="L243" s="2" t="n"/>
      <c r="M243" s="2" t="n"/>
      <c r="N243" s="2" t="n"/>
      <c r="O243" s="2" t="n"/>
      <c r="P243" s="2" t="n"/>
      <c r="Q243" s="2">
        <f>IF(G243="","",TODAY()-G243)</f>
        <v/>
      </c>
    </row>
    <row r="244">
      <c r="A244" s="2" t="n"/>
      <c r="B244" s="2" t="n"/>
      <c r="C244" s="2" t="n"/>
      <c r="D244" s="2" t="n"/>
      <c r="E244" s="2" t="n"/>
      <c r="F244" s="2" t="n"/>
      <c r="G244" s="2" t="n"/>
      <c r="H244" s="2" t="n"/>
      <c r="I244" s="2" t="n"/>
      <c r="J244" s="2" t="n"/>
      <c r="K244" s="2" t="n"/>
      <c r="L244" s="2" t="n"/>
      <c r="M244" s="2" t="n"/>
      <c r="N244" s="2" t="n"/>
      <c r="O244" s="2" t="n"/>
      <c r="P244" s="2" t="n"/>
      <c r="Q244" s="2">
        <f>IF(G244="","",TODAY()-G244)</f>
        <v/>
      </c>
    </row>
    <row r="245">
      <c r="A245" s="2" t="n"/>
      <c r="B245" s="2" t="n"/>
      <c r="C245" s="2" t="n"/>
      <c r="D245" s="2" t="n"/>
      <c r="E245" s="2" t="n"/>
      <c r="F245" s="2" t="n"/>
      <c r="G245" s="2" t="n"/>
      <c r="H245" s="2" t="n"/>
      <c r="I245" s="2" t="n"/>
      <c r="J245" s="2" t="n"/>
      <c r="K245" s="2" t="n"/>
      <c r="L245" s="2" t="n"/>
      <c r="M245" s="2" t="n"/>
      <c r="N245" s="2" t="n"/>
      <c r="O245" s="2" t="n"/>
      <c r="P245" s="2" t="n"/>
      <c r="Q245" s="2">
        <f>IF(G245="","",TODAY()-G245)</f>
        <v/>
      </c>
    </row>
    <row r="246">
      <c r="A246" s="2" t="n"/>
      <c r="B246" s="2" t="n"/>
      <c r="C246" s="2" t="n"/>
      <c r="D246" s="2" t="n"/>
      <c r="E246" s="2" t="n"/>
      <c r="F246" s="2" t="n"/>
      <c r="G246" s="2" t="n"/>
      <c r="H246" s="2" t="n"/>
      <c r="I246" s="2" t="n"/>
      <c r="J246" s="2" t="n"/>
      <c r="K246" s="2" t="n"/>
      <c r="L246" s="2" t="n"/>
      <c r="M246" s="2" t="n"/>
      <c r="N246" s="2" t="n"/>
      <c r="O246" s="2" t="n"/>
      <c r="P246" s="2" t="n"/>
      <c r="Q246" s="2">
        <f>IF(G246="","",TODAY()-G246)</f>
        <v/>
      </c>
    </row>
    <row r="247">
      <c r="A247" s="2" t="n"/>
      <c r="B247" s="2" t="n"/>
      <c r="C247" s="2" t="n"/>
      <c r="D247" s="2" t="n"/>
      <c r="E247" s="2" t="n"/>
      <c r="F247" s="2" t="n"/>
      <c r="G247" s="2" t="n"/>
      <c r="H247" s="2" t="n"/>
      <c r="I247" s="2" t="n"/>
      <c r="J247" s="2" t="n"/>
      <c r="K247" s="2" t="n"/>
      <c r="L247" s="2" t="n"/>
      <c r="M247" s="2" t="n"/>
      <c r="N247" s="2" t="n"/>
      <c r="O247" s="2" t="n"/>
      <c r="P247" s="2" t="n"/>
      <c r="Q247" s="2">
        <f>IF(G247="","",TODAY()-G247)</f>
        <v/>
      </c>
    </row>
    <row r="248">
      <c r="A248" s="2" t="n"/>
      <c r="B248" s="2" t="n"/>
      <c r="C248" s="2" t="n"/>
      <c r="D248" s="2" t="n"/>
      <c r="E248" s="2" t="n"/>
      <c r="F248" s="2" t="n"/>
      <c r="G248" s="2" t="n"/>
      <c r="H248" s="2" t="n"/>
      <c r="I248" s="2" t="n"/>
      <c r="J248" s="2" t="n"/>
      <c r="K248" s="2" t="n"/>
      <c r="L248" s="2" t="n"/>
      <c r="M248" s="2" t="n"/>
      <c r="N248" s="2" t="n"/>
      <c r="O248" s="2" t="n"/>
      <c r="P248" s="2" t="n"/>
      <c r="Q248" s="2">
        <f>IF(G248="","",TODAY()-G248)</f>
        <v/>
      </c>
    </row>
    <row r="249">
      <c r="A249" s="2" t="n"/>
      <c r="B249" s="2" t="n"/>
      <c r="C249" s="2" t="n"/>
      <c r="D249" s="2" t="n"/>
      <c r="E249" s="2" t="n"/>
      <c r="F249" s="2" t="n"/>
      <c r="G249" s="2" t="n"/>
      <c r="H249" s="2" t="n"/>
      <c r="I249" s="2" t="n"/>
      <c r="J249" s="2" t="n"/>
      <c r="K249" s="2" t="n"/>
      <c r="L249" s="2" t="n"/>
      <c r="M249" s="2" t="n"/>
      <c r="N249" s="2" t="n"/>
      <c r="O249" s="2" t="n"/>
      <c r="P249" s="2" t="n"/>
      <c r="Q249" s="2">
        <f>IF(G249="","",TODAY()-G249)</f>
        <v/>
      </c>
    </row>
    <row r="250">
      <c r="A250" s="2" t="n"/>
      <c r="B250" s="2" t="n"/>
      <c r="C250" s="2" t="n"/>
      <c r="D250" s="2" t="n"/>
      <c r="E250" s="2" t="n"/>
      <c r="F250" s="2" t="n"/>
      <c r="G250" s="2" t="n"/>
      <c r="H250" s="2" t="n"/>
      <c r="I250" s="2" t="n"/>
      <c r="J250" s="2" t="n"/>
      <c r="K250" s="2" t="n"/>
      <c r="L250" s="2" t="n"/>
      <c r="M250" s="2" t="n"/>
      <c r="N250" s="2" t="n"/>
      <c r="O250" s="2" t="n"/>
      <c r="P250" s="2" t="n"/>
      <c r="Q250" s="2">
        <f>IF(G250="","",TODAY()-G250)</f>
        <v/>
      </c>
    </row>
    <row r="251">
      <c r="A251" s="2" t="n"/>
      <c r="B251" s="2" t="n"/>
      <c r="C251" s="2" t="n"/>
      <c r="D251" s="2" t="n"/>
      <c r="E251" s="2" t="n"/>
      <c r="F251" s="2" t="n"/>
      <c r="G251" s="2" t="n"/>
      <c r="H251" s="2" t="n"/>
      <c r="I251" s="2" t="n"/>
      <c r="J251" s="2" t="n"/>
      <c r="K251" s="2" t="n"/>
      <c r="L251" s="2" t="n"/>
      <c r="M251" s="2" t="n"/>
      <c r="N251" s="2" t="n"/>
      <c r="O251" s="2" t="n"/>
      <c r="P251" s="2" t="n"/>
      <c r="Q251" s="2">
        <f>IF(G251="","",TODAY()-G251)</f>
        <v/>
      </c>
    </row>
    <row r="252">
      <c r="A252" s="2" t="n"/>
      <c r="B252" s="2" t="n"/>
      <c r="C252" s="2" t="n"/>
      <c r="D252" s="2" t="n"/>
      <c r="E252" s="2" t="n"/>
      <c r="F252" s="2" t="n"/>
      <c r="G252" s="2" t="n"/>
      <c r="H252" s="2" t="n"/>
      <c r="I252" s="2" t="n"/>
      <c r="J252" s="2" t="n"/>
      <c r="K252" s="2" t="n"/>
      <c r="L252" s="2" t="n"/>
      <c r="M252" s="2" t="n"/>
      <c r="N252" s="2" t="n"/>
      <c r="O252" s="2" t="n"/>
      <c r="P252" s="2" t="n"/>
      <c r="Q252" s="2">
        <f>IF(G252="","",TODAY()-G252)</f>
        <v/>
      </c>
    </row>
    <row r="253">
      <c r="A253" s="2" t="n"/>
      <c r="B253" s="2" t="n"/>
      <c r="C253" s="2" t="n"/>
      <c r="D253" s="2" t="n"/>
      <c r="E253" s="2" t="n"/>
      <c r="F253" s="2" t="n"/>
      <c r="G253" s="2" t="n"/>
      <c r="H253" s="2" t="n"/>
      <c r="I253" s="2" t="n"/>
      <c r="J253" s="2" t="n"/>
      <c r="K253" s="2" t="n"/>
      <c r="L253" s="2" t="n"/>
      <c r="M253" s="2" t="n"/>
      <c r="N253" s="2" t="n"/>
      <c r="O253" s="2" t="n"/>
      <c r="P253" s="2" t="n"/>
      <c r="Q253" s="2">
        <f>IF(G253="","",TODAY()-G253)</f>
        <v/>
      </c>
    </row>
    <row r="254">
      <c r="A254" s="2" t="n"/>
      <c r="B254" s="2" t="n"/>
      <c r="C254" s="2" t="n"/>
      <c r="D254" s="2" t="n"/>
      <c r="E254" s="2" t="n"/>
      <c r="F254" s="2" t="n"/>
      <c r="G254" s="2" t="n"/>
      <c r="H254" s="2" t="n"/>
      <c r="I254" s="2" t="n"/>
      <c r="J254" s="2" t="n"/>
      <c r="K254" s="2" t="n"/>
      <c r="L254" s="2" t="n"/>
      <c r="M254" s="2" t="n"/>
      <c r="N254" s="2" t="n"/>
      <c r="O254" s="2" t="n"/>
      <c r="P254" s="2" t="n"/>
      <c r="Q254" s="2">
        <f>IF(G254="","",TODAY()-G254)</f>
        <v/>
      </c>
    </row>
    <row r="255">
      <c r="A255" s="2" t="n"/>
      <c r="B255" s="2" t="n"/>
      <c r="C255" s="2" t="n"/>
      <c r="D255" s="2" t="n"/>
      <c r="E255" s="2" t="n"/>
      <c r="F255" s="2" t="n"/>
      <c r="G255" s="2" t="n"/>
      <c r="H255" s="2" t="n"/>
      <c r="I255" s="2" t="n"/>
      <c r="J255" s="2" t="n"/>
      <c r="K255" s="2" t="n"/>
      <c r="L255" s="2" t="n"/>
      <c r="M255" s="2" t="n"/>
      <c r="N255" s="2" t="n"/>
      <c r="O255" s="2" t="n"/>
      <c r="P255" s="2" t="n"/>
      <c r="Q255" s="2">
        <f>IF(G255="","",TODAY()-G255)</f>
        <v/>
      </c>
    </row>
    <row r="256">
      <c r="A256" s="2" t="n"/>
      <c r="B256" s="2" t="n"/>
      <c r="C256" s="2" t="n"/>
      <c r="D256" s="2" t="n"/>
      <c r="E256" s="2" t="n"/>
      <c r="F256" s="2" t="n"/>
      <c r="G256" s="2" t="n"/>
      <c r="H256" s="2" t="n"/>
      <c r="I256" s="2" t="n"/>
      <c r="J256" s="2" t="n"/>
      <c r="K256" s="2" t="n"/>
      <c r="L256" s="2" t="n"/>
      <c r="M256" s="2" t="n"/>
      <c r="N256" s="2" t="n"/>
      <c r="O256" s="2" t="n"/>
      <c r="P256" s="2" t="n"/>
      <c r="Q256" s="2">
        <f>IF(G256="","",TODAY()-G256)</f>
        <v/>
      </c>
    </row>
    <row r="257">
      <c r="A257" s="2" t="n"/>
      <c r="B257" s="2" t="n"/>
      <c r="C257" s="2" t="n"/>
      <c r="D257" s="2" t="n"/>
      <c r="E257" s="2" t="n"/>
      <c r="F257" s="2" t="n"/>
      <c r="G257" s="2" t="n"/>
      <c r="H257" s="2" t="n"/>
      <c r="I257" s="2" t="n"/>
      <c r="J257" s="2" t="n"/>
      <c r="K257" s="2" t="n"/>
      <c r="L257" s="2" t="n"/>
      <c r="M257" s="2" t="n"/>
      <c r="N257" s="2" t="n"/>
      <c r="O257" s="2" t="n"/>
      <c r="P257" s="2" t="n"/>
      <c r="Q257" s="2">
        <f>IF(G257="","",TODAY()-G257)</f>
        <v/>
      </c>
    </row>
    <row r="258">
      <c r="A258" s="2" t="n"/>
      <c r="B258" s="2" t="n"/>
      <c r="C258" s="2" t="n"/>
      <c r="D258" s="2" t="n"/>
      <c r="E258" s="2" t="n"/>
      <c r="F258" s="2" t="n"/>
      <c r="G258" s="2" t="n"/>
      <c r="H258" s="2" t="n"/>
      <c r="I258" s="2" t="n"/>
      <c r="J258" s="2" t="n"/>
      <c r="K258" s="2" t="n"/>
      <c r="L258" s="2" t="n"/>
      <c r="M258" s="2" t="n"/>
      <c r="N258" s="2" t="n"/>
      <c r="O258" s="2" t="n"/>
      <c r="P258" s="2" t="n"/>
      <c r="Q258" s="2">
        <f>IF(G258="","",TODAY()-G258)</f>
        <v/>
      </c>
    </row>
    <row r="259">
      <c r="A259" s="2" t="n"/>
      <c r="B259" s="2" t="n"/>
      <c r="C259" s="2" t="n"/>
      <c r="D259" s="2" t="n"/>
      <c r="E259" s="2" t="n"/>
      <c r="F259" s="2" t="n"/>
      <c r="G259" s="2" t="n"/>
      <c r="H259" s="2" t="n"/>
      <c r="I259" s="2" t="n"/>
      <c r="J259" s="2" t="n"/>
      <c r="K259" s="2" t="n"/>
      <c r="L259" s="2" t="n"/>
      <c r="M259" s="2" t="n"/>
      <c r="N259" s="2" t="n"/>
      <c r="O259" s="2" t="n"/>
      <c r="P259" s="2" t="n"/>
      <c r="Q259" s="2">
        <f>IF(G259="","",TODAY()-G259)</f>
        <v/>
      </c>
    </row>
    <row r="260">
      <c r="A260" s="2" t="n"/>
      <c r="B260" s="2" t="n"/>
      <c r="C260" s="2" t="n"/>
      <c r="D260" s="2" t="n"/>
      <c r="E260" s="2" t="n"/>
      <c r="F260" s="2" t="n"/>
      <c r="G260" s="2" t="n"/>
      <c r="H260" s="2" t="n"/>
      <c r="I260" s="2" t="n"/>
      <c r="J260" s="2" t="n"/>
      <c r="K260" s="2" t="n"/>
      <c r="L260" s="2" t="n"/>
      <c r="M260" s="2" t="n"/>
      <c r="N260" s="2" t="n"/>
      <c r="O260" s="2" t="n"/>
      <c r="P260" s="2" t="n"/>
      <c r="Q260" s="2">
        <f>IF(G260="","",TODAY()-G260)</f>
        <v/>
      </c>
    </row>
    <row r="261">
      <c r="A261" s="2" t="n"/>
      <c r="B261" s="2" t="n"/>
      <c r="C261" s="2" t="n"/>
      <c r="D261" s="2" t="n"/>
      <c r="E261" s="2" t="n"/>
      <c r="F261" s="2" t="n"/>
      <c r="G261" s="2" t="n"/>
      <c r="H261" s="2" t="n"/>
      <c r="I261" s="2" t="n"/>
      <c r="J261" s="2" t="n"/>
      <c r="K261" s="2" t="n"/>
      <c r="L261" s="2" t="n"/>
      <c r="M261" s="2" t="n"/>
      <c r="N261" s="2" t="n"/>
      <c r="O261" s="2" t="n"/>
      <c r="P261" s="2" t="n"/>
      <c r="Q261" s="2">
        <f>IF(G261="","",TODAY()-G261)</f>
        <v/>
      </c>
    </row>
    <row r="262">
      <c r="A262" s="2" t="n"/>
      <c r="B262" s="2" t="n"/>
      <c r="C262" s="2" t="n"/>
      <c r="D262" s="2" t="n"/>
      <c r="E262" s="2" t="n"/>
      <c r="F262" s="2" t="n"/>
      <c r="G262" s="2" t="n"/>
      <c r="H262" s="2" t="n"/>
      <c r="I262" s="2" t="n"/>
      <c r="J262" s="2" t="n"/>
      <c r="K262" s="2" t="n"/>
      <c r="L262" s="2" t="n"/>
      <c r="M262" s="2" t="n"/>
      <c r="N262" s="2" t="n"/>
      <c r="O262" s="2" t="n"/>
      <c r="P262" s="2" t="n"/>
      <c r="Q262" s="2">
        <f>IF(G262="","",TODAY()-G262)</f>
        <v/>
      </c>
    </row>
    <row r="263">
      <c r="A263" s="2" t="n"/>
      <c r="B263" s="2" t="n"/>
      <c r="C263" s="2" t="n"/>
      <c r="D263" s="2" t="n"/>
      <c r="E263" s="2" t="n"/>
      <c r="F263" s="2" t="n"/>
      <c r="G263" s="2" t="n"/>
      <c r="H263" s="2" t="n"/>
      <c r="I263" s="2" t="n"/>
      <c r="J263" s="2" t="n"/>
      <c r="K263" s="2" t="n"/>
      <c r="L263" s="2" t="n"/>
      <c r="M263" s="2" t="n"/>
      <c r="N263" s="2" t="n"/>
      <c r="O263" s="2" t="n"/>
      <c r="P263" s="2" t="n"/>
      <c r="Q263" s="2">
        <f>IF(G263="","",TODAY()-G263)</f>
        <v/>
      </c>
    </row>
    <row r="264">
      <c r="A264" s="2" t="n"/>
      <c r="B264" s="2" t="n"/>
      <c r="C264" s="2" t="n"/>
      <c r="D264" s="2" t="n"/>
      <c r="E264" s="2" t="n"/>
      <c r="F264" s="2" t="n"/>
      <c r="G264" s="2" t="n"/>
      <c r="H264" s="2" t="n"/>
      <c r="I264" s="2" t="n"/>
      <c r="J264" s="2" t="n"/>
      <c r="K264" s="2" t="n"/>
      <c r="L264" s="2" t="n"/>
      <c r="M264" s="2" t="n"/>
      <c r="N264" s="2" t="n"/>
      <c r="O264" s="2" t="n"/>
      <c r="P264" s="2" t="n"/>
      <c r="Q264" s="2">
        <f>IF(G264="","",TODAY()-G264)</f>
        <v/>
      </c>
    </row>
    <row r="265">
      <c r="A265" s="2" t="n"/>
      <c r="B265" s="2" t="n"/>
      <c r="C265" s="2" t="n"/>
      <c r="D265" s="2" t="n"/>
      <c r="E265" s="2" t="n"/>
      <c r="F265" s="2" t="n"/>
      <c r="G265" s="2" t="n"/>
      <c r="H265" s="2" t="n"/>
      <c r="I265" s="2" t="n"/>
      <c r="J265" s="2" t="n"/>
      <c r="K265" s="2" t="n"/>
      <c r="L265" s="2" t="n"/>
      <c r="M265" s="2" t="n"/>
      <c r="N265" s="2" t="n"/>
      <c r="O265" s="2" t="n"/>
      <c r="P265" s="2" t="n"/>
      <c r="Q265" s="2">
        <f>IF(G265="","",TODAY()-G265)</f>
        <v/>
      </c>
    </row>
    <row r="266">
      <c r="A266" s="2" t="n"/>
      <c r="B266" s="2" t="n"/>
      <c r="C266" s="2" t="n"/>
      <c r="D266" s="2" t="n"/>
      <c r="E266" s="2" t="n"/>
      <c r="F266" s="2" t="n"/>
      <c r="G266" s="2" t="n"/>
      <c r="H266" s="2" t="n"/>
      <c r="I266" s="2" t="n"/>
      <c r="J266" s="2" t="n"/>
      <c r="K266" s="2" t="n"/>
      <c r="L266" s="2" t="n"/>
      <c r="M266" s="2" t="n"/>
      <c r="N266" s="2" t="n"/>
      <c r="O266" s="2" t="n"/>
      <c r="P266" s="2" t="n"/>
      <c r="Q266" s="2">
        <f>IF(G266="","",TODAY()-G266)</f>
        <v/>
      </c>
    </row>
    <row r="267">
      <c r="A267" s="2" t="n"/>
      <c r="B267" s="2" t="n"/>
      <c r="C267" s="2" t="n"/>
      <c r="D267" s="2" t="n"/>
      <c r="E267" s="2" t="n"/>
      <c r="F267" s="2" t="n"/>
      <c r="G267" s="2" t="n"/>
      <c r="H267" s="2" t="n"/>
      <c r="I267" s="2" t="n"/>
      <c r="J267" s="2" t="n"/>
      <c r="K267" s="2" t="n"/>
      <c r="L267" s="2" t="n"/>
      <c r="M267" s="2" t="n"/>
      <c r="N267" s="2" t="n"/>
      <c r="O267" s="2" t="n"/>
      <c r="P267" s="2" t="n"/>
      <c r="Q267" s="2">
        <f>IF(G267="","",TODAY()-G267)</f>
        <v/>
      </c>
    </row>
    <row r="268">
      <c r="A268" s="2" t="n"/>
      <c r="B268" s="2" t="n"/>
      <c r="C268" s="2" t="n"/>
      <c r="D268" s="2" t="n"/>
      <c r="E268" s="2" t="n"/>
      <c r="F268" s="2" t="n"/>
      <c r="G268" s="2" t="n"/>
      <c r="H268" s="2" t="n"/>
      <c r="I268" s="2" t="n"/>
      <c r="J268" s="2" t="n"/>
      <c r="K268" s="2" t="n"/>
      <c r="L268" s="2" t="n"/>
      <c r="M268" s="2" t="n"/>
      <c r="N268" s="2" t="n"/>
      <c r="O268" s="2" t="n"/>
      <c r="P268" s="2" t="n"/>
      <c r="Q268" s="2">
        <f>IF(G268="","",TODAY()-G268)</f>
        <v/>
      </c>
    </row>
    <row r="269">
      <c r="A269" s="2" t="n"/>
      <c r="B269" s="2" t="n"/>
      <c r="C269" s="2" t="n"/>
      <c r="D269" s="2" t="n"/>
      <c r="E269" s="2" t="n"/>
      <c r="F269" s="2" t="n"/>
      <c r="G269" s="2" t="n"/>
      <c r="H269" s="2" t="n"/>
      <c r="I269" s="2" t="n"/>
      <c r="J269" s="2" t="n"/>
      <c r="K269" s="2" t="n"/>
      <c r="L269" s="2" t="n"/>
      <c r="M269" s="2" t="n"/>
      <c r="N269" s="2" t="n"/>
      <c r="O269" s="2" t="n"/>
      <c r="P269" s="2" t="n"/>
      <c r="Q269" s="2">
        <f>IF(G269="","",TODAY()-G269)</f>
        <v/>
      </c>
    </row>
    <row r="270">
      <c r="A270" s="2" t="n"/>
      <c r="B270" s="2" t="n"/>
      <c r="C270" s="2" t="n"/>
      <c r="D270" s="2" t="n"/>
      <c r="E270" s="2" t="n"/>
      <c r="F270" s="2" t="n"/>
      <c r="G270" s="2" t="n"/>
      <c r="H270" s="2" t="n"/>
      <c r="I270" s="2" t="n"/>
      <c r="J270" s="2" t="n"/>
      <c r="K270" s="2" t="n"/>
      <c r="L270" s="2" t="n"/>
      <c r="M270" s="2" t="n"/>
      <c r="N270" s="2" t="n"/>
      <c r="O270" s="2" t="n"/>
      <c r="P270" s="2" t="n"/>
      <c r="Q270" s="2">
        <f>IF(G270="","",TODAY()-G270)</f>
        <v/>
      </c>
    </row>
    <row r="271">
      <c r="A271" s="2" t="n"/>
      <c r="B271" s="2" t="n"/>
      <c r="C271" s="2" t="n"/>
      <c r="D271" s="2" t="n"/>
      <c r="E271" s="2" t="n"/>
      <c r="F271" s="2" t="n"/>
      <c r="G271" s="2" t="n"/>
      <c r="H271" s="2" t="n"/>
      <c r="I271" s="2" t="n"/>
      <c r="J271" s="2" t="n"/>
      <c r="K271" s="2" t="n"/>
      <c r="L271" s="2" t="n"/>
      <c r="M271" s="2" t="n"/>
      <c r="N271" s="2" t="n"/>
      <c r="O271" s="2" t="n"/>
      <c r="P271" s="2" t="n"/>
      <c r="Q271" s="2">
        <f>IF(G271="","",TODAY()-G271)</f>
        <v/>
      </c>
    </row>
    <row r="272">
      <c r="A272" s="2" t="n"/>
      <c r="B272" s="2" t="n"/>
      <c r="C272" s="2" t="n"/>
      <c r="D272" s="2" t="n"/>
      <c r="E272" s="2" t="n"/>
      <c r="F272" s="2" t="n"/>
      <c r="G272" s="2" t="n"/>
      <c r="H272" s="2" t="n"/>
      <c r="I272" s="2" t="n"/>
      <c r="J272" s="2" t="n"/>
      <c r="K272" s="2" t="n"/>
      <c r="L272" s="2" t="n"/>
      <c r="M272" s="2" t="n"/>
      <c r="N272" s="2" t="n"/>
      <c r="O272" s="2" t="n"/>
      <c r="P272" s="2" t="n"/>
      <c r="Q272" s="2">
        <f>IF(G272="","",TODAY()-G272)</f>
        <v/>
      </c>
    </row>
    <row r="273">
      <c r="A273" s="2" t="n"/>
      <c r="B273" s="2" t="n"/>
      <c r="C273" s="2" t="n"/>
      <c r="D273" s="2" t="n"/>
      <c r="E273" s="2" t="n"/>
      <c r="F273" s="2" t="n"/>
      <c r="G273" s="2" t="n"/>
      <c r="H273" s="2" t="n"/>
      <c r="I273" s="2" t="n"/>
      <c r="J273" s="2" t="n"/>
      <c r="K273" s="2" t="n"/>
      <c r="L273" s="2" t="n"/>
      <c r="M273" s="2" t="n"/>
      <c r="N273" s="2" t="n"/>
      <c r="O273" s="2" t="n"/>
      <c r="P273" s="2" t="n"/>
      <c r="Q273" s="2">
        <f>IF(G273="","",TODAY()-G273)</f>
        <v/>
      </c>
    </row>
    <row r="274">
      <c r="A274" s="2" t="n"/>
      <c r="B274" s="2" t="n"/>
      <c r="C274" s="2" t="n"/>
      <c r="D274" s="2" t="n"/>
      <c r="E274" s="2" t="n"/>
      <c r="F274" s="2" t="n"/>
      <c r="G274" s="2" t="n"/>
      <c r="H274" s="2" t="n"/>
      <c r="I274" s="2" t="n"/>
      <c r="J274" s="2" t="n"/>
      <c r="K274" s="2" t="n"/>
      <c r="L274" s="2" t="n"/>
      <c r="M274" s="2" t="n"/>
      <c r="N274" s="2" t="n"/>
      <c r="O274" s="2" t="n"/>
      <c r="P274" s="2" t="n"/>
      <c r="Q274" s="2">
        <f>IF(G274="","",TODAY()-G274)</f>
        <v/>
      </c>
    </row>
    <row r="275">
      <c r="A275" s="2" t="n"/>
      <c r="B275" s="2" t="n"/>
      <c r="C275" s="2" t="n"/>
      <c r="D275" s="2" t="n"/>
      <c r="E275" s="2" t="n"/>
      <c r="F275" s="2" t="n"/>
      <c r="G275" s="2" t="n"/>
      <c r="H275" s="2" t="n"/>
      <c r="I275" s="2" t="n"/>
      <c r="J275" s="2" t="n"/>
      <c r="K275" s="2" t="n"/>
      <c r="L275" s="2" t="n"/>
      <c r="M275" s="2" t="n"/>
      <c r="N275" s="2" t="n"/>
      <c r="O275" s="2" t="n"/>
      <c r="P275" s="2" t="n"/>
      <c r="Q275" s="2">
        <f>IF(G275="","",TODAY()-G275)</f>
        <v/>
      </c>
    </row>
    <row r="276">
      <c r="A276" s="2" t="n"/>
      <c r="B276" s="2" t="n"/>
      <c r="C276" s="2" t="n"/>
      <c r="D276" s="2" t="n"/>
      <c r="E276" s="2" t="n"/>
      <c r="F276" s="2" t="n"/>
      <c r="G276" s="2" t="n"/>
      <c r="H276" s="2" t="n"/>
      <c r="I276" s="2" t="n"/>
      <c r="J276" s="2" t="n"/>
      <c r="K276" s="2" t="n"/>
      <c r="L276" s="2" t="n"/>
      <c r="M276" s="2" t="n"/>
      <c r="N276" s="2" t="n"/>
      <c r="O276" s="2" t="n"/>
      <c r="P276" s="2" t="n"/>
      <c r="Q276" s="2">
        <f>IF(G276="","",TODAY()-G276)</f>
        <v/>
      </c>
    </row>
    <row r="277">
      <c r="A277" s="2" t="n"/>
      <c r="B277" s="2" t="n"/>
      <c r="C277" s="2" t="n"/>
      <c r="D277" s="2" t="n"/>
      <c r="E277" s="2" t="n"/>
      <c r="F277" s="2" t="n"/>
      <c r="G277" s="2" t="n"/>
      <c r="H277" s="2" t="n"/>
      <c r="I277" s="2" t="n"/>
      <c r="J277" s="2" t="n"/>
      <c r="K277" s="2" t="n"/>
      <c r="L277" s="2" t="n"/>
      <c r="M277" s="2" t="n"/>
      <c r="N277" s="2" t="n"/>
      <c r="O277" s="2" t="n"/>
      <c r="P277" s="2" t="n"/>
      <c r="Q277" s="2">
        <f>IF(G277="","",TODAY()-G277)</f>
        <v/>
      </c>
    </row>
    <row r="278">
      <c r="A278" s="2" t="n"/>
      <c r="B278" s="2" t="n"/>
      <c r="C278" s="2" t="n"/>
      <c r="D278" s="2" t="n"/>
      <c r="E278" s="2" t="n"/>
      <c r="F278" s="2" t="n"/>
      <c r="G278" s="2" t="n"/>
      <c r="H278" s="2" t="n"/>
      <c r="I278" s="2" t="n"/>
      <c r="J278" s="2" t="n"/>
      <c r="K278" s="2" t="n"/>
      <c r="L278" s="2" t="n"/>
      <c r="M278" s="2" t="n"/>
      <c r="N278" s="2" t="n"/>
      <c r="O278" s="2" t="n"/>
      <c r="P278" s="2" t="n"/>
      <c r="Q278" s="2">
        <f>IF(G278="","",TODAY()-G278)</f>
        <v/>
      </c>
    </row>
    <row r="279">
      <c r="A279" s="2" t="n"/>
      <c r="B279" s="2" t="n"/>
      <c r="C279" s="2" t="n"/>
      <c r="D279" s="2" t="n"/>
      <c r="E279" s="2" t="n"/>
      <c r="F279" s="2" t="n"/>
      <c r="G279" s="2" t="n"/>
      <c r="H279" s="2" t="n"/>
      <c r="I279" s="2" t="n"/>
      <c r="J279" s="2" t="n"/>
      <c r="K279" s="2" t="n"/>
      <c r="L279" s="2" t="n"/>
      <c r="M279" s="2" t="n"/>
      <c r="N279" s="2" t="n"/>
      <c r="O279" s="2" t="n"/>
      <c r="P279" s="2" t="n"/>
      <c r="Q279" s="2">
        <f>IF(G279="","",TODAY()-G279)</f>
        <v/>
      </c>
    </row>
    <row r="280">
      <c r="A280" s="2" t="n"/>
      <c r="B280" s="2" t="n"/>
      <c r="C280" s="2" t="n"/>
      <c r="D280" s="2" t="n"/>
      <c r="E280" s="2" t="n"/>
      <c r="F280" s="2" t="n"/>
      <c r="G280" s="2" t="n"/>
      <c r="H280" s="2" t="n"/>
      <c r="I280" s="2" t="n"/>
      <c r="J280" s="2" t="n"/>
      <c r="K280" s="2" t="n"/>
      <c r="L280" s="2" t="n"/>
      <c r="M280" s="2" t="n"/>
      <c r="N280" s="2" t="n"/>
      <c r="O280" s="2" t="n"/>
      <c r="P280" s="2" t="n"/>
      <c r="Q280" s="2">
        <f>IF(G280="","",TODAY()-G280)</f>
        <v/>
      </c>
    </row>
    <row r="281">
      <c r="A281" s="2" t="n"/>
      <c r="B281" s="2" t="n"/>
      <c r="C281" s="2" t="n"/>
      <c r="D281" s="2" t="n"/>
      <c r="E281" s="2" t="n"/>
      <c r="F281" s="2" t="n"/>
      <c r="G281" s="2" t="n"/>
      <c r="H281" s="2" t="n"/>
      <c r="I281" s="2" t="n"/>
      <c r="J281" s="2" t="n"/>
      <c r="K281" s="2" t="n"/>
      <c r="L281" s="2" t="n"/>
      <c r="M281" s="2" t="n"/>
      <c r="N281" s="2" t="n"/>
      <c r="O281" s="2" t="n"/>
      <c r="P281" s="2" t="n"/>
      <c r="Q281" s="2">
        <f>IF(G281="","",TODAY()-G281)</f>
        <v/>
      </c>
    </row>
    <row r="282">
      <c r="A282" s="2" t="n"/>
      <c r="B282" s="2" t="n"/>
      <c r="C282" s="2" t="n"/>
      <c r="D282" s="2" t="n"/>
      <c r="E282" s="2" t="n"/>
      <c r="F282" s="2" t="n"/>
      <c r="G282" s="2" t="n"/>
      <c r="H282" s="2" t="n"/>
      <c r="I282" s="2" t="n"/>
      <c r="J282" s="2" t="n"/>
      <c r="K282" s="2" t="n"/>
      <c r="L282" s="2" t="n"/>
      <c r="M282" s="2" t="n"/>
      <c r="N282" s="2" t="n"/>
      <c r="O282" s="2" t="n"/>
      <c r="P282" s="2" t="n"/>
      <c r="Q282" s="2">
        <f>IF(G282="","",TODAY()-G282)</f>
        <v/>
      </c>
    </row>
    <row r="283">
      <c r="A283" s="2" t="n"/>
      <c r="B283" s="2" t="n"/>
      <c r="C283" s="2" t="n"/>
      <c r="D283" s="2" t="n"/>
      <c r="E283" s="2" t="n"/>
      <c r="F283" s="2" t="n"/>
      <c r="G283" s="2" t="n"/>
      <c r="H283" s="2" t="n"/>
      <c r="I283" s="2" t="n"/>
      <c r="J283" s="2" t="n"/>
      <c r="K283" s="2" t="n"/>
      <c r="L283" s="2" t="n"/>
      <c r="M283" s="2" t="n"/>
      <c r="N283" s="2" t="n"/>
      <c r="O283" s="2" t="n"/>
      <c r="P283" s="2" t="n"/>
      <c r="Q283" s="2">
        <f>IF(G283="","",TODAY()-G283)</f>
        <v/>
      </c>
    </row>
    <row r="284">
      <c r="A284" s="2" t="n"/>
      <c r="B284" s="2" t="n"/>
      <c r="C284" s="2" t="n"/>
      <c r="D284" s="2" t="n"/>
      <c r="E284" s="2" t="n"/>
      <c r="F284" s="2" t="n"/>
      <c r="G284" s="2" t="n"/>
      <c r="H284" s="2" t="n"/>
      <c r="I284" s="2" t="n"/>
      <c r="J284" s="2" t="n"/>
      <c r="K284" s="2" t="n"/>
      <c r="L284" s="2" t="n"/>
      <c r="M284" s="2" t="n"/>
      <c r="N284" s="2" t="n"/>
      <c r="O284" s="2" t="n"/>
      <c r="P284" s="2" t="n"/>
      <c r="Q284" s="2">
        <f>IF(G284="","",TODAY()-G284)</f>
        <v/>
      </c>
    </row>
    <row r="285">
      <c r="A285" s="2" t="n"/>
      <c r="B285" s="2" t="n"/>
      <c r="C285" s="2" t="n"/>
      <c r="D285" s="2" t="n"/>
      <c r="E285" s="2" t="n"/>
      <c r="F285" s="2" t="n"/>
      <c r="G285" s="2" t="n"/>
      <c r="H285" s="2" t="n"/>
      <c r="I285" s="2" t="n"/>
      <c r="J285" s="2" t="n"/>
      <c r="K285" s="2" t="n"/>
      <c r="L285" s="2" t="n"/>
      <c r="M285" s="2" t="n"/>
      <c r="N285" s="2" t="n"/>
      <c r="O285" s="2" t="n"/>
      <c r="P285" s="2" t="n"/>
      <c r="Q285" s="2">
        <f>IF(G285="","",TODAY()-G285)</f>
        <v/>
      </c>
    </row>
    <row r="286">
      <c r="A286" s="2" t="n"/>
      <c r="B286" s="2" t="n"/>
      <c r="C286" s="2" t="n"/>
      <c r="D286" s="2" t="n"/>
      <c r="E286" s="2" t="n"/>
      <c r="F286" s="2" t="n"/>
      <c r="G286" s="2" t="n"/>
      <c r="H286" s="2" t="n"/>
      <c r="I286" s="2" t="n"/>
      <c r="J286" s="2" t="n"/>
      <c r="K286" s="2" t="n"/>
      <c r="L286" s="2" t="n"/>
      <c r="M286" s="2" t="n"/>
      <c r="N286" s="2" t="n"/>
      <c r="O286" s="2" t="n"/>
      <c r="P286" s="2" t="n"/>
      <c r="Q286" s="2">
        <f>IF(G286="","",TODAY()-G286)</f>
        <v/>
      </c>
    </row>
    <row r="287">
      <c r="A287" s="2" t="n"/>
      <c r="B287" s="2" t="n"/>
      <c r="C287" s="2" t="n"/>
      <c r="D287" s="2" t="n"/>
      <c r="E287" s="2" t="n"/>
      <c r="F287" s="2" t="n"/>
      <c r="G287" s="2" t="n"/>
      <c r="H287" s="2" t="n"/>
      <c r="I287" s="2" t="n"/>
      <c r="J287" s="2" t="n"/>
      <c r="K287" s="2" t="n"/>
      <c r="L287" s="2" t="n"/>
      <c r="M287" s="2" t="n"/>
      <c r="N287" s="2" t="n"/>
      <c r="O287" s="2" t="n"/>
      <c r="P287" s="2" t="n"/>
      <c r="Q287" s="2">
        <f>IF(G287="","",TODAY()-G287)</f>
        <v/>
      </c>
    </row>
    <row r="288">
      <c r="A288" s="2" t="n"/>
      <c r="B288" s="2" t="n"/>
      <c r="C288" s="2" t="n"/>
      <c r="D288" s="2" t="n"/>
      <c r="E288" s="2" t="n"/>
      <c r="F288" s="2" t="n"/>
      <c r="G288" s="2" t="n"/>
      <c r="H288" s="2" t="n"/>
      <c r="I288" s="2" t="n"/>
      <c r="J288" s="2" t="n"/>
      <c r="K288" s="2" t="n"/>
      <c r="L288" s="2" t="n"/>
      <c r="M288" s="2" t="n"/>
      <c r="N288" s="2" t="n"/>
      <c r="O288" s="2" t="n"/>
      <c r="P288" s="2" t="n"/>
      <c r="Q288" s="2">
        <f>IF(G288="","",TODAY()-G288)</f>
        <v/>
      </c>
    </row>
    <row r="289">
      <c r="A289" s="2" t="n"/>
      <c r="B289" s="2" t="n"/>
      <c r="C289" s="2" t="n"/>
      <c r="D289" s="2" t="n"/>
      <c r="E289" s="2" t="n"/>
      <c r="F289" s="2" t="n"/>
      <c r="G289" s="2" t="n"/>
      <c r="H289" s="2" t="n"/>
      <c r="I289" s="2" t="n"/>
      <c r="J289" s="2" t="n"/>
      <c r="K289" s="2" t="n"/>
      <c r="L289" s="2" t="n"/>
      <c r="M289" s="2" t="n"/>
      <c r="N289" s="2" t="n"/>
      <c r="O289" s="2" t="n"/>
      <c r="P289" s="2" t="n"/>
      <c r="Q289" s="2">
        <f>IF(G289="","",TODAY()-G289)</f>
        <v/>
      </c>
    </row>
    <row r="290">
      <c r="A290" s="2" t="n"/>
      <c r="B290" s="2" t="n"/>
      <c r="C290" s="2" t="n"/>
      <c r="D290" s="2" t="n"/>
      <c r="E290" s="2" t="n"/>
      <c r="F290" s="2" t="n"/>
      <c r="G290" s="2" t="n"/>
      <c r="H290" s="2" t="n"/>
      <c r="I290" s="2" t="n"/>
      <c r="J290" s="2" t="n"/>
      <c r="K290" s="2" t="n"/>
      <c r="L290" s="2" t="n"/>
      <c r="M290" s="2" t="n"/>
      <c r="N290" s="2" t="n"/>
      <c r="O290" s="2" t="n"/>
      <c r="P290" s="2" t="n"/>
      <c r="Q290" s="2">
        <f>IF(G290="","",TODAY()-G290)</f>
        <v/>
      </c>
    </row>
    <row r="291">
      <c r="A291" s="2" t="n"/>
      <c r="B291" s="2" t="n"/>
      <c r="C291" s="2" t="n"/>
      <c r="D291" s="2" t="n"/>
      <c r="E291" s="2" t="n"/>
      <c r="F291" s="2" t="n"/>
      <c r="G291" s="2" t="n"/>
      <c r="H291" s="2" t="n"/>
      <c r="I291" s="2" t="n"/>
      <c r="J291" s="2" t="n"/>
      <c r="K291" s="2" t="n"/>
      <c r="L291" s="2" t="n"/>
      <c r="M291" s="2" t="n"/>
      <c r="N291" s="2" t="n"/>
      <c r="O291" s="2" t="n"/>
      <c r="P291" s="2" t="n"/>
      <c r="Q291" s="2">
        <f>IF(G291="","",TODAY()-G291)</f>
        <v/>
      </c>
    </row>
    <row r="292">
      <c r="A292" s="2" t="n"/>
      <c r="B292" s="2" t="n"/>
      <c r="C292" s="2" t="n"/>
      <c r="D292" s="2" t="n"/>
      <c r="E292" s="2" t="n"/>
      <c r="F292" s="2" t="n"/>
      <c r="G292" s="2" t="n"/>
      <c r="H292" s="2" t="n"/>
      <c r="I292" s="2" t="n"/>
      <c r="J292" s="2" t="n"/>
      <c r="K292" s="2" t="n"/>
      <c r="L292" s="2" t="n"/>
      <c r="M292" s="2" t="n"/>
      <c r="N292" s="2" t="n"/>
      <c r="O292" s="2" t="n"/>
      <c r="P292" s="2" t="n"/>
      <c r="Q292" s="2">
        <f>IF(G292="","",TODAY()-G292)</f>
        <v/>
      </c>
    </row>
    <row r="293">
      <c r="A293" s="2" t="n"/>
      <c r="B293" s="2" t="n"/>
      <c r="C293" s="2" t="n"/>
      <c r="D293" s="2" t="n"/>
      <c r="E293" s="2" t="n"/>
      <c r="F293" s="2" t="n"/>
      <c r="G293" s="2" t="n"/>
      <c r="H293" s="2" t="n"/>
      <c r="I293" s="2" t="n"/>
      <c r="J293" s="2" t="n"/>
      <c r="K293" s="2" t="n"/>
      <c r="L293" s="2" t="n"/>
      <c r="M293" s="2" t="n"/>
      <c r="N293" s="2" t="n"/>
      <c r="O293" s="2" t="n"/>
      <c r="P293" s="2" t="n"/>
      <c r="Q293" s="2">
        <f>IF(G293="","",TODAY()-G293)</f>
        <v/>
      </c>
    </row>
    <row r="294">
      <c r="A294" s="2" t="n"/>
      <c r="B294" s="2" t="n"/>
      <c r="C294" s="2" t="n"/>
      <c r="D294" s="2" t="n"/>
      <c r="E294" s="2" t="n"/>
      <c r="F294" s="2" t="n"/>
      <c r="G294" s="2" t="n"/>
      <c r="H294" s="2" t="n"/>
      <c r="I294" s="2" t="n"/>
      <c r="J294" s="2" t="n"/>
      <c r="K294" s="2" t="n"/>
      <c r="L294" s="2" t="n"/>
      <c r="M294" s="2" t="n"/>
      <c r="N294" s="2" t="n"/>
      <c r="O294" s="2" t="n"/>
      <c r="P294" s="2" t="n"/>
      <c r="Q294" s="2">
        <f>IF(G294="","",TODAY()-G294)</f>
        <v/>
      </c>
    </row>
    <row r="295">
      <c r="A295" s="2" t="n"/>
      <c r="B295" s="2" t="n"/>
      <c r="C295" s="2" t="n"/>
      <c r="D295" s="2" t="n"/>
      <c r="E295" s="2" t="n"/>
      <c r="F295" s="2" t="n"/>
      <c r="G295" s="2" t="n"/>
      <c r="H295" s="2" t="n"/>
      <c r="I295" s="2" t="n"/>
      <c r="J295" s="2" t="n"/>
      <c r="K295" s="2" t="n"/>
      <c r="L295" s="2" t="n"/>
      <c r="M295" s="2" t="n"/>
      <c r="N295" s="2" t="n"/>
      <c r="O295" s="2" t="n"/>
      <c r="P295" s="2" t="n"/>
      <c r="Q295" s="2">
        <f>IF(G295="","",TODAY()-G295)</f>
        <v/>
      </c>
    </row>
    <row r="296">
      <c r="A296" s="2" t="n"/>
      <c r="B296" s="2" t="n"/>
      <c r="C296" s="2" t="n"/>
      <c r="D296" s="2" t="n"/>
      <c r="E296" s="2" t="n"/>
      <c r="F296" s="2" t="n"/>
      <c r="G296" s="2" t="n"/>
      <c r="H296" s="2" t="n"/>
      <c r="I296" s="2" t="n"/>
      <c r="J296" s="2" t="n"/>
      <c r="K296" s="2" t="n"/>
      <c r="L296" s="2" t="n"/>
      <c r="M296" s="2" t="n"/>
      <c r="N296" s="2" t="n"/>
      <c r="O296" s="2" t="n"/>
      <c r="P296" s="2" t="n"/>
      <c r="Q296" s="2">
        <f>IF(G296="","",TODAY()-G296)</f>
        <v/>
      </c>
    </row>
    <row r="297">
      <c r="A297" s="2" t="n"/>
      <c r="B297" s="2" t="n"/>
      <c r="C297" s="2" t="n"/>
      <c r="D297" s="2" t="n"/>
      <c r="E297" s="2" t="n"/>
      <c r="F297" s="2" t="n"/>
      <c r="G297" s="2" t="n"/>
      <c r="H297" s="2" t="n"/>
      <c r="I297" s="2" t="n"/>
      <c r="J297" s="2" t="n"/>
      <c r="K297" s="2" t="n"/>
      <c r="L297" s="2" t="n"/>
      <c r="M297" s="2" t="n"/>
      <c r="N297" s="2" t="n"/>
      <c r="O297" s="2" t="n"/>
      <c r="P297" s="2" t="n"/>
      <c r="Q297" s="2">
        <f>IF(G297="","",TODAY()-G297)</f>
        <v/>
      </c>
    </row>
    <row r="298">
      <c r="A298" s="2" t="n"/>
      <c r="B298" s="2" t="n"/>
      <c r="C298" s="2" t="n"/>
      <c r="D298" s="2" t="n"/>
      <c r="E298" s="2" t="n"/>
      <c r="F298" s="2" t="n"/>
      <c r="G298" s="2" t="n"/>
      <c r="H298" s="2" t="n"/>
      <c r="I298" s="2" t="n"/>
      <c r="J298" s="2" t="n"/>
      <c r="K298" s="2" t="n"/>
      <c r="L298" s="2" t="n"/>
      <c r="M298" s="2" t="n"/>
      <c r="N298" s="2" t="n"/>
      <c r="O298" s="2" t="n"/>
      <c r="P298" s="2" t="n"/>
      <c r="Q298" s="2">
        <f>IF(G298="","",TODAY()-G298)</f>
        <v/>
      </c>
    </row>
    <row r="299">
      <c r="A299" s="2" t="n"/>
      <c r="B299" s="2" t="n"/>
      <c r="C299" s="2" t="n"/>
      <c r="D299" s="2" t="n"/>
      <c r="E299" s="2" t="n"/>
      <c r="F299" s="2" t="n"/>
      <c r="G299" s="2" t="n"/>
      <c r="H299" s="2" t="n"/>
      <c r="I299" s="2" t="n"/>
      <c r="J299" s="2" t="n"/>
      <c r="K299" s="2" t="n"/>
      <c r="L299" s="2" t="n"/>
      <c r="M299" s="2" t="n"/>
      <c r="N299" s="2" t="n"/>
      <c r="O299" s="2" t="n"/>
      <c r="P299" s="2" t="n"/>
      <c r="Q299" s="2">
        <f>IF(G299="","",TODAY()-G299)</f>
        <v/>
      </c>
    </row>
    <row r="300">
      <c r="A300" s="2" t="n"/>
      <c r="B300" s="2" t="n"/>
      <c r="C300" s="2" t="n"/>
      <c r="D300" s="2" t="n"/>
      <c r="E300" s="2" t="n"/>
      <c r="F300" s="2" t="n"/>
      <c r="G300" s="2" t="n"/>
      <c r="H300" s="2" t="n"/>
      <c r="I300" s="2" t="n"/>
      <c r="J300" s="2" t="n"/>
      <c r="K300" s="2" t="n"/>
      <c r="L300" s="2" t="n"/>
      <c r="M300" s="2" t="n"/>
      <c r="N300" s="2" t="n"/>
      <c r="O300" s="2" t="n"/>
      <c r="P300" s="2" t="n"/>
      <c r="Q300" s="2">
        <f>IF(G300="","",TODAY()-G300)</f>
        <v/>
      </c>
    </row>
    <row r="301">
      <c r="A301" s="2" t="n"/>
      <c r="B301" s="2" t="n"/>
      <c r="C301" s="2" t="n"/>
      <c r="D301" s="2" t="n"/>
      <c r="E301" s="2" t="n"/>
      <c r="F301" s="2" t="n"/>
      <c r="G301" s="2" t="n"/>
      <c r="H301" s="2" t="n"/>
      <c r="I301" s="2" t="n"/>
      <c r="J301" s="2" t="n"/>
      <c r="K301" s="2" t="n"/>
      <c r="L301" s="2" t="n"/>
      <c r="M301" s="2" t="n"/>
      <c r="N301" s="2" t="n"/>
      <c r="O301" s="2" t="n"/>
      <c r="P301" s="2" t="n"/>
      <c r="Q301" s="2">
        <f>IF(G301="","",TODAY()-G301)</f>
        <v/>
      </c>
    </row>
    <row r="302">
      <c r="A302" s="2" t="n"/>
      <c r="B302" s="2" t="n"/>
      <c r="C302" s="2" t="n"/>
      <c r="D302" s="2" t="n"/>
      <c r="E302" s="2" t="n"/>
      <c r="F302" s="2" t="n"/>
      <c r="G302" s="2" t="n"/>
      <c r="H302" s="2" t="n"/>
      <c r="I302" s="2" t="n"/>
      <c r="J302" s="2" t="n"/>
      <c r="K302" s="2" t="n"/>
      <c r="L302" s="2" t="n"/>
      <c r="M302" s="2" t="n"/>
      <c r="N302" s="2" t="n"/>
      <c r="O302" s="2" t="n"/>
      <c r="P302" s="2" t="n"/>
      <c r="Q302" s="2">
        <f>IF(G302="","",TODAY()-G302)</f>
        <v/>
      </c>
    </row>
    <row r="303">
      <c r="A303" s="2" t="n"/>
      <c r="B303" s="2" t="n"/>
      <c r="C303" s="2" t="n"/>
      <c r="D303" s="2" t="n"/>
      <c r="E303" s="2" t="n"/>
      <c r="F303" s="2" t="n"/>
      <c r="G303" s="2" t="n"/>
      <c r="H303" s="2" t="n"/>
      <c r="I303" s="2" t="n"/>
      <c r="J303" s="2" t="n"/>
      <c r="K303" s="2" t="n"/>
      <c r="L303" s="2" t="n"/>
      <c r="M303" s="2" t="n"/>
      <c r="N303" s="2" t="n"/>
      <c r="O303" s="2" t="n"/>
      <c r="P303" s="2" t="n"/>
      <c r="Q303" s="2">
        <f>IF(G303="","",TODAY()-G303)</f>
        <v/>
      </c>
    </row>
    <row r="304">
      <c r="A304" s="2" t="n"/>
      <c r="B304" s="2" t="n"/>
      <c r="C304" s="2" t="n"/>
      <c r="D304" s="2" t="n"/>
      <c r="E304" s="2" t="n"/>
      <c r="F304" s="2" t="n"/>
      <c r="G304" s="2" t="n"/>
      <c r="H304" s="2" t="n"/>
      <c r="I304" s="2" t="n"/>
      <c r="J304" s="2" t="n"/>
      <c r="K304" s="2" t="n"/>
      <c r="L304" s="2" t="n"/>
      <c r="M304" s="2" t="n"/>
      <c r="N304" s="2" t="n"/>
      <c r="O304" s="2" t="n"/>
      <c r="P304" s="2" t="n"/>
      <c r="Q304" s="2">
        <f>IF(G304="","",TODAY()-G304)</f>
        <v/>
      </c>
    </row>
    <row r="305">
      <c r="A305" s="2" t="n"/>
      <c r="B305" s="2" t="n"/>
      <c r="C305" s="2" t="n"/>
      <c r="D305" s="2" t="n"/>
      <c r="E305" s="2" t="n"/>
      <c r="F305" s="2" t="n"/>
      <c r="G305" s="2" t="n"/>
      <c r="H305" s="2" t="n"/>
      <c r="I305" s="2" t="n"/>
      <c r="J305" s="2" t="n"/>
      <c r="K305" s="2" t="n"/>
      <c r="L305" s="2" t="n"/>
      <c r="M305" s="2" t="n"/>
      <c r="N305" s="2" t="n"/>
      <c r="O305" s="2" t="n"/>
      <c r="P305" s="2" t="n"/>
      <c r="Q305" s="2">
        <f>IF(G305="","",TODAY()-G305)</f>
        <v/>
      </c>
    </row>
    <row r="306">
      <c r="A306" s="2" t="n"/>
      <c r="B306" s="2" t="n"/>
      <c r="C306" s="2" t="n"/>
      <c r="D306" s="2" t="n"/>
      <c r="E306" s="2" t="n"/>
      <c r="F306" s="2" t="n"/>
      <c r="G306" s="2" t="n"/>
      <c r="H306" s="2" t="n"/>
      <c r="I306" s="2" t="n"/>
      <c r="J306" s="2" t="n"/>
      <c r="K306" s="2" t="n"/>
      <c r="L306" s="2" t="n"/>
      <c r="M306" s="2" t="n"/>
      <c r="N306" s="2" t="n"/>
      <c r="O306" s="2" t="n"/>
      <c r="P306" s="2" t="n"/>
      <c r="Q306" s="2">
        <f>IF(G306="","",TODAY()-G306)</f>
        <v/>
      </c>
    </row>
    <row r="307">
      <c r="A307" s="2" t="n"/>
      <c r="B307" s="2" t="n"/>
      <c r="C307" s="2" t="n"/>
      <c r="D307" s="2" t="n"/>
      <c r="E307" s="2" t="n"/>
      <c r="F307" s="2" t="n"/>
      <c r="G307" s="2" t="n"/>
      <c r="H307" s="2" t="n"/>
      <c r="I307" s="2" t="n"/>
      <c r="J307" s="2" t="n"/>
      <c r="K307" s="2" t="n"/>
      <c r="L307" s="2" t="n"/>
      <c r="M307" s="2" t="n"/>
      <c r="N307" s="2" t="n"/>
      <c r="O307" s="2" t="n"/>
      <c r="P307" s="2" t="n"/>
      <c r="Q307" s="2">
        <f>IF(G307="","",TODAY()-G307)</f>
        <v/>
      </c>
    </row>
    <row r="308">
      <c r="A308" s="2" t="n"/>
      <c r="B308" s="2" t="n"/>
      <c r="C308" s="2" t="n"/>
      <c r="D308" s="2" t="n"/>
      <c r="E308" s="2" t="n"/>
      <c r="F308" s="2" t="n"/>
      <c r="G308" s="2" t="n"/>
      <c r="H308" s="2" t="n"/>
      <c r="I308" s="2" t="n"/>
      <c r="J308" s="2" t="n"/>
      <c r="K308" s="2" t="n"/>
      <c r="L308" s="2" t="n"/>
      <c r="M308" s="2" t="n"/>
      <c r="N308" s="2" t="n"/>
      <c r="O308" s="2" t="n"/>
      <c r="P308" s="2" t="n"/>
      <c r="Q308" s="2">
        <f>IF(G308="","",TODAY()-G308)</f>
        <v/>
      </c>
    </row>
    <row r="309">
      <c r="A309" s="2" t="n"/>
      <c r="B309" s="2" t="n"/>
      <c r="C309" s="2" t="n"/>
      <c r="D309" s="2" t="n"/>
      <c r="E309" s="2" t="n"/>
      <c r="F309" s="2" t="n"/>
      <c r="G309" s="2" t="n"/>
      <c r="H309" s="2" t="n"/>
      <c r="I309" s="2" t="n"/>
      <c r="J309" s="2" t="n"/>
      <c r="K309" s="2" t="n"/>
      <c r="L309" s="2" t="n"/>
      <c r="M309" s="2" t="n"/>
      <c r="N309" s="2" t="n"/>
      <c r="O309" s="2" t="n"/>
      <c r="P309" s="2" t="n"/>
      <c r="Q309" s="2">
        <f>IF(G309="","",TODAY()-G309)</f>
        <v/>
      </c>
    </row>
    <row r="310">
      <c r="A310" s="2" t="n"/>
      <c r="B310" s="2" t="n"/>
      <c r="C310" s="2" t="n"/>
      <c r="D310" s="2" t="n"/>
      <c r="E310" s="2" t="n"/>
      <c r="F310" s="2" t="n"/>
      <c r="G310" s="2" t="n"/>
      <c r="H310" s="2" t="n"/>
      <c r="I310" s="2" t="n"/>
      <c r="J310" s="2" t="n"/>
      <c r="K310" s="2" t="n"/>
      <c r="L310" s="2" t="n"/>
      <c r="M310" s="2" t="n"/>
      <c r="N310" s="2" t="n"/>
      <c r="O310" s="2" t="n"/>
      <c r="P310" s="2" t="n"/>
      <c r="Q310" s="2">
        <f>IF(G310="","",TODAY()-G310)</f>
        <v/>
      </c>
    </row>
    <row r="311">
      <c r="A311" s="2" t="n"/>
      <c r="B311" s="2" t="n"/>
      <c r="C311" s="2" t="n"/>
      <c r="D311" s="2" t="n"/>
      <c r="E311" s="2" t="n"/>
      <c r="F311" s="2" t="n"/>
      <c r="G311" s="2" t="n"/>
      <c r="H311" s="2" t="n"/>
      <c r="I311" s="2" t="n"/>
      <c r="J311" s="2" t="n"/>
      <c r="K311" s="2" t="n"/>
      <c r="L311" s="2" t="n"/>
      <c r="M311" s="2" t="n"/>
      <c r="N311" s="2" t="n"/>
      <c r="O311" s="2" t="n"/>
      <c r="P311" s="2" t="n"/>
      <c r="Q311" s="2">
        <f>IF(G311="","",TODAY()-G311)</f>
        <v/>
      </c>
    </row>
    <row r="312">
      <c r="A312" s="2" t="n"/>
      <c r="B312" s="2" t="n"/>
      <c r="C312" s="2" t="n"/>
      <c r="D312" s="2" t="n"/>
      <c r="E312" s="2" t="n"/>
      <c r="F312" s="2" t="n"/>
      <c r="G312" s="2" t="n"/>
      <c r="H312" s="2" t="n"/>
      <c r="I312" s="2" t="n"/>
      <c r="J312" s="2" t="n"/>
      <c r="K312" s="2" t="n"/>
      <c r="L312" s="2" t="n"/>
      <c r="M312" s="2" t="n"/>
      <c r="N312" s="2" t="n"/>
      <c r="O312" s="2" t="n"/>
      <c r="P312" s="2" t="n"/>
      <c r="Q312" s="2">
        <f>IF(G312="","",TODAY()-G312)</f>
        <v/>
      </c>
    </row>
    <row r="313">
      <c r="A313" s="2" t="n"/>
      <c r="B313" s="2" t="n"/>
      <c r="C313" s="2" t="n"/>
      <c r="D313" s="2" t="n"/>
      <c r="E313" s="2" t="n"/>
      <c r="F313" s="2" t="n"/>
      <c r="G313" s="2" t="n"/>
      <c r="H313" s="2" t="n"/>
      <c r="I313" s="2" t="n"/>
      <c r="J313" s="2" t="n"/>
      <c r="K313" s="2" t="n"/>
      <c r="L313" s="2" t="n"/>
      <c r="M313" s="2" t="n"/>
      <c r="N313" s="2" t="n"/>
      <c r="O313" s="2" t="n"/>
      <c r="P313" s="2" t="n"/>
      <c r="Q313" s="2">
        <f>IF(G313="","",TODAY()-G313)</f>
        <v/>
      </c>
    </row>
    <row r="314">
      <c r="A314" s="2" t="n"/>
      <c r="B314" s="2" t="n"/>
      <c r="C314" s="2" t="n"/>
      <c r="D314" s="2" t="n"/>
      <c r="E314" s="2" t="n"/>
      <c r="F314" s="2" t="n"/>
      <c r="G314" s="2" t="n"/>
      <c r="H314" s="2" t="n"/>
      <c r="I314" s="2" t="n"/>
      <c r="J314" s="2" t="n"/>
      <c r="K314" s="2" t="n"/>
      <c r="L314" s="2" t="n"/>
      <c r="M314" s="2" t="n"/>
      <c r="N314" s="2" t="n"/>
      <c r="O314" s="2" t="n"/>
      <c r="P314" s="2" t="n"/>
      <c r="Q314" s="2">
        <f>IF(G314="","",TODAY()-G314)</f>
        <v/>
      </c>
    </row>
    <row r="315">
      <c r="A315" s="2" t="n"/>
      <c r="B315" s="2" t="n"/>
      <c r="C315" s="2" t="n"/>
      <c r="D315" s="2" t="n"/>
      <c r="E315" s="2" t="n"/>
      <c r="F315" s="2" t="n"/>
      <c r="G315" s="2" t="n"/>
      <c r="H315" s="2" t="n"/>
      <c r="I315" s="2" t="n"/>
      <c r="J315" s="2" t="n"/>
      <c r="K315" s="2" t="n"/>
      <c r="L315" s="2" t="n"/>
      <c r="M315" s="2" t="n"/>
      <c r="N315" s="2" t="n"/>
      <c r="O315" s="2" t="n"/>
      <c r="P315" s="2" t="n"/>
      <c r="Q315" s="2">
        <f>IF(G315="","",TODAY()-G315)</f>
        <v/>
      </c>
    </row>
    <row r="316">
      <c r="A316" s="2" t="n"/>
      <c r="B316" s="2" t="n"/>
      <c r="C316" s="2" t="n"/>
      <c r="D316" s="2" t="n"/>
      <c r="E316" s="2" t="n"/>
      <c r="F316" s="2" t="n"/>
      <c r="G316" s="2" t="n"/>
      <c r="H316" s="2" t="n"/>
      <c r="I316" s="2" t="n"/>
      <c r="J316" s="2" t="n"/>
      <c r="K316" s="2" t="n"/>
      <c r="L316" s="2" t="n"/>
      <c r="M316" s="2" t="n"/>
      <c r="N316" s="2" t="n"/>
      <c r="O316" s="2" t="n"/>
      <c r="P316" s="2" t="n"/>
      <c r="Q316" s="2">
        <f>IF(G316="","",TODAY()-G316)</f>
        <v/>
      </c>
    </row>
    <row r="317">
      <c r="A317" s="2" t="n"/>
      <c r="B317" s="2" t="n"/>
      <c r="C317" s="2" t="n"/>
      <c r="D317" s="2" t="n"/>
      <c r="E317" s="2" t="n"/>
      <c r="F317" s="2" t="n"/>
      <c r="G317" s="2" t="n"/>
      <c r="H317" s="2" t="n"/>
      <c r="I317" s="2" t="n"/>
      <c r="J317" s="2" t="n"/>
      <c r="K317" s="2" t="n"/>
      <c r="L317" s="2" t="n"/>
      <c r="M317" s="2" t="n"/>
      <c r="N317" s="2" t="n"/>
      <c r="O317" s="2" t="n"/>
      <c r="P317" s="2" t="n"/>
      <c r="Q317" s="2">
        <f>IF(G317="","",TODAY()-G317)</f>
        <v/>
      </c>
    </row>
    <row r="318">
      <c r="A318" s="2" t="n"/>
      <c r="B318" s="2" t="n"/>
      <c r="C318" s="2" t="n"/>
      <c r="D318" s="2" t="n"/>
      <c r="E318" s="2" t="n"/>
      <c r="F318" s="2" t="n"/>
      <c r="G318" s="2" t="n"/>
      <c r="H318" s="2" t="n"/>
      <c r="I318" s="2" t="n"/>
      <c r="J318" s="2" t="n"/>
      <c r="K318" s="2" t="n"/>
      <c r="L318" s="2" t="n"/>
      <c r="M318" s="2" t="n"/>
      <c r="N318" s="2" t="n"/>
      <c r="O318" s="2" t="n"/>
      <c r="P318" s="2" t="n"/>
      <c r="Q318" s="2">
        <f>IF(G318="","",TODAY()-G318)</f>
        <v/>
      </c>
    </row>
    <row r="319">
      <c r="A319" s="2" t="n"/>
      <c r="B319" s="2" t="n"/>
      <c r="C319" s="2" t="n"/>
      <c r="D319" s="2" t="n"/>
      <c r="E319" s="2" t="n"/>
      <c r="F319" s="2" t="n"/>
      <c r="G319" s="2" t="n"/>
      <c r="H319" s="2" t="n"/>
      <c r="I319" s="2" t="n"/>
      <c r="J319" s="2" t="n"/>
      <c r="K319" s="2" t="n"/>
      <c r="L319" s="2" t="n"/>
      <c r="M319" s="2" t="n"/>
      <c r="N319" s="2" t="n"/>
      <c r="O319" s="2" t="n"/>
      <c r="P319" s="2" t="n"/>
      <c r="Q319" s="2">
        <f>IF(G319="","",TODAY()-G319)</f>
        <v/>
      </c>
    </row>
    <row r="320">
      <c r="A320" s="2" t="n"/>
      <c r="B320" s="2" t="n"/>
      <c r="C320" s="2" t="n"/>
      <c r="D320" s="2" t="n"/>
      <c r="E320" s="2" t="n"/>
      <c r="F320" s="2" t="n"/>
      <c r="G320" s="2" t="n"/>
      <c r="H320" s="2" t="n"/>
      <c r="I320" s="2" t="n"/>
      <c r="J320" s="2" t="n"/>
      <c r="K320" s="2" t="n"/>
      <c r="L320" s="2" t="n"/>
      <c r="M320" s="2" t="n"/>
      <c r="N320" s="2" t="n"/>
      <c r="O320" s="2" t="n"/>
      <c r="P320" s="2" t="n"/>
      <c r="Q320" s="2">
        <f>IF(G320="","",TODAY()-G320)</f>
        <v/>
      </c>
    </row>
    <row r="321">
      <c r="A321" s="2" t="n"/>
      <c r="B321" s="2" t="n"/>
      <c r="C321" s="2" t="n"/>
      <c r="D321" s="2" t="n"/>
      <c r="E321" s="2" t="n"/>
      <c r="F321" s="2" t="n"/>
      <c r="G321" s="2" t="n"/>
      <c r="H321" s="2" t="n"/>
      <c r="I321" s="2" t="n"/>
      <c r="J321" s="2" t="n"/>
      <c r="K321" s="2" t="n"/>
      <c r="L321" s="2" t="n"/>
      <c r="M321" s="2" t="n"/>
      <c r="N321" s="2" t="n"/>
      <c r="O321" s="2" t="n"/>
      <c r="P321" s="2" t="n"/>
      <c r="Q321" s="2">
        <f>IF(G321="","",TODAY()-G321)</f>
        <v/>
      </c>
    </row>
    <row r="322">
      <c r="A322" s="2" t="n"/>
      <c r="B322" s="2" t="n"/>
      <c r="C322" s="2" t="n"/>
      <c r="D322" s="2" t="n"/>
      <c r="E322" s="2" t="n"/>
      <c r="F322" s="2" t="n"/>
      <c r="G322" s="2" t="n"/>
      <c r="H322" s="2" t="n"/>
      <c r="I322" s="2" t="n"/>
      <c r="J322" s="2" t="n"/>
      <c r="K322" s="2" t="n"/>
      <c r="L322" s="2" t="n"/>
      <c r="M322" s="2" t="n"/>
      <c r="N322" s="2" t="n"/>
      <c r="O322" s="2" t="n"/>
      <c r="P322" s="2" t="n"/>
      <c r="Q322" s="2">
        <f>IF(G322="","",TODAY()-G322)</f>
        <v/>
      </c>
    </row>
    <row r="323">
      <c r="A323" s="2" t="n"/>
      <c r="B323" s="2" t="n"/>
      <c r="C323" s="2" t="n"/>
      <c r="D323" s="2" t="n"/>
      <c r="E323" s="2" t="n"/>
      <c r="F323" s="2" t="n"/>
      <c r="G323" s="2" t="n"/>
      <c r="H323" s="2" t="n"/>
      <c r="I323" s="2" t="n"/>
      <c r="J323" s="2" t="n"/>
      <c r="K323" s="2" t="n"/>
      <c r="L323" s="2" t="n"/>
      <c r="M323" s="2" t="n"/>
      <c r="N323" s="2" t="n"/>
      <c r="O323" s="2" t="n"/>
      <c r="P323" s="2" t="n"/>
      <c r="Q323" s="2">
        <f>IF(G323="","",TODAY()-G323)</f>
        <v/>
      </c>
    </row>
    <row r="324">
      <c r="A324" s="2" t="n"/>
      <c r="B324" s="2" t="n"/>
      <c r="C324" s="2" t="n"/>
      <c r="D324" s="2" t="n"/>
      <c r="E324" s="2" t="n"/>
      <c r="F324" s="2" t="n"/>
      <c r="G324" s="2" t="n"/>
      <c r="H324" s="2" t="n"/>
      <c r="I324" s="2" t="n"/>
      <c r="J324" s="2" t="n"/>
      <c r="K324" s="2" t="n"/>
      <c r="L324" s="2" t="n"/>
      <c r="M324" s="2" t="n"/>
      <c r="N324" s="2" t="n"/>
      <c r="O324" s="2" t="n"/>
      <c r="P324" s="2" t="n"/>
      <c r="Q324" s="2">
        <f>IF(G324="","",TODAY()-G324)</f>
        <v/>
      </c>
    </row>
    <row r="325">
      <c r="A325" s="2" t="n"/>
      <c r="B325" s="2" t="n"/>
      <c r="C325" s="2" t="n"/>
      <c r="D325" s="2" t="n"/>
      <c r="E325" s="2" t="n"/>
      <c r="F325" s="2" t="n"/>
      <c r="G325" s="2" t="n"/>
      <c r="H325" s="2" t="n"/>
      <c r="I325" s="2" t="n"/>
      <c r="J325" s="2" t="n"/>
      <c r="K325" s="2" t="n"/>
      <c r="L325" s="2" t="n"/>
      <c r="M325" s="2" t="n"/>
      <c r="N325" s="2" t="n"/>
      <c r="O325" s="2" t="n"/>
      <c r="P325" s="2" t="n"/>
      <c r="Q325" s="2">
        <f>IF(G325="","",TODAY()-G325)</f>
        <v/>
      </c>
    </row>
    <row r="326">
      <c r="A326" s="2" t="n"/>
      <c r="B326" s="2" t="n"/>
      <c r="C326" s="2" t="n"/>
      <c r="D326" s="2" t="n"/>
      <c r="E326" s="2" t="n"/>
      <c r="F326" s="2" t="n"/>
      <c r="G326" s="2" t="n"/>
      <c r="H326" s="2" t="n"/>
      <c r="I326" s="2" t="n"/>
      <c r="J326" s="2" t="n"/>
      <c r="K326" s="2" t="n"/>
      <c r="L326" s="2" t="n"/>
      <c r="M326" s="2" t="n"/>
      <c r="N326" s="2" t="n"/>
      <c r="O326" s="2" t="n"/>
      <c r="P326" s="2" t="n"/>
      <c r="Q326" s="2">
        <f>IF(G326="","",TODAY()-G326)</f>
        <v/>
      </c>
    </row>
    <row r="327">
      <c r="A327" s="2" t="n"/>
      <c r="B327" s="2" t="n"/>
      <c r="C327" s="2" t="n"/>
      <c r="D327" s="2" t="n"/>
      <c r="E327" s="2" t="n"/>
      <c r="F327" s="2" t="n"/>
      <c r="G327" s="2" t="n"/>
      <c r="H327" s="2" t="n"/>
      <c r="I327" s="2" t="n"/>
      <c r="J327" s="2" t="n"/>
      <c r="K327" s="2" t="n"/>
      <c r="L327" s="2" t="n"/>
      <c r="M327" s="2" t="n"/>
      <c r="N327" s="2" t="n"/>
      <c r="O327" s="2" t="n"/>
      <c r="P327" s="2" t="n"/>
      <c r="Q327" s="2">
        <f>IF(G327="","",TODAY()-G327)</f>
        <v/>
      </c>
    </row>
    <row r="328">
      <c r="A328" s="2" t="n"/>
      <c r="B328" s="2" t="n"/>
      <c r="C328" s="2" t="n"/>
      <c r="D328" s="2" t="n"/>
      <c r="E328" s="2" t="n"/>
      <c r="F328" s="2" t="n"/>
      <c r="G328" s="2" t="n"/>
      <c r="H328" s="2" t="n"/>
      <c r="I328" s="2" t="n"/>
      <c r="J328" s="2" t="n"/>
      <c r="K328" s="2" t="n"/>
      <c r="L328" s="2" t="n"/>
      <c r="M328" s="2" t="n"/>
      <c r="N328" s="2" t="n"/>
      <c r="O328" s="2" t="n"/>
      <c r="P328" s="2" t="n"/>
      <c r="Q328" s="2">
        <f>IF(G328="","",TODAY()-G328)</f>
        <v/>
      </c>
    </row>
    <row r="329">
      <c r="A329" s="2" t="n"/>
      <c r="B329" s="2" t="n"/>
      <c r="C329" s="2" t="n"/>
      <c r="D329" s="2" t="n"/>
      <c r="E329" s="2" t="n"/>
      <c r="F329" s="2" t="n"/>
      <c r="G329" s="2" t="n"/>
      <c r="H329" s="2" t="n"/>
      <c r="I329" s="2" t="n"/>
      <c r="J329" s="2" t="n"/>
      <c r="K329" s="2" t="n"/>
      <c r="L329" s="2" t="n"/>
      <c r="M329" s="2" t="n"/>
      <c r="N329" s="2" t="n"/>
      <c r="O329" s="2" t="n"/>
      <c r="P329" s="2" t="n"/>
      <c r="Q329" s="2">
        <f>IF(G329="","",TODAY()-G329)</f>
        <v/>
      </c>
    </row>
    <row r="330">
      <c r="A330" s="2" t="n"/>
      <c r="B330" s="2" t="n"/>
      <c r="C330" s="2" t="n"/>
      <c r="D330" s="2" t="n"/>
      <c r="E330" s="2" t="n"/>
      <c r="F330" s="2" t="n"/>
      <c r="G330" s="2" t="n"/>
      <c r="H330" s="2" t="n"/>
      <c r="I330" s="2" t="n"/>
      <c r="J330" s="2" t="n"/>
      <c r="K330" s="2" t="n"/>
      <c r="L330" s="2" t="n"/>
      <c r="M330" s="2" t="n"/>
      <c r="N330" s="2" t="n"/>
      <c r="O330" s="2" t="n"/>
      <c r="P330" s="2" t="n"/>
      <c r="Q330" s="2">
        <f>IF(G330="","",TODAY()-G330)</f>
        <v/>
      </c>
    </row>
    <row r="331">
      <c r="A331" s="2" t="n"/>
      <c r="B331" s="2" t="n"/>
      <c r="C331" s="2" t="n"/>
      <c r="D331" s="2" t="n"/>
      <c r="E331" s="2" t="n"/>
      <c r="F331" s="2" t="n"/>
      <c r="G331" s="2" t="n"/>
      <c r="H331" s="2" t="n"/>
      <c r="I331" s="2" t="n"/>
      <c r="J331" s="2" t="n"/>
      <c r="K331" s="2" t="n"/>
      <c r="L331" s="2" t="n"/>
      <c r="M331" s="2" t="n"/>
      <c r="N331" s="2" t="n"/>
      <c r="O331" s="2" t="n"/>
      <c r="P331" s="2" t="n"/>
      <c r="Q331" s="2">
        <f>IF(G331="","",TODAY()-G331)</f>
        <v/>
      </c>
    </row>
    <row r="332">
      <c r="A332" s="2" t="n"/>
      <c r="B332" s="2" t="n"/>
      <c r="C332" s="2" t="n"/>
      <c r="D332" s="2" t="n"/>
      <c r="E332" s="2" t="n"/>
      <c r="F332" s="2" t="n"/>
      <c r="G332" s="2" t="n"/>
      <c r="H332" s="2" t="n"/>
      <c r="I332" s="2" t="n"/>
      <c r="J332" s="2" t="n"/>
      <c r="K332" s="2" t="n"/>
      <c r="L332" s="2" t="n"/>
      <c r="M332" s="2" t="n"/>
      <c r="N332" s="2" t="n"/>
      <c r="O332" s="2" t="n"/>
      <c r="P332" s="2" t="n"/>
      <c r="Q332" s="2">
        <f>IF(G332="","",TODAY()-G332)</f>
        <v/>
      </c>
    </row>
    <row r="333">
      <c r="A333" s="2" t="n"/>
      <c r="B333" s="2" t="n"/>
      <c r="C333" s="2" t="n"/>
      <c r="D333" s="2" t="n"/>
      <c r="E333" s="2" t="n"/>
      <c r="F333" s="2" t="n"/>
      <c r="G333" s="2" t="n"/>
      <c r="H333" s="2" t="n"/>
      <c r="I333" s="2" t="n"/>
      <c r="J333" s="2" t="n"/>
      <c r="K333" s="2" t="n"/>
      <c r="L333" s="2" t="n"/>
      <c r="M333" s="2" t="n"/>
      <c r="N333" s="2" t="n"/>
      <c r="O333" s="2" t="n"/>
      <c r="P333" s="2" t="n"/>
      <c r="Q333" s="2">
        <f>IF(G333="","",TODAY()-G333)</f>
        <v/>
      </c>
    </row>
    <row r="334">
      <c r="A334" s="2" t="n"/>
      <c r="B334" s="2" t="n"/>
      <c r="C334" s="2" t="n"/>
      <c r="D334" s="2" t="n"/>
      <c r="E334" s="2" t="n"/>
      <c r="F334" s="2" t="n"/>
      <c r="G334" s="2" t="n"/>
      <c r="H334" s="2" t="n"/>
      <c r="I334" s="2" t="n"/>
      <c r="J334" s="2" t="n"/>
      <c r="K334" s="2" t="n"/>
      <c r="L334" s="2" t="n"/>
      <c r="M334" s="2" t="n"/>
      <c r="N334" s="2" t="n"/>
      <c r="O334" s="2" t="n"/>
      <c r="P334" s="2" t="n"/>
      <c r="Q334" s="2">
        <f>IF(G334="","",TODAY()-G334)</f>
        <v/>
      </c>
    </row>
    <row r="335">
      <c r="A335" s="2" t="n"/>
      <c r="B335" s="2" t="n"/>
      <c r="C335" s="2" t="n"/>
      <c r="D335" s="2" t="n"/>
      <c r="E335" s="2" t="n"/>
      <c r="F335" s="2" t="n"/>
      <c r="G335" s="2" t="n"/>
      <c r="H335" s="2" t="n"/>
      <c r="I335" s="2" t="n"/>
      <c r="J335" s="2" t="n"/>
      <c r="K335" s="2" t="n"/>
      <c r="L335" s="2" t="n"/>
      <c r="M335" s="2" t="n"/>
      <c r="N335" s="2" t="n"/>
      <c r="O335" s="2" t="n"/>
      <c r="P335" s="2" t="n"/>
      <c r="Q335" s="2">
        <f>IF(G335="","",TODAY()-G335)</f>
        <v/>
      </c>
    </row>
    <row r="336">
      <c r="A336" s="2" t="n"/>
      <c r="B336" s="2" t="n"/>
      <c r="C336" s="2" t="n"/>
      <c r="D336" s="2" t="n"/>
      <c r="E336" s="2" t="n"/>
      <c r="F336" s="2" t="n"/>
      <c r="G336" s="2" t="n"/>
      <c r="H336" s="2" t="n"/>
      <c r="I336" s="2" t="n"/>
      <c r="J336" s="2" t="n"/>
      <c r="K336" s="2" t="n"/>
      <c r="L336" s="2" t="n"/>
      <c r="M336" s="2" t="n"/>
      <c r="N336" s="2" t="n"/>
      <c r="O336" s="2" t="n"/>
      <c r="P336" s="2" t="n"/>
      <c r="Q336" s="2">
        <f>IF(G336="","",TODAY()-G336)</f>
        <v/>
      </c>
    </row>
    <row r="337">
      <c r="A337" s="2" t="n"/>
      <c r="B337" s="2" t="n"/>
      <c r="C337" s="2" t="n"/>
      <c r="D337" s="2" t="n"/>
      <c r="E337" s="2" t="n"/>
      <c r="F337" s="2" t="n"/>
      <c r="G337" s="2" t="n"/>
      <c r="H337" s="2" t="n"/>
      <c r="I337" s="2" t="n"/>
      <c r="J337" s="2" t="n"/>
      <c r="K337" s="2" t="n"/>
      <c r="L337" s="2" t="n"/>
      <c r="M337" s="2" t="n"/>
      <c r="N337" s="2" t="n"/>
      <c r="O337" s="2" t="n"/>
      <c r="P337" s="2" t="n"/>
      <c r="Q337" s="2">
        <f>IF(G337="","",TODAY()-G337)</f>
        <v/>
      </c>
    </row>
    <row r="338">
      <c r="A338" s="2" t="n"/>
      <c r="B338" s="2" t="n"/>
      <c r="C338" s="2" t="n"/>
      <c r="D338" s="2" t="n"/>
      <c r="E338" s="2" t="n"/>
      <c r="F338" s="2" t="n"/>
      <c r="G338" s="2" t="n"/>
      <c r="H338" s="2" t="n"/>
      <c r="I338" s="2" t="n"/>
      <c r="J338" s="2" t="n"/>
      <c r="K338" s="2" t="n"/>
      <c r="L338" s="2" t="n"/>
      <c r="M338" s="2" t="n"/>
      <c r="N338" s="2" t="n"/>
      <c r="O338" s="2" t="n"/>
      <c r="P338" s="2" t="n"/>
      <c r="Q338" s="2">
        <f>IF(G338="","",TODAY()-G338)</f>
        <v/>
      </c>
    </row>
    <row r="339">
      <c r="A339" s="2" t="n"/>
      <c r="B339" s="2" t="n"/>
      <c r="C339" s="2" t="n"/>
      <c r="D339" s="2" t="n"/>
      <c r="E339" s="2" t="n"/>
      <c r="F339" s="2" t="n"/>
      <c r="G339" s="2" t="n"/>
      <c r="H339" s="2" t="n"/>
      <c r="I339" s="2" t="n"/>
      <c r="J339" s="2" t="n"/>
      <c r="K339" s="2" t="n"/>
      <c r="L339" s="2" t="n"/>
      <c r="M339" s="2" t="n"/>
      <c r="N339" s="2" t="n"/>
      <c r="O339" s="2" t="n"/>
      <c r="P339" s="2" t="n"/>
      <c r="Q339" s="2">
        <f>IF(G339="","",TODAY()-G339)</f>
        <v/>
      </c>
    </row>
    <row r="340">
      <c r="A340" s="2" t="n"/>
      <c r="B340" s="2" t="n"/>
      <c r="C340" s="2" t="n"/>
      <c r="D340" s="2" t="n"/>
      <c r="E340" s="2" t="n"/>
      <c r="F340" s="2" t="n"/>
      <c r="G340" s="2" t="n"/>
      <c r="H340" s="2" t="n"/>
      <c r="I340" s="2" t="n"/>
      <c r="J340" s="2" t="n"/>
      <c r="K340" s="2" t="n"/>
      <c r="L340" s="2" t="n"/>
      <c r="M340" s="2" t="n"/>
      <c r="N340" s="2" t="n"/>
      <c r="O340" s="2" t="n"/>
      <c r="P340" s="2" t="n"/>
      <c r="Q340" s="2">
        <f>IF(G340="","",TODAY()-G340)</f>
        <v/>
      </c>
    </row>
    <row r="341">
      <c r="A341" s="2" t="n"/>
      <c r="B341" s="2" t="n"/>
      <c r="C341" s="2" t="n"/>
      <c r="D341" s="2" t="n"/>
      <c r="E341" s="2" t="n"/>
      <c r="F341" s="2" t="n"/>
      <c r="G341" s="2" t="n"/>
      <c r="H341" s="2" t="n"/>
      <c r="I341" s="2" t="n"/>
      <c r="J341" s="2" t="n"/>
      <c r="K341" s="2" t="n"/>
      <c r="L341" s="2" t="n"/>
      <c r="M341" s="2" t="n"/>
      <c r="N341" s="2" t="n"/>
      <c r="O341" s="2" t="n"/>
      <c r="P341" s="2" t="n"/>
      <c r="Q341" s="2">
        <f>IF(G341="","",TODAY()-G341)</f>
        <v/>
      </c>
    </row>
    <row r="342">
      <c r="A342" s="2" t="n"/>
      <c r="B342" s="2" t="n"/>
      <c r="C342" s="2" t="n"/>
      <c r="D342" s="2" t="n"/>
      <c r="E342" s="2" t="n"/>
      <c r="F342" s="2" t="n"/>
      <c r="G342" s="2" t="n"/>
      <c r="H342" s="2" t="n"/>
      <c r="I342" s="2" t="n"/>
      <c r="J342" s="2" t="n"/>
      <c r="K342" s="2" t="n"/>
      <c r="L342" s="2" t="n"/>
      <c r="M342" s="2" t="n"/>
      <c r="N342" s="2" t="n"/>
      <c r="O342" s="2" t="n"/>
      <c r="P342" s="2" t="n"/>
      <c r="Q342" s="2">
        <f>IF(G342="","",TODAY()-G342)</f>
        <v/>
      </c>
    </row>
    <row r="343">
      <c r="A343" s="2" t="n"/>
      <c r="B343" s="2" t="n"/>
      <c r="C343" s="2" t="n"/>
      <c r="D343" s="2" t="n"/>
      <c r="E343" s="2" t="n"/>
      <c r="F343" s="2" t="n"/>
      <c r="G343" s="2" t="n"/>
      <c r="H343" s="2" t="n"/>
      <c r="I343" s="2" t="n"/>
      <c r="J343" s="2" t="n"/>
      <c r="K343" s="2" t="n"/>
      <c r="L343" s="2" t="n"/>
      <c r="M343" s="2" t="n"/>
      <c r="N343" s="2" t="n"/>
      <c r="O343" s="2" t="n"/>
      <c r="P343" s="2" t="n"/>
      <c r="Q343" s="2">
        <f>IF(G343="","",TODAY()-G343)</f>
        <v/>
      </c>
    </row>
    <row r="344">
      <c r="A344" s="2" t="n"/>
      <c r="B344" s="2" t="n"/>
      <c r="C344" s="2" t="n"/>
      <c r="D344" s="2" t="n"/>
      <c r="E344" s="2" t="n"/>
      <c r="F344" s="2" t="n"/>
      <c r="G344" s="2" t="n"/>
      <c r="H344" s="2" t="n"/>
      <c r="I344" s="2" t="n"/>
      <c r="J344" s="2" t="n"/>
      <c r="K344" s="2" t="n"/>
      <c r="L344" s="2" t="n"/>
      <c r="M344" s="2" t="n"/>
      <c r="N344" s="2" t="n"/>
      <c r="O344" s="2" t="n"/>
      <c r="P344" s="2" t="n"/>
      <c r="Q344" s="2">
        <f>IF(G344="","",TODAY()-G344)</f>
        <v/>
      </c>
    </row>
    <row r="345">
      <c r="A345" s="2" t="n"/>
      <c r="B345" s="2" t="n"/>
      <c r="C345" s="2" t="n"/>
      <c r="D345" s="2" t="n"/>
      <c r="E345" s="2" t="n"/>
      <c r="F345" s="2" t="n"/>
      <c r="G345" s="2" t="n"/>
      <c r="H345" s="2" t="n"/>
      <c r="I345" s="2" t="n"/>
      <c r="J345" s="2" t="n"/>
      <c r="K345" s="2" t="n"/>
      <c r="L345" s="2" t="n"/>
      <c r="M345" s="2" t="n"/>
      <c r="N345" s="2" t="n"/>
      <c r="O345" s="2" t="n"/>
      <c r="P345" s="2" t="n"/>
      <c r="Q345" s="2">
        <f>IF(G345="","",TODAY()-G345)</f>
        <v/>
      </c>
    </row>
    <row r="346">
      <c r="A346" s="2" t="n"/>
      <c r="B346" s="2" t="n"/>
      <c r="C346" s="2" t="n"/>
      <c r="D346" s="2" t="n"/>
      <c r="E346" s="2" t="n"/>
      <c r="F346" s="2" t="n"/>
      <c r="G346" s="2" t="n"/>
      <c r="H346" s="2" t="n"/>
      <c r="I346" s="2" t="n"/>
      <c r="J346" s="2" t="n"/>
      <c r="K346" s="2" t="n"/>
      <c r="L346" s="2" t="n"/>
      <c r="M346" s="2" t="n"/>
      <c r="N346" s="2" t="n"/>
      <c r="O346" s="2" t="n"/>
      <c r="P346" s="2" t="n"/>
      <c r="Q346" s="2">
        <f>IF(G346="","",TODAY()-G346)</f>
        <v/>
      </c>
    </row>
    <row r="347">
      <c r="A347" s="2" t="n"/>
      <c r="B347" s="2" t="n"/>
      <c r="C347" s="2" t="n"/>
      <c r="D347" s="2" t="n"/>
      <c r="E347" s="2" t="n"/>
      <c r="F347" s="2" t="n"/>
      <c r="G347" s="2" t="n"/>
      <c r="H347" s="2" t="n"/>
      <c r="I347" s="2" t="n"/>
      <c r="J347" s="2" t="n"/>
      <c r="K347" s="2" t="n"/>
      <c r="L347" s="2" t="n"/>
      <c r="M347" s="2" t="n"/>
      <c r="N347" s="2" t="n"/>
      <c r="O347" s="2" t="n"/>
      <c r="P347" s="2" t="n"/>
      <c r="Q347" s="2">
        <f>IF(G347="","",TODAY()-G347)</f>
        <v/>
      </c>
    </row>
    <row r="348">
      <c r="A348" s="2" t="n"/>
      <c r="B348" s="2" t="n"/>
      <c r="C348" s="2" t="n"/>
      <c r="D348" s="2" t="n"/>
      <c r="E348" s="2" t="n"/>
      <c r="F348" s="2" t="n"/>
      <c r="G348" s="2" t="n"/>
      <c r="H348" s="2" t="n"/>
      <c r="I348" s="2" t="n"/>
      <c r="J348" s="2" t="n"/>
      <c r="K348" s="2" t="n"/>
      <c r="L348" s="2" t="n"/>
      <c r="M348" s="2" t="n"/>
      <c r="N348" s="2" t="n"/>
      <c r="O348" s="2" t="n"/>
      <c r="P348" s="2" t="n"/>
      <c r="Q348" s="2">
        <f>IF(G348="","",TODAY()-G348)</f>
        <v/>
      </c>
    </row>
    <row r="349">
      <c r="A349" s="2" t="n"/>
      <c r="B349" s="2" t="n"/>
      <c r="C349" s="2" t="n"/>
      <c r="D349" s="2" t="n"/>
      <c r="E349" s="2" t="n"/>
      <c r="F349" s="2" t="n"/>
      <c r="G349" s="2" t="n"/>
      <c r="H349" s="2" t="n"/>
      <c r="I349" s="2" t="n"/>
      <c r="J349" s="2" t="n"/>
      <c r="K349" s="2" t="n"/>
      <c r="L349" s="2" t="n"/>
      <c r="M349" s="2" t="n"/>
      <c r="N349" s="2" t="n"/>
      <c r="O349" s="2" t="n"/>
      <c r="P349" s="2" t="n"/>
      <c r="Q349" s="2">
        <f>IF(G349="","",TODAY()-G349)</f>
        <v/>
      </c>
    </row>
    <row r="350">
      <c r="A350" s="2" t="n"/>
      <c r="B350" s="2" t="n"/>
      <c r="C350" s="2" t="n"/>
      <c r="D350" s="2" t="n"/>
      <c r="E350" s="2" t="n"/>
      <c r="F350" s="2" t="n"/>
      <c r="G350" s="2" t="n"/>
      <c r="H350" s="2" t="n"/>
      <c r="I350" s="2" t="n"/>
      <c r="J350" s="2" t="n"/>
      <c r="K350" s="2" t="n"/>
      <c r="L350" s="2" t="n"/>
      <c r="M350" s="2" t="n"/>
      <c r="N350" s="2" t="n"/>
      <c r="O350" s="2" t="n"/>
      <c r="P350" s="2" t="n"/>
      <c r="Q350" s="2">
        <f>IF(G350="","",TODAY()-G350)</f>
        <v/>
      </c>
    </row>
    <row r="351">
      <c r="A351" s="2" t="n"/>
      <c r="B351" s="2" t="n"/>
      <c r="C351" s="2" t="n"/>
      <c r="D351" s="2" t="n"/>
      <c r="E351" s="2" t="n"/>
      <c r="F351" s="2" t="n"/>
      <c r="G351" s="2" t="n"/>
      <c r="H351" s="2" t="n"/>
      <c r="I351" s="2" t="n"/>
      <c r="J351" s="2" t="n"/>
      <c r="K351" s="2" t="n"/>
      <c r="L351" s="2" t="n"/>
      <c r="M351" s="2" t="n"/>
      <c r="N351" s="2" t="n"/>
      <c r="O351" s="2" t="n"/>
      <c r="P351" s="2" t="n"/>
      <c r="Q351" s="2">
        <f>IF(G351="","",TODAY()-G351)</f>
        <v/>
      </c>
    </row>
    <row r="352">
      <c r="A352" s="2" t="n"/>
      <c r="B352" s="2" t="n"/>
      <c r="C352" s="2" t="n"/>
      <c r="D352" s="2" t="n"/>
      <c r="E352" s="2" t="n"/>
      <c r="F352" s="2" t="n"/>
      <c r="G352" s="2" t="n"/>
      <c r="H352" s="2" t="n"/>
      <c r="I352" s="2" t="n"/>
      <c r="J352" s="2" t="n"/>
      <c r="K352" s="2" t="n"/>
      <c r="L352" s="2" t="n"/>
      <c r="M352" s="2" t="n"/>
      <c r="N352" s="2" t="n"/>
      <c r="O352" s="2" t="n"/>
      <c r="P352" s="2" t="n"/>
      <c r="Q352" s="2">
        <f>IF(G352="","",TODAY()-G352)</f>
        <v/>
      </c>
    </row>
    <row r="353">
      <c r="A353" s="2" t="n"/>
      <c r="B353" s="2" t="n"/>
      <c r="C353" s="2" t="n"/>
      <c r="D353" s="2" t="n"/>
      <c r="E353" s="2" t="n"/>
      <c r="F353" s="2" t="n"/>
      <c r="G353" s="2" t="n"/>
      <c r="H353" s="2" t="n"/>
      <c r="I353" s="2" t="n"/>
      <c r="J353" s="2" t="n"/>
      <c r="K353" s="2" t="n"/>
      <c r="L353" s="2" t="n"/>
      <c r="M353" s="2" t="n"/>
      <c r="N353" s="2" t="n"/>
      <c r="O353" s="2" t="n"/>
      <c r="P353" s="2" t="n"/>
      <c r="Q353" s="2">
        <f>IF(G353="","",TODAY()-G353)</f>
        <v/>
      </c>
    </row>
    <row r="354">
      <c r="A354" s="2" t="n"/>
      <c r="B354" s="2" t="n"/>
      <c r="C354" s="2" t="n"/>
      <c r="D354" s="2" t="n"/>
      <c r="E354" s="2" t="n"/>
      <c r="F354" s="2" t="n"/>
      <c r="G354" s="2" t="n"/>
      <c r="H354" s="2" t="n"/>
      <c r="I354" s="2" t="n"/>
      <c r="J354" s="2" t="n"/>
      <c r="K354" s="2" t="n"/>
      <c r="L354" s="2" t="n"/>
      <c r="M354" s="2" t="n"/>
      <c r="N354" s="2" t="n"/>
      <c r="O354" s="2" t="n"/>
      <c r="P354" s="2" t="n"/>
      <c r="Q354" s="2">
        <f>IF(G354="","",TODAY()-G354)</f>
        <v/>
      </c>
    </row>
    <row r="355">
      <c r="A355" s="2" t="n"/>
      <c r="B355" s="2" t="n"/>
      <c r="C355" s="2" t="n"/>
      <c r="D355" s="2" t="n"/>
      <c r="E355" s="2" t="n"/>
      <c r="F355" s="2" t="n"/>
      <c r="G355" s="2" t="n"/>
      <c r="H355" s="2" t="n"/>
      <c r="I355" s="2" t="n"/>
      <c r="J355" s="2" t="n"/>
      <c r="K355" s="2" t="n"/>
      <c r="L355" s="2" t="n"/>
      <c r="M355" s="2" t="n"/>
      <c r="N355" s="2" t="n"/>
      <c r="O355" s="2" t="n"/>
      <c r="P355" s="2" t="n"/>
      <c r="Q355" s="2">
        <f>IF(G355="","",TODAY()-G355)</f>
        <v/>
      </c>
    </row>
    <row r="356">
      <c r="A356" s="2" t="n"/>
      <c r="B356" s="2" t="n"/>
      <c r="C356" s="2" t="n"/>
      <c r="D356" s="2" t="n"/>
      <c r="E356" s="2" t="n"/>
      <c r="F356" s="2" t="n"/>
      <c r="G356" s="2" t="n"/>
      <c r="H356" s="2" t="n"/>
      <c r="I356" s="2" t="n"/>
      <c r="J356" s="2" t="n"/>
      <c r="K356" s="2" t="n"/>
      <c r="L356" s="2" t="n"/>
      <c r="M356" s="2" t="n"/>
      <c r="N356" s="2" t="n"/>
      <c r="O356" s="2" t="n"/>
      <c r="P356" s="2" t="n"/>
      <c r="Q356" s="2">
        <f>IF(G356="","",TODAY()-G356)</f>
        <v/>
      </c>
    </row>
    <row r="357">
      <c r="A357" s="2" t="n"/>
      <c r="B357" s="2" t="n"/>
      <c r="C357" s="2" t="n"/>
      <c r="D357" s="2" t="n"/>
      <c r="E357" s="2" t="n"/>
      <c r="F357" s="2" t="n"/>
      <c r="G357" s="2" t="n"/>
      <c r="H357" s="2" t="n"/>
      <c r="I357" s="2" t="n"/>
      <c r="J357" s="2" t="n"/>
      <c r="K357" s="2" t="n"/>
      <c r="L357" s="2" t="n"/>
      <c r="M357" s="2" t="n"/>
      <c r="N357" s="2" t="n"/>
      <c r="O357" s="2" t="n"/>
      <c r="P357" s="2" t="n"/>
      <c r="Q357" s="2">
        <f>IF(G357="","",TODAY()-G357)</f>
        <v/>
      </c>
    </row>
    <row r="358">
      <c r="A358" s="2" t="n"/>
      <c r="B358" s="2" t="n"/>
      <c r="C358" s="2" t="n"/>
      <c r="D358" s="2" t="n"/>
      <c r="E358" s="2" t="n"/>
      <c r="F358" s="2" t="n"/>
      <c r="G358" s="2" t="n"/>
      <c r="H358" s="2" t="n"/>
      <c r="I358" s="2" t="n"/>
      <c r="J358" s="2" t="n"/>
      <c r="K358" s="2" t="n"/>
      <c r="L358" s="2" t="n"/>
      <c r="M358" s="2" t="n"/>
      <c r="N358" s="2" t="n"/>
      <c r="O358" s="2" t="n"/>
      <c r="P358" s="2" t="n"/>
      <c r="Q358" s="2">
        <f>IF(G358="","",TODAY()-G358)</f>
        <v/>
      </c>
    </row>
    <row r="359">
      <c r="A359" s="2" t="n"/>
      <c r="B359" s="2" t="n"/>
      <c r="C359" s="2" t="n"/>
      <c r="D359" s="2" t="n"/>
      <c r="E359" s="2" t="n"/>
      <c r="F359" s="2" t="n"/>
      <c r="G359" s="2" t="n"/>
      <c r="H359" s="2" t="n"/>
      <c r="I359" s="2" t="n"/>
      <c r="J359" s="2" t="n"/>
      <c r="K359" s="2" t="n"/>
      <c r="L359" s="2" t="n"/>
      <c r="M359" s="2" t="n"/>
      <c r="N359" s="2" t="n"/>
      <c r="O359" s="2" t="n"/>
      <c r="P359" s="2" t="n"/>
      <c r="Q359" s="2">
        <f>IF(G359="","",TODAY()-G359)</f>
        <v/>
      </c>
    </row>
    <row r="360">
      <c r="A360" s="2" t="n"/>
      <c r="B360" s="2" t="n"/>
      <c r="C360" s="2" t="n"/>
      <c r="D360" s="2" t="n"/>
      <c r="E360" s="2" t="n"/>
      <c r="F360" s="2" t="n"/>
      <c r="G360" s="2" t="n"/>
      <c r="H360" s="2" t="n"/>
      <c r="I360" s="2" t="n"/>
      <c r="J360" s="2" t="n"/>
      <c r="K360" s="2" t="n"/>
      <c r="L360" s="2" t="n"/>
      <c r="M360" s="2" t="n"/>
      <c r="N360" s="2" t="n"/>
      <c r="O360" s="2" t="n"/>
      <c r="P360" s="2" t="n"/>
      <c r="Q360" s="2">
        <f>IF(G360="","",TODAY()-G360)</f>
        <v/>
      </c>
    </row>
    <row r="361">
      <c r="A361" s="2" t="n"/>
      <c r="B361" s="2" t="n"/>
      <c r="C361" s="2" t="n"/>
      <c r="D361" s="2" t="n"/>
      <c r="E361" s="2" t="n"/>
      <c r="F361" s="2" t="n"/>
      <c r="G361" s="2" t="n"/>
      <c r="H361" s="2" t="n"/>
      <c r="I361" s="2" t="n"/>
      <c r="J361" s="2" t="n"/>
      <c r="K361" s="2" t="n"/>
      <c r="L361" s="2" t="n"/>
      <c r="M361" s="2" t="n"/>
      <c r="N361" s="2" t="n"/>
      <c r="O361" s="2" t="n"/>
      <c r="P361" s="2" t="n"/>
      <c r="Q361" s="2">
        <f>IF(G361="","",TODAY()-G361)</f>
        <v/>
      </c>
    </row>
    <row r="362">
      <c r="A362" s="2" t="n"/>
      <c r="B362" s="2" t="n"/>
      <c r="C362" s="2" t="n"/>
      <c r="D362" s="2" t="n"/>
      <c r="E362" s="2" t="n"/>
      <c r="F362" s="2" t="n"/>
      <c r="G362" s="2" t="n"/>
      <c r="H362" s="2" t="n"/>
      <c r="I362" s="2" t="n"/>
      <c r="J362" s="2" t="n"/>
      <c r="K362" s="2" t="n"/>
      <c r="L362" s="2" t="n"/>
      <c r="M362" s="2" t="n"/>
      <c r="N362" s="2" t="n"/>
      <c r="O362" s="2" t="n"/>
      <c r="P362" s="2" t="n"/>
      <c r="Q362" s="2">
        <f>IF(G362="","",TODAY()-G362)</f>
        <v/>
      </c>
    </row>
    <row r="363">
      <c r="A363" s="2" t="n"/>
      <c r="B363" s="2" t="n"/>
      <c r="C363" s="2" t="n"/>
      <c r="D363" s="2" t="n"/>
      <c r="E363" s="2" t="n"/>
      <c r="F363" s="2" t="n"/>
      <c r="G363" s="2" t="n"/>
      <c r="H363" s="2" t="n"/>
      <c r="I363" s="2" t="n"/>
      <c r="J363" s="2" t="n"/>
      <c r="K363" s="2" t="n"/>
      <c r="L363" s="2" t="n"/>
      <c r="M363" s="2" t="n"/>
      <c r="N363" s="2" t="n"/>
      <c r="O363" s="2" t="n"/>
      <c r="P363" s="2" t="n"/>
      <c r="Q363" s="2">
        <f>IF(G363="","",TODAY()-G363)</f>
        <v/>
      </c>
    </row>
    <row r="364">
      <c r="A364" s="2" t="n"/>
      <c r="B364" s="2" t="n"/>
      <c r="C364" s="2" t="n"/>
      <c r="D364" s="2" t="n"/>
      <c r="E364" s="2" t="n"/>
      <c r="F364" s="2" t="n"/>
      <c r="G364" s="2" t="n"/>
      <c r="H364" s="2" t="n"/>
      <c r="I364" s="2" t="n"/>
      <c r="J364" s="2" t="n"/>
      <c r="K364" s="2" t="n"/>
      <c r="L364" s="2" t="n"/>
      <c r="M364" s="2" t="n"/>
      <c r="N364" s="2" t="n"/>
      <c r="O364" s="2" t="n"/>
      <c r="P364" s="2" t="n"/>
      <c r="Q364" s="2">
        <f>IF(G364="","",TODAY()-G364)</f>
        <v/>
      </c>
    </row>
    <row r="365">
      <c r="A365" s="2" t="n"/>
      <c r="B365" s="2" t="n"/>
      <c r="C365" s="2" t="n"/>
      <c r="D365" s="2" t="n"/>
      <c r="E365" s="2" t="n"/>
      <c r="F365" s="2" t="n"/>
      <c r="G365" s="2" t="n"/>
      <c r="H365" s="2" t="n"/>
      <c r="I365" s="2" t="n"/>
      <c r="J365" s="2" t="n"/>
      <c r="K365" s="2" t="n"/>
      <c r="L365" s="2" t="n"/>
      <c r="M365" s="2" t="n"/>
      <c r="N365" s="2" t="n"/>
      <c r="O365" s="2" t="n"/>
      <c r="P365" s="2" t="n"/>
      <c r="Q365" s="2">
        <f>IF(G365="","",TODAY()-G365)</f>
        <v/>
      </c>
    </row>
    <row r="366">
      <c r="A366" s="2" t="n"/>
      <c r="B366" s="2" t="n"/>
      <c r="C366" s="2" t="n"/>
      <c r="D366" s="2" t="n"/>
      <c r="E366" s="2" t="n"/>
      <c r="F366" s="2" t="n"/>
      <c r="G366" s="2" t="n"/>
      <c r="H366" s="2" t="n"/>
      <c r="I366" s="2" t="n"/>
      <c r="J366" s="2" t="n"/>
      <c r="K366" s="2" t="n"/>
      <c r="L366" s="2" t="n"/>
      <c r="M366" s="2" t="n"/>
      <c r="N366" s="2" t="n"/>
      <c r="O366" s="2" t="n"/>
      <c r="P366" s="2" t="n"/>
      <c r="Q366" s="2">
        <f>IF(G366="","",TODAY()-G366)</f>
        <v/>
      </c>
    </row>
    <row r="367">
      <c r="A367" s="2" t="n"/>
      <c r="B367" s="2" t="n"/>
      <c r="C367" s="2" t="n"/>
      <c r="D367" s="2" t="n"/>
      <c r="E367" s="2" t="n"/>
      <c r="F367" s="2" t="n"/>
      <c r="G367" s="2" t="n"/>
      <c r="H367" s="2" t="n"/>
      <c r="I367" s="2" t="n"/>
      <c r="J367" s="2" t="n"/>
      <c r="K367" s="2" t="n"/>
      <c r="L367" s="2" t="n"/>
      <c r="M367" s="2" t="n"/>
      <c r="N367" s="2" t="n"/>
      <c r="O367" s="2" t="n"/>
      <c r="P367" s="2" t="n"/>
      <c r="Q367" s="2">
        <f>IF(G367="","",TODAY()-G367)</f>
        <v/>
      </c>
    </row>
    <row r="368">
      <c r="A368" s="2" t="n"/>
      <c r="B368" s="2" t="n"/>
      <c r="C368" s="2" t="n"/>
      <c r="D368" s="2" t="n"/>
      <c r="E368" s="2" t="n"/>
      <c r="F368" s="2" t="n"/>
      <c r="G368" s="2" t="n"/>
      <c r="H368" s="2" t="n"/>
      <c r="I368" s="2" t="n"/>
      <c r="J368" s="2" t="n"/>
      <c r="K368" s="2" t="n"/>
      <c r="L368" s="2" t="n"/>
      <c r="M368" s="2" t="n"/>
      <c r="N368" s="2" t="n"/>
      <c r="O368" s="2" t="n"/>
      <c r="P368" s="2" t="n"/>
      <c r="Q368" s="2">
        <f>IF(G368="","",TODAY()-G368)</f>
        <v/>
      </c>
    </row>
    <row r="369">
      <c r="A369" s="2" t="n"/>
      <c r="B369" s="2" t="n"/>
      <c r="C369" s="2" t="n"/>
      <c r="D369" s="2" t="n"/>
      <c r="E369" s="2" t="n"/>
      <c r="F369" s="2" t="n"/>
      <c r="G369" s="2" t="n"/>
      <c r="H369" s="2" t="n"/>
      <c r="I369" s="2" t="n"/>
      <c r="J369" s="2" t="n"/>
      <c r="K369" s="2" t="n"/>
      <c r="L369" s="2" t="n"/>
      <c r="M369" s="2" t="n"/>
      <c r="N369" s="2" t="n"/>
      <c r="O369" s="2" t="n"/>
      <c r="P369" s="2" t="n"/>
      <c r="Q369" s="2">
        <f>IF(G369="","",TODAY()-G369)</f>
        <v/>
      </c>
    </row>
    <row r="370">
      <c r="A370" s="2" t="n"/>
      <c r="B370" s="2" t="n"/>
      <c r="C370" s="2" t="n"/>
      <c r="D370" s="2" t="n"/>
      <c r="E370" s="2" t="n"/>
      <c r="F370" s="2" t="n"/>
      <c r="G370" s="2" t="n"/>
      <c r="H370" s="2" t="n"/>
      <c r="I370" s="2" t="n"/>
      <c r="J370" s="2" t="n"/>
      <c r="K370" s="2" t="n"/>
      <c r="L370" s="2" t="n"/>
      <c r="M370" s="2" t="n"/>
      <c r="N370" s="2" t="n"/>
      <c r="O370" s="2" t="n"/>
      <c r="P370" s="2" t="n"/>
      <c r="Q370" s="2">
        <f>IF(G370="","",TODAY()-G370)</f>
        <v/>
      </c>
    </row>
    <row r="371">
      <c r="A371" s="2" t="n"/>
      <c r="B371" s="2" t="n"/>
      <c r="C371" s="2" t="n"/>
      <c r="D371" s="2" t="n"/>
      <c r="E371" s="2" t="n"/>
      <c r="F371" s="2" t="n"/>
      <c r="G371" s="2" t="n"/>
      <c r="H371" s="2" t="n"/>
      <c r="I371" s="2" t="n"/>
      <c r="J371" s="2" t="n"/>
      <c r="K371" s="2" t="n"/>
      <c r="L371" s="2" t="n"/>
      <c r="M371" s="2" t="n"/>
      <c r="N371" s="2" t="n"/>
      <c r="O371" s="2" t="n"/>
      <c r="P371" s="2" t="n"/>
      <c r="Q371" s="2">
        <f>IF(G371="","",TODAY()-G371)</f>
        <v/>
      </c>
    </row>
    <row r="372">
      <c r="A372" s="2" t="n"/>
      <c r="B372" s="2" t="n"/>
      <c r="C372" s="2" t="n"/>
      <c r="D372" s="2" t="n"/>
      <c r="E372" s="2" t="n"/>
      <c r="F372" s="2" t="n"/>
      <c r="G372" s="2" t="n"/>
      <c r="H372" s="2" t="n"/>
      <c r="I372" s="2" t="n"/>
      <c r="J372" s="2" t="n"/>
      <c r="K372" s="2" t="n"/>
      <c r="L372" s="2" t="n"/>
      <c r="M372" s="2" t="n"/>
      <c r="N372" s="2" t="n"/>
      <c r="O372" s="2" t="n"/>
      <c r="P372" s="2" t="n"/>
      <c r="Q372" s="2">
        <f>IF(G372="","",TODAY()-G372)</f>
        <v/>
      </c>
    </row>
    <row r="373">
      <c r="A373" s="2" t="n"/>
      <c r="B373" s="2" t="n"/>
      <c r="C373" s="2" t="n"/>
      <c r="D373" s="2" t="n"/>
      <c r="E373" s="2" t="n"/>
      <c r="F373" s="2" t="n"/>
      <c r="G373" s="2" t="n"/>
      <c r="H373" s="2" t="n"/>
      <c r="I373" s="2" t="n"/>
      <c r="J373" s="2" t="n"/>
      <c r="K373" s="2" t="n"/>
      <c r="L373" s="2" t="n"/>
      <c r="M373" s="2" t="n"/>
      <c r="N373" s="2" t="n"/>
      <c r="O373" s="2" t="n"/>
      <c r="P373" s="2" t="n"/>
      <c r="Q373" s="2">
        <f>IF(G373="","",TODAY()-G373)</f>
        <v/>
      </c>
    </row>
    <row r="374">
      <c r="A374" s="2" t="n"/>
      <c r="B374" s="2" t="n"/>
      <c r="C374" s="2" t="n"/>
      <c r="D374" s="2" t="n"/>
      <c r="E374" s="2" t="n"/>
      <c r="F374" s="2" t="n"/>
      <c r="G374" s="2" t="n"/>
      <c r="H374" s="2" t="n"/>
      <c r="I374" s="2" t="n"/>
      <c r="J374" s="2" t="n"/>
      <c r="K374" s="2" t="n"/>
      <c r="L374" s="2" t="n"/>
      <c r="M374" s="2" t="n"/>
      <c r="N374" s="2" t="n"/>
      <c r="O374" s="2" t="n"/>
      <c r="P374" s="2" t="n"/>
      <c r="Q374" s="2">
        <f>IF(G374="","",TODAY()-G374)</f>
        <v/>
      </c>
    </row>
    <row r="375">
      <c r="A375" s="2" t="n"/>
      <c r="B375" s="2" t="n"/>
      <c r="C375" s="2" t="n"/>
      <c r="D375" s="2" t="n"/>
      <c r="E375" s="2" t="n"/>
      <c r="F375" s="2" t="n"/>
      <c r="G375" s="2" t="n"/>
      <c r="H375" s="2" t="n"/>
      <c r="I375" s="2" t="n"/>
      <c r="J375" s="2" t="n"/>
      <c r="K375" s="2" t="n"/>
      <c r="L375" s="2" t="n"/>
      <c r="M375" s="2" t="n"/>
      <c r="N375" s="2" t="n"/>
      <c r="O375" s="2" t="n"/>
      <c r="P375" s="2" t="n"/>
      <c r="Q375" s="2">
        <f>IF(G375="","",TODAY()-G375)</f>
        <v/>
      </c>
    </row>
    <row r="376">
      <c r="A376" s="2" t="n"/>
      <c r="B376" s="2" t="n"/>
      <c r="C376" s="2" t="n"/>
      <c r="D376" s="2" t="n"/>
      <c r="E376" s="2" t="n"/>
      <c r="F376" s="2" t="n"/>
      <c r="G376" s="2" t="n"/>
      <c r="H376" s="2" t="n"/>
      <c r="I376" s="2" t="n"/>
      <c r="J376" s="2" t="n"/>
      <c r="K376" s="2" t="n"/>
      <c r="L376" s="2" t="n"/>
      <c r="M376" s="2" t="n"/>
      <c r="N376" s="2" t="n"/>
      <c r="O376" s="2" t="n"/>
      <c r="P376" s="2" t="n"/>
      <c r="Q376" s="2">
        <f>IF(G376="","",TODAY()-G376)</f>
        <v/>
      </c>
    </row>
    <row r="377">
      <c r="A377" s="2" t="n"/>
      <c r="B377" s="2" t="n"/>
      <c r="C377" s="2" t="n"/>
      <c r="D377" s="2" t="n"/>
      <c r="E377" s="2" t="n"/>
      <c r="F377" s="2" t="n"/>
      <c r="G377" s="2" t="n"/>
      <c r="H377" s="2" t="n"/>
      <c r="I377" s="2" t="n"/>
      <c r="J377" s="2" t="n"/>
      <c r="K377" s="2" t="n"/>
      <c r="L377" s="2" t="n"/>
      <c r="M377" s="2" t="n"/>
      <c r="N377" s="2" t="n"/>
      <c r="O377" s="2" t="n"/>
      <c r="P377" s="2" t="n"/>
      <c r="Q377" s="2">
        <f>IF(G377="","",TODAY()-G377)</f>
        <v/>
      </c>
    </row>
    <row r="378">
      <c r="A378" s="2" t="n"/>
      <c r="B378" s="2" t="n"/>
      <c r="C378" s="2" t="n"/>
      <c r="D378" s="2" t="n"/>
      <c r="E378" s="2" t="n"/>
      <c r="F378" s="2" t="n"/>
      <c r="G378" s="2" t="n"/>
      <c r="H378" s="2" t="n"/>
      <c r="I378" s="2" t="n"/>
      <c r="J378" s="2" t="n"/>
      <c r="K378" s="2" t="n"/>
      <c r="L378" s="2" t="n"/>
      <c r="M378" s="2" t="n"/>
      <c r="N378" s="2" t="n"/>
      <c r="O378" s="2" t="n"/>
      <c r="P378" s="2" t="n"/>
      <c r="Q378" s="2">
        <f>IF(G378="","",TODAY()-G378)</f>
        <v/>
      </c>
    </row>
    <row r="379">
      <c r="A379" s="2" t="n"/>
      <c r="B379" s="2" t="n"/>
      <c r="C379" s="2" t="n"/>
      <c r="D379" s="2" t="n"/>
      <c r="E379" s="2" t="n"/>
      <c r="F379" s="2" t="n"/>
      <c r="G379" s="2" t="n"/>
      <c r="H379" s="2" t="n"/>
      <c r="I379" s="2" t="n"/>
      <c r="J379" s="2" t="n"/>
      <c r="K379" s="2" t="n"/>
      <c r="L379" s="2" t="n"/>
      <c r="M379" s="2" t="n"/>
      <c r="N379" s="2" t="n"/>
      <c r="O379" s="2" t="n"/>
      <c r="P379" s="2" t="n"/>
      <c r="Q379" s="2">
        <f>IF(G379="","",TODAY()-G379)</f>
        <v/>
      </c>
    </row>
    <row r="380">
      <c r="A380" s="2" t="n"/>
      <c r="B380" s="2" t="n"/>
      <c r="C380" s="2" t="n"/>
      <c r="D380" s="2" t="n"/>
      <c r="E380" s="2" t="n"/>
      <c r="F380" s="2" t="n"/>
      <c r="G380" s="2" t="n"/>
      <c r="H380" s="2" t="n"/>
      <c r="I380" s="2" t="n"/>
      <c r="J380" s="2" t="n"/>
      <c r="K380" s="2" t="n"/>
      <c r="L380" s="2" t="n"/>
      <c r="M380" s="2" t="n"/>
      <c r="N380" s="2" t="n"/>
      <c r="O380" s="2" t="n"/>
      <c r="P380" s="2" t="n"/>
      <c r="Q380" s="2">
        <f>IF(G380="","",TODAY()-G380)</f>
        <v/>
      </c>
    </row>
    <row r="381">
      <c r="A381" s="2" t="n"/>
      <c r="B381" s="2" t="n"/>
      <c r="C381" s="2" t="n"/>
      <c r="D381" s="2" t="n"/>
      <c r="E381" s="2" t="n"/>
      <c r="F381" s="2" t="n"/>
      <c r="G381" s="2" t="n"/>
      <c r="H381" s="2" t="n"/>
      <c r="I381" s="2" t="n"/>
      <c r="J381" s="2" t="n"/>
      <c r="K381" s="2" t="n"/>
      <c r="L381" s="2" t="n"/>
      <c r="M381" s="2" t="n"/>
      <c r="N381" s="2" t="n"/>
      <c r="O381" s="2" t="n"/>
      <c r="P381" s="2" t="n"/>
      <c r="Q381" s="2">
        <f>IF(G381="","",TODAY()-G381)</f>
        <v/>
      </c>
    </row>
    <row r="382">
      <c r="A382" s="2" t="n"/>
      <c r="B382" s="2" t="n"/>
      <c r="C382" s="2" t="n"/>
      <c r="D382" s="2" t="n"/>
      <c r="E382" s="2" t="n"/>
      <c r="F382" s="2" t="n"/>
      <c r="G382" s="2" t="n"/>
      <c r="H382" s="2" t="n"/>
      <c r="I382" s="2" t="n"/>
      <c r="J382" s="2" t="n"/>
      <c r="K382" s="2" t="n"/>
      <c r="L382" s="2" t="n"/>
      <c r="M382" s="2" t="n"/>
      <c r="N382" s="2" t="n"/>
      <c r="O382" s="2" t="n"/>
      <c r="P382" s="2" t="n"/>
      <c r="Q382" s="2">
        <f>IF(G382="","",TODAY()-G382)</f>
        <v/>
      </c>
    </row>
    <row r="383">
      <c r="A383" s="2" t="n"/>
      <c r="B383" s="2" t="n"/>
      <c r="C383" s="2" t="n"/>
      <c r="D383" s="2" t="n"/>
      <c r="E383" s="2" t="n"/>
      <c r="F383" s="2" t="n"/>
      <c r="G383" s="2" t="n"/>
      <c r="H383" s="2" t="n"/>
      <c r="I383" s="2" t="n"/>
      <c r="J383" s="2" t="n"/>
      <c r="K383" s="2" t="n"/>
      <c r="L383" s="2" t="n"/>
      <c r="M383" s="2" t="n"/>
      <c r="N383" s="2" t="n"/>
      <c r="O383" s="2" t="n"/>
      <c r="P383" s="2" t="n"/>
      <c r="Q383" s="2">
        <f>IF(G383="","",TODAY()-G383)</f>
        <v/>
      </c>
    </row>
    <row r="384">
      <c r="A384" s="2" t="n"/>
      <c r="B384" s="2" t="n"/>
      <c r="C384" s="2" t="n"/>
      <c r="D384" s="2" t="n"/>
      <c r="E384" s="2" t="n"/>
      <c r="F384" s="2" t="n"/>
      <c r="G384" s="2" t="n"/>
      <c r="H384" s="2" t="n"/>
      <c r="I384" s="2" t="n"/>
      <c r="J384" s="2" t="n"/>
      <c r="K384" s="2" t="n"/>
      <c r="L384" s="2" t="n"/>
      <c r="M384" s="2" t="n"/>
      <c r="N384" s="2" t="n"/>
      <c r="O384" s="2" t="n"/>
      <c r="P384" s="2" t="n"/>
      <c r="Q384" s="2">
        <f>IF(G384="","",TODAY()-G384)</f>
        <v/>
      </c>
    </row>
    <row r="385">
      <c r="A385" s="2" t="n"/>
      <c r="B385" s="2" t="n"/>
      <c r="C385" s="2" t="n"/>
      <c r="D385" s="2" t="n"/>
      <c r="E385" s="2" t="n"/>
      <c r="F385" s="2" t="n"/>
      <c r="G385" s="2" t="n"/>
      <c r="H385" s="2" t="n"/>
      <c r="I385" s="2" t="n"/>
      <c r="J385" s="2" t="n"/>
      <c r="K385" s="2" t="n"/>
      <c r="L385" s="2" t="n"/>
      <c r="M385" s="2" t="n"/>
      <c r="N385" s="2" t="n"/>
      <c r="O385" s="2" t="n"/>
      <c r="P385" s="2" t="n"/>
      <c r="Q385" s="2">
        <f>IF(G385="","",TODAY()-G385)</f>
        <v/>
      </c>
    </row>
    <row r="386">
      <c r="A386" s="2" t="n"/>
      <c r="B386" s="2" t="n"/>
      <c r="C386" s="2" t="n"/>
      <c r="D386" s="2" t="n"/>
      <c r="E386" s="2" t="n"/>
      <c r="F386" s="2" t="n"/>
      <c r="G386" s="2" t="n"/>
      <c r="H386" s="2" t="n"/>
      <c r="I386" s="2" t="n"/>
      <c r="J386" s="2" t="n"/>
      <c r="K386" s="2" t="n"/>
      <c r="L386" s="2" t="n"/>
      <c r="M386" s="2" t="n"/>
      <c r="N386" s="2" t="n"/>
      <c r="O386" s="2" t="n"/>
      <c r="P386" s="2" t="n"/>
      <c r="Q386" s="2">
        <f>IF(G386="","",TODAY()-G386)</f>
        <v/>
      </c>
    </row>
    <row r="387">
      <c r="A387" s="2" t="n"/>
      <c r="B387" s="2" t="n"/>
      <c r="C387" s="2" t="n"/>
      <c r="D387" s="2" t="n"/>
      <c r="E387" s="2" t="n"/>
      <c r="F387" s="2" t="n"/>
      <c r="G387" s="2" t="n"/>
      <c r="H387" s="2" t="n"/>
      <c r="I387" s="2" t="n"/>
      <c r="J387" s="2" t="n"/>
      <c r="K387" s="2" t="n"/>
      <c r="L387" s="2" t="n"/>
      <c r="M387" s="2" t="n"/>
      <c r="N387" s="2" t="n"/>
      <c r="O387" s="2" t="n"/>
      <c r="P387" s="2" t="n"/>
      <c r="Q387" s="2">
        <f>IF(G387="","",TODAY()-G387)</f>
        <v/>
      </c>
    </row>
    <row r="388">
      <c r="A388" s="2" t="n"/>
      <c r="B388" s="2" t="n"/>
      <c r="C388" s="2" t="n"/>
      <c r="D388" s="2" t="n"/>
      <c r="E388" s="2" t="n"/>
      <c r="F388" s="2" t="n"/>
      <c r="G388" s="2" t="n"/>
      <c r="H388" s="2" t="n"/>
      <c r="I388" s="2" t="n"/>
      <c r="J388" s="2" t="n"/>
      <c r="K388" s="2" t="n"/>
      <c r="L388" s="2" t="n"/>
      <c r="M388" s="2" t="n"/>
      <c r="N388" s="2" t="n"/>
      <c r="O388" s="2" t="n"/>
      <c r="P388" s="2" t="n"/>
      <c r="Q388" s="2">
        <f>IF(G388="","",TODAY()-G388)</f>
        <v/>
      </c>
    </row>
    <row r="389">
      <c r="A389" s="2" t="n"/>
      <c r="B389" s="2" t="n"/>
      <c r="C389" s="2" t="n"/>
      <c r="D389" s="2" t="n"/>
      <c r="E389" s="2" t="n"/>
      <c r="F389" s="2" t="n"/>
      <c r="G389" s="2" t="n"/>
      <c r="H389" s="2" t="n"/>
      <c r="I389" s="2" t="n"/>
      <c r="J389" s="2" t="n"/>
      <c r="K389" s="2" t="n"/>
      <c r="L389" s="2" t="n"/>
      <c r="M389" s="2" t="n"/>
      <c r="N389" s="2" t="n"/>
      <c r="O389" s="2" t="n"/>
      <c r="P389" s="2" t="n"/>
      <c r="Q389" s="2">
        <f>IF(G389="","",TODAY()-G389)</f>
        <v/>
      </c>
    </row>
    <row r="390">
      <c r="A390" s="2" t="n"/>
      <c r="B390" s="2" t="n"/>
      <c r="C390" s="2" t="n"/>
      <c r="D390" s="2" t="n"/>
      <c r="E390" s="2" t="n"/>
      <c r="F390" s="2" t="n"/>
      <c r="G390" s="2" t="n"/>
      <c r="H390" s="2" t="n"/>
      <c r="I390" s="2" t="n"/>
      <c r="J390" s="2" t="n"/>
      <c r="K390" s="2" t="n"/>
      <c r="L390" s="2" t="n"/>
      <c r="M390" s="2" t="n"/>
      <c r="N390" s="2" t="n"/>
      <c r="O390" s="2" t="n"/>
      <c r="P390" s="2" t="n"/>
      <c r="Q390" s="2">
        <f>IF(G390="","",TODAY()-G390)</f>
        <v/>
      </c>
    </row>
    <row r="391">
      <c r="A391" s="2" t="n"/>
      <c r="B391" s="2" t="n"/>
      <c r="C391" s="2" t="n"/>
      <c r="D391" s="2" t="n"/>
      <c r="E391" s="2" t="n"/>
      <c r="F391" s="2" t="n"/>
      <c r="G391" s="2" t="n"/>
      <c r="H391" s="2" t="n"/>
      <c r="I391" s="2" t="n"/>
      <c r="J391" s="2" t="n"/>
      <c r="K391" s="2" t="n"/>
      <c r="L391" s="2" t="n"/>
      <c r="M391" s="2" t="n"/>
      <c r="N391" s="2" t="n"/>
      <c r="O391" s="2" t="n"/>
      <c r="P391" s="2" t="n"/>
      <c r="Q391" s="2">
        <f>IF(G391="","",TODAY()-G391)</f>
        <v/>
      </c>
    </row>
    <row r="392">
      <c r="A392" s="2" t="n"/>
      <c r="B392" s="2" t="n"/>
      <c r="C392" s="2" t="n"/>
      <c r="D392" s="2" t="n"/>
      <c r="E392" s="2" t="n"/>
      <c r="F392" s="2" t="n"/>
      <c r="G392" s="2" t="n"/>
      <c r="H392" s="2" t="n"/>
      <c r="I392" s="2" t="n"/>
      <c r="J392" s="2" t="n"/>
      <c r="K392" s="2" t="n"/>
      <c r="L392" s="2" t="n"/>
      <c r="M392" s="2" t="n"/>
      <c r="N392" s="2" t="n"/>
      <c r="O392" s="2" t="n"/>
      <c r="P392" s="2" t="n"/>
      <c r="Q392" s="2">
        <f>IF(G392="","",TODAY()-G392)</f>
        <v/>
      </c>
    </row>
    <row r="393">
      <c r="A393" s="2" t="n"/>
      <c r="B393" s="2" t="n"/>
      <c r="C393" s="2" t="n"/>
      <c r="D393" s="2" t="n"/>
      <c r="E393" s="2" t="n"/>
      <c r="F393" s="2" t="n"/>
      <c r="G393" s="2" t="n"/>
      <c r="H393" s="2" t="n"/>
      <c r="I393" s="2" t="n"/>
      <c r="J393" s="2" t="n"/>
      <c r="K393" s="2" t="n"/>
      <c r="L393" s="2" t="n"/>
      <c r="M393" s="2" t="n"/>
      <c r="N393" s="2" t="n"/>
      <c r="O393" s="2" t="n"/>
      <c r="P393" s="2" t="n"/>
      <c r="Q393" s="2">
        <f>IF(G393="","",TODAY()-G393)</f>
        <v/>
      </c>
    </row>
    <row r="394">
      <c r="A394" s="2" t="n"/>
      <c r="B394" s="2" t="n"/>
      <c r="C394" s="2" t="n"/>
      <c r="D394" s="2" t="n"/>
      <c r="E394" s="2" t="n"/>
      <c r="F394" s="2" t="n"/>
      <c r="G394" s="2" t="n"/>
      <c r="H394" s="2" t="n"/>
      <c r="I394" s="2" t="n"/>
      <c r="J394" s="2" t="n"/>
      <c r="K394" s="2" t="n"/>
      <c r="L394" s="2" t="n"/>
      <c r="M394" s="2" t="n"/>
      <c r="N394" s="2" t="n"/>
      <c r="O394" s="2" t="n"/>
      <c r="P394" s="2" t="n"/>
      <c r="Q394" s="2">
        <f>IF(G394="","",TODAY()-G394)</f>
        <v/>
      </c>
    </row>
    <row r="395">
      <c r="A395" s="2" t="n"/>
      <c r="B395" s="2" t="n"/>
      <c r="C395" s="2" t="n"/>
      <c r="D395" s="2" t="n"/>
      <c r="E395" s="2" t="n"/>
      <c r="F395" s="2" t="n"/>
      <c r="G395" s="2" t="n"/>
      <c r="H395" s="2" t="n"/>
      <c r="I395" s="2" t="n"/>
      <c r="J395" s="2" t="n"/>
      <c r="K395" s="2" t="n"/>
      <c r="L395" s="2" t="n"/>
      <c r="M395" s="2" t="n"/>
      <c r="N395" s="2" t="n"/>
      <c r="O395" s="2" t="n"/>
      <c r="P395" s="2" t="n"/>
      <c r="Q395" s="2">
        <f>IF(G395="","",TODAY()-G395)</f>
        <v/>
      </c>
    </row>
    <row r="396">
      <c r="A396" s="2" t="n"/>
      <c r="B396" s="2" t="n"/>
      <c r="C396" s="2" t="n"/>
      <c r="D396" s="2" t="n"/>
      <c r="E396" s="2" t="n"/>
      <c r="F396" s="2" t="n"/>
      <c r="G396" s="2" t="n"/>
      <c r="H396" s="2" t="n"/>
      <c r="I396" s="2" t="n"/>
      <c r="J396" s="2" t="n"/>
      <c r="K396" s="2" t="n"/>
      <c r="L396" s="2" t="n"/>
      <c r="M396" s="2" t="n"/>
      <c r="N396" s="2" t="n"/>
      <c r="O396" s="2" t="n"/>
      <c r="P396" s="2" t="n"/>
      <c r="Q396" s="2">
        <f>IF(G396="","",TODAY()-G396)</f>
        <v/>
      </c>
    </row>
    <row r="397">
      <c r="A397" s="2" t="n"/>
      <c r="B397" s="2" t="n"/>
      <c r="C397" s="2" t="n"/>
      <c r="D397" s="2" t="n"/>
      <c r="E397" s="2" t="n"/>
      <c r="F397" s="2" t="n"/>
      <c r="G397" s="2" t="n"/>
      <c r="H397" s="2" t="n"/>
      <c r="I397" s="2" t="n"/>
      <c r="J397" s="2" t="n"/>
      <c r="K397" s="2" t="n"/>
      <c r="L397" s="2" t="n"/>
      <c r="M397" s="2" t="n"/>
      <c r="N397" s="2" t="n"/>
      <c r="O397" s="2" t="n"/>
      <c r="P397" s="2" t="n"/>
      <c r="Q397" s="2">
        <f>IF(G397="","",TODAY()-G397)</f>
        <v/>
      </c>
    </row>
    <row r="398">
      <c r="A398" s="2" t="n"/>
      <c r="B398" s="2" t="n"/>
      <c r="C398" s="2" t="n"/>
      <c r="D398" s="2" t="n"/>
      <c r="E398" s="2" t="n"/>
      <c r="F398" s="2" t="n"/>
      <c r="G398" s="2" t="n"/>
      <c r="H398" s="2" t="n"/>
      <c r="I398" s="2" t="n"/>
      <c r="J398" s="2" t="n"/>
      <c r="K398" s="2" t="n"/>
      <c r="L398" s="2" t="n"/>
      <c r="M398" s="2" t="n"/>
      <c r="N398" s="2" t="n"/>
      <c r="O398" s="2" t="n"/>
      <c r="P398" s="2" t="n"/>
      <c r="Q398" s="2">
        <f>IF(G398="","",TODAY()-G398)</f>
        <v/>
      </c>
    </row>
    <row r="399">
      <c r="A399" s="2" t="n"/>
      <c r="B399" s="2" t="n"/>
      <c r="C399" s="2" t="n"/>
      <c r="D399" s="2" t="n"/>
      <c r="E399" s="2" t="n"/>
      <c r="F399" s="2" t="n"/>
      <c r="G399" s="2" t="n"/>
      <c r="H399" s="2" t="n"/>
      <c r="I399" s="2" t="n"/>
      <c r="J399" s="2" t="n"/>
      <c r="K399" s="2" t="n"/>
      <c r="L399" s="2" t="n"/>
      <c r="M399" s="2" t="n"/>
      <c r="N399" s="2" t="n"/>
      <c r="O399" s="2" t="n"/>
      <c r="P399" s="2" t="n"/>
      <c r="Q399" s="2">
        <f>IF(G399="","",TODAY()-G399)</f>
        <v/>
      </c>
    </row>
    <row r="400">
      <c r="A400" s="2" t="n"/>
      <c r="B400" s="2" t="n"/>
      <c r="C400" s="2" t="n"/>
      <c r="D400" s="2" t="n"/>
      <c r="E400" s="2" t="n"/>
      <c r="F400" s="2" t="n"/>
      <c r="G400" s="2" t="n"/>
      <c r="H400" s="2" t="n"/>
      <c r="I400" s="2" t="n"/>
      <c r="J400" s="2" t="n"/>
      <c r="K400" s="2" t="n"/>
      <c r="L400" s="2" t="n"/>
      <c r="M400" s="2" t="n"/>
      <c r="N400" s="2" t="n"/>
      <c r="O400" s="2" t="n"/>
      <c r="P400" s="2" t="n"/>
      <c r="Q400" s="2">
        <f>IF(G400="","",TODAY()-G400)</f>
        <v/>
      </c>
    </row>
    <row r="401">
      <c r="A401" s="2" t="n"/>
      <c r="B401" s="2" t="n"/>
      <c r="C401" s="2" t="n"/>
      <c r="D401" s="2" t="n"/>
      <c r="E401" s="2" t="n"/>
      <c r="F401" s="2" t="n"/>
      <c r="G401" s="2" t="n"/>
      <c r="H401" s="2" t="n"/>
      <c r="I401" s="2" t="n"/>
      <c r="J401" s="2" t="n"/>
      <c r="K401" s="2" t="n"/>
      <c r="L401" s="2" t="n"/>
      <c r="M401" s="2" t="n"/>
      <c r="N401" s="2" t="n"/>
      <c r="O401" s="2" t="n"/>
      <c r="P401" s="2" t="n"/>
      <c r="Q401" s="2">
        <f>IF(G401="","",TODAY()-G401)</f>
        <v/>
      </c>
    </row>
    <row r="402">
      <c r="A402" s="2" t="n"/>
      <c r="B402" s="2" t="n"/>
      <c r="C402" s="2" t="n"/>
      <c r="D402" s="2" t="n"/>
      <c r="E402" s="2" t="n"/>
      <c r="F402" s="2" t="n"/>
      <c r="G402" s="2" t="n"/>
      <c r="H402" s="2" t="n"/>
      <c r="I402" s="2" t="n"/>
      <c r="J402" s="2" t="n"/>
      <c r="K402" s="2" t="n"/>
      <c r="L402" s="2" t="n"/>
      <c r="M402" s="2" t="n"/>
      <c r="N402" s="2" t="n"/>
      <c r="O402" s="2" t="n"/>
      <c r="P402" s="2" t="n"/>
      <c r="Q402" s="2">
        <f>IF(G402="","",TODAY()-G402)</f>
        <v/>
      </c>
    </row>
    <row r="403">
      <c r="A403" s="2" t="n"/>
      <c r="B403" s="2" t="n"/>
      <c r="C403" s="2" t="n"/>
      <c r="D403" s="2" t="n"/>
      <c r="E403" s="2" t="n"/>
      <c r="F403" s="2" t="n"/>
      <c r="G403" s="2" t="n"/>
      <c r="H403" s="2" t="n"/>
      <c r="I403" s="2" t="n"/>
      <c r="J403" s="2" t="n"/>
      <c r="K403" s="2" t="n"/>
      <c r="L403" s="2" t="n"/>
      <c r="M403" s="2" t="n"/>
      <c r="N403" s="2" t="n"/>
      <c r="O403" s="2" t="n"/>
      <c r="P403" s="2" t="n"/>
      <c r="Q403" s="2">
        <f>IF(G403="","",TODAY()-G403)</f>
        <v/>
      </c>
    </row>
    <row r="404">
      <c r="A404" s="2" t="n"/>
      <c r="B404" s="2" t="n"/>
      <c r="C404" s="2" t="n"/>
      <c r="D404" s="2" t="n"/>
      <c r="E404" s="2" t="n"/>
      <c r="F404" s="2" t="n"/>
      <c r="G404" s="2" t="n"/>
      <c r="H404" s="2" t="n"/>
      <c r="I404" s="2" t="n"/>
      <c r="J404" s="2" t="n"/>
      <c r="K404" s="2" t="n"/>
      <c r="L404" s="2" t="n"/>
      <c r="M404" s="2" t="n"/>
      <c r="N404" s="2" t="n"/>
      <c r="O404" s="2" t="n"/>
      <c r="P404" s="2" t="n"/>
      <c r="Q404" s="2">
        <f>IF(G404="","",TODAY()-G404)</f>
        <v/>
      </c>
    </row>
    <row r="405">
      <c r="A405" s="2" t="n"/>
      <c r="B405" s="2" t="n"/>
      <c r="C405" s="2" t="n"/>
      <c r="D405" s="2" t="n"/>
      <c r="E405" s="2" t="n"/>
      <c r="F405" s="2" t="n"/>
      <c r="G405" s="2" t="n"/>
      <c r="H405" s="2" t="n"/>
      <c r="I405" s="2" t="n"/>
      <c r="J405" s="2" t="n"/>
      <c r="K405" s="2" t="n"/>
      <c r="L405" s="2" t="n"/>
      <c r="M405" s="2" t="n"/>
      <c r="N405" s="2" t="n"/>
      <c r="O405" s="2" t="n"/>
      <c r="P405" s="2" t="n"/>
      <c r="Q405" s="2">
        <f>IF(G405="","",TODAY()-G405)</f>
        <v/>
      </c>
    </row>
    <row r="406">
      <c r="A406" s="2" t="n"/>
      <c r="B406" s="2" t="n"/>
      <c r="C406" s="2" t="n"/>
      <c r="D406" s="2" t="n"/>
      <c r="E406" s="2" t="n"/>
      <c r="F406" s="2" t="n"/>
      <c r="G406" s="2" t="n"/>
      <c r="H406" s="2" t="n"/>
      <c r="I406" s="2" t="n"/>
      <c r="J406" s="2" t="n"/>
      <c r="K406" s="2" t="n"/>
      <c r="L406" s="2" t="n"/>
      <c r="M406" s="2" t="n"/>
      <c r="N406" s="2" t="n"/>
      <c r="O406" s="2" t="n"/>
      <c r="P406" s="2" t="n"/>
      <c r="Q406" s="2">
        <f>IF(G406="","",TODAY()-G406)</f>
        <v/>
      </c>
    </row>
    <row r="407">
      <c r="A407" s="2" t="n"/>
      <c r="B407" s="2" t="n"/>
      <c r="C407" s="2" t="n"/>
      <c r="D407" s="2" t="n"/>
      <c r="E407" s="2" t="n"/>
      <c r="F407" s="2" t="n"/>
      <c r="G407" s="2" t="n"/>
      <c r="H407" s="2" t="n"/>
      <c r="I407" s="2" t="n"/>
      <c r="J407" s="2" t="n"/>
      <c r="K407" s="2" t="n"/>
      <c r="L407" s="2" t="n"/>
      <c r="M407" s="2" t="n"/>
      <c r="N407" s="2" t="n"/>
      <c r="O407" s="2" t="n"/>
      <c r="P407" s="2" t="n"/>
      <c r="Q407" s="2">
        <f>IF(G407="","",TODAY()-G407)</f>
        <v/>
      </c>
    </row>
    <row r="408">
      <c r="A408" s="2" t="n"/>
      <c r="B408" s="2" t="n"/>
      <c r="C408" s="2" t="n"/>
      <c r="D408" s="2" t="n"/>
      <c r="E408" s="2" t="n"/>
      <c r="F408" s="2" t="n"/>
      <c r="G408" s="2" t="n"/>
      <c r="H408" s="2" t="n"/>
      <c r="I408" s="2" t="n"/>
      <c r="J408" s="2" t="n"/>
      <c r="K408" s="2" t="n"/>
      <c r="L408" s="2" t="n"/>
      <c r="M408" s="2" t="n"/>
      <c r="N408" s="2" t="n"/>
      <c r="O408" s="2" t="n"/>
      <c r="P408" s="2" t="n"/>
      <c r="Q408" s="2">
        <f>IF(G408="","",TODAY()-G408)</f>
        <v/>
      </c>
    </row>
    <row r="409">
      <c r="A409" s="2" t="n"/>
      <c r="B409" s="2" t="n"/>
      <c r="C409" s="2" t="n"/>
      <c r="D409" s="2" t="n"/>
      <c r="E409" s="2" t="n"/>
      <c r="F409" s="2" t="n"/>
      <c r="G409" s="2" t="n"/>
      <c r="H409" s="2" t="n"/>
      <c r="I409" s="2" t="n"/>
      <c r="J409" s="2" t="n"/>
      <c r="K409" s="2" t="n"/>
      <c r="L409" s="2" t="n"/>
      <c r="M409" s="2" t="n"/>
      <c r="N409" s="2" t="n"/>
      <c r="O409" s="2" t="n"/>
      <c r="P409" s="2" t="n"/>
      <c r="Q409" s="2">
        <f>IF(G409="","",TODAY()-G409)</f>
        <v/>
      </c>
    </row>
    <row r="410">
      <c r="A410" s="2" t="n"/>
      <c r="B410" s="2" t="n"/>
      <c r="C410" s="2" t="n"/>
      <c r="D410" s="2" t="n"/>
      <c r="E410" s="2" t="n"/>
      <c r="F410" s="2" t="n"/>
      <c r="G410" s="2" t="n"/>
      <c r="H410" s="2" t="n"/>
      <c r="I410" s="2" t="n"/>
      <c r="J410" s="2" t="n"/>
      <c r="K410" s="2" t="n"/>
      <c r="L410" s="2" t="n"/>
      <c r="M410" s="2" t="n"/>
      <c r="N410" s="2" t="n"/>
      <c r="O410" s="2" t="n"/>
      <c r="P410" s="2" t="n"/>
      <c r="Q410" s="2">
        <f>IF(G410="","",TODAY()-G410)</f>
        <v/>
      </c>
    </row>
    <row r="411">
      <c r="A411" s="2" t="n"/>
      <c r="B411" s="2" t="n"/>
      <c r="C411" s="2" t="n"/>
      <c r="D411" s="2" t="n"/>
      <c r="E411" s="2" t="n"/>
      <c r="F411" s="2" t="n"/>
      <c r="G411" s="2" t="n"/>
      <c r="H411" s="2" t="n"/>
      <c r="I411" s="2" t="n"/>
      <c r="J411" s="2" t="n"/>
      <c r="K411" s="2" t="n"/>
      <c r="L411" s="2" t="n"/>
      <c r="M411" s="2" t="n"/>
      <c r="N411" s="2" t="n"/>
      <c r="O411" s="2" t="n"/>
      <c r="P411" s="2" t="n"/>
      <c r="Q411" s="2">
        <f>IF(G411="","",TODAY()-G411)</f>
        <v/>
      </c>
    </row>
    <row r="412">
      <c r="A412" s="2" t="n"/>
      <c r="B412" s="2" t="n"/>
      <c r="C412" s="2" t="n"/>
      <c r="D412" s="2" t="n"/>
      <c r="E412" s="2" t="n"/>
      <c r="F412" s="2" t="n"/>
      <c r="G412" s="2" t="n"/>
      <c r="H412" s="2" t="n"/>
      <c r="I412" s="2" t="n"/>
      <c r="J412" s="2" t="n"/>
      <c r="K412" s="2" t="n"/>
      <c r="L412" s="2" t="n"/>
      <c r="M412" s="2" t="n"/>
      <c r="N412" s="2" t="n"/>
      <c r="O412" s="2" t="n"/>
      <c r="P412" s="2" t="n"/>
      <c r="Q412" s="2">
        <f>IF(G412="","",TODAY()-G412)</f>
        <v/>
      </c>
    </row>
    <row r="413">
      <c r="A413" s="2" t="n"/>
      <c r="B413" s="2" t="n"/>
      <c r="C413" s="2" t="n"/>
      <c r="D413" s="2" t="n"/>
      <c r="E413" s="2" t="n"/>
      <c r="F413" s="2" t="n"/>
      <c r="G413" s="2" t="n"/>
      <c r="H413" s="2" t="n"/>
      <c r="I413" s="2" t="n"/>
      <c r="J413" s="2" t="n"/>
      <c r="K413" s="2" t="n"/>
      <c r="L413" s="2" t="n"/>
      <c r="M413" s="2" t="n"/>
      <c r="N413" s="2" t="n"/>
      <c r="O413" s="2" t="n"/>
      <c r="P413" s="2" t="n"/>
      <c r="Q413" s="2">
        <f>IF(G413="","",TODAY()-G413)</f>
        <v/>
      </c>
    </row>
    <row r="414">
      <c r="A414" s="2" t="n"/>
      <c r="B414" s="2" t="n"/>
      <c r="C414" s="2" t="n"/>
      <c r="D414" s="2" t="n"/>
      <c r="E414" s="2" t="n"/>
      <c r="F414" s="2" t="n"/>
      <c r="G414" s="2" t="n"/>
      <c r="H414" s="2" t="n"/>
      <c r="I414" s="2" t="n"/>
      <c r="J414" s="2" t="n"/>
      <c r="K414" s="2" t="n"/>
      <c r="L414" s="2" t="n"/>
      <c r="M414" s="2" t="n"/>
      <c r="N414" s="2" t="n"/>
      <c r="O414" s="2" t="n"/>
      <c r="P414" s="2" t="n"/>
      <c r="Q414" s="2">
        <f>IF(G414="","",TODAY()-G414)</f>
        <v/>
      </c>
    </row>
    <row r="415">
      <c r="A415" s="2" t="n"/>
      <c r="B415" s="2" t="n"/>
      <c r="C415" s="2" t="n"/>
      <c r="D415" s="2" t="n"/>
      <c r="E415" s="2" t="n"/>
      <c r="F415" s="2" t="n"/>
      <c r="G415" s="2" t="n"/>
      <c r="H415" s="2" t="n"/>
      <c r="I415" s="2" t="n"/>
      <c r="J415" s="2" t="n"/>
      <c r="K415" s="2" t="n"/>
      <c r="L415" s="2" t="n"/>
      <c r="M415" s="2" t="n"/>
      <c r="N415" s="2" t="n"/>
      <c r="O415" s="2" t="n"/>
      <c r="P415" s="2" t="n"/>
      <c r="Q415" s="2">
        <f>IF(G415="","",TODAY()-G415)</f>
        <v/>
      </c>
    </row>
    <row r="416">
      <c r="A416" s="2" t="n"/>
      <c r="B416" s="2" t="n"/>
      <c r="C416" s="2" t="n"/>
      <c r="D416" s="2" t="n"/>
      <c r="E416" s="2" t="n"/>
      <c r="F416" s="2" t="n"/>
      <c r="G416" s="2" t="n"/>
      <c r="H416" s="2" t="n"/>
      <c r="I416" s="2" t="n"/>
      <c r="J416" s="2" t="n"/>
      <c r="K416" s="2" t="n"/>
      <c r="L416" s="2" t="n"/>
      <c r="M416" s="2" t="n"/>
      <c r="N416" s="2" t="n"/>
      <c r="O416" s="2" t="n"/>
      <c r="P416" s="2" t="n"/>
      <c r="Q416" s="2">
        <f>IF(G416="","",TODAY()-G416)</f>
        <v/>
      </c>
    </row>
    <row r="417">
      <c r="A417" s="2" t="n"/>
      <c r="B417" s="2" t="n"/>
      <c r="C417" s="2" t="n"/>
      <c r="D417" s="2" t="n"/>
      <c r="E417" s="2" t="n"/>
      <c r="F417" s="2" t="n"/>
      <c r="G417" s="2" t="n"/>
      <c r="H417" s="2" t="n"/>
      <c r="I417" s="2" t="n"/>
      <c r="J417" s="2" t="n"/>
      <c r="K417" s="2" t="n"/>
      <c r="L417" s="2" t="n"/>
      <c r="M417" s="2" t="n"/>
      <c r="N417" s="2" t="n"/>
      <c r="O417" s="2" t="n"/>
      <c r="P417" s="2" t="n"/>
      <c r="Q417" s="2">
        <f>IF(G417="","",TODAY()-G417)</f>
        <v/>
      </c>
    </row>
    <row r="418">
      <c r="A418" s="2" t="n"/>
      <c r="B418" s="2" t="n"/>
      <c r="C418" s="2" t="n"/>
      <c r="D418" s="2" t="n"/>
      <c r="E418" s="2" t="n"/>
      <c r="F418" s="2" t="n"/>
      <c r="G418" s="2" t="n"/>
      <c r="H418" s="2" t="n"/>
      <c r="I418" s="2" t="n"/>
      <c r="J418" s="2" t="n"/>
      <c r="K418" s="2" t="n"/>
      <c r="L418" s="2" t="n"/>
      <c r="M418" s="2" t="n"/>
      <c r="N418" s="2" t="n"/>
      <c r="O418" s="2" t="n"/>
      <c r="P418" s="2" t="n"/>
      <c r="Q418" s="2">
        <f>IF(G418="","",TODAY()-G418)</f>
        <v/>
      </c>
    </row>
    <row r="419">
      <c r="A419" s="2" t="n"/>
      <c r="B419" s="2" t="n"/>
      <c r="C419" s="2" t="n"/>
      <c r="D419" s="2" t="n"/>
      <c r="E419" s="2" t="n"/>
      <c r="F419" s="2" t="n"/>
      <c r="G419" s="2" t="n"/>
      <c r="H419" s="2" t="n"/>
      <c r="I419" s="2" t="n"/>
      <c r="J419" s="2" t="n"/>
      <c r="K419" s="2" t="n"/>
      <c r="L419" s="2" t="n"/>
      <c r="M419" s="2" t="n"/>
      <c r="N419" s="2" t="n"/>
      <c r="O419" s="2" t="n"/>
      <c r="P419" s="2" t="n"/>
      <c r="Q419" s="2">
        <f>IF(G419="","",TODAY()-G419)</f>
        <v/>
      </c>
    </row>
    <row r="420">
      <c r="A420" s="2" t="n"/>
      <c r="B420" s="2" t="n"/>
      <c r="C420" s="2" t="n"/>
      <c r="D420" s="2" t="n"/>
      <c r="E420" s="2" t="n"/>
      <c r="F420" s="2" t="n"/>
      <c r="G420" s="2" t="n"/>
      <c r="H420" s="2" t="n"/>
      <c r="I420" s="2" t="n"/>
      <c r="J420" s="2" t="n"/>
      <c r="K420" s="2" t="n"/>
      <c r="L420" s="2" t="n"/>
      <c r="M420" s="2" t="n"/>
      <c r="N420" s="2" t="n"/>
      <c r="O420" s="2" t="n"/>
      <c r="P420" s="2" t="n"/>
      <c r="Q420" s="2">
        <f>IF(G420="","",TODAY()-G420)</f>
        <v/>
      </c>
    </row>
    <row r="421">
      <c r="A421" s="2" t="n"/>
      <c r="B421" s="2" t="n"/>
      <c r="C421" s="2" t="n"/>
      <c r="D421" s="2" t="n"/>
      <c r="E421" s="2" t="n"/>
      <c r="F421" s="2" t="n"/>
      <c r="G421" s="2" t="n"/>
      <c r="H421" s="2" t="n"/>
      <c r="I421" s="2" t="n"/>
      <c r="J421" s="2" t="n"/>
      <c r="K421" s="2" t="n"/>
      <c r="L421" s="2" t="n"/>
      <c r="M421" s="2" t="n"/>
      <c r="N421" s="2" t="n"/>
      <c r="O421" s="2" t="n"/>
      <c r="P421" s="2" t="n"/>
      <c r="Q421" s="2">
        <f>IF(G421="","",TODAY()-G421)</f>
        <v/>
      </c>
    </row>
    <row r="422">
      <c r="A422" s="2" t="n"/>
      <c r="B422" s="2" t="n"/>
      <c r="C422" s="2" t="n"/>
      <c r="D422" s="2" t="n"/>
      <c r="E422" s="2" t="n"/>
      <c r="F422" s="2" t="n"/>
      <c r="G422" s="2" t="n"/>
      <c r="H422" s="2" t="n"/>
      <c r="I422" s="2" t="n"/>
      <c r="J422" s="2" t="n"/>
      <c r="K422" s="2" t="n"/>
      <c r="L422" s="2" t="n"/>
      <c r="M422" s="2" t="n"/>
      <c r="N422" s="2" t="n"/>
      <c r="O422" s="2" t="n"/>
      <c r="P422" s="2" t="n"/>
      <c r="Q422" s="2">
        <f>IF(G422="","",TODAY()-G422)</f>
        <v/>
      </c>
    </row>
    <row r="423">
      <c r="A423" s="2" t="n"/>
      <c r="B423" s="2" t="n"/>
      <c r="C423" s="2" t="n"/>
      <c r="D423" s="2" t="n"/>
      <c r="E423" s="2" t="n"/>
      <c r="F423" s="2" t="n"/>
      <c r="G423" s="2" t="n"/>
      <c r="H423" s="2" t="n"/>
      <c r="I423" s="2" t="n"/>
      <c r="J423" s="2" t="n"/>
      <c r="K423" s="2" t="n"/>
      <c r="L423" s="2" t="n"/>
      <c r="M423" s="2" t="n"/>
      <c r="N423" s="2" t="n"/>
      <c r="O423" s="2" t="n"/>
      <c r="P423" s="2" t="n"/>
      <c r="Q423" s="2">
        <f>IF(G423="","",TODAY()-G423)</f>
        <v/>
      </c>
    </row>
    <row r="424">
      <c r="A424" s="2" t="n"/>
      <c r="B424" s="2" t="n"/>
      <c r="C424" s="2" t="n"/>
      <c r="D424" s="2" t="n"/>
      <c r="E424" s="2" t="n"/>
      <c r="F424" s="2" t="n"/>
      <c r="G424" s="2" t="n"/>
      <c r="H424" s="2" t="n"/>
      <c r="I424" s="2" t="n"/>
      <c r="J424" s="2" t="n"/>
      <c r="K424" s="2" t="n"/>
      <c r="L424" s="2" t="n"/>
      <c r="M424" s="2" t="n"/>
      <c r="N424" s="2" t="n"/>
      <c r="O424" s="2" t="n"/>
      <c r="P424" s="2" t="n"/>
      <c r="Q424" s="2">
        <f>IF(G424="","",TODAY()-G424)</f>
        <v/>
      </c>
    </row>
    <row r="425">
      <c r="A425" s="2" t="n"/>
      <c r="B425" s="2" t="n"/>
      <c r="C425" s="2" t="n"/>
      <c r="D425" s="2" t="n"/>
      <c r="E425" s="2" t="n"/>
      <c r="F425" s="2" t="n"/>
      <c r="G425" s="2" t="n"/>
      <c r="H425" s="2" t="n"/>
      <c r="I425" s="2" t="n"/>
      <c r="J425" s="2" t="n"/>
      <c r="K425" s="2" t="n"/>
      <c r="L425" s="2" t="n"/>
      <c r="M425" s="2" t="n"/>
      <c r="N425" s="2" t="n"/>
      <c r="O425" s="2" t="n"/>
      <c r="P425" s="2" t="n"/>
      <c r="Q425" s="2">
        <f>IF(G425="","",TODAY()-G425)</f>
        <v/>
      </c>
    </row>
    <row r="426">
      <c r="A426" s="2" t="n"/>
      <c r="B426" s="2" t="n"/>
      <c r="C426" s="2" t="n"/>
      <c r="D426" s="2" t="n"/>
      <c r="E426" s="2" t="n"/>
      <c r="F426" s="2" t="n"/>
      <c r="G426" s="2" t="n"/>
      <c r="H426" s="2" t="n"/>
      <c r="I426" s="2" t="n"/>
      <c r="J426" s="2" t="n"/>
      <c r="K426" s="2" t="n"/>
      <c r="L426" s="2" t="n"/>
      <c r="M426" s="2" t="n"/>
      <c r="N426" s="2" t="n"/>
      <c r="O426" s="2" t="n"/>
      <c r="P426" s="2" t="n"/>
      <c r="Q426" s="2">
        <f>IF(G426="","",TODAY()-G426)</f>
        <v/>
      </c>
    </row>
    <row r="427">
      <c r="A427" s="2" t="n"/>
      <c r="B427" s="2" t="n"/>
      <c r="C427" s="2" t="n"/>
      <c r="D427" s="2" t="n"/>
      <c r="E427" s="2" t="n"/>
      <c r="F427" s="2" t="n"/>
      <c r="G427" s="2" t="n"/>
      <c r="H427" s="2" t="n"/>
      <c r="I427" s="2" t="n"/>
      <c r="J427" s="2" t="n"/>
      <c r="K427" s="2" t="n"/>
      <c r="L427" s="2" t="n"/>
      <c r="M427" s="2" t="n"/>
      <c r="N427" s="2" t="n"/>
      <c r="O427" s="2" t="n"/>
      <c r="P427" s="2" t="n"/>
      <c r="Q427" s="2">
        <f>IF(G427="","",TODAY()-G427)</f>
        <v/>
      </c>
    </row>
    <row r="428">
      <c r="A428" s="2" t="n"/>
      <c r="B428" s="2" t="n"/>
      <c r="C428" s="2" t="n"/>
      <c r="D428" s="2" t="n"/>
      <c r="E428" s="2" t="n"/>
      <c r="F428" s="2" t="n"/>
      <c r="G428" s="2" t="n"/>
      <c r="H428" s="2" t="n"/>
      <c r="I428" s="2" t="n"/>
      <c r="J428" s="2" t="n"/>
      <c r="K428" s="2" t="n"/>
      <c r="L428" s="2" t="n"/>
      <c r="M428" s="2" t="n"/>
      <c r="N428" s="2" t="n"/>
      <c r="O428" s="2" t="n"/>
      <c r="P428" s="2" t="n"/>
      <c r="Q428" s="2">
        <f>IF(G428="","",TODAY()-G428)</f>
        <v/>
      </c>
    </row>
    <row r="429">
      <c r="A429" s="2" t="n"/>
      <c r="B429" s="2" t="n"/>
      <c r="C429" s="2" t="n"/>
      <c r="D429" s="2" t="n"/>
      <c r="E429" s="2" t="n"/>
      <c r="F429" s="2" t="n"/>
      <c r="G429" s="2" t="n"/>
      <c r="H429" s="2" t="n"/>
      <c r="I429" s="2" t="n"/>
      <c r="J429" s="2" t="n"/>
      <c r="K429" s="2" t="n"/>
      <c r="L429" s="2" t="n"/>
      <c r="M429" s="2" t="n"/>
      <c r="N429" s="2" t="n"/>
      <c r="O429" s="2" t="n"/>
      <c r="P429" s="2" t="n"/>
      <c r="Q429" s="2">
        <f>IF(G429="","",TODAY()-G429)</f>
        <v/>
      </c>
    </row>
    <row r="430">
      <c r="A430" s="2" t="n"/>
      <c r="B430" s="2" t="n"/>
      <c r="C430" s="2" t="n"/>
      <c r="D430" s="2" t="n"/>
      <c r="E430" s="2" t="n"/>
      <c r="F430" s="2" t="n"/>
      <c r="G430" s="2" t="n"/>
      <c r="H430" s="2" t="n"/>
      <c r="I430" s="2" t="n"/>
      <c r="J430" s="2" t="n"/>
      <c r="K430" s="2" t="n"/>
      <c r="L430" s="2" t="n"/>
      <c r="M430" s="2" t="n"/>
      <c r="N430" s="2" t="n"/>
      <c r="O430" s="2" t="n"/>
      <c r="P430" s="2" t="n"/>
      <c r="Q430" s="2">
        <f>IF(G430="","",TODAY()-G430)</f>
        <v/>
      </c>
    </row>
    <row r="431">
      <c r="A431" s="2" t="n"/>
      <c r="B431" s="2" t="n"/>
      <c r="C431" s="2" t="n"/>
      <c r="D431" s="2" t="n"/>
      <c r="E431" s="2" t="n"/>
      <c r="F431" s="2" t="n"/>
      <c r="G431" s="2" t="n"/>
      <c r="H431" s="2" t="n"/>
      <c r="I431" s="2" t="n"/>
      <c r="J431" s="2" t="n"/>
      <c r="K431" s="2" t="n"/>
      <c r="L431" s="2" t="n"/>
      <c r="M431" s="2" t="n"/>
      <c r="N431" s="2" t="n"/>
      <c r="O431" s="2" t="n"/>
      <c r="P431" s="2" t="n"/>
      <c r="Q431" s="2">
        <f>IF(G431="","",TODAY()-G431)</f>
        <v/>
      </c>
    </row>
    <row r="432">
      <c r="A432" s="2" t="n"/>
      <c r="B432" s="2" t="n"/>
      <c r="C432" s="2" t="n"/>
      <c r="D432" s="2" t="n"/>
      <c r="E432" s="2" t="n"/>
      <c r="F432" s="2" t="n"/>
      <c r="G432" s="2" t="n"/>
      <c r="H432" s="2" t="n"/>
      <c r="I432" s="2" t="n"/>
      <c r="J432" s="2" t="n"/>
      <c r="K432" s="2" t="n"/>
      <c r="L432" s="2" t="n"/>
      <c r="M432" s="2" t="n"/>
      <c r="N432" s="2" t="n"/>
      <c r="O432" s="2" t="n"/>
      <c r="P432" s="2" t="n"/>
      <c r="Q432" s="2">
        <f>IF(G432="","",TODAY()-G432)</f>
        <v/>
      </c>
    </row>
    <row r="433">
      <c r="A433" s="2" t="n"/>
      <c r="B433" s="2" t="n"/>
      <c r="C433" s="2" t="n"/>
      <c r="D433" s="2" t="n"/>
      <c r="E433" s="2" t="n"/>
      <c r="F433" s="2" t="n"/>
      <c r="G433" s="2" t="n"/>
      <c r="H433" s="2" t="n"/>
      <c r="I433" s="2" t="n"/>
      <c r="J433" s="2" t="n"/>
      <c r="K433" s="2" t="n"/>
      <c r="L433" s="2" t="n"/>
      <c r="M433" s="2" t="n"/>
      <c r="N433" s="2" t="n"/>
      <c r="O433" s="2" t="n"/>
      <c r="P433" s="2" t="n"/>
      <c r="Q433" s="2">
        <f>IF(G433="","",TODAY()-G433)</f>
        <v/>
      </c>
    </row>
    <row r="434">
      <c r="A434" s="2" t="n"/>
      <c r="B434" s="2" t="n"/>
      <c r="C434" s="2" t="n"/>
      <c r="D434" s="2" t="n"/>
      <c r="E434" s="2" t="n"/>
      <c r="F434" s="2" t="n"/>
      <c r="G434" s="2" t="n"/>
      <c r="H434" s="2" t="n"/>
      <c r="I434" s="2" t="n"/>
      <c r="J434" s="2" t="n"/>
      <c r="K434" s="2" t="n"/>
      <c r="L434" s="2" t="n"/>
      <c r="M434" s="2" t="n"/>
      <c r="N434" s="2" t="n"/>
      <c r="O434" s="2" t="n"/>
      <c r="P434" s="2" t="n"/>
      <c r="Q434" s="2">
        <f>IF(G434="","",TODAY()-G434)</f>
        <v/>
      </c>
    </row>
    <row r="435">
      <c r="A435" s="2" t="n"/>
      <c r="B435" s="2" t="n"/>
      <c r="C435" s="2" t="n"/>
      <c r="D435" s="2" t="n"/>
      <c r="E435" s="2" t="n"/>
      <c r="F435" s="2" t="n"/>
      <c r="G435" s="2" t="n"/>
      <c r="H435" s="2" t="n"/>
      <c r="I435" s="2" t="n"/>
      <c r="J435" s="2" t="n"/>
      <c r="K435" s="2" t="n"/>
      <c r="L435" s="2" t="n"/>
      <c r="M435" s="2" t="n"/>
      <c r="N435" s="2" t="n"/>
      <c r="O435" s="2" t="n"/>
      <c r="P435" s="2" t="n"/>
      <c r="Q435" s="2">
        <f>IF(G435="","",TODAY()-G435)</f>
        <v/>
      </c>
    </row>
    <row r="436">
      <c r="A436" s="2" t="n"/>
      <c r="B436" s="2" t="n"/>
      <c r="C436" s="2" t="n"/>
      <c r="D436" s="2" t="n"/>
      <c r="E436" s="2" t="n"/>
      <c r="F436" s="2" t="n"/>
      <c r="G436" s="2" t="n"/>
      <c r="H436" s="2" t="n"/>
      <c r="I436" s="2" t="n"/>
      <c r="J436" s="2" t="n"/>
      <c r="K436" s="2" t="n"/>
      <c r="L436" s="2" t="n"/>
      <c r="M436" s="2" t="n"/>
      <c r="N436" s="2" t="n"/>
      <c r="O436" s="2" t="n"/>
      <c r="P436" s="2" t="n"/>
      <c r="Q436" s="2">
        <f>IF(G436="","",TODAY()-G436)</f>
        <v/>
      </c>
    </row>
    <row r="437">
      <c r="A437" s="2" t="n"/>
      <c r="B437" s="2" t="n"/>
      <c r="C437" s="2" t="n"/>
      <c r="D437" s="2" t="n"/>
      <c r="E437" s="2" t="n"/>
      <c r="F437" s="2" t="n"/>
      <c r="G437" s="2" t="n"/>
      <c r="H437" s="2" t="n"/>
      <c r="I437" s="2" t="n"/>
      <c r="J437" s="2" t="n"/>
      <c r="K437" s="2" t="n"/>
      <c r="L437" s="2" t="n"/>
      <c r="M437" s="2" t="n"/>
      <c r="N437" s="2" t="n"/>
      <c r="O437" s="2" t="n"/>
      <c r="P437" s="2" t="n"/>
      <c r="Q437" s="2">
        <f>IF(G437="","",TODAY()-G437)</f>
        <v/>
      </c>
    </row>
    <row r="438">
      <c r="A438" s="2" t="n"/>
      <c r="B438" s="2" t="n"/>
      <c r="C438" s="2" t="n"/>
      <c r="D438" s="2" t="n"/>
      <c r="E438" s="2" t="n"/>
      <c r="F438" s="2" t="n"/>
      <c r="G438" s="2" t="n"/>
      <c r="H438" s="2" t="n"/>
      <c r="I438" s="2" t="n"/>
      <c r="J438" s="2" t="n"/>
      <c r="K438" s="2" t="n"/>
      <c r="L438" s="2" t="n"/>
      <c r="M438" s="2" t="n"/>
      <c r="N438" s="2" t="n"/>
      <c r="O438" s="2" t="n"/>
      <c r="P438" s="2" t="n"/>
      <c r="Q438" s="2">
        <f>IF(G438="","",TODAY()-G438)</f>
        <v/>
      </c>
    </row>
    <row r="439">
      <c r="A439" s="2" t="n"/>
      <c r="B439" s="2" t="n"/>
      <c r="C439" s="2" t="n"/>
      <c r="D439" s="2" t="n"/>
      <c r="E439" s="2" t="n"/>
      <c r="F439" s="2" t="n"/>
      <c r="G439" s="2" t="n"/>
      <c r="H439" s="2" t="n"/>
      <c r="I439" s="2" t="n"/>
      <c r="J439" s="2" t="n"/>
      <c r="K439" s="2" t="n"/>
      <c r="L439" s="2" t="n"/>
      <c r="M439" s="2" t="n"/>
      <c r="N439" s="2" t="n"/>
      <c r="O439" s="2" t="n"/>
      <c r="P439" s="2" t="n"/>
      <c r="Q439" s="2">
        <f>IF(G439="","",TODAY()-G439)</f>
        <v/>
      </c>
    </row>
    <row r="440">
      <c r="A440" s="2" t="n"/>
      <c r="B440" s="2" t="n"/>
      <c r="C440" s="2" t="n"/>
      <c r="D440" s="2" t="n"/>
      <c r="E440" s="2" t="n"/>
      <c r="F440" s="2" t="n"/>
      <c r="G440" s="2" t="n"/>
      <c r="H440" s="2" t="n"/>
      <c r="I440" s="2" t="n"/>
      <c r="J440" s="2" t="n"/>
      <c r="K440" s="2" t="n"/>
      <c r="L440" s="2" t="n"/>
      <c r="M440" s="2" t="n"/>
      <c r="N440" s="2" t="n"/>
      <c r="O440" s="2" t="n"/>
      <c r="P440" s="2" t="n"/>
      <c r="Q440" s="2">
        <f>IF(G440="","",TODAY()-G440)</f>
        <v/>
      </c>
    </row>
    <row r="441">
      <c r="A441" s="2" t="n"/>
      <c r="B441" s="2" t="n"/>
      <c r="C441" s="2" t="n"/>
      <c r="D441" s="2" t="n"/>
      <c r="E441" s="2" t="n"/>
      <c r="F441" s="2" t="n"/>
      <c r="G441" s="2" t="n"/>
      <c r="H441" s="2" t="n"/>
      <c r="I441" s="2" t="n"/>
      <c r="J441" s="2" t="n"/>
      <c r="K441" s="2" t="n"/>
      <c r="L441" s="2" t="n"/>
      <c r="M441" s="2" t="n"/>
      <c r="N441" s="2" t="n"/>
      <c r="O441" s="2" t="n"/>
      <c r="P441" s="2" t="n"/>
      <c r="Q441" s="2">
        <f>IF(G441="","",TODAY()-G441)</f>
        <v/>
      </c>
    </row>
    <row r="442">
      <c r="A442" s="2" t="n"/>
      <c r="B442" s="2" t="n"/>
      <c r="C442" s="2" t="n"/>
      <c r="D442" s="2" t="n"/>
      <c r="E442" s="2" t="n"/>
      <c r="F442" s="2" t="n"/>
      <c r="G442" s="2" t="n"/>
      <c r="H442" s="2" t="n"/>
      <c r="I442" s="2" t="n"/>
      <c r="J442" s="2" t="n"/>
      <c r="K442" s="2" t="n"/>
      <c r="L442" s="2" t="n"/>
      <c r="M442" s="2" t="n"/>
      <c r="N442" s="2" t="n"/>
      <c r="O442" s="2" t="n"/>
      <c r="P442" s="2" t="n"/>
      <c r="Q442" s="2">
        <f>IF(G442="","",TODAY()-G442)</f>
        <v/>
      </c>
    </row>
    <row r="443">
      <c r="A443" s="2" t="n"/>
      <c r="B443" s="2" t="n"/>
      <c r="C443" s="2" t="n"/>
      <c r="D443" s="2" t="n"/>
      <c r="E443" s="2" t="n"/>
      <c r="F443" s="2" t="n"/>
      <c r="G443" s="2" t="n"/>
      <c r="H443" s="2" t="n"/>
      <c r="I443" s="2" t="n"/>
      <c r="J443" s="2" t="n"/>
      <c r="K443" s="2" t="n"/>
      <c r="L443" s="2" t="n"/>
      <c r="M443" s="2" t="n"/>
      <c r="N443" s="2" t="n"/>
      <c r="O443" s="2" t="n"/>
      <c r="P443" s="2" t="n"/>
      <c r="Q443" s="2">
        <f>IF(G443="","",TODAY()-G443)</f>
        <v/>
      </c>
    </row>
    <row r="444">
      <c r="A444" s="2" t="n"/>
      <c r="B444" s="2" t="n"/>
      <c r="C444" s="2" t="n"/>
      <c r="D444" s="2" t="n"/>
      <c r="E444" s="2" t="n"/>
      <c r="F444" s="2" t="n"/>
      <c r="G444" s="2" t="n"/>
      <c r="H444" s="2" t="n"/>
      <c r="I444" s="2" t="n"/>
      <c r="J444" s="2" t="n"/>
      <c r="K444" s="2" t="n"/>
      <c r="L444" s="2" t="n"/>
      <c r="M444" s="2" t="n"/>
      <c r="N444" s="2" t="n"/>
      <c r="O444" s="2" t="n"/>
      <c r="P444" s="2" t="n"/>
      <c r="Q444" s="2">
        <f>IF(G444="","",TODAY()-G444)</f>
        <v/>
      </c>
    </row>
    <row r="445">
      <c r="A445" s="2" t="n"/>
      <c r="B445" s="2" t="n"/>
      <c r="C445" s="2" t="n"/>
      <c r="D445" s="2" t="n"/>
      <c r="E445" s="2" t="n"/>
      <c r="F445" s="2" t="n"/>
      <c r="G445" s="2" t="n"/>
      <c r="H445" s="2" t="n"/>
      <c r="I445" s="2" t="n"/>
      <c r="J445" s="2" t="n"/>
      <c r="K445" s="2" t="n"/>
      <c r="L445" s="2" t="n"/>
      <c r="M445" s="2" t="n"/>
      <c r="N445" s="2" t="n"/>
      <c r="O445" s="2" t="n"/>
      <c r="P445" s="2" t="n"/>
      <c r="Q445" s="2">
        <f>IF(G445="","",TODAY()-G445)</f>
        <v/>
      </c>
    </row>
    <row r="446">
      <c r="A446" s="2" t="n"/>
      <c r="B446" s="2" t="n"/>
      <c r="C446" s="2" t="n"/>
      <c r="D446" s="2" t="n"/>
      <c r="E446" s="2" t="n"/>
      <c r="F446" s="2" t="n"/>
      <c r="G446" s="2" t="n"/>
      <c r="H446" s="2" t="n"/>
      <c r="I446" s="2" t="n"/>
      <c r="J446" s="2" t="n"/>
      <c r="K446" s="2" t="n"/>
      <c r="L446" s="2" t="n"/>
      <c r="M446" s="2" t="n"/>
      <c r="N446" s="2" t="n"/>
      <c r="O446" s="2" t="n"/>
      <c r="P446" s="2" t="n"/>
      <c r="Q446" s="2">
        <f>IF(G446="","",TODAY()-G446)</f>
        <v/>
      </c>
    </row>
    <row r="447">
      <c r="A447" s="2" t="n"/>
      <c r="B447" s="2" t="n"/>
      <c r="C447" s="2" t="n"/>
      <c r="D447" s="2" t="n"/>
      <c r="E447" s="2" t="n"/>
      <c r="F447" s="2" t="n"/>
      <c r="G447" s="2" t="n"/>
      <c r="H447" s="2" t="n"/>
      <c r="I447" s="2" t="n"/>
      <c r="J447" s="2" t="n"/>
      <c r="K447" s="2" t="n"/>
      <c r="L447" s="2" t="n"/>
      <c r="M447" s="2" t="n"/>
      <c r="N447" s="2" t="n"/>
      <c r="O447" s="2" t="n"/>
      <c r="P447" s="2" t="n"/>
      <c r="Q447" s="2">
        <f>IF(G447="","",TODAY()-G447)</f>
        <v/>
      </c>
    </row>
    <row r="448">
      <c r="A448" s="2" t="n"/>
      <c r="B448" s="2" t="n"/>
      <c r="C448" s="2" t="n"/>
      <c r="D448" s="2" t="n"/>
      <c r="E448" s="2" t="n"/>
      <c r="F448" s="2" t="n"/>
      <c r="G448" s="2" t="n"/>
      <c r="H448" s="2" t="n"/>
      <c r="I448" s="2" t="n"/>
      <c r="J448" s="2" t="n"/>
      <c r="K448" s="2" t="n"/>
      <c r="L448" s="2" t="n"/>
      <c r="M448" s="2" t="n"/>
      <c r="N448" s="2" t="n"/>
      <c r="O448" s="2" t="n"/>
      <c r="P448" s="2" t="n"/>
      <c r="Q448" s="2">
        <f>IF(G448="","",TODAY()-G448)</f>
        <v/>
      </c>
    </row>
    <row r="449">
      <c r="A449" s="2" t="n"/>
      <c r="B449" s="2" t="n"/>
      <c r="C449" s="2" t="n"/>
      <c r="D449" s="2" t="n"/>
      <c r="E449" s="2" t="n"/>
      <c r="F449" s="2" t="n"/>
      <c r="G449" s="2" t="n"/>
      <c r="H449" s="2" t="n"/>
      <c r="I449" s="2" t="n"/>
      <c r="J449" s="2" t="n"/>
      <c r="K449" s="2" t="n"/>
      <c r="L449" s="2" t="n"/>
      <c r="M449" s="2" t="n"/>
      <c r="N449" s="2" t="n"/>
      <c r="O449" s="2" t="n"/>
      <c r="P449" s="2" t="n"/>
      <c r="Q449" s="2">
        <f>IF(G449="","",TODAY()-G449)</f>
        <v/>
      </c>
    </row>
    <row r="450">
      <c r="A450" s="2" t="n"/>
      <c r="B450" s="2" t="n"/>
      <c r="C450" s="2" t="n"/>
      <c r="D450" s="2" t="n"/>
      <c r="E450" s="2" t="n"/>
      <c r="F450" s="2" t="n"/>
      <c r="G450" s="2" t="n"/>
      <c r="H450" s="2" t="n"/>
      <c r="I450" s="2" t="n"/>
      <c r="J450" s="2" t="n"/>
      <c r="K450" s="2" t="n"/>
      <c r="L450" s="2" t="n"/>
      <c r="M450" s="2" t="n"/>
      <c r="N450" s="2" t="n"/>
      <c r="O450" s="2" t="n"/>
      <c r="P450" s="2" t="n"/>
      <c r="Q450" s="2">
        <f>IF(G450="","",TODAY()-G450)</f>
        <v/>
      </c>
    </row>
    <row r="451">
      <c r="A451" s="2" t="n"/>
      <c r="B451" s="2" t="n"/>
      <c r="C451" s="2" t="n"/>
      <c r="D451" s="2" t="n"/>
      <c r="E451" s="2" t="n"/>
      <c r="F451" s="2" t="n"/>
      <c r="G451" s="2" t="n"/>
      <c r="H451" s="2" t="n"/>
      <c r="I451" s="2" t="n"/>
      <c r="J451" s="2" t="n"/>
      <c r="K451" s="2" t="n"/>
      <c r="L451" s="2" t="n"/>
      <c r="M451" s="2" t="n"/>
      <c r="N451" s="2" t="n"/>
      <c r="O451" s="2" t="n"/>
      <c r="P451" s="2" t="n"/>
      <c r="Q451" s="2">
        <f>IF(G451="","",TODAY()-G451)</f>
        <v/>
      </c>
    </row>
    <row r="452">
      <c r="A452" s="2" t="n"/>
      <c r="B452" s="2" t="n"/>
      <c r="C452" s="2" t="n"/>
      <c r="D452" s="2" t="n"/>
      <c r="E452" s="2" t="n"/>
      <c r="F452" s="2" t="n"/>
      <c r="G452" s="2" t="n"/>
      <c r="H452" s="2" t="n"/>
      <c r="I452" s="2" t="n"/>
      <c r="J452" s="2" t="n"/>
      <c r="K452" s="2" t="n"/>
      <c r="L452" s="2" t="n"/>
      <c r="M452" s="2" t="n"/>
      <c r="N452" s="2" t="n"/>
      <c r="O452" s="2" t="n"/>
      <c r="P452" s="2" t="n"/>
      <c r="Q452" s="2">
        <f>IF(G452="","",TODAY()-G452)</f>
        <v/>
      </c>
    </row>
    <row r="453">
      <c r="A453" s="2" t="n"/>
      <c r="B453" s="2" t="n"/>
      <c r="C453" s="2" t="n"/>
      <c r="D453" s="2" t="n"/>
      <c r="E453" s="2" t="n"/>
      <c r="F453" s="2" t="n"/>
      <c r="G453" s="2" t="n"/>
      <c r="H453" s="2" t="n"/>
      <c r="I453" s="2" t="n"/>
      <c r="J453" s="2" t="n"/>
      <c r="K453" s="2" t="n"/>
      <c r="L453" s="2" t="n"/>
      <c r="M453" s="2" t="n"/>
      <c r="N453" s="2" t="n"/>
      <c r="O453" s="2" t="n"/>
      <c r="P453" s="2" t="n"/>
      <c r="Q453" s="2">
        <f>IF(G453="","",TODAY()-G453)</f>
        <v/>
      </c>
    </row>
    <row r="454">
      <c r="A454" s="2" t="n"/>
      <c r="B454" s="2" t="n"/>
      <c r="C454" s="2" t="n"/>
      <c r="D454" s="2" t="n"/>
      <c r="E454" s="2" t="n"/>
      <c r="F454" s="2" t="n"/>
      <c r="G454" s="2" t="n"/>
      <c r="H454" s="2" t="n"/>
      <c r="I454" s="2" t="n"/>
      <c r="J454" s="2" t="n"/>
      <c r="K454" s="2" t="n"/>
      <c r="L454" s="2" t="n"/>
      <c r="M454" s="2" t="n"/>
      <c r="N454" s="2" t="n"/>
      <c r="O454" s="2" t="n"/>
      <c r="P454" s="2" t="n"/>
      <c r="Q454" s="2">
        <f>IF(G454="","",TODAY()-G454)</f>
        <v/>
      </c>
    </row>
    <row r="455">
      <c r="A455" s="2" t="n"/>
      <c r="B455" s="2" t="n"/>
      <c r="C455" s="2" t="n"/>
      <c r="D455" s="2" t="n"/>
      <c r="E455" s="2" t="n"/>
      <c r="F455" s="2" t="n"/>
      <c r="G455" s="2" t="n"/>
      <c r="H455" s="2" t="n"/>
      <c r="I455" s="2" t="n"/>
      <c r="J455" s="2" t="n"/>
      <c r="K455" s="2" t="n"/>
      <c r="L455" s="2" t="n"/>
      <c r="M455" s="2" t="n"/>
      <c r="N455" s="2" t="n"/>
      <c r="O455" s="2" t="n"/>
      <c r="P455" s="2" t="n"/>
      <c r="Q455" s="2">
        <f>IF(G455="","",TODAY()-G455)</f>
        <v/>
      </c>
    </row>
    <row r="456">
      <c r="A456" s="2" t="n"/>
      <c r="B456" s="2" t="n"/>
      <c r="C456" s="2" t="n"/>
      <c r="D456" s="2" t="n"/>
      <c r="E456" s="2" t="n"/>
      <c r="F456" s="2" t="n"/>
      <c r="G456" s="2" t="n"/>
      <c r="H456" s="2" t="n"/>
      <c r="I456" s="2" t="n"/>
      <c r="J456" s="2" t="n"/>
      <c r="K456" s="2" t="n"/>
      <c r="L456" s="2" t="n"/>
      <c r="M456" s="2" t="n"/>
      <c r="N456" s="2" t="n"/>
      <c r="O456" s="2" t="n"/>
      <c r="P456" s="2" t="n"/>
      <c r="Q456" s="2">
        <f>IF(G456="","",TODAY()-G456)</f>
        <v/>
      </c>
    </row>
    <row r="457">
      <c r="A457" s="2" t="n"/>
      <c r="B457" s="2" t="n"/>
      <c r="C457" s="2" t="n"/>
      <c r="D457" s="2" t="n"/>
      <c r="E457" s="2" t="n"/>
      <c r="F457" s="2" t="n"/>
      <c r="G457" s="2" t="n"/>
      <c r="H457" s="2" t="n"/>
      <c r="I457" s="2" t="n"/>
      <c r="J457" s="2" t="n"/>
      <c r="K457" s="2" t="n"/>
      <c r="L457" s="2" t="n"/>
      <c r="M457" s="2" t="n"/>
      <c r="N457" s="2" t="n"/>
      <c r="O457" s="2" t="n"/>
      <c r="P457" s="2" t="n"/>
      <c r="Q457" s="2">
        <f>IF(G457="","",TODAY()-G457)</f>
        <v/>
      </c>
    </row>
    <row r="458">
      <c r="A458" s="2" t="n"/>
      <c r="B458" s="2" t="n"/>
      <c r="C458" s="2" t="n"/>
      <c r="D458" s="2" t="n"/>
      <c r="E458" s="2" t="n"/>
      <c r="F458" s="2" t="n"/>
      <c r="G458" s="2" t="n"/>
      <c r="H458" s="2" t="n"/>
      <c r="I458" s="2" t="n"/>
      <c r="J458" s="2" t="n"/>
      <c r="K458" s="2" t="n"/>
      <c r="L458" s="2" t="n"/>
      <c r="M458" s="2" t="n"/>
      <c r="N458" s="2" t="n"/>
      <c r="O458" s="2" t="n"/>
      <c r="P458" s="2" t="n"/>
      <c r="Q458" s="2">
        <f>IF(G458="","",TODAY()-G458)</f>
        <v/>
      </c>
    </row>
    <row r="459">
      <c r="A459" s="2" t="n"/>
      <c r="B459" s="2" t="n"/>
      <c r="C459" s="2" t="n"/>
      <c r="D459" s="2" t="n"/>
      <c r="E459" s="2" t="n"/>
      <c r="F459" s="2" t="n"/>
      <c r="G459" s="2" t="n"/>
      <c r="H459" s="2" t="n"/>
      <c r="I459" s="2" t="n"/>
      <c r="J459" s="2" t="n"/>
      <c r="K459" s="2" t="n"/>
      <c r="L459" s="2" t="n"/>
      <c r="M459" s="2" t="n"/>
      <c r="N459" s="2" t="n"/>
      <c r="O459" s="2" t="n"/>
      <c r="P459" s="2" t="n"/>
      <c r="Q459" s="2">
        <f>IF(G459="","",TODAY()-G459)</f>
        <v/>
      </c>
    </row>
    <row r="460">
      <c r="A460" s="2" t="n"/>
      <c r="B460" s="2" t="n"/>
      <c r="C460" s="2" t="n"/>
      <c r="D460" s="2" t="n"/>
      <c r="E460" s="2" t="n"/>
      <c r="F460" s="2" t="n"/>
      <c r="G460" s="2" t="n"/>
      <c r="H460" s="2" t="n"/>
      <c r="I460" s="2" t="n"/>
      <c r="J460" s="2" t="n"/>
      <c r="K460" s="2" t="n"/>
      <c r="L460" s="2" t="n"/>
      <c r="M460" s="2" t="n"/>
      <c r="N460" s="2" t="n"/>
      <c r="O460" s="2" t="n"/>
      <c r="P460" s="2" t="n"/>
      <c r="Q460" s="2">
        <f>IF(G460="","",TODAY()-G460)</f>
        <v/>
      </c>
    </row>
    <row r="461">
      <c r="A461" s="2" t="n"/>
      <c r="B461" s="2" t="n"/>
      <c r="C461" s="2" t="n"/>
      <c r="D461" s="2" t="n"/>
      <c r="E461" s="2" t="n"/>
      <c r="F461" s="2" t="n"/>
      <c r="G461" s="2" t="n"/>
      <c r="H461" s="2" t="n"/>
      <c r="I461" s="2" t="n"/>
      <c r="J461" s="2" t="n"/>
      <c r="K461" s="2" t="n"/>
      <c r="L461" s="2" t="n"/>
      <c r="M461" s="2" t="n"/>
      <c r="N461" s="2" t="n"/>
      <c r="O461" s="2" t="n"/>
      <c r="P461" s="2" t="n"/>
      <c r="Q461" s="2">
        <f>IF(G461="","",TODAY()-G461)</f>
        <v/>
      </c>
    </row>
    <row r="462">
      <c r="A462" s="2" t="n"/>
      <c r="B462" s="2" t="n"/>
      <c r="C462" s="2" t="n"/>
      <c r="D462" s="2" t="n"/>
      <c r="E462" s="2" t="n"/>
      <c r="F462" s="2" t="n"/>
      <c r="G462" s="2" t="n"/>
      <c r="H462" s="2" t="n"/>
      <c r="I462" s="2" t="n"/>
      <c r="J462" s="2" t="n"/>
      <c r="K462" s="2" t="n"/>
      <c r="L462" s="2" t="n"/>
      <c r="M462" s="2" t="n"/>
      <c r="N462" s="2" t="n"/>
      <c r="O462" s="2" t="n"/>
      <c r="P462" s="2" t="n"/>
      <c r="Q462" s="2">
        <f>IF(G462="","",TODAY()-G462)</f>
        <v/>
      </c>
    </row>
    <row r="463">
      <c r="A463" s="2" t="n"/>
      <c r="B463" s="2" t="n"/>
      <c r="C463" s="2" t="n"/>
      <c r="D463" s="2" t="n"/>
      <c r="E463" s="2" t="n"/>
      <c r="F463" s="2" t="n"/>
      <c r="G463" s="2" t="n"/>
      <c r="H463" s="2" t="n"/>
      <c r="I463" s="2" t="n"/>
      <c r="J463" s="2" t="n"/>
      <c r="K463" s="2" t="n"/>
      <c r="L463" s="2" t="n"/>
      <c r="M463" s="2" t="n"/>
      <c r="N463" s="2" t="n"/>
      <c r="O463" s="2" t="n"/>
      <c r="P463" s="2" t="n"/>
      <c r="Q463" s="2">
        <f>IF(G463="","",TODAY()-G463)</f>
        <v/>
      </c>
    </row>
    <row r="464">
      <c r="A464" s="2" t="n"/>
      <c r="B464" s="2" t="n"/>
      <c r="C464" s="2" t="n"/>
      <c r="D464" s="2" t="n"/>
      <c r="E464" s="2" t="n"/>
      <c r="F464" s="2" t="n"/>
      <c r="G464" s="2" t="n"/>
      <c r="H464" s="2" t="n"/>
      <c r="I464" s="2" t="n"/>
      <c r="J464" s="2" t="n"/>
      <c r="K464" s="2" t="n"/>
      <c r="L464" s="2" t="n"/>
      <c r="M464" s="2" t="n"/>
      <c r="N464" s="2" t="n"/>
      <c r="O464" s="2" t="n"/>
      <c r="P464" s="2" t="n"/>
      <c r="Q464" s="2">
        <f>IF(G464="","",TODAY()-G464)</f>
        <v/>
      </c>
    </row>
    <row r="465">
      <c r="A465" s="2" t="n"/>
      <c r="B465" s="2" t="n"/>
      <c r="C465" s="2" t="n"/>
      <c r="D465" s="2" t="n"/>
      <c r="E465" s="2" t="n"/>
      <c r="F465" s="2" t="n"/>
      <c r="G465" s="2" t="n"/>
      <c r="H465" s="2" t="n"/>
      <c r="I465" s="2" t="n"/>
      <c r="J465" s="2" t="n"/>
      <c r="K465" s="2" t="n"/>
      <c r="L465" s="2" t="n"/>
      <c r="M465" s="2" t="n"/>
      <c r="N465" s="2" t="n"/>
      <c r="O465" s="2" t="n"/>
      <c r="P465" s="2" t="n"/>
      <c r="Q465" s="2">
        <f>IF(G465="","",TODAY()-G465)</f>
        <v/>
      </c>
    </row>
    <row r="466">
      <c r="A466" s="2" t="n"/>
      <c r="B466" s="2" t="n"/>
      <c r="C466" s="2" t="n"/>
      <c r="D466" s="2" t="n"/>
      <c r="E466" s="2" t="n"/>
      <c r="F466" s="2" t="n"/>
      <c r="G466" s="2" t="n"/>
      <c r="H466" s="2" t="n"/>
      <c r="I466" s="2" t="n"/>
      <c r="J466" s="2" t="n"/>
      <c r="K466" s="2" t="n"/>
      <c r="L466" s="2" t="n"/>
      <c r="M466" s="2" t="n"/>
      <c r="N466" s="2" t="n"/>
      <c r="O466" s="2" t="n"/>
      <c r="P466" s="2" t="n"/>
      <c r="Q466" s="2">
        <f>IF(G466="","",TODAY()-G466)</f>
        <v/>
      </c>
    </row>
    <row r="467">
      <c r="A467" s="2" t="n"/>
      <c r="B467" s="2" t="n"/>
      <c r="C467" s="2" t="n"/>
      <c r="D467" s="2" t="n"/>
      <c r="E467" s="2" t="n"/>
      <c r="F467" s="2" t="n"/>
      <c r="G467" s="2" t="n"/>
      <c r="H467" s="2" t="n"/>
      <c r="I467" s="2" t="n"/>
      <c r="J467" s="2" t="n"/>
      <c r="K467" s="2" t="n"/>
      <c r="L467" s="2" t="n"/>
      <c r="M467" s="2" t="n"/>
      <c r="N467" s="2" t="n"/>
      <c r="O467" s="2" t="n"/>
      <c r="P467" s="2" t="n"/>
      <c r="Q467" s="2">
        <f>IF(G467="","",TODAY()-G467)</f>
        <v/>
      </c>
    </row>
    <row r="468">
      <c r="A468" s="2" t="n"/>
      <c r="B468" s="2" t="n"/>
      <c r="C468" s="2" t="n"/>
      <c r="D468" s="2" t="n"/>
      <c r="E468" s="2" t="n"/>
      <c r="F468" s="2" t="n"/>
      <c r="G468" s="2" t="n"/>
      <c r="H468" s="2" t="n"/>
      <c r="I468" s="2" t="n"/>
      <c r="J468" s="2" t="n"/>
      <c r="K468" s="2" t="n"/>
      <c r="L468" s="2" t="n"/>
      <c r="M468" s="2" t="n"/>
      <c r="N468" s="2" t="n"/>
      <c r="O468" s="2" t="n"/>
      <c r="P468" s="2" t="n"/>
      <c r="Q468" s="2">
        <f>IF(G468="","",TODAY()-G468)</f>
        <v/>
      </c>
    </row>
    <row r="469">
      <c r="A469" s="2" t="n"/>
      <c r="B469" s="2" t="n"/>
      <c r="C469" s="2" t="n"/>
      <c r="D469" s="2" t="n"/>
      <c r="E469" s="2" t="n"/>
      <c r="F469" s="2" t="n"/>
      <c r="G469" s="2" t="n"/>
      <c r="H469" s="2" t="n"/>
      <c r="I469" s="2" t="n"/>
      <c r="J469" s="2" t="n"/>
      <c r="K469" s="2" t="n"/>
      <c r="L469" s="2" t="n"/>
      <c r="M469" s="2" t="n"/>
      <c r="N469" s="2" t="n"/>
      <c r="O469" s="2" t="n"/>
      <c r="P469" s="2" t="n"/>
      <c r="Q469" s="2">
        <f>IF(G469="","",TODAY()-G469)</f>
        <v/>
      </c>
    </row>
    <row r="470">
      <c r="A470" s="2" t="n"/>
      <c r="B470" s="2" t="n"/>
      <c r="C470" s="2" t="n"/>
      <c r="D470" s="2" t="n"/>
      <c r="E470" s="2" t="n"/>
      <c r="F470" s="2" t="n"/>
      <c r="G470" s="2" t="n"/>
      <c r="H470" s="2" t="n"/>
      <c r="I470" s="2" t="n"/>
      <c r="J470" s="2" t="n"/>
      <c r="K470" s="2" t="n"/>
      <c r="L470" s="2" t="n"/>
      <c r="M470" s="2" t="n"/>
      <c r="N470" s="2" t="n"/>
      <c r="O470" s="2" t="n"/>
      <c r="P470" s="2" t="n"/>
      <c r="Q470" s="2">
        <f>IF(G470="","",TODAY()-G470)</f>
        <v/>
      </c>
    </row>
    <row r="471">
      <c r="A471" s="2" t="n"/>
      <c r="B471" s="2" t="n"/>
      <c r="C471" s="2" t="n"/>
      <c r="D471" s="2" t="n"/>
      <c r="E471" s="2" t="n"/>
      <c r="F471" s="2" t="n"/>
      <c r="G471" s="2" t="n"/>
      <c r="H471" s="2" t="n"/>
      <c r="I471" s="2" t="n"/>
      <c r="J471" s="2" t="n"/>
      <c r="K471" s="2" t="n"/>
      <c r="L471" s="2" t="n"/>
      <c r="M471" s="2" t="n"/>
      <c r="N471" s="2" t="n"/>
      <c r="O471" s="2" t="n"/>
      <c r="P471" s="2" t="n"/>
      <c r="Q471" s="2">
        <f>IF(G471="","",TODAY()-G471)</f>
        <v/>
      </c>
    </row>
    <row r="472">
      <c r="A472" s="2" t="n"/>
      <c r="B472" s="2" t="n"/>
      <c r="C472" s="2" t="n"/>
      <c r="D472" s="2" t="n"/>
      <c r="E472" s="2" t="n"/>
      <c r="F472" s="2" t="n"/>
      <c r="G472" s="2" t="n"/>
      <c r="H472" s="2" t="n"/>
      <c r="I472" s="2" t="n"/>
      <c r="J472" s="2" t="n"/>
      <c r="K472" s="2" t="n"/>
      <c r="L472" s="2" t="n"/>
      <c r="M472" s="2" t="n"/>
      <c r="N472" s="2" t="n"/>
      <c r="O472" s="2" t="n"/>
      <c r="P472" s="2" t="n"/>
      <c r="Q472" s="2">
        <f>IF(G472="","",TODAY()-G472)</f>
        <v/>
      </c>
    </row>
    <row r="473">
      <c r="A473" s="2" t="n"/>
      <c r="B473" s="2" t="n"/>
      <c r="C473" s="2" t="n"/>
      <c r="D473" s="2" t="n"/>
      <c r="E473" s="2" t="n"/>
      <c r="F473" s="2" t="n"/>
      <c r="G473" s="2" t="n"/>
      <c r="H473" s="2" t="n"/>
      <c r="I473" s="2" t="n"/>
      <c r="J473" s="2" t="n"/>
      <c r="K473" s="2" t="n"/>
      <c r="L473" s="2" t="n"/>
      <c r="M473" s="2" t="n"/>
      <c r="N473" s="2" t="n"/>
      <c r="O473" s="2" t="n"/>
      <c r="P473" s="2" t="n"/>
      <c r="Q473" s="2">
        <f>IF(G473="","",TODAY()-G473)</f>
        <v/>
      </c>
    </row>
    <row r="474">
      <c r="A474" s="2" t="n"/>
      <c r="B474" s="2" t="n"/>
      <c r="C474" s="2" t="n"/>
      <c r="D474" s="2" t="n"/>
      <c r="E474" s="2" t="n"/>
      <c r="F474" s="2" t="n"/>
      <c r="G474" s="2" t="n"/>
      <c r="H474" s="2" t="n"/>
      <c r="I474" s="2" t="n"/>
      <c r="J474" s="2" t="n"/>
      <c r="K474" s="2" t="n"/>
      <c r="L474" s="2" t="n"/>
      <c r="M474" s="2" t="n"/>
      <c r="N474" s="2" t="n"/>
      <c r="O474" s="2" t="n"/>
      <c r="P474" s="2" t="n"/>
      <c r="Q474" s="2">
        <f>IF(G474="","",TODAY()-G474)</f>
        <v/>
      </c>
    </row>
    <row r="475">
      <c r="A475" s="2" t="n"/>
      <c r="B475" s="2" t="n"/>
      <c r="C475" s="2" t="n"/>
      <c r="D475" s="2" t="n"/>
      <c r="E475" s="2" t="n"/>
      <c r="F475" s="2" t="n"/>
      <c r="G475" s="2" t="n"/>
      <c r="H475" s="2" t="n"/>
      <c r="I475" s="2" t="n"/>
      <c r="J475" s="2" t="n"/>
      <c r="K475" s="2" t="n"/>
      <c r="L475" s="2" t="n"/>
      <c r="M475" s="2" t="n"/>
      <c r="N475" s="2" t="n"/>
      <c r="O475" s="2" t="n"/>
      <c r="P475" s="2" t="n"/>
      <c r="Q475" s="2">
        <f>IF(G475="","",TODAY()-G475)</f>
        <v/>
      </c>
    </row>
    <row r="476">
      <c r="A476" s="2" t="n"/>
      <c r="B476" s="2" t="n"/>
      <c r="C476" s="2" t="n"/>
      <c r="D476" s="2" t="n"/>
      <c r="E476" s="2" t="n"/>
      <c r="F476" s="2" t="n"/>
      <c r="G476" s="2" t="n"/>
      <c r="H476" s="2" t="n"/>
      <c r="I476" s="2" t="n"/>
      <c r="J476" s="2" t="n"/>
      <c r="K476" s="2" t="n"/>
      <c r="L476" s="2" t="n"/>
      <c r="M476" s="2" t="n"/>
      <c r="N476" s="2" t="n"/>
      <c r="O476" s="2" t="n"/>
      <c r="P476" s="2" t="n"/>
      <c r="Q476" s="2">
        <f>IF(G476="","",TODAY()-G476)</f>
        <v/>
      </c>
    </row>
    <row r="477">
      <c r="A477" s="2" t="n"/>
      <c r="B477" s="2" t="n"/>
      <c r="C477" s="2" t="n"/>
      <c r="D477" s="2" t="n"/>
      <c r="E477" s="2" t="n"/>
      <c r="F477" s="2" t="n"/>
      <c r="G477" s="2" t="n"/>
      <c r="H477" s="2" t="n"/>
      <c r="I477" s="2" t="n"/>
      <c r="J477" s="2" t="n"/>
      <c r="K477" s="2" t="n"/>
      <c r="L477" s="2" t="n"/>
      <c r="M477" s="2" t="n"/>
      <c r="N477" s="2" t="n"/>
      <c r="O477" s="2" t="n"/>
      <c r="P477" s="2" t="n"/>
      <c r="Q477" s="2">
        <f>IF(G477="","",TODAY()-G477)</f>
        <v/>
      </c>
    </row>
    <row r="478">
      <c r="A478" s="2" t="n"/>
      <c r="B478" s="2" t="n"/>
      <c r="C478" s="2" t="n"/>
      <c r="D478" s="2" t="n"/>
      <c r="E478" s="2" t="n"/>
      <c r="F478" s="2" t="n"/>
      <c r="G478" s="2" t="n"/>
      <c r="H478" s="2" t="n"/>
      <c r="I478" s="2" t="n"/>
      <c r="J478" s="2" t="n"/>
      <c r="K478" s="2" t="n"/>
      <c r="L478" s="2" t="n"/>
      <c r="M478" s="2" t="n"/>
      <c r="N478" s="2" t="n"/>
      <c r="O478" s="2" t="n"/>
      <c r="P478" s="2" t="n"/>
      <c r="Q478" s="2">
        <f>IF(G478="","",TODAY()-G478)</f>
        <v/>
      </c>
    </row>
    <row r="479">
      <c r="A479" s="2" t="n"/>
      <c r="B479" s="2" t="n"/>
      <c r="C479" s="2" t="n"/>
      <c r="D479" s="2" t="n"/>
      <c r="E479" s="2" t="n"/>
      <c r="F479" s="2" t="n"/>
      <c r="G479" s="2" t="n"/>
      <c r="H479" s="2" t="n"/>
      <c r="I479" s="2" t="n"/>
      <c r="J479" s="2" t="n"/>
      <c r="K479" s="2" t="n"/>
      <c r="L479" s="2" t="n"/>
      <c r="M479" s="2" t="n"/>
      <c r="N479" s="2" t="n"/>
      <c r="O479" s="2" t="n"/>
      <c r="P479" s="2" t="n"/>
      <c r="Q479" s="2">
        <f>IF(G479="","",TODAY()-G479)</f>
        <v/>
      </c>
    </row>
    <row r="480">
      <c r="A480" s="2" t="n"/>
      <c r="B480" s="2" t="n"/>
      <c r="C480" s="2" t="n"/>
      <c r="D480" s="2" t="n"/>
      <c r="E480" s="2" t="n"/>
      <c r="F480" s="2" t="n"/>
      <c r="G480" s="2" t="n"/>
      <c r="H480" s="2" t="n"/>
      <c r="I480" s="2" t="n"/>
      <c r="J480" s="2" t="n"/>
      <c r="K480" s="2" t="n"/>
      <c r="L480" s="2" t="n"/>
      <c r="M480" s="2" t="n"/>
      <c r="N480" s="2" t="n"/>
      <c r="O480" s="2" t="n"/>
      <c r="P480" s="2" t="n"/>
      <c r="Q480" s="2">
        <f>IF(G480="","",TODAY()-G480)</f>
        <v/>
      </c>
    </row>
    <row r="481">
      <c r="A481" s="2" t="n"/>
      <c r="B481" s="2" t="n"/>
      <c r="C481" s="2" t="n"/>
      <c r="D481" s="2" t="n"/>
      <c r="E481" s="2" t="n"/>
      <c r="F481" s="2" t="n"/>
      <c r="G481" s="2" t="n"/>
      <c r="H481" s="2" t="n"/>
      <c r="I481" s="2" t="n"/>
      <c r="J481" s="2" t="n"/>
      <c r="K481" s="2" t="n"/>
      <c r="L481" s="2" t="n"/>
      <c r="M481" s="2" t="n"/>
      <c r="N481" s="2" t="n"/>
      <c r="O481" s="2" t="n"/>
      <c r="P481" s="2" t="n"/>
      <c r="Q481" s="2">
        <f>IF(G481="","",TODAY()-G481)</f>
        <v/>
      </c>
    </row>
    <row r="482">
      <c r="A482" s="2" t="n"/>
      <c r="B482" s="2" t="n"/>
      <c r="C482" s="2" t="n"/>
      <c r="D482" s="2" t="n"/>
      <c r="E482" s="2" t="n"/>
      <c r="F482" s="2" t="n"/>
      <c r="G482" s="2" t="n"/>
      <c r="H482" s="2" t="n"/>
      <c r="I482" s="2" t="n"/>
      <c r="J482" s="2" t="n"/>
      <c r="K482" s="2" t="n"/>
      <c r="L482" s="2" t="n"/>
      <c r="M482" s="2" t="n"/>
      <c r="N482" s="2" t="n"/>
      <c r="O482" s="2" t="n"/>
      <c r="P482" s="2" t="n"/>
      <c r="Q482" s="2">
        <f>IF(G482="","",TODAY()-G482)</f>
        <v/>
      </c>
    </row>
    <row r="483">
      <c r="A483" s="2" t="n"/>
      <c r="B483" s="2" t="n"/>
      <c r="C483" s="2" t="n"/>
      <c r="D483" s="2" t="n"/>
      <c r="E483" s="2" t="n"/>
      <c r="F483" s="2" t="n"/>
      <c r="G483" s="2" t="n"/>
      <c r="H483" s="2" t="n"/>
      <c r="I483" s="2" t="n"/>
      <c r="J483" s="2" t="n"/>
      <c r="K483" s="2" t="n"/>
      <c r="L483" s="2" t="n"/>
      <c r="M483" s="2" t="n"/>
      <c r="N483" s="2" t="n"/>
      <c r="O483" s="2" t="n"/>
      <c r="P483" s="2" t="n"/>
      <c r="Q483" s="2">
        <f>IF(G483="","",TODAY()-G483)</f>
        <v/>
      </c>
    </row>
    <row r="484">
      <c r="A484" s="2" t="n"/>
      <c r="B484" s="2" t="n"/>
      <c r="C484" s="2" t="n"/>
      <c r="D484" s="2" t="n"/>
      <c r="E484" s="2" t="n"/>
      <c r="F484" s="2" t="n"/>
      <c r="G484" s="2" t="n"/>
      <c r="H484" s="2" t="n"/>
      <c r="I484" s="2" t="n"/>
      <c r="J484" s="2" t="n"/>
      <c r="K484" s="2" t="n"/>
      <c r="L484" s="2" t="n"/>
      <c r="M484" s="2" t="n"/>
      <c r="N484" s="2" t="n"/>
      <c r="O484" s="2" t="n"/>
      <c r="P484" s="2" t="n"/>
      <c r="Q484" s="2">
        <f>IF(G484="","",TODAY()-G484)</f>
        <v/>
      </c>
    </row>
    <row r="485">
      <c r="A485" s="2" t="n"/>
      <c r="B485" s="2" t="n"/>
      <c r="C485" s="2" t="n"/>
      <c r="D485" s="2" t="n"/>
      <c r="E485" s="2" t="n"/>
      <c r="F485" s="2" t="n"/>
      <c r="G485" s="2" t="n"/>
      <c r="H485" s="2" t="n"/>
      <c r="I485" s="2" t="n"/>
      <c r="J485" s="2" t="n"/>
      <c r="K485" s="2" t="n"/>
      <c r="L485" s="2" t="n"/>
      <c r="M485" s="2" t="n"/>
      <c r="N485" s="2" t="n"/>
      <c r="O485" s="2" t="n"/>
      <c r="P485" s="2" t="n"/>
      <c r="Q485" s="2">
        <f>IF(G485="","",TODAY()-G485)</f>
        <v/>
      </c>
    </row>
    <row r="486">
      <c r="A486" s="2" t="n"/>
      <c r="B486" s="2" t="n"/>
      <c r="C486" s="2" t="n"/>
      <c r="D486" s="2" t="n"/>
      <c r="E486" s="2" t="n"/>
      <c r="F486" s="2" t="n"/>
      <c r="G486" s="2" t="n"/>
      <c r="H486" s="2" t="n"/>
      <c r="I486" s="2" t="n"/>
      <c r="J486" s="2" t="n"/>
      <c r="K486" s="2" t="n"/>
      <c r="L486" s="2" t="n"/>
      <c r="M486" s="2" t="n"/>
      <c r="N486" s="2" t="n"/>
      <c r="O486" s="2" t="n"/>
      <c r="P486" s="2" t="n"/>
      <c r="Q486" s="2">
        <f>IF(G486="","",TODAY()-G486)</f>
        <v/>
      </c>
    </row>
    <row r="487">
      <c r="A487" s="2" t="n"/>
      <c r="B487" s="2" t="n"/>
      <c r="C487" s="2" t="n"/>
      <c r="D487" s="2" t="n"/>
      <c r="E487" s="2" t="n"/>
      <c r="F487" s="2" t="n"/>
      <c r="G487" s="2" t="n"/>
      <c r="H487" s="2" t="n"/>
      <c r="I487" s="2" t="n"/>
      <c r="J487" s="2" t="n"/>
      <c r="K487" s="2" t="n"/>
      <c r="L487" s="2" t="n"/>
      <c r="M487" s="2" t="n"/>
      <c r="N487" s="2" t="n"/>
      <c r="O487" s="2" t="n"/>
      <c r="P487" s="2" t="n"/>
      <c r="Q487" s="2">
        <f>IF(G487="","",TODAY()-G487)</f>
        <v/>
      </c>
    </row>
    <row r="488">
      <c r="A488" s="2" t="n"/>
      <c r="B488" s="2" t="n"/>
      <c r="C488" s="2" t="n"/>
      <c r="D488" s="2" t="n"/>
      <c r="E488" s="2" t="n"/>
      <c r="F488" s="2" t="n"/>
      <c r="G488" s="2" t="n"/>
      <c r="H488" s="2" t="n"/>
      <c r="I488" s="2" t="n"/>
      <c r="J488" s="2" t="n"/>
      <c r="K488" s="2" t="n"/>
      <c r="L488" s="2" t="n"/>
      <c r="M488" s="2" t="n"/>
      <c r="N488" s="2" t="n"/>
      <c r="O488" s="2" t="n"/>
      <c r="P488" s="2" t="n"/>
      <c r="Q488" s="2">
        <f>IF(G488="","",TODAY()-G488)</f>
        <v/>
      </c>
    </row>
    <row r="489">
      <c r="A489" s="2" t="n"/>
      <c r="B489" s="2" t="n"/>
      <c r="C489" s="2" t="n"/>
      <c r="D489" s="2" t="n"/>
      <c r="E489" s="2" t="n"/>
      <c r="F489" s="2" t="n"/>
      <c r="G489" s="2" t="n"/>
      <c r="H489" s="2" t="n"/>
      <c r="I489" s="2" t="n"/>
      <c r="J489" s="2" t="n"/>
      <c r="K489" s="2" t="n"/>
      <c r="L489" s="2" t="n"/>
      <c r="M489" s="2" t="n"/>
      <c r="N489" s="2" t="n"/>
      <c r="O489" s="2" t="n"/>
      <c r="P489" s="2" t="n"/>
      <c r="Q489" s="2">
        <f>IF(G489="","",TODAY()-G489)</f>
        <v/>
      </c>
    </row>
    <row r="490">
      <c r="A490" s="2" t="n"/>
      <c r="B490" s="2" t="n"/>
      <c r="C490" s="2" t="n"/>
      <c r="D490" s="2" t="n"/>
      <c r="E490" s="2" t="n"/>
      <c r="F490" s="2" t="n"/>
      <c r="G490" s="2" t="n"/>
      <c r="H490" s="2" t="n"/>
      <c r="I490" s="2" t="n"/>
      <c r="J490" s="2" t="n"/>
      <c r="K490" s="2" t="n"/>
      <c r="L490" s="2" t="n"/>
      <c r="M490" s="2" t="n"/>
      <c r="N490" s="2" t="n"/>
      <c r="O490" s="2" t="n"/>
      <c r="P490" s="2" t="n"/>
      <c r="Q490" s="2">
        <f>IF(G490="","",TODAY()-G490)</f>
        <v/>
      </c>
    </row>
    <row r="491">
      <c r="A491" s="2" t="n"/>
      <c r="B491" s="2" t="n"/>
      <c r="C491" s="2" t="n"/>
      <c r="D491" s="2" t="n"/>
      <c r="E491" s="2" t="n"/>
      <c r="F491" s="2" t="n"/>
      <c r="G491" s="2" t="n"/>
      <c r="H491" s="2" t="n"/>
      <c r="I491" s="2" t="n"/>
      <c r="J491" s="2" t="n"/>
      <c r="K491" s="2" t="n"/>
      <c r="L491" s="2" t="n"/>
      <c r="M491" s="2" t="n"/>
      <c r="N491" s="2" t="n"/>
      <c r="O491" s="2" t="n"/>
      <c r="P491" s="2" t="n"/>
      <c r="Q491" s="2">
        <f>IF(G491="","",TODAY()-G491)</f>
        <v/>
      </c>
    </row>
    <row r="492">
      <c r="A492" s="2" t="n"/>
      <c r="B492" s="2" t="n"/>
      <c r="C492" s="2" t="n"/>
      <c r="D492" s="2" t="n"/>
      <c r="E492" s="2" t="n"/>
      <c r="F492" s="2" t="n"/>
      <c r="G492" s="2" t="n"/>
      <c r="H492" s="2" t="n"/>
      <c r="I492" s="2" t="n"/>
      <c r="J492" s="2" t="n"/>
      <c r="K492" s="2" t="n"/>
      <c r="L492" s="2" t="n"/>
      <c r="M492" s="2" t="n"/>
      <c r="N492" s="2" t="n"/>
      <c r="O492" s="2" t="n"/>
      <c r="P492" s="2" t="n"/>
      <c r="Q492" s="2">
        <f>IF(G492="","",TODAY()-G492)</f>
        <v/>
      </c>
    </row>
    <row r="493">
      <c r="A493" s="2" t="n"/>
      <c r="B493" s="2" t="n"/>
      <c r="C493" s="2" t="n"/>
      <c r="D493" s="2" t="n"/>
      <c r="E493" s="2" t="n"/>
      <c r="F493" s="2" t="n"/>
      <c r="G493" s="2" t="n"/>
      <c r="H493" s="2" t="n"/>
      <c r="I493" s="2" t="n"/>
      <c r="J493" s="2" t="n"/>
      <c r="K493" s="2" t="n"/>
      <c r="L493" s="2" t="n"/>
      <c r="M493" s="2" t="n"/>
      <c r="N493" s="2" t="n"/>
      <c r="O493" s="2" t="n"/>
      <c r="P493" s="2" t="n"/>
      <c r="Q493" s="2">
        <f>IF(G493="","",TODAY()-G493)</f>
        <v/>
      </c>
    </row>
    <row r="494">
      <c r="A494" s="2" t="n"/>
      <c r="B494" s="2" t="n"/>
      <c r="C494" s="2" t="n"/>
      <c r="D494" s="2" t="n"/>
      <c r="E494" s="2" t="n"/>
      <c r="F494" s="2" t="n"/>
      <c r="G494" s="2" t="n"/>
      <c r="H494" s="2" t="n"/>
      <c r="I494" s="2" t="n"/>
      <c r="J494" s="2" t="n"/>
      <c r="K494" s="2" t="n"/>
      <c r="L494" s="2" t="n"/>
      <c r="M494" s="2" t="n"/>
      <c r="N494" s="2" t="n"/>
      <c r="O494" s="2" t="n"/>
      <c r="P494" s="2" t="n"/>
      <c r="Q494" s="2">
        <f>IF(G494="","",TODAY()-G494)</f>
        <v/>
      </c>
    </row>
    <row r="495">
      <c r="A495" s="2" t="n"/>
      <c r="B495" s="2" t="n"/>
      <c r="C495" s="2" t="n"/>
      <c r="D495" s="2" t="n"/>
      <c r="E495" s="2" t="n"/>
      <c r="F495" s="2" t="n"/>
      <c r="G495" s="2" t="n"/>
      <c r="H495" s="2" t="n"/>
      <c r="I495" s="2" t="n"/>
      <c r="J495" s="2" t="n"/>
      <c r="K495" s="2" t="n"/>
      <c r="L495" s="2" t="n"/>
      <c r="M495" s="2" t="n"/>
      <c r="N495" s="2" t="n"/>
      <c r="O495" s="2" t="n"/>
      <c r="P495" s="2" t="n"/>
      <c r="Q495" s="2">
        <f>IF(G495="","",TODAY()-G495)</f>
        <v/>
      </c>
    </row>
    <row r="496">
      <c r="A496" s="2" t="n"/>
      <c r="B496" s="2" t="n"/>
      <c r="C496" s="2" t="n"/>
      <c r="D496" s="2" t="n"/>
      <c r="E496" s="2" t="n"/>
      <c r="F496" s="2" t="n"/>
      <c r="G496" s="2" t="n"/>
      <c r="H496" s="2" t="n"/>
      <c r="I496" s="2" t="n"/>
      <c r="J496" s="2" t="n"/>
      <c r="K496" s="2" t="n"/>
      <c r="L496" s="2" t="n"/>
      <c r="M496" s="2" t="n"/>
      <c r="N496" s="2" t="n"/>
      <c r="O496" s="2" t="n"/>
      <c r="P496" s="2" t="n"/>
      <c r="Q496" s="2">
        <f>IF(G496="","",TODAY()-G496)</f>
        <v/>
      </c>
    </row>
    <row r="497">
      <c r="A497" s="2" t="n"/>
      <c r="B497" s="2" t="n"/>
      <c r="C497" s="2" t="n"/>
      <c r="D497" s="2" t="n"/>
      <c r="E497" s="2" t="n"/>
      <c r="F497" s="2" t="n"/>
      <c r="G497" s="2" t="n"/>
      <c r="H497" s="2" t="n"/>
      <c r="I497" s="2" t="n"/>
      <c r="J497" s="2" t="n"/>
      <c r="K497" s="2" t="n"/>
      <c r="L497" s="2" t="n"/>
      <c r="M497" s="2" t="n"/>
      <c r="N497" s="2" t="n"/>
      <c r="O497" s="2" t="n"/>
      <c r="P497" s="2" t="n"/>
      <c r="Q497" s="2">
        <f>IF(G497="","",TODAY()-G497)</f>
        <v/>
      </c>
    </row>
    <row r="498">
      <c r="A498" s="2" t="n"/>
      <c r="B498" s="2" t="n"/>
      <c r="C498" s="2" t="n"/>
      <c r="D498" s="2" t="n"/>
      <c r="E498" s="2" t="n"/>
      <c r="F498" s="2" t="n"/>
      <c r="G498" s="2" t="n"/>
      <c r="H498" s="2" t="n"/>
      <c r="I498" s="2" t="n"/>
      <c r="J498" s="2" t="n"/>
      <c r="K498" s="2" t="n"/>
      <c r="L498" s="2" t="n"/>
      <c r="M498" s="2" t="n"/>
      <c r="N498" s="2" t="n"/>
      <c r="O498" s="2" t="n"/>
      <c r="P498" s="2" t="n"/>
      <c r="Q498" s="2">
        <f>IF(G498="","",TODAY()-G498)</f>
        <v/>
      </c>
    </row>
    <row r="499">
      <c r="A499" s="2" t="n"/>
      <c r="B499" s="2" t="n"/>
      <c r="C499" s="2" t="n"/>
      <c r="D499" s="2" t="n"/>
      <c r="E499" s="2" t="n"/>
      <c r="F499" s="2" t="n"/>
      <c r="G499" s="2" t="n"/>
      <c r="H499" s="2" t="n"/>
      <c r="I499" s="2" t="n"/>
      <c r="J499" s="2" t="n"/>
      <c r="K499" s="2" t="n"/>
      <c r="L499" s="2" t="n"/>
      <c r="M499" s="2" t="n"/>
      <c r="N499" s="2" t="n"/>
      <c r="O499" s="2" t="n"/>
      <c r="P499" s="2" t="n"/>
      <c r="Q499" s="2">
        <f>IF(G499="","",TODAY()-G499)</f>
        <v/>
      </c>
    </row>
    <row r="500">
      <c r="A500" s="2" t="n"/>
      <c r="B500" s="2" t="n"/>
      <c r="C500" s="2" t="n"/>
      <c r="D500" s="2" t="n"/>
      <c r="E500" s="2" t="n"/>
      <c r="F500" s="2" t="n"/>
      <c r="G500" s="2" t="n"/>
      <c r="H500" s="2" t="n"/>
      <c r="I500" s="2" t="n"/>
      <c r="J500" s="2" t="n"/>
      <c r="K500" s="2" t="n"/>
      <c r="L500" s="2" t="n"/>
      <c r="M500" s="2" t="n"/>
      <c r="N500" s="2" t="n"/>
      <c r="O500" s="2" t="n"/>
      <c r="P500" s="2" t="n"/>
      <c r="Q500" s="2">
        <f>IF(G500="","",TODAY()-G500)</f>
        <v/>
      </c>
    </row>
  </sheetData>
  <autoFilter ref="A1:Q500"/>
  <conditionalFormatting sqref="H2:H500">
    <cfRule type="cellIs" priority="1" operator="equal" dxfId="0">
      <formula>"PPO"</formula>
    </cfRule>
  </conditionalFormatting>
  <dataValidations count="3">
    <dataValidation sqref="H2:H500" showDropDown="0" showInputMessage="0" showErrorMessage="0" allowBlank="1" type="list">
      <formula1>"Shortlisted,Applied,Waiting,OA,Technical Interview,HR/Manager,Offer,Rejected,Ghosted,Withdrawn,PPO"</formula1>
    </dataValidation>
    <dataValidation sqref="F2:F500" showDropDown="0" showInputMessage="0" showErrorMessage="0" allowBlank="1" type="list">
      <formula1>"SDE,Backend,Full Stack,Cloud/DevOps"</formula1>
    </dataValidation>
    <dataValidation sqref="P2:P500" showDropDown="0" showInputMessage="0" showErrorMessage="0" allowBlank="1" type="list">
      <formula1>"Yes,No,Unknown"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500"/>
  <sheetViews>
    <sheetView workbookViewId="0">
      <pane ySplit="1" topLeftCell="A2" activePane="bottomLeft" state="frozen"/>
      <selection pane="bottomLeft" activeCell="A1" sqref="A1"/>
    </sheetView>
  </sheetViews>
  <sheetFormatPr baseColWidth="8" defaultRowHeight="15"/>
  <cols>
    <col width="14" customWidth="1" style="15" min="1" max="1"/>
    <col width="16" customWidth="1" style="15" min="2" max="2"/>
    <col width="12" customWidth="1" style="15" min="3" max="6"/>
    <col width="17" customWidth="1" style="15" min="7" max="7"/>
    <col width="12" customWidth="1" style="15" min="8" max="8"/>
    <col width="15" customWidth="1" style="15" min="9" max="9"/>
    <col width="21" customWidth="1" style="15" min="10" max="10"/>
    <col width="38" customWidth="1" style="15" min="11" max="11"/>
    <col width="42" customWidth="1" style="15" min="12" max="15"/>
  </cols>
  <sheetData>
    <row r="1">
      <c r="A1" s="1" t="inlineStr">
        <is>
          <t>Interview ID</t>
        </is>
      </c>
      <c r="B1" s="1" t="inlineStr">
        <is>
          <t>Application ID</t>
        </is>
      </c>
      <c r="C1" s="1" t="inlineStr">
        <is>
          <t>Company</t>
        </is>
      </c>
      <c r="D1" s="1" t="inlineStr">
        <is>
          <t>Role</t>
        </is>
      </c>
      <c r="E1" s="1" t="inlineStr">
        <is>
          <t>Stage</t>
        </is>
      </c>
      <c r="F1" s="1" t="inlineStr">
        <is>
          <t>Date</t>
        </is>
      </c>
      <c r="G1" s="1" t="inlineStr">
        <is>
          <t>Technical Score</t>
        </is>
      </c>
      <c r="H1" s="1" t="inlineStr">
        <is>
          <t>DSA Score</t>
        </is>
      </c>
      <c r="I1" s="1" t="inlineStr">
        <is>
          <t>Project Score</t>
        </is>
      </c>
      <c r="J1" s="1" t="inlineStr">
        <is>
          <t>Communication Score</t>
        </is>
      </c>
      <c r="K1" s="1" t="inlineStr">
        <is>
          <t>Overall Score</t>
        </is>
      </c>
      <c r="L1" s="1" t="inlineStr">
        <is>
          <t>Top Weaknesses</t>
        </is>
      </c>
      <c r="M1" s="1" t="inlineStr">
        <is>
          <t>Questions / Topics</t>
        </is>
      </c>
      <c r="N1" s="1" t="inlineStr">
        <is>
          <t>Next Preparation</t>
        </is>
      </c>
      <c r="O1" s="1" t="inlineStr">
        <is>
          <t>Notes</t>
        </is>
      </c>
    </row>
    <row r="2">
      <c r="A2" s="2" t="n"/>
      <c r="B2" s="2" t="n"/>
      <c r="C2" s="2" t="n"/>
      <c r="D2" s="2" t="n"/>
      <c r="E2" s="2" t="n"/>
      <c r="F2" s="2" t="n"/>
      <c r="G2" s="2" t="n"/>
      <c r="H2" s="2" t="n"/>
      <c r="I2" s="2" t="n"/>
      <c r="J2" s="2" t="n"/>
      <c r="K2" s="2">
        <f>IF(COUNTA(G2:J2)&lt;4,"",ROUND(AVERAGE(G2:J2),1))</f>
        <v/>
      </c>
      <c r="L2" s="2" t="n"/>
      <c r="M2" s="2" t="n"/>
      <c r="N2" s="2" t="n"/>
      <c r="O2" s="2" t="n"/>
    </row>
    <row r="3">
      <c r="A3" s="2" t="n"/>
      <c r="B3" s="2" t="n"/>
      <c r="C3" s="2" t="n"/>
      <c r="D3" s="2" t="n"/>
      <c r="E3" s="2" t="n"/>
      <c r="F3" s="2" t="n"/>
      <c r="G3" s="2" t="n"/>
      <c r="H3" s="2" t="n"/>
      <c r="I3" s="2" t="n"/>
      <c r="J3" s="2" t="n"/>
      <c r="K3" s="2">
        <f>IF(COUNTA(G3:J3)&lt;4,"",ROUND(AVERAGE(G3:J3),1))</f>
        <v/>
      </c>
      <c r="L3" s="2" t="n"/>
      <c r="M3" s="2" t="n"/>
      <c r="N3" s="2" t="n"/>
      <c r="O3" s="2" t="n"/>
    </row>
    <row r="4">
      <c r="A4" s="2" t="n"/>
      <c r="B4" s="2" t="n"/>
      <c r="C4" s="2" t="n"/>
      <c r="D4" s="2" t="n"/>
      <c r="E4" s="2" t="n"/>
      <c r="F4" s="2" t="n"/>
      <c r="G4" s="2" t="n"/>
      <c r="H4" s="2" t="n"/>
      <c r="I4" s="2" t="n"/>
      <c r="J4" s="2" t="n"/>
      <c r="K4" s="2">
        <f>IF(COUNTA(G4:J4)&lt;4,"",ROUND(AVERAGE(G4:J4),1))</f>
        <v/>
      </c>
      <c r="L4" s="2" t="n"/>
      <c r="M4" s="2" t="n"/>
      <c r="N4" s="2" t="n"/>
      <c r="O4" s="2" t="n"/>
    </row>
    <row r="5">
      <c r="A5" s="2" t="n"/>
      <c r="B5" s="2" t="n"/>
      <c r="C5" s="2" t="n"/>
      <c r="D5" s="2" t="n"/>
      <c r="E5" s="2" t="n"/>
      <c r="F5" s="2" t="n"/>
      <c r="G5" s="2" t="n"/>
      <c r="H5" s="2" t="n"/>
      <c r="I5" s="2" t="n"/>
      <c r="J5" s="2" t="n"/>
      <c r="K5" s="2">
        <f>IF(COUNTA(G5:J5)&lt;4,"",ROUND(AVERAGE(G5:J5),1))</f>
        <v/>
      </c>
      <c r="L5" s="2" t="n"/>
      <c r="M5" s="2" t="n"/>
      <c r="N5" s="2" t="n"/>
      <c r="O5" s="2" t="n"/>
    </row>
    <row r="6">
      <c r="A6" s="2" t="n"/>
      <c r="B6" s="2" t="n"/>
      <c r="C6" s="2" t="n"/>
      <c r="D6" s="2" t="n"/>
      <c r="E6" s="2" t="n"/>
      <c r="F6" s="2" t="n"/>
      <c r="G6" s="2" t="n"/>
      <c r="H6" s="2" t="n"/>
      <c r="I6" s="2" t="n"/>
      <c r="J6" s="2" t="n"/>
      <c r="K6" s="2">
        <f>IF(COUNTA(G6:J6)&lt;4,"",ROUND(AVERAGE(G6:J6),1))</f>
        <v/>
      </c>
      <c r="L6" s="2" t="n"/>
      <c r="M6" s="2" t="n"/>
      <c r="N6" s="2" t="n"/>
      <c r="O6" s="2" t="n"/>
    </row>
    <row r="7">
      <c r="A7" s="2" t="n"/>
      <c r="B7" s="2" t="n"/>
      <c r="C7" s="2" t="n"/>
      <c r="D7" s="2" t="n"/>
      <c r="E7" s="2" t="n"/>
      <c r="F7" s="2" t="n"/>
      <c r="G7" s="2" t="n"/>
      <c r="H7" s="2" t="n"/>
      <c r="I7" s="2" t="n"/>
      <c r="J7" s="2" t="n"/>
      <c r="K7" s="2">
        <f>IF(COUNTA(G7:J7)&lt;4,"",ROUND(AVERAGE(G7:J7),1))</f>
        <v/>
      </c>
      <c r="L7" s="2" t="n"/>
      <c r="M7" s="2" t="n"/>
      <c r="N7" s="2" t="n"/>
      <c r="O7" s="2" t="n"/>
    </row>
    <row r="8">
      <c r="A8" s="2" t="n"/>
      <c r="B8" s="2" t="n"/>
      <c r="C8" s="2" t="n"/>
      <c r="D8" s="2" t="n"/>
      <c r="E8" s="2" t="n"/>
      <c r="F8" s="2" t="n"/>
      <c r="G8" s="2" t="n"/>
      <c r="H8" s="2" t="n"/>
      <c r="I8" s="2" t="n"/>
      <c r="J8" s="2" t="n"/>
      <c r="K8" s="2">
        <f>IF(COUNTA(G8:J8)&lt;4,"",ROUND(AVERAGE(G8:J8),1))</f>
        <v/>
      </c>
      <c r="L8" s="2" t="n"/>
      <c r="M8" s="2" t="n"/>
      <c r="N8" s="2" t="n"/>
      <c r="O8" s="2" t="n"/>
    </row>
    <row r="9">
      <c r="A9" s="2" t="n"/>
      <c r="B9" s="2" t="n"/>
      <c r="C9" s="2" t="n"/>
      <c r="D9" s="2" t="n"/>
      <c r="E9" s="2" t="n"/>
      <c r="F9" s="2" t="n"/>
      <c r="G9" s="2" t="n"/>
      <c r="H9" s="2" t="n"/>
      <c r="I9" s="2" t="n"/>
      <c r="J9" s="2" t="n"/>
      <c r="K9" s="2">
        <f>IF(COUNTA(G9:J9)&lt;4,"",ROUND(AVERAGE(G9:J9),1))</f>
        <v/>
      </c>
      <c r="L9" s="2" t="n"/>
      <c r="M9" s="2" t="n"/>
      <c r="N9" s="2" t="n"/>
      <c r="O9" s="2" t="n"/>
    </row>
    <row r="10">
      <c r="A10" s="2" t="n"/>
      <c r="B10" s="2" t="n"/>
      <c r="C10" s="2" t="n"/>
      <c r="D10" s="2" t="n"/>
      <c r="E10" s="2" t="n"/>
      <c r="F10" s="2" t="n"/>
      <c r="G10" s="2" t="n"/>
      <c r="H10" s="2" t="n"/>
      <c r="I10" s="2" t="n"/>
      <c r="J10" s="2" t="n"/>
      <c r="K10" s="2">
        <f>IF(COUNTA(G10:J10)&lt;4,"",ROUND(AVERAGE(G10:J10),1))</f>
        <v/>
      </c>
      <c r="L10" s="2" t="n"/>
      <c r="M10" s="2" t="n"/>
      <c r="N10" s="2" t="n"/>
      <c r="O10" s="2" t="n"/>
    </row>
    <row r="11">
      <c r="A11" s="2" t="n"/>
      <c r="B11" s="2" t="n"/>
      <c r="C11" s="2" t="n"/>
      <c r="D11" s="2" t="n"/>
      <c r="E11" s="2" t="n"/>
      <c r="F11" s="2" t="n"/>
      <c r="G11" s="2" t="n"/>
      <c r="H11" s="2" t="n"/>
      <c r="I11" s="2" t="n"/>
      <c r="J11" s="2" t="n"/>
      <c r="K11" s="2">
        <f>IF(COUNTA(G11:J11)&lt;4,"",ROUND(AVERAGE(G11:J11),1))</f>
        <v/>
      </c>
      <c r="L11" s="2" t="n"/>
      <c r="M11" s="2" t="n"/>
      <c r="N11" s="2" t="n"/>
      <c r="O11" s="2" t="n"/>
    </row>
    <row r="12">
      <c r="A12" s="2" t="n"/>
      <c r="B12" s="2" t="n"/>
      <c r="C12" s="2" t="n"/>
      <c r="D12" s="2" t="n"/>
      <c r="E12" s="2" t="n"/>
      <c r="F12" s="2" t="n"/>
      <c r="G12" s="2" t="n"/>
      <c r="H12" s="2" t="n"/>
      <c r="I12" s="2" t="n"/>
      <c r="J12" s="2" t="n"/>
      <c r="K12" s="2">
        <f>IF(COUNTA(G12:J12)&lt;4,"",ROUND(AVERAGE(G12:J12),1))</f>
        <v/>
      </c>
      <c r="L12" s="2" t="n"/>
      <c r="M12" s="2" t="n"/>
      <c r="N12" s="2" t="n"/>
      <c r="O12" s="2" t="n"/>
    </row>
    <row r="13">
      <c r="A13" s="2" t="n"/>
      <c r="B13" s="2" t="n"/>
      <c r="C13" s="2" t="n"/>
      <c r="D13" s="2" t="n"/>
      <c r="E13" s="2" t="n"/>
      <c r="F13" s="2" t="n"/>
      <c r="G13" s="2" t="n"/>
      <c r="H13" s="2" t="n"/>
      <c r="I13" s="2" t="n"/>
      <c r="J13" s="2" t="n"/>
      <c r="K13" s="2">
        <f>IF(COUNTA(G13:J13)&lt;4,"",ROUND(AVERAGE(G13:J13),1))</f>
        <v/>
      </c>
      <c r="L13" s="2" t="n"/>
      <c r="M13" s="2" t="n"/>
      <c r="N13" s="2" t="n"/>
      <c r="O13" s="2" t="n"/>
    </row>
    <row r="14">
      <c r="A14" s="2" t="n"/>
      <c r="B14" s="2" t="n"/>
      <c r="C14" s="2" t="n"/>
      <c r="D14" s="2" t="n"/>
      <c r="E14" s="2" t="n"/>
      <c r="F14" s="2" t="n"/>
      <c r="G14" s="2" t="n"/>
      <c r="H14" s="2" t="n"/>
      <c r="I14" s="2" t="n"/>
      <c r="J14" s="2" t="n"/>
      <c r="K14" s="2">
        <f>IF(COUNTA(G14:J14)&lt;4,"",ROUND(AVERAGE(G14:J14),1))</f>
        <v/>
      </c>
      <c r="L14" s="2" t="n"/>
      <c r="M14" s="2" t="n"/>
      <c r="N14" s="2" t="n"/>
      <c r="O14" s="2" t="n"/>
    </row>
    <row r="15">
      <c r="A15" s="2" t="n"/>
      <c r="B15" s="2" t="n"/>
      <c r="C15" s="2" t="n"/>
      <c r="D15" s="2" t="n"/>
      <c r="E15" s="2" t="n"/>
      <c r="F15" s="2" t="n"/>
      <c r="G15" s="2" t="n"/>
      <c r="H15" s="2" t="n"/>
      <c r="I15" s="2" t="n"/>
      <c r="J15" s="2" t="n"/>
      <c r="K15" s="2">
        <f>IF(COUNTA(G15:J15)&lt;4,"",ROUND(AVERAGE(G15:J15),1))</f>
        <v/>
      </c>
      <c r="L15" s="2" t="n"/>
      <c r="M15" s="2" t="n"/>
      <c r="N15" s="2" t="n"/>
      <c r="O15" s="2" t="n"/>
    </row>
    <row r="16">
      <c r="A16" s="2" t="n"/>
      <c r="B16" s="2" t="n"/>
      <c r="C16" s="2" t="n"/>
      <c r="D16" s="2" t="n"/>
      <c r="E16" s="2" t="n"/>
      <c r="F16" s="2" t="n"/>
      <c r="G16" s="2" t="n"/>
      <c r="H16" s="2" t="n"/>
      <c r="I16" s="2" t="n"/>
      <c r="J16" s="2" t="n"/>
      <c r="K16" s="2">
        <f>IF(COUNTA(G16:J16)&lt;4,"",ROUND(AVERAGE(G16:J16),1))</f>
        <v/>
      </c>
      <c r="L16" s="2" t="n"/>
      <c r="M16" s="2" t="n"/>
      <c r="N16" s="2" t="n"/>
      <c r="O16" s="2" t="n"/>
    </row>
    <row r="17">
      <c r="A17" s="2" t="n"/>
      <c r="B17" s="2" t="n"/>
      <c r="C17" s="2" t="n"/>
      <c r="D17" s="2" t="n"/>
      <c r="E17" s="2" t="n"/>
      <c r="F17" s="2" t="n"/>
      <c r="G17" s="2" t="n"/>
      <c r="H17" s="2" t="n"/>
      <c r="I17" s="2" t="n"/>
      <c r="J17" s="2" t="n"/>
      <c r="K17" s="2">
        <f>IF(COUNTA(G17:J17)&lt;4,"",ROUND(AVERAGE(G17:J17),1))</f>
        <v/>
      </c>
      <c r="L17" s="2" t="n"/>
      <c r="M17" s="2" t="n"/>
      <c r="N17" s="2" t="n"/>
      <c r="O17" s="2" t="n"/>
    </row>
    <row r="18">
      <c r="A18" s="2" t="n"/>
      <c r="B18" s="2" t="n"/>
      <c r="C18" s="2" t="n"/>
      <c r="D18" s="2" t="n"/>
      <c r="E18" s="2" t="n"/>
      <c r="F18" s="2" t="n"/>
      <c r="G18" s="2" t="n"/>
      <c r="H18" s="2" t="n"/>
      <c r="I18" s="2" t="n"/>
      <c r="J18" s="2" t="n"/>
      <c r="K18" s="2">
        <f>IF(COUNTA(G18:J18)&lt;4,"",ROUND(AVERAGE(G18:J18),1))</f>
        <v/>
      </c>
      <c r="L18" s="2" t="n"/>
      <c r="M18" s="2" t="n"/>
      <c r="N18" s="2" t="n"/>
      <c r="O18" s="2" t="n"/>
    </row>
    <row r="19">
      <c r="A19" s="2" t="n"/>
      <c r="B19" s="2" t="n"/>
      <c r="C19" s="2" t="n"/>
      <c r="D19" s="2" t="n"/>
      <c r="E19" s="2" t="n"/>
      <c r="F19" s="2" t="n"/>
      <c r="G19" s="2" t="n"/>
      <c r="H19" s="2" t="n"/>
      <c r="I19" s="2" t="n"/>
      <c r="J19" s="2" t="n"/>
      <c r="K19" s="2">
        <f>IF(COUNTA(G19:J19)&lt;4,"",ROUND(AVERAGE(G19:J19),1))</f>
        <v/>
      </c>
      <c r="L19" s="2" t="n"/>
      <c r="M19" s="2" t="n"/>
      <c r="N19" s="2" t="n"/>
      <c r="O19" s="2" t="n"/>
    </row>
    <row r="20">
      <c r="A20" s="2" t="n"/>
      <c r="B20" s="2" t="n"/>
      <c r="C20" s="2" t="n"/>
      <c r="D20" s="2" t="n"/>
      <c r="E20" s="2" t="n"/>
      <c r="F20" s="2" t="n"/>
      <c r="G20" s="2" t="n"/>
      <c r="H20" s="2" t="n"/>
      <c r="I20" s="2" t="n"/>
      <c r="J20" s="2" t="n"/>
      <c r="K20" s="2">
        <f>IF(COUNTA(G20:J20)&lt;4,"",ROUND(AVERAGE(G20:J20),1))</f>
        <v/>
      </c>
      <c r="L20" s="2" t="n"/>
      <c r="M20" s="2" t="n"/>
      <c r="N20" s="2" t="n"/>
      <c r="O20" s="2" t="n"/>
    </row>
    <row r="21">
      <c r="A21" s="2" t="n"/>
      <c r="B21" s="2" t="n"/>
      <c r="C21" s="2" t="n"/>
      <c r="D21" s="2" t="n"/>
      <c r="E21" s="2" t="n"/>
      <c r="F21" s="2" t="n"/>
      <c r="G21" s="2" t="n"/>
      <c r="H21" s="2" t="n"/>
      <c r="I21" s="2" t="n"/>
      <c r="J21" s="2" t="n"/>
      <c r="K21" s="2">
        <f>IF(COUNTA(G21:J21)&lt;4,"",ROUND(AVERAGE(G21:J21),1))</f>
        <v/>
      </c>
      <c r="L21" s="2" t="n"/>
      <c r="M21" s="2" t="n"/>
      <c r="N21" s="2" t="n"/>
      <c r="O21" s="2" t="n"/>
    </row>
    <row r="22">
      <c r="A22" s="2" t="n"/>
      <c r="B22" s="2" t="n"/>
      <c r="C22" s="2" t="n"/>
      <c r="D22" s="2" t="n"/>
      <c r="E22" s="2" t="n"/>
      <c r="F22" s="2" t="n"/>
      <c r="G22" s="2" t="n"/>
      <c r="H22" s="2" t="n"/>
      <c r="I22" s="2" t="n"/>
      <c r="J22" s="2" t="n"/>
      <c r="K22" s="2">
        <f>IF(COUNTA(G22:J22)&lt;4,"",ROUND(AVERAGE(G22:J22),1))</f>
        <v/>
      </c>
      <c r="L22" s="2" t="n"/>
      <c r="M22" s="2" t="n"/>
      <c r="N22" s="2" t="n"/>
      <c r="O22" s="2" t="n"/>
    </row>
    <row r="23">
      <c r="A23" s="2" t="n"/>
      <c r="B23" s="2" t="n"/>
      <c r="C23" s="2" t="n"/>
      <c r="D23" s="2" t="n"/>
      <c r="E23" s="2" t="n"/>
      <c r="F23" s="2" t="n"/>
      <c r="G23" s="2" t="n"/>
      <c r="H23" s="2" t="n"/>
      <c r="I23" s="2" t="n"/>
      <c r="J23" s="2" t="n"/>
      <c r="K23" s="2">
        <f>IF(COUNTA(G23:J23)&lt;4,"",ROUND(AVERAGE(G23:J23),1))</f>
        <v/>
      </c>
      <c r="L23" s="2" t="n"/>
      <c r="M23" s="2" t="n"/>
      <c r="N23" s="2" t="n"/>
      <c r="O23" s="2" t="n"/>
    </row>
    <row r="24">
      <c r="A24" s="2" t="n"/>
      <c r="B24" s="2" t="n"/>
      <c r="C24" s="2" t="n"/>
      <c r="D24" s="2" t="n"/>
      <c r="E24" s="2" t="n"/>
      <c r="F24" s="2" t="n"/>
      <c r="G24" s="2" t="n"/>
      <c r="H24" s="2" t="n"/>
      <c r="I24" s="2" t="n"/>
      <c r="J24" s="2" t="n"/>
      <c r="K24" s="2">
        <f>IF(COUNTA(G24:J24)&lt;4,"",ROUND(AVERAGE(G24:J24),1))</f>
        <v/>
      </c>
      <c r="L24" s="2" t="n"/>
      <c r="M24" s="2" t="n"/>
      <c r="N24" s="2" t="n"/>
      <c r="O24" s="2" t="n"/>
    </row>
    <row r="25">
      <c r="A25" s="2" t="n"/>
      <c r="B25" s="2" t="n"/>
      <c r="C25" s="2" t="n"/>
      <c r="D25" s="2" t="n"/>
      <c r="E25" s="2" t="n"/>
      <c r="F25" s="2" t="n"/>
      <c r="G25" s="2" t="n"/>
      <c r="H25" s="2" t="n"/>
      <c r="I25" s="2" t="n"/>
      <c r="J25" s="2" t="n"/>
      <c r="K25" s="2">
        <f>IF(COUNTA(G25:J25)&lt;4,"",ROUND(AVERAGE(G25:J25),1))</f>
        <v/>
      </c>
      <c r="L25" s="2" t="n"/>
      <c r="M25" s="2" t="n"/>
      <c r="N25" s="2" t="n"/>
      <c r="O25" s="2" t="n"/>
    </row>
    <row r="26">
      <c r="A26" s="2" t="n"/>
      <c r="B26" s="2" t="n"/>
      <c r="C26" s="2" t="n"/>
      <c r="D26" s="2" t="n"/>
      <c r="E26" s="2" t="n"/>
      <c r="F26" s="2" t="n"/>
      <c r="G26" s="2" t="n"/>
      <c r="H26" s="2" t="n"/>
      <c r="I26" s="2" t="n"/>
      <c r="J26" s="2" t="n"/>
      <c r="K26" s="2">
        <f>IF(COUNTA(G26:J26)&lt;4,"",ROUND(AVERAGE(G26:J26),1))</f>
        <v/>
      </c>
      <c r="L26" s="2" t="n"/>
      <c r="M26" s="2" t="n"/>
      <c r="N26" s="2" t="n"/>
      <c r="O26" s="2" t="n"/>
    </row>
    <row r="27">
      <c r="A27" s="2" t="n"/>
      <c r="B27" s="2" t="n"/>
      <c r="C27" s="2" t="n"/>
      <c r="D27" s="2" t="n"/>
      <c r="E27" s="2" t="n"/>
      <c r="F27" s="2" t="n"/>
      <c r="G27" s="2" t="n"/>
      <c r="H27" s="2" t="n"/>
      <c r="I27" s="2" t="n"/>
      <c r="J27" s="2" t="n"/>
      <c r="K27" s="2">
        <f>IF(COUNTA(G27:J27)&lt;4,"",ROUND(AVERAGE(G27:J27),1))</f>
        <v/>
      </c>
      <c r="L27" s="2" t="n"/>
      <c r="M27" s="2" t="n"/>
      <c r="N27" s="2" t="n"/>
      <c r="O27" s="2" t="n"/>
    </row>
    <row r="28">
      <c r="A28" s="2" t="n"/>
      <c r="B28" s="2" t="n"/>
      <c r="C28" s="2" t="n"/>
      <c r="D28" s="2" t="n"/>
      <c r="E28" s="2" t="n"/>
      <c r="F28" s="2" t="n"/>
      <c r="G28" s="2" t="n"/>
      <c r="H28" s="2" t="n"/>
      <c r="I28" s="2" t="n"/>
      <c r="J28" s="2" t="n"/>
      <c r="K28" s="2">
        <f>IF(COUNTA(G28:J28)&lt;4,"",ROUND(AVERAGE(G28:J28),1))</f>
        <v/>
      </c>
      <c r="L28" s="2" t="n"/>
      <c r="M28" s="2" t="n"/>
      <c r="N28" s="2" t="n"/>
      <c r="O28" s="2" t="n"/>
    </row>
    <row r="29">
      <c r="A29" s="2" t="n"/>
      <c r="B29" s="2" t="n"/>
      <c r="C29" s="2" t="n"/>
      <c r="D29" s="2" t="n"/>
      <c r="E29" s="2" t="n"/>
      <c r="F29" s="2" t="n"/>
      <c r="G29" s="2" t="n"/>
      <c r="H29" s="2" t="n"/>
      <c r="I29" s="2" t="n"/>
      <c r="J29" s="2" t="n"/>
      <c r="K29" s="2">
        <f>IF(COUNTA(G29:J29)&lt;4,"",ROUND(AVERAGE(G29:J29),1))</f>
        <v/>
      </c>
      <c r="L29" s="2" t="n"/>
      <c r="M29" s="2" t="n"/>
      <c r="N29" s="2" t="n"/>
      <c r="O29" s="2" t="n"/>
    </row>
    <row r="30">
      <c r="A30" s="2" t="n"/>
      <c r="B30" s="2" t="n"/>
      <c r="C30" s="2" t="n"/>
      <c r="D30" s="2" t="n"/>
      <c r="E30" s="2" t="n"/>
      <c r="F30" s="2" t="n"/>
      <c r="G30" s="2" t="n"/>
      <c r="H30" s="2" t="n"/>
      <c r="I30" s="2" t="n"/>
      <c r="J30" s="2" t="n"/>
      <c r="K30" s="2">
        <f>IF(COUNTA(G30:J30)&lt;4,"",ROUND(AVERAGE(G30:J30),1))</f>
        <v/>
      </c>
      <c r="L30" s="2" t="n"/>
      <c r="M30" s="2" t="n"/>
      <c r="N30" s="2" t="n"/>
      <c r="O30" s="2" t="n"/>
    </row>
    <row r="31">
      <c r="A31" s="2" t="n"/>
      <c r="B31" s="2" t="n"/>
      <c r="C31" s="2" t="n"/>
      <c r="D31" s="2" t="n"/>
      <c r="E31" s="2" t="n"/>
      <c r="F31" s="2" t="n"/>
      <c r="G31" s="2" t="n"/>
      <c r="H31" s="2" t="n"/>
      <c r="I31" s="2" t="n"/>
      <c r="J31" s="2" t="n"/>
      <c r="K31" s="2">
        <f>IF(COUNTA(G31:J31)&lt;4,"",ROUND(AVERAGE(G31:J31),1))</f>
        <v/>
      </c>
      <c r="L31" s="2" t="n"/>
      <c r="M31" s="2" t="n"/>
      <c r="N31" s="2" t="n"/>
      <c r="O31" s="2" t="n"/>
    </row>
    <row r="32">
      <c r="A32" s="2" t="n"/>
      <c r="B32" s="2" t="n"/>
      <c r="C32" s="2" t="n"/>
      <c r="D32" s="2" t="n"/>
      <c r="E32" s="2" t="n"/>
      <c r="F32" s="2" t="n"/>
      <c r="G32" s="2" t="n"/>
      <c r="H32" s="2" t="n"/>
      <c r="I32" s="2" t="n"/>
      <c r="J32" s="2" t="n"/>
      <c r="K32" s="2">
        <f>IF(COUNTA(G32:J32)&lt;4,"",ROUND(AVERAGE(G32:J32),1))</f>
        <v/>
      </c>
      <c r="L32" s="2" t="n"/>
      <c r="M32" s="2" t="n"/>
      <c r="N32" s="2" t="n"/>
      <c r="O32" s="2" t="n"/>
    </row>
    <row r="33">
      <c r="A33" s="2" t="n"/>
      <c r="B33" s="2" t="n"/>
      <c r="C33" s="2" t="n"/>
      <c r="D33" s="2" t="n"/>
      <c r="E33" s="2" t="n"/>
      <c r="F33" s="2" t="n"/>
      <c r="G33" s="2" t="n"/>
      <c r="H33" s="2" t="n"/>
      <c r="I33" s="2" t="n"/>
      <c r="J33" s="2" t="n"/>
      <c r="K33" s="2">
        <f>IF(COUNTA(G33:J33)&lt;4,"",ROUND(AVERAGE(G33:J33),1))</f>
        <v/>
      </c>
      <c r="L33" s="2" t="n"/>
      <c r="M33" s="2" t="n"/>
      <c r="N33" s="2" t="n"/>
      <c r="O33" s="2" t="n"/>
    </row>
    <row r="34">
      <c r="A34" s="2" t="n"/>
      <c r="B34" s="2" t="n"/>
      <c r="C34" s="2" t="n"/>
      <c r="D34" s="2" t="n"/>
      <c r="E34" s="2" t="n"/>
      <c r="F34" s="2" t="n"/>
      <c r="G34" s="2" t="n"/>
      <c r="H34" s="2" t="n"/>
      <c r="I34" s="2" t="n"/>
      <c r="J34" s="2" t="n"/>
      <c r="K34" s="2">
        <f>IF(COUNTA(G34:J34)&lt;4,"",ROUND(AVERAGE(G34:J34),1))</f>
        <v/>
      </c>
      <c r="L34" s="2" t="n"/>
      <c r="M34" s="2" t="n"/>
      <c r="N34" s="2" t="n"/>
      <c r="O34" s="2" t="n"/>
    </row>
    <row r="35">
      <c r="A35" s="2" t="n"/>
      <c r="B35" s="2" t="n"/>
      <c r="C35" s="2" t="n"/>
      <c r="D35" s="2" t="n"/>
      <c r="E35" s="2" t="n"/>
      <c r="F35" s="2" t="n"/>
      <c r="G35" s="2" t="n"/>
      <c r="H35" s="2" t="n"/>
      <c r="I35" s="2" t="n"/>
      <c r="J35" s="2" t="n"/>
      <c r="K35" s="2">
        <f>IF(COUNTA(G35:J35)&lt;4,"",ROUND(AVERAGE(G35:J35),1))</f>
        <v/>
      </c>
      <c r="L35" s="2" t="n"/>
      <c r="M35" s="2" t="n"/>
      <c r="N35" s="2" t="n"/>
      <c r="O35" s="2" t="n"/>
    </row>
    <row r="36">
      <c r="A36" s="2" t="n"/>
      <c r="B36" s="2" t="n"/>
      <c r="C36" s="2" t="n"/>
      <c r="D36" s="2" t="n"/>
      <c r="E36" s="2" t="n"/>
      <c r="F36" s="2" t="n"/>
      <c r="G36" s="2" t="n"/>
      <c r="H36" s="2" t="n"/>
      <c r="I36" s="2" t="n"/>
      <c r="J36" s="2" t="n"/>
      <c r="K36" s="2">
        <f>IF(COUNTA(G36:J36)&lt;4,"",ROUND(AVERAGE(G36:J36),1))</f>
        <v/>
      </c>
      <c r="L36" s="2" t="n"/>
      <c r="M36" s="2" t="n"/>
      <c r="N36" s="2" t="n"/>
      <c r="O36" s="2" t="n"/>
    </row>
    <row r="37">
      <c r="A37" s="2" t="n"/>
      <c r="B37" s="2" t="n"/>
      <c r="C37" s="2" t="n"/>
      <c r="D37" s="2" t="n"/>
      <c r="E37" s="2" t="n"/>
      <c r="F37" s="2" t="n"/>
      <c r="G37" s="2" t="n"/>
      <c r="H37" s="2" t="n"/>
      <c r="I37" s="2" t="n"/>
      <c r="J37" s="2" t="n"/>
      <c r="K37" s="2">
        <f>IF(COUNTA(G37:J37)&lt;4,"",ROUND(AVERAGE(G37:J37),1))</f>
        <v/>
      </c>
      <c r="L37" s="2" t="n"/>
      <c r="M37" s="2" t="n"/>
      <c r="N37" s="2" t="n"/>
      <c r="O37" s="2" t="n"/>
    </row>
    <row r="38">
      <c r="A38" s="2" t="n"/>
      <c r="B38" s="2" t="n"/>
      <c r="C38" s="2" t="n"/>
      <c r="D38" s="2" t="n"/>
      <c r="E38" s="2" t="n"/>
      <c r="F38" s="2" t="n"/>
      <c r="G38" s="2" t="n"/>
      <c r="H38" s="2" t="n"/>
      <c r="I38" s="2" t="n"/>
      <c r="J38" s="2" t="n"/>
      <c r="K38" s="2">
        <f>IF(COUNTA(G38:J38)&lt;4,"",ROUND(AVERAGE(G38:J38),1))</f>
        <v/>
      </c>
      <c r="L38" s="2" t="n"/>
      <c r="M38" s="2" t="n"/>
      <c r="N38" s="2" t="n"/>
      <c r="O38" s="2" t="n"/>
    </row>
    <row r="39">
      <c r="A39" s="2" t="n"/>
      <c r="B39" s="2" t="n"/>
      <c r="C39" s="2" t="n"/>
      <c r="D39" s="2" t="n"/>
      <c r="E39" s="2" t="n"/>
      <c r="F39" s="2" t="n"/>
      <c r="G39" s="2" t="n"/>
      <c r="H39" s="2" t="n"/>
      <c r="I39" s="2" t="n"/>
      <c r="J39" s="2" t="n"/>
      <c r="K39" s="2">
        <f>IF(COUNTA(G39:J39)&lt;4,"",ROUND(AVERAGE(G39:J39),1))</f>
        <v/>
      </c>
      <c r="L39" s="2" t="n"/>
      <c r="M39" s="2" t="n"/>
      <c r="N39" s="2" t="n"/>
      <c r="O39" s="2" t="n"/>
    </row>
    <row r="40">
      <c r="A40" s="2" t="n"/>
      <c r="B40" s="2" t="n"/>
      <c r="C40" s="2" t="n"/>
      <c r="D40" s="2" t="n"/>
      <c r="E40" s="2" t="n"/>
      <c r="F40" s="2" t="n"/>
      <c r="G40" s="2" t="n"/>
      <c r="H40" s="2" t="n"/>
      <c r="I40" s="2" t="n"/>
      <c r="J40" s="2" t="n"/>
      <c r="K40" s="2">
        <f>IF(COUNTA(G40:J40)&lt;4,"",ROUND(AVERAGE(G40:J40),1))</f>
        <v/>
      </c>
      <c r="L40" s="2" t="n"/>
      <c r="M40" s="2" t="n"/>
      <c r="N40" s="2" t="n"/>
      <c r="O40" s="2" t="n"/>
    </row>
    <row r="41">
      <c r="A41" s="2" t="n"/>
      <c r="B41" s="2" t="n"/>
      <c r="C41" s="2" t="n"/>
      <c r="D41" s="2" t="n"/>
      <c r="E41" s="2" t="n"/>
      <c r="F41" s="2" t="n"/>
      <c r="G41" s="2" t="n"/>
      <c r="H41" s="2" t="n"/>
      <c r="I41" s="2" t="n"/>
      <c r="J41" s="2" t="n"/>
      <c r="K41" s="2">
        <f>IF(COUNTA(G41:J41)&lt;4,"",ROUND(AVERAGE(G41:J41),1))</f>
        <v/>
      </c>
      <c r="L41" s="2" t="n"/>
      <c r="M41" s="2" t="n"/>
      <c r="N41" s="2" t="n"/>
      <c r="O41" s="2" t="n"/>
    </row>
    <row r="42">
      <c r="A42" s="2" t="n"/>
      <c r="B42" s="2" t="n"/>
      <c r="C42" s="2" t="n"/>
      <c r="D42" s="2" t="n"/>
      <c r="E42" s="2" t="n"/>
      <c r="F42" s="2" t="n"/>
      <c r="G42" s="2" t="n"/>
      <c r="H42" s="2" t="n"/>
      <c r="I42" s="2" t="n"/>
      <c r="J42" s="2" t="n"/>
      <c r="K42" s="2">
        <f>IF(COUNTA(G42:J42)&lt;4,"",ROUND(AVERAGE(G42:J42),1))</f>
        <v/>
      </c>
      <c r="L42" s="2" t="n"/>
      <c r="M42" s="2" t="n"/>
      <c r="N42" s="2" t="n"/>
      <c r="O42" s="2" t="n"/>
    </row>
    <row r="43">
      <c r="A43" s="2" t="n"/>
      <c r="B43" s="2" t="n"/>
      <c r="C43" s="2" t="n"/>
      <c r="D43" s="2" t="n"/>
      <c r="E43" s="2" t="n"/>
      <c r="F43" s="2" t="n"/>
      <c r="G43" s="2" t="n"/>
      <c r="H43" s="2" t="n"/>
      <c r="I43" s="2" t="n"/>
      <c r="J43" s="2" t="n"/>
      <c r="K43" s="2">
        <f>IF(COUNTA(G43:J43)&lt;4,"",ROUND(AVERAGE(G43:J43),1))</f>
        <v/>
      </c>
      <c r="L43" s="2" t="n"/>
      <c r="M43" s="2" t="n"/>
      <c r="N43" s="2" t="n"/>
      <c r="O43" s="2" t="n"/>
    </row>
    <row r="44">
      <c r="A44" s="2" t="n"/>
      <c r="B44" s="2" t="n"/>
      <c r="C44" s="2" t="n"/>
      <c r="D44" s="2" t="n"/>
      <c r="E44" s="2" t="n"/>
      <c r="F44" s="2" t="n"/>
      <c r="G44" s="2" t="n"/>
      <c r="H44" s="2" t="n"/>
      <c r="I44" s="2" t="n"/>
      <c r="J44" s="2" t="n"/>
      <c r="K44" s="2">
        <f>IF(COUNTA(G44:J44)&lt;4,"",ROUND(AVERAGE(G44:J44),1))</f>
        <v/>
      </c>
      <c r="L44" s="2" t="n"/>
      <c r="M44" s="2" t="n"/>
      <c r="N44" s="2" t="n"/>
      <c r="O44" s="2" t="n"/>
    </row>
    <row r="45">
      <c r="A45" s="2" t="n"/>
      <c r="B45" s="2" t="n"/>
      <c r="C45" s="2" t="n"/>
      <c r="D45" s="2" t="n"/>
      <c r="E45" s="2" t="n"/>
      <c r="F45" s="2" t="n"/>
      <c r="G45" s="2" t="n"/>
      <c r="H45" s="2" t="n"/>
      <c r="I45" s="2" t="n"/>
      <c r="J45" s="2" t="n"/>
      <c r="K45" s="2">
        <f>IF(COUNTA(G45:J45)&lt;4,"",ROUND(AVERAGE(G45:J45),1))</f>
        <v/>
      </c>
      <c r="L45" s="2" t="n"/>
      <c r="M45" s="2" t="n"/>
      <c r="N45" s="2" t="n"/>
      <c r="O45" s="2" t="n"/>
    </row>
    <row r="46">
      <c r="A46" s="2" t="n"/>
      <c r="B46" s="2" t="n"/>
      <c r="C46" s="2" t="n"/>
      <c r="D46" s="2" t="n"/>
      <c r="E46" s="2" t="n"/>
      <c r="F46" s="2" t="n"/>
      <c r="G46" s="2" t="n"/>
      <c r="H46" s="2" t="n"/>
      <c r="I46" s="2" t="n"/>
      <c r="J46" s="2" t="n"/>
      <c r="K46" s="2">
        <f>IF(COUNTA(G46:J46)&lt;4,"",ROUND(AVERAGE(G46:J46),1))</f>
        <v/>
      </c>
      <c r="L46" s="2" t="n"/>
      <c r="M46" s="2" t="n"/>
      <c r="N46" s="2" t="n"/>
      <c r="O46" s="2" t="n"/>
    </row>
    <row r="47">
      <c r="A47" s="2" t="n"/>
      <c r="B47" s="2" t="n"/>
      <c r="C47" s="2" t="n"/>
      <c r="D47" s="2" t="n"/>
      <c r="E47" s="2" t="n"/>
      <c r="F47" s="2" t="n"/>
      <c r="G47" s="2" t="n"/>
      <c r="H47" s="2" t="n"/>
      <c r="I47" s="2" t="n"/>
      <c r="J47" s="2" t="n"/>
      <c r="K47" s="2">
        <f>IF(COUNTA(G47:J47)&lt;4,"",ROUND(AVERAGE(G47:J47),1))</f>
        <v/>
      </c>
      <c r="L47" s="2" t="n"/>
      <c r="M47" s="2" t="n"/>
      <c r="N47" s="2" t="n"/>
      <c r="O47" s="2" t="n"/>
    </row>
    <row r="48">
      <c r="A48" s="2" t="n"/>
      <c r="B48" s="2" t="n"/>
      <c r="C48" s="2" t="n"/>
      <c r="D48" s="2" t="n"/>
      <c r="E48" s="2" t="n"/>
      <c r="F48" s="2" t="n"/>
      <c r="G48" s="2" t="n"/>
      <c r="H48" s="2" t="n"/>
      <c r="I48" s="2" t="n"/>
      <c r="J48" s="2" t="n"/>
      <c r="K48" s="2">
        <f>IF(COUNTA(G48:J48)&lt;4,"",ROUND(AVERAGE(G48:J48),1))</f>
        <v/>
      </c>
      <c r="L48" s="2" t="n"/>
      <c r="M48" s="2" t="n"/>
      <c r="N48" s="2" t="n"/>
      <c r="O48" s="2" t="n"/>
    </row>
    <row r="49">
      <c r="A49" s="2" t="n"/>
      <c r="B49" s="2" t="n"/>
      <c r="C49" s="2" t="n"/>
      <c r="D49" s="2" t="n"/>
      <c r="E49" s="2" t="n"/>
      <c r="F49" s="2" t="n"/>
      <c r="G49" s="2" t="n"/>
      <c r="H49" s="2" t="n"/>
      <c r="I49" s="2" t="n"/>
      <c r="J49" s="2" t="n"/>
      <c r="K49" s="2">
        <f>IF(COUNTA(G49:J49)&lt;4,"",ROUND(AVERAGE(G49:J49),1))</f>
        <v/>
      </c>
      <c r="L49" s="2" t="n"/>
      <c r="M49" s="2" t="n"/>
      <c r="N49" s="2" t="n"/>
      <c r="O49" s="2" t="n"/>
    </row>
    <row r="50">
      <c r="A50" s="2" t="n"/>
      <c r="B50" s="2" t="n"/>
      <c r="C50" s="2" t="n"/>
      <c r="D50" s="2" t="n"/>
      <c r="E50" s="2" t="n"/>
      <c r="F50" s="2" t="n"/>
      <c r="G50" s="2" t="n"/>
      <c r="H50" s="2" t="n"/>
      <c r="I50" s="2" t="n"/>
      <c r="J50" s="2" t="n"/>
      <c r="K50" s="2">
        <f>IF(COUNTA(G50:J50)&lt;4,"",ROUND(AVERAGE(G50:J50),1))</f>
        <v/>
      </c>
      <c r="L50" s="2" t="n"/>
      <c r="M50" s="2" t="n"/>
      <c r="N50" s="2" t="n"/>
      <c r="O50" s="2" t="n"/>
    </row>
    <row r="51">
      <c r="A51" s="2" t="n"/>
      <c r="B51" s="2" t="n"/>
      <c r="C51" s="2" t="n"/>
      <c r="D51" s="2" t="n"/>
      <c r="E51" s="2" t="n"/>
      <c r="F51" s="2" t="n"/>
      <c r="G51" s="2" t="n"/>
      <c r="H51" s="2" t="n"/>
      <c r="I51" s="2" t="n"/>
      <c r="J51" s="2" t="n"/>
      <c r="K51" s="2">
        <f>IF(COUNTA(G51:J51)&lt;4,"",ROUND(AVERAGE(G51:J51),1))</f>
        <v/>
      </c>
      <c r="L51" s="2" t="n"/>
      <c r="M51" s="2" t="n"/>
      <c r="N51" s="2" t="n"/>
      <c r="O51" s="2" t="n"/>
    </row>
    <row r="52">
      <c r="A52" s="2" t="n"/>
      <c r="B52" s="2" t="n"/>
      <c r="C52" s="2" t="n"/>
      <c r="D52" s="2" t="n"/>
      <c r="E52" s="2" t="n"/>
      <c r="F52" s="2" t="n"/>
      <c r="G52" s="2" t="n"/>
      <c r="H52" s="2" t="n"/>
      <c r="I52" s="2" t="n"/>
      <c r="J52" s="2" t="n"/>
      <c r="K52" s="2">
        <f>IF(COUNTA(G52:J52)&lt;4,"",ROUND(AVERAGE(G52:J52),1))</f>
        <v/>
      </c>
      <c r="L52" s="2" t="n"/>
      <c r="M52" s="2" t="n"/>
      <c r="N52" s="2" t="n"/>
      <c r="O52" s="2" t="n"/>
    </row>
    <row r="53">
      <c r="A53" s="2" t="n"/>
      <c r="B53" s="2" t="n"/>
      <c r="C53" s="2" t="n"/>
      <c r="D53" s="2" t="n"/>
      <c r="E53" s="2" t="n"/>
      <c r="F53" s="2" t="n"/>
      <c r="G53" s="2" t="n"/>
      <c r="H53" s="2" t="n"/>
      <c r="I53" s="2" t="n"/>
      <c r="J53" s="2" t="n"/>
      <c r="K53" s="2">
        <f>IF(COUNTA(G53:J53)&lt;4,"",ROUND(AVERAGE(G53:J53),1))</f>
        <v/>
      </c>
      <c r="L53" s="2" t="n"/>
      <c r="M53" s="2" t="n"/>
      <c r="N53" s="2" t="n"/>
      <c r="O53" s="2" t="n"/>
    </row>
    <row r="54">
      <c r="A54" s="2" t="n"/>
      <c r="B54" s="2" t="n"/>
      <c r="C54" s="2" t="n"/>
      <c r="D54" s="2" t="n"/>
      <c r="E54" s="2" t="n"/>
      <c r="F54" s="2" t="n"/>
      <c r="G54" s="2" t="n"/>
      <c r="H54" s="2" t="n"/>
      <c r="I54" s="2" t="n"/>
      <c r="J54" s="2" t="n"/>
      <c r="K54" s="2">
        <f>IF(COUNTA(G54:J54)&lt;4,"",ROUND(AVERAGE(G54:J54),1))</f>
        <v/>
      </c>
      <c r="L54" s="2" t="n"/>
      <c r="M54" s="2" t="n"/>
      <c r="N54" s="2" t="n"/>
      <c r="O54" s="2" t="n"/>
    </row>
    <row r="55">
      <c r="A55" s="2" t="n"/>
      <c r="B55" s="2" t="n"/>
      <c r="C55" s="2" t="n"/>
      <c r="D55" s="2" t="n"/>
      <c r="E55" s="2" t="n"/>
      <c r="F55" s="2" t="n"/>
      <c r="G55" s="2" t="n"/>
      <c r="H55" s="2" t="n"/>
      <c r="I55" s="2" t="n"/>
      <c r="J55" s="2" t="n"/>
      <c r="K55" s="2">
        <f>IF(COUNTA(G55:J55)&lt;4,"",ROUND(AVERAGE(G55:J55),1))</f>
        <v/>
      </c>
      <c r="L55" s="2" t="n"/>
      <c r="M55" s="2" t="n"/>
      <c r="N55" s="2" t="n"/>
      <c r="O55" s="2" t="n"/>
    </row>
    <row r="56">
      <c r="A56" s="2" t="n"/>
      <c r="B56" s="2" t="n"/>
      <c r="C56" s="2" t="n"/>
      <c r="D56" s="2" t="n"/>
      <c r="E56" s="2" t="n"/>
      <c r="F56" s="2" t="n"/>
      <c r="G56" s="2" t="n"/>
      <c r="H56" s="2" t="n"/>
      <c r="I56" s="2" t="n"/>
      <c r="J56" s="2" t="n"/>
      <c r="K56" s="2">
        <f>IF(COUNTA(G56:J56)&lt;4,"",ROUND(AVERAGE(G56:J56),1))</f>
        <v/>
      </c>
      <c r="L56" s="2" t="n"/>
      <c r="M56" s="2" t="n"/>
      <c r="N56" s="2" t="n"/>
      <c r="O56" s="2" t="n"/>
    </row>
    <row r="57">
      <c r="A57" s="2" t="n"/>
      <c r="B57" s="2" t="n"/>
      <c r="C57" s="2" t="n"/>
      <c r="D57" s="2" t="n"/>
      <c r="E57" s="2" t="n"/>
      <c r="F57" s="2" t="n"/>
      <c r="G57" s="2" t="n"/>
      <c r="H57" s="2" t="n"/>
      <c r="I57" s="2" t="n"/>
      <c r="J57" s="2" t="n"/>
      <c r="K57" s="2">
        <f>IF(COUNTA(G57:J57)&lt;4,"",ROUND(AVERAGE(G57:J57),1))</f>
        <v/>
      </c>
      <c r="L57" s="2" t="n"/>
      <c r="M57" s="2" t="n"/>
      <c r="N57" s="2" t="n"/>
      <c r="O57" s="2" t="n"/>
    </row>
    <row r="58">
      <c r="A58" s="2" t="n"/>
      <c r="B58" s="2" t="n"/>
      <c r="C58" s="2" t="n"/>
      <c r="D58" s="2" t="n"/>
      <c r="E58" s="2" t="n"/>
      <c r="F58" s="2" t="n"/>
      <c r="G58" s="2" t="n"/>
      <c r="H58" s="2" t="n"/>
      <c r="I58" s="2" t="n"/>
      <c r="J58" s="2" t="n"/>
      <c r="K58" s="2">
        <f>IF(COUNTA(G58:J58)&lt;4,"",ROUND(AVERAGE(G58:J58),1))</f>
        <v/>
      </c>
      <c r="L58" s="2" t="n"/>
      <c r="M58" s="2" t="n"/>
      <c r="N58" s="2" t="n"/>
      <c r="O58" s="2" t="n"/>
    </row>
    <row r="59">
      <c r="A59" s="2" t="n"/>
      <c r="B59" s="2" t="n"/>
      <c r="C59" s="2" t="n"/>
      <c r="D59" s="2" t="n"/>
      <c r="E59" s="2" t="n"/>
      <c r="F59" s="2" t="n"/>
      <c r="G59" s="2" t="n"/>
      <c r="H59" s="2" t="n"/>
      <c r="I59" s="2" t="n"/>
      <c r="J59" s="2" t="n"/>
      <c r="K59" s="2">
        <f>IF(COUNTA(G59:J59)&lt;4,"",ROUND(AVERAGE(G59:J59),1))</f>
        <v/>
      </c>
      <c r="L59" s="2" t="n"/>
      <c r="M59" s="2" t="n"/>
      <c r="N59" s="2" t="n"/>
      <c r="O59" s="2" t="n"/>
    </row>
    <row r="60">
      <c r="A60" s="2" t="n"/>
      <c r="B60" s="2" t="n"/>
      <c r="C60" s="2" t="n"/>
      <c r="D60" s="2" t="n"/>
      <c r="E60" s="2" t="n"/>
      <c r="F60" s="2" t="n"/>
      <c r="G60" s="2" t="n"/>
      <c r="H60" s="2" t="n"/>
      <c r="I60" s="2" t="n"/>
      <c r="J60" s="2" t="n"/>
      <c r="K60" s="2">
        <f>IF(COUNTA(G60:J60)&lt;4,"",ROUND(AVERAGE(G60:J60),1))</f>
        <v/>
      </c>
      <c r="L60" s="2" t="n"/>
      <c r="M60" s="2" t="n"/>
      <c r="N60" s="2" t="n"/>
      <c r="O60" s="2" t="n"/>
    </row>
    <row r="61">
      <c r="A61" s="2" t="n"/>
      <c r="B61" s="2" t="n"/>
      <c r="C61" s="2" t="n"/>
      <c r="D61" s="2" t="n"/>
      <c r="E61" s="2" t="n"/>
      <c r="F61" s="2" t="n"/>
      <c r="G61" s="2" t="n"/>
      <c r="H61" s="2" t="n"/>
      <c r="I61" s="2" t="n"/>
      <c r="J61" s="2" t="n"/>
      <c r="K61" s="2">
        <f>IF(COUNTA(G61:J61)&lt;4,"",ROUND(AVERAGE(G61:J61),1))</f>
        <v/>
      </c>
      <c r="L61" s="2" t="n"/>
      <c r="M61" s="2" t="n"/>
      <c r="N61" s="2" t="n"/>
      <c r="O61" s="2" t="n"/>
    </row>
    <row r="62">
      <c r="A62" s="2" t="n"/>
      <c r="B62" s="2" t="n"/>
      <c r="C62" s="2" t="n"/>
      <c r="D62" s="2" t="n"/>
      <c r="E62" s="2" t="n"/>
      <c r="F62" s="2" t="n"/>
      <c r="G62" s="2" t="n"/>
      <c r="H62" s="2" t="n"/>
      <c r="I62" s="2" t="n"/>
      <c r="J62" s="2" t="n"/>
      <c r="K62" s="2">
        <f>IF(COUNTA(G62:J62)&lt;4,"",ROUND(AVERAGE(G62:J62),1))</f>
        <v/>
      </c>
      <c r="L62" s="2" t="n"/>
      <c r="M62" s="2" t="n"/>
      <c r="N62" s="2" t="n"/>
      <c r="O62" s="2" t="n"/>
    </row>
    <row r="63">
      <c r="A63" s="2" t="n"/>
      <c r="B63" s="2" t="n"/>
      <c r="C63" s="2" t="n"/>
      <c r="D63" s="2" t="n"/>
      <c r="E63" s="2" t="n"/>
      <c r="F63" s="2" t="n"/>
      <c r="G63" s="2" t="n"/>
      <c r="H63" s="2" t="n"/>
      <c r="I63" s="2" t="n"/>
      <c r="J63" s="2" t="n"/>
      <c r="K63" s="2">
        <f>IF(COUNTA(G63:J63)&lt;4,"",ROUND(AVERAGE(G63:J63),1))</f>
        <v/>
      </c>
      <c r="L63" s="2" t="n"/>
      <c r="M63" s="2" t="n"/>
      <c r="N63" s="2" t="n"/>
      <c r="O63" s="2" t="n"/>
    </row>
    <row r="64">
      <c r="A64" s="2" t="n"/>
      <c r="B64" s="2" t="n"/>
      <c r="C64" s="2" t="n"/>
      <c r="D64" s="2" t="n"/>
      <c r="E64" s="2" t="n"/>
      <c r="F64" s="2" t="n"/>
      <c r="G64" s="2" t="n"/>
      <c r="H64" s="2" t="n"/>
      <c r="I64" s="2" t="n"/>
      <c r="J64" s="2" t="n"/>
      <c r="K64" s="2">
        <f>IF(COUNTA(G64:J64)&lt;4,"",ROUND(AVERAGE(G64:J64),1))</f>
        <v/>
      </c>
      <c r="L64" s="2" t="n"/>
      <c r="M64" s="2" t="n"/>
      <c r="N64" s="2" t="n"/>
      <c r="O64" s="2" t="n"/>
    </row>
    <row r="65">
      <c r="A65" s="2" t="n"/>
      <c r="B65" s="2" t="n"/>
      <c r="C65" s="2" t="n"/>
      <c r="D65" s="2" t="n"/>
      <c r="E65" s="2" t="n"/>
      <c r="F65" s="2" t="n"/>
      <c r="G65" s="2" t="n"/>
      <c r="H65" s="2" t="n"/>
      <c r="I65" s="2" t="n"/>
      <c r="J65" s="2" t="n"/>
      <c r="K65" s="2">
        <f>IF(COUNTA(G65:J65)&lt;4,"",ROUND(AVERAGE(G65:J65),1))</f>
        <v/>
      </c>
      <c r="L65" s="2" t="n"/>
      <c r="M65" s="2" t="n"/>
      <c r="N65" s="2" t="n"/>
      <c r="O65" s="2" t="n"/>
    </row>
    <row r="66">
      <c r="A66" s="2" t="n"/>
      <c r="B66" s="2" t="n"/>
      <c r="C66" s="2" t="n"/>
      <c r="D66" s="2" t="n"/>
      <c r="E66" s="2" t="n"/>
      <c r="F66" s="2" t="n"/>
      <c r="G66" s="2" t="n"/>
      <c r="H66" s="2" t="n"/>
      <c r="I66" s="2" t="n"/>
      <c r="J66" s="2" t="n"/>
      <c r="K66" s="2">
        <f>IF(COUNTA(G66:J66)&lt;4,"",ROUND(AVERAGE(G66:J66),1))</f>
        <v/>
      </c>
      <c r="L66" s="2" t="n"/>
      <c r="M66" s="2" t="n"/>
      <c r="N66" s="2" t="n"/>
      <c r="O66" s="2" t="n"/>
    </row>
    <row r="67">
      <c r="A67" s="2" t="n"/>
      <c r="B67" s="2" t="n"/>
      <c r="C67" s="2" t="n"/>
      <c r="D67" s="2" t="n"/>
      <c r="E67" s="2" t="n"/>
      <c r="F67" s="2" t="n"/>
      <c r="G67" s="2" t="n"/>
      <c r="H67" s="2" t="n"/>
      <c r="I67" s="2" t="n"/>
      <c r="J67" s="2" t="n"/>
      <c r="K67" s="2">
        <f>IF(COUNTA(G67:J67)&lt;4,"",ROUND(AVERAGE(G67:J67),1))</f>
        <v/>
      </c>
      <c r="L67" s="2" t="n"/>
      <c r="M67" s="2" t="n"/>
      <c r="N67" s="2" t="n"/>
      <c r="O67" s="2" t="n"/>
    </row>
    <row r="68">
      <c r="A68" s="2" t="n"/>
      <c r="B68" s="2" t="n"/>
      <c r="C68" s="2" t="n"/>
      <c r="D68" s="2" t="n"/>
      <c r="E68" s="2" t="n"/>
      <c r="F68" s="2" t="n"/>
      <c r="G68" s="2" t="n"/>
      <c r="H68" s="2" t="n"/>
      <c r="I68" s="2" t="n"/>
      <c r="J68" s="2" t="n"/>
      <c r="K68" s="2">
        <f>IF(COUNTA(G68:J68)&lt;4,"",ROUND(AVERAGE(G68:J68),1))</f>
        <v/>
      </c>
      <c r="L68" s="2" t="n"/>
      <c r="M68" s="2" t="n"/>
      <c r="N68" s="2" t="n"/>
      <c r="O68" s="2" t="n"/>
    </row>
    <row r="69">
      <c r="A69" s="2" t="n"/>
      <c r="B69" s="2" t="n"/>
      <c r="C69" s="2" t="n"/>
      <c r="D69" s="2" t="n"/>
      <c r="E69" s="2" t="n"/>
      <c r="F69" s="2" t="n"/>
      <c r="G69" s="2" t="n"/>
      <c r="H69" s="2" t="n"/>
      <c r="I69" s="2" t="n"/>
      <c r="J69" s="2" t="n"/>
      <c r="K69" s="2">
        <f>IF(COUNTA(G69:J69)&lt;4,"",ROUND(AVERAGE(G69:J69),1))</f>
        <v/>
      </c>
      <c r="L69" s="2" t="n"/>
      <c r="M69" s="2" t="n"/>
      <c r="N69" s="2" t="n"/>
      <c r="O69" s="2" t="n"/>
    </row>
    <row r="70">
      <c r="A70" s="2" t="n"/>
      <c r="B70" s="2" t="n"/>
      <c r="C70" s="2" t="n"/>
      <c r="D70" s="2" t="n"/>
      <c r="E70" s="2" t="n"/>
      <c r="F70" s="2" t="n"/>
      <c r="G70" s="2" t="n"/>
      <c r="H70" s="2" t="n"/>
      <c r="I70" s="2" t="n"/>
      <c r="J70" s="2" t="n"/>
      <c r="K70" s="2">
        <f>IF(COUNTA(G70:J70)&lt;4,"",ROUND(AVERAGE(G70:J70),1))</f>
        <v/>
      </c>
      <c r="L70" s="2" t="n"/>
      <c r="M70" s="2" t="n"/>
      <c r="N70" s="2" t="n"/>
      <c r="O70" s="2" t="n"/>
    </row>
    <row r="71">
      <c r="A71" s="2" t="n"/>
      <c r="B71" s="2" t="n"/>
      <c r="C71" s="2" t="n"/>
      <c r="D71" s="2" t="n"/>
      <c r="E71" s="2" t="n"/>
      <c r="F71" s="2" t="n"/>
      <c r="G71" s="2" t="n"/>
      <c r="H71" s="2" t="n"/>
      <c r="I71" s="2" t="n"/>
      <c r="J71" s="2" t="n"/>
      <c r="K71" s="2">
        <f>IF(COUNTA(G71:J71)&lt;4,"",ROUND(AVERAGE(G71:J71),1))</f>
        <v/>
      </c>
      <c r="L71" s="2" t="n"/>
      <c r="M71" s="2" t="n"/>
      <c r="N71" s="2" t="n"/>
      <c r="O71" s="2" t="n"/>
    </row>
    <row r="72">
      <c r="A72" s="2" t="n"/>
      <c r="B72" s="2" t="n"/>
      <c r="C72" s="2" t="n"/>
      <c r="D72" s="2" t="n"/>
      <c r="E72" s="2" t="n"/>
      <c r="F72" s="2" t="n"/>
      <c r="G72" s="2" t="n"/>
      <c r="H72" s="2" t="n"/>
      <c r="I72" s="2" t="n"/>
      <c r="J72" s="2" t="n"/>
      <c r="K72" s="2">
        <f>IF(COUNTA(G72:J72)&lt;4,"",ROUND(AVERAGE(G72:J72),1))</f>
        <v/>
      </c>
      <c r="L72" s="2" t="n"/>
      <c r="M72" s="2" t="n"/>
      <c r="N72" s="2" t="n"/>
      <c r="O72" s="2" t="n"/>
    </row>
    <row r="73">
      <c r="A73" s="2" t="n"/>
      <c r="B73" s="2" t="n"/>
      <c r="C73" s="2" t="n"/>
      <c r="D73" s="2" t="n"/>
      <c r="E73" s="2" t="n"/>
      <c r="F73" s="2" t="n"/>
      <c r="G73" s="2" t="n"/>
      <c r="H73" s="2" t="n"/>
      <c r="I73" s="2" t="n"/>
      <c r="J73" s="2" t="n"/>
      <c r="K73" s="2">
        <f>IF(COUNTA(G73:J73)&lt;4,"",ROUND(AVERAGE(G73:J73),1))</f>
        <v/>
      </c>
      <c r="L73" s="2" t="n"/>
      <c r="M73" s="2" t="n"/>
      <c r="N73" s="2" t="n"/>
      <c r="O73" s="2" t="n"/>
    </row>
    <row r="74">
      <c r="A74" s="2" t="n"/>
      <c r="B74" s="2" t="n"/>
      <c r="C74" s="2" t="n"/>
      <c r="D74" s="2" t="n"/>
      <c r="E74" s="2" t="n"/>
      <c r="F74" s="2" t="n"/>
      <c r="G74" s="2" t="n"/>
      <c r="H74" s="2" t="n"/>
      <c r="I74" s="2" t="n"/>
      <c r="J74" s="2" t="n"/>
      <c r="K74" s="2">
        <f>IF(COUNTA(G74:J74)&lt;4,"",ROUND(AVERAGE(G74:J74),1))</f>
        <v/>
      </c>
      <c r="L74" s="2" t="n"/>
      <c r="M74" s="2" t="n"/>
      <c r="N74" s="2" t="n"/>
      <c r="O74" s="2" t="n"/>
    </row>
    <row r="75">
      <c r="A75" s="2" t="n"/>
      <c r="B75" s="2" t="n"/>
      <c r="C75" s="2" t="n"/>
      <c r="D75" s="2" t="n"/>
      <c r="E75" s="2" t="n"/>
      <c r="F75" s="2" t="n"/>
      <c r="G75" s="2" t="n"/>
      <c r="H75" s="2" t="n"/>
      <c r="I75" s="2" t="n"/>
      <c r="J75" s="2" t="n"/>
      <c r="K75" s="2">
        <f>IF(COUNTA(G75:J75)&lt;4,"",ROUND(AVERAGE(G75:J75),1))</f>
        <v/>
      </c>
      <c r="L75" s="2" t="n"/>
      <c r="M75" s="2" t="n"/>
      <c r="N75" s="2" t="n"/>
      <c r="O75" s="2" t="n"/>
    </row>
    <row r="76">
      <c r="A76" s="2" t="n"/>
      <c r="B76" s="2" t="n"/>
      <c r="C76" s="2" t="n"/>
      <c r="D76" s="2" t="n"/>
      <c r="E76" s="2" t="n"/>
      <c r="F76" s="2" t="n"/>
      <c r="G76" s="2" t="n"/>
      <c r="H76" s="2" t="n"/>
      <c r="I76" s="2" t="n"/>
      <c r="J76" s="2" t="n"/>
      <c r="K76" s="2">
        <f>IF(COUNTA(G76:J76)&lt;4,"",ROUND(AVERAGE(G76:J76),1))</f>
        <v/>
      </c>
      <c r="L76" s="2" t="n"/>
      <c r="M76" s="2" t="n"/>
      <c r="N76" s="2" t="n"/>
      <c r="O76" s="2" t="n"/>
    </row>
    <row r="77">
      <c r="A77" s="2" t="n"/>
      <c r="B77" s="2" t="n"/>
      <c r="C77" s="2" t="n"/>
      <c r="D77" s="2" t="n"/>
      <c r="E77" s="2" t="n"/>
      <c r="F77" s="2" t="n"/>
      <c r="G77" s="2" t="n"/>
      <c r="H77" s="2" t="n"/>
      <c r="I77" s="2" t="n"/>
      <c r="J77" s="2" t="n"/>
      <c r="K77" s="2">
        <f>IF(COUNTA(G77:J77)&lt;4,"",ROUND(AVERAGE(G77:J77),1))</f>
        <v/>
      </c>
      <c r="L77" s="2" t="n"/>
      <c r="M77" s="2" t="n"/>
      <c r="N77" s="2" t="n"/>
      <c r="O77" s="2" t="n"/>
    </row>
    <row r="78">
      <c r="A78" s="2" t="n"/>
      <c r="B78" s="2" t="n"/>
      <c r="C78" s="2" t="n"/>
      <c r="D78" s="2" t="n"/>
      <c r="E78" s="2" t="n"/>
      <c r="F78" s="2" t="n"/>
      <c r="G78" s="2" t="n"/>
      <c r="H78" s="2" t="n"/>
      <c r="I78" s="2" t="n"/>
      <c r="J78" s="2" t="n"/>
      <c r="K78" s="2">
        <f>IF(COUNTA(G78:J78)&lt;4,"",ROUND(AVERAGE(G78:J78),1))</f>
        <v/>
      </c>
      <c r="L78" s="2" t="n"/>
      <c r="M78" s="2" t="n"/>
      <c r="N78" s="2" t="n"/>
      <c r="O78" s="2" t="n"/>
    </row>
    <row r="79">
      <c r="A79" s="2" t="n"/>
      <c r="B79" s="2" t="n"/>
      <c r="C79" s="2" t="n"/>
      <c r="D79" s="2" t="n"/>
      <c r="E79" s="2" t="n"/>
      <c r="F79" s="2" t="n"/>
      <c r="G79" s="2" t="n"/>
      <c r="H79" s="2" t="n"/>
      <c r="I79" s="2" t="n"/>
      <c r="J79" s="2" t="n"/>
      <c r="K79" s="2">
        <f>IF(COUNTA(G79:J79)&lt;4,"",ROUND(AVERAGE(G79:J79),1))</f>
        <v/>
      </c>
      <c r="L79" s="2" t="n"/>
      <c r="M79" s="2" t="n"/>
      <c r="N79" s="2" t="n"/>
      <c r="O79" s="2" t="n"/>
    </row>
    <row r="80">
      <c r="A80" s="2" t="n"/>
      <c r="B80" s="2" t="n"/>
      <c r="C80" s="2" t="n"/>
      <c r="D80" s="2" t="n"/>
      <c r="E80" s="2" t="n"/>
      <c r="F80" s="2" t="n"/>
      <c r="G80" s="2" t="n"/>
      <c r="H80" s="2" t="n"/>
      <c r="I80" s="2" t="n"/>
      <c r="J80" s="2" t="n"/>
      <c r="K80" s="2">
        <f>IF(COUNTA(G80:J80)&lt;4,"",ROUND(AVERAGE(G80:J80),1))</f>
        <v/>
      </c>
      <c r="L80" s="2" t="n"/>
      <c r="M80" s="2" t="n"/>
      <c r="N80" s="2" t="n"/>
      <c r="O80" s="2" t="n"/>
    </row>
    <row r="81">
      <c r="A81" s="2" t="n"/>
      <c r="B81" s="2" t="n"/>
      <c r="C81" s="2" t="n"/>
      <c r="D81" s="2" t="n"/>
      <c r="E81" s="2" t="n"/>
      <c r="F81" s="2" t="n"/>
      <c r="G81" s="2" t="n"/>
      <c r="H81" s="2" t="n"/>
      <c r="I81" s="2" t="n"/>
      <c r="J81" s="2" t="n"/>
      <c r="K81" s="2">
        <f>IF(COUNTA(G81:J81)&lt;4,"",ROUND(AVERAGE(G81:J81),1))</f>
        <v/>
      </c>
      <c r="L81" s="2" t="n"/>
      <c r="M81" s="2" t="n"/>
      <c r="N81" s="2" t="n"/>
      <c r="O81" s="2" t="n"/>
    </row>
    <row r="82">
      <c r="A82" s="2" t="n"/>
      <c r="B82" s="2" t="n"/>
      <c r="C82" s="2" t="n"/>
      <c r="D82" s="2" t="n"/>
      <c r="E82" s="2" t="n"/>
      <c r="F82" s="2" t="n"/>
      <c r="G82" s="2" t="n"/>
      <c r="H82" s="2" t="n"/>
      <c r="I82" s="2" t="n"/>
      <c r="J82" s="2" t="n"/>
      <c r="K82" s="2">
        <f>IF(COUNTA(G82:J82)&lt;4,"",ROUND(AVERAGE(G82:J82),1))</f>
        <v/>
      </c>
      <c r="L82" s="2" t="n"/>
      <c r="M82" s="2" t="n"/>
      <c r="N82" s="2" t="n"/>
      <c r="O82" s="2" t="n"/>
    </row>
    <row r="83">
      <c r="A83" s="2" t="n"/>
      <c r="B83" s="2" t="n"/>
      <c r="C83" s="2" t="n"/>
      <c r="D83" s="2" t="n"/>
      <c r="E83" s="2" t="n"/>
      <c r="F83" s="2" t="n"/>
      <c r="G83" s="2" t="n"/>
      <c r="H83" s="2" t="n"/>
      <c r="I83" s="2" t="n"/>
      <c r="J83" s="2" t="n"/>
      <c r="K83" s="2">
        <f>IF(COUNTA(G83:J83)&lt;4,"",ROUND(AVERAGE(G83:J83),1))</f>
        <v/>
      </c>
      <c r="L83" s="2" t="n"/>
      <c r="M83" s="2" t="n"/>
      <c r="N83" s="2" t="n"/>
      <c r="O83" s="2" t="n"/>
    </row>
    <row r="84">
      <c r="A84" s="2" t="n"/>
      <c r="B84" s="2" t="n"/>
      <c r="C84" s="2" t="n"/>
      <c r="D84" s="2" t="n"/>
      <c r="E84" s="2" t="n"/>
      <c r="F84" s="2" t="n"/>
      <c r="G84" s="2" t="n"/>
      <c r="H84" s="2" t="n"/>
      <c r="I84" s="2" t="n"/>
      <c r="J84" s="2" t="n"/>
      <c r="K84" s="2">
        <f>IF(COUNTA(G84:J84)&lt;4,"",ROUND(AVERAGE(G84:J84),1))</f>
        <v/>
      </c>
      <c r="L84" s="2" t="n"/>
      <c r="M84" s="2" t="n"/>
      <c r="N84" s="2" t="n"/>
      <c r="O84" s="2" t="n"/>
    </row>
    <row r="85">
      <c r="A85" s="2" t="n"/>
      <c r="B85" s="2" t="n"/>
      <c r="C85" s="2" t="n"/>
      <c r="D85" s="2" t="n"/>
      <c r="E85" s="2" t="n"/>
      <c r="F85" s="2" t="n"/>
      <c r="G85" s="2" t="n"/>
      <c r="H85" s="2" t="n"/>
      <c r="I85" s="2" t="n"/>
      <c r="J85" s="2" t="n"/>
      <c r="K85" s="2">
        <f>IF(COUNTA(G85:J85)&lt;4,"",ROUND(AVERAGE(G85:J85),1))</f>
        <v/>
      </c>
      <c r="L85" s="2" t="n"/>
      <c r="M85" s="2" t="n"/>
      <c r="N85" s="2" t="n"/>
      <c r="O85" s="2" t="n"/>
    </row>
    <row r="86">
      <c r="A86" s="2" t="n"/>
      <c r="B86" s="2" t="n"/>
      <c r="C86" s="2" t="n"/>
      <c r="D86" s="2" t="n"/>
      <c r="E86" s="2" t="n"/>
      <c r="F86" s="2" t="n"/>
      <c r="G86" s="2" t="n"/>
      <c r="H86" s="2" t="n"/>
      <c r="I86" s="2" t="n"/>
      <c r="J86" s="2" t="n"/>
      <c r="K86" s="2">
        <f>IF(COUNTA(G86:J86)&lt;4,"",ROUND(AVERAGE(G86:J86),1))</f>
        <v/>
      </c>
      <c r="L86" s="2" t="n"/>
      <c r="M86" s="2" t="n"/>
      <c r="N86" s="2" t="n"/>
      <c r="O86" s="2" t="n"/>
    </row>
    <row r="87">
      <c r="A87" s="2" t="n"/>
      <c r="B87" s="2" t="n"/>
      <c r="C87" s="2" t="n"/>
      <c r="D87" s="2" t="n"/>
      <c r="E87" s="2" t="n"/>
      <c r="F87" s="2" t="n"/>
      <c r="G87" s="2" t="n"/>
      <c r="H87" s="2" t="n"/>
      <c r="I87" s="2" t="n"/>
      <c r="J87" s="2" t="n"/>
      <c r="K87" s="2">
        <f>IF(COUNTA(G87:J87)&lt;4,"",ROUND(AVERAGE(G87:J87),1))</f>
        <v/>
      </c>
      <c r="L87" s="2" t="n"/>
      <c r="M87" s="2" t="n"/>
      <c r="N87" s="2" t="n"/>
      <c r="O87" s="2" t="n"/>
    </row>
    <row r="88">
      <c r="A88" s="2" t="n"/>
      <c r="B88" s="2" t="n"/>
      <c r="C88" s="2" t="n"/>
      <c r="D88" s="2" t="n"/>
      <c r="E88" s="2" t="n"/>
      <c r="F88" s="2" t="n"/>
      <c r="G88" s="2" t="n"/>
      <c r="H88" s="2" t="n"/>
      <c r="I88" s="2" t="n"/>
      <c r="J88" s="2" t="n"/>
      <c r="K88" s="2">
        <f>IF(COUNTA(G88:J88)&lt;4,"",ROUND(AVERAGE(G88:J88),1))</f>
        <v/>
      </c>
      <c r="L88" s="2" t="n"/>
      <c r="M88" s="2" t="n"/>
      <c r="N88" s="2" t="n"/>
      <c r="O88" s="2" t="n"/>
    </row>
    <row r="89">
      <c r="A89" s="2" t="n"/>
      <c r="B89" s="2" t="n"/>
      <c r="C89" s="2" t="n"/>
      <c r="D89" s="2" t="n"/>
      <c r="E89" s="2" t="n"/>
      <c r="F89" s="2" t="n"/>
      <c r="G89" s="2" t="n"/>
      <c r="H89" s="2" t="n"/>
      <c r="I89" s="2" t="n"/>
      <c r="J89" s="2" t="n"/>
      <c r="K89" s="2">
        <f>IF(COUNTA(G89:J89)&lt;4,"",ROUND(AVERAGE(G89:J89),1))</f>
        <v/>
      </c>
      <c r="L89" s="2" t="n"/>
      <c r="M89" s="2" t="n"/>
      <c r="N89" s="2" t="n"/>
      <c r="O89" s="2" t="n"/>
    </row>
    <row r="90">
      <c r="A90" s="2" t="n"/>
      <c r="B90" s="2" t="n"/>
      <c r="C90" s="2" t="n"/>
      <c r="D90" s="2" t="n"/>
      <c r="E90" s="2" t="n"/>
      <c r="F90" s="2" t="n"/>
      <c r="G90" s="2" t="n"/>
      <c r="H90" s="2" t="n"/>
      <c r="I90" s="2" t="n"/>
      <c r="J90" s="2" t="n"/>
      <c r="K90" s="2">
        <f>IF(COUNTA(G90:J90)&lt;4,"",ROUND(AVERAGE(G90:J90),1))</f>
        <v/>
      </c>
      <c r="L90" s="2" t="n"/>
      <c r="M90" s="2" t="n"/>
      <c r="N90" s="2" t="n"/>
      <c r="O90" s="2" t="n"/>
    </row>
    <row r="91">
      <c r="A91" s="2" t="n"/>
      <c r="B91" s="2" t="n"/>
      <c r="C91" s="2" t="n"/>
      <c r="D91" s="2" t="n"/>
      <c r="E91" s="2" t="n"/>
      <c r="F91" s="2" t="n"/>
      <c r="G91" s="2" t="n"/>
      <c r="H91" s="2" t="n"/>
      <c r="I91" s="2" t="n"/>
      <c r="J91" s="2" t="n"/>
      <c r="K91" s="2">
        <f>IF(COUNTA(G91:J91)&lt;4,"",ROUND(AVERAGE(G91:J91),1))</f>
        <v/>
      </c>
      <c r="L91" s="2" t="n"/>
      <c r="M91" s="2" t="n"/>
      <c r="N91" s="2" t="n"/>
      <c r="O91" s="2" t="n"/>
    </row>
    <row r="92">
      <c r="A92" s="2" t="n"/>
      <c r="B92" s="2" t="n"/>
      <c r="C92" s="2" t="n"/>
      <c r="D92" s="2" t="n"/>
      <c r="E92" s="2" t="n"/>
      <c r="F92" s="2" t="n"/>
      <c r="G92" s="2" t="n"/>
      <c r="H92" s="2" t="n"/>
      <c r="I92" s="2" t="n"/>
      <c r="J92" s="2" t="n"/>
      <c r="K92" s="2">
        <f>IF(COUNTA(G92:J92)&lt;4,"",ROUND(AVERAGE(G92:J92),1))</f>
        <v/>
      </c>
      <c r="L92" s="2" t="n"/>
      <c r="M92" s="2" t="n"/>
      <c r="N92" s="2" t="n"/>
      <c r="O92" s="2" t="n"/>
    </row>
    <row r="93">
      <c r="A93" s="2" t="n"/>
      <c r="B93" s="2" t="n"/>
      <c r="C93" s="2" t="n"/>
      <c r="D93" s="2" t="n"/>
      <c r="E93" s="2" t="n"/>
      <c r="F93" s="2" t="n"/>
      <c r="G93" s="2" t="n"/>
      <c r="H93" s="2" t="n"/>
      <c r="I93" s="2" t="n"/>
      <c r="J93" s="2" t="n"/>
      <c r="K93" s="2">
        <f>IF(COUNTA(G93:J93)&lt;4,"",ROUND(AVERAGE(G93:J93),1))</f>
        <v/>
      </c>
      <c r="L93" s="2" t="n"/>
      <c r="M93" s="2" t="n"/>
      <c r="N93" s="2" t="n"/>
      <c r="O93" s="2" t="n"/>
    </row>
    <row r="94">
      <c r="A94" s="2" t="n"/>
      <c r="B94" s="2" t="n"/>
      <c r="C94" s="2" t="n"/>
      <c r="D94" s="2" t="n"/>
      <c r="E94" s="2" t="n"/>
      <c r="F94" s="2" t="n"/>
      <c r="G94" s="2" t="n"/>
      <c r="H94" s="2" t="n"/>
      <c r="I94" s="2" t="n"/>
      <c r="J94" s="2" t="n"/>
      <c r="K94" s="2">
        <f>IF(COUNTA(G94:J94)&lt;4,"",ROUND(AVERAGE(G94:J94),1))</f>
        <v/>
      </c>
      <c r="L94" s="2" t="n"/>
      <c r="M94" s="2" t="n"/>
      <c r="N94" s="2" t="n"/>
      <c r="O94" s="2" t="n"/>
    </row>
    <row r="95">
      <c r="A95" s="2" t="n"/>
      <c r="B95" s="2" t="n"/>
      <c r="C95" s="2" t="n"/>
      <c r="D95" s="2" t="n"/>
      <c r="E95" s="2" t="n"/>
      <c r="F95" s="2" t="n"/>
      <c r="G95" s="2" t="n"/>
      <c r="H95" s="2" t="n"/>
      <c r="I95" s="2" t="n"/>
      <c r="J95" s="2" t="n"/>
      <c r="K95" s="2">
        <f>IF(COUNTA(G95:J95)&lt;4,"",ROUND(AVERAGE(G95:J95),1))</f>
        <v/>
      </c>
      <c r="L95" s="2" t="n"/>
      <c r="M95" s="2" t="n"/>
      <c r="N95" s="2" t="n"/>
      <c r="O95" s="2" t="n"/>
    </row>
    <row r="96">
      <c r="A96" s="2" t="n"/>
      <c r="B96" s="2" t="n"/>
      <c r="C96" s="2" t="n"/>
      <c r="D96" s="2" t="n"/>
      <c r="E96" s="2" t="n"/>
      <c r="F96" s="2" t="n"/>
      <c r="G96" s="2" t="n"/>
      <c r="H96" s="2" t="n"/>
      <c r="I96" s="2" t="n"/>
      <c r="J96" s="2" t="n"/>
      <c r="K96" s="2">
        <f>IF(COUNTA(G96:J96)&lt;4,"",ROUND(AVERAGE(G96:J96),1))</f>
        <v/>
      </c>
      <c r="L96" s="2" t="n"/>
      <c r="M96" s="2" t="n"/>
      <c r="N96" s="2" t="n"/>
      <c r="O96" s="2" t="n"/>
    </row>
    <row r="97">
      <c r="A97" s="2" t="n"/>
      <c r="B97" s="2" t="n"/>
      <c r="C97" s="2" t="n"/>
      <c r="D97" s="2" t="n"/>
      <c r="E97" s="2" t="n"/>
      <c r="F97" s="2" t="n"/>
      <c r="G97" s="2" t="n"/>
      <c r="H97" s="2" t="n"/>
      <c r="I97" s="2" t="n"/>
      <c r="J97" s="2" t="n"/>
      <c r="K97" s="2">
        <f>IF(COUNTA(G97:J97)&lt;4,"",ROUND(AVERAGE(G97:J97),1))</f>
        <v/>
      </c>
      <c r="L97" s="2" t="n"/>
      <c r="M97" s="2" t="n"/>
      <c r="N97" s="2" t="n"/>
      <c r="O97" s="2" t="n"/>
    </row>
    <row r="98">
      <c r="A98" s="2" t="n"/>
      <c r="B98" s="2" t="n"/>
      <c r="C98" s="2" t="n"/>
      <c r="D98" s="2" t="n"/>
      <c r="E98" s="2" t="n"/>
      <c r="F98" s="2" t="n"/>
      <c r="G98" s="2" t="n"/>
      <c r="H98" s="2" t="n"/>
      <c r="I98" s="2" t="n"/>
      <c r="J98" s="2" t="n"/>
      <c r="K98" s="2">
        <f>IF(COUNTA(G98:J98)&lt;4,"",ROUND(AVERAGE(G98:J98),1))</f>
        <v/>
      </c>
      <c r="L98" s="2" t="n"/>
      <c r="M98" s="2" t="n"/>
      <c r="N98" s="2" t="n"/>
      <c r="O98" s="2" t="n"/>
    </row>
    <row r="99">
      <c r="A99" s="2" t="n"/>
      <c r="B99" s="2" t="n"/>
      <c r="C99" s="2" t="n"/>
      <c r="D99" s="2" t="n"/>
      <c r="E99" s="2" t="n"/>
      <c r="F99" s="2" t="n"/>
      <c r="G99" s="2" t="n"/>
      <c r="H99" s="2" t="n"/>
      <c r="I99" s="2" t="n"/>
      <c r="J99" s="2" t="n"/>
      <c r="K99" s="2">
        <f>IF(COUNTA(G99:J99)&lt;4,"",ROUND(AVERAGE(G99:J99),1))</f>
        <v/>
      </c>
      <c r="L99" s="2" t="n"/>
      <c r="M99" s="2" t="n"/>
      <c r="N99" s="2" t="n"/>
      <c r="O99" s="2" t="n"/>
    </row>
    <row r="100">
      <c r="A100" s="2" t="n"/>
      <c r="B100" s="2" t="n"/>
      <c r="C100" s="2" t="n"/>
      <c r="D100" s="2" t="n"/>
      <c r="E100" s="2" t="n"/>
      <c r="F100" s="2" t="n"/>
      <c r="G100" s="2" t="n"/>
      <c r="H100" s="2" t="n"/>
      <c r="I100" s="2" t="n"/>
      <c r="J100" s="2" t="n"/>
      <c r="K100" s="2">
        <f>IF(COUNTA(G100:J100)&lt;4,"",ROUND(AVERAGE(G100:J100),1))</f>
        <v/>
      </c>
      <c r="L100" s="2" t="n"/>
      <c r="M100" s="2" t="n"/>
      <c r="N100" s="2" t="n"/>
      <c r="O100" s="2" t="n"/>
    </row>
    <row r="101">
      <c r="A101" s="2" t="n"/>
      <c r="B101" s="2" t="n"/>
      <c r="C101" s="2" t="n"/>
      <c r="D101" s="2" t="n"/>
      <c r="E101" s="2" t="n"/>
      <c r="F101" s="2" t="n"/>
      <c r="G101" s="2" t="n"/>
      <c r="H101" s="2" t="n"/>
      <c r="I101" s="2" t="n"/>
      <c r="J101" s="2" t="n"/>
      <c r="K101" s="2">
        <f>IF(COUNTA(G101:J101)&lt;4,"",ROUND(AVERAGE(G101:J101),1))</f>
        <v/>
      </c>
      <c r="L101" s="2" t="n"/>
      <c r="M101" s="2" t="n"/>
      <c r="N101" s="2" t="n"/>
      <c r="O101" s="2" t="n"/>
    </row>
    <row r="102">
      <c r="A102" s="2" t="n"/>
      <c r="B102" s="2" t="n"/>
      <c r="C102" s="2" t="n"/>
      <c r="D102" s="2" t="n"/>
      <c r="E102" s="2" t="n"/>
      <c r="F102" s="2" t="n"/>
      <c r="G102" s="2" t="n"/>
      <c r="H102" s="2" t="n"/>
      <c r="I102" s="2" t="n"/>
      <c r="J102" s="2" t="n"/>
      <c r="K102" s="2">
        <f>IF(COUNTA(G102:J102)&lt;4,"",ROUND(AVERAGE(G102:J102),1))</f>
        <v/>
      </c>
      <c r="L102" s="2" t="n"/>
      <c r="M102" s="2" t="n"/>
      <c r="N102" s="2" t="n"/>
      <c r="O102" s="2" t="n"/>
    </row>
    <row r="103">
      <c r="A103" s="2" t="n"/>
      <c r="B103" s="2" t="n"/>
      <c r="C103" s="2" t="n"/>
      <c r="D103" s="2" t="n"/>
      <c r="E103" s="2" t="n"/>
      <c r="F103" s="2" t="n"/>
      <c r="G103" s="2" t="n"/>
      <c r="H103" s="2" t="n"/>
      <c r="I103" s="2" t="n"/>
      <c r="J103" s="2" t="n"/>
      <c r="K103" s="2">
        <f>IF(COUNTA(G103:J103)&lt;4,"",ROUND(AVERAGE(G103:J103),1))</f>
        <v/>
      </c>
      <c r="L103" s="2" t="n"/>
      <c r="M103" s="2" t="n"/>
      <c r="N103" s="2" t="n"/>
      <c r="O103" s="2" t="n"/>
    </row>
    <row r="104">
      <c r="A104" s="2" t="n"/>
      <c r="B104" s="2" t="n"/>
      <c r="C104" s="2" t="n"/>
      <c r="D104" s="2" t="n"/>
      <c r="E104" s="2" t="n"/>
      <c r="F104" s="2" t="n"/>
      <c r="G104" s="2" t="n"/>
      <c r="H104" s="2" t="n"/>
      <c r="I104" s="2" t="n"/>
      <c r="J104" s="2" t="n"/>
      <c r="K104" s="2">
        <f>IF(COUNTA(G104:J104)&lt;4,"",ROUND(AVERAGE(G104:J104),1))</f>
        <v/>
      </c>
      <c r="L104" s="2" t="n"/>
      <c r="M104" s="2" t="n"/>
      <c r="N104" s="2" t="n"/>
      <c r="O104" s="2" t="n"/>
    </row>
    <row r="105">
      <c r="A105" s="2" t="n"/>
      <c r="B105" s="2" t="n"/>
      <c r="C105" s="2" t="n"/>
      <c r="D105" s="2" t="n"/>
      <c r="E105" s="2" t="n"/>
      <c r="F105" s="2" t="n"/>
      <c r="G105" s="2" t="n"/>
      <c r="H105" s="2" t="n"/>
      <c r="I105" s="2" t="n"/>
      <c r="J105" s="2" t="n"/>
      <c r="K105" s="2">
        <f>IF(COUNTA(G105:J105)&lt;4,"",ROUND(AVERAGE(G105:J105),1))</f>
        <v/>
      </c>
      <c r="L105" s="2" t="n"/>
      <c r="M105" s="2" t="n"/>
      <c r="N105" s="2" t="n"/>
      <c r="O105" s="2" t="n"/>
    </row>
    <row r="106">
      <c r="A106" s="2" t="n"/>
      <c r="B106" s="2" t="n"/>
      <c r="C106" s="2" t="n"/>
      <c r="D106" s="2" t="n"/>
      <c r="E106" s="2" t="n"/>
      <c r="F106" s="2" t="n"/>
      <c r="G106" s="2" t="n"/>
      <c r="H106" s="2" t="n"/>
      <c r="I106" s="2" t="n"/>
      <c r="J106" s="2" t="n"/>
      <c r="K106" s="2">
        <f>IF(COUNTA(G106:J106)&lt;4,"",ROUND(AVERAGE(G106:J106),1))</f>
        <v/>
      </c>
      <c r="L106" s="2" t="n"/>
      <c r="M106" s="2" t="n"/>
      <c r="N106" s="2" t="n"/>
      <c r="O106" s="2" t="n"/>
    </row>
    <row r="107">
      <c r="A107" s="2" t="n"/>
      <c r="B107" s="2" t="n"/>
      <c r="C107" s="2" t="n"/>
      <c r="D107" s="2" t="n"/>
      <c r="E107" s="2" t="n"/>
      <c r="F107" s="2" t="n"/>
      <c r="G107" s="2" t="n"/>
      <c r="H107" s="2" t="n"/>
      <c r="I107" s="2" t="n"/>
      <c r="J107" s="2" t="n"/>
      <c r="K107" s="2">
        <f>IF(COUNTA(G107:J107)&lt;4,"",ROUND(AVERAGE(G107:J107),1))</f>
        <v/>
      </c>
      <c r="L107" s="2" t="n"/>
      <c r="M107" s="2" t="n"/>
      <c r="N107" s="2" t="n"/>
      <c r="O107" s="2" t="n"/>
    </row>
    <row r="108">
      <c r="A108" s="2" t="n"/>
      <c r="B108" s="2" t="n"/>
      <c r="C108" s="2" t="n"/>
      <c r="D108" s="2" t="n"/>
      <c r="E108" s="2" t="n"/>
      <c r="F108" s="2" t="n"/>
      <c r="G108" s="2" t="n"/>
      <c r="H108" s="2" t="n"/>
      <c r="I108" s="2" t="n"/>
      <c r="J108" s="2" t="n"/>
      <c r="K108" s="2">
        <f>IF(COUNTA(G108:J108)&lt;4,"",ROUND(AVERAGE(G108:J108),1))</f>
        <v/>
      </c>
      <c r="L108" s="2" t="n"/>
      <c r="M108" s="2" t="n"/>
      <c r="N108" s="2" t="n"/>
      <c r="O108" s="2" t="n"/>
    </row>
    <row r="109">
      <c r="A109" s="2" t="n"/>
      <c r="B109" s="2" t="n"/>
      <c r="C109" s="2" t="n"/>
      <c r="D109" s="2" t="n"/>
      <c r="E109" s="2" t="n"/>
      <c r="F109" s="2" t="n"/>
      <c r="G109" s="2" t="n"/>
      <c r="H109" s="2" t="n"/>
      <c r="I109" s="2" t="n"/>
      <c r="J109" s="2" t="n"/>
      <c r="K109" s="2">
        <f>IF(COUNTA(G109:J109)&lt;4,"",ROUND(AVERAGE(G109:J109),1))</f>
        <v/>
      </c>
      <c r="L109" s="2" t="n"/>
      <c r="M109" s="2" t="n"/>
      <c r="N109" s="2" t="n"/>
      <c r="O109" s="2" t="n"/>
    </row>
    <row r="110">
      <c r="A110" s="2" t="n"/>
      <c r="B110" s="2" t="n"/>
      <c r="C110" s="2" t="n"/>
      <c r="D110" s="2" t="n"/>
      <c r="E110" s="2" t="n"/>
      <c r="F110" s="2" t="n"/>
      <c r="G110" s="2" t="n"/>
      <c r="H110" s="2" t="n"/>
      <c r="I110" s="2" t="n"/>
      <c r="J110" s="2" t="n"/>
      <c r="K110" s="2">
        <f>IF(COUNTA(G110:J110)&lt;4,"",ROUND(AVERAGE(G110:J110),1))</f>
        <v/>
      </c>
      <c r="L110" s="2" t="n"/>
      <c r="M110" s="2" t="n"/>
      <c r="N110" s="2" t="n"/>
      <c r="O110" s="2" t="n"/>
    </row>
    <row r="111">
      <c r="A111" s="2" t="n"/>
      <c r="B111" s="2" t="n"/>
      <c r="C111" s="2" t="n"/>
      <c r="D111" s="2" t="n"/>
      <c r="E111" s="2" t="n"/>
      <c r="F111" s="2" t="n"/>
      <c r="G111" s="2" t="n"/>
      <c r="H111" s="2" t="n"/>
      <c r="I111" s="2" t="n"/>
      <c r="J111" s="2" t="n"/>
      <c r="K111" s="2">
        <f>IF(COUNTA(G111:J111)&lt;4,"",ROUND(AVERAGE(G111:J111),1))</f>
        <v/>
      </c>
      <c r="L111" s="2" t="n"/>
      <c r="M111" s="2" t="n"/>
      <c r="N111" s="2" t="n"/>
      <c r="O111" s="2" t="n"/>
    </row>
    <row r="112">
      <c r="A112" s="2" t="n"/>
      <c r="B112" s="2" t="n"/>
      <c r="C112" s="2" t="n"/>
      <c r="D112" s="2" t="n"/>
      <c r="E112" s="2" t="n"/>
      <c r="F112" s="2" t="n"/>
      <c r="G112" s="2" t="n"/>
      <c r="H112" s="2" t="n"/>
      <c r="I112" s="2" t="n"/>
      <c r="J112" s="2" t="n"/>
      <c r="K112" s="2">
        <f>IF(COUNTA(G112:J112)&lt;4,"",ROUND(AVERAGE(G112:J112),1))</f>
        <v/>
      </c>
      <c r="L112" s="2" t="n"/>
      <c r="M112" s="2" t="n"/>
      <c r="N112" s="2" t="n"/>
      <c r="O112" s="2" t="n"/>
    </row>
    <row r="113">
      <c r="A113" s="2" t="n"/>
      <c r="B113" s="2" t="n"/>
      <c r="C113" s="2" t="n"/>
      <c r="D113" s="2" t="n"/>
      <c r="E113" s="2" t="n"/>
      <c r="F113" s="2" t="n"/>
      <c r="G113" s="2" t="n"/>
      <c r="H113" s="2" t="n"/>
      <c r="I113" s="2" t="n"/>
      <c r="J113" s="2" t="n"/>
      <c r="K113" s="2">
        <f>IF(COUNTA(G113:J113)&lt;4,"",ROUND(AVERAGE(G113:J113),1))</f>
        <v/>
      </c>
      <c r="L113" s="2" t="n"/>
      <c r="M113" s="2" t="n"/>
      <c r="N113" s="2" t="n"/>
      <c r="O113" s="2" t="n"/>
    </row>
    <row r="114">
      <c r="A114" s="2" t="n"/>
      <c r="B114" s="2" t="n"/>
      <c r="C114" s="2" t="n"/>
      <c r="D114" s="2" t="n"/>
      <c r="E114" s="2" t="n"/>
      <c r="F114" s="2" t="n"/>
      <c r="G114" s="2" t="n"/>
      <c r="H114" s="2" t="n"/>
      <c r="I114" s="2" t="n"/>
      <c r="J114" s="2" t="n"/>
      <c r="K114" s="2">
        <f>IF(COUNTA(G114:J114)&lt;4,"",ROUND(AVERAGE(G114:J114),1))</f>
        <v/>
      </c>
      <c r="L114" s="2" t="n"/>
      <c r="M114" s="2" t="n"/>
      <c r="N114" s="2" t="n"/>
      <c r="O114" s="2" t="n"/>
    </row>
    <row r="115">
      <c r="A115" s="2" t="n"/>
      <c r="B115" s="2" t="n"/>
      <c r="C115" s="2" t="n"/>
      <c r="D115" s="2" t="n"/>
      <c r="E115" s="2" t="n"/>
      <c r="F115" s="2" t="n"/>
      <c r="G115" s="2" t="n"/>
      <c r="H115" s="2" t="n"/>
      <c r="I115" s="2" t="n"/>
      <c r="J115" s="2" t="n"/>
      <c r="K115" s="2">
        <f>IF(COUNTA(G115:J115)&lt;4,"",ROUND(AVERAGE(G115:J115),1))</f>
        <v/>
      </c>
      <c r="L115" s="2" t="n"/>
      <c r="M115" s="2" t="n"/>
      <c r="N115" s="2" t="n"/>
      <c r="O115" s="2" t="n"/>
    </row>
    <row r="116">
      <c r="A116" s="2" t="n"/>
      <c r="B116" s="2" t="n"/>
      <c r="C116" s="2" t="n"/>
      <c r="D116" s="2" t="n"/>
      <c r="E116" s="2" t="n"/>
      <c r="F116" s="2" t="n"/>
      <c r="G116" s="2" t="n"/>
      <c r="H116" s="2" t="n"/>
      <c r="I116" s="2" t="n"/>
      <c r="J116" s="2" t="n"/>
      <c r="K116" s="2">
        <f>IF(COUNTA(G116:J116)&lt;4,"",ROUND(AVERAGE(G116:J116),1))</f>
        <v/>
      </c>
      <c r="L116" s="2" t="n"/>
      <c r="M116" s="2" t="n"/>
      <c r="N116" s="2" t="n"/>
      <c r="O116" s="2" t="n"/>
    </row>
    <row r="117">
      <c r="A117" s="2" t="n"/>
      <c r="B117" s="2" t="n"/>
      <c r="C117" s="2" t="n"/>
      <c r="D117" s="2" t="n"/>
      <c r="E117" s="2" t="n"/>
      <c r="F117" s="2" t="n"/>
      <c r="G117" s="2" t="n"/>
      <c r="H117" s="2" t="n"/>
      <c r="I117" s="2" t="n"/>
      <c r="J117" s="2" t="n"/>
      <c r="K117" s="2">
        <f>IF(COUNTA(G117:J117)&lt;4,"",ROUND(AVERAGE(G117:J117),1))</f>
        <v/>
      </c>
      <c r="L117" s="2" t="n"/>
      <c r="M117" s="2" t="n"/>
      <c r="N117" s="2" t="n"/>
      <c r="O117" s="2" t="n"/>
    </row>
    <row r="118">
      <c r="A118" s="2" t="n"/>
      <c r="B118" s="2" t="n"/>
      <c r="C118" s="2" t="n"/>
      <c r="D118" s="2" t="n"/>
      <c r="E118" s="2" t="n"/>
      <c r="F118" s="2" t="n"/>
      <c r="G118" s="2" t="n"/>
      <c r="H118" s="2" t="n"/>
      <c r="I118" s="2" t="n"/>
      <c r="J118" s="2" t="n"/>
      <c r="K118" s="2">
        <f>IF(COUNTA(G118:J118)&lt;4,"",ROUND(AVERAGE(G118:J118),1))</f>
        <v/>
      </c>
      <c r="L118" s="2" t="n"/>
      <c r="M118" s="2" t="n"/>
      <c r="N118" s="2" t="n"/>
      <c r="O118" s="2" t="n"/>
    </row>
    <row r="119">
      <c r="A119" s="2" t="n"/>
      <c r="B119" s="2" t="n"/>
      <c r="C119" s="2" t="n"/>
      <c r="D119" s="2" t="n"/>
      <c r="E119" s="2" t="n"/>
      <c r="F119" s="2" t="n"/>
      <c r="G119" s="2" t="n"/>
      <c r="H119" s="2" t="n"/>
      <c r="I119" s="2" t="n"/>
      <c r="J119" s="2" t="n"/>
      <c r="K119" s="2">
        <f>IF(COUNTA(G119:J119)&lt;4,"",ROUND(AVERAGE(G119:J119),1))</f>
        <v/>
      </c>
      <c r="L119" s="2" t="n"/>
      <c r="M119" s="2" t="n"/>
      <c r="N119" s="2" t="n"/>
      <c r="O119" s="2" t="n"/>
    </row>
    <row r="120">
      <c r="A120" s="2" t="n"/>
      <c r="B120" s="2" t="n"/>
      <c r="C120" s="2" t="n"/>
      <c r="D120" s="2" t="n"/>
      <c r="E120" s="2" t="n"/>
      <c r="F120" s="2" t="n"/>
      <c r="G120" s="2" t="n"/>
      <c r="H120" s="2" t="n"/>
      <c r="I120" s="2" t="n"/>
      <c r="J120" s="2" t="n"/>
      <c r="K120" s="2">
        <f>IF(COUNTA(G120:J120)&lt;4,"",ROUND(AVERAGE(G120:J120),1))</f>
        <v/>
      </c>
      <c r="L120" s="2" t="n"/>
      <c r="M120" s="2" t="n"/>
      <c r="N120" s="2" t="n"/>
      <c r="O120" s="2" t="n"/>
    </row>
    <row r="121">
      <c r="A121" s="2" t="n"/>
      <c r="B121" s="2" t="n"/>
      <c r="C121" s="2" t="n"/>
      <c r="D121" s="2" t="n"/>
      <c r="E121" s="2" t="n"/>
      <c r="F121" s="2" t="n"/>
      <c r="G121" s="2" t="n"/>
      <c r="H121" s="2" t="n"/>
      <c r="I121" s="2" t="n"/>
      <c r="J121" s="2" t="n"/>
      <c r="K121" s="2">
        <f>IF(COUNTA(G121:J121)&lt;4,"",ROUND(AVERAGE(G121:J121),1))</f>
        <v/>
      </c>
      <c r="L121" s="2" t="n"/>
      <c r="M121" s="2" t="n"/>
      <c r="N121" s="2" t="n"/>
      <c r="O121" s="2" t="n"/>
    </row>
    <row r="122">
      <c r="A122" s="2" t="n"/>
      <c r="B122" s="2" t="n"/>
      <c r="C122" s="2" t="n"/>
      <c r="D122" s="2" t="n"/>
      <c r="E122" s="2" t="n"/>
      <c r="F122" s="2" t="n"/>
      <c r="G122" s="2" t="n"/>
      <c r="H122" s="2" t="n"/>
      <c r="I122" s="2" t="n"/>
      <c r="J122" s="2" t="n"/>
      <c r="K122" s="2">
        <f>IF(COUNTA(G122:J122)&lt;4,"",ROUND(AVERAGE(G122:J122),1))</f>
        <v/>
      </c>
      <c r="L122" s="2" t="n"/>
      <c r="M122" s="2" t="n"/>
      <c r="N122" s="2" t="n"/>
      <c r="O122" s="2" t="n"/>
    </row>
    <row r="123">
      <c r="A123" s="2" t="n"/>
      <c r="B123" s="2" t="n"/>
      <c r="C123" s="2" t="n"/>
      <c r="D123" s="2" t="n"/>
      <c r="E123" s="2" t="n"/>
      <c r="F123" s="2" t="n"/>
      <c r="G123" s="2" t="n"/>
      <c r="H123" s="2" t="n"/>
      <c r="I123" s="2" t="n"/>
      <c r="J123" s="2" t="n"/>
      <c r="K123" s="2">
        <f>IF(COUNTA(G123:J123)&lt;4,"",ROUND(AVERAGE(G123:J123),1))</f>
        <v/>
      </c>
      <c r="L123" s="2" t="n"/>
      <c r="M123" s="2" t="n"/>
      <c r="N123" s="2" t="n"/>
      <c r="O123" s="2" t="n"/>
    </row>
    <row r="124">
      <c r="A124" s="2" t="n"/>
      <c r="B124" s="2" t="n"/>
      <c r="C124" s="2" t="n"/>
      <c r="D124" s="2" t="n"/>
      <c r="E124" s="2" t="n"/>
      <c r="F124" s="2" t="n"/>
      <c r="G124" s="2" t="n"/>
      <c r="H124" s="2" t="n"/>
      <c r="I124" s="2" t="n"/>
      <c r="J124" s="2" t="n"/>
      <c r="K124" s="2">
        <f>IF(COUNTA(G124:J124)&lt;4,"",ROUND(AVERAGE(G124:J124),1))</f>
        <v/>
      </c>
      <c r="L124" s="2" t="n"/>
      <c r="M124" s="2" t="n"/>
      <c r="N124" s="2" t="n"/>
      <c r="O124" s="2" t="n"/>
    </row>
    <row r="125">
      <c r="A125" s="2" t="n"/>
      <c r="B125" s="2" t="n"/>
      <c r="C125" s="2" t="n"/>
      <c r="D125" s="2" t="n"/>
      <c r="E125" s="2" t="n"/>
      <c r="F125" s="2" t="n"/>
      <c r="G125" s="2" t="n"/>
      <c r="H125" s="2" t="n"/>
      <c r="I125" s="2" t="n"/>
      <c r="J125" s="2" t="n"/>
      <c r="K125" s="2">
        <f>IF(COUNTA(G125:J125)&lt;4,"",ROUND(AVERAGE(G125:J125),1))</f>
        <v/>
      </c>
      <c r="L125" s="2" t="n"/>
      <c r="M125" s="2" t="n"/>
      <c r="N125" s="2" t="n"/>
      <c r="O125" s="2" t="n"/>
    </row>
    <row r="126">
      <c r="A126" s="2" t="n"/>
      <c r="B126" s="2" t="n"/>
      <c r="C126" s="2" t="n"/>
      <c r="D126" s="2" t="n"/>
      <c r="E126" s="2" t="n"/>
      <c r="F126" s="2" t="n"/>
      <c r="G126" s="2" t="n"/>
      <c r="H126" s="2" t="n"/>
      <c r="I126" s="2" t="n"/>
      <c r="J126" s="2" t="n"/>
      <c r="K126" s="2">
        <f>IF(COUNTA(G126:J126)&lt;4,"",ROUND(AVERAGE(G126:J126),1))</f>
        <v/>
      </c>
      <c r="L126" s="2" t="n"/>
      <c r="M126" s="2" t="n"/>
      <c r="N126" s="2" t="n"/>
      <c r="O126" s="2" t="n"/>
    </row>
    <row r="127">
      <c r="A127" s="2" t="n"/>
      <c r="B127" s="2" t="n"/>
      <c r="C127" s="2" t="n"/>
      <c r="D127" s="2" t="n"/>
      <c r="E127" s="2" t="n"/>
      <c r="F127" s="2" t="n"/>
      <c r="G127" s="2" t="n"/>
      <c r="H127" s="2" t="n"/>
      <c r="I127" s="2" t="n"/>
      <c r="J127" s="2" t="n"/>
      <c r="K127" s="2">
        <f>IF(COUNTA(G127:J127)&lt;4,"",ROUND(AVERAGE(G127:J127),1))</f>
        <v/>
      </c>
      <c r="L127" s="2" t="n"/>
      <c r="M127" s="2" t="n"/>
      <c r="N127" s="2" t="n"/>
      <c r="O127" s="2" t="n"/>
    </row>
    <row r="128">
      <c r="A128" s="2" t="n"/>
      <c r="B128" s="2" t="n"/>
      <c r="C128" s="2" t="n"/>
      <c r="D128" s="2" t="n"/>
      <c r="E128" s="2" t="n"/>
      <c r="F128" s="2" t="n"/>
      <c r="G128" s="2" t="n"/>
      <c r="H128" s="2" t="n"/>
      <c r="I128" s="2" t="n"/>
      <c r="J128" s="2" t="n"/>
      <c r="K128" s="2">
        <f>IF(COUNTA(G128:J128)&lt;4,"",ROUND(AVERAGE(G128:J128),1))</f>
        <v/>
      </c>
      <c r="L128" s="2" t="n"/>
      <c r="M128" s="2" t="n"/>
      <c r="N128" s="2" t="n"/>
      <c r="O128" s="2" t="n"/>
    </row>
    <row r="129">
      <c r="A129" s="2" t="n"/>
      <c r="B129" s="2" t="n"/>
      <c r="C129" s="2" t="n"/>
      <c r="D129" s="2" t="n"/>
      <c r="E129" s="2" t="n"/>
      <c r="F129" s="2" t="n"/>
      <c r="G129" s="2" t="n"/>
      <c r="H129" s="2" t="n"/>
      <c r="I129" s="2" t="n"/>
      <c r="J129" s="2" t="n"/>
      <c r="K129" s="2">
        <f>IF(COUNTA(G129:J129)&lt;4,"",ROUND(AVERAGE(G129:J129),1))</f>
        <v/>
      </c>
      <c r="L129" s="2" t="n"/>
      <c r="M129" s="2" t="n"/>
      <c r="N129" s="2" t="n"/>
      <c r="O129" s="2" t="n"/>
    </row>
    <row r="130">
      <c r="A130" s="2" t="n"/>
      <c r="B130" s="2" t="n"/>
      <c r="C130" s="2" t="n"/>
      <c r="D130" s="2" t="n"/>
      <c r="E130" s="2" t="n"/>
      <c r="F130" s="2" t="n"/>
      <c r="G130" s="2" t="n"/>
      <c r="H130" s="2" t="n"/>
      <c r="I130" s="2" t="n"/>
      <c r="J130" s="2" t="n"/>
      <c r="K130" s="2">
        <f>IF(COUNTA(G130:J130)&lt;4,"",ROUND(AVERAGE(G130:J130),1))</f>
        <v/>
      </c>
      <c r="L130" s="2" t="n"/>
      <c r="M130" s="2" t="n"/>
      <c r="N130" s="2" t="n"/>
      <c r="O130" s="2" t="n"/>
    </row>
    <row r="131">
      <c r="A131" s="2" t="n"/>
      <c r="B131" s="2" t="n"/>
      <c r="C131" s="2" t="n"/>
      <c r="D131" s="2" t="n"/>
      <c r="E131" s="2" t="n"/>
      <c r="F131" s="2" t="n"/>
      <c r="G131" s="2" t="n"/>
      <c r="H131" s="2" t="n"/>
      <c r="I131" s="2" t="n"/>
      <c r="J131" s="2" t="n"/>
      <c r="K131" s="2">
        <f>IF(COUNTA(G131:J131)&lt;4,"",ROUND(AVERAGE(G131:J131),1))</f>
        <v/>
      </c>
      <c r="L131" s="2" t="n"/>
      <c r="M131" s="2" t="n"/>
      <c r="N131" s="2" t="n"/>
      <c r="O131" s="2" t="n"/>
    </row>
    <row r="132">
      <c r="A132" s="2" t="n"/>
      <c r="B132" s="2" t="n"/>
      <c r="C132" s="2" t="n"/>
      <c r="D132" s="2" t="n"/>
      <c r="E132" s="2" t="n"/>
      <c r="F132" s="2" t="n"/>
      <c r="G132" s="2" t="n"/>
      <c r="H132" s="2" t="n"/>
      <c r="I132" s="2" t="n"/>
      <c r="J132" s="2" t="n"/>
      <c r="K132" s="2">
        <f>IF(COUNTA(G132:J132)&lt;4,"",ROUND(AVERAGE(G132:J132),1))</f>
        <v/>
      </c>
      <c r="L132" s="2" t="n"/>
      <c r="M132" s="2" t="n"/>
      <c r="N132" s="2" t="n"/>
      <c r="O132" s="2" t="n"/>
    </row>
    <row r="133">
      <c r="A133" s="2" t="n"/>
      <c r="B133" s="2" t="n"/>
      <c r="C133" s="2" t="n"/>
      <c r="D133" s="2" t="n"/>
      <c r="E133" s="2" t="n"/>
      <c r="F133" s="2" t="n"/>
      <c r="G133" s="2" t="n"/>
      <c r="H133" s="2" t="n"/>
      <c r="I133" s="2" t="n"/>
      <c r="J133" s="2" t="n"/>
      <c r="K133" s="2">
        <f>IF(COUNTA(G133:J133)&lt;4,"",ROUND(AVERAGE(G133:J133),1))</f>
        <v/>
      </c>
      <c r="L133" s="2" t="n"/>
      <c r="M133" s="2" t="n"/>
      <c r="N133" s="2" t="n"/>
      <c r="O133" s="2" t="n"/>
    </row>
    <row r="134">
      <c r="A134" s="2" t="n"/>
      <c r="B134" s="2" t="n"/>
      <c r="C134" s="2" t="n"/>
      <c r="D134" s="2" t="n"/>
      <c r="E134" s="2" t="n"/>
      <c r="F134" s="2" t="n"/>
      <c r="G134" s="2" t="n"/>
      <c r="H134" s="2" t="n"/>
      <c r="I134" s="2" t="n"/>
      <c r="J134" s="2" t="n"/>
      <c r="K134" s="2">
        <f>IF(COUNTA(G134:J134)&lt;4,"",ROUND(AVERAGE(G134:J134),1))</f>
        <v/>
      </c>
      <c r="L134" s="2" t="n"/>
      <c r="M134" s="2" t="n"/>
      <c r="N134" s="2" t="n"/>
      <c r="O134" s="2" t="n"/>
    </row>
    <row r="135">
      <c r="A135" s="2" t="n"/>
      <c r="B135" s="2" t="n"/>
      <c r="C135" s="2" t="n"/>
      <c r="D135" s="2" t="n"/>
      <c r="E135" s="2" t="n"/>
      <c r="F135" s="2" t="n"/>
      <c r="G135" s="2" t="n"/>
      <c r="H135" s="2" t="n"/>
      <c r="I135" s="2" t="n"/>
      <c r="J135" s="2" t="n"/>
      <c r="K135" s="2">
        <f>IF(COUNTA(G135:J135)&lt;4,"",ROUND(AVERAGE(G135:J135),1))</f>
        <v/>
      </c>
      <c r="L135" s="2" t="n"/>
      <c r="M135" s="2" t="n"/>
      <c r="N135" s="2" t="n"/>
      <c r="O135" s="2" t="n"/>
    </row>
    <row r="136">
      <c r="A136" s="2" t="n"/>
      <c r="B136" s="2" t="n"/>
      <c r="C136" s="2" t="n"/>
      <c r="D136" s="2" t="n"/>
      <c r="E136" s="2" t="n"/>
      <c r="F136" s="2" t="n"/>
      <c r="G136" s="2" t="n"/>
      <c r="H136" s="2" t="n"/>
      <c r="I136" s="2" t="n"/>
      <c r="J136" s="2" t="n"/>
      <c r="K136" s="2">
        <f>IF(COUNTA(G136:J136)&lt;4,"",ROUND(AVERAGE(G136:J136),1))</f>
        <v/>
      </c>
      <c r="L136" s="2" t="n"/>
      <c r="M136" s="2" t="n"/>
      <c r="N136" s="2" t="n"/>
      <c r="O136" s="2" t="n"/>
    </row>
    <row r="137">
      <c r="A137" s="2" t="n"/>
      <c r="B137" s="2" t="n"/>
      <c r="C137" s="2" t="n"/>
      <c r="D137" s="2" t="n"/>
      <c r="E137" s="2" t="n"/>
      <c r="F137" s="2" t="n"/>
      <c r="G137" s="2" t="n"/>
      <c r="H137" s="2" t="n"/>
      <c r="I137" s="2" t="n"/>
      <c r="J137" s="2" t="n"/>
      <c r="K137" s="2">
        <f>IF(COUNTA(G137:J137)&lt;4,"",ROUND(AVERAGE(G137:J137),1))</f>
        <v/>
      </c>
      <c r="L137" s="2" t="n"/>
      <c r="M137" s="2" t="n"/>
      <c r="N137" s="2" t="n"/>
      <c r="O137" s="2" t="n"/>
    </row>
    <row r="138">
      <c r="A138" s="2" t="n"/>
      <c r="B138" s="2" t="n"/>
      <c r="C138" s="2" t="n"/>
      <c r="D138" s="2" t="n"/>
      <c r="E138" s="2" t="n"/>
      <c r="F138" s="2" t="n"/>
      <c r="G138" s="2" t="n"/>
      <c r="H138" s="2" t="n"/>
      <c r="I138" s="2" t="n"/>
      <c r="J138" s="2" t="n"/>
      <c r="K138" s="2">
        <f>IF(COUNTA(G138:J138)&lt;4,"",ROUND(AVERAGE(G138:J138),1))</f>
        <v/>
      </c>
      <c r="L138" s="2" t="n"/>
      <c r="M138" s="2" t="n"/>
      <c r="N138" s="2" t="n"/>
      <c r="O138" s="2" t="n"/>
    </row>
    <row r="139">
      <c r="A139" s="2" t="n"/>
      <c r="B139" s="2" t="n"/>
      <c r="C139" s="2" t="n"/>
      <c r="D139" s="2" t="n"/>
      <c r="E139" s="2" t="n"/>
      <c r="F139" s="2" t="n"/>
      <c r="G139" s="2" t="n"/>
      <c r="H139" s="2" t="n"/>
      <c r="I139" s="2" t="n"/>
      <c r="J139" s="2" t="n"/>
      <c r="K139" s="2">
        <f>IF(COUNTA(G139:J139)&lt;4,"",ROUND(AVERAGE(G139:J139),1))</f>
        <v/>
      </c>
      <c r="L139" s="2" t="n"/>
      <c r="M139" s="2" t="n"/>
      <c r="N139" s="2" t="n"/>
      <c r="O139" s="2" t="n"/>
    </row>
    <row r="140">
      <c r="A140" s="2" t="n"/>
      <c r="B140" s="2" t="n"/>
      <c r="C140" s="2" t="n"/>
      <c r="D140" s="2" t="n"/>
      <c r="E140" s="2" t="n"/>
      <c r="F140" s="2" t="n"/>
      <c r="G140" s="2" t="n"/>
      <c r="H140" s="2" t="n"/>
      <c r="I140" s="2" t="n"/>
      <c r="J140" s="2" t="n"/>
      <c r="K140" s="2">
        <f>IF(COUNTA(G140:J140)&lt;4,"",ROUND(AVERAGE(G140:J140),1))</f>
        <v/>
      </c>
      <c r="L140" s="2" t="n"/>
      <c r="M140" s="2" t="n"/>
      <c r="N140" s="2" t="n"/>
      <c r="O140" s="2" t="n"/>
    </row>
    <row r="141">
      <c r="A141" s="2" t="n"/>
      <c r="B141" s="2" t="n"/>
      <c r="C141" s="2" t="n"/>
      <c r="D141" s="2" t="n"/>
      <c r="E141" s="2" t="n"/>
      <c r="F141" s="2" t="n"/>
      <c r="G141" s="2" t="n"/>
      <c r="H141" s="2" t="n"/>
      <c r="I141" s="2" t="n"/>
      <c r="J141" s="2" t="n"/>
      <c r="K141" s="2">
        <f>IF(COUNTA(G141:J141)&lt;4,"",ROUND(AVERAGE(G141:J141),1))</f>
        <v/>
      </c>
      <c r="L141" s="2" t="n"/>
      <c r="M141" s="2" t="n"/>
      <c r="N141" s="2" t="n"/>
      <c r="O141" s="2" t="n"/>
    </row>
    <row r="142">
      <c r="A142" s="2" t="n"/>
      <c r="B142" s="2" t="n"/>
      <c r="C142" s="2" t="n"/>
      <c r="D142" s="2" t="n"/>
      <c r="E142" s="2" t="n"/>
      <c r="F142" s="2" t="n"/>
      <c r="G142" s="2" t="n"/>
      <c r="H142" s="2" t="n"/>
      <c r="I142" s="2" t="n"/>
      <c r="J142" s="2" t="n"/>
      <c r="K142" s="2">
        <f>IF(COUNTA(G142:J142)&lt;4,"",ROUND(AVERAGE(G142:J142),1))</f>
        <v/>
      </c>
      <c r="L142" s="2" t="n"/>
      <c r="M142" s="2" t="n"/>
      <c r="N142" s="2" t="n"/>
      <c r="O142" s="2" t="n"/>
    </row>
    <row r="143">
      <c r="A143" s="2" t="n"/>
      <c r="B143" s="2" t="n"/>
      <c r="C143" s="2" t="n"/>
      <c r="D143" s="2" t="n"/>
      <c r="E143" s="2" t="n"/>
      <c r="F143" s="2" t="n"/>
      <c r="G143" s="2" t="n"/>
      <c r="H143" s="2" t="n"/>
      <c r="I143" s="2" t="n"/>
      <c r="J143" s="2" t="n"/>
      <c r="K143" s="2">
        <f>IF(COUNTA(G143:J143)&lt;4,"",ROUND(AVERAGE(G143:J143),1))</f>
        <v/>
      </c>
      <c r="L143" s="2" t="n"/>
      <c r="M143" s="2" t="n"/>
      <c r="N143" s="2" t="n"/>
      <c r="O143" s="2" t="n"/>
    </row>
    <row r="144">
      <c r="A144" s="2" t="n"/>
      <c r="B144" s="2" t="n"/>
      <c r="C144" s="2" t="n"/>
      <c r="D144" s="2" t="n"/>
      <c r="E144" s="2" t="n"/>
      <c r="F144" s="2" t="n"/>
      <c r="G144" s="2" t="n"/>
      <c r="H144" s="2" t="n"/>
      <c r="I144" s="2" t="n"/>
      <c r="J144" s="2" t="n"/>
      <c r="K144" s="2">
        <f>IF(COUNTA(G144:J144)&lt;4,"",ROUND(AVERAGE(G144:J144),1))</f>
        <v/>
      </c>
      <c r="L144" s="2" t="n"/>
      <c r="M144" s="2" t="n"/>
      <c r="N144" s="2" t="n"/>
      <c r="O144" s="2" t="n"/>
    </row>
    <row r="145">
      <c r="A145" s="2" t="n"/>
      <c r="B145" s="2" t="n"/>
      <c r="C145" s="2" t="n"/>
      <c r="D145" s="2" t="n"/>
      <c r="E145" s="2" t="n"/>
      <c r="F145" s="2" t="n"/>
      <c r="G145" s="2" t="n"/>
      <c r="H145" s="2" t="n"/>
      <c r="I145" s="2" t="n"/>
      <c r="J145" s="2" t="n"/>
      <c r="K145" s="2">
        <f>IF(COUNTA(G145:J145)&lt;4,"",ROUND(AVERAGE(G145:J145),1))</f>
        <v/>
      </c>
      <c r="L145" s="2" t="n"/>
      <c r="M145" s="2" t="n"/>
      <c r="N145" s="2" t="n"/>
      <c r="O145" s="2" t="n"/>
    </row>
    <row r="146">
      <c r="A146" s="2" t="n"/>
      <c r="B146" s="2" t="n"/>
      <c r="C146" s="2" t="n"/>
      <c r="D146" s="2" t="n"/>
      <c r="E146" s="2" t="n"/>
      <c r="F146" s="2" t="n"/>
      <c r="G146" s="2" t="n"/>
      <c r="H146" s="2" t="n"/>
      <c r="I146" s="2" t="n"/>
      <c r="J146" s="2" t="n"/>
      <c r="K146" s="2">
        <f>IF(COUNTA(G146:J146)&lt;4,"",ROUND(AVERAGE(G146:J146),1))</f>
        <v/>
      </c>
      <c r="L146" s="2" t="n"/>
      <c r="M146" s="2" t="n"/>
      <c r="N146" s="2" t="n"/>
      <c r="O146" s="2" t="n"/>
    </row>
    <row r="147">
      <c r="A147" s="2" t="n"/>
      <c r="B147" s="2" t="n"/>
      <c r="C147" s="2" t="n"/>
      <c r="D147" s="2" t="n"/>
      <c r="E147" s="2" t="n"/>
      <c r="F147" s="2" t="n"/>
      <c r="G147" s="2" t="n"/>
      <c r="H147" s="2" t="n"/>
      <c r="I147" s="2" t="n"/>
      <c r="J147" s="2" t="n"/>
      <c r="K147" s="2">
        <f>IF(COUNTA(G147:J147)&lt;4,"",ROUND(AVERAGE(G147:J147),1))</f>
        <v/>
      </c>
      <c r="L147" s="2" t="n"/>
      <c r="M147" s="2" t="n"/>
      <c r="N147" s="2" t="n"/>
      <c r="O147" s="2" t="n"/>
    </row>
    <row r="148">
      <c r="A148" s="2" t="n"/>
      <c r="B148" s="2" t="n"/>
      <c r="C148" s="2" t="n"/>
      <c r="D148" s="2" t="n"/>
      <c r="E148" s="2" t="n"/>
      <c r="F148" s="2" t="n"/>
      <c r="G148" s="2" t="n"/>
      <c r="H148" s="2" t="n"/>
      <c r="I148" s="2" t="n"/>
      <c r="J148" s="2" t="n"/>
      <c r="K148" s="2">
        <f>IF(COUNTA(G148:J148)&lt;4,"",ROUND(AVERAGE(G148:J148),1))</f>
        <v/>
      </c>
      <c r="L148" s="2" t="n"/>
      <c r="M148" s="2" t="n"/>
      <c r="N148" s="2" t="n"/>
      <c r="O148" s="2" t="n"/>
    </row>
    <row r="149">
      <c r="A149" s="2" t="n"/>
      <c r="B149" s="2" t="n"/>
      <c r="C149" s="2" t="n"/>
      <c r="D149" s="2" t="n"/>
      <c r="E149" s="2" t="n"/>
      <c r="F149" s="2" t="n"/>
      <c r="G149" s="2" t="n"/>
      <c r="H149" s="2" t="n"/>
      <c r="I149" s="2" t="n"/>
      <c r="J149" s="2" t="n"/>
      <c r="K149" s="2">
        <f>IF(COUNTA(G149:J149)&lt;4,"",ROUND(AVERAGE(G149:J149),1))</f>
        <v/>
      </c>
      <c r="L149" s="2" t="n"/>
      <c r="M149" s="2" t="n"/>
      <c r="N149" s="2" t="n"/>
      <c r="O149" s="2" t="n"/>
    </row>
    <row r="150">
      <c r="A150" s="2" t="n"/>
      <c r="B150" s="2" t="n"/>
      <c r="C150" s="2" t="n"/>
      <c r="D150" s="2" t="n"/>
      <c r="E150" s="2" t="n"/>
      <c r="F150" s="2" t="n"/>
      <c r="G150" s="2" t="n"/>
      <c r="H150" s="2" t="n"/>
      <c r="I150" s="2" t="n"/>
      <c r="J150" s="2" t="n"/>
      <c r="K150" s="2">
        <f>IF(COUNTA(G150:J150)&lt;4,"",ROUND(AVERAGE(G150:J150),1))</f>
        <v/>
      </c>
      <c r="L150" s="2" t="n"/>
      <c r="M150" s="2" t="n"/>
      <c r="N150" s="2" t="n"/>
      <c r="O150" s="2" t="n"/>
    </row>
    <row r="151">
      <c r="A151" s="2" t="n"/>
      <c r="B151" s="2" t="n"/>
      <c r="C151" s="2" t="n"/>
      <c r="D151" s="2" t="n"/>
      <c r="E151" s="2" t="n"/>
      <c r="F151" s="2" t="n"/>
      <c r="G151" s="2" t="n"/>
      <c r="H151" s="2" t="n"/>
      <c r="I151" s="2" t="n"/>
      <c r="J151" s="2" t="n"/>
      <c r="K151" s="2">
        <f>IF(COUNTA(G151:J151)&lt;4,"",ROUND(AVERAGE(G151:J151),1))</f>
        <v/>
      </c>
      <c r="L151" s="2" t="n"/>
      <c r="M151" s="2" t="n"/>
      <c r="N151" s="2" t="n"/>
      <c r="O151" s="2" t="n"/>
    </row>
    <row r="152">
      <c r="A152" s="2" t="n"/>
      <c r="B152" s="2" t="n"/>
      <c r="C152" s="2" t="n"/>
      <c r="D152" s="2" t="n"/>
      <c r="E152" s="2" t="n"/>
      <c r="F152" s="2" t="n"/>
      <c r="G152" s="2" t="n"/>
      <c r="H152" s="2" t="n"/>
      <c r="I152" s="2" t="n"/>
      <c r="J152" s="2" t="n"/>
      <c r="K152" s="2">
        <f>IF(COUNTA(G152:J152)&lt;4,"",ROUND(AVERAGE(G152:J152),1))</f>
        <v/>
      </c>
      <c r="L152" s="2" t="n"/>
      <c r="M152" s="2" t="n"/>
      <c r="N152" s="2" t="n"/>
      <c r="O152" s="2" t="n"/>
    </row>
    <row r="153">
      <c r="A153" s="2" t="n"/>
      <c r="B153" s="2" t="n"/>
      <c r="C153" s="2" t="n"/>
      <c r="D153" s="2" t="n"/>
      <c r="E153" s="2" t="n"/>
      <c r="F153" s="2" t="n"/>
      <c r="G153" s="2" t="n"/>
      <c r="H153" s="2" t="n"/>
      <c r="I153" s="2" t="n"/>
      <c r="J153" s="2" t="n"/>
      <c r="K153" s="2">
        <f>IF(COUNTA(G153:J153)&lt;4,"",ROUND(AVERAGE(G153:J153),1))</f>
        <v/>
      </c>
      <c r="L153" s="2" t="n"/>
      <c r="M153" s="2" t="n"/>
      <c r="N153" s="2" t="n"/>
      <c r="O153" s="2" t="n"/>
    </row>
    <row r="154">
      <c r="A154" s="2" t="n"/>
      <c r="B154" s="2" t="n"/>
      <c r="C154" s="2" t="n"/>
      <c r="D154" s="2" t="n"/>
      <c r="E154" s="2" t="n"/>
      <c r="F154" s="2" t="n"/>
      <c r="G154" s="2" t="n"/>
      <c r="H154" s="2" t="n"/>
      <c r="I154" s="2" t="n"/>
      <c r="J154" s="2" t="n"/>
      <c r="K154" s="2">
        <f>IF(COUNTA(G154:J154)&lt;4,"",ROUND(AVERAGE(G154:J154),1))</f>
        <v/>
      </c>
      <c r="L154" s="2" t="n"/>
      <c r="M154" s="2" t="n"/>
      <c r="N154" s="2" t="n"/>
      <c r="O154" s="2" t="n"/>
    </row>
    <row r="155">
      <c r="A155" s="2" t="n"/>
      <c r="B155" s="2" t="n"/>
      <c r="C155" s="2" t="n"/>
      <c r="D155" s="2" t="n"/>
      <c r="E155" s="2" t="n"/>
      <c r="F155" s="2" t="n"/>
      <c r="G155" s="2" t="n"/>
      <c r="H155" s="2" t="n"/>
      <c r="I155" s="2" t="n"/>
      <c r="J155" s="2" t="n"/>
      <c r="K155" s="2">
        <f>IF(COUNTA(G155:J155)&lt;4,"",ROUND(AVERAGE(G155:J155),1))</f>
        <v/>
      </c>
      <c r="L155" s="2" t="n"/>
      <c r="M155" s="2" t="n"/>
      <c r="N155" s="2" t="n"/>
      <c r="O155" s="2" t="n"/>
    </row>
    <row r="156">
      <c r="A156" s="2" t="n"/>
      <c r="B156" s="2" t="n"/>
      <c r="C156" s="2" t="n"/>
      <c r="D156" s="2" t="n"/>
      <c r="E156" s="2" t="n"/>
      <c r="F156" s="2" t="n"/>
      <c r="G156" s="2" t="n"/>
      <c r="H156" s="2" t="n"/>
      <c r="I156" s="2" t="n"/>
      <c r="J156" s="2" t="n"/>
      <c r="K156" s="2">
        <f>IF(COUNTA(G156:J156)&lt;4,"",ROUND(AVERAGE(G156:J156),1))</f>
        <v/>
      </c>
      <c r="L156" s="2" t="n"/>
      <c r="M156" s="2" t="n"/>
      <c r="N156" s="2" t="n"/>
      <c r="O156" s="2" t="n"/>
    </row>
    <row r="157">
      <c r="A157" s="2" t="n"/>
      <c r="B157" s="2" t="n"/>
      <c r="C157" s="2" t="n"/>
      <c r="D157" s="2" t="n"/>
      <c r="E157" s="2" t="n"/>
      <c r="F157" s="2" t="n"/>
      <c r="G157" s="2" t="n"/>
      <c r="H157" s="2" t="n"/>
      <c r="I157" s="2" t="n"/>
      <c r="J157" s="2" t="n"/>
      <c r="K157" s="2">
        <f>IF(COUNTA(G157:J157)&lt;4,"",ROUND(AVERAGE(G157:J157),1))</f>
        <v/>
      </c>
      <c r="L157" s="2" t="n"/>
      <c r="M157" s="2" t="n"/>
      <c r="N157" s="2" t="n"/>
      <c r="O157" s="2" t="n"/>
    </row>
    <row r="158">
      <c r="A158" s="2" t="n"/>
      <c r="B158" s="2" t="n"/>
      <c r="C158" s="2" t="n"/>
      <c r="D158" s="2" t="n"/>
      <c r="E158" s="2" t="n"/>
      <c r="F158" s="2" t="n"/>
      <c r="G158" s="2" t="n"/>
      <c r="H158" s="2" t="n"/>
      <c r="I158" s="2" t="n"/>
      <c r="J158" s="2" t="n"/>
      <c r="K158" s="2">
        <f>IF(COUNTA(G158:J158)&lt;4,"",ROUND(AVERAGE(G158:J158),1))</f>
        <v/>
      </c>
      <c r="L158" s="2" t="n"/>
      <c r="M158" s="2" t="n"/>
      <c r="N158" s="2" t="n"/>
      <c r="O158" s="2" t="n"/>
    </row>
    <row r="159">
      <c r="A159" s="2" t="n"/>
      <c r="B159" s="2" t="n"/>
      <c r="C159" s="2" t="n"/>
      <c r="D159" s="2" t="n"/>
      <c r="E159" s="2" t="n"/>
      <c r="F159" s="2" t="n"/>
      <c r="G159" s="2" t="n"/>
      <c r="H159" s="2" t="n"/>
      <c r="I159" s="2" t="n"/>
      <c r="J159" s="2" t="n"/>
      <c r="K159" s="2">
        <f>IF(COUNTA(G159:J159)&lt;4,"",ROUND(AVERAGE(G159:J159),1))</f>
        <v/>
      </c>
      <c r="L159" s="2" t="n"/>
      <c r="M159" s="2" t="n"/>
      <c r="N159" s="2" t="n"/>
      <c r="O159" s="2" t="n"/>
    </row>
    <row r="160">
      <c r="A160" s="2" t="n"/>
      <c r="B160" s="2" t="n"/>
      <c r="C160" s="2" t="n"/>
      <c r="D160" s="2" t="n"/>
      <c r="E160" s="2" t="n"/>
      <c r="F160" s="2" t="n"/>
      <c r="G160" s="2" t="n"/>
      <c r="H160" s="2" t="n"/>
      <c r="I160" s="2" t="n"/>
      <c r="J160" s="2" t="n"/>
      <c r="K160" s="2">
        <f>IF(COUNTA(G160:J160)&lt;4,"",ROUND(AVERAGE(G160:J160),1))</f>
        <v/>
      </c>
      <c r="L160" s="2" t="n"/>
      <c r="M160" s="2" t="n"/>
      <c r="N160" s="2" t="n"/>
      <c r="O160" s="2" t="n"/>
    </row>
    <row r="161">
      <c r="A161" s="2" t="n"/>
      <c r="B161" s="2" t="n"/>
      <c r="C161" s="2" t="n"/>
      <c r="D161" s="2" t="n"/>
      <c r="E161" s="2" t="n"/>
      <c r="F161" s="2" t="n"/>
      <c r="G161" s="2" t="n"/>
      <c r="H161" s="2" t="n"/>
      <c r="I161" s="2" t="n"/>
      <c r="J161" s="2" t="n"/>
      <c r="K161" s="2">
        <f>IF(COUNTA(G161:J161)&lt;4,"",ROUND(AVERAGE(G161:J161),1))</f>
        <v/>
      </c>
      <c r="L161" s="2" t="n"/>
      <c r="M161" s="2" t="n"/>
      <c r="N161" s="2" t="n"/>
      <c r="O161" s="2" t="n"/>
    </row>
    <row r="162">
      <c r="A162" s="2" t="n"/>
      <c r="B162" s="2" t="n"/>
      <c r="C162" s="2" t="n"/>
      <c r="D162" s="2" t="n"/>
      <c r="E162" s="2" t="n"/>
      <c r="F162" s="2" t="n"/>
      <c r="G162" s="2" t="n"/>
      <c r="H162" s="2" t="n"/>
      <c r="I162" s="2" t="n"/>
      <c r="J162" s="2" t="n"/>
      <c r="K162" s="2">
        <f>IF(COUNTA(G162:J162)&lt;4,"",ROUND(AVERAGE(G162:J162),1))</f>
        <v/>
      </c>
      <c r="L162" s="2" t="n"/>
      <c r="M162" s="2" t="n"/>
      <c r="N162" s="2" t="n"/>
      <c r="O162" s="2" t="n"/>
    </row>
    <row r="163">
      <c r="A163" s="2" t="n"/>
      <c r="B163" s="2" t="n"/>
      <c r="C163" s="2" t="n"/>
      <c r="D163" s="2" t="n"/>
      <c r="E163" s="2" t="n"/>
      <c r="F163" s="2" t="n"/>
      <c r="G163" s="2" t="n"/>
      <c r="H163" s="2" t="n"/>
      <c r="I163" s="2" t="n"/>
      <c r="J163" s="2" t="n"/>
      <c r="K163" s="2">
        <f>IF(COUNTA(G163:J163)&lt;4,"",ROUND(AVERAGE(G163:J163),1))</f>
        <v/>
      </c>
      <c r="L163" s="2" t="n"/>
      <c r="M163" s="2" t="n"/>
      <c r="N163" s="2" t="n"/>
      <c r="O163" s="2" t="n"/>
    </row>
    <row r="164">
      <c r="A164" s="2" t="n"/>
      <c r="B164" s="2" t="n"/>
      <c r="C164" s="2" t="n"/>
      <c r="D164" s="2" t="n"/>
      <c r="E164" s="2" t="n"/>
      <c r="F164" s="2" t="n"/>
      <c r="G164" s="2" t="n"/>
      <c r="H164" s="2" t="n"/>
      <c r="I164" s="2" t="n"/>
      <c r="J164" s="2" t="n"/>
      <c r="K164" s="2">
        <f>IF(COUNTA(G164:J164)&lt;4,"",ROUND(AVERAGE(G164:J164),1))</f>
        <v/>
      </c>
      <c r="L164" s="2" t="n"/>
      <c r="M164" s="2" t="n"/>
      <c r="N164" s="2" t="n"/>
      <c r="O164" s="2" t="n"/>
    </row>
    <row r="165">
      <c r="A165" s="2" t="n"/>
      <c r="B165" s="2" t="n"/>
      <c r="C165" s="2" t="n"/>
      <c r="D165" s="2" t="n"/>
      <c r="E165" s="2" t="n"/>
      <c r="F165" s="2" t="n"/>
      <c r="G165" s="2" t="n"/>
      <c r="H165" s="2" t="n"/>
      <c r="I165" s="2" t="n"/>
      <c r="J165" s="2" t="n"/>
      <c r="K165" s="2">
        <f>IF(COUNTA(G165:J165)&lt;4,"",ROUND(AVERAGE(G165:J165),1))</f>
        <v/>
      </c>
      <c r="L165" s="2" t="n"/>
      <c r="M165" s="2" t="n"/>
      <c r="N165" s="2" t="n"/>
      <c r="O165" s="2" t="n"/>
    </row>
    <row r="166">
      <c r="A166" s="2" t="n"/>
      <c r="B166" s="2" t="n"/>
      <c r="C166" s="2" t="n"/>
      <c r="D166" s="2" t="n"/>
      <c r="E166" s="2" t="n"/>
      <c r="F166" s="2" t="n"/>
      <c r="G166" s="2" t="n"/>
      <c r="H166" s="2" t="n"/>
      <c r="I166" s="2" t="n"/>
      <c r="J166" s="2" t="n"/>
      <c r="K166" s="2">
        <f>IF(COUNTA(G166:J166)&lt;4,"",ROUND(AVERAGE(G166:J166),1))</f>
        <v/>
      </c>
      <c r="L166" s="2" t="n"/>
      <c r="M166" s="2" t="n"/>
      <c r="N166" s="2" t="n"/>
      <c r="O166" s="2" t="n"/>
    </row>
    <row r="167">
      <c r="A167" s="2" t="n"/>
      <c r="B167" s="2" t="n"/>
      <c r="C167" s="2" t="n"/>
      <c r="D167" s="2" t="n"/>
      <c r="E167" s="2" t="n"/>
      <c r="F167" s="2" t="n"/>
      <c r="G167" s="2" t="n"/>
      <c r="H167" s="2" t="n"/>
      <c r="I167" s="2" t="n"/>
      <c r="J167" s="2" t="n"/>
      <c r="K167" s="2">
        <f>IF(COUNTA(G167:J167)&lt;4,"",ROUND(AVERAGE(G167:J167),1))</f>
        <v/>
      </c>
      <c r="L167" s="2" t="n"/>
      <c r="M167" s="2" t="n"/>
      <c r="N167" s="2" t="n"/>
      <c r="O167" s="2" t="n"/>
    </row>
    <row r="168">
      <c r="A168" s="2" t="n"/>
      <c r="B168" s="2" t="n"/>
      <c r="C168" s="2" t="n"/>
      <c r="D168" s="2" t="n"/>
      <c r="E168" s="2" t="n"/>
      <c r="F168" s="2" t="n"/>
      <c r="G168" s="2" t="n"/>
      <c r="H168" s="2" t="n"/>
      <c r="I168" s="2" t="n"/>
      <c r="J168" s="2" t="n"/>
      <c r="K168" s="2">
        <f>IF(COUNTA(G168:J168)&lt;4,"",ROUND(AVERAGE(G168:J168),1))</f>
        <v/>
      </c>
      <c r="L168" s="2" t="n"/>
      <c r="M168" s="2" t="n"/>
      <c r="N168" s="2" t="n"/>
      <c r="O168" s="2" t="n"/>
    </row>
    <row r="169">
      <c r="A169" s="2" t="n"/>
      <c r="B169" s="2" t="n"/>
      <c r="C169" s="2" t="n"/>
      <c r="D169" s="2" t="n"/>
      <c r="E169" s="2" t="n"/>
      <c r="F169" s="2" t="n"/>
      <c r="G169" s="2" t="n"/>
      <c r="H169" s="2" t="n"/>
      <c r="I169" s="2" t="n"/>
      <c r="J169" s="2" t="n"/>
      <c r="K169" s="2">
        <f>IF(COUNTA(G169:J169)&lt;4,"",ROUND(AVERAGE(G169:J169),1))</f>
        <v/>
      </c>
      <c r="L169" s="2" t="n"/>
      <c r="M169" s="2" t="n"/>
      <c r="N169" s="2" t="n"/>
      <c r="O169" s="2" t="n"/>
    </row>
    <row r="170">
      <c r="A170" s="2" t="n"/>
      <c r="B170" s="2" t="n"/>
      <c r="C170" s="2" t="n"/>
      <c r="D170" s="2" t="n"/>
      <c r="E170" s="2" t="n"/>
      <c r="F170" s="2" t="n"/>
      <c r="G170" s="2" t="n"/>
      <c r="H170" s="2" t="n"/>
      <c r="I170" s="2" t="n"/>
      <c r="J170" s="2" t="n"/>
      <c r="K170" s="2">
        <f>IF(COUNTA(G170:J170)&lt;4,"",ROUND(AVERAGE(G170:J170),1))</f>
        <v/>
      </c>
      <c r="L170" s="2" t="n"/>
      <c r="M170" s="2" t="n"/>
      <c r="N170" s="2" t="n"/>
      <c r="O170" s="2" t="n"/>
    </row>
    <row r="171">
      <c r="A171" s="2" t="n"/>
      <c r="B171" s="2" t="n"/>
      <c r="C171" s="2" t="n"/>
      <c r="D171" s="2" t="n"/>
      <c r="E171" s="2" t="n"/>
      <c r="F171" s="2" t="n"/>
      <c r="G171" s="2" t="n"/>
      <c r="H171" s="2" t="n"/>
      <c r="I171" s="2" t="n"/>
      <c r="J171" s="2" t="n"/>
      <c r="K171" s="2">
        <f>IF(COUNTA(G171:J171)&lt;4,"",ROUND(AVERAGE(G171:J171),1))</f>
        <v/>
      </c>
      <c r="L171" s="2" t="n"/>
      <c r="M171" s="2" t="n"/>
      <c r="N171" s="2" t="n"/>
      <c r="O171" s="2" t="n"/>
    </row>
    <row r="172">
      <c r="A172" s="2" t="n"/>
      <c r="B172" s="2" t="n"/>
      <c r="C172" s="2" t="n"/>
      <c r="D172" s="2" t="n"/>
      <c r="E172" s="2" t="n"/>
      <c r="F172" s="2" t="n"/>
      <c r="G172" s="2" t="n"/>
      <c r="H172" s="2" t="n"/>
      <c r="I172" s="2" t="n"/>
      <c r="J172" s="2" t="n"/>
      <c r="K172" s="2">
        <f>IF(COUNTA(G172:J172)&lt;4,"",ROUND(AVERAGE(G172:J172),1))</f>
        <v/>
      </c>
      <c r="L172" s="2" t="n"/>
      <c r="M172" s="2" t="n"/>
      <c r="N172" s="2" t="n"/>
      <c r="O172" s="2" t="n"/>
    </row>
    <row r="173">
      <c r="A173" s="2" t="n"/>
      <c r="B173" s="2" t="n"/>
      <c r="C173" s="2" t="n"/>
      <c r="D173" s="2" t="n"/>
      <c r="E173" s="2" t="n"/>
      <c r="F173" s="2" t="n"/>
      <c r="G173" s="2" t="n"/>
      <c r="H173" s="2" t="n"/>
      <c r="I173" s="2" t="n"/>
      <c r="J173" s="2" t="n"/>
      <c r="K173" s="2">
        <f>IF(COUNTA(G173:J173)&lt;4,"",ROUND(AVERAGE(G173:J173),1))</f>
        <v/>
      </c>
      <c r="L173" s="2" t="n"/>
      <c r="M173" s="2" t="n"/>
      <c r="N173" s="2" t="n"/>
      <c r="O173" s="2" t="n"/>
    </row>
    <row r="174">
      <c r="A174" s="2" t="n"/>
      <c r="B174" s="2" t="n"/>
      <c r="C174" s="2" t="n"/>
      <c r="D174" s="2" t="n"/>
      <c r="E174" s="2" t="n"/>
      <c r="F174" s="2" t="n"/>
      <c r="G174" s="2" t="n"/>
      <c r="H174" s="2" t="n"/>
      <c r="I174" s="2" t="n"/>
      <c r="J174" s="2" t="n"/>
      <c r="K174" s="2">
        <f>IF(COUNTA(G174:J174)&lt;4,"",ROUND(AVERAGE(G174:J174),1))</f>
        <v/>
      </c>
      <c r="L174" s="2" t="n"/>
      <c r="M174" s="2" t="n"/>
      <c r="N174" s="2" t="n"/>
      <c r="O174" s="2" t="n"/>
    </row>
    <row r="175">
      <c r="A175" s="2" t="n"/>
      <c r="B175" s="2" t="n"/>
      <c r="C175" s="2" t="n"/>
      <c r="D175" s="2" t="n"/>
      <c r="E175" s="2" t="n"/>
      <c r="F175" s="2" t="n"/>
      <c r="G175" s="2" t="n"/>
      <c r="H175" s="2" t="n"/>
      <c r="I175" s="2" t="n"/>
      <c r="J175" s="2" t="n"/>
      <c r="K175" s="2">
        <f>IF(COUNTA(G175:J175)&lt;4,"",ROUND(AVERAGE(G175:J175),1))</f>
        <v/>
      </c>
      <c r="L175" s="2" t="n"/>
      <c r="M175" s="2" t="n"/>
      <c r="N175" s="2" t="n"/>
      <c r="O175" s="2" t="n"/>
    </row>
    <row r="176">
      <c r="A176" s="2" t="n"/>
      <c r="B176" s="2" t="n"/>
      <c r="C176" s="2" t="n"/>
      <c r="D176" s="2" t="n"/>
      <c r="E176" s="2" t="n"/>
      <c r="F176" s="2" t="n"/>
      <c r="G176" s="2" t="n"/>
      <c r="H176" s="2" t="n"/>
      <c r="I176" s="2" t="n"/>
      <c r="J176" s="2" t="n"/>
      <c r="K176" s="2">
        <f>IF(COUNTA(G176:J176)&lt;4,"",ROUND(AVERAGE(G176:J176),1))</f>
        <v/>
      </c>
      <c r="L176" s="2" t="n"/>
      <c r="M176" s="2" t="n"/>
      <c r="N176" s="2" t="n"/>
      <c r="O176" s="2" t="n"/>
    </row>
    <row r="177">
      <c r="A177" s="2" t="n"/>
      <c r="B177" s="2" t="n"/>
      <c r="C177" s="2" t="n"/>
      <c r="D177" s="2" t="n"/>
      <c r="E177" s="2" t="n"/>
      <c r="F177" s="2" t="n"/>
      <c r="G177" s="2" t="n"/>
      <c r="H177" s="2" t="n"/>
      <c r="I177" s="2" t="n"/>
      <c r="J177" s="2" t="n"/>
      <c r="K177" s="2">
        <f>IF(COUNTA(G177:J177)&lt;4,"",ROUND(AVERAGE(G177:J177),1))</f>
        <v/>
      </c>
      <c r="L177" s="2" t="n"/>
      <c r="M177" s="2" t="n"/>
      <c r="N177" s="2" t="n"/>
      <c r="O177" s="2" t="n"/>
    </row>
    <row r="178">
      <c r="A178" s="2" t="n"/>
      <c r="B178" s="2" t="n"/>
      <c r="C178" s="2" t="n"/>
      <c r="D178" s="2" t="n"/>
      <c r="E178" s="2" t="n"/>
      <c r="F178" s="2" t="n"/>
      <c r="G178" s="2" t="n"/>
      <c r="H178" s="2" t="n"/>
      <c r="I178" s="2" t="n"/>
      <c r="J178" s="2" t="n"/>
      <c r="K178" s="2">
        <f>IF(COUNTA(G178:J178)&lt;4,"",ROUND(AVERAGE(G178:J178),1))</f>
        <v/>
      </c>
      <c r="L178" s="2" t="n"/>
      <c r="M178" s="2" t="n"/>
      <c r="N178" s="2" t="n"/>
      <c r="O178" s="2" t="n"/>
    </row>
    <row r="179">
      <c r="A179" s="2" t="n"/>
      <c r="B179" s="2" t="n"/>
      <c r="C179" s="2" t="n"/>
      <c r="D179" s="2" t="n"/>
      <c r="E179" s="2" t="n"/>
      <c r="F179" s="2" t="n"/>
      <c r="G179" s="2" t="n"/>
      <c r="H179" s="2" t="n"/>
      <c r="I179" s="2" t="n"/>
      <c r="J179" s="2" t="n"/>
      <c r="K179" s="2">
        <f>IF(COUNTA(G179:J179)&lt;4,"",ROUND(AVERAGE(G179:J179),1))</f>
        <v/>
      </c>
      <c r="L179" s="2" t="n"/>
      <c r="M179" s="2" t="n"/>
      <c r="N179" s="2" t="n"/>
      <c r="O179" s="2" t="n"/>
    </row>
    <row r="180">
      <c r="A180" s="2" t="n"/>
      <c r="B180" s="2" t="n"/>
      <c r="C180" s="2" t="n"/>
      <c r="D180" s="2" t="n"/>
      <c r="E180" s="2" t="n"/>
      <c r="F180" s="2" t="n"/>
      <c r="G180" s="2" t="n"/>
      <c r="H180" s="2" t="n"/>
      <c r="I180" s="2" t="n"/>
      <c r="J180" s="2" t="n"/>
      <c r="K180" s="2">
        <f>IF(COUNTA(G180:J180)&lt;4,"",ROUND(AVERAGE(G180:J180),1))</f>
        <v/>
      </c>
      <c r="L180" s="2" t="n"/>
      <c r="M180" s="2" t="n"/>
      <c r="N180" s="2" t="n"/>
      <c r="O180" s="2" t="n"/>
    </row>
    <row r="181">
      <c r="A181" s="2" t="n"/>
      <c r="B181" s="2" t="n"/>
      <c r="C181" s="2" t="n"/>
      <c r="D181" s="2" t="n"/>
      <c r="E181" s="2" t="n"/>
      <c r="F181" s="2" t="n"/>
      <c r="G181" s="2" t="n"/>
      <c r="H181" s="2" t="n"/>
      <c r="I181" s="2" t="n"/>
      <c r="J181" s="2" t="n"/>
      <c r="K181" s="2">
        <f>IF(COUNTA(G181:J181)&lt;4,"",ROUND(AVERAGE(G181:J181),1))</f>
        <v/>
      </c>
      <c r="L181" s="2" t="n"/>
      <c r="M181" s="2" t="n"/>
      <c r="N181" s="2" t="n"/>
      <c r="O181" s="2" t="n"/>
    </row>
    <row r="182">
      <c r="A182" s="2" t="n"/>
      <c r="B182" s="2" t="n"/>
      <c r="C182" s="2" t="n"/>
      <c r="D182" s="2" t="n"/>
      <c r="E182" s="2" t="n"/>
      <c r="F182" s="2" t="n"/>
      <c r="G182" s="2" t="n"/>
      <c r="H182" s="2" t="n"/>
      <c r="I182" s="2" t="n"/>
      <c r="J182" s="2" t="n"/>
      <c r="K182" s="2">
        <f>IF(COUNTA(G182:J182)&lt;4,"",ROUND(AVERAGE(G182:J182),1))</f>
        <v/>
      </c>
      <c r="L182" s="2" t="n"/>
      <c r="M182" s="2" t="n"/>
      <c r="N182" s="2" t="n"/>
      <c r="O182" s="2" t="n"/>
    </row>
    <row r="183">
      <c r="A183" s="2" t="n"/>
      <c r="B183" s="2" t="n"/>
      <c r="C183" s="2" t="n"/>
      <c r="D183" s="2" t="n"/>
      <c r="E183" s="2" t="n"/>
      <c r="F183" s="2" t="n"/>
      <c r="G183" s="2" t="n"/>
      <c r="H183" s="2" t="n"/>
      <c r="I183" s="2" t="n"/>
      <c r="J183" s="2" t="n"/>
      <c r="K183" s="2">
        <f>IF(COUNTA(G183:J183)&lt;4,"",ROUND(AVERAGE(G183:J183),1))</f>
        <v/>
      </c>
      <c r="L183" s="2" t="n"/>
      <c r="M183" s="2" t="n"/>
      <c r="N183" s="2" t="n"/>
      <c r="O183" s="2" t="n"/>
    </row>
    <row r="184">
      <c r="A184" s="2" t="n"/>
      <c r="B184" s="2" t="n"/>
      <c r="C184" s="2" t="n"/>
      <c r="D184" s="2" t="n"/>
      <c r="E184" s="2" t="n"/>
      <c r="F184" s="2" t="n"/>
      <c r="G184" s="2" t="n"/>
      <c r="H184" s="2" t="n"/>
      <c r="I184" s="2" t="n"/>
      <c r="J184" s="2" t="n"/>
      <c r="K184" s="2">
        <f>IF(COUNTA(G184:J184)&lt;4,"",ROUND(AVERAGE(G184:J184),1))</f>
        <v/>
      </c>
      <c r="L184" s="2" t="n"/>
      <c r="M184" s="2" t="n"/>
      <c r="N184" s="2" t="n"/>
      <c r="O184" s="2" t="n"/>
    </row>
    <row r="185">
      <c r="A185" s="2" t="n"/>
      <c r="B185" s="2" t="n"/>
      <c r="C185" s="2" t="n"/>
      <c r="D185" s="2" t="n"/>
      <c r="E185" s="2" t="n"/>
      <c r="F185" s="2" t="n"/>
      <c r="G185" s="2" t="n"/>
      <c r="H185" s="2" t="n"/>
      <c r="I185" s="2" t="n"/>
      <c r="J185" s="2" t="n"/>
      <c r="K185" s="2">
        <f>IF(COUNTA(G185:J185)&lt;4,"",ROUND(AVERAGE(G185:J185),1))</f>
        <v/>
      </c>
      <c r="L185" s="2" t="n"/>
      <c r="M185" s="2" t="n"/>
      <c r="N185" s="2" t="n"/>
      <c r="O185" s="2" t="n"/>
    </row>
    <row r="186">
      <c r="A186" s="2" t="n"/>
      <c r="B186" s="2" t="n"/>
      <c r="C186" s="2" t="n"/>
      <c r="D186" s="2" t="n"/>
      <c r="E186" s="2" t="n"/>
      <c r="F186" s="2" t="n"/>
      <c r="G186" s="2" t="n"/>
      <c r="H186" s="2" t="n"/>
      <c r="I186" s="2" t="n"/>
      <c r="J186" s="2" t="n"/>
      <c r="K186" s="2">
        <f>IF(COUNTA(G186:J186)&lt;4,"",ROUND(AVERAGE(G186:J186),1))</f>
        <v/>
      </c>
      <c r="L186" s="2" t="n"/>
      <c r="M186" s="2" t="n"/>
      <c r="N186" s="2" t="n"/>
      <c r="O186" s="2" t="n"/>
    </row>
    <row r="187">
      <c r="A187" s="2" t="n"/>
      <c r="B187" s="2" t="n"/>
      <c r="C187" s="2" t="n"/>
      <c r="D187" s="2" t="n"/>
      <c r="E187" s="2" t="n"/>
      <c r="F187" s="2" t="n"/>
      <c r="G187" s="2" t="n"/>
      <c r="H187" s="2" t="n"/>
      <c r="I187" s="2" t="n"/>
      <c r="J187" s="2" t="n"/>
      <c r="K187" s="2">
        <f>IF(COUNTA(G187:J187)&lt;4,"",ROUND(AVERAGE(G187:J187),1))</f>
        <v/>
      </c>
      <c r="L187" s="2" t="n"/>
      <c r="M187" s="2" t="n"/>
      <c r="N187" s="2" t="n"/>
      <c r="O187" s="2" t="n"/>
    </row>
    <row r="188">
      <c r="A188" s="2" t="n"/>
      <c r="B188" s="2" t="n"/>
      <c r="C188" s="2" t="n"/>
      <c r="D188" s="2" t="n"/>
      <c r="E188" s="2" t="n"/>
      <c r="F188" s="2" t="n"/>
      <c r="G188" s="2" t="n"/>
      <c r="H188" s="2" t="n"/>
      <c r="I188" s="2" t="n"/>
      <c r="J188" s="2" t="n"/>
      <c r="K188" s="2">
        <f>IF(COUNTA(G188:J188)&lt;4,"",ROUND(AVERAGE(G188:J188),1))</f>
        <v/>
      </c>
      <c r="L188" s="2" t="n"/>
      <c r="M188" s="2" t="n"/>
      <c r="N188" s="2" t="n"/>
      <c r="O188" s="2" t="n"/>
    </row>
    <row r="189">
      <c r="A189" s="2" t="n"/>
      <c r="B189" s="2" t="n"/>
      <c r="C189" s="2" t="n"/>
      <c r="D189" s="2" t="n"/>
      <c r="E189" s="2" t="n"/>
      <c r="F189" s="2" t="n"/>
      <c r="G189" s="2" t="n"/>
      <c r="H189" s="2" t="n"/>
      <c r="I189" s="2" t="n"/>
      <c r="J189" s="2" t="n"/>
      <c r="K189" s="2">
        <f>IF(COUNTA(G189:J189)&lt;4,"",ROUND(AVERAGE(G189:J189),1))</f>
        <v/>
      </c>
      <c r="L189" s="2" t="n"/>
      <c r="M189" s="2" t="n"/>
      <c r="N189" s="2" t="n"/>
      <c r="O189" s="2" t="n"/>
    </row>
    <row r="190">
      <c r="A190" s="2" t="n"/>
      <c r="B190" s="2" t="n"/>
      <c r="C190" s="2" t="n"/>
      <c r="D190" s="2" t="n"/>
      <c r="E190" s="2" t="n"/>
      <c r="F190" s="2" t="n"/>
      <c r="G190" s="2" t="n"/>
      <c r="H190" s="2" t="n"/>
      <c r="I190" s="2" t="n"/>
      <c r="J190" s="2" t="n"/>
      <c r="K190" s="2">
        <f>IF(COUNTA(G190:J190)&lt;4,"",ROUND(AVERAGE(G190:J190),1))</f>
        <v/>
      </c>
      <c r="L190" s="2" t="n"/>
      <c r="M190" s="2" t="n"/>
      <c r="N190" s="2" t="n"/>
      <c r="O190" s="2" t="n"/>
    </row>
    <row r="191">
      <c r="A191" s="2" t="n"/>
      <c r="B191" s="2" t="n"/>
      <c r="C191" s="2" t="n"/>
      <c r="D191" s="2" t="n"/>
      <c r="E191" s="2" t="n"/>
      <c r="F191" s="2" t="n"/>
      <c r="G191" s="2" t="n"/>
      <c r="H191" s="2" t="n"/>
      <c r="I191" s="2" t="n"/>
      <c r="J191" s="2" t="n"/>
      <c r="K191" s="2">
        <f>IF(COUNTA(G191:J191)&lt;4,"",ROUND(AVERAGE(G191:J191),1))</f>
        <v/>
      </c>
      <c r="L191" s="2" t="n"/>
      <c r="M191" s="2" t="n"/>
      <c r="N191" s="2" t="n"/>
      <c r="O191" s="2" t="n"/>
    </row>
    <row r="192">
      <c r="A192" s="2" t="n"/>
      <c r="B192" s="2" t="n"/>
      <c r="C192" s="2" t="n"/>
      <c r="D192" s="2" t="n"/>
      <c r="E192" s="2" t="n"/>
      <c r="F192" s="2" t="n"/>
      <c r="G192" s="2" t="n"/>
      <c r="H192" s="2" t="n"/>
      <c r="I192" s="2" t="n"/>
      <c r="J192" s="2" t="n"/>
      <c r="K192" s="2">
        <f>IF(COUNTA(G192:J192)&lt;4,"",ROUND(AVERAGE(G192:J192),1))</f>
        <v/>
      </c>
      <c r="L192" s="2" t="n"/>
      <c r="M192" s="2" t="n"/>
      <c r="N192" s="2" t="n"/>
      <c r="O192" s="2" t="n"/>
    </row>
    <row r="193">
      <c r="A193" s="2" t="n"/>
      <c r="B193" s="2" t="n"/>
      <c r="C193" s="2" t="n"/>
      <c r="D193" s="2" t="n"/>
      <c r="E193" s="2" t="n"/>
      <c r="F193" s="2" t="n"/>
      <c r="G193" s="2" t="n"/>
      <c r="H193" s="2" t="n"/>
      <c r="I193" s="2" t="n"/>
      <c r="J193" s="2" t="n"/>
      <c r="K193" s="2">
        <f>IF(COUNTA(G193:J193)&lt;4,"",ROUND(AVERAGE(G193:J193),1))</f>
        <v/>
      </c>
      <c r="L193" s="2" t="n"/>
      <c r="M193" s="2" t="n"/>
      <c r="N193" s="2" t="n"/>
      <c r="O193" s="2" t="n"/>
    </row>
    <row r="194">
      <c r="A194" s="2" t="n"/>
      <c r="B194" s="2" t="n"/>
      <c r="C194" s="2" t="n"/>
      <c r="D194" s="2" t="n"/>
      <c r="E194" s="2" t="n"/>
      <c r="F194" s="2" t="n"/>
      <c r="G194" s="2" t="n"/>
      <c r="H194" s="2" t="n"/>
      <c r="I194" s="2" t="n"/>
      <c r="J194" s="2" t="n"/>
      <c r="K194" s="2">
        <f>IF(COUNTA(G194:J194)&lt;4,"",ROUND(AVERAGE(G194:J194),1))</f>
        <v/>
      </c>
      <c r="L194" s="2" t="n"/>
      <c r="M194" s="2" t="n"/>
      <c r="N194" s="2" t="n"/>
      <c r="O194" s="2" t="n"/>
    </row>
    <row r="195">
      <c r="A195" s="2" t="n"/>
      <c r="B195" s="2" t="n"/>
      <c r="C195" s="2" t="n"/>
      <c r="D195" s="2" t="n"/>
      <c r="E195" s="2" t="n"/>
      <c r="F195" s="2" t="n"/>
      <c r="G195" s="2" t="n"/>
      <c r="H195" s="2" t="n"/>
      <c r="I195" s="2" t="n"/>
      <c r="J195" s="2" t="n"/>
      <c r="K195" s="2">
        <f>IF(COUNTA(G195:J195)&lt;4,"",ROUND(AVERAGE(G195:J195),1))</f>
        <v/>
      </c>
      <c r="L195" s="2" t="n"/>
      <c r="M195" s="2" t="n"/>
      <c r="N195" s="2" t="n"/>
      <c r="O195" s="2" t="n"/>
    </row>
    <row r="196">
      <c r="A196" s="2" t="n"/>
      <c r="B196" s="2" t="n"/>
      <c r="C196" s="2" t="n"/>
      <c r="D196" s="2" t="n"/>
      <c r="E196" s="2" t="n"/>
      <c r="F196" s="2" t="n"/>
      <c r="G196" s="2" t="n"/>
      <c r="H196" s="2" t="n"/>
      <c r="I196" s="2" t="n"/>
      <c r="J196" s="2" t="n"/>
      <c r="K196" s="2">
        <f>IF(COUNTA(G196:J196)&lt;4,"",ROUND(AVERAGE(G196:J196),1))</f>
        <v/>
      </c>
      <c r="L196" s="2" t="n"/>
      <c r="M196" s="2" t="n"/>
      <c r="N196" s="2" t="n"/>
      <c r="O196" s="2" t="n"/>
    </row>
    <row r="197">
      <c r="A197" s="2" t="n"/>
      <c r="B197" s="2" t="n"/>
      <c r="C197" s="2" t="n"/>
      <c r="D197" s="2" t="n"/>
      <c r="E197" s="2" t="n"/>
      <c r="F197" s="2" t="n"/>
      <c r="G197" s="2" t="n"/>
      <c r="H197" s="2" t="n"/>
      <c r="I197" s="2" t="n"/>
      <c r="J197" s="2" t="n"/>
      <c r="K197" s="2">
        <f>IF(COUNTA(G197:J197)&lt;4,"",ROUND(AVERAGE(G197:J197),1))</f>
        <v/>
      </c>
      <c r="L197" s="2" t="n"/>
      <c r="M197" s="2" t="n"/>
      <c r="N197" s="2" t="n"/>
      <c r="O197" s="2" t="n"/>
    </row>
    <row r="198">
      <c r="A198" s="2" t="n"/>
      <c r="B198" s="2" t="n"/>
      <c r="C198" s="2" t="n"/>
      <c r="D198" s="2" t="n"/>
      <c r="E198" s="2" t="n"/>
      <c r="F198" s="2" t="n"/>
      <c r="G198" s="2" t="n"/>
      <c r="H198" s="2" t="n"/>
      <c r="I198" s="2" t="n"/>
      <c r="J198" s="2" t="n"/>
      <c r="K198" s="2">
        <f>IF(COUNTA(G198:J198)&lt;4,"",ROUND(AVERAGE(G198:J198),1))</f>
        <v/>
      </c>
      <c r="L198" s="2" t="n"/>
      <c r="M198" s="2" t="n"/>
      <c r="N198" s="2" t="n"/>
      <c r="O198" s="2" t="n"/>
    </row>
    <row r="199">
      <c r="A199" s="2" t="n"/>
      <c r="B199" s="2" t="n"/>
      <c r="C199" s="2" t="n"/>
      <c r="D199" s="2" t="n"/>
      <c r="E199" s="2" t="n"/>
      <c r="F199" s="2" t="n"/>
      <c r="G199" s="2" t="n"/>
      <c r="H199" s="2" t="n"/>
      <c r="I199" s="2" t="n"/>
      <c r="J199" s="2" t="n"/>
      <c r="K199" s="2">
        <f>IF(COUNTA(G199:J199)&lt;4,"",ROUND(AVERAGE(G199:J199),1))</f>
        <v/>
      </c>
      <c r="L199" s="2" t="n"/>
      <c r="M199" s="2" t="n"/>
      <c r="N199" s="2" t="n"/>
      <c r="O199" s="2" t="n"/>
    </row>
    <row r="200">
      <c r="A200" s="2" t="n"/>
      <c r="B200" s="2" t="n"/>
      <c r="C200" s="2" t="n"/>
      <c r="D200" s="2" t="n"/>
      <c r="E200" s="2" t="n"/>
      <c r="F200" s="2" t="n"/>
      <c r="G200" s="2" t="n"/>
      <c r="H200" s="2" t="n"/>
      <c r="I200" s="2" t="n"/>
      <c r="J200" s="2" t="n"/>
      <c r="K200" s="2">
        <f>IF(COUNTA(G200:J200)&lt;4,"",ROUND(AVERAGE(G200:J200),1))</f>
        <v/>
      </c>
      <c r="L200" s="2" t="n"/>
      <c r="M200" s="2" t="n"/>
      <c r="N200" s="2" t="n"/>
      <c r="O200" s="2" t="n"/>
    </row>
    <row r="201">
      <c r="A201" s="2" t="n"/>
      <c r="B201" s="2" t="n"/>
      <c r="C201" s="2" t="n"/>
      <c r="D201" s="2" t="n"/>
      <c r="E201" s="2" t="n"/>
      <c r="F201" s="2" t="n"/>
      <c r="G201" s="2" t="n"/>
      <c r="H201" s="2" t="n"/>
      <c r="I201" s="2" t="n"/>
      <c r="J201" s="2" t="n"/>
      <c r="K201" s="2">
        <f>IF(COUNTA(G201:J201)&lt;4,"",ROUND(AVERAGE(G201:J201),1))</f>
        <v/>
      </c>
      <c r="L201" s="2" t="n"/>
      <c r="M201" s="2" t="n"/>
      <c r="N201" s="2" t="n"/>
      <c r="O201" s="2" t="n"/>
    </row>
    <row r="202">
      <c r="A202" s="2" t="n"/>
      <c r="B202" s="2" t="n"/>
      <c r="C202" s="2" t="n"/>
      <c r="D202" s="2" t="n"/>
      <c r="E202" s="2" t="n"/>
      <c r="F202" s="2" t="n"/>
      <c r="G202" s="2" t="n"/>
      <c r="H202" s="2" t="n"/>
      <c r="I202" s="2" t="n"/>
      <c r="J202" s="2" t="n"/>
      <c r="K202" s="2">
        <f>IF(COUNTA(G202:J202)&lt;4,"",ROUND(AVERAGE(G202:J202),1))</f>
        <v/>
      </c>
      <c r="L202" s="2" t="n"/>
      <c r="M202" s="2" t="n"/>
      <c r="N202" s="2" t="n"/>
      <c r="O202" s="2" t="n"/>
    </row>
    <row r="203">
      <c r="A203" s="2" t="n"/>
      <c r="B203" s="2" t="n"/>
      <c r="C203" s="2" t="n"/>
      <c r="D203" s="2" t="n"/>
      <c r="E203" s="2" t="n"/>
      <c r="F203" s="2" t="n"/>
      <c r="G203" s="2" t="n"/>
      <c r="H203" s="2" t="n"/>
      <c r="I203" s="2" t="n"/>
      <c r="J203" s="2" t="n"/>
      <c r="K203" s="2">
        <f>IF(COUNTA(G203:J203)&lt;4,"",ROUND(AVERAGE(G203:J203),1))</f>
        <v/>
      </c>
      <c r="L203" s="2" t="n"/>
      <c r="M203" s="2" t="n"/>
      <c r="N203" s="2" t="n"/>
      <c r="O203" s="2" t="n"/>
    </row>
    <row r="204">
      <c r="A204" s="2" t="n"/>
      <c r="B204" s="2" t="n"/>
      <c r="C204" s="2" t="n"/>
      <c r="D204" s="2" t="n"/>
      <c r="E204" s="2" t="n"/>
      <c r="F204" s="2" t="n"/>
      <c r="G204" s="2" t="n"/>
      <c r="H204" s="2" t="n"/>
      <c r="I204" s="2" t="n"/>
      <c r="J204" s="2" t="n"/>
      <c r="K204" s="2">
        <f>IF(COUNTA(G204:J204)&lt;4,"",ROUND(AVERAGE(G204:J204),1))</f>
        <v/>
      </c>
      <c r="L204" s="2" t="n"/>
      <c r="M204" s="2" t="n"/>
      <c r="N204" s="2" t="n"/>
      <c r="O204" s="2" t="n"/>
    </row>
    <row r="205">
      <c r="A205" s="2" t="n"/>
      <c r="B205" s="2" t="n"/>
      <c r="C205" s="2" t="n"/>
      <c r="D205" s="2" t="n"/>
      <c r="E205" s="2" t="n"/>
      <c r="F205" s="2" t="n"/>
      <c r="G205" s="2" t="n"/>
      <c r="H205" s="2" t="n"/>
      <c r="I205" s="2" t="n"/>
      <c r="J205" s="2" t="n"/>
      <c r="K205" s="2">
        <f>IF(COUNTA(G205:J205)&lt;4,"",ROUND(AVERAGE(G205:J205),1))</f>
        <v/>
      </c>
      <c r="L205" s="2" t="n"/>
      <c r="M205" s="2" t="n"/>
      <c r="N205" s="2" t="n"/>
      <c r="O205" s="2" t="n"/>
    </row>
    <row r="206">
      <c r="A206" s="2" t="n"/>
      <c r="B206" s="2" t="n"/>
      <c r="C206" s="2" t="n"/>
      <c r="D206" s="2" t="n"/>
      <c r="E206" s="2" t="n"/>
      <c r="F206" s="2" t="n"/>
      <c r="G206" s="2" t="n"/>
      <c r="H206" s="2" t="n"/>
      <c r="I206" s="2" t="n"/>
      <c r="J206" s="2" t="n"/>
      <c r="K206" s="2">
        <f>IF(COUNTA(G206:J206)&lt;4,"",ROUND(AVERAGE(G206:J206),1))</f>
        <v/>
      </c>
      <c r="L206" s="2" t="n"/>
      <c r="M206" s="2" t="n"/>
      <c r="N206" s="2" t="n"/>
      <c r="O206" s="2" t="n"/>
    </row>
    <row r="207">
      <c r="A207" s="2" t="n"/>
      <c r="B207" s="2" t="n"/>
      <c r="C207" s="2" t="n"/>
      <c r="D207" s="2" t="n"/>
      <c r="E207" s="2" t="n"/>
      <c r="F207" s="2" t="n"/>
      <c r="G207" s="2" t="n"/>
      <c r="H207" s="2" t="n"/>
      <c r="I207" s="2" t="n"/>
      <c r="J207" s="2" t="n"/>
      <c r="K207" s="2">
        <f>IF(COUNTA(G207:J207)&lt;4,"",ROUND(AVERAGE(G207:J207),1))</f>
        <v/>
      </c>
      <c r="L207" s="2" t="n"/>
      <c r="M207" s="2" t="n"/>
      <c r="N207" s="2" t="n"/>
      <c r="O207" s="2" t="n"/>
    </row>
    <row r="208">
      <c r="A208" s="2" t="n"/>
      <c r="B208" s="2" t="n"/>
      <c r="C208" s="2" t="n"/>
      <c r="D208" s="2" t="n"/>
      <c r="E208" s="2" t="n"/>
      <c r="F208" s="2" t="n"/>
      <c r="G208" s="2" t="n"/>
      <c r="H208" s="2" t="n"/>
      <c r="I208" s="2" t="n"/>
      <c r="J208" s="2" t="n"/>
      <c r="K208" s="2">
        <f>IF(COUNTA(G208:J208)&lt;4,"",ROUND(AVERAGE(G208:J208),1))</f>
        <v/>
      </c>
      <c r="L208" s="2" t="n"/>
      <c r="M208" s="2" t="n"/>
      <c r="N208" s="2" t="n"/>
      <c r="O208" s="2" t="n"/>
    </row>
    <row r="209">
      <c r="A209" s="2" t="n"/>
      <c r="B209" s="2" t="n"/>
      <c r="C209" s="2" t="n"/>
      <c r="D209" s="2" t="n"/>
      <c r="E209" s="2" t="n"/>
      <c r="F209" s="2" t="n"/>
      <c r="G209" s="2" t="n"/>
      <c r="H209" s="2" t="n"/>
      <c r="I209" s="2" t="n"/>
      <c r="J209" s="2" t="n"/>
      <c r="K209" s="2">
        <f>IF(COUNTA(G209:J209)&lt;4,"",ROUND(AVERAGE(G209:J209),1))</f>
        <v/>
      </c>
      <c r="L209" s="2" t="n"/>
      <c r="M209" s="2" t="n"/>
      <c r="N209" s="2" t="n"/>
      <c r="O209" s="2" t="n"/>
    </row>
    <row r="210">
      <c r="A210" s="2" t="n"/>
      <c r="B210" s="2" t="n"/>
      <c r="C210" s="2" t="n"/>
      <c r="D210" s="2" t="n"/>
      <c r="E210" s="2" t="n"/>
      <c r="F210" s="2" t="n"/>
      <c r="G210" s="2" t="n"/>
      <c r="H210" s="2" t="n"/>
      <c r="I210" s="2" t="n"/>
      <c r="J210" s="2" t="n"/>
      <c r="K210" s="2">
        <f>IF(COUNTA(G210:J210)&lt;4,"",ROUND(AVERAGE(G210:J210),1))</f>
        <v/>
      </c>
      <c r="L210" s="2" t="n"/>
      <c r="M210" s="2" t="n"/>
      <c r="N210" s="2" t="n"/>
      <c r="O210" s="2" t="n"/>
    </row>
    <row r="211">
      <c r="A211" s="2" t="n"/>
      <c r="B211" s="2" t="n"/>
      <c r="C211" s="2" t="n"/>
      <c r="D211" s="2" t="n"/>
      <c r="E211" s="2" t="n"/>
      <c r="F211" s="2" t="n"/>
      <c r="G211" s="2" t="n"/>
      <c r="H211" s="2" t="n"/>
      <c r="I211" s="2" t="n"/>
      <c r="J211" s="2" t="n"/>
      <c r="K211" s="2">
        <f>IF(COUNTA(G211:J211)&lt;4,"",ROUND(AVERAGE(G211:J211),1))</f>
        <v/>
      </c>
      <c r="L211" s="2" t="n"/>
      <c r="M211" s="2" t="n"/>
      <c r="N211" s="2" t="n"/>
      <c r="O211" s="2" t="n"/>
    </row>
    <row r="212">
      <c r="A212" s="2" t="n"/>
      <c r="B212" s="2" t="n"/>
      <c r="C212" s="2" t="n"/>
      <c r="D212" s="2" t="n"/>
      <c r="E212" s="2" t="n"/>
      <c r="F212" s="2" t="n"/>
      <c r="G212" s="2" t="n"/>
      <c r="H212" s="2" t="n"/>
      <c r="I212" s="2" t="n"/>
      <c r="J212" s="2" t="n"/>
      <c r="K212" s="2">
        <f>IF(COUNTA(G212:J212)&lt;4,"",ROUND(AVERAGE(G212:J212),1))</f>
        <v/>
      </c>
      <c r="L212" s="2" t="n"/>
      <c r="M212" s="2" t="n"/>
      <c r="N212" s="2" t="n"/>
      <c r="O212" s="2" t="n"/>
    </row>
    <row r="213">
      <c r="A213" s="2" t="n"/>
      <c r="B213" s="2" t="n"/>
      <c r="C213" s="2" t="n"/>
      <c r="D213" s="2" t="n"/>
      <c r="E213" s="2" t="n"/>
      <c r="F213" s="2" t="n"/>
      <c r="G213" s="2" t="n"/>
      <c r="H213" s="2" t="n"/>
      <c r="I213" s="2" t="n"/>
      <c r="J213" s="2" t="n"/>
      <c r="K213" s="2">
        <f>IF(COUNTA(G213:J213)&lt;4,"",ROUND(AVERAGE(G213:J213),1))</f>
        <v/>
      </c>
      <c r="L213" s="2" t="n"/>
      <c r="M213" s="2" t="n"/>
      <c r="N213" s="2" t="n"/>
      <c r="O213" s="2" t="n"/>
    </row>
    <row r="214">
      <c r="A214" s="2" t="n"/>
      <c r="B214" s="2" t="n"/>
      <c r="C214" s="2" t="n"/>
      <c r="D214" s="2" t="n"/>
      <c r="E214" s="2" t="n"/>
      <c r="F214" s="2" t="n"/>
      <c r="G214" s="2" t="n"/>
      <c r="H214" s="2" t="n"/>
      <c r="I214" s="2" t="n"/>
      <c r="J214" s="2" t="n"/>
      <c r="K214" s="2">
        <f>IF(COUNTA(G214:J214)&lt;4,"",ROUND(AVERAGE(G214:J214),1))</f>
        <v/>
      </c>
      <c r="L214" s="2" t="n"/>
      <c r="M214" s="2" t="n"/>
      <c r="N214" s="2" t="n"/>
      <c r="O214" s="2" t="n"/>
    </row>
    <row r="215">
      <c r="A215" s="2" t="n"/>
      <c r="B215" s="2" t="n"/>
      <c r="C215" s="2" t="n"/>
      <c r="D215" s="2" t="n"/>
      <c r="E215" s="2" t="n"/>
      <c r="F215" s="2" t="n"/>
      <c r="G215" s="2" t="n"/>
      <c r="H215" s="2" t="n"/>
      <c r="I215" s="2" t="n"/>
      <c r="J215" s="2" t="n"/>
      <c r="K215" s="2">
        <f>IF(COUNTA(G215:J215)&lt;4,"",ROUND(AVERAGE(G215:J215),1))</f>
        <v/>
      </c>
      <c r="L215" s="2" t="n"/>
      <c r="M215" s="2" t="n"/>
      <c r="N215" s="2" t="n"/>
      <c r="O215" s="2" t="n"/>
    </row>
    <row r="216">
      <c r="A216" s="2" t="n"/>
      <c r="B216" s="2" t="n"/>
      <c r="C216" s="2" t="n"/>
      <c r="D216" s="2" t="n"/>
      <c r="E216" s="2" t="n"/>
      <c r="F216" s="2" t="n"/>
      <c r="G216" s="2" t="n"/>
      <c r="H216" s="2" t="n"/>
      <c r="I216" s="2" t="n"/>
      <c r="J216" s="2" t="n"/>
      <c r="K216" s="2">
        <f>IF(COUNTA(G216:J216)&lt;4,"",ROUND(AVERAGE(G216:J216),1))</f>
        <v/>
      </c>
      <c r="L216" s="2" t="n"/>
      <c r="M216" s="2" t="n"/>
      <c r="N216" s="2" t="n"/>
      <c r="O216" s="2" t="n"/>
    </row>
    <row r="217">
      <c r="A217" s="2" t="n"/>
      <c r="B217" s="2" t="n"/>
      <c r="C217" s="2" t="n"/>
      <c r="D217" s="2" t="n"/>
      <c r="E217" s="2" t="n"/>
      <c r="F217" s="2" t="n"/>
      <c r="G217" s="2" t="n"/>
      <c r="H217" s="2" t="n"/>
      <c r="I217" s="2" t="n"/>
      <c r="J217" s="2" t="n"/>
      <c r="K217" s="2">
        <f>IF(COUNTA(G217:J217)&lt;4,"",ROUND(AVERAGE(G217:J217),1))</f>
        <v/>
      </c>
      <c r="L217" s="2" t="n"/>
      <c r="M217" s="2" t="n"/>
      <c r="N217" s="2" t="n"/>
      <c r="O217" s="2" t="n"/>
    </row>
    <row r="218">
      <c r="A218" s="2" t="n"/>
      <c r="B218" s="2" t="n"/>
      <c r="C218" s="2" t="n"/>
      <c r="D218" s="2" t="n"/>
      <c r="E218" s="2" t="n"/>
      <c r="F218" s="2" t="n"/>
      <c r="G218" s="2" t="n"/>
      <c r="H218" s="2" t="n"/>
      <c r="I218" s="2" t="n"/>
      <c r="J218" s="2" t="n"/>
      <c r="K218" s="2">
        <f>IF(COUNTA(G218:J218)&lt;4,"",ROUND(AVERAGE(G218:J218),1))</f>
        <v/>
      </c>
      <c r="L218" s="2" t="n"/>
      <c r="M218" s="2" t="n"/>
      <c r="N218" s="2" t="n"/>
      <c r="O218" s="2" t="n"/>
    </row>
    <row r="219">
      <c r="A219" s="2" t="n"/>
      <c r="B219" s="2" t="n"/>
      <c r="C219" s="2" t="n"/>
      <c r="D219" s="2" t="n"/>
      <c r="E219" s="2" t="n"/>
      <c r="F219" s="2" t="n"/>
      <c r="G219" s="2" t="n"/>
      <c r="H219" s="2" t="n"/>
      <c r="I219" s="2" t="n"/>
      <c r="J219" s="2" t="n"/>
      <c r="K219" s="2">
        <f>IF(COUNTA(G219:J219)&lt;4,"",ROUND(AVERAGE(G219:J219),1))</f>
        <v/>
      </c>
      <c r="L219" s="2" t="n"/>
      <c r="M219" s="2" t="n"/>
      <c r="N219" s="2" t="n"/>
      <c r="O219" s="2" t="n"/>
    </row>
    <row r="220">
      <c r="A220" s="2" t="n"/>
      <c r="B220" s="2" t="n"/>
      <c r="C220" s="2" t="n"/>
      <c r="D220" s="2" t="n"/>
      <c r="E220" s="2" t="n"/>
      <c r="F220" s="2" t="n"/>
      <c r="G220" s="2" t="n"/>
      <c r="H220" s="2" t="n"/>
      <c r="I220" s="2" t="n"/>
      <c r="J220" s="2" t="n"/>
      <c r="K220" s="2">
        <f>IF(COUNTA(G220:J220)&lt;4,"",ROUND(AVERAGE(G220:J220),1))</f>
        <v/>
      </c>
      <c r="L220" s="2" t="n"/>
      <c r="M220" s="2" t="n"/>
      <c r="N220" s="2" t="n"/>
      <c r="O220" s="2" t="n"/>
    </row>
    <row r="221">
      <c r="A221" s="2" t="n"/>
      <c r="B221" s="2" t="n"/>
      <c r="C221" s="2" t="n"/>
      <c r="D221" s="2" t="n"/>
      <c r="E221" s="2" t="n"/>
      <c r="F221" s="2" t="n"/>
      <c r="G221" s="2" t="n"/>
      <c r="H221" s="2" t="n"/>
      <c r="I221" s="2" t="n"/>
      <c r="J221" s="2" t="n"/>
      <c r="K221" s="2">
        <f>IF(COUNTA(G221:J221)&lt;4,"",ROUND(AVERAGE(G221:J221),1))</f>
        <v/>
      </c>
      <c r="L221" s="2" t="n"/>
      <c r="M221" s="2" t="n"/>
      <c r="N221" s="2" t="n"/>
      <c r="O221" s="2" t="n"/>
    </row>
    <row r="222">
      <c r="A222" s="2" t="n"/>
      <c r="B222" s="2" t="n"/>
      <c r="C222" s="2" t="n"/>
      <c r="D222" s="2" t="n"/>
      <c r="E222" s="2" t="n"/>
      <c r="F222" s="2" t="n"/>
      <c r="G222" s="2" t="n"/>
      <c r="H222" s="2" t="n"/>
      <c r="I222" s="2" t="n"/>
      <c r="J222" s="2" t="n"/>
      <c r="K222" s="2">
        <f>IF(COUNTA(G222:J222)&lt;4,"",ROUND(AVERAGE(G222:J222),1))</f>
        <v/>
      </c>
      <c r="L222" s="2" t="n"/>
      <c r="M222" s="2" t="n"/>
      <c r="N222" s="2" t="n"/>
      <c r="O222" s="2" t="n"/>
    </row>
    <row r="223">
      <c r="A223" s="2" t="n"/>
      <c r="B223" s="2" t="n"/>
      <c r="C223" s="2" t="n"/>
      <c r="D223" s="2" t="n"/>
      <c r="E223" s="2" t="n"/>
      <c r="F223" s="2" t="n"/>
      <c r="G223" s="2" t="n"/>
      <c r="H223" s="2" t="n"/>
      <c r="I223" s="2" t="n"/>
      <c r="J223" s="2" t="n"/>
      <c r="K223" s="2">
        <f>IF(COUNTA(G223:J223)&lt;4,"",ROUND(AVERAGE(G223:J223),1))</f>
        <v/>
      </c>
      <c r="L223" s="2" t="n"/>
      <c r="M223" s="2" t="n"/>
      <c r="N223" s="2" t="n"/>
      <c r="O223" s="2" t="n"/>
    </row>
    <row r="224">
      <c r="A224" s="2" t="n"/>
      <c r="B224" s="2" t="n"/>
      <c r="C224" s="2" t="n"/>
      <c r="D224" s="2" t="n"/>
      <c r="E224" s="2" t="n"/>
      <c r="F224" s="2" t="n"/>
      <c r="G224" s="2" t="n"/>
      <c r="H224" s="2" t="n"/>
      <c r="I224" s="2" t="n"/>
      <c r="J224" s="2" t="n"/>
      <c r="K224" s="2">
        <f>IF(COUNTA(G224:J224)&lt;4,"",ROUND(AVERAGE(G224:J224),1))</f>
        <v/>
      </c>
      <c r="L224" s="2" t="n"/>
      <c r="M224" s="2" t="n"/>
      <c r="N224" s="2" t="n"/>
      <c r="O224" s="2" t="n"/>
    </row>
    <row r="225">
      <c r="A225" s="2" t="n"/>
      <c r="B225" s="2" t="n"/>
      <c r="C225" s="2" t="n"/>
      <c r="D225" s="2" t="n"/>
      <c r="E225" s="2" t="n"/>
      <c r="F225" s="2" t="n"/>
      <c r="G225" s="2" t="n"/>
      <c r="H225" s="2" t="n"/>
      <c r="I225" s="2" t="n"/>
      <c r="J225" s="2" t="n"/>
      <c r="K225" s="2">
        <f>IF(COUNTA(G225:J225)&lt;4,"",ROUND(AVERAGE(G225:J225),1))</f>
        <v/>
      </c>
      <c r="L225" s="2" t="n"/>
      <c r="M225" s="2" t="n"/>
      <c r="N225" s="2" t="n"/>
      <c r="O225" s="2" t="n"/>
    </row>
    <row r="226">
      <c r="A226" s="2" t="n"/>
      <c r="B226" s="2" t="n"/>
      <c r="C226" s="2" t="n"/>
      <c r="D226" s="2" t="n"/>
      <c r="E226" s="2" t="n"/>
      <c r="F226" s="2" t="n"/>
      <c r="G226" s="2" t="n"/>
      <c r="H226" s="2" t="n"/>
      <c r="I226" s="2" t="n"/>
      <c r="J226" s="2" t="n"/>
      <c r="K226" s="2">
        <f>IF(COUNTA(G226:J226)&lt;4,"",ROUND(AVERAGE(G226:J226),1))</f>
        <v/>
      </c>
      <c r="L226" s="2" t="n"/>
      <c r="M226" s="2" t="n"/>
      <c r="N226" s="2" t="n"/>
      <c r="O226" s="2" t="n"/>
    </row>
    <row r="227">
      <c r="A227" s="2" t="n"/>
      <c r="B227" s="2" t="n"/>
      <c r="C227" s="2" t="n"/>
      <c r="D227" s="2" t="n"/>
      <c r="E227" s="2" t="n"/>
      <c r="F227" s="2" t="n"/>
      <c r="G227" s="2" t="n"/>
      <c r="H227" s="2" t="n"/>
      <c r="I227" s="2" t="n"/>
      <c r="J227" s="2" t="n"/>
      <c r="K227" s="2">
        <f>IF(COUNTA(G227:J227)&lt;4,"",ROUND(AVERAGE(G227:J227),1))</f>
        <v/>
      </c>
      <c r="L227" s="2" t="n"/>
      <c r="M227" s="2" t="n"/>
      <c r="N227" s="2" t="n"/>
      <c r="O227" s="2" t="n"/>
    </row>
    <row r="228">
      <c r="A228" s="2" t="n"/>
      <c r="B228" s="2" t="n"/>
      <c r="C228" s="2" t="n"/>
      <c r="D228" s="2" t="n"/>
      <c r="E228" s="2" t="n"/>
      <c r="F228" s="2" t="n"/>
      <c r="G228" s="2" t="n"/>
      <c r="H228" s="2" t="n"/>
      <c r="I228" s="2" t="n"/>
      <c r="J228" s="2" t="n"/>
      <c r="K228" s="2">
        <f>IF(COUNTA(G228:J228)&lt;4,"",ROUND(AVERAGE(G228:J228),1))</f>
        <v/>
      </c>
      <c r="L228" s="2" t="n"/>
      <c r="M228" s="2" t="n"/>
      <c r="N228" s="2" t="n"/>
      <c r="O228" s="2" t="n"/>
    </row>
    <row r="229">
      <c r="A229" s="2" t="n"/>
      <c r="B229" s="2" t="n"/>
      <c r="C229" s="2" t="n"/>
      <c r="D229" s="2" t="n"/>
      <c r="E229" s="2" t="n"/>
      <c r="F229" s="2" t="n"/>
      <c r="G229" s="2" t="n"/>
      <c r="H229" s="2" t="n"/>
      <c r="I229" s="2" t="n"/>
      <c r="J229" s="2" t="n"/>
      <c r="K229" s="2">
        <f>IF(COUNTA(G229:J229)&lt;4,"",ROUND(AVERAGE(G229:J229),1))</f>
        <v/>
      </c>
      <c r="L229" s="2" t="n"/>
      <c r="M229" s="2" t="n"/>
      <c r="N229" s="2" t="n"/>
      <c r="O229" s="2" t="n"/>
    </row>
    <row r="230">
      <c r="A230" s="2" t="n"/>
      <c r="B230" s="2" t="n"/>
      <c r="C230" s="2" t="n"/>
      <c r="D230" s="2" t="n"/>
      <c r="E230" s="2" t="n"/>
      <c r="F230" s="2" t="n"/>
      <c r="G230" s="2" t="n"/>
      <c r="H230" s="2" t="n"/>
      <c r="I230" s="2" t="n"/>
      <c r="J230" s="2" t="n"/>
      <c r="K230" s="2">
        <f>IF(COUNTA(G230:J230)&lt;4,"",ROUND(AVERAGE(G230:J230),1))</f>
        <v/>
      </c>
      <c r="L230" s="2" t="n"/>
      <c r="M230" s="2" t="n"/>
      <c r="N230" s="2" t="n"/>
      <c r="O230" s="2" t="n"/>
    </row>
    <row r="231">
      <c r="A231" s="2" t="n"/>
      <c r="B231" s="2" t="n"/>
      <c r="C231" s="2" t="n"/>
      <c r="D231" s="2" t="n"/>
      <c r="E231" s="2" t="n"/>
      <c r="F231" s="2" t="n"/>
      <c r="G231" s="2" t="n"/>
      <c r="H231" s="2" t="n"/>
      <c r="I231" s="2" t="n"/>
      <c r="J231" s="2" t="n"/>
      <c r="K231" s="2">
        <f>IF(COUNTA(G231:J231)&lt;4,"",ROUND(AVERAGE(G231:J231),1))</f>
        <v/>
      </c>
      <c r="L231" s="2" t="n"/>
      <c r="M231" s="2" t="n"/>
      <c r="N231" s="2" t="n"/>
      <c r="O231" s="2" t="n"/>
    </row>
    <row r="232">
      <c r="A232" s="2" t="n"/>
      <c r="B232" s="2" t="n"/>
      <c r="C232" s="2" t="n"/>
      <c r="D232" s="2" t="n"/>
      <c r="E232" s="2" t="n"/>
      <c r="F232" s="2" t="n"/>
      <c r="G232" s="2" t="n"/>
      <c r="H232" s="2" t="n"/>
      <c r="I232" s="2" t="n"/>
      <c r="J232" s="2" t="n"/>
      <c r="K232" s="2">
        <f>IF(COUNTA(G232:J232)&lt;4,"",ROUND(AVERAGE(G232:J232),1))</f>
        <v/>
      </c>
      <c r="L232" s="2" t="n"/>
      <c r="M232" s="2" t="n"/>
      <c r="N232" s="2" t="n"/>
      <c r="O232" s="2" t="n"/>
    </row>
    <row r="233">
      <c r="A233" s="2" t="n"/>
      <c r="B233" s="2" t="n"/>
      <c r="C233" s="2" t="n"/>
      <c r="D233" s="2" t="n"/>
      <c r="E233" s="2" t="n"/>
      <c r="F233" s="2" t="n"/>
      <c r="G233" s="2" t="n"/>
      <c r="H233" s="2" t="n"/>
      <c r="I233" s="2" t="n"/>
      <c r="J233" s="2" t="n"/>
      <c r="K233" s="2">
        <f>IF(COUNTA(G233:J233)&lt;4,"",ROUND(AVERAGE(G233:J233),1))</f>
        <v/>
      </c>
      <c r="L233" s="2" t="n"/>
      <c r="M233" s="2" t="n"/>
      <c r="N233" s="2" t="n"/>
      <c r="O233" s="2" t="n"/>
    </row>
    <row r="234">
      <c r="A234" s="2" t="n"/>
      <c r="B234" s="2" t="n"/>
      <c r="C234" s="2" t="n"/>
      <c r="D234" s="2" t="n"/>
      <c r="E234" s="2" t="n"/>
      <c r="F234" s="2" t="n"/>
      <c r="G234" s="2" t="n"/>
      <c r="H234" s="2" t="n"/>
      <c r="I234" s="2" t="n"/>
      <c r="J234" s="2" t="n"/>
      <c r="K234" s="2">
        <f>IF(COUNTA(G234:J234)&lt;4,"",ROUND(AVERAGE(G234:J234),1))</f>
        <v/>
      </c>
      <c r="L234" s="2" t="n"/>
      <c r="M234" s="2" t="n"/>
      <c r="N234" s="2" t="n"/>
      <c r="O234" s="2" t="n"/>
    </row>
    <row r="235">
      <c r="A235" s="2" t="n"/>
      <c r="B235" s="2" t="n"/>
      <c r="C235" s="2" t="n"/>
      <c r="D235" s="2" t="n"/>
      <c r="E235" s="2" t="n"/>
      <c r="F235" s="2" t="n"/>
      <c r="G235" s="2" t="n"/>
      <c r="H235" s="2" t="n"/>
      <c r="I235" s="2" t="n"/>
      <c r="J235" s="2" t="n"/>
      <c r="K235" s="2">
        <f>IF(COUNTA(G235:J235)&lt;4,"",ROUND(AVERAGE(G235:J235),1))</f>
        <v/>
      </c>
      <c r="L235" s="2" t="n"/>
      <c r="M235" s="2" t="n"/>
      <c r="N235" s="2" t="n"/>
      <c r="O235" s="2" t="n"/>
    </row>
    <row r="236">
      <c r="A236" s="2" t="n"/>
      <c r="B236" s="2" t="n"/>
      <c r="C236" s="2" t="n"/>
      <c r="D236" s="2" t="n"/>
      <c r="E236" s="2" t="n"/>
      <c r="F236" s="2" t="n"/>
      <c r="G236" s="2" t="n"/>
      <c r="H236" s="2" t="n"/>
      <c r="I236" s="2" t="n"/>
      <c r="J236" s="2" t="n"/>
      <c r="K236" s="2">
        <f>IF(COUNTA(G236:J236)&lt;4,"",ROUND(AVERAGE(G236:J236),1))</f>
        <v/>
      </c>
      <c r="L236" s="2" t="n"/>
      <c r="M236" s="2" t="n"/>
      <c r="N236" s="2" t="n"/>
      <c r="O236" s="2" t="n"/>
    </row>
    <row r="237">
      <c r="A237" s="2" t="n"/>
      <c r="B237" s="2" t="n"/>
      <c r="C237" s="2" t="n"/>
      <c r="D237" s="2" t="n"/>
      <c r="E237" s="2" t="n"/>
      <c r="F237" s="2" t="n"/>
      <c r="G237" s="2" t="n"/>
      <c r="H237" s="2" t="n"/>
      <c r="I237" s="2" t="n"/>
      <c r="J237" s="2" t="n"/>
      <c r="K237" s="2">
        <f>IF(COUNTA(G237:J237)&lt;4,"",ROUND(AVERAGE(G237:J237),1))</f>
        <v/>
      </c>
      <c r="L237" s="2" t="n"/>
      <c r="M237" s="2" t="n"/>
      <c r="N237" s="2" t="n"/>
      <c r="O237" s="2" t="n"/>
    </row>
    <row r="238">
      <c r="A238" s="2" t="n"/>
      <c r="B238" s="2" t="n"/>
      <c r="C238" s="2" t="n"/>
      <c r="D238" s="2" t="n"/>
      <c r="E238" s="2" t="n"/>
      <c r="F238" s="2" t="n"/>
      <c r="G238" s="2" t="n"/>
      <c r="H238" s="2" t="n"/>
      <c r="I238" s="2" t="n"/>
      <c r="J238" s="2" t="n"/>
      <c r="K238" s="2">
        <f>IF(COUNTA(G238:J238)&lt;4,"",ROUND(AVERAGE(G238:J238),1))</f>
        <v/>
      </c>
      <c r="L238" s="2" t="n"/>
      <c r="M238" s="2" t="n"/>
      <c r="N238" s="2" t="n"/>
      <c r="O238" s="2" t="n"/>
    </row>
    <row r="239">
      <c r="A239" s="2" t="n"/>
      <c r="B239" s="2" t="n"/>
      <c r="C239" s="2" t="n"/>
      <c r="D239" s="2" t="n"/>
      <c r="E239" s="2" t="n"/>
      <c r="F239" s="2" t="n"/>
      <c r="G239" s="2" t="n"/>
      <c r="H239" s="2" t="n"/>
      <c r="I239" s="2" t="n"/>
      <c r="J239" s="2" t="n"/>
      <c r="K239" s="2">
        <f>IF(COUNTA(G239:J239)&lt;4,"",ROUND(AVERAGE(G239:J239),1))</f>
        <v/>
      </c>
      <c r="L239" s="2" t="n"/>
      <c r="M239" s="2" t="n"/>
      <c r="N239" s="2" t="n"/>
      <c r="O239" s="2" t="n"/>
    </row>
    <row r="240">
      <c r="A240" s="2" t="n"/>
      <c r="B240" s="2" t="n"/>
      <c r="C240" s="2" t="n"/>
      <c r="D240" s="2" t="n"/>
      <c r="E240" s="2" t="n"/>
      <c r="F240" s="2" t="n"/>
      <c r="G240" s="2" t="n"/>
      <c r="H240" s="2" t="n"/>
      <c r="I240" s="2" t="n"/>
      <c r="J240" s="2" t="n"/>
      <c r="K240" s="2">
        <f>IF(COUNTA(G240:J240)&lt;4,"",ROUND(AVERAGE(G240:J240),1))</f>
        <v/>
      </c>
      <c r="L240" s="2" t="n"/>
      <c r="M240" s="2" t="n"/>
      <c r="N240" s="2" t="n"/>
      <c r="O240" s="2" t="n"/>
    </row>
    <row r="241">
      <c r="A241" s="2" t="n"/>
      <c r="B241" s="2" t="n"/>
      <c r="C241" s="2" t="n"/>
      <c r="D241" s="2" t="n"/>
      <c r="E241" s="2" t="n"/>
      <c r="F241" s="2" t="n"/>
      <c r="G241" s="2" t="n"/>
      <c r="H241" s="2" t="n"/>
      <c r="I241" s="2" t="n"/>
      <c r="J241" s="2" t="n"/>
      <c r="K241" s="2">
        <f>IF(COUNTA(G241:J241)&lt;4,"",ROUND(AVERAGE(G241:J241),1))</f>
        <v/>
      </c>
      <c r="L241" s="2" t="n"/>
      <c r="M241" s="2" t="n"/>
      <c r="N241" s="2" t="n"/>
      <c r="O241" s="2" t="n"/>
    </row>
    <row r="242">
      <c r="A242" s="2" t="n"/>
      <c r="B242" s="2" t="n"/>
      <c r="C242" s="2" t="n"/>
      <c r="D242" s="2" t="n"/>
      <c r="E242" s="2" t="n"/>
      <c r="F242" s="2" t="n"/>
      <c r="G242" s="2" t="n"/>
      <c r="H242" s="2" t="n"/>
      <c r="I242" s="2" t="n"/>
      <c r="J242" s="2" t="n"/>
      <c r="K242" s="2">
        <f>IF(COUNTA(G242:J242)&lt;4,"",ROUND(AVERAGE(G242:J242),1))</f>
        <v/>
      </c>
      <c r="L242" s="2" t="n"/>
      <c r="M242" s="2" t="n"/>
      <c r="N242" s="2" t="n"/>
      <c r="O242" s="2" t="n"/>
    </row>
    <row r="243">
      <c r="A243" s="2" t="n"/>
      <c r="B243" s="2" t="n"/>
      <c r="C243" s="2" t="n"/>
      <c r="D243" s="2" t="n"/>
      <c r="E243" s="2" t="n"/>
      <c r="F243" s="2" t="n"/>
      <c r="G243" s="2" t="n"/>
      <c r="H243" s="2" t="n"/>
      <c r="I243" s="2" t="n"/>
      <c r="J243" s="2" t="n"/>
      <c r="K243" s="2">
        <f>IF(COUNTA(G243:J243)&lt;4,"",ROUND(AVERAGE(G243:J243),1))</f>
        <v/>
      </c>
      <c r="L243" s="2" t="n"/>
      <c r="M243" s="2" t="n"/>
      <c r="N243" s="2" t="n"/>
      <c r="O243" s="2" t="n"/>
    </row>
    <row r="244">
      <c r="A244" s="2" t="n"/>
      <c r="B244" s="2" t="n"/>
      <c r="C244" s="2" t="n"/>
      <c r="D244" s="2" t="n"/>
      <c r="E244" s="2" t="n"/>
      <c r="F244" s="2" t="n"/>
      <c r="G244" s="2" t="n"/>
      <c r="H244" s="2" t="n"/>
      <c r="I244" s="2" t="n"/>
      <c r="J244" s="2" t="n"/>
      <c r="K244" s="2">
        <f>IF(COUNTA(G244:J244)&lt;4,"",ROUND(AVERAGE(G244:J244),1))</f>
        <v/>
      </c>
      <c r="L244" s="2" t="n"/>
      <c r="M244" s="2" t="n"/>
      <c r="N244" s="2" t="n"/>
      <c r="O244" s="2" t="n"/>
    </row>
    <row r="245">
      <c r="A245" s="2" t="n"/>
      <c r="B245" s="2" t="n"/>
      <c r="C245" s="2" t="n"/>
      <c r="D245" s="2" t="n"/>
      <c r="E245" s="2" t="n"/>
      <c r="F245" s="2" t="n"/>
      <c r="G245" s="2" t="n"/>
      <c r="H245" s="2" t="n"/>
      <c r="I245" s="2" t="n"/>
      <c r="J245" s="2" t="n"/>
      <c r="K245" s="2">
        <f>IF(COUNTA(G245:J245)&lt;4,"",ROUND(AVERAGE(G245:J245),1))</f>
        <v/>
      </c>
      <c r="L245" s="2" t="n"/>
      <c r="M245" s="2" t="n"/>
      <c r="N245" s="2" t="n"/>
      <c r="O245" s="2" t="n"/>
    </row>
    <row r="246">
      <c r="A246" s="2" t="n"/>
      <c r="B246" s="2" t="n"/>
      <c r="C246" s="2" t="n"/>
      <c r="D246" s="2" t="n"/>
      <c r="E246" s="2" t="n"/>
      <c r="F246" s="2" t="n"/>
      <c r="G246" s="2" t="n"/>
      <c r="H246" s="2" t="n"/>
      <c r="I246" s="2" t="n"/>
      <c r="J246" s="2" t="n"/>
      <c r="K246" s="2">
        <f>IF(COUNTA(G246:J246)&lt;4,"",ROUND(AVERAGE(G246:J246),1))</f>
        <v/>
      </c>
      <c r="L246" s="2" t="n"/>
      <c r="M246" s="2" t="n"/>
      <c r="N246" s="2" t="n"/>
      <c r="O246" s="2" t="n"/>
    </row>
    <row r="247">
      <c r="A247" s="2" t="n"/>
      <c r="B247" s="2" t="n"/>
      <c r="C247" s="2" t="n"/>
      <c r="D247" s="2" t="n"/>
      <c r="E247" s="2" t="n"/>
      <c r="F247" s="2" t="n"/>
      <c r="G247" s="2" t="n"/>
      <c r="H247" s="2" t="n"/>
      <c r="I247" s="2" t="n"/>
      <c r="J247" s="2" t="n"/>
      <c r="K247" s="2">
        <f>IF(COUNTA(G247:J247)&lt;4,"",ROUND(AVERAGE(G247:J247),1))</f>
        <v/>
      </c>
      <c r="L247" s="2" t="n"/>
      <c r="M247" s="2" t="n"/>
      <c r="N247" s="2" t="n"/>
      <c r="O247" s="2" t="n"/>
    </row>
    <row r="248">
      <c r="A248" s="2" t="n"/>
      <c r="B248" s="2" t="n"/>
      <c r="C248" s="2" t="n"/>
      <c r="D248" s="2" t="n"/>
      <c r="E248" s="2" t="n"/>
      <c r="F248" s="2" t="n"/>
      <c r="G248" s="2" t="n"/>
      <c r="H248" s="2" t="n"/>
      <c r="I248" s="2" t="n"/>
      <c r="J248" s="2" t="n"/>
      <c r="K248" s="2">
        <f>IF(COUNTA(G248:J248)&lt;4,"",ROUND(AVERAGE(G248:J248),1))</f>
        <v/>
      </c>
      <c r="L248" s="2" t="n"/>
      <c r="M248" s="2" t="n"/>
      <c r="N248" s="2" t="n"/>
      <c r="O248" s="2" t="n"/>
    </row>
    <row r="249">
      <c r="A249" s="2" t="n"/>
      <c r="B249" s="2" t="n"/>
      <c r="C249" s="2" t="n"/>
      <c r="D249" s="2" t="n"/>
      <c r="E249" s="2" t="n"/>
      <c r="F249" s="2" t="n"/>
      <c r="G249" s="2" t="n"/>
      <c r="H249" s="2" t="n"/>
      <c r="I249" s="2" t="n"/>
      <c r="J249" s="2" t="n"/>
      <c r="K249" s="2">
        <f>IF(COUNTA(G249:J249)&lt;4,"",ROUND(AVERAGE(G249:J249),1))</f>
        <v/>
      </c>
      <c r="L249" s="2" t="n"/>
      <c r="M249" s="2" t="n"/>
      <c r="N249" s="2" t="n"/>
      <c r="O249" s="2" t="n"/>
    </row>
    <row r="250">
      <c r="A250" s="2" t="n"/>
      <c r="B250" s="2" t="n"/>
      <c r="C250" s="2" t="n"/>
      <c r="D250" s="2" t="n"/>
      <c r="E250" s="2" t="n"/>
      <c r="F250" s="2" t="n"/>
      <c r="G250" s="2" t="n"/>
      <c r="H250" s="2" t="n"/>
      <c r="I250" s="2" t="n"/>
      <c r="J250" s="2" t="n"/>
      <c r="K250" s="2">
        <f>IF(COUNTA(G250:J250)&lt;4,"",ROUND(AVERAGE(G250:J250),1))</f>
        <v/>
      </c>
      <c r="L250" s="2" t="n"/>
      <c r="M250" s="2" t="n"/>
      <c r="N250" s="2" t="n"/>
      <c r="O250" s="2" t="n"/>
    </row>
    <row r="251">
      <c r="A251" s="2" t="n"/>
      <c r="B251" s="2" t="n"/>
      <c r="C251" s="2" t="n"/>
      <c r="D251" s="2" t="n"/>
      <c r="E251" s="2" t="n"/>
      <c r="F251" s="2" t="n"/>
      <c r="G251" s="2" t="n"/>
      <c r="H251" s="2" t="n"/>
      <c r="I251" s="2" t="n"/>
      <c r="J251" s="2" t="n"/>
      <c r="K251" s="2">
        <f>IF(COUNTA(G251:J251)&lt;4,"",ROUND(AVERAGE(G251:J251),1))</f>
        <v/>
      </c>
      <c r="L251" s="2" t="n"/>
      <c r="M251" s="2" t="n"/>
      <c r="N251" s="2" t="n"/>
      <c r="O251" s="2" t="n"/>
    </row>
    <row r="252">
      <c r="A252" s="2" t="n"/>
      <c r="B252" s="2" t="n"/>
      <c r="C252" s="2" t="n"/>
      <c r="D252" s="2" t="n"/>
      <c r="E252" s="2" t="n"/>
      <c r="F252" s="2" t="n"/>
      <c r="G252" s="2" t="n"/>
      <c r="H252" s="2" t="n"/>
      <c r="I252" s="2" t="n"/>
      <c r="J252" s="2" t="n"/>
      <c r="K252" s="2">
        <f>IF(COUNTA(G252:J252)&lt;4,"",ROUND(AVERAGE(G252:J252),1))</f>
        <v/>
      </c>
      <c r="L252" s="2" t="n"/>
      <c r="M252" s="2" t="n"/>
      <c r="N252" s="2" t="n"/>
      <c r="O252" s="2" t="n"/>
    </row>
    <row r="253">
      <c r="A253" s="2" t="n"/>
      <c r="B253" s="2" t="n"/>
      <c r="C253" s="2" t="n"/>
      <c r="D253" s="2" t="n"/>
      <c r="E253" s="2" t="n"/>
      <c r="F253" s="2" t="n"/>
      <c r="G253" s="2" t="n"/>
      <c r="H253" s="2" t="n"/>
      <c r="I253" s="2" t="n"/>
      <c r="J253" s="2" t="n"/>
      <c r="K253" s="2">
        <f>IF(COUNTA(G253:J253)&lt;4,"",ROUND(AVERAGE(G253:J253),1))</f>
        <v/>
      </c>
      <c r="L253" s="2" t="n"/>
      <c r="M253" s="2" t="n"/>
      <c r="N253" s="2" t="n"/>
      <c r="O253" s="2" t="n"/>
    </row>
    <row r="254">
      <c r="A254" s="2" t="n"/>
      <c r="B254" s="2" t="n"/>
      <c r="C254" s="2" t="n"/>
      <c r="D254" s="2" t="n"/>
      <c r="E254" s="2" t="n"/>
      <c r="F254" s="2" t="n"/>
      <c r="G254" s="2" t="n"/>
      <c r="H254" s="2" t="n"/>
      <c r="I254" s="2" t="n"/>
      <c r="J254" s="2" t="n"/>
      <c r="K254" s="2">
        <f>IF(COUNTA(G254:J254)&lt;4,"",ROUND(AVERAGE(G254:J254),1))</f>
        <v/>
      </c>
      <c r="L254" s="2" t="n"/>
      <c r="M254" s="2" t="n"/>
      <c r="N254" s="2" t="n"/>
      <c r="O254" s="2" t="n"/>
    </row>
    <row r="255">
      <c r="A255" s="2" t="n"/>
      <c r="B255" s="2" t="n"/>
      <c r="C255" s="2" t="n"/>
      <c r="D255" s="2" t="n"/>
      <c r="E255" s="2" t="n"/>
      <c r="F255" s="2" t="n"/>
      <c r="G255" s="2" t="n"/>
      <c r="H255" s="2" t="n"/>
      <c r="I255" s="2" t="n"/>
      <c r="J255" s="2" t="n"/>
      <c r="K255" s="2">
        <f>IF(COUNTA(G255:J255)&lt;4,"",ROUND(AVERAGE(G255:J255),1))</f>
        <v/>
      </c>
      <c r="L255" s="2" t="n"/>
      <c r="M255" s="2" t="n"/>
      <c r="N255" s="2" t="n"/>
      <c r="O255" s="2" t="n"/>
    </row>
    <row r="256">
      <c r="A256" s="2" t="n"/>
      <c r="B256" s="2" t="n"/>
      <c r="C256" s="2" t="n"/>
      <c r="D256" s="2" t="n"/>
      <c r="E256" s="2" t="n"/>
      <c r="F256" s="2" t="n"/>
      <c r="G256" s="2" t="n"/>
      <c r="H256" s="2" t="n"/>
      <c r="I256" s="2" t="n"/>
      <c r="J256" s="2" t="n"/>
      <c r="K256" s="2">
        <f>IF(COUNTA(G256:J256)&lt;4,"",ROUND(AVERAGE(G256:J256),1))</f>
        <v/>
      </c>
      <c r="L256" s="2" t="n"/>
      <c r="M256" s="2" t="n"/>
      <c r="N256" s="2" t="n"/>
      <c r="O256" s="2" t="n"/>
    </row>
    <row r="257">
      <c r="A257" s="2" t="n"/>
      <c r="B257" s="2" t="n"/>
      <c r="C257" s="2" t="n"/>
      <c r="D257" s="2" t="n"/>
      <c r="E257" s="2" t="n"/>
      <c r="F257" s="2" t="n"/>
      <c r="G257" s="2" t="n"/>
      <c r="H257" s="2" t="n"/>
      <c r="I257" s="2" t="n"/>
      <c r="J257" s="2" t="n"/>
      <c r="K257" s="2">
        <f>IF(COUNTA(G257:J257)&lt;4,"",ROUND(AVERAGE(G257:J257),1))</f>
        <v/>
      </c>
      <c r="L257" s="2" t="n"/>
      <c r="M257" s="2" t="n"/>
      <c r="N257" s="2" t="n"/>
      <c r="O257" s="2" t="n"/>
    </row>
    <row r="258">
      <c r="A258" s="2" t="n"/>
      <c r="B258" s="2" t="n"/>
      <c r="C258" s="2" t="n"/>
      <c r="D258" s="2" t="n"/>
      <c r="E258" s="2" t="n"/>
      <c r="F258" s="2" t="n"/>
      <c r="G258" s="2" t="n"/>
      <c r="H258" s="2" t="n"/>
      <c r="I258" s="2" t="n"/>
      <c r="J258" s="2" t="n"/>
      <c r="K258" s="2">
        <f>IF(COUNTA(G258:J258)&lt;4,"",ROUND(AVERAGE(G258:J258),1))</f>
        <v/>
      </c>
      <c r="L258" s="2" t="n"/>
      <c r="M258" s="2" t="n"/>
      <c r="N258" s="2" t="n"/>
      <c r="O258" s="2" t="n"/>
    </row>
    <row r="259">
      <c r="A259" s="2" t="n"/>
      <c r="B259" s="2" t="n"/>
      <c r="C259" s="2" t="n"/>
      <c r="D259" s="2" t="n"/>
      <c r="E259" s="2" t="n"/>
      <c r="F259" s="2" t="n"/>
      <c r="G259" s="2" t="n"/>
      <c r="H259" s="2" t="n"/>
      <c r="I259" s="2" t="n"/>
      <c r="J259" s="2" t="n"/>
      <c r="K259" s="2">
        <f>IF(COUNTA(G259:J259)&lt;4,"",ROUND(AVERAGE(G259:J259),1))</f>
        <v/>
      </c>
      <c r="L259" s="2" t="n"/>
      <c r="M259" s="2" t="n"/>
      <c r="N259" s="2" t="n"/>
      <c r="O259" s="2" t="n"/>
    </row>
    <row r="260">
      <c r="A260" s="2" t="n"/>
      <c r="B260" s="2" t="n"/>
      <c r="C260" s="2" t="n"/>
      <c r="D260" s="2" t="n"/>
      <c r="E260" s="2" t="n"/>
      <c r="F260" s="2" t="n"/>
      <c r="G260" s="2" t="n"/>
      <c r="H260" s="2" t="n"/>
      <c r="I260" s="2" t="n"/>
      <c r="J260" s="2" t="n"/>
      <c r="K260" s="2">
        <f>IF(COUNTA(G260:J260)&lt;4,"",ROUND(AVERAGE(G260:J260),1))</f>
        <v/>
      </c>
      <c r="L260" s="2" t="n"/>
      <c r="M260" s="2" t="n"/>
      <c r="N260" s="2" t="n"/>
      <c r="O260" s="2" t="n"/>
    </row>
    <row r="261">
      <c r="A261" s="2" t="n"/>
      <c r="B261" s="2" t="n"/>
      <c r="C261" s="2" t="n"/>
      <c r="D261" s="2" t="n"/>
      <c r="E261" s="2" t="n"/>
      <c r="F261" s="2" t="n"/>
      <c r="G261" s="2" t="n"/>
      <c r="H261" s="2" t="n"/>
      <c r="I261" s="2" t="n"/>
      <c r="J261" s="2" t="n"/>
      <c r="K261" s="2">
        <f>IF(COUNTA(G261:J261)&lt;4,"",ROUND(AVERAGE(G261:J261),1))</f>
        <v/>
      </c>
      <c r="L261" s="2" t="n"/>
      <c r="M261" s="2" t="n"/>
      <c r="N261" s="2" t="n"/>
      <c r="O261" s="2" t="n"/>
    </row>
    <row r="262">
      <c r="A262" s="2" t="n"/>
      <c r="B262" s="2" t="n"/>
      <c r="C262" s="2" t="n"/>
      <c r="D262" s="2" t="n"/>
      <c r="E262" s="2" t="n"/>
      <c r="F262" s="2" t="n"/>
      <c r="G262" s="2" t="n"/>
      <c r="H262" s="2" t="n"/>
      <c r="I262" s="2" t="n"/>
      <c r="J262" s="2" t="n"/>
      <c r="K262" s="2">
        <f>IF(COUNTA(G262:J262)&lt;4,"",ROUND(AVERAGE(G262:J262),1))</f>
        <v/>
      </c>
      <c r="L262" s="2" t="n"/>
      <c r="M262" s="2" t="n"/>
      <c r="N262" s="2" t="n"/>
      <c r="O262" s="2" t="n"/>
    </row>
    <row r="263">
      <c r="A263" s="2" t="n"/>
      <c r="B263" s="2" t="n"/>
      <c r="C263" s="2" t="n"/>
      <c r="D263" s="2" t="n"/>
      <c r="E263" s="2" t="n"/>
      <c r="F263" s="2" t="n"/>
      <c r="G263" s="2" t="n"/>
      <c r="H263" s="2" t="n"/>
      <c r="I263" s="2" t="n"/>
      <c r="J263" s="2" t="n"/>
      <c r="K263" s="2">
        <f>IF(COUNTA(G263:J263)&lt;4,"",ROUND(AVERAGE(G263:J263),1))</f>
        <v/>
      </c>
      <c r="L263" s="2" t="n"/>
      <c r="M263" s="2" t="n"/>
      <c r="N263" s="2" t="n"/>
      <c r="O263" s="2" t="n"/>
    </row>
    <row r="264">
      <c r="A264" s="2" t="n"/>
      <c r="B264" s="2" t="n"/>
      <c r="C264" s="2" t="n"/>
      <c r="D264" s="2" t="n"/>
      <c r="E264" s="2" t="n"/>
      <c r="F264" s="2" t="n"/>
      <c r="G264" s="2" t="n"/>
      <c r="H264" s="2" t="n"/>
      <c r="I264" s="2" t="n"/>
      <c r="J264" s="2" t="n"/>
      <c r="K264" s="2">
        <f>IF(COUNTA(G264:J264)&lt;4,"",ROUND(AVERAGE(G264:J264),1))</f>
        <v/>
      </c>
      <c r="L264" s="2" t="n"/>
      <c r="M264" s="2" t="n"/>
      <c r="N264" s="2" t="n"/>
      <c r="O264" s="2" t="n"/>
    </row>
    <row r="265">
      <c r="A265" s="2" t="n"/>
      <c r="B265" s="2" t="n"/>
      <c r="C265" s="2" t="n"/>
      <c r="D265" s="2" t="n"/>
      <c r="E265" s="2" t="n"/>
      <c r="F265" s="2" t="n"/>
      <c r="G265" s="2" t="n"/>
      <c r="H265" s="2" t="n"/>
      <c r="I265" s="2" t="n"/>
      <c r="J265" s="2" t="n"/>
      <c r="K265" s="2">
        <f>IF(COUNTA(G265:J265)&lt;4,"",ROUND(AVERAGE(G265:J265),1))</f>
        <v/>
      </c>
      <c r="L265" s="2" t="n"/>
      <c r="M265" s="2" t="n"/>
      <c r="N265" s="2" t="n"/>
      <c r="O265" s="2" t="n"/>
    </row>
    <row r="266">
      <c r="A266" s="2" t="n"/>
      <c r="B266" s="2" t="n"/>
      <c r="C266" s="2" t="n"/>
      <c r="D266" s="2" t="n"/>
      <c r="E266" s="2" t="n"/>
      <c r="F266" s="2" t="n"/>
      <c r="G266" s="2" t="n"/>
      <c r="H266" s="2" t="n"/>
      <c r="I266" s="2" t="n"/>
      <c r="J266" s="2" t="n"/>
      <c r="K266" s="2">
        <f>IF(COUNTA(G266:J266)&lt;4,"",ROUND(AVERAGE(G266:J266),1))</f>
        <v/>
      </c>
      <c r="L266" s="2" t="n"/>
      <c r="M266" s="2" t="n"/>
      <c r="N266" s="2" t="n"/>
      <c r="O266" s="2" t="n"/>
    </row>
    <row r="267">
      <c r="A267" s="2" t="n"/>
      <c r="B267" s="2" t="n"/>
      <c r="C267" s="2" t="n"/>
      <c r="D267" s="2" t="n"/>
      <c r="E267" s="2" t="n"/>
      <c r="F267" s="2" t="n"/>
      <c r="G267" s="2" t="n"/>
      <c r="H267" s="2" t="n"/>
      <c r="I267" s="2" t="n"/>
      <c r="J267" s="2" t="n"/>
      <c r="K267" s="2">
        <f>IF(COUNTA(G267:J267)&lt;4,"",ROUND(AVERAGE(G267:J267),1))</f>
        <v/>
      </c>
      <c r="L267" s="2" t="n"/>
      <c r="M267" s="2" t="n"/>
      <c r="N267" s="2" t="n"/>
      <c r="O267" s="2" t="n"/>
    </row>
    <row r="268">
      <c r="A268" s="2" t="n"/>
      <c r="B268" s="2" t="n"/>
      <c r="C268" s="2" t="n"/>
      <c r="D268" s="2" t="n"/>
      <c r="E268" s="2" t="n"/>
      <c r="F268" s="2" t="n"/>
      <c r="G268" s="2" t="n"/>
      <c r="H268" s="2" t="n"/>
      <c r="I268" s="2" t="n"/>
      <c r="J268" s="2" t="n"/>
      <c r="K268" s="2">
        <f>IF(COUNTA(G268:J268)&lt;4,"",ROUND(AVERAGE(G268:J268),1))</f>
        <v/>
      </c>
      <c r="L268" s="2" t="n"/>
      <c r="M268" s="2" t="n"/>
      <c r="N268" s="2" t="n"/>
      <c r="O268" s="2" t="n"/>
    </row>
    <row r="269">
      <c r="A269" s="2" t="n"/>
      <c r="B269" s="2" t="n"/>
      <c r="C269" s="2" t="n"/>
      <c r="D269" s="2" t="n"/>
      <c r="E269" s="2" t="n"/>
      <c r="F269" s="2" t="n"/>
      <c r="G269" s="2" t="n"/>
      <c r="H269" s="2" t="n"/>
      <c r="I269" s="2" t="n"/>
      <c r="J269" s="2" t="n"/>
      <c r="K269" s="2">
        <f>IF(COUNTA(G269:J269)&lt;4,"",ROUND(AVERAGE(G269:J269),1))</f>
        <v/>
      </c>
      <c r="L269" s="2" t="n"/>
      <c r="M269" s="2" t="n"/>
      <c r="N269" s="2" t="n"/>
      <c r="O269" s="2" t="n"/>
    </row>
    <row r="270">
      <c r="A270" s="2" t="n"/>
      <c r="B270" s="2" t="n"/>
      <c r="C270" s="2" t="n"/>
      <c r="D270" s="2" t="n"/>
      <c r="E270" s="2" t="n"/>
      <c r="F270" s="2" t="n"/>
      <c r="G270" s="2" t="n"/>
      <c r="H270" s="2" t="n"/>
      <c r="I270" s="2" t="n"/>
      <c r="J270" s="2" t="n"/>
      <c r="K270" s="2">
        <f>IF(COUNTA(G270:J270)&lt;4,"",ROUND(AVERAGE(G270:J270),1))</f>
        <v/>
      </c>
      <c r="L270" s="2" t="n"/>
      <c r="M270" s="2" t="n"/>
      <c r="N270" s="2" t="n"/>
      <c r="O270" s="2" t="n"/>
    </row>
    <row r="271">
      <c r="A271" s="2" t="n"/>
      <c r="B271" s="2" t="n"/>
      <c r="C271" s="2" t="n"/>
      <c r="D271" s="2" t="n"/>
      <c r="E271" s="2" t="n"/>
      <c r="F271" s="2" t="n"/>
      <c r="G271" s="2" t="n"/>
      <c r="H271" s="2" t="n"/>
      <c r="I271" s="2" t="n"/>
      <c r="J271" s="2" t="n"/>
      <c r="K271" s="2">
        <f>IF(COUNTA(G271:J271)&lt;4,"",ROUND(AVERAGE(G271:J271),1))</f>
        <v/>
      </c>
      <c r="L271" s="2" t="n"/>
      <c r="M271" s="2" t="n"/>
      <c r="N271" s="2" t="n"/>
      <c r="O271" s="2" t="n"/>
    </row>
    <row r="272">
      <c r="A272" s="2" t="n"/>
      <c r="B272" s="2" t="n"/>
      <c r="C272" s="2" t="n"/>
      <c r="D272" s="2" t="n"/>
      <c r="E272" s="2" t="n"/>
      <c r="F272" s="2" t="n"/>
      <c r="G272" s="2" t="n"/>
      <c r="H272" s="2" t="n"/>
      <c r="I272" s="2" t="n"/>
      <c r="J272" s="2" t="n"/>
      <c r="K272" s="2">
        <f>IF(COUNTA(G272:J272)&lt;4,"",ROUND(AVERAGE(G272:J272),1))</f>
        <v/>
      </c>
      <c r="L272" s="2" t="n"/>
      <c r="M272" s="2" t="n"/>
      <c r="N272" s="2" t="n"/>
      <c r="O272" s="2" t="n"/>
    </row>
    <row r="273">
      <c r="A273" s="2" t="n"/>
      <c r="B273" s="2" t="n"/>
      <c r="C273" s="2" t="n"/>
      <c r="D273" s="2" t="n"/>
      <c r="E273" s="2" t="n"/>
      <c r="F273" s="2" t="n"/>
      <c r="G273" s="2" t="n"/>
      <c r="H273" s="2" t="n"/>
      <c r="I273" s="2" t="n"/>
      <c r="J273" s="2" t="n"/>
      <c r="K273" s="2">
        <f>IF(COUNTA(G273:J273)&lt;4,"",ROUND(AVERAGE(G273:J273),1))</f>
        <v/>
      </c>
      <c r="L273" s="2" t="n"/>
      <c r="M273" s="2" t="n"/>
      <c r="N273" s="2" t="n"/>
      <c r="O273" s="2" t="n"/>
    </row>
    <row r="274">
      <c r="A274" s="2" t="n"/>
      <c r="B274" s="2" t="n"/>
      <c r="C274" s="2" t="n"/>
      <c r="D274" s="2" t="n"/>
      <c r="E274" s="2" t="n"/>
      <c r="F274" s="2" t="n"/>
      <c r="G274" s="2" t="n"/>
      <c r="H274" s="2" t="n"/>
      <c r="I274" s="2" t="n"/>
      <c r="J274" s="2" t="n"/>
      <c r="K274" s="2">
        <f>IF(COUNTA(G274:J274)&lt;4,"",ROUND(AVERAGE(G274:J274),1))</f>
        <v/>
      </c>
      <c r="L274" s="2" t="n"/>
      <c r="M274" s="2" t="n"/>
      <c r="N274" s="2" t="n"/>
      <c r="O274" s="2" t="n"/>
    </row>
    <row r="275">
      <c r="A275" s="2" t="n"/>
      <c r="B275" s="2" t="n"/>
      <c r="C275" s="2" t="n"/>
      <c r="D275" s="2" t="n"/>
      <c r="E275" s="2" t="n"/>
      <c r="F275" s="2" t="n"/>
      <c r="G275" s="2" t="n"/>
      <c r="H275" s="2" t="n"/>
      <c r="I275" s="2" t="n"/>
      <c r="J275" s="2" t="n"/>
      <c r="K275" s="2">
        <f>IF(COUNTA(G275:J275)&lt;4,"",ROUND(AVERAGE(G275:J275),1))</f>
        <v/>
      </c>
      <c r="L275" s="2" t="n"/>
      <c r="M275" s="2" t="n"/>
      <c r="N275" s="2" t="n"/>
      <c r="O275" s="2" t="n"/>
    </row>
    <row r="276">
      <c r="A276" s="2" t="n"/>
      <c r="B276" s="2" t="n"/>
      <c r="C276" s="2" t="n"/>
      <c r="D276" s="2" t="n"/>
      <c r="E276" s="2" t="n"/>
      <c r="F276" s="2" t="n"/>
      <c r="G276" s="2" t="n"/>
      <c r="H276" s="2" t="n"/>
      <c r="I276" s="2" t="n"/>
      <c r="J276" s="2" t="n"/>
      <c r="K276" s="2">
        <f>IF(COUNTA(G276:J276)&lt;4,"",ROUND(AVERAGE(G276:J276),1))</f>
        <v/>
      </c>
      <c r="L276" s="2" t="n"/>
      <c r="M276" s="2" t="n"/>
      <c r="N276" s="2" t="n"/>
      <c r="O276" s="2" t="n"/>
    </row>
    <row r="277">
      <c r="A277" s="2" t="n"/>
      <c r="B277" s="2" t="n"/>
      <c r="C277" s="2" t="n"/>
      <c r="D277" s="2" t="n"/>
      <c r="E277" s="2" t="n"/>
      <c r="F277" s="2" t="n"/>
      <c r="G277" s="2" t="n"/>
      <c r="H277" s="2" t="n"/>
      <c r="I277" s="2" t="n"/>
      <c r="J277" s="2" t="n"/>
      <c r="K277" s="2">
        <f>IF(COUNTA(G277:J277)&lt;4,"",ROUND(AVERAGE(G277:J277),1))</f>
        <v/>
      </c>
      <c r="L277" s="2" t="n"/>
      <c r="M277" s="2" t="n"/>
      <c r="N277" s="2" t="n"/>
      <c r="O277" s="2" t="n"/>
    </row>
    <row r="278">
      <c r="A278" s="2" t="n"/>
      <c r="B278" s="2" t="n"/>
      <c r="C278" s="2" t="n"/>
      <c r="D278" s="2" t="n"/>
      <c r="E278" s="2" t="n"/>
      <c r="F278" s="2" t="n"/>
      <c r="G278" s="2" t="n"/>
      <c r="H278" s="2" t="n"/>
      <c r="I278" s="2" t="n"/>
      <c r="J278" s="2" t="n"/>
      <c r="K278" s="2">
        <f>IF(COUNTA(G278:J278)&lt;4,"",ROUND(AVERAGE(G278:J278),1))</f>
        <v/>
      </c>
      <c r="L278" s="2" t="n"/>
      <c r="M278" s="2" t="n"/>
      <c r="N278" s="2" t="n"/>
      <c r="O278" s="2" t="n"/>
    </row>
    <row r="279">
      <c r="A279" s="2" t="n"/>
      <c r="B279" s="2" t="n"/>
      <c r="C279" s="2" t="n"/>
      <c r="D279" s="2" t="n"/>
      <c r="E279" s="2" t="n"/>
      <c r="F279" s="2" t="n"/>
      <c r="G279" s="2" t="n"/>
      <c r="H279" s="2" t="n"/>
      <c r="I279" s="2" t="n"/>
      <c r="J279" s="2" t="n"/>
      <c r="K279" s="2">
        <f>IF(COUNTA(G279:J279)&lt;4,"",ROUND(AVERAGE(G279:J279),1))</f>
        <v/>
      </c>
      <c r="L279" s="2" t="n"/>
      <c r="M279" s="2" t="n"/>
      <c r="N279" s="2" t="n"/>
      <c r="O279" s="2" t="n"/>
    </row>
    <row r="280">
      <c r="A280" s="2" t="n"/>
      <c r="B280" s="2" t="n"/>
      <c r="C280" s="2" t="n"/>
      <c r="D280" s="2" t="n"/>
      <c r="E280" s="2" t="n"/>
      <c r="F280" s="2" t="n"/>
      <c r="G280" s="2" t="n"/>
      <c r="H280" s="2" t="n"/>
      <c r="I280" s="2" t="n"/>
      <c r="J280" s="2" t="n"/>
      <c r="K280" s="2">
        <f>IF(COUNTA(G280:J280)&lt;4,"",ROUND(AVERAGE(G280:J280),1))</f>
        <v/>
      </c>
      <c r="L280" s="2" t="n"/>
      <c r="M280" s="2" t="n"/>
      <c r="N280" s="2" t="n"/>
      <c r="O280" s="2" t="n"/>
    </row>
    <row r="281">
      <c r="A281" s="2" t="n"/>
      <c r="B281" s="2" t="n"/>
      <c r="C281" s="2" t="n"/>
      <c r="D281" s="2" t="n"/>
      <c r="E281" s="2" t="n"/>
      <c r="F281" s="2" t="n"/>
      <c r="G281" s="2" t="n"/>
      <c r="H281" s="2" t="n"/>
      <c r="I281" s="2" t="n"/>
      <c r="J281" s="2" t="n"/>
      <c r="K281" s="2">
        <f>IF(COUNTA(G281:J281)&lt;4,"",ROUND(AVERAGE(G281:J281),1))</f>
        <v/>
      </c>
      <c r="L281" s="2" t="n"/>
      <c r="M281" s="2" t="n"/>
      <c r="N281" s="2" t="n"/>
      <c r="O281" s="2" t="n"/>
    </row>
    <row r="282">
      <c r="A282" s="2" t="n"/>
      <c r="B282" s="2" t="n"/>
      <c r="C282" s="2" t="n"/>
      <c r="D282" s="2" t="n"/>
      <c r="E282" s="2" t="n"/>
      <c r="F282" s="2" t="n"/>
      <c r="G282" s="2" t="n"/>
      <c r="H282" s="2" t="n"/>
      <c r="I282" s="2" t="n"/>
      <c r="J282" s="2" t="n"/>
      <c r="K282" s="2">
        <f>IF(COUNTA(G282:J282)&lt;4,"",ROUND(AVERAGE(G282:J282),1))</f>
        <v/>
      </c>
      <c r="L282" s="2" t="n"/>
      <c r="M282" s="2" t="n"/>
      <c r="N282" s="2" t="n"/>
      <c r="O282" s="2" t="n"/>
    </row>
    <row r="283">
      <c r="A283" s="2" t="n"/>
      <c r="B283" s="2" t="n"/>
      <c r="C283" s="2" t="n"/>
      <c r="D283" s="2" t="n"/>
      <c r="E283" s="2" t="n"/>
      <c r="F283" s="2" t="n"/>
      <c r="G283" s="2" t="n"/>
      <c r="H283" s="2" t="n"/>
      <c r="I283" s="2" t="n"/>
      <c r="J283" s="2" t="n"/>
      <c r="K283" s="2">
        <f>IF(COUNTA(G283:J283)&lt;4,"",ROUND(AVERAGE(G283:J283),1))</f>
        <v/>
      </c>
      <c r="L283" s="2" t="n"/>
      <c r="M283" s="2" t="n"/>
      <c r="N283" s="2" t="n"/>
      <c r="O283" s="2" t="n"/>
    </row>
    <row r="284">
      <c r="A284" s="2" t="n"/>
      <c r="B284" s="2" t="n"/>
      <c r="C284" s="2" t="n"/>
      <c r="D284" s="2" t="n"/>
      <c r="E284" s="2" t="n"/>
      <c r="F284" s="2" t="n"/>
      <c r="G284" s="2" t="n"/>
      <c r="H284" s="2" t="n"/>
      <c r="I284" s="2" t="n"/>
      <c r="J284" s="2" t="n"/>
      <c r="K284" s="2">
        <f>IF(COUNTA(G284:J284)&lt;4,"",ROUND(AVERAGE(G284:J284),1))</f>
        <v/>
      </c>
      <c r="L284" s="2" t="n"/>
      <c r="M284" s="2" t="n"/>
      <c r="N284" s="2" t="n"/>
      <c r="O284" s="2" t="n"/>
    </row>
    <row r="285">
      <c r="A285" s="2" t="n"/>
      <c r="B285" s="2" t="n"/>
      <c r="C285" s="2" t="n"/>
      <c r="D285" s="2" t="n"/>
      <c r="E285" s="2" t="n"/>
      <c r="F285" s="2" t="n"/>
      <c r="G285" s="2" t="n"/>
      <c r="H285" s="2" t="n"/>
      <c r="I285" s="2" t="n"/>
      <c r="J285" s="2" t="n"/>
      <c r="K285" s="2">
        <f>IF(COUNTA(G285:J285)&lt;4,"",ROUND(AVERAGE(G285:J285),1))</f>
        <v/>
      </c>
      <c r="L285" s="2" t="n"/>
      <c r="M285" s="2" t="n"/>
      <c r="N285" s="2" t="n"/>
      <c r="O285" s="2" t="n"/>
    </row>
    <row r="286">
      <c r="A286" s="2" t="n"/>
      <c r="B286" s="2" t="n"/>
      <c r="C286" s="2" t="n"/>
      <c r="D286" s="2" t="n"/>
      <c r="E286" s="2" t="n"/>
      <c r="F286" s="2" t="n"/>
      <c r="G286" s="2" t="n"/>
      <c r="H286" s="2" t="n"/>
      <c r="I286" s="2" t="n"/>
      <c r="J286" s="2" t="n"/>
      <c r="K286" s="2">
        <f>IF(COUNTA(G286:J286)&lt;4,"",ROUND(AVERAGE(G286:J286),1))</f>
        <v/>
      </c>
      <c r="L286" s="2" t="n"/>
      <c r="M286" s="2" t="n"/>
      <c r="N286" s="2" t="n"/>
      <c r="O286" s="2" t="n"/>
    </row>
    <row r="287">
      <c r="A287" s="2" t="n"/>
      <c r="B287" s="2" t="n"/>
      <c r="C287" s="2" t="n"/>
      <c r="D287" s="2" t="n"/>
      <c r="E287" s="2" t="n"/>
      <c r="F287" s="2" t="n"/>
      <c r="G287" s="2" t="n"/>
      <c r="H287" s="2" t="n"/>
      <c r="I287" s="2" t="n"/>
      <c r="J287" s="2" t="n"/>
      <c r="K287" s="2">
        <f>IF(COUNTA(G287:J287)&lt;4,"",ROUND(AVERAGE(G287:J287),1))</f>
        <v/>
      </c>
      <c r="L287" s="2" t="n"/>
      <c r="M287" s="2" t="n"/>
      <c r="N287" s="2" t="n"/>
      <c r="O287" s="2" t="n"/>
    </row>
    <row r="288">
      <c r="A288" s="2" t="n"/>
      <c r="B288" s="2" t="n"/>
      <c r="C288" s="2" t="n"/>
      <c r="D288" s="2" t="n"/>
      <c r="E288" s="2" t="n"/>
      <c r="F288" s="2" t="n"/>
      <c r="G288" s="2" t="n"/>
      <c r="H288" s="2" t="n"/>
      <c r="I288" s="2" t="n"/>
      <c r="J288" s="2" t="n"/>
      <c r="K288" s="2">
        <f>IF(COUNTA(G288:J288)&lt;4,"",ROUND(AVERAGE(G288:J288),1))</f>
        <v/>
      </c>
      <c r="L288" s="2" t="n"/>
      <c r="M288" s="2" t="n"/>
      <c r="N288" s="2" t="n"/>
      <c r="O288" s="2" t="n"/>
    </row>
    <row r="289">
      <c r="A289" s="2" t="n"/>
      <c r="B289" s="2" t="n"/>
      <c r="C289" s="2" t="n"/>
      <c r="D289" s="2" t="n"/>
      <c r="E289" s="2" t="n"/>
      <c r="F289" s="2" t="n"/>
      <c r="G289" s="2" t="n"/>
      <c r="H289" s="2" t="n"/>
      <c r="I289" s="2" t="n"/>
      <c r="J289" s="2" t="n"/>
      <c r="K289" s="2">
        <f>IF(COUNTA(G289:J289)&lt;4,"",ROUND(AVERAGE(G289:J289),1))</f>
        <v/>
      </c>
      <c r="L289" s="2" t="n"/>
      <c r="M289" s="2" t="n"/>
      <c r="N289" s="2" t="n"/>
      <c r="O289" s="2" t="n"/>
    </row>
    <row r="290">
      <c r="A290" s="2" t="n"/>
      <c r="B290" s="2" t="n"/>
      <c r="C290" s="2" t="n"/>
      <c r="D290" s="2" t="n"/>
      <c r="E290" s="2" t="n"/>
      <c r="F290" s="2" t="n"/>
      <c r="G290" s="2" t="n"/>
      <c r="H290" s="2" t="n"/>
      <c r="I290" s="2" t="n"/>
      <c r="J290" s="2" t="n"/>
      <c r="K290" s="2">
        <f>IF(COUNTA(G290:J290)&lt;4,"",ROUND(AVERAGE(G290:J290),1))</f>
        <v/>
      </c>
      <c r="L290" s="2" t="n"/>
      <c r="M290" s="2" t="n"/>
      <c r="N290" s="2" t="n"/>
      <c r="O290" s="2" t="n"/>
    </row>
    <row r="291">
      <c r="A291" s="2" t="n"/>
      <c r="B291" s="2" t="n"/>
      <c r="C291" s="2" t="n"/>
      <c r="D291" s="2" t="n"/>
      <c r="E291" s="2" t="n"/>
      <c r="F291" s="2" t="n"/>
      <c r="G291" s="2" t="n"/>
      <c r="H291" s="2" t="n"/>
      <c r="I291" s="2" t="n"/>
      <c r="J291" s="2" t="n"/>
      <c r="K291" s="2">
        <f>IF(COUNTA(G291:J291)&lt;4,"",ROUND(AVERAGE(G291:J291),1))</f>
        <v/>
      </c>
      <c r="L291" s="2" t="n"/>
      <c r="M291" s="2" t="n"/>
      <c r="N291" s="2" t="n"/>
      <c r="O291" s="2" t="n"/>
    </row>
    <row r="292">
      <c r="A292" s="2" t="n"/>
      <c r="B292" s="2" t="n"/>
      <c r="C292" s="2" t="n"/>
      <c r="D292" s="2" t="n"/>
      <c r="E292" s="2" t="n"/>
      <c r="F292" s="2" t="n"/>
      <c r="G292" s="2" t="n"/>
      <c r="H292" s="2" t="n"/>
      <c r="I292" s="2" t="n"/>
      <c r="J292" s="2" t="n"/>
      <c r="K292" s="2">
        <f>IF(COUNTA(G292:J292)&lt;4,"",ROUND(AVERAGE(G292:J292),1))</f>
        <v/>
      </c>
      <c r="L292" s="2" t="n"/>
      <c r="M292" s="2" t="n"/>
      <c r="N292" s="2" t="n"/>
      <c r="O292" s="2" t="n"/>
    </row>
    <row r="293">
      <c r="A293" s="2" t="n"/>
      <c r="B293" s="2" t="n"/>
      <c r="C293" s="2" t="n"/>
      <c r="D293" s="2" t="n"/>
      <c r="E293" s="2" t="n"/>
      <c r="F293" s="2" t="n"/>
      <c r="G293" s="2" t="n"/>
      <c r="H293" s="2" t="n"/>
      <c r="I293" s="2" t="n"/>
      <c r="J293" s="2" t="n"/>
      <c r="K293" s="2">
        <f>IF(COUNTA(G293:J293)&lt;4,"",ROUND(AVERAGE(G293:J293),1))</f>
        <v/>
      </c>
      <c r="L293" s="2" t="n"/>
      <c r="M293" s="2" t="n"/>
      <c r="N293" s="2" t="n"/>
      <c r="O293" s="2" t="n"/>
    </row>
    <row r="294">
      <c r="A294" s="2" t="n"/>
      <c r="B294" s="2" t="n"/>
      <c r="C294" s="2" t="n"/>
      <c r="D294" s="2" t="n"/>
      <c r="E294" s="2" t="n"/>
      <c r="F294" s="2" t="n"/>
      <c r="G294" s="2" t="n"/>
      <c r="H294" s="2" t="n"/>
      <c r="I294" s="2" t="n"/>
      <c r="J294" s="2" t="n"/>
      <c r="K294" s="2">
        <f>IF(COUNTA(G294:J294)&lt;4,"",ROUND(AVERAGE(G294:J294),1))</f>
        <v/>
      </c>
      <c r="L294" s="2" t="n"/>
      <c r="M294" s="2" t="n"/>
      <c r="N294" s="2" t="n"/>
      <c r="O294" s="2" t="n"/>
    </row>
    <row r="295">
      <c r="A295" s="2" t="n"/>
      <c r="B295" s="2" t="n"/>
      <c r="C295" s="2" t="n"/>
      <c r="D295" s="2" t="n"/>
      <c r="E295" s="2" t="n"/>
      <c r="F295" s="2" t="n"/>
      <c r="G295" s="2" t="n"/>
      <c r="H295" s="2" t="n"/>
      <c r="I295" s="2" t="n"/>
      <c r="J295" s="2" t="n"/>
      <c r="K295" s="2">
        <f>IF(COUNTA(G295:J295)&lt;4,"",ROUND(AVERAGE(G295:J295),1))</f>
        <v/>
      </c>
      <c r="L295" s="2" t="n"/>
      <c r="M295" s="2" t="n"/>
      <c r="N295" s="2" t="n"/>
      <c r="O295" s="2" t="n"/>
    </row>
    <row r="296">
      <c r="A296" s="2" t="n"/>
      <c r="B296" s="2" t="n"/>
      <c r="C296" s="2" t="n"/>
      <c r="D296" s="2" t="n"/>
      <c r="E296" s="2" t="n"/>
      <c r="F296" s="2" t="n"/>
      <c r="G296" s="2" t="n"/>
      <c r="H296" s="2" t="n"/>
      <c r="I296" s="2" t="n"/>
      <c r="J296" s="2" t="n"/>
      <c r="K296" s="2">
        <f>IF(COUNTA(G296:J296)&lt;4,"",ROUND(AVERAGE(G296:J296),1))</f>
        <v/>
      </c>
      <c r="L296" s="2" t="n"/>
      <c r="M296" s="2" t="n"/>
      <c r="N296" s="2" t="n"/>
      <c r="O296" s="2" t="n"/>
    </row>
    <row r="297">
      <c r="A297" s="2" t="n"/>
      <c r="B297" s="2" t="n"/>
      <c r="C297" s="2" t="n"/>
      <c r="D297" s="2" t="n"/>
      <c r="E297" s="2" t="n"/>
      <c r="F297" s="2" t="n"/>
      <c r="G297" s="2" t="n"/>
      <c r="H297" s="2" t="n"/>
      <c r="I297" s="2" t="n"/>
      <c r="J297" s="2" t="n"/>
      <c r="K297" s="2">
        <f>IF(COUNTA(G297:J297)&lt;4,"",ROUND(AVERAGE(G297:J297),1))</f>
        <v/>
      </c>
      <c r="L297" s="2" t="n"/>
      <c r="M297" s="2" t="n"/>
      <c r="N297" s="2" t="n"/>
      <c r="O297" s="2" t="n"/>
    </row>
    <row r="298">
      <c r="A298" s="2" t="n"/>
      <c r="B298" s="2" t="n"/>
      <c r="C298" s="2" t="n"/>
      <c r="D298" s="2" t="n"/>
      <c r="E298" s="2" t="n"/>
      <c r="F298" s="2" t="n"/>
      <c r="G298" s="2" t="n"/>
      <c r="H298" s="2" t="n"/>
      <c r="I298" s="2" t="n"/>
      <c r="J298" s="2" t="n"/>
      <c r="K298" s="2">
        <f>IF(COUNTA(G298:J298)&lt;4,"",ROUND(AVERAGE(G298:J298),1))</f>
        <v/>
      </c>
      <c r="L298" s="2" t="n"/>
      <c r="M298" s="2" t="n"/>
      <c r="N298" s="2" t="n"/>
      <c r="O298" s="2" t="n"/>
    </row>
    <row r="299">
      <c r="A299" s="2" t="n"/>
      <c r="B299" s="2" t="n"/>
      <c r="C299" s="2" t="n"/>
      <c r="D299" s="2" t="n"/>
      <c r="E299" s="2" t="n"/>
      <c r="F299" s="2" t="n"/>
      <c r="G299" s="2" t="n"/>
      <c r="H299" s="2" t="n"/>
      <c r="I299" s="2" t="n"/>
      <c r="J299" s="2" t="n"/>
      <c r="K299" s="2">
        <f>IF(COUNTA(G299:J299)&lt;4,"",ROUND(AVERAGE(G299:J299),1))</f>
        <v/>
      </c>
      <c r="L299" s="2" t="n"/>
      <c r="M299" s="2" t="n"/>
      <c r="N299" s="2" t="n"/>
      <c r="O299" s="2" t="n"/>
    </row>
    <row r="300">
      <c r="A300" s="2" t="n"/>
      <c r="B300" s="2" t="n"/>
      <c r="C300" s="2" t="n"/>
      <c r="D300" s="2" t="n"/>
      <c r="E300" s="2" t="n"/>
      <c r="F300" s="2" t="n"/>
      <c r="G300" s="2" t="n"/>
      <c r="H300" s="2" t="n"/>
      <c r="I300" s="2" t="n"/>
      <c r="J300" s="2" t="n"/>
      <c r="K300" s="2">
        <f>IF(COUNTA(G300:J300)&lt;4,"",ROUND(AVERAGE(G300:J300),1))</f>
        <v/>
      </c>
      <c r="L300" s="2" t="n"/>
      <c r="M300" s="2" t="n"/>
      <c r="N300" s="2" t="n"/>
      <c r="O300" s="2" t="n"/>
    </row>
    <row r="301">
      <c r="A301" s="2" t="n"/>
      <c r="B301" s="2" t="n"/>
      <c r="C301" s="2" t="n"/>
      <c r="D301" s="2" t="n"/>
      <c r="E301" s="2" t="n"/>
      <c r="F301" s="2" t="n"/>
      <c r="G301" s="2" t="n"/>
      <c r="H301" s="2" t="n"/>
      <c r="I301" s="2" t="n"/>
      <c r="J301" s="2" t="n"/>
      <c r="K301" s="2">
        <f>IF(COUNTA(G301:J301)&lt;4,"",ROUND(AVERAGE(G301:J301),1))</f>
        <v/>
      </c>
      <c r="L301" s="2" t="n"/>
      <c r="M301" s="2" t="n"/>
      <c r="N301" s="2" t="n"/>
      <c r="O301" s="2" t="n"/>
    </row>
    <row r="302">
      <c r="A302" s="2" t="n"/>
      <c r="B302" s="2" t="n"/>
      <c r="C302" s="2" t="n"/>
      <c r="D302" s="2" t="n"/>
      <c r="E302" s="2" t="n"/>
      <c r="F302" s="2" t="n"/>
      <c r="G302" s="2" t="n"/>
      <c r="H302" s="2" t="n"/>
      <c r="I302" s="2" t="n"/>
      <c r="J302" s="2" t="n"/>
      <c r="K302" s="2">
        <f>IF(COUNTA(G302:J302)&lt;4,"",ROUND(AVERAGE(G302:J302),1))</f>
        <v/>
      </c>
      <c r="L302" s="2" t="n"/>
      <c r="M302" s="2" t="n"/>
      <c r="N302" s="2" t="n"/>
      <c r="O302" s="2" t="n"/>
    </row>
    <row r="303">
      <c r="A303" s="2" t="n"/>
      <c r="B303" s="2" t="n"/>
      <c r="C303" s="2" t="n"/>
      <c r="D303" s="2" t="n"/>
      <c r="E303" s="2" t="n"/>
      <c r="F303" s="2" t="n"/>
      <c r="G303" s="2" t="n"/>
      <c r="H303" s="2" t="n"/>
      <c r="I303" s="2" t="n"/>
      <c r="J303" s="2" t="n"/>
      <c r="K303" s="2">
        <f>IF(COUNTA(G303:J303)&lt;4,"",ROUND(AVERAGE(G303:J303),1))</f>
        <v/>
      </c>
      <c r="L303" s="2" t="n"/>
      <c r="M303" s="2" t="n"/>
      <c r="N303" s="2" t="n"/>
      <c r="O303" s="2" t="n"/>
    </row>
    <row r="304">
      <c r="A304" s="2" t="n"/>
      <c r="B304" s="2" t="n"/>
      <c r="C304" s="2" t="n"/>
      <c r="D304" s="2" t="n"/>
      <c r="E304" s="2" t="n"/>
      <c r="F304" s="2" t="n"/>
      <c r="G304" s="2" t="n"/>
      <c r="H304" s="2" t="n"/>
      <c r="I304" s="2" t="n"/>
      <c r="J304" s="2" t="n"/>
      <c r="K304" s="2">
        <f>IF(COUNTA(G304:J304)&lt;4,"",ROUND(AVERAGE(G304:J304),1))</f>
        <v/>
      </c>
      <c r="L304" s="2" t="n"/>
      <c r="M304" s="2" t="n"/>
      <c r="N304" s="2" t="n"/>
      <c r="O304" s="2" t="n"/>
    </row>
    <row r="305">
      <c r="A305" s="2" t="n"/>
      <c r="B305" s="2" t="n"/>
      <c r="C305" s="2" t="n"/>
      <c r="D305" s="2" t="n"/>
      <c r="E305" s="2" t="n"/>
      <c r="F305" s="2" t="n"/>
      <c r="G305" s="2" t="n"/>
      <c r="H305" s="2" t="n"/>
      <c r="I305" s="2" t="n"/>
      <c r="J305" s="2" t="n"/>
      <c r="K305" s="2">
        <f>IF(COUNTA(G305:J305)&lt;4,"",ROUND(AVERAGE(G305:J305),1))</f>
        <v/>
      </c>
      <c r="L305" s="2" t="n"/>
      <c r="M305" s="2" t="n"/>
      <c r="N305" s="2" t="n"/>
      <c r="O305" s="2" t="n"/>
    </row>
    <row r="306">
      <c r="A306" s="2" t="n"/>
      <c r="B306" s="2" t="n"/>
      <c r="C306" s="2" t="n"/>
      <c r="D306" s="2" t="n"/>
      <c r="E306" s="2" t="n"/>
      <c r="F306" s="2" t="n"/>
      <c r="G306" s="2" t="n"/>
      <c r="H306" s="2" t="n"/>
      <c r="I306" s="2" t="n"/>
      <c r="J306" s="2" t="n"/>
      <c r="K306" s="2">
        <f>IF(COUNTA(G306:J306)&lt;4,"",ROUND(AVERAGE(G306:J306),1))</f>
        <v/>
      </c>
      <c r="L306" s="2" t="n"/>
      <c r="M306" s="2" t="n"/>
      <c r="N306" s="2" t="n"/>
      <c r="O306" s="2" t="n"/>
    </row>
    <row r="307">
      <c r="A307" s="2" t="n"/>
      <c r="B307" s="2" t="n"/>
      <c r="C307" s="2" t="n"/>
      <c r="D307" s="2" t="n"/>
      <c r="E307" s="2" t="n"/>
      <c r="F307" s="2" t="n"/>
      <c r="G307" s="2" t="n"/>
      <c r="H307" s="2" t="n"/>
      <c r="I307" s="2" t="n"/>
      <c r="J307" s="2" t="n"/>
      <c r="K307" s="2">
        <f>IF(COUNTA(G307:J307)&lt;4,"",ROUND(AVERAGE(G307:J307),1))</f>
        <v/>
      </c>
      <c r="L307" s="2" t="n"/>
      <c r="M307" s="2" t="n"/>
      <c r="N307" s="2" t="n"/>
      <c r="O307" s="2" t="n"/>
    </row>
    <row r="308">
      <c r="A308" s="2" t="n"/>
      <c r="B308" s="2" t="n"/>
      <c r="C308" s="2" t="n"/>
      <c r="D308" s="2" t="n"/>
      <c r="E308" s="2" t="n"/>
      <c r="F308" s="2" t="n"/>
      <c r="G308" s="2" t="n"/>
      <c r="H308" s="2" t="n"/>
      <c r="I308" s="2" t="n"/>
      <c r="J308" s="2" t="n"/>
      <c r="K308" s="2">
        <f>IF(COUNTA(G308:J308)&lt;4,"",ROUND(AVERAGE(G308:J308),1))</f>
        <v/>
      </c>
      <c r="L308" s="2" t="n"/>
      <c r="M308" s="2" t="n"/>
      <c r="N308" s="2" t="n"/>
      <c r="O308" s="2" t="n"/>
    </row>
    <row r="309">
      <c r="A309" s="2" t="n"/>
      <c r="B309" s="2" t="n"/>
      <c r="C309" s="2" t="n"/>
      <c r="D309" s="2" t="n"/>
      <c r="E309" s="2" t="n"/>
      <c r="F309" s="2" t="n"/>
      <c r="G309" s="2" t="n"/>
      <c r="H309" s="2" t="n"/>
      <c r="I309" s="2" t="n"/>
      <c r="J309" s="2" t="n"/>
      <c r="K309" s="2">
        <f>IF(COUNTA(G309:J309)&lt;4,"",ROUND(AVERAGE(G309:J309),1))</f>
        <v/>
      </c>
      <c r="L309" s="2" t="n"/>
      <c r="M309" s="2" t="n"/>
      <c r="N309" s="2" t="n"/>
      <c r="O309" s="2" t="n"/>
    </row>
    <row r="310">
      <c r="A310" s="2" t="n"/>
      <c r="B310" s="2" t="n"/>
      <c r="C310" s="2" t="n"/>
      <c r="D310" s="2" t="n"/>
      <c r="E310" s="2" t="n"/>
      <c r="F310" s="2" t="n"/>
      <c r="G310" s="2" t="n"/>
      <c r="H310" s="2" t="n"/>
      <c r="I310" s="2" t="n"/>
      <c r="J310" s="2" t="n"/>
      <c r="K310" s="2">
        <f>IF(COUNTA(G310:J310)&lt;4,"",ROUND(AVERAGE(G310:J310),1))</f>
        <v/>
      </c>
      <c r="L310" s="2" t="n"/>
      <c r="M310" s="2" t="n"/>
      <c r="N310" s="2" t="n"/>
      <c r="O310" s="2" t="n"/>
    </row>
    <row r="311">
      <c r="A311" s="2" t="n"/>
      <c r="B311" s="2" t="n"/>
      <c r="C311" s="2" t="n"/>
      <c r="D311" s="2" t="n"/>
      <c r="E311" s="2" t="n"/>
      <c r="F311" s="2" t="n"/>
      <c r="G311" s="2" t="n"/>
      <c r="H311" s="2" t="n"/>
      <c r="I311" s="2" t="n"/>
      <c r="J311" s="2" t="n"/>
      <c r="K311" s="2">
        <f>IF(COUNTA(G311:J311)&lt;4,"",ROUND(AVERAGE(G311:J311),1))</f>
        <v/>
      </c>
      <c r="L311" s="2" t="n"/>
      <c r="M311" s="2" t="n"/>
      <c r="N311" s="2" t="n"/>
      <c r="O311" s="2" t="n"/>
    </row>
    <row r="312">
      <c r="A312" s="2" t="n"/>
      <c r="B312" s="2" t="n"/>
      <c r="C312" s="2" t="n"/>
      <c r="D312" s="2" t="n"/>
      <c r="E312" s="2" t="n"/>
      <c r="F312" s="2" t="n"/>
      <c r="G312" s="2" t="n"/>
      <c r="H312" s="2" t="n"/>
      <c r="I312" s="2" t="n"/>
      <c r="J312" s="2" t="n"/>
      <c r="K312" s="2">
        <f>IF(COUNTA(G312:J312)&lt;4,"",ROUND(AVERAGE(G312:J312),1))</f>
        <v/>
      </c>
      <c r="L312" s="2" t="n"/>
      <c r="M312" s="2" t="n"/>
      <c r="N312" s="2" t="n"/>
      <c r="O312" s="2" t="n"/>
    </row>
    <row r="313">
      <c r="A313" s="2" t="n"/>
      <c r="B313" s="2" t="n"/>
      <c r="C313" s="2" t="n"/>
      <c r="D313" s="2" t="n"/>
      <c r="E313" s="2" t="n"/>
      <c r="F313" s="2" t="n"/>
      <c r="G313" s="2" t="n"/>
      <c r="H313" s="2" t="n"/>
      <c r="I313" s="2" t="n"/>
      <c r="J313" s="2" t="n"/>
      <c r="K313" s="2">
        <f>IF(COUNTA(G313:J313)&lt;4,"",ROUND(AVERAGE(G313:J313),1))</f>
        <v/>
      </c>
      <c r="L313" s="2" t="n"/>
      <c r="M313" s="2" t="n"/>
      <c r="N313" s="2" t="n"/>
      <c r="O313" s="2" t="n"/>
    </row>
    <row r="314">
      <c r="A314" s="2" t="n"/>
      <c r="B314" s="2" t="n"/>
      <c r="C314" s="2" t="n"/>
      <c r="D314" s="2" t="n"/>
      <c r="E314" s="2" t="n"/>
      <c r="F314" s="2" t="n"/>
      <c r="G314" s="2" t="n"/>
      <c r="H314" s="2" t="n"/>
      <c r="I314" s="2" t="n"/>
      <c r="J314" s="2" t="n"/>
      <c r="K314" s="2">
        <f>IF(COUNTA(G314:J314)&lt;4,"",ROUND(AVERAGE(G314:J314),1))</f>
        <v/>
      </c>
      <c r="L314" s="2" t="n"/>
      <c r="M314" s="2" t="n"/>
      <c r="N314" s="2" t="n"/>
      <c r="O314" s="2" t="n"/>
    </row>
    <row r="315">
      <c r="A315" s="2" t="n"/>
      <c r="B315" s="2" t="n"/>
      <c r="C315" s="2" t="n"/>
      <c r="D315" s="2" t="n"/>
      <c r="E315" s="2" t="n"/>
      <c r="F315" s="2" t="n"/>
      <c r="G315" s="2" t="n"/>
      <c r="H315" s="2" t="n"/>
      <c r="I315" s="2" t="n"/>
      <c r="J315" s="2" t="n"/>
      <c r="K315" s="2">
        <f>IF(COUNTA(G315:J315)&lt;4,"",ROUND(AVERAGE(G315:J315),1))</f>
        <v/>
      </c>
      <c r="L315" s="2" t="n"/>
      <c r="M315" s="2" t="n"/>
      <c r="N315" s="2" t="n"/>
      <c r="O315" s="2" t="n"/>
    </row>
    <row r="316">
      <c r="A316" s="2" t="n"/>
      <c r="B316" s="2" t="n"/>
      <c r="C316" s="2" t="n"/>
      <c r="D316" s="2" t="n"/>
      <c r="E316" s="2" t="n"/>
      <c r="F316" s="2" t="n"/>
      <c r="G316" s="2" t="n"/>
      <c r="H316" s="2" t="n"/>
      <c r="I316" s="2" t="n"/>
      <c r="J316" s="2" t="n"/>
      <c r="K316" s="2">
        <f>IF(COUNTA(G316:J316)&lt;4,"",ROUND(AVERAGE(G316:J316),1))</f>
        <v/>
      </c>
      <c r="L316" s="2" t="n"/>
      <c r="M316" s="2" t="n"/>
      <c r="N316" s="2" t="n"/>
      <c r="O316" s="2" t="n"/>
    </row>
    <row r="317">
      <c r="A317" s="2" t="n"/>
      <c r="B317" s="2" t="n"/>
      <c r="C317" s="2" t="n"/>
      <c r="D317" s="2" t="n"/>
      <c r="E317" s="2" t="n"/>
      <c r="F317" s="2" t="n"/>
      <c r="G317" s="2" t="n"/>
      <c r="H317" s="2" t="n"/>
      <c r="I317" s="2" t="n"/>
      <c r="J317" s="2" t="n"/>
      <c r="K317" s="2">
        <f>IF(COUNTA(G317:J317)&lt;4,"",ROUND(AVERAGE(G317:J317),1))</f>
        <v/>
      </c>
      <c r="L317" s="2" t="n"/>
      <c r="M317" s="2" t="n"/>
      <c r="N317" s="2" t="n"/>
      <c r="O317" s="2" t="n"/>
    </row>
    <row r="318">
      <c r="A318" s="2" t="n"/>
      <c r="B318" s="2" t="n"/>
      <c r="C318" s="2" t="n"/>
      <c r="D318" s="2" t="n"/>
      <c r="E318" s="2" t="n"/>
      <c r="F318" s="2" t="n"/>
      <c r="G318" s="2" t="n"/>
      <c r="H318" s="2" t="n"/>
      <c r="I318" s="2" t="n"/>
      <c r="J318" s="2" t="n"/>
      <c r="K318" s="2">
        <f>IF(COUNTA(G318:J318)&lt;4,"",ROUND(AVERAGE(G318:J318),1))</f>
        <v/>
      </c>
      <c r="L318" s="2" t="n"/>
      <c r="M318" s="2" t="n"/>
      <c r="N318" s="2" t="n"/>
      <c r="O318" s="2" t="n"/>
    </row>
    <row r="319">
      <c r="A319" s="2" t="n"/>
      <c r="B319" s="2" t="n"/>
      <c r="C319" s="2" t="n"/>
      <c r="D319" s="2" t="n"/>
      <c r="E319" s="2" t="n"/>
      <c r="F319" s="2" t="n"/>
      <c r="G319" s="2" t="n"/>
      <c r="H319" s="2" t="n"/>
      <c r="I319" s="2" t="n"/>
      <c r="J319" s="2" t="n"/>
      <c r="K319" s="2">
        <f>IF(COUNTA(G319:J319)&lt;4,"",ROUND(AVERAGE(G319:J319),1))</f>
        <v/>
      </c>
      <c r="L319" s="2" t="n"/>
      <c r="M319" s="2" t="n"/>
      <c r="N319" s="2" t="n"/>
      <c r="O319" s="2" t="n"/>
    </row>
    <row r="320">
      <c r="A320" s="2" t="n"/>
      <c r="B320" s="2" t="n"/>
      <c r="C320" s="2" t="n"/>
      <c r="D320" s="2" t="n"/>
      <c r="E320" s="2" t="n"/>
      <c r="F320" s="2" t="n"/>
      <c r="G320" s="2" t="n"/>
      <c r="H320" s="2" t="n"/>
      <c r="I320" s="2" t="n"/>
      <c r="J320" s="2" t="n"/>
      <c r="K320" s="2">
        <f>IF(COUNTA(G320:J320)&lt;4,"",ROUND(AVERAGE(G320:J320),1))</f>
        <v/>
      </c>
      <c r="L320" s="2" t="n"/>
      <c r="M320" s="2" t="n"/>
      <c r="N320" s="2" t="n"/>
      <c r="O320" s="2" t="n"/>
    </row>
    <row r="321">
      <c r="A321" s="2" t="n"/>
      <c r="B321" s="2" t="n"/>
      <c r="C321" s="2" t="n"/>
      <c r="D321" s="2" t="n"/>
      <c r="E321" s="2" t="n"/>
      <c r="F321" s="2" t="n"/>
      <c r="G321" s="2" t="n"/>
      <c r="H321" s="2" t="n"/>
      <c r="I321" s="2" t="n"/>
      <c r="J321" s="2" t="n"/>
      <c r="K321" s="2">
        <f>IF(COUNTA(G321:J321)&lt;4,"",ROUND(AVERAGE(G321:J321),1))</f>
        <v/>
      </c>
      <c r="L321" s="2" t="n"/>
      <c r="M321" s="2" t="n"/>
      <c r="N321" s="2" t="n"/>
      <c r="O321" s="2" t="n"/>
    </row>
    <row r="322">
      <c r="A322" s="2" t="n"/>
      <c r="B322" s="2" t="n"/>
      <c r="C322" s="2" t="n"/>
      <c r="D322" s="2" t="n"/>
      <c r="E322" s="2" t="n"/>
      <c r="F322" s="2" t="n"/>
      <c r="G322" s="2" t="n"/>
      <c r="H322" s="2" t="n"/>
      <c r="I322" s="2" t="n"/>
      <c r="J322" s="2" t="n"/>
      <c r="K322" s="2">
        <f>IF(COUNTA(G322:J322)&lt;4,"",ROUND(AVERAGE(G322:J322),1))</f>
        <v/>
      </c>
      <c r="L322" s="2" t="n"/>
      <c r="M322" s="2" t="n"/>
      <c r="N322" s="2" t="n"/>
      <c r="O322" s="2" t="n"/>
    </row>
    <row r="323">
      <c r="A323" s="2" t="n"/>
      <c r="B323" s="2" t="n"/>
      <c r="C323" s="2" t="n"/>
      <c r="D323" s="2" t="n"/>
      <c r="E323" s="2" t="n"/>
      <c r="F323" s="2" t="n"/>
      <c r="G323" s="2" t="n"/>
      <c r="H323" s="2" t="n"/>
      <c r="I323" s="2" t="n"/>
      <c r="J323" s="2" t="n"/>
      <c r="K323" s="2">
        <f>IF(COUNTA(G323:J323)&lt;4,"",ROUND(AVERAGE(G323:J323),1))</f>
        <v/>
      </c>
      <c r="L323" s="2" t="n"/>
      <c r="M323" s="2" t="n"/>
      <c r="N323" s="2" t="n"/>
      <c r="O323" s="2" t="n"/>
    </row>
    <row r="324">
      <c r="A324" s="2" t="n"/>
      <c r="B324" s="2" t="n"/>
      <c r="C324" s="2" t="n"/>
      <c r="D324" s="2" t="n"/>
      <c r="E324" s="2" t="n"/>
      <c r="F324" s="2" t="n"/>
      <c r="G324" s="2" t="n"/>
      <c r="H324" s="2" t="n"/>
      <c r="I324" s="2" t="n"/>
      <c r="J324" s="2" t="n"/>
      <c r="K324" s="2">
        <f>IF(COUNTA(G324:J324)&lt;4,"",ROUND(AVERAGE(G324:J324),1))</f>
        <v/>
      </c>
      <c r="L324" s="2" t="n"/>
      <c r="M324" s="2" t="n"/>
      <c r="N324" s="2" t="n"/>
      <c r="O324" s="2" t="n"/>
    </row>
    <row r="325">
      <c r="A325" s="2" t="n"/>
      <c r="B325" s="2" t="n"/>
      <c r="C325" s="2" t="n"/>
      <c r="D325" s="2" t="n"/>
      <c r="E325" s="2" t="n"/>
      <c r="F325" s="2" t="n"/>
      <c r="G325" s="2" t="n"/>
      <c r="H325" s="2" t="n"/>
      <c r="I325" s="2" t="n"/>
      <c r="J325" s="2" t="n"/>
      <c r="K325" s="2">
        <f>IF(COUNTA(G325:J325)&lt;4,"",ROUND(AVERAGE(G325:J325),1))</f>
        <v/>
      </c>
      <c r="L325" s="2" t="n"/>
      <c r="M325" s="2" t="n"/>
      <c r="N325" s="2" t="n"/>
      <c r="O325" s="2" t="n"/>
    </row>
    <row r="326">
      <c r="A326" s="2" t="n"/>
      <c r="B326" s="2" t="n"/>
      <c r="C326" s="2" t="n"/>
      <c r="D326" s="2" t="n"/>
      <c r="E326" s="2" t="n"/>
      <c r="F326" s="2" t="n"/>
      <c r="G326" s="2" t="n"/>
      <c r="H326" s="2" t="n"/>
      <c r="I326" s="2" t="n"/>
      <c r="J326" s="2" t="n"/>
      <c r="K326" s="2">
        <f>IF(COUNTA(G326:J326)&lt;4,"",ROUND(AVERAGE(G326:J326),1))</f>
        <v/>
      </c>
      <c r="L326" s="2" t="n"/>
      <c r="M326" s="2" t="n"/>
      <c r="N326" s="2" t="n"/>
      <c r="O326" s="2" t="n"/>
    </row>
    <row r="327">
      <c r="A327" s="2" t="n"/>
      <c r="B327" s="2" t="n"/>
      <c r="C327" s="2" t="n"/>
      <c r="D327" s="2" t="n"/>
      <c r="E327" s="2" t="n"/>
      <c r="F327" s="2" t="n"/>
      <c r="G327" s="2" t="n"/>
      <c r="H327" s="2" t="n"/>
      <c r="I327" s="2" t="n"/>
      <c r="J327" s="2" t="n"/>
      <c r="K327" s="2">
        <f>IF(COUNTA(G327:J327)&lt;4,"",ROUND(AVERAGE(G327:J327),1))</f>
        <v/>
      </c>
      <c r="L327" s="2" t="n"/>
      <c r="M327" s="2" t="n"/>
      <c r="N327" s="2" t="n"/>
      <c r="O327" s="2" t="n"/>
    </row>
    <row r="328">
      <c r="A328" s="2" t="n"/>
      <c r="B328" s="2" t="n"/>
      <c r="C328" s="2" t="n"/>
      <c r="D328" s="2" t="n"/>
      <c r="E328" s="2" t="n"/>
      <c r="F328" s="2" t="n"/>
      <c r="G328" s="2" t="n"/>
      <c r="H328" s="2" t="n"/>
      <c r="I328" s="2" t="n"/>
      <c r="J328" s="2" t="n"/>
      <c r="K328" s="2">
        <f>IF(COUNTA(G328:J328)&lt;4,"",ROUND(AVERAGE(G328:J328),1))</f>
        <v/>
      </c>
      <c r="L328" s="2" t="n"/>
      <c r="M328" s="2" t="n"/>
      <c r="N328" s="2" t="n"/>
      <c r="O328" s="2" t="n"/>
    </row>
    <row r="329">
      <c r="A329" s="2" t="n"/>
      <c r="B329" s="2" t="n"/>
      <c r="C329" s="2" t="n"/>
      <c r="D329" s="2" t="n"/>
      <c r="E329" s="2" t="n"/>
      <c r="F329" s="2" t="n"/>
      <c r="G329" s="2" t="n"/>
      <c r="H329" s="2" t="n"/>
      <c r="I329" s="2" t="n"/>
      <c r="J329" s="2" t="n"/>
      <c r="K329" s="2">
        <f>IF(COUNTA(G329:J329)&lt;4,"",ROUND(AVERAGE(G329:J329),1))</f>
        <v/>
      </c>
      <c r="L329" s="2" t="n"/>
      <c r="M329" s="2" t="n"/>
      <c r="N329" s="2" t="n"/>
      <c r="O329" s="2" t="n"/>
    </row>
    <row r="330">
      <c r="A330" s="2" t="n"/>
      <c r="B330" s="2" t="n"/>
      <c r="C330" s="2" t="n"/>
      <c r="D330" s="2" t="n"/>
      <c r="E330" s="2" t="n"/>
      <c r="F330" s="2" t="n"/>
      <c r="G330" s="2" t="n"/>
      <c r="H330" s="2" t="n"/>
      <c r="I330" s="2" t="n"/>
      <c r="J330" s="2" t="n"/>
      <c r="K330" s="2">
        <f>IF(COUNTA(G330:J330)&lt;4,"",ROUND(AVERAGE(G330:J330),1))</f>
        <v/>
      </c>
      <c r="L330" s="2" t="n"/>
      <c r="M330" s="2" t="n"/>
      <c r="N330" s="2" t="n"/>
      <c r="O330" s="2" t="n"/>
    </row>
    <row r="331">
      <c r="A331" s="2" t="n"/>
      <c r="B331" s="2" t="n"/>
      <c r="C331" s="2" t="n"/>
      <c r="D331" s="2" t="n"/>
      <c r="E331" s="2" t="n"/>
      <c r="F331" s="2" t="n"/>
      <c r="G331" s="2" t="n"/>
      <c r="H331" s="2" t="n"/>
      <c r="I331" s="2" t="n"/>
      <c r="J331" s="2" t="n"/>
      <c r="K331" s="2">
        <f>IF(COUNTA(G331:J331)&lt;4,"",ROUND(AVERAGE(G331:J331),1))</f>
        <v/>
      </c>
      <c r="L331" s="2" t="n"/>
      <c r="M331" s="2" t="n"/>
      <c r="N331" s="2" t="n"/>
      <c r="O331" s="2" t="n"/>
    </row>
    <row r="332">
      <c r="A332" s="2" t="n"/>
      <c r="B332" s="2" t="n"/>
      <c r="C332" s="2" t="n"/>
      <c r="D332" s="2" t="n"/>
      <c r="E332" s="2" t="n"/>
      <c r="F332" s="2" t="n"/>
      <c r="G332" s="2" t="n"/>
      <c r="H332" s="2" t="n"/>
      <c r="I332" s="2" t="n"/>
      <c r="J332" s="2" t="n"/>
      <c r="K332" s="2">
        <f>IF(COUNTA(G332:J332)&lt;4,"",ROUND(AVERAGE(G332:J332),1))</f>
        <v/>
      </c>
      <c r="L332" s="2" t="n"/>
      <c r="M332" s="2" t="n"/>
      <c r="N332" s="2" t="n"/>
      <c r="O332" s="2" t="n"/>
    </row>
    <row r="333">
      <c r="A333" s="2" t="n"/>
      <c r="B333" s="2" t="n"/>
      <c r="C333" s="2" t="n"/>
      <c r="D333" s="2" t="n"/>
      <c r="E333" s="2" t="n"/>
      <c r="F333" s="2" t="n"/>
      <c r="G333" s="2" t="n"/>
      <c r="H333" s="2" t="n"/>
      <c r="I333" s="2" t="n"/>
      <c r="J333" s="2" t="n"/>
      <c r="K333" s="2">
        <f>IF(COUNTA(G333:J333)&lt;4,"",ROUND(AVERAGE(G333:J333),1))</f>
        <v/>
      </c>
      <c r="L333" s="2" t="n"/>
      <c r="M333" s="2" t="n"/>
      <c r="N333" s="2" t="n"/>
      <c r="O333" s="2" t="n"/>
    </row>
    <row r="334">
      <c r="A334" s="2" t="n"/>
      <c r="B334" s="2" t="n"/>
      <c r="C334" s="2" t="n"/>
      <c r="D334" s="2" t="n"/>
      <c r="E334" s="2" t="n"/>
      <c r="F334" s="2" t="n"/>
      <c r="G334" s="2" t="n"/>
      <c r="H334" s="2" t="n"/>
      <c r="I334" s="2" t="n"/>
      <c r="J334" s="2" t="n"/>
      <c r="K334" s="2">
        <f>IF(COUNTA(G334:J334)&lt;4,"",ROUND(AVERAGE(G334:J334),1))</f>
        <v/>
      </c>
      <c r="L334" s="2" t="n"/>
      <c r="M334" s="2" t="n"/>
      <c r="N334" s="2" t="n"/>
      <c r="O334" s="2" t="n"/>
    </row>
    <row r="335">
      <c r="A335" s="2" t="n"/>
      <c r="B335" s="2" t="n"/>
      <c r="C335" s="2" t="n"/>
      <c r="D335" s="2" t="n"/>
      <c r="E335" s="2" t="n"/>
      <c r="F335" s="2" t="n"/>
      <c r="G335" s="2" t="n"/>
      <c r="H335" s="2" t="n"/>
      <c r="I335" s="2" t="n"/>
      <c r="J335" s="2" t="n"/>
      <c r="K335" s="2">
        <f>IF(COUNTA(G335:J335)&lt;4,"",ROUND(AVERAGE(G335:J335),1))</f>
        <v/>
      </c>
      <c r="L335" s="2" t="n"/>
      <c r="M335" s="2" t="n"/>
      <c r="N335" s="2" t="n"/>
      <c r="O335" s="2" t="n"/>
    </row>
    <row r="336">
      <c r="A336" s="2" t="n"/>
      <c r="B336" s="2" t="n"/>
      <c r="C336" s="2" t="n"/>
      <c r="D336" s="2" t="n"/>
      <c r="E336" s="2" t="n"/>
      <c r="F336" s="2" t="n"/>
      <c r="G336" s="2" t="n"/>
      <c r="H336" s="2" t="n"/>
      <c r="I336" s="2" t="n"/>
      <c r="J336" s="2" t="n"/>
      <c r="K336" s="2">
        <f>IF(COUNTA(G336:J336)&lt;4,"",ROUND(AVERAGE(G336:J336),1))</f>
        <v/>
      </c>
      <c r="L336" s="2" t="n"/>
      <c r="M336" s="2" t="n"/>
      <c r="N336" s="2" t="n"/>
      <c r="O336" s="2" t="n"/>
    </row>
    <row r="337">
      <c r="A337" s="2" t="n"/>
      <c r="B337" s="2" t="n"/>
      <c r="C337" s="2" t="n"/>
      <c r="D337" s="2" t="n"/>
      <c r="E337" s="2" t="n"/>
      <c r="F337" s="2" t="n"/>
      <c r="G337" s="2" t="n"/>
      <c r="H337" s="2" t="n"/>
      <c r="I337" s="2" t="n"/>
      <c r="J337" s="2" t="n"/>
      <c r="K337" s="2">
        <f>IF(COUNTA(G337:J337)&lt;4,"",ROUND(AVERAGE(G337:J337),1))</f>
        <v/>
      </c>
      <c r="L337" s="2" t="n"/>
      <c r="M337" s="2" t="n"/>
      <c r="N337" s="2" t="n"/>
      <c r="O337" s="2" t="n"/>
    </row>
    <row r="338">
      <c r="A338" s="2" t="n"/>
      <c r="B338" s="2" t="n"/>
      <c r="C338" s="2" t="n"/>
      <c r="D338" s="2" t="n"/>
      <c r="E338" s="2" t="n"/>
      <c r="F338" s="2" t="n"/>
      <c r="G338" s="2" t="n"/>
      <c r="H338" s="2" t="n"/>
      <c r="I338" s="2" t="n"/>
      <c r="J338" s="2" t="n"/>
      <c r="K338" s="2">
        <f>IF(COUNTA(G338:J338)&lt;4,"",ROUND(AVERAGE(G338:J338),1))</f>
        <v/>
      </c>
      <c r="L338" s="2" t="n"/>
      <c r="M338" s="2" t="n"/>
      <c r="N338" s="2" t="n"/>
      <c r="O338" s="2" t="n"/>
    </row>
    <row r="339">
      <c r="A339" s="2" t="n"/>
      <c r="B339" s="2" t="n"/>
      <c r="C339" s="2" t="n"/>
      <c r="D339" s="2" t="n"/>
      <c r="E339" s="2" t="n"/>
      <c r="F339" s="2" t="n"/>
      <c r="G339" s="2" t="n"/>
      <c r="H339" s="2" t="n"/>
      <c r="I339" s="2" t="n"/>
      <c r="J339" s="2" t="n"/>
      <c r="K339" s="2">
        <f>IF(COUNTA(G339:J339)&lt;4,"",ROUND(AVERAGE(G339:J339),1))</f>
        <v/>
      </c>
      <c r="L339" s="2" t="n"/>
      <c r="M339" s="2" t="n"/>
      <c r="N339" s="2" t="n"/>
      <c r="O339" s="2" t="n"/>
    </row>
    <row r="340">
      <c r="A340" s="2" t="n"/>
      <c r="B340" s="2" t="n"/>
      <c r="C340" s="2" t="n"/>
      <c r="D340" s="2" t="n"/>
      <c r="E340" s="2" t="n"/>
      <c r="F340" s="2" t="n"/>
      <c r="G340" s="2" t="n"/>
      <c r="H340" s="2" t="n"/>
      <c r="I340" s="2" t="n"/>
      <c r="J340" s="2" t="n"/>
      <c r="K340" s="2">
        <f>IF(COUNTA(G340:J340)&lt;4,"",ROUND(AVERAGE(G340:J340),1))</f>
        <v/>
      </c>
      <c r="L340" s="2" t="n"/>
      <c r="M340" s="2" t="n"/>
      <c r="N340" s="2" t="n"/>
      <c r="O340" s="2" t="n"/>
    </row>
    <row r="341">
      <c r="A341" s="2" t="n"/>
      <c r="B341" s="2" t="n"/>
      <c r="C341" s="2" t="n"/>
      <c r="D341" s="2" t="n"/>
      <c r="E341" s="2" t="n"/>
      <c r="F341" s="2" t="n"/>
      <c r="G341" s="2" t="n"/>
      <c r="H341" s="2" t="n"/>
      <c r="I341" s="2" t="n"/>
      <c r="J341" s="2" t="n"/>
      <c r="K341" s="2">
        <f>IF(COUNTA(G341:J341)&lt;4,"",ROUND(AVERAGE(G341:J341),1))</f>
        <v/>
      </c>
      <c r="L341" s="2" t="n"/>
      <c r="M341" s="2" t="n"/>
      <c r="N341" s="2" t="n"/>
      <c r="O341" s="2" t="n"/>
    </row>
    <row r="342">
      <c r="A342" s="2" t="n"/>
      <c r="B342" s="2" t="n"/>
      <c r="C342" s="2" t="n"/>
      <c r="D342" s="2" t="n"/>
      <c r="E342" s="2" t="n"/>
      <c r="F342" s="2" t="n"/>
      <c r="G342" s="2" t="n"/>
      <c r="H342" s="2" t="n"/>
      <c r="I342" s="2" t="n"/>
      <c r="J342" s="2" t="n"/>
      <c r="K342" s="2">
        <f>IF(COUNTA(G342:J342)&lt;4,"",ROUND(AVERAGE(G342:J342),1))</f>
        <v/>
      </c>
      <c r="L342" s="2" t="n"/>
      <c r="M342" s="2" t="n"/>
      <c r="N342" s="2" t="n"/>
      <c r="O342" s="2" t="n"/>
    </row>
    <row r="343">
      <c r="A343" s="2" t="n"/>
      <c r="B343" s="2" t="n"/>
      <c r="C343" s="2" t="n"/>
      <c r="D343" s="2" t="n"/>
      <c r="E343" s="2" t="n"/>
      <c r="F343" s="2" t="n"/>
      <c r="G343" s="2" t="n"/>
      <c r="H343" s="2" t="n"/>
      <c r="I343" s="2" t="n"/>
      <c r="J343" s="2" t="n"/>
      <c r="K343" s="2">
        <f>IF(COUNTA(G343:J343)&lt;4,"",ROUND(AVERAGE(G343:J343),1))</f>
        <v/>
      </c>
      <c r="L343" s="2" t="n"/>
      <c r="M343" s="2" t="n"/>
      <c r="N343" s="2" t="n"/>
      <c r="O343" s="2" t="n"/>
    </row>
    <row r="344">
      <c r="A344" s="2" t="n"/>
      <c r="B344" s="2" t="n"/>
      <c r="C344" s="2" t="n"/>
      <c r="D344" s="2" t="n"/>
      <c r="E344" s="2" t="n"/>
      <c r="F344" s="2" t="n"/>
      <c r="G344" s="2" t="n"/>
      <c r="H344" s="2" t="n"/>
      <c r="I344" s="2" t="n"/>
      <c r="J344" s="2" t="n"/>
      <c r="K344" s="2">
        <f>IF(COUNTA(G344:J344)&lt;4,"",ROUND(AVERAGE(G344:J344),1))</f>
        <v/>
      </c>
      <c r="L344" s="2" t="n"/>
      <c r="M344" s="2" t="n"/>
      <c r="N344" s="2" t="n"/>
      <c r="O344" s="2" t="n"/>
    </row>
    <row r="345">
      <c r="A345" s="2" t="n"/>
      <c r="B345" s="2" t="n"/>
      <c r="C345" s="2" t="n"/>
      <c r="D345" s="2" t="n"/>
      <c r="E345" s="2" t="n"/>
      <c r="F345" s="2" t="n"/>
      <c r="G345" s="2" t="n"/>
      <c r="H345" s="2" t="n"/>
      <c r="I345" s="2" t="n"/>
      <c r="J345" s="2" t="n"/>
      <c r="K345" s="2">
        <f>IF(COUNTA(G345:J345)&lt;4,"",ROUND(AVERAGE(G345:J345),1))</f>
        <v/>
      </c>
      <c r="L345" s="2" t="n"/>
      <c r="M345" s="2" t="n"/>
      <c r="N345" s="2" t="n"/>
      <c r="O345" s="2" t="n"/>
    </row>
    <row r="346">
      <c r="A346" s="2" t="n"/>
      <c r="B346" s="2" t="n"/>
      <c r="C346" s="2" t="n"/>
      <c r="D346" s="2" t="n"/>
      <c r="E346" s="2" t="n"/>
      <c r="F346" s="2" t="n"/>
      <c r="G346" s="2" t="n"/>
      <c r="H346" s="2" t="n"/>
      <c r="I346" s="2" t="n"/>
      <c r="J346" s="2" t="n"/>
      <c r="K346" s="2">
        <f>IF(COUNTA(G346:J346)&lt;4,"",ROUND(AVERAGE(G346:J346),1))</f>
        <v/>
      </c>
      <c r="L346" s="2" t="n"/>
      <c r="M346" s="2" t="n"/>
      <c r="N346" s="2" t="n"/>
      <c r="O346" s="2" t="n"/>
    </row>
    <row r="347">
      <c r="A347" s="2" t="n"/>
      <c r="B347" s="2" t="n"/>
      <c r="C347" s="2" t="n"/>
      <c r="D347" s="2" t="n"/>
      <c r="E347" s="2" t="n"/>
      <c r="F347" s="2" t="n"/>
      <c r="G347" s="2" t="n"/>
      <c r="H347" s="2" t="n"/>
      <c r="I347" s="2" t="n"/>
      <c r="J347" s="2" t="n"/>
      <c r="K347" s="2">
        <f>IF(COUNTA(G347:J347)&lt;4,"",ROUND(AVERAGE(G347:J347),1))</f>
        <v/>
      </c>
      <c r="L347" s="2" t="n"/>
      <c r="M347" s="2" t="n"/>
      <c r="N347" s="2" t="n"/>
      <c r="O347" s="2" t="n"/>
    </row>
    <row r="348">
      <c r="A348" s="2" t="n"/>
      <c r="B348" s="2" t="n"/>
      <c r="C348" s="2" t="n"/>
      <c r="D348" s="2" t="n"/>
      <c r="E348" s="2" t="n"/>
      <c r="F348" s="2" t="n"/>
      <c r="G348" s="2" t="n"/>
      <c r="H348" s="2" t="n"/>
      <c r="I348" s="2" t="n"/>
      <c r="J348" s="2" t="n"/>
      <c r="K348" s="2">
        <f>IF(COUNTA(G348:J348)&lt;4,"",ROUND(AVERAGE(G348:J348),1))</f>
        <v/>
      </c>
      <c r="L348" s="2" t="n"/>
      <c r="M348" s="2" t="n"/>
      <c r="N348" s="2" t="n"/>
      <c r="O348" s="2" t="n"/>
    </row>
    <row r="349">
      <c r="A349" s="2" t="n"/>
      <c r="B349" s="2" t="n"/>
      <c r="C349" s="2" t="n"/>
      <c r="D349" s="2" t="n"/>
      <c r="E349" s="2" t="n"/>
      <c r="F349" s="2" t="n"/>
      <c r="G349" s="2" t="n"/>
      <c r="H349" s="2" t="n"/>
      <c r="I349" s="2" t="n"/>
      <c r="J349" s="2" t="n"/>
      <c r="K349" s="2">
        <f>IF(COUNTA(G349:J349)&lt;4,"",ROUND(AVERAGE(G349:J349),1))</f>
        <v/>
      </c>
      <c r="L349" s="2" t="n"/>
      <c r="M349" s="2" t="n"/>
      <c r="N349" s="2" t="n"/>
      <c r="O349" s="2" t="n"/>
    </row>
    <row r="350">
      <c r="A350" s="2" t="n"/>
      <c r="B350" s="2" t="n"/>
      <c r="C350" s="2" t="n"/>
      <c r="D350" s="2" t="n"/>
      <c r="E350" s="2" t="n"/>
      <c r="F350" s="2" t="n"/>
      <c r="G350" s="2" t="n"/>
      <c r="H350" s="2" t="n"/>
      <c r="I350" s="2" t="n"/>
      <c r="J350" s="2" t="n"/>
      <c r="K350" s="2">
        <f>IF(COUNTA(G350:J350)&lt;4,"",ROUND(AVERAGE(G350:J350),1))</f>
        <v/>
      </c>
      <c r="L350" s="2" t="n"/>
      <c r="M350" s="2" t="n"/>
      <c r="N350" s="2" t="n"/>
      <c r="O350" s="2" t="n"/>
    </row>
    <row r="351">
      <c r="A351" s="2" t="n"/>
      <c r="B351" s="2" t="n"/>
      <c r="C351" s="2" t="n"/>
      <c r="D351" s="2" t="n"/>
      <c r="E351" s="2" t="n"/>
      <c r="F351" s="2" t="n"/>
      <c r="G351" s="2" t="n"/>
      <c r="H351" s="2" t="n"/>
      <c r="I351" s="2" t="n"/>
      <c r="J351" s="2" t="n"/>
      <c r="K351" s="2">
        <f>IF(COUNTA(G351:J351)&lt;4,"",ROUND(AVERAGE(G351:J351),1))</f>
        <v/>
      </c>
      <c r="L351" s="2" t="n"/>
      <c r="M351" s="2" t="n"/>
      <c r="N351" s="2" t="n"/>
      <c r="O351" s="2" t="n"/>
    </row>
    <row r="352">
      <c r="A352" s="2" t="n"/>
      <c r="B352" s="2" t="n"/>
      <c r="C352" s="2" t="n"/>
      <c r="D352" s="2" t="n"/>
      <c r="E352" s="2" t="n"/>
      <c r="F352" s="2" t="n"/>
      <c r="G352" s="2" t="n"/>
      <c r="H352" s="2" t="n"/>
      <c r="I352" s="2" t="n"/>
      <c r="J352" s="2" t="n"/>
      <c r="K352" s="2">
        <f>IF(COUNTA(G352:J352)&lt;4,"",ROUND(AVERAGE(G352:J352),1))</f>
        <v/>
      </c>
      <c r="L352" s="2" t="n"/>
      <c r="M352" s="2" t="n"/>
      <c r="N352" s="2" t="n"/>
      <c r="O352" s="2" t="n"/>
    </row>
    <row r="353">
      <c r="A353" s="2" t="n"/>
      <c r="B353" s="2" t="n"/>
      <c r="C353" s="2" t="n"/>
      <c r="D353" s="2" t="n"/>
      <c r="E353" s="2" t="n"/>
      <c r="F353" s="2" t="n"/>
      <c r="G353" s="2" t="n"/>
      <c r="H353" s="2" t="n"/>
      <c r="I353" s="2" t="n"/>
      <c r="J353" s="2" t="n"/>
      <c r="K353" s="2">
        <f>IF(COUNTA(G353:J353)&lt;4,"",ROUND(AVERAGE(G353:J353),1))</f>
        <v/>
      </c>
      <c r="L353" s="2" t="n"/>
      <c r="M353" s="2" t="n"/>
      <c r="N353" s="2" t="n"/>
      <c r="O353" s="2" t="n"/>
    </row>
    <row r="354">
      <c r="A354" s="2" t="n"/>
      <c r="B354" s="2" t="n"/>
      <c r="C354" s="2" t="n"/>
      <c r="D354" s="2" t="n"/>
      <c r="E354" s="2" t="n"/>
      <c r="F354" s="2" t="n"/>
      <c r="G354" s="2" t="n"/>
      <c r="H354" s="2" t="n"/>
      <c r="I354" s="2" t="n"/>
      <c r="J354" s="2" t="n"/>
      <c r="K354" s="2">
        <f>IF(COUNTA(G354:J354)&lt;4,"",ROUND(AVERAGE(G354:J354),1))</f>
        <v/>
      </c>
      <c r="L354" s="2" t="n"/>
      <c r="M354" s="2" t="n"/>
      <c r="N354" s="2" t="n"/>
      <c r="O354" s="2" t="n"/>
    </row>
    <row r="355">
      <c r="A355" s="2" t="n"/>
      <c r="B355" s="2" t="n"/>
      <c r="C355" s="2" t="n"/>
      <c r="D355" s="2" t="n"/>
      <c r="E355" s="2" t="n"/>
      <c r="F355" s="2" t="n"/>
      <c r="G355" s="2" t="n"/>
      <c r="H355" s="2" t="n"/>
      <c r="I355" s="2" t="n"/>
      <c r="J355" s="2" t="n"/>
      <c r="K355" s="2">
        <f>IF(COUNTA(G355:J355)&lt;4,"",ROUND(AVERAGE(G355:J355),1))</f>
        <v/>
      </c>
      <c r="L355" s="2" t="n"/>
      <c r="M355" s="2" t="n"/>
      <c r="N355" s="2" t="n"/>
      <c r="O355" s="2" t="n"/>
    </row>
    <row r="356">
      <c r="A356" s="2" t="n"/>
      <c r="B356" s="2" t="n"/>
      <c r="C356" s="2" t="n"/>
      <c r="D356" s="2" t="n"/>
      <c r="E356" s="2" t="n"/>
      <c r="F356" s="2" t="n"/>
      <c r="G356" s="2" t="n"/>
      <c r="H356" s="2" t="n"/>
      <c r="I356" s="2" t="n"/>
      <c r="J356" s="2" t="n"/>
      <c r="K356" s="2">
        <f>IF(COUNTA(G356:J356)&lt;4,"",ROUND(AVERAGE(G356:J356),1))</f>
        <v/>
      </c>
      <c r="L356" s="2" t="n"/>
      <c r="M356" s="2" t="n"/>
      <c r="N356" s="2" t="n"/>
      <c r="O356" s="2" t="n"/>
    </row>
    <row r="357">
      <c r="A357" s="2" t="n"/>
      <c r="B357" s="2" t="n"/>
      <c r="C357" s="2" t="n"/>
      <c r="D357" s="2" t="n"/>
      <c r="E357" s="2" t="n"/>
      <c r="F357" s="2" t="n"/>
      <c r="G357" s="2" t="n"/>
      <c r="H357" s="2" t="n"/>
      <c r="I357" s="2" t="n"/>
      <c r="J357" s="2" t="n"/>
      <c r="K357" s="2">
        <f>IF(COUNTA(G357:J357)&lt;4,"",ROUND(AVERAGE(G357:J357),1))</f>
        <v/>
      </c>
      <c r="L357" s="2" t="n"/>
      <c r="M357" s="2" t="n"/>
      <c r="N357" s="2" t="n"/>
      <c r="O357" s="2" t="n"/>
    </row>
    <row r="358">
      <c r="A358" s="2" t="n"/>
      <c r="B358" s="2" t="n"/>
      <c r="C358" s="2" t="n"/>
      <c r="D358" s="2" t="n"/>
      <c r="E358" s="2" t="n"/>
      <c r="F358" s="2" t="n"/>
      <c r="G358" s="2" t="n"/>
      <c r="H358" s="2" t="n"/>
      <c r="I358" s="2" t="n"/>
      <c r="J358" s="2" t="n"/>
      <c r="K358" s="2">
        <f>IF(COUNTA(G358:J358)&lt;4,"",ROUND(AVERAGE(G358:J358),1))</f>
        <v/>
      </c>
      <c r="L358" s="2" t="n"/>
      <c r="M358" s="2" t="n"/>
      <c r="N358" s="2" t="n"/>
      <c r="O358" s="2" t="n"/>
    </row>
    <row r="359">
      <c r="A359" s="2" t="n"/>
      <c r="B359" s="2" t="n"/>
      <c r="C359" s="2" t="n"/>
      <c r="D359" s="2" t="n"/>
      <c r="E359" s="2" t="n"/>
      <c r="F359" s="2" t="n"/>
      <c r="G359" s="2" t="n"/>
      <c r="H359" s="2" t="n"/>
      <c r="I359" s="2" t="n"/>
      <c r="J359" s="2" t="n"/>
      <c r="K359" s="2">
        <f>IF(COUNTA(G359:J359)&lt;4,"",ROUND(AVERAGE(G359:J359),1))</f>
        <v/>
      </c>
      <c r="L359" s="2" t="n"/>
      <c r="M359" s="2" t="n"/>
      <c r="N359" s="2" t="n"/>
      <c r="O359" s="2" t="n"/>
    </row>
    <row r="360">
      <c r="A360" s="2" t="n"/>
      <c r="B360" s="2" t="n"/>
      <c r="C360" s="2" t="n"/>
      <c r="D360" s="2" t="n"/>
      <c r="E360" s="2" t="n"/>
      <c r="F360" s="2" t="n"/>
      <c r="G360" s="2" t="n"/>
      <c r="H360" s="2" t="n"/>
      <c r="I360" s="2" t="n"/>
      <c r="J360" s="2" t="n"/>
      <c r="K360" s="2">
        <f>IF(COUNTA(G360:J360)&lt;4,"",ROUND(AVERAGE(G360:J360),1))</f>
        <v/>
      </c>
      <c r="L360" s="2" t="n"/>
      <c r="M360" s="2" t="n"/>
      <c r="N360" s="2" t="n"/>
      <c r="O360" s="2" t="n"/>
    </row>
    <row r="361">
      <c r="A361" s="2" t="n"/>
      <c r="B361" s="2" t="n"/>
      <c r="C361" s="2" t="n"/>
      <c r="D361" s="2" t="n"/>
      <c r="E361" s="2" t="n"/>
      <c r="F361" s="2" t="n"/>
      <c r="G361" s="2" t="n"/>
      <c r="H361" s="2" t="n"/>
      <c r="I361" s="2" t="n"/>
      <c r="J361" s="2" t="n"/>
      <c r="K361" s="2">
        <f>IF(COUNTA(G361:J361)&lt;4,"",ROUND(AVERAGE(G361:J361),1))</f>
        <v/>
      </c>
      <c r="L361" s="2" t="n"/>
      <c r="M361" s="2" t="n"/>
      <c r="N361" s="2" t="n"/>
      <c r="O361" s="2" t="n"/>
    </row>
    <row r="362">
      <c r="A362" s="2" t="n"/>
      <c r="B362" s="2" t="n"/>
      <c r="C362" s="2" t="n"/>
      <c r="D362" s="2" t="n"/>
      <c r="E362" s="2" t="n"/>
      <c r="F362" s="2" t="n"/>
      <c r="G362" s="2" t="n"/>
      <c r="H362" s="2" t="n"/>
      <c r="I362" s="2" t="n"/>
      <c r="J362" s="2" t="n"/>
      <c r="K362" s="2">
        <f>IF(COUNTA(G362:J362)&lt;4,"",ROUND(AVERAGE(G362:J362),1))</f>
        <v/>
      </c>
      <c r="L362" s="2" t="n"/>
      <c r="M362" s="2" t="n"/>
      <c r="N362" s="2" t="n"/>
      <c r="O362" s="2" t="n"/>
    </row>
    <row r="363">
      <c r="A363" s="2" t="n"/>
      <c r="B363" s="2" t="n"/>
      <c r="C363" s="2" t="n"/>
      <c r="D363" s="2" t="n"/>
      <c r="E363" s="2" t="n"/>
      <c r="F363" s="2" t="n"/>
      <c r="G363" s="2" t="n"/>
      <c r="H363" s="2" t="n"/>
      <c r="I363" s="2" t="n"/>
      <c r="J363" s="2" t="n"/>
      <c r="K363" s="2">
        <f>IF(COUNTA(G363:J363)&lt;4,"",ROUND(AVERAGE(G363:J363),1))</f>
        <v/>
      </c>
      <c r="L363" s="2" t="n"/>
      <c r="M363" s="2" t="n"/>
      <c r="N363" s="2" t="n"/>
      <c r="O363" s="2" t="n"/>
    </row>
    <row r="364">
      <c r="A364" s="2" t="n"/>
      <c r="B364" s="2" t="n"/>
      <c r="C364" s="2" t="n"/>
      <c r="D364" s="2" t="n"/>
      <c r="E364" s="2" t="n"/>
      <c r="F364" s="2" t="n"/>
      <c r="G364" s="2" t="n"/>
      <c r="H364" s="2" t="n"/>
      <c r="I364" s="2" t="n"/>
      <c r="J364" s="2" t="n"/>
      <c r="K364" s="2">
        <f>IF(COUNTA(G364:J364)&lt;4,"",ROUND(AVERAGE(G364:J364),1))</f>
        <v/>
      </c>
      <c r="L364" s="2" t="n"/>
      <c r="M364" s="2" t="n"/>
      <c r="N364" s="2" t="n"/>
      <c r="O364" s="2" t="n"/>
    </row>
    <row r="365">
      <c r="A365" s="2" t="n"/>
      <c r="B365" s="2" t="n"/>
      <c r="C365" s="2" t="n"/>
      <c r="D365" s="2" t="n"/>
      <c r="E365" s="2" t="n"/>
      <c r="F365" s="2" t="n"/>
      <c r="G365" s="2" t="n"/>
      <c r="H365" s="2" t="n"/>
      <c r="I365" s="2" t="n"/>
      <c r="J365" s="2" t="n"/>
      <c r="K365" s="2">
        <f>IF(COUNTA(G365:J365)&lt;4,"",ROUND(AVERAGE(G365:J365),1))</f>
        <v/>
      </c>
      <c r="L365" s="2" t="n"/>
      <c r="M365" s="2" t="n"/>
      <c r="N365" s="2" t="n"/>
      <c r="O365" s="2" t="n"/>
    </row>
    <row r="366">
      <c r="A366" s="2" t="n"/>
      <c r="B366" s="2" t="n"/>
      <c r="C366" s="2" t="n"/>
      <c r="D366" s="2" t="n"/>
      <c r="E366" s="2" t="n"/>
      <c r="F366" s="2" t="n"/>
      <c r="G366" s="2" t="n"/>
      <c r="H366" s="2" t="n"/>
      <c r="I366" s="2" t="n"/>
      <c r="J366" s="2" t="n"/>
      <c r="K366" s="2">
        <f>IF(COUNTA(G366:J366)&lt;4,"",ROUND(AVERAGE(G366:J366),1))</f>
        <v/>
      </c>
      <c r="L366" s="2" t="n"/>
      <c r="M366" s="2" t="n"/>
      <c r="N366" s="2" t="n"/>
      <c r="O366" s="2" t="n"/>
    </row>
    <row r="367">
      <c r="A367" s="2" t="n"/>
      <c r="B367" s="2" t="n"/>
      <c r="C367" s="2" t="n"/>
      <c r="D367" s="2" t="n"/>
      <c r="E367" s="2" t="n"/>
      <c r="F367" s="2" t="n"/>
      <c r="G367" s="2" t="n"/>
      <c r="H367" s="2" t="n"/>
      <c r="I367" s="2" t="n"/>
      <c r="J367" s="2" t="n"/>
      <c r="K367" s="2">
        <f>IF(COUNTA(G367:J367)&lt;4,"",ROUND(AVERAGE(G367:J367),1))</f>
        <v/>
      </c>
      <c r="L367" s="2" t="n"/>
      <c r="M367" s="2" t="n"/>
      <c r="N367" s="2" t="n"/>
      <c r="O367" s="2" t="n"/>
    </row>
    <row r="368">
      <c r="A368" s="2" t="n"/>
      <c r="B368" s="2" t="n"/>
      <c r="C368" s="2" t="n"/>
      <c r="D368" s="2" t="n"/>
      <c r="E368" s="2" t="n"/>
      <c r="F368" s="2" t="n"/>
      <c r="G368" s="2" t="n"/>
      <c r="H368" s="2" t="n"/>
      <c r="I368" s="2" t="n"/>
      <c r="J368" s="2" t="n"/>
      <c r="K368" s="2">
        <f>IF(COUNTA(G368:J368)&lt;4,"",ROUND(AVERAGE(G368:J368),1))</f>
        <v/>
      </c>
      <c r="L368" s="2" t="n"/>
      <c r="M368" s="2" t="n"/>
      <c r="N368" s="2" t="n"/>
      <c r="O368" s="2" t="n"/>
    </row>
    <row r="369">
      <c r="A369" s="2" t="n"/>
      <c r="B369" s="2" t="n"/>
      <c r="C369" s="2" t="n"/>
      <c r="D369" s="2" t="n"/>
      <c r="E369" s="2" t="n"/>
      <c r="F369" s="2" t="n"/>
      <c r="G369" s="2" t="n"/>
      <c r="H369" s="2" t="n"/>
      <c r="I369" s="2" t="n"/>
      <c r="J369" s="2" t="n"/>
      <c r="K369" s="2">
        <f>IF(COUNTA(G369:J369)&lt;4,"",ROUND(AVERAGE(G369:J369),1))</f>
        <v/>
      </c>
      <c r="L369" s="2" t="n"/>
      <c r="M369" s="2" t="n"/>
      <c r="N369" s="2" t="n"/>
      <c r="O369" s="2" t="n"/>
    </row>
    <row r="370">
      <c r="A370" s="2" t="n"/>
      <c r="B370" s="2" t="n"/>
      <c r="C370" s="2" t="n"/>
      <c r="D370" s="2" t="n"/>
      <c r="E370" s="2" t="n"/>
      <c r="F370" s="2" t="n"/>
      <c r="G370" s="2" t="n"/>
      <c r="H370" s="2" t="n"/>
      <c r="I370" s="2" t="n"/>
      <c r="J370" s="2" t="n"/>
      <c r="K370" s="2">
        <f>IF(COUNTA(G370:J370)&lt;4,"",ROUND(AVERAGE(G370:J370),1))</f>
        <v/>
      </c>
      <c r="L370" s="2" t="n"/>
      <c r="M370" s="2" t="n"/>
      <c r="N370" s="2" t="n"/>
      <c r="O370" s="2" t="n"/>
    </row>
    <row r="371">
      <c r="A371" s="2" t="n"/>
      <c r="B371" s="2" t="n"/>
      <c r="C371" s="2" t="n"/>
      <c r="D371" s="2" t="n"/>
      <c r="E371" s="2" t="n"/>
      <c r="F371" s="2" t="n"/>
      <c r="G371" s="2" t="n"/>
      <c r="H371" s="2" t="n"/>
      <c r="I371" s="2" t="n"/>
      <c r="J371" s="2" t="n"/>
      <c r="K371" s="2">
        <f>IF(COUNTA(G371:J371)&lt;4,"",ROUND(AVERAGE(G371:J371),1))</f>
        <v/>
      </c>
      <c r="L371" s="2" t="n"/>
      <c r="M371" s="2" t="n"/>
      <c r="N371" s="2" t="n"/>
      <c r="O371" s="2" t="n"/>
    </row>
    <row r="372">
      <c r="A372" s="2" t="n"/>
      <c r="B372" s="2" t="n"/>
      <c r="C372" s="2" t="n"/>
      <c r="D372" s="2" t="n"/>
      <c r="E372" s="2" t="n"/>
      <c r="F372" s="2" t="n"/>
      <c r="G372" s="2" t="n"/>
      <c r="H372" s="2" t="n"/>
      <c r="I372" s="2" t="n"/>
      <c r="J372" s="2" t="n"/>
      <c r="K372" s="2">
        <f>IF(COUNTA(G372:J372)&lt;4,"",ROUND(AVERAGE(G372:J372),1))</f>
        <v/>
      </c>
      <c r="L372" s="2" t="n"/>
      <c r="M372" s="2" t="n"/>
      <c r="N372" s="2" t="n"/>
      <c r="O372" s="2" t="n"/>
    </row>
    <row r="373">
      <c r="A373" s="2" t="n"/>
      <c r="B373" s="2" t="n"/>
      <c r="C373" s="2" t="n"/>
      <c r="D373" s="2" t="n"/>
      <c r="E373" s="2" t="n"/>
      <c r="F373" s="2" t="n"/>
      <c r="G373" s="2" t="n"/>
      <c r="H373" s="2" t="n"/>
      <c r="I373" s="2" t="n"/>
      <c r="J373" s="2" t="n"/>
      <c r="K373" s="2">
        <f>IF(COUNTA(G373:J373)&lt;4,"",ROUND(AVERAGE(G373:J373),1))</f>
        <v/>
      </c>
      <c r="L373" s="2" t="n"/>
      <c r="M373" s="2" t="n"/>
      <c r="N373" s="2" t="n"/>
      <c r="O373" s="2" t="n"/>
    </row>
    <row r="374">
      <c r="A374" s="2" t="n"/>
      <c r="B374" s="2" t="n"/>
      <c r="C374" s="2" t="n"/>
      <c r="D374" s="2" t="n"/>
      <c r="E374" s="2" t="n"/>
      <c r="F374" s="2" t="n"/>
      <c r="G374" s="2" t="n"/>
      <c r="H374" s="2" t="n"/>
      <c r="I374" s="2" t="n"/>
      <c r="J374" s="2" t="n"/>
      <c r="K374" s="2">
        <f>IF(COUNTA(G374:J374)&lt;4,"",ROUND(AVERAGE(G374:J374),1))</f>
        <v/>
      </c>
      <c r="L374" s="2" t="n"/>
      <c r="M374" s="2" t="n"/>
      <c r="N374" s="2" t="n"/>
      <c r="O374" s="2" t="n"/>
    </row>
    <row r="375">
      <c r="A375" s="2" t="n"/>
      <c r="B375" s="2" t="n"/>
      <c r="C375" s="2" t="n"/>
      <c r="D375" s="2" t="n"/>
      <c r="E375" s="2" t="n"/>
      <c r="F375" s="2" t="n"/>
      <c r="G375" s="2" t="n"/>
      <c r="H375" s="2" t="n"/>
      <c r="I375" s="2" t="n"/>
      <c r="J375" s="2" t="n"/>
      <c r="K375" s="2">
        <f>IF(COUNTA(G375:J375)&lt;4,"",ROUND(AVERAGE(G375:J375),1))</f>
        <v/>
      </c>
      <c r="L375" s="2" t="n"/>
      <c r="M375" s="2" t="n"/>
      <c r="N375" s="2" t="n"/>
      <c r="O375" s="2" t="n"/>
    </row>
    <row r="376">
      <c r="A376" s="2" t="n"/>
      <c r="B376" s="2" t="n"/>
      <c r="C376" s="2" t="n"/>
      <c r="D376" s="2" t="n"/>
      <c r="E376" s="2" t="n"/>
      <c r="F376" s="2" t="n"/>
      <c r="G376" s="2" t="n"/>
      <c r="H376" s="2" t="n"/>
      <c r="I376" s="2" t="n"/>
      <c r="J376" s="2" t="n"/>
      <c r="K376" s="2">
        <f>IF(COUNTA(G376:J376)&lt;4,"",ROUND(AVERAGE(G376:J376),1))</f>
        <v/>
      </c>
      <c r="L376" s="2" t="n"/>
      <c r="M376" s="2" t="n"/>
      <c r="N376" s="2" t="n"/>
      <c r="O376" s="2" t="n"/>
    </row>
    <row r="377">
      <c r="A377" s="2" t="n"/>
      <c r="B377" s="2" t="n"/>
      <c r="C377" s="2" t="n"/>
      <c r="D377" s="2" t="n"/>
      <c r="E377" s="2" t="n"/>
      <c r="F377" s="2" t="n"/>
      <c r="G377" s="2" t="n"/>
      <c r="H377" s="2" t="n"/>
      <c r="I377" s="2" t="n"/>
      <c r="J377" s="2" t="n"/>
      <c r="K377" s="2">
        <f>IF(COUNTA(G377:J377)&lt;4,"",ROUND(AVERAGE(G377:J377),1))</f>
        <v/>
      </c>
      <c r="L377" s="2" t="n"/>
      <c r="M377" s="2" t="n"/>
      <c r="N377" s="2" t="n"/>
      <c r="O377" s="2" t="n"/>
    </row>
    <row r="378">
      <c r="A378" s="2" t="n"/>
      <c r="B378" s="2" t="n"/>
      <c r="C378" s="2" t="n"/>
      <c r="D378" s="2" t="n"/>
      <c r="E378" s="2" t="n"/>
      <c r="F378" s="2" t="n"/>
      <c r="G378" s="2" t="n"/>
      <c r="H378" s="2" t="n"/>
      <c r="I378" s="2" t="n"/>
      <c r="J378" s="2" t="n"/>
      <c r="K378" s="2">
        <f>IF(COUNTA(G378:J378)&lt;4,"",ROUND(AVERAGE(G378:J378),1))</f>
        <v/>
      </c>
      <c r="L378" s="2" t="n"/>
      <c r="M378" s="2" t="n"/>
      <c r="N378" s="2" t="n"/>
      <c r="O378" s="2" t="n"/>
    </row>
    <row r="379">
      <c r="A379" s="2" t="n"/>
      <c r="B379" s="2" t="n"/>
      <c r="C379" s="2" t="n"/>
      <c r="D379" s="2" t="n"/>
      <c r="E379" s="2" t="n"/>
      <c r="F379" s="2" t="n"/>
      <c r="G379" s="2" t="n"/>
      <c r="H379" s="2" t="n"/>
      <c r="I379" s="2" t="n"/>
      <c r="J379" s="2" t="n"/>
      <c r="K379" s="2">
        <f>IF(COUNTA(G379:J379)&lt;4,"",ROUND(AVERAGE(G379:J379),1))</f>
        <v/>
      </c>
      <c r="L379" s="2" t="n"/>
      <c r="M379" s="2" t="n"/>
      <c r="N379" s="2" t="n"/>
      <c r="O379" s="2" t="n"/>
    </row>
    <row r="380">
      <c r="A380" s="2" t="n"/>
      <c r="B380" s="2" t="n"/>
      <c r="C380" s="2" t="n"/>
      <c r="D380" s="2" t="n"/>
      <c r="E380" s="2" t="n"/>
      <c r="F380" s="2" t="n"/>
      <c r="G380" s="2" t="n"/>
      <c r="H380" s="2" t="n"/>
      <c r="I380" s="2" t="n"/>
      <c r="J380" s="2" t="n"/>
      <c r="K380" s="2">
        <f>IF(COUNTA(G380:J380)&lt;4,"",ROUND(AVERAGE(G380:J380),1))</f>
        <v/>
      </c>
      <c r="L380" s="2" t="n"/>
      <c r="M380" s="2" t="n"/>
      <c r="N380" s="2" t="n"/>
      <c r="O380" s="2" t="n"/>
    </row>
    <row r="381">
      <c r="A381" s="2" t="n"/>
      <c r="B381" s="2" t="n"/>
      <c r="C381" s="2" t="n"/>
      <c r="D381" s="2" t="n"/>
      <c r="E381" s="2" t="n"/>
      <c r="F381" s="2" t="n"/>
      <c r="G381" s="2" t="n"/>
      <c r="H381" s="2" t="n"/>
      <c r="I381" s="2" t="n"/>
      <c r="J381" s="2" t="n"/>
      <c r="K381" s="2">
        <f>IF(COUNTA(G381:J381)&lt;4,"",ROUND(AVERAGE(G381:J381),1))</f>
        <v/>
      </c>
      <c r="L381" s="2" t="n"/>
      <c r="M381" s="2" t="n"/>
      <c r="N381" s="2" t="n"/>
      <c r="O381" s="2" t="n"/>
    </row>
    <row r="382">
      <c r="A382" s="2" t="n"/>
      <c r="B382" s="2" t="n"/>
      <c r="C382" s="2" t="n"/>
      <c r="D382" s="2" t="n"/>
      <c r="E382" s="2" t="n"/>
      <c r="F382" s="2" t="n"/>
      <c r="G382" s="2" t="n"/>
      <c r="H382" s="2" t="n"/>
      <c r="I382" s="2" t="n"/>
      <c r="J382" s="2" t="n"/>
      <c r="K382" s="2">
        <f>IF(COUNTA(G382:J382)&lt;4,"",ROUND(AVERAGE(G382:J382),1))</f>
        <v/>
      </c>
      <c r="L382" s="2" t="n"/>
      <c r="M382" s="2" t="n"/>
      <c r="N382" s="2" t="n"/>
      <c r="O382" s="2" t="n"/>
    </row>
    <row r="383">
      <c r="A383" s="2" t="n"/>
      <c r="B383" s="2" t="n"/>
      <c r="C383" s="2" t="n"/>
      <c r="D383" s="2" t="n"/>
      <c r="E383" s="2" t="n"/>
      <c r="F383" s="2" t="n"/>
      <c r="G383" s="2" t="n"/>
      <c r="H383" s="2" t="n"/>
      <c r="I383" s="2" t="n"/>
      <c r="J383" s="2" t="n"/>
      <c r="K383" s="2">
        <f>IF(COUNTA(G383:J383)&lt;4,"",ROUND(AVERAGE(G383:J383),1))</f>
        <v/>
      </c>
      <c r="L383" s="2" t="n"/>
      <c r="M383" s="2" t="n"/>
      <c r="N383" s="2" t="n"/>
      <c r="O383" s="2" t="n"/>
    </row>
    <row r="384">
      <c r="A384" s="2" t="n"/>
      <c r="B384" s="2" t="n"/>
      <c r="C384" s="2" t="n"/>
      <c r="D384" s="2" t="n"/>
      <c r="E384" s="2" t="n"/>
      <c r="F384" s="2" t="n"/>
      <c r="G384" s="2" t="n"/>
      <c r="H384" s="2" t="n"/>
      <c r="I384" s="2" t="n"/>
      <c r="J384" s="2" t="n"/>
      <c r="K384" s="2">
        <f>IF(COUNTA(G384:J384)&lt;4,"",ROUND(AVERAGE(G384:J384),1))</f>
        <v/>
      </c>
      <c r="L384" s="2" t="n"/>
      <c r="M384" s="2" t="n"/>
      <c r="N384" s="2" t="n"/>
      <c r="O384" s="2" t="n"/>
    </row>
    <row r="385">
      <c r="A385" s="2" t="n"/>
      <c r="B385" s="2" t="n"/>
      <c r="C385" s="2" t="n"/>
      <c r="D385" s="2" t="n"/>
      <c r="E385" s="2" t="n"/>
      <c r="F385" s="2" t="n"/>
      <c r="G385" s="2" t="n"/>
      <c r="H385" s="2" t="n"/>
      <c r="I385" s="2" t="n"/>
      <c r="J385" s="2" t="n"/>
      <c r="K385" s="2">
        <f>IF(COUNTA(G385:J385)&lt;4,"",ROUND(AVERAGE(G385:J385),1))</f>
        <v/>
      </c>
      <c r="L385" s="2" t="n"/>
      <c r="M385" s="2" t="n"/>
      <c r="N385" s="2" t="n"/>
      <c r="O385" s="2" t="n"/>
    </row>
    <row r="386">
      <c r="A386" s="2" t="n"/>
      <c r="B386" s="2" t="n"/>
      <c r="C386" s="2" t="n"/>
      <c r="D386" s="2" t="n"/>
      <c r="E386" s="2" t="n"/>
      <c r="F386" s="2" t="n"/>
      <c r="G386" s="2" t="n"/>
      <c r="H386" s="2" t="n"/>
      <c r="I386" s="2" t="n"/>
      <c r="J386" s="2" t="n"/>
      <c r="K386" s="2">
        <f>IF(COUNTA(G386:J386)&lt;4,"",ROUND(AVERAGE(G386:J386),1))</f>
        <v/>
      </c>
      <c r="L386" s="2" t="n"/>
      <c r="M386" s="2" t="n"/>
      <c r="N386" s="2" t="n"/>
      <c r="O386" s="2" t="n"/>
    </row>
    <row r="387">
      <c r="A387" s="2" t="n"/>
      <c r="B387" s="2" t="n"/>
      <c r="C387" s="2" t="n"/>
      <c r="D387" s="2" t="n"/>
      <c r="E387" s="2" t="n"/>
      <c r="F387" s="2" t="n"/>
      <c r="G387" s="2" t="n"/>
      <c r="H387" s="2" t="n"/>
      <c r="I387" s="2" t="n"/>
      <c r="J387" s="2" t="n"/>
      <c r="K387" s="2">
        <f>IF(COUNTA(G387:J387)&lt;4,"",ROUND(AVERAGE(G387:J387),1))</f>
        <v/>
      </c>
      <c r="L387" s="2" t="n"/>
      <c r="M387" s="2" t="n"/>
      <c r="N387" s="2" t="n"/>
      <c r="O387" s="2" t="n"/>
    </row>
    <row r="388">
      <c r="A388" s="2" t="n"/>
      <c r="B388" s="2" t="n"/>
      <c r="C388" s="2" t="n"/>
      <c r="D388" s="2" t="n"/>
      <c r="E388" s="2" t="n"/>
      <c r="F388" s="2" t="n"/>
      <c r="G388" s="2" t="n"/>
      <c r="H388" s="2" t="n"/>
      <c r="I388" s="2" t="n"/>
      <c r="J388" s="2" t="n"/>
      <c r="K388" s="2">
        <f>IF(COUNTA(G388:J388)&lt;4,"",ROUND(AVERAGE(G388:J388),1))</f>
        <v/>
      </c>
      <c r="L388" s="2" t="n"/>
      <c r="M388" s="2" t="n"/>
      <c r="N388" s="2" t="n"/>
      <c r="O388" s="2" t="n"/>
    </row>
    <row r="389">
      <c r="A389" s="2" t="n"/>
      <c r="B389" s="2" t="n"/>
      <c r="C389" s="2" t="n"/>
      <c r="D389" s="2" t="n"/>
      <c r="E389" s="2" t="n"/>
      <c r="F389" s="2" t="n"/>
      <c r="G389" s="2" t="n"/>
      <c r="H389" s="2" t="n"/>
      <c r="I389" s="2" t="n"/>
      <c r="J389" s="2" t="n"/>
      <c r="K389" s="2">
        <f>IF(COUNTA(G389:J389)&lt;4,"",ROUND(AVERAGE(G389:J389),1))</f>
        <v/>
      </c>
      <c r="L389" s="2" t="n"/>
      <c r="M389" s="2" t="n"/>
      <c r="N389" s="2" t="n"/>
      <c r="O389" s="2" t="n"/>
    </row>
    <row r="390">
      <c r="A390" s="2" t="n"/>
      <c r="B390" s="2" t="n"/>
      <c r="C390" s="2" t="n"/>
      <c r="D390" s="2" t="n"/>
      <c r="E390" s="2" t="n"/>
      <c r="F390" s="2" t="n"/>
      <c r="G390" s="2" t="n"/>
      <c r="H390" s="2" t="n"/>
      <c r="I390" s="2" t="n"/>
      <c r="J390" s="2" t="n"/>
      <c r="K390" s="2">
        <f>IF(COUNTA(G390:J390)&lt;4,"",ROUND(AVERAGE(G390:J390),1))</f>
        <v/>
      </c>
      <c r="L390" s="2" t="n"/>
      <c r="M390" s="2" t="n"/>
      <c r="N390" s="2" t="n"/>
      <c r="O390" s="2" t="n"/>
    </row>
    <row r="391">
      <c r="A391" s="2" t="n"/>
      <c r="B391" s="2" t="n"/>
      <c r="C391" s="2" t="n"/>
      <c r="D391" s="2" t="n"/>
      <c r="E391" s="2" t="n"/>
      <c r="F391" s="2" t="n"/>
      <c r="G391" s="2" t="n"/>
      <c r="H391" s="2" t="n"/>
      <c r="I391" s="2" t="n"/>
      <c r="J391" s="2" t="n"/>
      <c r="K391" s="2">
        <f>IF(COUNTA(G391:J391)&lt;4,"",ROUND(AVERAGE(G391:J391),1))</f>
        <v/>
      </c>
      <c r="L391" s="2" t="n"/>
      <c r="M391" s="2" t="n"/>
      <c r="N391" s="2" t="n"/>
      <c r="O391" s="2" t="n"/>
    </row>
    <row r="392">
      <c r="A392" s="2" t="n"/>
      <c r="B392" s="2" t="n"/>
      <c r="C392" s="2" t="n"/>
      <c r="D392" s="2" t="n"/>
      <c r="E392" s="2" t="n"/>
      <c r="F392" s="2" t="n"/>
      <c r="G392" s="2" t="n"/>
      <c r="H392" s="2" t="n"/>
      <c r="I392" s="2" t="n"/>
      <c r="J392" s="2" t="n"/>
      <c r="K392" s="2">
        <f>IF(COUNTA(G392:J392)&lt;4,"",ROUND(AVERAGE(G392:J392),1))</f>
        <v/>
      </c>
      <c r="L392" s="2" t="n"/>
      <c r="M392" s="2" t="n"/>
      <c r="N392" s="2" t="n"/>
      <c r="O392" s="2" t="n"/>
    </row>
    <row r="393">
      <c r="A393" s="2" t="n"/>
      <c r="B393" s="2" t="n"/>
      <c r="C393" s="2" t="n"/>
      <c r="D393" s="2" t="n"/>
      <c r="E393" s="2" t="n"/>
      <c r="F393" s="2" t="n"/>
      <c r="G393" s="2" t="n"/>
      <c r="H393" s="2" t="n"/>
      <c r="I393" s="2" t="n"/>
      <c r="J393" s="2" t="n"/>
      <c r="K393" s="2">
        <f>IF(COUNTA(G393:J393)&lt;4,"",ROUND(AVERAGE(G393:J393),1))</f>
        <v/>
      </c>
      <c r="L393" s="2" t="n"/>
      <c r="M393" s="2" t="n"/>
      <c r="N393" s="2" t="n"/>
      <c r="O393" s="2" t="n"/>
    </row>
    <row r="394">
      <c r="A394" s="2" t="n"/>
      <c r="B394" s="2" t="n"/>
      <c r="C394" s="2" t="n"/>
      <c r="D394" s="2" t="n"/>
      <c r="E394" s="2" t="n"/>
      <c r="F394" s="2" t="n"/>
      <c r="G394" s="2" t="n"/>
      <c r="H394" s="2" t="n"/>
      <c r="I394" s="2" t="n"/>
      <c r="J394" s="2" t="n"/>
      <c r="K394" s="2">
        <f>IF(COUNTA(G394:J394)&lt;4,"",ROUND(AVERAGE(G394:J394),1))</f>
        <v/>
      </c>
      <c r="L394" s="2" t="n"/>
      <c r="M394" s="2" t="n"/>
      <c r="N394" s="2" t="n"/>
      <c r="O394" s="2" t="n"/>
    </row>
    <row r="395">
      <c r="A395" s="2" t="n"/>
      <c r="B395" s="2" t="n"/>
      <c r="C395" s="2" t="n"/>
      <c r="D395" s="2" t="n"/>
      <c r="E395" s="2" t="n"/>
      <c r="F395" s="2" t="n"/>
      <c r="G395" s="2" t="n"/>
      <c r="H395" s="2" t="n"/>
      <c r="I395" s="2" t="n"/>
      <c r="J395" s="2" t="n"/>
      <c r="K395" s="2">
        <f>IF(COUNTA(G395:J395)&lt;4,"",ROUND(AVERAGE(G395:J395),1))</f>
        <v/>
      </c>
      <c r="L395" s="2" t="n"/>
      <c r="M395" s="2" t="n"/>
      <c r="N395" s="2" t="n"/>
      <c r="O395" s="2" t="n"/>
    </row>
    <row r="396">
      <c r="A396" s="2" t="n"/>
      <c r="B396" s="2" t="n"/>
      <c r="C396" s="2" t="n"/>
      <c r="D396" s="2" t="n"/>
      <c r="E396" s="2" t="n"/>
      <c r="F396" s="2" t="n"/>
      <c r="G396" s="2" t="n"/>
      <c r="H396" s="2" t="n"/>
      <c r="I396" s="2" t="n"/>
      <c r="J396" s="2" t="n"/>
      <c r="K396" s="2">
        <f>IF(COUNTA(G396:J396)&lt;4,"",ROUND(AVERAGE(G396:J396),1))</f>
        <v/>
      </c>
      <c r="L396" s="2" t="n"/>
      <c r="M396" s="2" t="n"/>
      <c r="N396" s="2" t="n"/>
      <c r="O396" s="2" t="n"/>
    </row>
    <row r="397">
      <c r="A397" s="2" t="n"/>
      <c r="B397" s="2" t="n"/>
      <c r="C397" s="2" t="n"/>
      <c r="D397" s="2" t="n"/>
      <c r="E397" s="2" t="n"/>
      <c r="F397" s="2" t="n"/>
      <c r="G397" s="2" t="n"/>
      <c r="H397" s="2" t="n"/>
      <c r="I397" s="2" t="n"/>
      <c r="J397" s="2" t="n"/>
      <c r="K397" s="2">
        <f>IF(COUNTA(G397:J397)&lt;4,"",ROUND(AVERAGE(G397:J397),1))</f>
        <v/>
      </c>
      <c r="L397" s="2" t="n"/>
      <c r="M397" s="2" t="n"/>
      <c r="N397" s="2" t="n"/>
      <c r="O397" s="2" t="n"/>
    </row>
    <row r="398">
      <c r="A398" s="2" t="n"/>
      <c r="B398" s="2" t="n"/>
      <c r="C398" s="2" t="n"/>
      <c r="D398" s="2" t="n"/>
      <c r="E398" s="2" t="n"/>
      <c r="F398" s="2" t="n"/>
      <c r="G398" s="2" t="n"/>
      <c r="H398" s="2" t="n"/>
      <c r="I398" s="2" t="n"/>
      <c r="J398" s="2" t="n"/>
      <c r="K398" s="2">
        <f>IF(COUNTA(G398:J398)&lt;4,"",ROUND(AVERAGE(G398:J398),1))</f>
        <v/>
      </c>
      <c r="L398" s="2" t="n"/>
      <c r="M398" s="2" t="n"/>
      <c r="N398" s="2" t="n"/>
      <c r="O398" s="2" t="n"/>
    </row>
    <row r="399">
      <c r="A399" s="2" t="n"/>
      <c r="B399" s="2" t="n"/>
      <c r="C399" s="2" t="n"/>
      <c r="D399" s="2" t="n"/>
      <c r="E399" s="2" t="n"/>
      <c r="F399" s="2" t="n"/>
      <c r="G399" s="2" t="n"/>
      <c r="H399" s="2" t="n"/>
      <c r="I399" s="2" t="n"/>
      <c r="J399" s="2" t="n"/>
      <c r="K399" s="2">
        <f>IF(COUNTA(G399:J399)&lt;4,"",ROUND(AVERAGE(G399:J399),1))</f>
        <v/>
      </c>
      <c r="L399" s="2" t="n"/>
      <c r="M399" s="2" t="n"/>
      <c r="N399" s="2" t="n"/>
      <c r="O399" s="2" t="n"/>
    </row>
    <row r="400">
      <c r="A400" s="2" t="n"/>
      <c r="B400" s="2" t="n"/>
      <c r="C400" s="2" t="n"/>
      <c r="D400" s="2" t="n"/>
      <c r="E400" s="2" t="n"/>
      <c r="F400" s="2" t="n"/>
      <c r="G400" s="2" t="n"/>
      <c r="H400" s="2" t="n"/>
      <c r="I400" s="2" t="n"/>
      <c r="J400" s="2" t="n"/>
      <c r="K400" s="2">
        <f>IF(COUNTA(G400:J400)&lt;4,"",ROUND(AVERAGE(G400:J400),1))</f>
        <v/>
      </c>
      <c r="L400" s="2" t="n"/>
      <c r="M400" s="2" t="n"/>
      <c r="N400" s="2" t="n"/>
      <c r="O400" s="2" t="n"/>
    </row>
    <row r="401">
      <c r="A401" s="2" t="n"/>
      <c r="B401" s="2" t="n"/>
      <c r="C401" s="2" t="n"/>
      <c r="D401" s="2" t="n"/>
      <c r="E401" s="2" t="n"/>
      <c r="F401" s="2" t="n"/>
      <c r="G401" s="2" t="n"/>
      <c r="H401" s="2" t="n"/>
      <c r="I401" s="2" t="n"/>
      <c r="J401" s="2" t="n"/>
      <c r="K401" s="2">
        <f>IF(COUNTA(G401:J401)&lt;4,"",ROUND(AVERAGE(G401:J401),1))</f>
        <v/>
      </c>
      <c r="L401" s="2" t="n"/>
      <c r="M401" s="2" t="n"/>
      <c r="N401" s="2" t="n"/>
      <c r="O401" s="2" t="n"/>
    </row>
    <row r="402">
      <c r="A402" s="2" t="n"/>
      <c r="B402" s="2" t="n"/>
      <c r="C402" s="2" t="n"/>
      <c r="D402" s="2" t="n"/>
      <c r="E402" s="2" t="n"/>
      <c r="F402" s="2" t="n"/>
      <c r="G402" s="2" t="n"/>
      <c r="H402" s="2" t="n"/>
      <c r="I402" s="2" t="n"/>
      <c r="J402" s="2" t="n"/>
      <c r="K402" s="2">
        <f>IF(COUNTA(G402:J402)&lt;4,"",ROUND(AVERAGE(G402:J402),1))</f>
        <v/>
      </c>
      <c r="L402" s="2" t="n"/>
      <c r="M402" s="2" t="n"/>
      <c r="N402" s="2" t="n"/>
      <c r="O402" s="2" t="n"/>
    </row>
    <row r="403">
      <c r="A403" s="2" t="n"/>
      <c r="B403" s="2" t="n"/>
      <c r="C403" s="2" t="n"/>
      <c r="D403" s="2" t="n"/>
      <c r="E403" s="2" t="n"/>
      <c r="F403" s="2" t="n"/>
      <c r="G403" s="2" t="n"/>
      <c r="H403" s="2" t="n"/>
      <c r="I403" s="2" t="n"/>
      <c r="J403" s="2" t="n"/>
      <c r="K403" s="2">
        <f>IF(COUNTA(G403:J403)&lt;4,"",ROUND(AVERAGE(G403:J403),1))</f>
        <v/>
      </c>
      <c r="L403" s="2" t="n"/>
      <c r="M403" s="2" t="n"/>
      <c r="N403" s="2" t="n"/>
      <c r="O403" s="2" t="n"/>
    </row>
    <row r="404">
      <c r="A404" s="2" t="n"/>
      <c r="B404" s="2" t="n"/>
      <c r="C404" s="2" t="n"/>
      <c r="D404" s="2" t="n"/>
      <c r="E404" s="2" t="n"/>
      <c r="F404" s="2" t="n"/>
      <c r="G404" s="2" t="n"/>
      <c r="H404" s="2" t="n"/>
      <c r="I404" s="2" t="n"/>
      <c r="J404" s="2" t="n"/>
      <c r="K404" s="2">
        <f>IF(COUNTA(G404:J404)&lt;4,"",ROUND(AVERAGE(G404:J404),1))</f>
        <v/>
      </c>
      <c r="L404" s="2" t="n"/>
      <c r="M404" s="2" t="n"/>
      <c r="N404" s="2" t="n"/>
      <c r="O404" s="2" t="n"/>
    </row>
    <row r="405">
      <c r="A405" s="2" t="n"/>
      <c r="B405" s="2" t="n"/>
      <c r="C405" s="2" t="n"/>
      <c r="D405" s="2" t="n"/>
      <c r="E405" s="2" t="n"/>
      <c r="F405" s="2" t="n"/>
      <c r="G405" s="2" t="n"/>
      <c r="H405" s="2" t="n"/>
      <c r="I405" s="2" t="n"/>
      <c r="J405" s="2" t="n"/>
      <c r="K405" s="2">
        <f>IF(COUNTA(G405:J405)&lt;4,"",ROUND(AVERAGE(G405:J405),1))</f>
        <v/>
      </c>
      <c r="L405" s="2" t="n"/>
      <c r="M405" s="2" t="n"/>
      <c r="N405" s="2" t="n"/>
      <c r="O405" s="2" t="n"/>
    </row>
    <row r="406">
      <c r="A406" s="2" t="n"/>
      <c r="B406" s="2" t="n"/>
      <c r="C406" s="2" t="n"/>
      <c r="D406" s="2" t="n"/>
      <c r="E406" s="2" t="n"/>
      <c r="F406" s="2" t="n"/>
      <c r="G406" s="2" t="n"/>
      <c r="H406" s="2" t="n"/>
      <c r="I406" s="2" t="n"/>
      <c r="J406" s="2" t="n"/>
      <c r="K406" s="2">
        <f>IF(COUNTA(G406:J406)&lt;4,"",ROUND(AVERAGE(G406:J406),1))</f>
        <v/>
      </c>
      <c r="L406" s="2" t="n"/>
      <c r="M406" s="2" t="n"/>
      <c r="N406" s="2" t="n"/>
      <c r="O406" s="2" t="n"/>
    </row>
    <row r="407">
      <c r="A407" s="2" t="n"/>
      <c r="B407" s="2" t="n"/>
      <c r="C407" s="2" t="n"/>
      <c r="D407" s="2" t="n"/>
      <c r="E407" s="2" t="n"/>
      <c r="F407" s="2" t="n"/>
      <c r="G407" s="2" t="n"/>
      <c r="H407" s="2" t="n"/>
      <c r="I407" s="2" t="n"/>
      <c r="J407" s="2" t="n"/>
      <c r="K407" s="2">
        <f>IF(COUNTA(G407:J407)&lt;4,"",ROUND(AVERAGE(G407:J407),1))</f>
        <v/>
      </c>
      <c r="L407" s="2" t="n"/>
      <c r="M407" s="2" t="n"/>
      <c r="N407" s="2" t="n"/>
      <c r="O407" s="2" t="n"/>
    </row>
    <row r="408">
      <c r="A408" s="2" t="n"/>
      <c r="B408" s="2" t="n"/>
      <c r="C408" s="2" t="n"/>
      <c r="D408" s="2" t="n"/>
      <c r="E408" s="2" t="n"/>
      <c r="F408" s="2" t="n"/>
      <c r="G408" s="2" t="n"/>
      <c r="H408" s="2" t="n"/>
      <c r="I408" s="2" t="n"/>
      <c r="J408" s="2" t="n"/>
      <c r="K408" s="2">
        <f>IF(COUNTA(G408:J408)&lt;4,"",ROUND(AVERAGE(G408:J408),1))</f>
        <v/>
      </c>
      <c r="L408" s="2" t="n"/>
      <c r="M408" s="2" t="n"/>
      <c r="N408" s="2" t="n"/>
      <c r="O408" s="2" t="n"/>
    </row>
    <row r="409">
      <c r="A409" s="2" t="n"/>
      <c r="B409" s="2" t="n"/>
      <c r="C409" s="2" t="n"/>
      <c r="D409" s="2" t="n"/>
      <c r="E409" s="2" t="n"/>
      <c r="F409" s="2" t="n"/>
      <c r="G409" s="2" t="n"/>
      <c r="H409" s="2" t="n"/>
      <c r="I409" s="2" t="n"/>
      <c r="J409" s="2" t="n"/>
      <c r="K409" s="2">
        <f>IF(COUNTA(G409:J409)&lt;4,"",ROUND(AVERAGE(G409:J409),1))</f>
        <v/>
      </c>
      <c r="L409" s="2" t="n"/>
      <c r="M409" s="2" t="n"/>
      <c r="N409" s="2" t="n"/>
      <c r="O409" s="2" t="n"/>
    </row>
    <row r="410">
      <c r="A410" s="2" t="n"/>
      <c r="B410" s="2" t="n"/>
      <c r="C410" s="2" t="n"/>
      <c r="D410" s="2" t="n"/>
      <c r="E410" s="2" t="n"/>
      <c r="F410" s="2" t="n"/>
      <c r="G410" s="2" t="n"/>
      <c r="H410" s="2" t="n"/>
      <c r="I410" s="2" t="n"/>
      <c r="J410" s="2" t="n"/>
      <c r="K410" s="2">
        <f>IF(COUNTA(G410:J410)&lt;4,"",ROUND(AVERAGE(G410:J410),1))</f>
        <v/>
      </c>
      <c r="L410" s="2" t="n"/>
      <c r="M410" s="2" t="n"/>
      <c r="N410" s="2" t="n"/>
      <c r="O410" s="2" t="n"/>
    </row>
    <row r="411">
      <c r="A411" s="2" t="n"/>
      <c r="B411" s="2" t="n"/>
      <c r="C411" s="2" t="n"/>
      <c r="D411" s="2" t="n"/>
      <c r="E411" s="2" t="n"/>
      <c r="F411" s="2" t="n"/>
      <c r="G411" s="2" t="n"/>
      <c r="H411" s="2" t="n"/>
      <c r="I411" s="2" t="n"/>
      <c r="J411" s="2" t="n"/>
      <c r="K411" s="2">
        <f>IF(COUNTA(G411:J411)&lt;4,"",ROUND(AVERAGE(G411:J411),1))</f>
        <v/>
      </c>
      <c r="L411" s="2" t="n"/>
      <c r="M411" s="2" t="n"/>
      <c r="N411" s="2" t="n"/>
      <c r="O411" s="2" t="n"/>
    </row>
    <row r="412">
      <c r="A412" s="2" t="n"/>
      <c r="B412" s="2" t="n"/>
      <c r="C412" s="2" t="n"/>
      <c r="D412" s="2" t="n"/>
      <c r="E412" s="2" t="n"/>
      <c r="F412" s="2" t="n"/>
      <c r="G412" s="2" t="n"/>
      <c r="H412" s="2" t="n"/>
      <c r="I412" s="2" t="n"/>
      <c r="J412" s="2" t="n"/>
      <c r="K412" s="2">
        <f>IF(COUNTA(G412:J412)&lt;4,"",ROUND(AVERAGE(G412:J412),1))</f>
        <v/>
      </c>
      <c r="L412" s="2" t="n"/>
      <c r="M412" s="2" t="n"/>
      <c r="N412" s="2" t="n"/>
      <c r="O412" s="2" t="n"/>
    </row>
    <row r="413">
      <c r="A413" s="2" t="n"/>
      <c r="B413" s="2" t="n"/>
      <c r="C413" s="2" t="n"/>
      <c r="D413" s="2" t="n"/>
      <c r="E413" s="2" t="n"/>
      <c r="F413" s="2" t="n"/>
      <c r="G413" s="2" t="n"/>
      <c r="H413" s="2" t="n"/>
      <c r="I413" s="2" t="n"/>
      <c r="J413" s="2" t="n"/>
      <c r="K413" s="2">
        <f>IF(COUNTA(G413:J413)&lt;4,"",ROUND(AVERAGE(G413:J413),1))</f>
        <v/>
      </c>
      <c r="L413" s="2" t="n"/>
      <c r="M413" s="2" t="n"/>
      <c r="N413" s="2" t="n"/>
      <c r="O413" s="2" t="n"/>
    </row>
    <row r="414">
      <c r="A414" s="2" t="n"/>
      <c r="B414" s="2" t="n"/>
      <c r="C414" s="2" t="n"/>
      <c r="D414" s="2" t="n"/>
      <c r="E414" s="2" t="n"/>
      <c r="F414" s="2" t="n"/>
      <c r="G414" s="2" t="n"/>
      <c r="H414" s="2" t="n"/>
      <c r="I414" s="2" t="n"/>
      <c r="J414" s="2" t="n"/>
      <c r="K414" s="2">
        <f>IF(COUNTA(G414:J414)&lt;4,"",ROUND(AVERAGE(G414:J414),1))</f>
        <v/>
      </c>
      <c r="L414" s="2" t="n"/>
      <c r="M414" s="2" t="n"/>
      <c r="N414" s="2" t="n"/>
      <c r="O414" s="2" t="n"/>
    </row>
    <row r="415">
      <c r="A415" s="2" t="n"/>
      <c r="B415" s="2" t="n"/>
      <c r="C415" s="2" t="n"/>
      <c r="D415" s="2" t="n"/>
      <c r="E415" s="2" t="n"/>
      <c r="F415" s="2" t="n"/>
      <c r="G415" s="2" t="n"/>
      <c r="H415" s="2" t="n"/>
      <c r="I415" s="2" t="n"/>
      <c r="J415" s="2" t="n"/>
      <c r="K415" s="2">
        <f>IF(COUNTA(G415:J415)&lt;4,"",ROUND(AVERAGE(G415:J415),1))</f>
        <v/>
      </c>
      <c r="L415" s="2" t="n"/>
      <c r="M415" s="2" t="n"/>
      <c r="N415" s="2" t="n"/>
      <c r="O415" s="2" t="n"/>
    </row>
    <row r="416">
      <c r="A416" s="2" t="n"/>
      <c r="B416" s="2" t="n"/>
      <c r="C416" s="2" t="n"/>
      <c r="D416" s="2" t="n"/>
      <c r="E416" s="2" t="n"/>
      <c r="F416" s="2" t="n"/>
      <c r="G416" s="2" t="n"/>
      <c r="H416" s="2" t="n"/>
      <c r="I416" s="2" t="n"/>
      <c r="J416" s="2" t="n"/>
      <c r="K416" s="2">
        <f>IF(COUNTA(G416:J416)&lt;4,"",ROUND(AVERAGE(G416:J416),1))</f>
        <v/>
      </c>
      <c r="L416" s="2" t="n"/>
      <c r="M416" s="2" t="n"/>
      <c r="N416" s="2" t="n"/>
      <c r="O416" s="2" t="n"/>
    </row>
    <row r="417">
      <c r="A417" s="2" t="n"/>
      <c r="B417" s="2" t="n"/>
      <c r="C417" s="2" t="n"/>
      <c r="D417" s="2" t="n"/>
      <c r="E417" s="2" t="n"/>
      <c r="F417" s="2" t="n"/>
      <c r="G417" s="2" t="n"/>
      <c r="H417" s="2" t="n"/>
      <c r="I417" s="2" t="n"/>
      <c r="J417" s="2" t="n"/>
      <c r="K417" s="2">
        <f>IF(COUNTA(G417:J417)&lt;4,"",ROUND(AVERAGE(G417:J417),1))</f>
        <v/>
      </c>
      <c r="L417" s="2" t="n"/>
      <c r="M417" s="2" t="n"/>
      <c r="N417" s="2" t="n"/>
      <c r="O417" s="2" t="n"/>
    </row>
    <row r="418">
      <c r="A418" s="2" t="n"/>
      <c r="B418" s="2" t="n"/>
      <c r="C418" s="2" t="n"/>
      <c r="D418" s="2" t="n"/>
      <c r="E418" s="2" t="n"/>
      <c r="F418" s="2" t="n"/>
      <c r="G418" s="2" t="n"/>
      <c r="H418" s="2" t="n"/>
      <c r="I418" s="2" t="n"/>
      <c r="J418" s="2" t="n"/>
      <c r="K418" s="2">
        <f>IF(COUNTA(G418:J418)&lt;4,"",ROUND(AVERAGE(G418:J418),1))</f>
        <v/>
      </c>
      <c r="L418" s="2" t="n"/>
      <c r="M418" s="2" t="n"/>
      <c r="N418" s="2" t="n"/>
      <c r="O418" s="2" t="n"/>
    </row>
    <row r="419">
      <c r="A419" s="2" t="n"/>
      <c r="B419" s="2" t="n"/>
      <c r="C419" s="2" t="n"/>
      <c r="D419" s="2" t="n"/>
      <c r="E419" s="2" t="n"/>
      <c r="F419" s="2" t="n"/>
      <c r="G419" s="2" t="n"/>
      <c r="H419" s="2" t="n"/>
      <c r="I419" s="2" t="n"/>
      <c r="J419" s="2" t="n"/>
      <c r="K419" s="2">
        <f>IF(COUNTA(G419:J419)&lt;4,"",ROUND(AVERAGE(G419:J419),1))</f>
        <v/>
      </c>
      <c r="L419" s="2" t="n"/>
      <c r="M419" s="2" t="n"/>
      <c r="N419" s="2" t="n"/>
      <c r="O419" s="2" t="n"/>
    </row>
    <row r="420">
      <c r="A420" s="2" t="n"/>
      <c r="B420" s="2" t="n"/>
      <c r="C420" s="2" t="n"/>
      <c r="D420" s="2" t="n"/>
      <c r="E420" s="2" t="n"/>
      <c r="F420" s="2" t="n"/>
      <c r="G420" s="2" t="n"/>
      <c r="H420" s="2" t="n"/>
      <c r="I420" s="2" t="n"/>
      <c r="J420" s="2" t="n"/>
      <c r="K420" s="2">
        <f>IF(COUNTA(G420:J420)&lt;4,"",ROUND(AVERAGE(G420:J420),1))</f>
        <v/>
      </c>
      <c r="L420" s="2" t="n"/>
      <c r="M420" s="2" t="n"/>
      <c r="N420" s="2" t="n"/>
      <c r="O420" s="2" t="n"/>
    </row>
    <row r="421">
      <c r="A421" s="2" t="n"/>
      <c r="B421" s="2" t="n"/>
      <c r="C421" s="2" t="n"/>
      <c r="D421" s="2" t="n"/>
      <c r="E421" s="2" t="n"/>
      <c r="F421" s="2" t="n"/>
      <c r="G421" s="2" t="n"/>
      <c r="H421" s="2" t="n"/>
      <c r="I421" s="2" t="n"/>
      <c r="J421" s="2" t="n"/>
      <c r="K421" s="2">
        <f>IF(COUNTA(G421:J421)&lt;4,"",ROUND(AVERAGE(G421:J421),1))</f>
        <v/>
      </c>
      <c r="L421" s="2" t="n"/>
      <c r="M421" s="2" t="n"/>
      <c r="N421" s="2" t="n"/>
      <c r="O421" s="2" t="n"/>
    </row>
    <row r="422">
      <c r="A422" s="2" t="n"/>
      <c r="B422" s="2" t="n"/>
      <c r="C422" s="2" t="n"/>
      <c r="D422" s="2" t="n"/>
      <c r="E422" s="2" t="n"/>
      <c r="F422" s="2" t="n"/>
      <c r="G422" s="2" t="n"/>
      <c r="H422" s="2" t="n"/>
      <c r="I422" s="2" t="n"/>
      <c r="J422" s="2" t="n"/>
      <c r="K422" s="2">
        <f>IF(COUNTA(G422:J422)&lt;4,"",ROUND(AVERAGE(G422:J422),1))</f>
        <v/>
      </c>
      <c r="L422" s="2" t="n"/>
      <c r="M422" s="2" t="n"/>
      <c r="N422" s="2" t="n"/>
      <c r="O422" s="2" t="n"/>
    </row>
    <row r="423">
      <c r="A423" s="2" t="n"/>
      <c r="B423" s="2" t="n"/>
      <c r="C423" s="2" t="n"/>
      <c r="D423" s="2" t="n"/>
      <c r="E423" s="2" t="n"/>
      <c r="F423" s="2" t="n"/>
      <c r="G423" s="2" t="n"/>
      <c r="H423" s="2" t="n"/>
      <c r="I423" s="2" t="n"/>
      <c r="J423" s="2" t="n"/>
      <c r="K423" s="2">
        <f>IF(COUNTA(G423:J423)&lt;4,"",ROUND(AVERAGE(G423:J423),1))</f>
        <v/>
      </c>
      <c r="L423" s="2" t="n"/>
      <c r="M423" s="2" t="n"/>
      <c r="N423" s="2" t="n"/>
      <c r="O423" s="2" t="n"/>
    </row>
    <row r="424">
      <c r="A424" s="2" t="n"/>
      <c r="B424" s="2" t="n"/>
      <c r="C424" s="2" t="n"/>
      <c r="D424" s="2" t="n"/>
      <c r="E424" s="2" t="n"/>
      <c r="F424" s="2" t="n"/>
      <c r="G424" s="2" t="n"/>
      <c r="H424" s="2" t="n"/>
      <c r="I424" s="2" t="n"/>
      <c r="J424" s="2" t="n"/>
      <c r="K424" s="2">
        <f>IF(COUNTA(G424:J424)&lt;4,"",ROUND(AVERAGE(G424:J424),1))</f>
        <v/>
      </c>
      <c r="L424" s="2" t="n"/>
      <c r="M424" s="2" t="n"/>
      <c r="N424" s="2" t="n"/>
      <c r="O424" s="2" t="n"/>
    </row>
    <row r="425">
      <c r="A425" s="2" t="n"/>
      <c r="B425" s="2" t="n"/>
      <c r="C425" s="2" t="n"/>
      <c r="D425" s="2" t="n"/>
      <c r="E425" s="2" t="n"/>
      <c r="F425" s="2" t="n"/>
      <c r="G425" s="2" t="n"/>
      <c r="H425" s="2" t="n"/>
      <c r="I425" s="2" t="n"/>
      <c r="J425" s="2" t="n"/>
      <c r="K425" s="2">
        <f>IF(COUNTA(G425:J425)&lt;4,"",ROUND(AVERAGE(G425:J425),1))</f>
        <v/>
      </c>
      <c r="L425" s="2" t="n"/>
      <c r="M425" s="2" t="n"/>
      <c r="N425" s="2" t="n"/>
      <c r="O425" s="2" t="n"/>
    </row>
    <row r="426">
      <c r="A426" s="2" t="n"/>
      <c r="B426" s="2" t="n"/>
      <c r="C426" s="2" t="n"/>
      <c r="D426" s="2" t="n"/>
      <c r="E426" s="2" t="n"/>
      <c r="F426" s="2" t="n"/>
      <c r="G426" s="2" t="n"/>
      <c r="H426" s="2" t="n"/>
      <c r="I426" s="2" t="n"/>
      <c r="J426" s="2" t="n"/>
      <c r="K426" s="2">
        <f>IF(COUNTA(G426:J426)&lt;4,"",ROUND(AVERAGE(G426:J426),1))</f>
        <v/>
      </c>
      <c r="L426" s="2" t="n"/>
      <c r="M426" s="2" t="n"/>
      <c r="N426" s="2" t="n"/>
      <c r="O426" s="2" t="n"/>
    </row>
    <row r="427">
      <c r="A427" s="2" t="n"/>
      <c r="B427" s="2" t="n"/>
      <c r="C427" s="2" t="n"/>
      <c r="D427" s="2" t="n"/>
      <c r="E427" s="2" t="n"/>
      <c r="F427" s="2" t="n"/>
      <c r="G427" s="2" t="n"/>
      <c r="H427" s="2" t="n"/>
      <c r="I427" s="2" t="n"/>
      <c r="J427" s="2" t="n"/>
      <c r="K427" s="2">
        <f>IF(COUNTA(G427:J427)&lt;4,"",ROUND(AVERAGE(G427:J427),1))</f>
        <v/>
      </c>
      <c r="L427" s="2" t="n"/>
      <c r="M427" s="2" t="n"/>
      <c r="N427" s="2" t="n"/>
      <c r="O427" s="2" t="n"/>
    </row>
    <row r="428">
      <c r="A428" s="2" t="n"/>
      <c r="B428" s="2" t="n"/>
      <c r="C428" s="2" t="n"/>
      <c r="D428" s="2" t="n"/>
      <c r="E428" s="2" t="n"/>
      <c r="F428" s="2" t="n"/>
      <c r="G428" s="2" t="n"/>
      <c r="H428" s="2" t="n"/>
      <c r="I428" s="2" t="n"/>
      <c r="J428" s="2" t="n"/>
      <c r="K428" s="2">
        <f>IF(COUNTA(G428:J428)&lt;4,"",ROUND(AVERAGE(G428:J428),1))</f>
        <v/>
      </c>
      <c r="L428" s="2" t="n"/>
      <c r="M428" s="2" t="n"/>
      <c r="N428" s="2" t="n"/>
      <c r="O428" s="2" t="n"/>
    </row>
    <row r="429">
      <c r="A429" s="2" t="n"/>
      <c r="B429" s="2" t="n"/>
      <c r="C429" s="2" t="n"/>
      <c r="D429" s="2" t="n"/>
      <c r="E429" s="2" t="n"/>
      <c r="F429" s="2" t="n"/>
      <c r="G429" s="2" t="n"/>
      <c r="H429" s="2" t="n"/>
      <c r="I429" s="2" t="n"/>
      <c r="J429" s="2" t="n"/>
      <c r="K429" s="2">
        <f>IF(COUNTA(G429:J429)&lt;4,"",ROUND(AVERAGE(G429:J429),1))</f>
        <v/>
      </c>
      <c r="L429" s="2" t="n"/>
      <c r="M429" s="2" t="n"/>
      <c r="N429" s="2" t="n"/>
      <c r="O429" s="2" t="n"/>
    </row>
    <row r="430">
      <c r="A430" s="2" t="n"/>
      <c r="B430" s="2" t="n"/>
      <c r="C430" s="2" t="n"/>
      <c r="D430" s="2" t="n"/>
      <c r="E430" s="2" t="n"/>
      <c r="F430" s="2" t="n"/>
      <c r="G430" s="2" t="n"/>
      <c r="H430" s="2" t="n"/>
      <c r="I430" s="2" t="n"/>
      <c r="J430" s="2" t="n"/>
      <c r="K430" s="2">
        <f>IF(COUNTA(G430:J430)&lt;4,"",ROUND(AVERAGE(G430:J430),1))</f>
        <v/>
      </c>
      <c r="L430" s="2" t="n"/>
      <c r="M430" s="2" t="n"/>
      <c r="N430" s="2" t="n"/>
      <c r="O430" s="2" t="n"/>
    </row>
    <row r="431">
      <c r="A431" s="2" t="n"/>
      <c r="B431" s="2" t="n"/>
      <c r="C431" s="2" t="n"/>
      <c r="D431" s="2" t="n"/>
      <c r="E431" s="2" t="n"/>
      <c r="F431" s="2" t="n"/>
      <c r="G431" s="2" t="n"/>
      <c r="H431" s="2" t="n"/>
      <c r="I431" s="2" t="n"/>
      <c r="J431" s="2" t="n"/>
      <c r="K431" s="2">
        <f>IF(COUNTA(G431:J431)&lt;4,"",ROUND(AVERAGE(G431:J431),1))</f>
        <v/>
      </c>
      <c r="L431" s="2" t="n"/>
      <c r="M431" s="2" t="n"/>
      <c r="N431" s="2" t="n"/>
      <c r="O431" s="2" t="n"/>
    </row>
    <row r="432">
      <c r="A432" s="2" t="n"/>
      <c r="B432" s="2" t="n"/>
      <c r="C432" s="2" t="n"/>
      <c r="D432" s="2" t="n"/>
      <c r="E432" s="2" t="n"/>
      <c r="F432" s="2" t="n"/>
      <c r="G432" s="2" t="n"/>
      <c r="H432" s="2" t="n"/>
      <c r="I432" s="2" t="n"/>
      <c r="J432" s="2" t="n"/>
      <c r="K432" s="2">
        <f>IF(COUNTA(G432:J432)&lt;4,"",ROUND(AVERAGE(G432:J432),1))</f>
        <v/>
      </c>
      <c r="L432" s="2" t="n"/>
      <c r="M432" s="2" t="n"/>
      <c r="N432" s="2" t="n"/>
      <c r="O432" s="2" t="n"/>
    </row>
    <row r="433">
      <c r="A433" s="2" t="n"/>
      <c r="B433" s="2" t="n"/>
      <c r="C433" s="2" t="n"/>
      <c r="D433" s="2" t="n"/>
      <c r="E433" s="2" t="n"/>
      <c r="F433" s="2" t="n"/>
      <c r="G433" s="2" t="n"/>
      <c r="H433" s="2" t="n"/>
      <c r="I433" s="2" t="n"/>
      <c r="J433" s="2" t="n"/>
      <c r="K433" s="2">
        <f>IF(COUNTA(G433:J433)&lt;4,"",ROUND(AVERAGE(G433:J433),1))</f>
        <v/>
      </c>
      <c r="L433" s="2" t="n"/>
      <c r="M433" s="2" t="n"/>
      <c r="N433" s="2" t="n"/>
      <c r="O433" s="2" t="n"/>
    </row>
    <row r="434">
      <c r="A434" s="2" t="n"/>
      <c r="B434" s="2" t="n"/>
      <c r="C434" s="2" t="n"/>
      <c r="D434" s="2" t="n"/>
      <c r="E434" s="2" t="n"/>
      <c r="F434" s="2" t="n"/>
      <c r="G434" s="2" t="n"/>
      <c r="H434" s="2" t="n"/>
      <c r="I434" s="2" t="n"/>
      <c r="J434" s="2" t="n"/>
      <c r="K434" s="2">
        <f>IF(COUNTA(G434:J434)&lt;4,"",ROUND(AVERAGE(G434:J434),1))</f>
        <v/>
      </c>
      <c r="L434" s="2" t="n"/>
      <c r="M434" s="2" t="n"/>
      <c r="N434" s="2" t="n"/>
      <c r="O434" s="2" t="n"/>
    </row>
    <row r="435">
      <c r="A435" s="2" t="n"/>
      <c r="B435" s="2" t="n"/>
      <c r="C435" s="2" t="n"/>
      <c r="D435" s="2" t="n"/>
      <c r="E435" s="2" t="n"/>
      <c r="F435" s="2" t="n"/>
      <c r="G435" s="2" t="n"/>
      <c r="H435" s="2" t="n"/>
      <c r="I435" s="2" t="n"/>
      <c r="J435" s="2" t="n"/>
      <c r="K435" s="2">
        <f>IF(COUNTA(G435:J435)&lt;4,"",ROUND(AVERAGE(G435:J435),1))</f>
        <v/>
      </c>
      <c r="L435" s="2" t="n"/>
      <c r="M435" s="2" t="n"/>
      <c r="N435" s="2" t="n"/>
      <c r="O435" s="2" t="n"/>
    </row>
    <row r="436">
      <c r="A436" s="2" t="n"/>
      <c r="B436" s="2" t="n"/>
      <c r="C436" s="2" t="n"/>
      <c r="D436" s="2" t="n"/>
      <c r="E436" s="2" t="n"/>
      <c r="F436" s="2" t="n"/>
      <c r="G436" s="2" t="n"/>
      <c r="H436" s="2" t="n"/>
      <c r="I436" s="2" t="n"/>
      <c r="J436" s="2" t="n"/>
      <c r="K436" s="2">
        <f>IF(COUNTA(G436:J436)&lt;4,"",ROUND(AVERAGE(G436:J436),1))</f>
        <v/>
      </c>
      <c r="L436" s="2" t="n"/>
      <c r="M436" s="2" t="n"/>
      <c r="N436" s="2" t="n"/>
      <c r="O436" s="2" t="n"/>
    </row>
    <row r="437">
      <c r="A437" s="2" t="n"/>
      <c r="B437" s="2" t="n"/>
      <c r="C437" s="2" t="n"/>
      <c r="D437" s="2" t="n"/>
      <c r="E437" s="2" t="n"/>
      <c r="F437" s="2" t="n"/>
      <c r="G437" s="2" t="n"/>
      <c r="H437" s="2" t="n"/>
      <c r="I437" s="2" t="n"/>
      <c r="J437" s="2" t="n"/>
      <c r="K437" s="2">
        <f>IF(COUNTA(G437:J437)&lt;4,"",ROUND(AVERAGE(G437:J437),1))</f>
        <v/>
      </c>
      <c r="L437" s="2" t="n"/>
      <c r="M437" s="2" t="n"/>
      <c r="N437" s="2" t="n"/>
      <c r="O437" s="2" t="n"/>
    </row>
    <row r="438">
      <c r="A438" s="2" t="n"/>
      <c r="B438" s="2" t="n"/>
      <c r="C438" s="2" t="n"/>
      <c r="D438" s="2" t="n"/>
      <c r="E438" s="2" t="n"/>
      <c r="F438" s="2" t="n"/>
      <c r="G438" s="2" t="n"/>
      <c r="H438" s="2" t="n"/>
      <c r="I438" s="2" t="n"/>
      <c r="J438" s="2" t="n"/>
      <c r="K438" s="2">
        <f>IF(COUNTA(G438:J438)&lt;4,"",ROUND(AVERAGE(G438:J438),1))</f>
        <v/>
      </c>
      <c r="L438" s="2" t="n"/>
      <c r="M438" s="2" t="n"/>
      <c r="N438" s="2" t="n"/>
      <c r="O438" s="2" t="n"/>
    </row>
    <row r="439">
      <c r="A439" s="2" t="n"/>
      <c r="B439" s="2" t="n"/>
      <c r="C439" s="2" t="n"/>
      <c r="D439" s="2" t="n"/>
      <c r="E439" s="2" t="n"/>
      <c r="F439" s="2" t="n"/>
      <c r="G439" s="2" t="n"/>
      <c r="H439" s="2" t="n"/>
      <c r="I439" s="2" t="n"/>
      <c r="J439" s="2" t="n"/>
      <c r="K439" s="2">
        <f>IF(COUNTA(G439:J439)&lt;4,"",ROUND(AVERAGE(G439:J439),1))</f>
        <v/>
      </c>
      <c r="L439" s="2" t="n"/>
      <c r="M439" s="2" t="n"/>
      <c r="N439" s="2" t="n"/>
      <c r="O439" s="2" t="n"/>
    </row>
    <row r="440">
      <c r="A440" s="2" t="n"/>
      <c r="B440" s="2" t="n"/>
      <c r="C440" s="2" t="n"/>
      <c r="D440" s="2" t="n"/>
      <c r="E440" s="2" t="n"/>
      <c r="F440" s="2" t="n"/>
      <c r="G440" s="2" t="n"/>
      <c r="H440" s="2" t="n"/>
      <c r="I440" s="2" t="n"/>
      <c r="J440" s="2" t="n"/>
      <c r="K440" s="2">
        <f>IF(COUNTA(G440:J440)&lt;4,"",ROUND(AVERAGE(G440:J440),1))</f>
        <v/>
      </c>
      <c r="L440" s="2" t="n"/>
      <c r="M440" s="2" t="n"/>
      <c r="N440" s="2" t="n"/>
      <c r="O440" s="2" t="n"/>
    </row>
    <row r="441">
      <c r="A441" s="2" t="n"/>
      <c r="B441" s="2" t="n"/>
      <c r="C441" s="2" t="n"/>
      <c r="D441" s="2" t="n"/>
      <c r="E441" s="2" t="n"/>
      <c r="F441" s="2" t="n"/>
      <c r="G441" s="2" t="n"/>
      <c r="H441" s="2" t="n"/>
      <c r="I441" s="2" t="n"/>
      <c r="J441" s="2" t="n"/>
      <c r="K441" s="2">
        <f>IF(COUNTA(G441:J441)&lt;4,"",ROUND(AVERAGE(G441:J441),1))</f>
        <v/>
      </c>
      <c r="L441" s="2" t="n"/>
      <c r="M441" s="2" t="n"/>
      <c r="N441" s="2" t="n"/>
      <c r="O441" s="2" t="n"/>
    </row>
    <row r="442">
      <c r="A442" s="2" t="n"/>
      <c r="B442" s="2" t="n"/>
      <c r="C442" s="2" t="n"/>
      <c r="D442" s="2" t="n"/>
      <c r="E442" s="2" t="n"/>
      <c r="F442" s="2" t="n"/>
      <c r="G442" s="2" t="n"/>
      <c r="H442" s="2" t="n"/>
      <c r="I442" s="2" t="n"/>
      <c r="J442" s="2" t="n"/>
      <c r="K442" s="2">
        <f>IF(COUNTA(G442:J442)&lt;4,"",ROUND(AVERAGE(G442:J442),1))</f>
        <v/>
      </c>
      <c r="L442" s="2" t="n"/>
      <c r="M442" s="2" t="n"/>
      <c r="N442" s="2" t="n"/>
      <c r="O442" s="2" t="n"/>
    </row>
    <row r="443">
      <c r="A443" s="2" t="n"/>
      <c r="B443" s="2" t="n"/>
      <c r="C443" s="2" t="n"/>
      <c r="D443" s="2" t="n"/>
      <c r="E443" s="2" t="n"/>
      <c r="F443" s="2" t="n"/>
      <c r="G443" s="2" t="n"/>
      <c r="H443" s="2" t="n"/>
      <c r="I443" s="2" t="n"/>
      <c r="J443" s="2" t="n"/>
      <c r="K443" s="2">
        <f>IF(COUNTA(G443:J443)&lt;4,"",ROUND(AVERAGE(G443:J443),1))</f>
        <v/>
      </c>
      <c r="L443" s="2" t="n"/>
      <c r="M443" s="2" t="n"/>
      <c r="N443" s="2" t="n"/>
      <c r="O443" s="2" t="n"/>
    </row>
    <row r="444">
      <c r="A444" s="2" t="n"/>
      <c r="B444" s="2" t="n"/>
      <c r="C444" s="2" t="n"/>
      <c r="D444" s="2" t="n"/>
      <c r="E444" s="2" t="n"/>
      <c r="F444" s="2" t="n"/>
      <c r="G444" s="2" t="n"/>
      <c r="H444" s="2" t="n"/>
      <c r="I444" s="2" t="n"/>
      <c r="J444" s="2" t="n"/>
      <c r="K444" s="2">
        <f>IF(COUNTA(G444:J444)&lt;4,"",ROUND(AVERAGE(G444:J444),1))</f>
        <v/>
      </c>
      <c r="L444" s="2" t="n"/>
      <c r="M444" s="2" t="n"/>
      <c r="N444" s="2" t="n"/>
      <c r="O444" s="2" t="n"/>
    </row>
    <row r="445">
      <c r="A445" s="2" t="n"/>
      <c r="B445" s="2" t="n"/>
      <c r="C445" s="2" t="n"/>
      <c r="D445" s="2" t="n"/>
      <c r="E445" s="2" t="n"/>
      <c r="F445" s="2" t="n"/>
      <c r="G445" s="2" t="n"/>
      <c r="H445" s="2" t="n"/>
      <c r="I445" s="2" t="n"/>
      <c r="J445" s="2" t="n"/>
      <c r="K445" s="2">
        <f>IF(COUNTA(G445:J445)&lt;4,"",ROUND(AVERAGE(G445:J445),1))</f>
        <v/>
      </c>
      <c r="L445" s="2" t="n"/>
      <c r="M445" s="2" t="n"/>
      <c r="N445" s="2" t="n"/>
      <c r="O445" s="2" t="n"/>
    </row>
    <row r="446">
      <c r="A446" s="2" t="n"/>
      <c r="B446" s="2" t="n"/>
      <c r="C446" s="2" t="n"/>
      <c r="D446" s="2" t="n"/>
      <c r="E446" s="2" t="n"/>
      <c r="F446" s="2" t="n"/>
      <c r="G446" s="2" t="n"/>
      <c r="H446" s="2" t="n"/>
      <c r="I446" s="2" t="n"/>
      <c r="J446" s="2" t="n"/>
      <c r="K446" s="2">
        <f>IF(COUNTA(G446:J446)&lt;4,"",ROUND(AVERAGE(G446:J446),1))</f>
        <v/>
      </c>
      <c r="L446" s="2" t="n"/>
      <c r="M446" s="2" t="n"/>
      <c r="N446" s="2" t="n"/>
      <c r="O446" s="2" t="n"/>
    </row>
    <row r="447">
      <c r="A447" s="2" t="n"/>
      <c r="B447" s="2" t="n"/>
      <c r="C447" s="2" t="n"/>
      <c r="D447" s="2" t="n"/>
      <c r="E447" s="2" t="n"/>
      <c r="F447" s="2" t="n"/>
      <c r="G447" s="2" t="n"/>
      <c r="H447" s="2" t="n"/>
      <c r="I447" s="2" t="n"/>
      <c r="J447" s="2" t="n"/>
      <c r="K447" s="2">
        <f>IF(COUNTA(G447:J447)&lt;4,"",ROUND(AVERAGE(G447:J447),1))</f>
        <v/>
      </c>
      <c r="L447" s="2" t="n"/>
      <c r="M447" s="2" t="n"/>
      <c r="N447" s="2" t="n"/>
      <c r="O447" s="2" t="n"/>
    </row>
    <row r="448">
      <c r="A448" s="2" t="n"/>
      <c r="B448" s="2" t="n"/>
      <c r="C448" s="2" t="n"/>
      <c r="D448" s="2" t="n"/>
      <c r="E448" s="2" t="n"/>
      <c r="F448" s="2" t="n"/>
      <c r="G448" s="2" t="n"/>
      <c r="H448" s="2" t="n"/>
      <c r="I448" s="2" t="n"/>
      <c r="J448" s="2" t="n"/>
      <c r="K448" s="2">
        <f>IF(COUNTA(G448:J448)&lt;4,"",ROUND(AVERAGE(G448:J448),1))</f>
        <v/>
      </c>
      <c r="L448" s="2" t="n"/>
      <c r="M448" s="2" t="n"/>
      <c r="N448" s="2" t="n"/>
      <c r="O448" s="2" t="n"/>
    </row>
    <row r="449">
      <c r="A449" s="2" t="n"/>
      <c r="B449" s="2" t="n"/>
      <c r="C449" s="2" t="n"/>
      <c r="D449" s="2" t="n"/>
      <c r="E449" s="2" t="n"/>
      <c r="F449" s="2" t="n"/>
      <c r="G449" s="2" t="n"/>
      <c r="H449" s="2" t="n"/>
      <c r="I449" s="2" t="n"/>
      <c r="J449" s="2" t="n"/>
      <c r="K449" s="2">
        <f>IF(COUNTA(G449:J449)&lt;4,"",ROUND(AVERAGE(G449:J449),1))</f>
        <v/>
      </c>
      <c r="L449" s="2" t="n"/>
      <c r="M449" s="2" t="n"/>
      <c r="N449" s="2" t="n"/>
      <c r="O449" s="2" t="n"/>
    </row>
    <row r="450">
      <c r="A450" s="2" t="n"/>
      <c r="B450" s="2" t="n"/>
      <c r="C450" s="2" t="n"/>
      <c r="D450" s="2" t="n"/>
      <c r="E450" s="2" t="n"/>
      <c r="F450" s="2" t="n"/>
      <c r="G450" s="2" t="n"/>
      <c r="H450" s="2" t="n"/>
      <c r="I450" s="2" t="n"/>
      <c r="J450" s="2" t="n"/>
      <c r="K450" s="2">
        <f>IF(COUNTA(G450:J450)&lt;4,"",ROUND(AVERAGE(G450:J450),1))</f>
        <v/>
      </c>
      <c r="L450" s="2" t="n"/>
      <c r="M450" s="2" t="n"/>
      <c r="N450" s="2" t="n"/>
      <c r="O450" s="2" t="n"/>
    </row>
    <row r="451">
      <c r="A451" s="2" t="n"/>
      <c r="B451" s="2" t="n"/>
      <c r="C451" s="2" t="n"/>
      <c r="D451" s="2" t="n"/>
      <c r="E451" s="2" t="n"/>
      <c r="F451" s="2" t="n"/>
      <c r="G451" s="2" t="n"/>
      <c r="H451" s="2" t="n"/>
      <c r="I451" s="2" t="n"/>
      <c r="J451" s="2" t="n"/>
      <c r="K451" s="2">
        <f>IF(COUNTA(G451:J451)&lt;4,"",ROUND(AVERAGE(G451:J451),1))</f>
        <v/>
      </c>
      <c r="L451" s="2" t="n"/>
      <c r="M451" s="2" t="n"/>
      <c r="N451" s="2" t="n"/>
      <c r="O451" s="2" t="n"/>
    </row>
    <row r="452">
      <c r="A452" s="2" t="n"/>
      <c r="B452" s="2" t="n"/>
      <c r="C452" s="2" t="n"/>
      <c r="D452" s="2" t="n"/>
      <c r="E452" s="2" t="n"/>
      <c r="F452" s="2" t="n"/>
      <c r="G452" s="2" t="n"/>
      <c r="H452" s="2" t="n"/>
      <c r="I452" s="2" t="n"/>
      <c r="J452" s="2" t="n"/>
      <c r="K452" s="2">
        <f>IF(COUNTA(G452:J452)&lt;4,"",ROUND(AVERAGE(G452:J452),1))</f>
        <v/>
      </c>
      <c r="L452" s="2" t="n"/>
      <c r="M452" s="2" t="n"/>
      <c r="N452" s="2" t="n"/>
      <c r="O452" s="2" t="n"/>
    </row>
    <row r="453">
      <c r="A453" s="2" t="n"/>
      <c r="B453" s="2" t="n"/>
      <c r="C453" s="2" t="n"/>
      <c r="D453" s="2" t="n"/>
      <c r="E453" s="2" t="n"/>
      <c r="F453" s="2" t="n"/>
      <c r="G453" s="2" t="n"/>
      <c r="H453" s="2" t="n"/>
      <c r="I453" s="2" t="n"/>
      <c r="J453" s="2" t="n"/>
      <c r="K453" s="2">
        <f>IF(COUNTA(G453:J453)&lt;4,"",ROUND(AVERAGE(G453:J453),1))</f>
        <v/>
      </c>
      <c r="L453" s="2" t="n"/>
      <c r="M453" s="2" t="n"/>
      <c r="N453" s="2" t="n"/>
      <c r="O453" s="2" t="n"/>
    </row>
    <row r="454">
      <c r="A454" s="2" t="n"/>
      <c r="B454" s="2" t="n"/>
      <c r="C454" s="2" t="n"/>
      <c r="D454" s="2" t="n"/>
      <c r="E454" s="2" t="n"/>
      <c r="F454" s="2" t="n"/>
      <c r="G454" s="2" t="n"/>
      <c r="H454" s="2" t="n"/>
      <c r="I454" s="2" t="n"/>
      <c r="J454" s="2" t="n"/>
      <c r="K454" s="2">
        <f>IF(COUNTA(G454:J454)&lt;4,"",ROUND(AVERAGE(G454:J454),1))</f>
        <v/>
      </c>
      <c r="L454" s="2" t="n"/>
      <c r="M454" s="2" t="n"/>
      <c r="N454" s="2" t="n"/>
      <c r="O454" s="2" t="n"/>
    </row>
    <row r="455">
      <c r="A455" s="2" t="n"/>
      <c r="B455" s="2" t="n"/>
      <c r="C455" s="2" t="n"/>
      <c r="D455" s="2" t="n"/>
      <c r="E455" s="2" t="n"/>
      <c r="F455" s="2" t="n"/>
      <c r="G455" s="2" t="n"/>
      <c r="H455" s="2" t="n"/>
      <c r="I455" s="2" t="n"/>
      <c r="J455" s="2" t="n"/>
      <c r="K455" s="2">
        <f>IF(COUNTA(G455:J455)&lt;4,"",ROUND(AVERAGE(G455:J455),1))</f>
        <v/>
      </c>
      <c r="L455" s="2" t="n"/>
      <c r="M455" s="2" t="n"/>
      <c r="N455" s="2" t="n"/>
      <c r="O455" s="2" t="n"/>
    </row>
    <row r="456">
      <c r="A456" s="2" t="n"/>
      <c r="B456" s="2" t="n"/>
      <c r="C456" s="2" t="n"/>
      <c r="D456" s="2" t="n"/>
      <c r="E456" s="2" t="n"/>
      <c r="F456" s="2" t="n"/>
      <c r="G456" s="2" t="n"/>
      <c r="H456" s="2" t="n"/>
      <c r="I456" s="2" t="n"/>
      <c r="J456" s="2" t="n"/>
      <c r="K456" s="2">
        <f>IF(COUNTA(G456:J456)&lt;4,"",ROUND(AVERAGE(G456:J456),1))</f>
        <v/>
      </c>
      <c r="L456" s="2" t="n"/>
      <c r="M456" s="2" t="n"/>
      <c r="N456" s="2" t="n"/>
      <c r="O456" s="2" t="n"/>
    </row>
    <row r="457">
      <c r="A457" s="2" t="n"/>
      <c r="B457" s="2" t="n"/>
      <c r="C457" s="2" t="n"/>
      <c r="D457" s="2" t="n"/>
      <c r="E457" s="2" t="n"/>
      <c r="F457" s="2" t="n"/>
      <c r="G457" s="2" t="n"/>
      <c r="H457" s="2" t="n"/>
      <c r="I457" s="2" t="n"/>
      <c r="J457" s="2" t="n"/>
      <c r="K457" s="2">
        <f>IF(COUNTA(G457:J457)&lt;4,"",ROUND(AVERAGE(G457:J457),1))</f>
        <v/>
      </c>
      <c r="L457" s="2" t="n"/>
      <c r="M457" s="2" t="n"/>
      <c r="N457" s="2" t="n"/>
      <c r="O457" s="2" t="n"/>
    </row>
    <row r="458">
      <c r="A458" s="2" t="n"/>
      <c r="B458" s="2" t="n"/>
      <c r="C458" s="2" t="n"/>
      <c r="D458" s="2" t="n"/>
      <c r="E458" s="2" t="n"/>
      <c r="F458" s="2" t="n"/>
      <c r="G458" s="2" t="n"/>
      <c r="H458" s="2" t="n"/>
      <c r="I458" s="2" t="n"/>
      <c r="J458" s="2" t="n"/>
      <c r="K458" s="2">
        <f>IF(COUNTA(G458:J458)&lt;4,"",ROUND(AVERAGE(G458:J458),1))</f>
        <v/>
      </c>
      <c r="L458" s="2" t="n"/>
      <c r="M458" s="2" t="n"/>
      <c r="N458" s="2" t="n"/>
      <c r="O458" s="2" t="n"/>
    </row>
    <row r="459">
      <c r="A459" s="2" t="n"/>
      <c r="B459" s="2" t="n"/>
      <c r="C459" s="2" t="n"/>
      <c r="D459" s="2" t="n"/>
      <c r="E459" s="2" t="n"/>
      <c r="F459" s="2" t="n"/>
      <c r="G459" s="2" t="n"/>
      <c r="H459" s="2" t="n"/>
      <c r="I459" s="2" t="n"/>
      <c r="J459" s="2" t="n"/>
      <c r="K459" s="2">
        <f>IF(COUNTA(G459:J459)&lt;4,"",ROUND(AVERAGE(G459:J459),1))</f>
        <v/>
      </c>
      <c r="L459" s="2" t="n"/>
      <c r="M459" s="2" t="n"/>
      <c r="N459" s="2" t="n"/>
      <c r="O459" s="2" t="n"/>
    </row>
    <row r="460">
      <c r="A460" s="2" t="n"/>
      <c r="B460" s="2" t="n"/>
      <c r="C460" s="2" t="n"/>
      <c r="D460" s="2" t="n"/>
      <c r="E460" s="2" t="n"/>
      <c r="F460" s="2" t="n"/>
      <c r="G460" s="2" t="n"/>
      <c r="H460" s="2" t="n"/>
      <c r="I460" s="2" t="n"/>
      <c r="J460" s="2" t="n"/>
      <c r="K460" s="2">
        <f>IF(COUNTA(G460:J460)&lt;4,"",ROUND(AVERAGE(G460:J460),1))</f>
        <v/>
      </c>
      <c r="L460" s="2" t="n"/>
      <c r="M460" s="2" t="n"/>
      <c r="N460" s="2" t="n"/>
      <c r="O460" s="2" t="n"/>
    </row>
    <row r="461">
      <c r="A461" s="2" t="n"/>
      <c r="B461" s="2" t="n"/>
      <c r="C461" s="2" t="n"/>
      <c r="D461" s="2" t="n"/>
      <c r="E461" s="2" t="n"/>
      <c r="F461" s="2" t="n"/>
      <c r="G461" s="2" t="n"/>
      <c r="H461" s="2" t="n"/>
      <c r="I461" s="2" t="n"/>
      <c r="J461" s="2" t="n"/>
      <c r="K461" s="2">
        <f>IF(COUNTA(G461:J461)&lt;4,"",ROUND(AVERAGE(G461:J461),1))</f>
        <v/>
      </c>
      <c r="L461" s="2" t="n"/>
      <c r="M461" s="2" t="n"/>
      <c r="N461" s="2" t="n"/>
      <c r="O461" s="2" t="n"/>
    </row>
    <row r="462">
      <c r="A462" s="2" t="n"/>
      <c r="B462" s="2" t="n"/>
      <c r="C462" s="2" t="n"/>
      <c r="D462" s="2" t="n"/>
      <c r="E462" s="2" t="n"/>
      <c r="F462" s="2" t="n"/>
      <c r="G462" s="2" t="n"/>
      <c r="H462" s="2" t="n"/>
      <c r="I462" s="2" t="n"/>
      <c r="J462" s="2" t="n"/>
      <c r="K462" s="2">
        <f>IF(COUNTA(G462:J462)&lt;4,"",ROUND(AVERAGE(G462:J462),1))</f>
        <v/>
      </c>
      <c r="L462" s="2" t="n"/>
      <c r="M462" s="2" t="n"/>
      <c r="N462" s="2" t="n"/>
      <c r="O462" s="2" t="n"/>
    </row>
    <row r="463">
      <c r="A463" s="2" t="n"/>
      <c r="B463" s="2" t="n"/>
      <c r="C463" s="2" t="n"/>
      <c r="D463" s="2" t="n"/>
      <c r="E463" s="2" t="n"/>
      <c r="F463" s="2" t="n"/>
      <c r="G463" s="2" t="n"/>
      <c r="H463" s="2" t="n"/>
      <c r="I463" s="2" t="n"/>
      <c r="J463" s="2" t="n"/>
      <c r="K463" s="2">
        <f>IF(COUNTA(G463:J463)&lt;4,"",ROUND(AVERAGE(G463:J463),1))</f>
        <v/>
      </c>
      <c r="L463" s="2" t="n"/>
      <c r="M463" s="2" t="n"/>
      <c r="N463" s="2" t="n"/>
      <c r="O463" s="2" t="n"/>
    </row>
    <row r="464">
      <c r="A464" s="2" t="n"/>
      <c r="B464" s="2" t="n"/>
      <c r="C464" s="2" t="n"/>
      <c r="D464" s="2" t="n"/>
      <c r="E464" s="2" t="n"/>
      <c r="F464" s="2" t="n"/>
      <c r="G464" s="2" t="n"/>
      <c r="H464" s="2" t="n"/>
      <c r="I464" s="2" t="n"/>
      <c r="J464" s="2" t="n"/>
      <c r="K464" s="2">
        <f>IF(COUNTA(G464:J464)&lt;4,"",ROUND(AVERAGE(G464:J464),1))</f>
        <v/>
      </c>
      <c r="L464" s="2" t="n"/>
      <c r="M464" s="2" t="n"/>
      <c r="N464" s="2" t="n"/>
      <c r="O464" s="2" t="n"/>
    </row>
    <row r="465">
      <c r="A465" s="2" t="n"/>
      <c r="B465" s="2" t="n"/>
      <c r="C465" s="2" t="n"/>
      <c r="D465" s="2" t="n"/>
      <c r="E465" s="2" t="n"/>
      <c r="F465" s="2" t="n"/>
      <c r="G465" s="2" t="n"/>
      <c r="H465" s="2" t="n"/>
      <c r="I465" s="2" t="n"/>
      <c r="J465" s="2" t="n"/>
      <c r="K465" s="2">
        <f>IF(COUNTA(G465:J465)&lt;4,"",ROUND(AVERAGE(G465:J465),1))</f>
        <v/>
      </c>
      <c r="L465" s="2" t="n"/>
      <c r="M465" s="2" t="n"/>
      <c r="N465" s="2" t="n"/>
      <c r="O465" s="2" t="n"/>
    </row>
    <row r="466">
      <c r="A466" s="2" t="n"/>
      <c r="B466" s="2" t="n"/>
      <c r="C466" s="2" t="n"/>
      <c r="D466" s="2" t="n"/>
      <c r="E466" s="2" t="n"/>
      <c r="F466" s="2" t="n"/>
      <c r="G466" s="2" t="n"/>
      <c r="H466" s="2" t="n"/>
      <c r="I466" s="2" t="n"/>
      <c r="J466" s="2" t="n"/>
      <c r="K466" s="2">
        <f>IF(COUNTA(G466:J466)&lt;4,"",ROUND(AVERAGE(G466:J466),1))</f>
        <v/>
      </c>
      <c r="L466" s="2" t="n"/>
      <c r="M466" s="2" t="n"/>
      <c r="N466" s="2" t="n"/>
      <c r="O466" s="2" t="n"/>
    </row>
    <row r="467">
      <c r="A467" s="2" t="n"/>
      <c r="B467" s="2" t="n"/>
      <c r="C467" s="2" t="n"/>
      <c r="D467" s="2" t="n"/>
      <c r="E467" s="2" t="n"/>
      <c r="F467" s="2" t="n"/>
      <c r="G467" s="2" t="n"/>
      <c r="H467" s="2" t="n"/>
      <c r="I467" s="2" t="n"/>
      <c r="J467" s="2" t="n"/>
      <c r="K467" s="2">
        <f>IF(COUNTA(G467:J467)&lt;4,"",ROUND(AVERAGE(G467:J467),1))</f>
        <v/>
      </c>
      <c r="L467" s="2" t="n"/>
      <c r="M467" s="2" t="n"/>
      <c r="N467" s="2" t="n"/>
      <c r="O467" s="2" t="n"/>
    </row>
    <row r="468">
      <c r="A468" s="2" t="n"/>
      <c r="B468" s="2" t="n"/>
      <c r="C468" s="2" t="n"/>
      <c r="D468" s="2" t="n"/>
      <c r="E468" s="2" t="n"/>
      <c r="F468" s="2" t="n"/>
      <c r="G468" s="2" t="n"/>
      <c r="H468" s="2" t="n"/>
      <c r="I468" s="2" t="n"/>
      <c r="J468" s="2" t="n"/>
      <c r="K468" s="2">
        <f>IF(COUNTA(G468:J468)&lt;4,"",ROUND(AVERAGE(G468:J468),1))</f>
        <v/>
      </c>
      <c r="L468" s="2" t="n"/>
      <c r="M468" s="2" t="n"/>
      <c r="N468" s="2" t="n"/>
      <c r="O468" s="2" t="n"/>
    </row>
    <row r="469">
      <c r="A469" s="2" t="n"/>
      <c r="B469" s="2" t="n"/>
      <c r="C469" s="2" t="n"/>
      <c r="D469" s="2" t="n"/>
      <c r="E469" s="2" t="n"/>
      <c r="F469" s="2" t="n"/>
      <c r="G469" s="2" t="n"/>
      <c r="H469" s="2" t="n"/>
      <c r="I469" s="2" t="n"/>
      <c r="J469" s="2" t="n"/>
      <c r="K469" s="2">
        <f>IF(COUNTA(G469:J469)&lt;4,"",ROUND(AVERAGE(G469:J469),1))</f>
        <v/>
      </c>
      <c r="L469" s="2" t="n"/>
      <c r="M469" s="2" t="n"/>
      <c r="N469" s="2" t="n"/>
      <c r="O469" s="2" t="n"/>
    </row>
    <row r="470">
      <c r="A470" s="2" t="n"/>
      <c r="B470" s="2" t="n"/>
      <c r="C470" s="2" t="n"/>
      <c r="D470" s="2" t="n"/>
      <c r="E470" s="2" t="n"/>
      <c r="F470" s="2" t="n"/>
      <c r="G470" s="2" t="n"/>
      <c r="H470" s="2" t="n"/>
      <c r="I470" s="2" t="n"/>
      <c r="J470" s="2" t="n"/>
      <c r="K470" s="2">
        <f>IF(COUNTA(G470:J470)&lt;4,"",ROUND(AVERAGE(G470:J470),1))</f>
        <v/>
      </c>
      <c r="L470" s="2" t="n"/>
      <c r="M470" s="2" t="n"/>
      <c r="N470" s="2" t="n"/>
      <c r="O470" s="2" t="n"/>
    </row>
    <row r="471">
      <c r="A471" s="2" t="n"/>
      <c r="B471" s="2" t="n"/>
      <c r="C471" s="2" t="n"/>
      <c r="D471" s="2" t="n"/>
      <c r="E471" s="2" t="n"/>
      <c r="F471" s="2" t="n"/>
      <c r="G471" s="2" t="n"/>
      <c r="H471" s="2" t="n"/>
      <c r="I471" s="2" t="n"/>
      <c r="J471" s="2" t="n"/>
      <c r="K471" s="2">
        <f>IF(COUNTA(G471:J471)&lt;4,"",ROUND(AVERAGE(G471:J471),1))</f>
        <v/>
      </c>
      <c r="L471" s="2" t="n"/>
      <c r="M471" s="2" t="n"/>
      <c r="N471" s="2" t="n"/>
      <c r="O471" s="2" t="n"/>
    </row>
    <row r="472">
      <c r="A472" s="2" t="n"/>
      <c r="B472" s="2" t="n"/>
      <c r="C472" s="2" t="n"/>
      <c r="D472" s="2" t="n"/>
      <c r="E472" s="2" t="n"/>
      <c r="F472" s="2" t="n"/>
      <c r="G472" s="2" t="n"/>
      <c r="H472" s="2" t="n"/>
      <c r="I472" s="2" t="n"/>
      <c r="J472" s="2" t="n"/>
      <c r="K472" s="2">
        <f>IF(COUNTA(G472:J472)&lt;4,"",ROUND(AVERAGE(G472:J472),1))</f>
        <v/>
      </c>
      <c r="L472" s="2" t="n"/>
      <c r="M472" s="2" t="n"/>
      <c r="N472" s="2" t="n"/>
      <c r="O472" s="2" t="n"/>
    </row>
    <row r="473">
      <c r="A473" s="2" t="n"/>
      <c r="B473" s="2" t="n"/>
      <c r="C473" s="2" t="n"/>
      <c r="D473" s="2" t="n"/>
      <c r="E473" s="2" t="n"/>
      <c r="F473" s="2" t="n"/>
      <c r="G473" s="2" t="n"/>
      <c r="H473" s="2" t="n"/>
      <c r="I473" s="2" t="n"/>
      <c r="J473" s="2" t="n"/>
      <c r="K473" s="2">
        <f>IF(COUNTA(G473:J473)&lt;4,"",ROUND(AVERAGE(G473:J473),1))</f>
        <v/>
      </c>
      <c r="L473" s="2" t="n"/>
      <c r="M473" s="2" t="n"/>
      <c r="N473" s="2" t="n"/>
      <c r="O473" s="2" t="n"/>
    </row>
    <row r="474">
      <c r="A474" s="2" t="n"/>
      <c r="B474" s="2" t="n"/>
      <c r="C474" s="2" t="n"/>
      <c r="D474" s="2" t="n"/>
      <c r="E474" s="2" t="n"/>
      <c r="F474" s="2" t="n"/>
      <c r="G474" s="2" t="n"/>
      <c r="H474" s="2" t="n"/>
      <c r="I474" s="2" t="n"/>
      <c r="J474" s="2" t="n"/>
      <c r="K474" s="2">
        <f>IF(COUNTA(G474:J474)&lt;4,"",ROUND(AVERAGE(G474:J474),1))</f>
        <v/>
      </c>
      <c r="L474" s="2" t="n"/>
      <c r="M474" s="2" t="n"/>
      <c r="N474" s="2" t="n"/>
      <c r="O474" s="2" t="n"/>
    </row>
    <row r="475">
      <c r="A475" s="2" t="n"/>
      <c r="B475" s="2" t="n"/>
      <c r="C475" s="2" t="n"/>
      <c r="D475" s="2" t="n"/>
      <c r="E475" s="2" t="n"/>
      <c r="F475" s="2" t="n"/>
      <c r="G475" s="2" t="n"/>
      <c r="H475" s="2" t="n"/>
      <c r="I475" s="2" t="n"/>
      <c r="J475" s="2" t="n"/>
      <c r="K475" s="2">
        <f>IF(COUNTA(G475:J475)&lt;4,"",ROUND(AVERAGE(G475:J475),1))</f>
        <v/>
      </c>
      <c r="L475" s="2" t="n"/>
      <c r="M475" s="2" t="n"/>
      <c r="N475" s="2" t="n"/>
      <c r="O475" s="2" t="n"/>
    </row>
    <row r="476">
      <c r="A476" s="2" t="n"/>
      <c r="B476" s="2" t="n"/>
      <c r="C476" s="2" t="n"/>
      <c r="D476" s="2" t="n"/>
      <c r="E476" s="2" t="n"/>
      <c r="F476" s="2" t="n"/>
      <c r="G476" s="2" t="n"/>
      <c r="H476" s="2" t="n"/>
      <c r="I476" s="2" t="n"/>
      <c r="J476" s="2" t="n"/>
      <c r="K476" s="2">
        <f>IF(COUNTA(G476:J476)&lt;4,"",ROUND(AVERAGE(G476:J476),1))</f>
        <v/>
      </c>
      <c r="L476" s="2" t="n"/>
      <c r="M476" s="2" t="n"/>
      <c r="N476" s="2" t="n"/>
      <c r="O476" s="2" t="n"/>
    </row>
    <row r="477">
      <c r="A477" s="2" t="n"/>
      <c r="B477" s="2" t="n"/>
      <c r="C477" s="2" t="n"/>
      <c r="D477" s="2" t="n"/>
      <c r="E477" s="2" t="n"/>
      <c r="F477" s="2" t="n"/>
      <c r="G477" s="2" t="n"/>
      <c r="H477" s="2" t="n"/>
      <c r="I477" s="2" t="n"/>
      <c r="J477" s="2" t="n"/>
      <c r="K477" s="2">
        <f>IF(COUNTA(G477:J477)&lt;4,"",ROUND(AVERAGE(G477:J477),1))</f>
        <v/>
      </c>
      <c r="L477" s="2" t="n"/>
      <c r="M477" s="2" t="n"/>
      <c r="N477" s="2" t="n"/>
      <c r="O477" s="2" t="n"/>
    </row>
    <row r="478">
      <c r="A478" s="2" t="n"/>
      <c r="B478" s="2" t="n"/>
      <c r="C478" s="2" t="n"/>
      <c r="D478" s="2" t="n"/>
      <c r="E478" s="2" t="n"/>
      <c r="F478" s="2" t="n"/>
      <c r="G478" s="2" t="n"/>
      <c r="H478" s="2" t="n"/>
      <c r="I478" s="2" t="n"/>
      <c r="J478" s="2" t="n"/>
      <c r="K478" s="2">
        <f>IF(COUNTA(G478:J478)&lt;4,"",ROUND(AVERAGE(G478:J478),1))</f>
        <v/>
      </c>
      <c r="L478" s="2" t="n"/>
      <c r="M478" s="2" t="n"/>
      <c r="N478" s="2" t="n"/>
      <c r="O478" s="2" t="n"/>
    </row>
    <row r="479">
      <c r="A479" s="2" t="n"/>
      <c r="B479" s="2" t="n"/>
      <c r="C479" s="2" t="n"/>
      <c r="D479" s="2" t="n"/>
      <c r="E479" s="2" t="n"/>
      <c r="F479" s="2" t="n"/>
      <c r="G479" s="2" t="n"/>
      <c r="H479" s="2" t="n"/>
      <c r="I479" s="2" t="n"/>
      <c r="J479" s="2" t="n"/>
      <c r="K479" s="2">
        <f>IF(COUNTA(G479:J479)&lt;4,"",ROUND(AVERAGE(G479:J479),1))</f>
        <v/>
      </c>
      <c r="L479" s="2" t="n"/>
      <c r="M479" s="2" t="n"/>
      <c r="N479" s="2" t="n"/>
      <c r="O479" s="2" t="n"/>
    </row>
    <row r="480">
      <c r="A480" s="2" t="n"/>
      <c r="B480" s="2" t="n"/>
      <c r="C480" s="2" t="n"/>
      <c r="D480" s="2" t="n"/>
      <c r="E480" s="2" t="n"/>
      <c r="F480" s="2" t="n"/>
      <c r="G480" s="2" t="n"/>
      <c r="H480" s="2" t="n"/>
      <c r="I480" s="2" t="n"/>
      <c r="J480" s="2" t="n"/>
      <c r="K480" s="2">
        <f>IF(COUNTA(G480:J480)&lt;4,"",ROUND(AVERAGE(G480:J480),1))</f>
        <v/>
      </c>
      <c r="L480" s="2" t="n"/>
      <c r="M480" s="2" t="n"/>
      <c r="N480" s="2" t="n"/>
      <c r="O480" s="2" t="n"/>
    </row>
    <row r="481">
      <c r="A481" s="2" t="n"/>
      <c r="B481" s="2" t="n"/>
      <c r="C481" s="2" t="n"/>
      <c r="D481" s="2" t="n"/>
      <c r="E481" s="2" t="n"/>
      <c r="F481" s="2" t="n"/>
      <c r="G481" s="2" t="n"/>
      <c r="H481" s="2" t="n"/>
      <c r="I481" s="2" t="n"/>
      <c r="J481" s="2" t="n"/>
      <c r="K481" s="2">
        <f>IF(COUNTA(G481:J481)&lt;4,"",ROUND(AVERAGE(G481:J481),1))</f>
        <v/>
      </c>
      <c r="L481" s="2" t="n"/>
      <c r="M481" s="2" t="n"/>
      <c r="N481" s="2" t="n"/>
      <c r="O481" s="2" t="n"/>
    </row>
    <row r="482">
      <c r="A482" s="2" t="n"/>
      <c r="B482" s="2" t="n"/>
      <c r="C482" s="2" t="n"/>
      <c r="D482" s="2" t="n"/>
      <c r="E482" s="2" t="n"/>
      <c r="F482" s="2" t="n"/>
      <c r="G482" s="2" t="n"/>
      <c r="H482" s="2" t="n"/>
      <c r="I482" s="2" t="n"/>
      <c r="J482" s="2" t="n"/>
      <c r="K482" s="2">
        <f>IF(COUNTA(G482:J482)&lt;4,"",ROUND(AVERAGE(G482:J482),1))</f>
        <v/>
      </c>
      <c r="L482" s="2" t="n"/>
      <c r="M482" s="2" t="n"/>
      <c r="N482" s="2" t="n"/>
      <c r="O482" s="2" t="n"/>
    </row>
    <row r="483">
      <c r="A483" s="2" t="n"/>
      <c r="B483" s="2" t="n"/>
      <c r="C483" s="2" t="n"/>
      <c r="D483" s="2" t="n"/>
      <c r="E483" s="2" t="n"/>
      <c r="F483" s="2" t="n"/>
      <c r="G483" s="2" t="n"/>
      <c r="H483" s="2" t="n"/>
      <c r="I483" s="2" t="n"/>
      <c r="J483" s="2" t="n"/>
      <c r="K483" s="2">
        <f>IF(COUNTA(G483:J483)&lt;4,"",ROUND(AVERAGE(G483:J483),1))</f>
        <v/>
      </c>
      <c r="L483" s="2" t="n"/>
      <c r="M483" s="2" t="n"/>
      <c r="N483" s="2" t="n"/>
      <c r="O483" s="2" t="n"/>
    </row>
    <row r="484">
      <c r="A484" s="2" t="n"/>
      <c r="B484" s="2" t="n"/>
      <c r="C484" s="2" t="n"/>
      <c r="D484" s="2" t="n"/>
      <c r="E484" s="2" t="n"/>
      <c r="F484" s="2" t="n"/>
      <c r="G484" s="2" t="n"/>
      <c r="H484" s="2" t="n"/>
      <c r="I484" s="2" t="n"/>
      <c r="J484" s="2" t="n"/>
      <c r="K484" s="2">
        <f>IF(COUNTA(G484:J484)&lt;4,"",ROUND(AVERAGE(G484:J484),1))</f>
        <v/>
      </c>
      <c r="L484" s="2" t="n"/>
      <c r="M484" s="2" t="n"/>
      <c r="N484" s="2" t="n"/>
      <c r="O484" s="2" t="n"/>
    </row>
    <row r="485">
      <c r="A485" s="2" t="n"/>
      <c r="B485" s="2" t="n"/>
      <c r="C485" s="2" t="n"/>
      <c r="D485" s="2" t="n"/>
      <c r="E485" s="2" t="n"/>
      <c r="F485" s="2" t="n"/>
      <c r="G485" s="2" t="n"/>
      <c r="H485" s="2" t="n"/>
      <c r="I485" s="2" t="n"/>
      <c r="J485" s="2" t="n"/>
      <c r="K485" s="2">
        <f>IF(COUNTA(G485:J485)&lt;4,"",ROUND(AVERAGE(G485:J485),1))</f>
        <v/>
      </c>
      <c r="L485" s="2" t="n"/>
      <c r="M485" s="2" t="n"/>
      <c r="N485" s="2" t="n"/>
      <c r="O485" s="2" t="n"/>
    </row>
    <row r="486">
      <c r="A486" s="2" t="n"/>
      <c r="B486" s="2" t="n"/>
      <c r="C486" s="2" t="n"/>
      <c r="D486" s="2" t="n"/>
      <c r="E486" s="2" t="n"/>
      <c r="F486" s="2" t="n"/>
      <c r="G486" s="2" t="n"/>
      <c r="H486" s="2" t="n"/>
      <c r="I486" s="2" t="n"/>
      <c r="J486" s="2" t="n"/>
      <c r="K486" s="2">
        <f>IF(COUNTA(G486:J486)&lt;4,"",ROUND(AVERAGE(G486:J486),1))</f>
        <v/>
      </c>
      <c r="L486" s="2" t="n"/>
      <c r="M486" s="2" t="n"/>
      <c r="N486" s="2" t="n"/>
      <c r="O486" s="2" t="n"/>
    </row>
    <row r="487">
      <c r="A487" s="2" t="n"/>
      <c r="B487" s="2" t="n"/>
      <c r="C487" s="2" t="n"/>
      <c r="D487" s="2" t="n"/>
      <c r="E487" s="2" t="n"/>
      <c r="F487" s="2" t="n"/>
      <c r="G487" s="2" t="n"/>
      <c r="H487" s="2" t="n"/>
      <c r="I487" s="2" t="n"/>
      <c r="J487" s="2" t="n"/>
      <c r="K487" s="2">
        <f>IF(COUNTA(G487:J487)&lt;4,"",ROUND(AVERAGE(G487:J487),1))</f>
        <v/>
      </c>
      <c r="L487" s="2" t="n"/>
      <c r="M487" s="2" t="n"/>
      <c r="N487" s="2" t="n"/>
      <c r="O487" s="2" t="n"/>
    </row>
    <row r="488">
      <c r="A488" s="2" t="n"/>
      <c r="B488" s="2" t="n"/>
      <c r="C488" s="2" t="n"/>
      <c r="D488" s="2" t="n"/>
      <c r="E488" s="2" t="n"/>
      <c r="F488" s="2" t="n"/>
      <c r="G488" s="2" t="n"/>
      <c r="H488" s="2" t="n"/>
      <c r="I488" s="2" t="n"/>
      <c r="J488" s="2" t="n"/>
      <c r="K488" s="2">
        <f>IF(COUNTA(G488:J488)&lt;4,"",ROUND(AVERAGE(G488:J488),1))</f>
        <v/>
      </c>
      <c r="L488" s="2" t="n"/>
      <c r="M488" s="2" t="n"/>
      <c r="N488" s="2" t="n"/>
      <c r="O488" s="2" t="n"/>
    </row>
    <row r="489">
      <c r="A489" s="2" t="n"/>
      <c r="B489" s="2" t="n"/>
      <c r="C489" s="2" t="n"/>
      <c r="D489" s="2" t="n"/>
      <c r="E489" s="2" t="n"/>
      <c r="F489" s="2" t="n"/>
      <c r="G489" s="2" t="n"/>
      <c r="H489" s="2" t="n"/>
      <c r="I489" s="2" t="n"/>
      <c r="J489" s="2" t="n"/>
      <c r="K489" s="2">
        <f>IF(COUNTA(G489:J489)&lt;4,"",ROUND(AVERAGE(G489:J489),1))</f>
        <v/>
      </c>
      <c r="L489" s="2" t="n"/>
      <c r="M489" s="2" t="n"/>
      <c r="N489" s="2" t="n"/>
      <c r="O489" s="2" t="n"/>
    </row>
    <row r="490">
      <c r="A490" s="2" t="n"/>
      <c r="B490" s="2" t="n"/>
      <c r="C490" s="2" t="n"/>
      <c r="D490" s="2" t="n"/>
      <c r="E490" s="2" t="n"/>
      <c r="F490" s="2" t="n"/>
      <c r="G490" s="2" t="n"/>
      <c r="H490" s="2" t="n"/>
      <c r="I490" s="2" t="n"/>
      <c r="J490" s="2" t="n"/>
      <c r="K490" s="2">
        <f>IF(COUNTA(G490:J490)&lt;4,"",ROUND(AVERAGE(G490:J490),1))</f>
        <v/>
      </c>
      <c r="L490" s="2" t="n"/>
      <c r="M490" s="2" t="n"/>
      <c r="N490" s="2" t="n"/>
      <c r="O490" s="2" t="n"/>
    </row>
    <row r="491">
      <c r="A491" s="2" t="n"/>
      <c r="B491" s="2" t="n"/>
      <c r="C491" s="2" t="n"/>
      <c r="D491" s="2" t="n"/>
      <c r="E491" s="2" t="n"/>
      <c r="F491" s="2" t="n"/>
      <c r="G491" s="2" t="n"/>
      <c r="H491" s="2" t="n"/>
      <c r="I491" s="2" t="n"/>
      <c r="J491" s="2" t="n"/>
      <c r="K491" s="2">
        <f>IF(COUNTA(G491:J491)&lt;4,"",ROUND(AVERAGE(G491:J491),1))</f>
        <v/>
      </c>
      <c r="L491" s="2" t="n"/>
      <c r="M491" s="2" t="n"/>
      <c r="N491" s="2" t="n"/>
      <c r="O491" s="2" t="n"/>
    </row>
    <row r="492">
      <c r="A492" s="2" t="n"/>
      <c r="B492" s="2" t="n"/>
      <c r="C492" s="2" t="n"/>
      <c r="D492" s="2" t="n"/>
      <c r="E492" s="2" t="n"/>
      <c r="F492" s="2" t="n"/>
      <c r="G492" s="2" t="n"/>
      <c r="H492" s="2" t="n"/>
      <c r="I492" s="2" t="n"/>
      <c r="J492" s="2" t="n"/>
      <c r="K492" s="2">
        <f>IF(COUNTA(G492:J492)&lt;4,"",ROUND(AVERAGE(G492:J492),1))</f>
        <v/>
      </c>
      <c r="L492" s="2" t="n"/>
      <c r="M492" s="2" t="n"/>
      <c r="N492" s="2" t="n"/>
      <c r="O492" s="2" t="n"/>
    </row>
    <row r="493">
      <c r="A493" s="2" t="n"/>
      <c r="B493" s="2" t="n"/>
      <c r="C493" s="2" t="n"/>
      <c r="D493" s="2" t="n"/>
      <c r="E493" s="2" t="n"/>
      <c r="F493" s="2" t="n"/>
      <c r="G493" s="2" t="n"/>
      <c r="H493" s="2" t="n"/>
      <c r="I493" s="2" t="n"/>
      <c r="J493" s="2" t="n"/>
      <c r="K493" s="2">
        <f>IF(COUNTA(G493:J493)&lt;4,"",ROUND(AVERAGE(G493:J493),1))</f>
        <v/>
      </c>
      <c r="L493" s="2" t="n"/>
      <c r="M493" s="2" t="n"/>
      <c r="N493" s="2" t="n"/>
      <c r="O493" s="2" t="n"/>
    </row>
    <row r="494">
      <c r="A494" s="2" t="n"/>
      <c r="B494" s="2" t="n"/>
      <c r="C494" s="2" t="n"/>
      <c r="D494" s="2" t="n"/>
      <c r="E494" s="2" t="n"/>
      <c r="F494" s="2" t="n"/>
      <c r="G494" s="2" t="n"/>
      <c r="H494" s="2" t="n"/>
      <c r="I494" s="2" t="n"/>
      <c r="J494" s="2" t="n"/>
      <c r="K494" s="2">
        <f>IF(COUNTA(G494:J494)&lt;4,"",ROUND(AVERAGE(G494:J494),1))</f>
        <v/>
      </c>
      <c r="L494" s="2" t="n"/>
      <c r="M494" s="2" t="n"/>
      <c r="N494" s="2" t="n"/>
      <c r="O494" s="2" t="n"/>
    </row>
    <row r="495">
      <c r="A495" s="2" t="n"/>
      <c r="B495" s="2" t="n"/>
      <c r="C495" s="2" t="n"/>
      <c r="D495" s="2" t="n"/>
      <c r="E495" s="2" t="n"/>
      <c r="F495" s="2" t="n"/>
      <c r="G495" s="2" t="n"/>
      <c r="H495" s="2" t="n"/>
      <c r="I495" s="2" t="n"/>
      <c r="J495" s="2" t="n"/>
      <c r="K495" s="2">
        <f>IF(COUNTA(G495:J495)&lt;4,"",ROUND(AVERAGE(G495:J495),1))</f>
        <v/>
      </c>
      <c r="L495" s="2" t="n"/>
      <c r="M495" s="2" t="n"/>
      <c r="N495" s="2" t="n"/>
      <c r="O495" s="2" t="n"/>
    </row>
    <row r="496">
      <c r="A496" s="2" t="n"/>
      <c r="B496" s="2" t="n"/>
      <c r="C496" s="2" t="n"/>
      <c r="D496" s="2" t="n"/>
      <c r="E496" s="2" t="n"/>
      <c r="F496" s="2" t="n"/>
      <c r="G496" s="2" t="n"/>
      <c r="H496" s="2" t="n"/>
      <c r="I496" s="2" t="n"/>
      <c r="J496" s="2" t="n"/>
      <c r="K496" s="2">
        <f>IF(COUNTA(G496:J496)&lt;4,"",ROUND(AVERAGE(G496:J496),1))</f>
        <v/>
      </c>
      <c r="L496" s="2" t="n"/>
      <c r="M496" s="2" t="n"/>
      <c r="N496" s="2" t="n"/>
      <c r="O496" s="2" t="n"/>
    </row>
    <row r="497">
      <c r="A497" s="2" t="n"/>
      <c r="B497" s="2" t="n"/>
      <c r="C497" s="2" t="n"/>
      <c r="D497" s="2" t="n"/>
      <c r="E497" s="2" t="n"/>
      <c r="F497" s="2" t="n"/>
      <c r="G497" s="2" t="n"/>
      <c r="H497" s="2" t="n"/>
      <c r="I497" s="2" t="n"/>
      <c r="J497" s="2" t="n"/>
      <c r="K497" s="2">
        <f>IF(COUNTA(G497:J497)&lt;4,"",ROUND(AVERAGE(G497:J497),1))</f>
        <v/>
      </c>
      <c r="L497" s="2" t="n"/>
      <c r="M497" s="2" t="n"/>
      <c r="N497" s="2" t="n"/>
      <c r="O497" s="2" t="n"/>
    </row>
    <row r="498">
      <c r="A498" s="2" t="n"/>
      <c r="B498" s="2" t="n"/>
      <c r="C498" s="2" t="n"/>
      <c r="D498" s="2" t="n"/>
      <c r="E498" s="2" t="n"/>
      <c r="F498" s="2" t="n"/>
      <c r="G498" s="2" t="n"/>
      <c r="H498" s="2" t="n"/>
      <c r="I498" s="2" t="n"/>
      <c r="J498" s="2" t="n"/>
      <c r="K498" s="2">
        <f>IF(COUNTA(G498:J498)&lt;4,"",ROUND(AVERAGE(G498:J498),1))</f>
        <v/>
      </c>
      <c r="L498" s="2" t="n"/>
      <c r="M498" s="2" t="n"/>
      <c r="N498" s="2" t="n"/>
      <c r="O498" s="2" t="n"/>
    </row>
    <row r="499">
      <c r="A499" s="2" t="n"/>
      <c r="B499" s="2" t="n"/>
      <c r="C499" s="2" t="n"/>
      <c r="D499" s="2" t="n"/>
      <c r="E499" s="2" t="n"/>
      <c r="F499" s="2" t="n"/>
      <c r="G499" s="2" t="n"/>
      <c r="H499" s="2" t="n"/>
      <c r="I499" s="2" t="n"/>
      <c r="J499" s="2" t="n"/>
      <c r="K499" s="2">
        <f>IF(COUNTA(G499:J499)&lt;4,"",ROUND(AVERAGE(G499:J499),1))</f>
        <v/>
      </c>
      <c r="L499" s="2" t="n"/>
      <c r="M499" s="2" t="n"/>
      <c r="N499" s="2" t="n"/>
      <c r="O499" s="2" t="n"/>
    </row>
    <row r="500">
      <c r="A500" s="2" t="n"/>
      <c r="B500" s="2" t="n"/>
      <c r="C500" s="2" t="n"/>
      <c r="D500" s="2" t="n"/>
      <c r="E500" s="2" t="n"/>
      <c r="F500" s="2" t="n"/>
      <c r="G500" s="2" t="n"/>
      <c r="H500" s="2" t="n"/>
      <c r="I500" s="2" t="n"/>
      <c r="J500" s="2" t="n"/>
      <c r="K500" s="2">
        <f>IF(COUNTA(G500:J500)&lt;4,"",ROUND(AVERAGE(G500:J500),1))</f>
        <v/>
      </c>
      <c r="L500" s="2" t="n"/>
      <c r="M500" s="2" t="n"/>
      <c r="N500" s="2" t="n"/>
      <c r="O500" s="2" t="n"/>
    </row>
  </sheetData>
  <autoFilter ref="A1:O50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9"/>
  <sheetViews>
    <sheetView workbookViewId="0">
      <pane ySplit="2" topLeftCell="A3" activePane="bottomLeft" state="frozen"/>
      <selection pane="bottomLeft" activeCell="A1" sqref="A1:D1"/>
    </sheetView>
  </sheetViews>
  <sheetFormatPr baseColWidth="8" defaultRowHeight="15"/>
  <cols>
    <col width="32" customWidth="1" style="15" min="1" max="2"/>
    <col width="12" customWidth="1" style="15" min="3" max="3"/>
    <col width="21" customWidth="1" style="15" min="4" max="4"/>
    <col width="32" customWidth="1" style="15" min="5" max="5"/>
  </cols>
  <sheetData>
    <row r="1">
      <c r="A1" s="18" t="inlineStr">
        <is>
          <t>INTERNSHIP HUNT — LIVE ANALYTICS</t>
        </is>
      </c>
      <c r="B1" s="19" t="n"/>
      <c r="C1" s="19" t="n"/>
      <c r="D1" s="20" t="n"/>
      <c r="E1" s="2" t="n"/>
    </row>
    <row r="2">
      <c r="A2" s="3" t="inlineStr">
        <is>
          <t>Metric</t>
        </is>
      </c>
      <c r="B2" s="2" t="n">
        <v>206</v>
      </c>
      <c r="C2" s="2" t="n"/>
      <c r="D2" s="2" t="n"/>
      <c r="E2" s="2" t="n"/>
      <c r="G2" s="6" t="inlineStr">
        <is>
          <t>V2 Intelligence Metrics</t>
        </is>
      </c>
    </row>
    <row r="3">
      <c r="A3" s="3" t="inlineStr">
        <is>
          <t>Total Jobs</t>
        </is>
      </c>
      <c r="B3" s="2" t="n">
        <v>36</v>
      </c>
      <c r="C3" s="2" t="n"/>
      <c r="D3" s="3" t="inlineStr">
        <is>
          <t>Priority</t>
        </is>
      </c>
      <c r="E3" s="3" t="inlineStr">
        <is>
          <t>Count</t>
        </is>
      </c>
      <c r="G3" s="6" t="inlineStr">
        <is>
          <t>Jobs with eligibility risk</t>
        </is>
      </c>
      <c r="H3">
        <f>COUNTIF(Jobs!#REF!,"risk")</f>
        <v/>
      </c>
    </row>
    <row r="4">
      <c r="A4" s="3" t="inlineStr">
        <is>
          <t>Shortlisted / Apply-level Jobs</t>
        </is>
      </c>
      <c r="B4" s="2" t="n">
        <v>0</v>
      </c>
      <c r="C4" s="2" t="n"/>
      <c r="D4" s="2" t="inlineStr">
        <is>
          <t>P1</t>
        </is>
      </c>
      <c r="E4" s="2">
        <f>COUNTIF(Jobs!#REF!,D4)</f>
        <v/>
      </c>
      <c r="G4" s="6" t="inlineStr">
        <is>
          <t>Jobs with eligibility failure</t>
        </is>
      </c>
      <c r="H4">
        <f>COUNTIF(Jobs!#REF!,"fail")</f>
        <v/>
      </c>
    </row>
    <row r="5">
      <c r="A5" s="3" t="inlineStr">
        <is>
          <t>Applications</t>
        </is>
      </c>
      <c r="B5" s="2">
        <f>COUNTA(Applications!A2:A500)</f>
        <v/>
      </c>
      <c r="C5" s="2" t="n"/>
      <c r="D5" s="2" t="inlineStr">
        <is>
          <t>P2</t>
        </is>
      </c>
      <c r="E5" s="2">
        <f>COUNTIF(Jobs!#REF!,D5)</f>
        <v/>
      </c>
      <c r="G5" s="6" t="inlineStr">
        <is>
          <t>PPO-strong jobs</t>
        </is>
      </c>
      <c r="H5">
        <f>COUNTIF(Jobs!#REF!,"strong")</f>
        <v/>
      </c>
    </row>
    <row r="6">
      <c r="A6" s="3" t="inlineStr">
        <is>
          <t>OAs</t>
        </is>
      </c>
      <c r="B6" s="2" t="n">
        <v>0</v>
      </c>
      <c r="C6" s="2" t="n"/>
      <c r="D6" s="2" t="inlineStr">
        <is>
          <t>P3</t>
        </is>
      </c>
      <c r="E6" s="2">
        <f>COUNTIF(Jobs!#REF!,D6)</f>
        <v/>
      </c>
      <c r="G6" s="6" t="inlineStr">
        <is>
          <t>Compensation to verify</t>
        </is>
      </c>
      <c r="H6">
        <f>COUNTIF(Jobs!#REF!,"verify")</f>
        <v/>
      </c>
    </row>
    <row r="7">
      <c r="A7" s="3" t="inlineStr">
        <is>
          <t>Interviews</t>
        </is>
      </c>
      <c r="B7" s="2" t="n">
        <v>0</v>
      </c>
      <c r="C7" s="2" t="n"/>
      <c r="D7" s="2" t="inlineStr">
        <is>
          <t>P4</t>
        </is>
      </c>
      <c r="E7" s="2">
        <f>COUNTIF(Jobs!#REF!,D7)</f>
        <v/>
      </c>
      <c r="G7" s="6" t="inlineStr">
        <is>
          <t>Apply ASAP jobs</t>
        </is>
      </c>
      <c r="H7">
        <f>COUNTIF(Jobs!#REF!,"APPLY ASAP")</f>
        <v/>
      </c>
    </row>
    <row r="8">
      <c r="A8" s="3" t="inlineStr">
        <is>
          <t>Offers</t>
        </is>
      </c>
      <c r="B8" s="2">
        <f>COUNTIF(Applications!H2:H500,"Offer")+COUNTIF(Applications!H2:H500,"PPO")</f>
        <v/>
      </c>
      <c r="C8" s="2" t="n"/>
      <c r="D8" s="2" t="n"/>
      <c r="E8" s="2" t="n"/>
    </row>
    <row r="9">
      <c r="A9" s="3" t="inlineStr">
        <is>
          <t>PPOs</t>
        </is>
      </c>
      <c r="B9" s="4">
        <f>COUNTIF(Applications!H2:H500,"PPO")</f>
        <v/>
      </c>
      <c r="C9" s="2" t="n"/>
      <c r="D9" s="2" t="n"/>
      <c r="E9" s="2" t="n"/>
    </row>
    <row r="10">
      <c r="A10" s="3" t="inlineStr">
        <is>
          <t>Application → Interview %</t>
        </is>
      </c>
      <c r="B10" s="4">
        <f>IFERROR(B6/B4,0)</f>
        <v/>
      </c>
      <c r="C10" s="2" t="n"/>
      <c r="D10" s="3" t="inlineStr">
        <is>
          <t>Application Status</t>
        </is>
      </c>
      <c r="E10" s="3" t="inlineStr">
        <is>
          <t>Count</t>
        </is>
      </c>
    </row>
    <row r="11">
      <c r="A11" s="3" t="inlineStr">
        <is>
          <t>Application → Offer %</t>
        </is>
      </c>
      <c r="B11" s="4">
        <f>IFERROR(B7/B4,0)</f>
        <v/>
      </c>
      <c r="C11" s="2" t="n"/>
      <c r="D11" s="2" t="inlineStr">
        <is>
          <t>Applied</t>
        </is>
      </c>
      <c r="E11" s="2">
        <f>COUNTIF(Applications!H2:H500,D11)</f>
        <v/>
      </c>
    </row>
    <row r="12">
      <c r="A12" s="2" t="inlineStr">
        <is>
          <t>Application → PPO %</t>
        </is>
      </c>
      <c r="B12" s="2">
        <f>IFERROR(B8/B4,0)</f>
        <v/>
      </c>
      <c r="C12" s="2" t="n"/>
      <c r="D12" s="2" t="inlineStr">
        <is>
          <t>Waiting</t>
        </is>
      </c>
      <c r="E12" s="2">
        <f>COUNTIF(Applications!H2:H500,D12)</f>
        <v/>
      </c>
    </row>
    <row r="13">
      <c r="A13" s="2" t="n"/>
      <c r="B13" s="2" t="n"/>
      <c r="C13" s="2" t="n"/>
      <c r="D13" s="2" t="inlineStr">
        <is>
          <t>OA</t>
        </is>
      </c>
      <c r="E13" s="2">
        <f>COUNTIF(Applications!H2:H500,D13)</f>
        <v/>
      </c>
    </row>
    <row r="14">
      <c r="A14" s="2" t="n"/>
      <c r="B14" s="2" t="n"/>
      <c r="C14" s="2" t="n"/>
      <c r="D14" s="2" t="inlineStr">
        <is>
          <t>Technical Interview</t>
        </is>
      </c>
      <c r="E14" s="2">
        <f>COUNTIF(Applications!H2:H500,D14)</f>
        <v/>
      </c>
    </row>
    <row r="15">
      <c r="A15" s="2" t="n"/>
      <c r="B15" s="2" t="n"/>
      <c r="C15" s="2" t="n"/>
      <c r="D15" s="2" t="inlineStr">
        <is>
          <t>HR/Manager</t>
        </is>
      </c>
      <c r="E15" s="2">
        <f>COUNTIF(Applications!H2:H500,D15)</f>
        <v/>
      </c>
    </row>
    <row r="16">
      <c r="A16" s="2" t="n"/>
      <c r="B16" s="2" t="n"/>
      <c r="C16" s="2" t="n"/>
      <c r="D16" s="2" t="inlineStr">
        <is>
          <t>Offer</t>
        </is>
      </c>
      <c r="E16" s="2">
        <f>COUNTIF(Applications!H2:H500,D16)</f>
        <v/>
      </c>
    </row>
    <row r="17">
      <c r="A17" s="2" t="n"/>
      <c r="B17" s="2" t="n"/>
      <c r="C17" s="2" t="n"/>
      <c r="D17" s="2" t="inlineStr">
        <is>
          <t>Rejected</t>
        </is>
      </c>
      <c r="E17" s="2">
        <f>COUNTIF(Applications!H2:H500,D17)</f>
        <v/>
      </c>
    </row>
    <row r="18">
      <c r="A18" s="2" t="n"/>
      <c r="B18" s="2" t="n"/>
      <c r="C18" s="2" t="n"/>
      <c r="D18" s="2" t="inlineStr">
        <is>
          <t>Ghosted</t>
        </is>
      </c>
      <c r="E18" s="2">
        <f>COUNTIF(Applications!H2:H500,D18)</f>
        <v/>
      </c>
    </row>
    <row r="19">
      <c r="A19" s="2" t="n"/>
      <c r="B19" s="2" t="n"/>
      <c r="C19" s="2" t="n"/>
      <c r="D19" s="2" t="inlineStr">
        <is>
          <t>PPO</t>
        </is>
      </c>
      <c r="E19" s="2">
        <f>COUNTIF(Applications!H2:H500,D19)</f>
        <v/>
      </c>
    </row>
  </sheetData>
  <mergeCells count="1">
    <mergeCell ref="A1:D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K1"/>
  <sheetViews>
    <sheetView workbookViewId="0">
      <pane ySplit="1" topLeftCell="A2" activePane="bottomLeft" state="frozen"/>
      <selection activeCell="A1" sqref="A1:D1"/>
      <selection pane="bottomLeft" activeCell="A1" sqref="A1:D1"/>
    </sheetView>
  </sheetViews>
  <sheetFormatPr baseColWidth="8" defaultRowHeight="15"/>
  <cols>
    <col width="24" customWidth="1" style="15" min="1" max="37"/>
  </cols>
  <sheetData>
    <row r="1">
      <c r="A1" s="5" t="inlineStr">
        <is>
          <t>Job ID</t>
        </is>
      </c>
      <c r="B1" s="5" t="inlineStr">
        <is>
          <t>Company</t>
        </is>
      </c>
      <c r="C1" s="5" t="inlineStr">
        <is>
          <t>Role</t>
        </is>
      </c>
      <c r="D1" s="5" t="inlineStr">
        <is>
          <t>Job URL</t>
        </is>
      </c>
      <c r="E1" s="5" t="inlineStr">
        <is>
          <t>Source</t>
        </is>
      </c>
      <c r="F1" s="5" t="inlineStr">
        <is>
          <t>Location</t>
        </is>
      </c>
      <c r="G1" s="5" t="inlineStr">
        <is>
          <t>Work Mode</t>
        </is>
      </c>
      <c r="H1" s="5" t="inlineStr">
        <is>
          <t>Job Type</t>
        </is>
      </c>
      <c r="I1" s="5" t="inlineStr">
        <is>
          <t>Duration</t>
        </is>
      </c>
      <c r="J1" s="5" t="inlineStr">
        <is>
          <t>Stipend Raw</t>
        </is>
      </c>
      <c r="K1" s="5" t="inlineStr">
        <is>
          <t>Eligibility Status</t>
        </is>
      </c>
      <c r="L1" s="5" t="inlineStr">
        <is>
          <t>Eligibility Reasons</t>
        </is>
      </c>
      <c r="M1" s="5" t="inlineStr">
        <is>
          <t>Availability Status</t>
        </is>
      </c>
      <c r="N1" s="5" t="inlineStr">
        <is>
          <t>Availability Reason</t>
        </is>
      </c>
      <c r="O1" s="5" t="inlineStr">
        <is>
          <t>Compensation Status</t>
        </is>
      </c>
      <c r="P1" s="5" t="inlineStr">
        <is>
          <t>Guaranteed Stipend</t>
        </is>
      </c>
      <c r="Q1" s="5" t="inlineStr">
        <is>
          <t>Incentive Included</t>
        </is>
      </c>
      <c r="R1" s="5" t="inlineStr">
        <is>
          <t>PPO Status</t>
        </is>
      </c>
      <c r="S1" s="5" t="inlineStr">
        <is>
          <t>PPO Evidence</t>
        </is>
      </c>
      <c r="T1" s="5" t="inlineStr">
        <is>
          <t>Technical Fit</t>
        </is>
      </c>
      <c r="U1" s="5" t="inlineStr">
        <is>
          <t>Experience Fit</t>
        </is>
      </c>
      <c r="V1" s="5" t="inlineStr">
        <is>
          <t>Role Fit</t>
        </is>
      </c>
      <c r="W1" s="5" t="inlineStr">
        <is>
          <t>PPO Score</t>
        </is>
      </c>
      <c r="X1" s="5" t="inlineStr">
        <is>
          <t>Compensation Fit</t>
        </is>
      </c>
      <c r="Y1" s="5" t="inlineStr">
        <is>
          <t>Opportunity Quality</t>
        </is>
      </c>
      <c r="Z1" s="5" t="inlineStr">
        <is>
          <t>Overall Score</t>
        </is>
      </c>
      <c r="AA1" s="5" t="inlineStr">
        <is>
          <t>Recommendation</t>
        </is>
      </c>
      <c r="AB1" s="5" t="inlineStr">
        <is>
          <t>Required Skills</t>
        </is>
      </c>
      <c r="AC1" s="5" t="inlineStr">
        <is>
          <t>Preferred Skills</t>
        </is>
      </c>
      <c r="AD1" s="5" t="inlineStr">
        <is>
          <t>Skill Gaps</t>
        </is>
      </c>
      <c r="AE1" s="5" t="inlineStr">
        <is>
          <t>Hard Blockers</t>
        </is>
      </c>
      <c r="AF1" s="5" t="inlineStr">
        <is>
          <t>Red Flags</t>
        </is>
      </c>
      <c r="AG1" s="5" t="inlineStr">
        <is>
          <t>Recommended Resume</t>
        </is>
      </c>
      <c r="AH1" s="5" t="inlineStr">
        <is>
          <t>Interview Topics</t>
        </is>
      </c>
      <c r="AI1" s="5" t="inlineStr">
        <is>
          <t>Why Apply</t>
        </is>
      </c>
      <c r="AJ1" s="5" t="inlineStr">
        <is>
          <t>Why Not</t>
        </is>
      </c>
      <c r="AK1" s="5" t="inlineStr">
        <is>
          <t>Date Found</t>
        </is>
      </c>
    </row>
  </sheetData>
  <autoFilter ref="A1:AK49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0" customWidth="1" style="15" min="1" max="1"/>
    <col width="105" customWidth="1" style="15" min="2" max="2"/>
  </cols>
  <sheetData>
    <row r="1" ht="39" customHeight="1" s="15">
      <c r="A1" s="7" t="inlineStr">
        <is>
          <t>AI → CRM workflow</t>
        </is>
      </c>
      <c r="B1" s="2" t="n"/>
    </row>
    <row r="2">
      <c r="A2" s="2" t="inlineStr">
        <is>
          <t>1</t>
        </is>
      </c>
      <c r="B2" s="2" t="inlineStr">
        <is>
          <t>Run a JD through the AI Job Analyzer.</t>
        </is>
      </c>
    </row>
    <row r="3">
      <c r="A3" s="2" t="inlineStr">
        <is>
          <t>2</t>
        </is>
      </c>
      <c r="B3" s="2" t="inlineStr">
        <is>
          <t>Copy the structured JSON result into the importer script/tool we will build next.</t>
        </is>
      </c>
    </row>
    <row r="4">
      <c r="A4" s="2" t="inlineStr">
        <is>
          <t>3</t>
        </is>
      </c>
      <c r="B4" s="2" t="inlineStr">
        <is>
          <t>The importer maps the analysis into AI_Import and Jobs.</t>
        </is>
      </c>
    </row>
    <row r="5">
      <c r="A5" s="2" t="inlineStr">
        <is>
          <t>4</t>
        </is>
      </c>
      <c r="B5" s="2" t="inlineStr">
        <is>
          <t>Only shortlisted jobs move into Applications after you personally approve them.</t>
        </is>
      </c>
    </row>
    <row r="6">
      <c r="A6" s="2" t="inlineStr">
        <is>
          <t>5</t>
        </is>
      </c>
      <c r="B6" s="2" t="inlineStr">
        <is>
          <t>Never let AI submit applications automatically at this stage.</t>
        </is>
      </c>
    </row>
    <row r="7">
      <c r="A7" s="2" t="inlineStr">
        <is>
          <t>Current scoring</t>
        </is>
      </c>
      <c r="B7" s="2" t="inlineStr">
        <is>
          <t>Technical 30% + Experience 20% + Role 15% + PPO 15% + Compensation 10% + Opportunity Quality 10%.</t>
        </is>
      </c>
    </row>
    <row r="8">
      <c r="A8" s="2" t="inlineStr">
        <is>
          <t>Hard blockers</t>
        </is>
      </c>
      <c r="B8" s="2" t="inlineStr">
        <is>
          <t>Eligibility or availability failure forces SKIP regardless of score.</t>
        </is>
      </c>
    </row>
    <row r="9" ht="30" customHeight="1" s="15">
      <c r="A9" s="2" t="inlineStr">
        <is>
          <t>Compensation</t>
        </is>
      </c>
      <c r="B9" s="2" t="inlineStr">
        <is>
          <t>Guaranteed/fixed pay is what counts toward the ₹25,000 minimum; incentive-only amounts are not treated as guaranteed.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2026-08-17T20:57:55Z</dcterms:created>
  <dcterms:modified xsi:type="dcterms:W3CDTF">2026-10-02T12:35:01Z</dcterms:modified>
  <cp:lastModifiedBy>Amaanuddin Ahmed</cp:lastModifiedBy>
</cp:coreProperties>
</file>