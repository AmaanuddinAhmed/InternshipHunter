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4" autoFilterDateGrouping="1"/>
  </bookViews>
  <sheets>
    <sheet name="Morning Dashboard" sheetId="1" state="visible" r:id="rId1"/>
    <sheet name="README" sheetId="2" state="visible" r:id="rId2"/>
    <sheet name="Career_Profile" sheetId="3" state="visible" r:id="rId3"/>
    <sheet name="Skills" sheetId="4" state="visible" r:id="rId4"/>
    <sheet name="Jobs" sheetId="5" state="visible" r:id="rId5"/>
    <sheet name="Applications" sheetId="6" state="visible" r:id="rId6"/>
    <sheet name="Interviews" sheetId="7" state="visible" r:id="rId7"/>
    <sheet name="Analytics" sheetId="8" state="visible" r:id="rId8"/>
    <sheet name="AI_Import" sheetId="9" state="visible" r:id="rId9"/>
    <sheet name="AI_Import_Guide" sheetId="10" state="visible" r:id="rId10"/>
  </sheets>
  <definedNames>
    <definedName name="_xlnm._FilterDatabase" localSheetId="0" hidden="1">'Morning Dashboard'!$A$12:$L$17</definedName>
    <definedName name="_xlnm._FilterDatabase" localSheetId="4" hidden="1">'Jobs'!$A$1:$Z$1</definedName>
    <definedName name="_xlnm._FilterDatabase" localSheetId="5" hidden="1">'Applications'!$A$1:$Q$500</definedName>
    <definedName name="_xlnm._FilterDatabase" localSheetId="6" hidden="1">'Interviews'!$A$1:$O$500</definedName>
    <definedName name="_xlnm._FilterDatabase" localSheetId="8" hidden="1">'AI_Import'!$A$1:$AK$499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5"/>
    </font>
    <font>
      <name val="Calibri"/>
      <family val="2"/>
      <color theme="10"/>
      <sz val="12"/>
      <scheme val="minor"/>
    </font>
    <font>
      <name val="Calibri"/>
      <b val="1"/>
      <sz val="18"/>
    </font>
    <font>
      <name val="Calibri"/>
      <b val="1"/>
      <sz val="11"/>
    </font>
    <font>
      <name val="Calibri"/>
      <b val="1"/>
      <sz val="14"/>
    </font>
    <font>
      <name val="Calibri"/>
      <b val="1"/>
      <sz val="12"/>
    </font>
    <font>
      <name val="Calibri"/>
      <family val="2"/>
      <b val="1"/>
      <color theme="0"/>
      <sz val="11"/>
      <scheme val="minor"/>
    </font>
    <font>
      <b val="1"/>
      <sz val="18"/>
    </font>
    <font>
      <b val="1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bottom style="thin"/>
    </border>
  </borders>
  <cellStyleXfs count="2">
    <xf numFmtId="0" fontId="0" fillId="0" borderId="0"/>
    <xf numFmtId="0" fontId="5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3" borderId="4" applyAlignment="1" pivotButton="0" quotePrefix="0" xfId="0">
      <alignment vertical="top" wrapText="1"/>
    </xf>
    <xf numFmtId="0" fontId="5" fillId="3" borderId="4" pivotButton="0" quotePrefix="0" xfId="1"/>
    <xf numFmtId="0" fontId="0" fillId="4" borderId="4" applyAlignment="1" pivotButton="0" quotePrefix="0" xfId="0">
      <alignment vertical="top" wrapText="1"/>
    </xf>
    <xf numFmtId="0" fontId="9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10" fillId="5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0" borderId="0" applyAlignment="1" pivotButton="0" quotePrefix="0" xfId="0">
      <alignment horizontal="center"/>
    </xf>
    <xf numFmtId="0" fontId="0" fillId="6" borderId="7" applyAlignment="1" pivotButton="0" quotePrefix="0" xfId="0">
      <alignment vertical="top" wrapText="1"/>
    </xf>
    <xf numFmtId="0" fontId="5" fillId="6" borderId="7" pivotButton="0" quotePrefix="0" xfId="1"/>
    <xf numFmtId="0" fontId="0" fillId="7" borderId="7" applyAlignment="1" pivotButton="0" quotePrefix="0" xfId="0">
      <alignment vertical="top" wrapText="1"/>
    </xf>
    <xf numFmtId="0" fontId="14" fillId="0" borderId="0" pivotButton="0" quotePrefix="0" xfId="0"/>
    <xf numFmtId="0" fontId="5" fillId="7" borderId="7" pivotButton="0" quotePrefix="0" xfId="1"/>
    <xf numFmtId="0" fontId="0" fillId="8" borderId="7" applyAlignment="1" pivotButton="0" quotePrefix="0" xfId="0">
      <alignment vertical="top" wrapText="1"/>
    </xf>
    <xf numFmtId="0" fontId="5" fillId="8" borderId="7" pivotButton="0" quotePrefix="0" xfId="1"/>
  </cellXfs>
  <cellStyles count="2">
    <cellStyle name="Normal" xfId="0" builtinId="0"/>
    <cellStyle name="Hyperlink" xfId="1" builtinId="8"/>
  </cellStyles>
  <dxfs count="1">
    <dxf>
      <fill>
        <patternFill patternType="solid">
          <fgColor rgb="FF86EFA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style="15" min="1" max="1"/>
    <col width="28" customWidth="1" style="15" min="2" max="2"/>
    <col width="42" customWidth="1" style="15" min="3" max="3"/>
    <col width="9" customWidth="1" style="15" min="4" max="4"/>
    <col width="17" customWidth="1" style="15" min="5" max="5"/>
    <col width="18" customWidth="1" style="15" min="6" max="6"/>
    <col width="14" customWidth="1" style="15" min="7" max="7"/>
    <col width="20" customWidth="1" style="15" min="8" max="8"/>
    <col width="18" customWidth="1" style="15" min="9" max="9"/>
    <col width="36" customWidth="1" style="15" min="10" max="10"/>
    <col width="20" customWidth="1" style="15" min="11" max="11"/>
    <col width="18" customWidth="1" style="15" min="12" max="12"/>
  </cols>
  <sheetData>
    <row r="1">
      <c r="A1" s="22" t="inlineStr">
        <is>
          <t>AMAAN INTERNSHIP ECOSYSTEM — MORNING DASHBOARD</t>
        </is>
      </c>
    </row>
    <row r="2">
      <c r="A2" t="inlineStr">
        <is>
          <t>Updated: 2026-10-02</t>
        </is>
      </c>
    </row>
    <row r="3">
      <c r="A3" t="inlineStr">
        <is>
          <t>Workflow: Discover → Analyze → Shortlist → Apply-Assist → Apply → Track</t>
        </is>
      </c>
    </row>
    <row r="5">
      <c r="A5" s="23" t="inlineStr">
        <is>
          <t>Relevant/Tracked Jobs</t>
        </is>
      </c>
      <c r="B5" s="23" t="inlineStr">
        <is>
          <t>Apply Queue</t>
        </is>
      </c>
      <c r="C5" s="23" t="inlineStr">
        <is>
          <t>APPLY ASAP</t>
        </is>
      </c>
      <c r="D5" s="23" t="inlineStr">
        <is>
          <t>APPLY</t>
        </is>
      </c>
      <c r="E5" s="23" t="inlineStr">
        <is>
          <t>Kits Ready</t>
        </is>
      </c>
      <c r="F5" s="23" t="inlineStr">
        <is>
          <t>Applied</t>
        </is>
      </c>
    </row>
    <row r="6">
      <c r="A6" s="24" t="n">
        <v>0</v>
      </c>
      <c r="B6" s="24" t="n">
        <v>0</v>
      </c>
      <c r="C6" s="24" t="n">
        <v>0</v>
      </c>
      <c r="D6" s="24" t="n">
        <v>0</v>
      </c>
      <c r="E6" s="24" t="n">
        <v>0</v>
      </c>
      <c r="F6" s="24" t="n">
        <v>0</v>
      </c>
    </row>
    <row r="9">
      <c r="A9" s="24" t="inlineStr">
        <is>
          <t>APPLY QUEUE</t>
        </is>
      </c>
    </row>
    <row r="10">
      <c r="A10" t="inlineStr">
        <is>
          <t>Review APPLY ASAP first. Open the job, review the generated kit, then apply manually.</t>
        </is>
      </c>
    </row>
    <row r="12">
      <c r="A12" s="25" t="inlineStr">
        <is>
          <t>Rank</t>
        </is>
      </c>
      <c r="B12" s="25" t="inlineStr">
        <is>
          <t>Company</t>
        </is>
      </c>
      <c r="C12" s="25" t="inlineStr">
        <is>
          <t>Role</t>
        </is>
      </c>
      <c r="D12" s="25" t="inlineStr">
        <is>
          <t>Score</t>
        </is>
      </c>
      <c r="E12" s="25" t="inlineStr">
        <is>
          <t>Recommendation</t>
        </is>
      </c>
      <c r="F12" s="25" t="inlineStr">
        <is>
          <t>Location</t>
        </is>
      </c>
      <c r="G12" s="25" t="inlineStr">
        <is>
          <t>Work Mode</t>
        </is>
      </c>
      <c r="H12" s="25" t="inlineStr">
        <is>
          <t>Stipend</t>
        </is>
      </c>
      <c r="I12" s="25" t="inlineStr">
        <is>
          <t>PPO</t>
        </is>
      </c>
      <c r="J12" s="25" t="inlineStr">
        <is>
          <t>Resume</t>
        </is>
      </c>
      <c r="K12" s="25" t="inlineStr">
        <is>
          <t>Application Kit</t>
        </is>
      </c>
      <c r="L12" s="25" t="inlineStr">
        <is>
          <t>Status</t>
        </is>
      </c>
    </row>
    <row r="15">
      <c r="A15" s="24" t="inlineStr">
        <is>
          <t>ALREADY APPLIED</t>
        </is>
      </c>
    </row>
    <row r="17">
      <c r="A17" s="25" t="inlineStr">
        <is>
          <t>Rank</t>
        </is>
      </c>
      <c r="B17" s="25" t="inlineStr">
        <is>
          <t>Company</t>
        </is>
      </c>
      <c r="C17" s="25" t="inlineStr">
        <is>
          <t>Role</t>
        </is>
      </c>
      <c r="D17" s="25" t="inlineStr">
        <is>
          <t>Score</t>
        </is>
      </c>
      <c r="E17" s="25" t="inlineStr">
        <is>
          <t>Recommendation</t>
        </is>
      </c>
      <c r="F17" s="25" t="inlineStr">
        <is>
          <t>Location</t>
        </is>
      </c>
      <c r="G17" s="25" t="inlineStr">
        <is>
          <t>Work Mode</t>
        </is>
      </c>
      <c r="H17" s="25" t="inlineStr">
        <is>
          <t>Stipend</t>
        </is>
      </c>
      <c r="I17" s="25" t="inlineStr">
        <is>
          <t>PPO</t>
        </is>
      </c>
      <c r="J17" s="25" t="inlineStr">
        <is>
          <t>Resume</t>
        </is>
      </c>
      <c r="K17" s="25" t="inlineStr">
        <is>
          <t>Application Kit</t>
        </is>
      </c>
      <c r="L17" s="25" t="inlineStr">
        <is>
          <t>Status</t>
        </is>
      </c>
    </row>
    <row r="20">
      <c r="A20" s="29" t="inlineStr">
        <is>
          <t>MORNING ROUTINE</t>
        </is>
      </c>
    </row>
    <row r="21">
      <c r="A21" t="inlineStr">
        <is>
          <t>1. Start with APPLY ASAP.</t>
        </is>
      </c>
    </row>
    <row r="22">
      <c r="A22" t="inlineStr">
        <is>
          <t>2. Click the Role to open the original job.</t>
        </is>
      </c>
    </row>
    <row r="23">
      <c r="A23" t="inlineStr">
        <is>
          <t>3. Click OPEN KIT to review the generated application material.</t>
        </is>
      </c>
    </row>
    <row r="24">
      <c r="A24" t="inlineStr">
        <is>
          <t>4. Submit the application manually.</t>
        </is>
      </c>
    </row>
    <row r="25">
      <c r="A25" t="inlineStr">
        <is>
          <t>5. In the Jobs sheet, change Apply Status to APPLIED.</t>
        </is>
      </c>
    </row>
    <row r="26">
      <c r="A26" t="inlineStr">
        <is>
          <t>6. Refresh the dashboard. The job will move to ALREADY APPLIED.</t>
        </is>
      </c>
    </row>
  </sheetData>
  <autoFilter ref="A12:L17"/>
  <mergeCells count="11">
    <mergeCell ref="A26:L26"/>
    <mergeCell ref="A24:L24"/>
    <mergeCell ref="A15:L15"/>
    <mergeCell ref="A10:L10"/>
    <mergeCell ref="A25:L25"/>
    <mergeCell ref="A1:L1"/>
    <mergeCell ref="A23:L23"/>
    <mergeCell ref="A22:L22"/>
    <mergeCell ref="A9:L9"/>
    <mergeCell ref="A3:L3"/>
    <mergeCell ref="A21:L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style="15" min="1" max="1"/>
    <col width="100" customWidth="1" style="15" min="2" max="2"/>
  </cols>
  <sheetData>
    <row r="1" ht="30" customHeight="1" s="15">
      <c r="A1" s="1" t="inlineStr">
        <is>
          <t>Amaan's Internship Ecosystem — v1</t>
        </is>
      </c>
      <c r="B1" s="2" t="n"/>
    </row>
    <row r="2">
      <c r="A2" s="2" t="inlineStr">
        <is>
          <t>Purpose</t>
        </is>
      </c>
      <c r="B2" s="2" t="inlineStr">
        <is>
          <t>Personal internship CRM + AI-ready job database.</t>
        </is>
      </c>
    </row>
    <row r="3">
      <c r="A3" s="2" t="inlineStr">
        <is>
          <t>Workflow</t>
        </is>
      </c>
      <c r="B3" s="2" t="inlineStr">
        <is>
          <t>Discover → Analyze → Shortlist → Apply → OA → Interview → Offer → PPO</t>
        </is>
      </c>
    </row>
    <row r="4">
      <c r="A4" s="2" t="inlineStr">
        <is>
          <t>Start here</t>
        </is>
      </c>
      <c r="B4" s="2" t="inlineStr">
        <is>
          <t>Fill Career_Profile and verify Skills. Add jobs to Jobs. Applications are only for jobs you actually apply to.</t>
        </is>
      </c>
    </row>
    <row r="5">
      <c r="A5" s="2" t="inlineStr">
        <is>
          <t>AI fields</t>
        </is>
      </c>
      <c r="B5" s="2" t="inlineStr">
        <is>
          <t>Match/fit scores, skill gaps, PPO signal and resume version will later be populated by the AI analyzer.</t>
        </is>
      </c>
    </row>
    <row r="6" ht="30" customHeight="1" s="15">
      <c r="A6" s="2" t="inlineStr">
        <is>
          <t>Scoring</t>
        </is>
      </c>
      <c r="B6" s="2" t="inlineStr">
        <is>
          <t>Overall Match = Technical 30% + Experience 20% + Role 15% + PPO 15% + Compensation 10% + Opportunity Quality 10%.</t>
        </is>
      </c>
    </row>
    <row r="7">
      <c r="A7" s="2" t="inlineStr">
        <is>
          <t>Priority</t>
        </is>
      </c>
      <c r="B7" s="2" t="inlineStr">
        <is>
          <t>P1 = 80+, P2 = 70–79, P3 = 60–69, P4 = below 60. APPLY ASAP is reserved for 90+.</t>
        </is>
      </c>
    </row>
    <row r="8">
      <c r="A8" s="2" t="inlineStr">
        <is>
          <t>Important</t>
        </is>
      </c>
      <c r="B8" s="2" t="inlineStr">
        <is>
          <t>Never let AI invent skills, experience, metrics, eligibility, compensation or PPO claims.</t>
        </is>
      </c>
    </row>
    <row r="9">
      <c r="A9" s="2" t="inlineStr">
        <is>
          <t>Next build step</t>
        </is>
      </c>
      <c r="B9" s="2" t="inlineStr">
        <is>
          <t>Connect the AI Job Analyzer to this database, then add job discovery automation.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15" min="1" max="1"/>
    <col width="42" customWidth="1" style="15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Candidate</t>
        </is>
      </c>
      <c r="B2" s="2" t="inlineStr">
        <is>
          <t>Amaanuddin Ahmed</t>
        </is>
      </c>
    </row>
    <row r="3">
      <c r="A3" s="2" t="inlineStr">
        <is>
          <t>Current Degree</t>
        </is>
      </c>
      <c r="B3" s="2" t="inlineStr">
        <is>
          <t>MCA</t>
        </is>
      </c>
    </row>
    <row r="4">
      <c r="A4" s="2" t="inlineStr">
        <is>
          <t>University</t>
        </is>
      </c>
      <c r="B4" s="2" t="inlineStr">
        <is>
          <t>PES University, Bengaluru</t>
        </is>
      </c>
    </row>
    <row r="5">
      <c r="A5" s="2" t="inlineStr">
        <is>
          <t>MCA CGPA</t>
        </is>
      </c>
      <c r="B5" s="2" t="n">
        <v>8.48</v>
      </c>
    </row>
    <row r="6">
      <c r="A6" s="2" t="inlineStr">
        <is>
          <t>BCA CGPA</t>
        </is>
      </c>
      <c r="B6" s="2" t="n">
        <v>8.199999999999999</v>
      </c>
    </row>
    <row r="7">
      <c r="A7" s="2" t="inlineStr">
        <is>
          <t>Location Preference</t>
        </is>
      </c>
      <c r="B7" s="2" t="inlineStr">
        <is>
          <t>Anywhere in India</t>
        </is>
      </c>
    </row>
    <row r="8">
      <c r="A8" s="2" t="inlineStr">
        <is>
          <t>Work Mode</t>
        </is>
      </c>
      <c r="B8" s="2" t="inlineStr">
        <is>
          <t>Remote / Hybrid / On-site</t>
        </is>
      </c>
    </row>
    <row r="9">
      <c r="A9" s="2" t="inlineStr">
        <is>
          <t>Minimum Stipend</t>
        </is>
      </c>
      <c r="B9" s="2" t="n">
        <v>25000</v>
      </c>
    </row>
    <row r="10">
      <c r="A10" s="2" t="inlineStr">
        <is>
          <t>Duration</t>
        </is>
      </c>
      <c r="B10" s="2" t="inlineStr">
        <is>
          <t>Any</t>
        </is>
      </c>
    </row>
    <row r="11">
      <c r="A11" s="2" t="inlineStr">
        <is>
          <t>Company Preference</t>
        </is>
      </c>
      <c r="B11" s="2" t="inlineStr">
        <is>
          <t>No preference</t>
        </is>
      </c>
    </row>
    <row r="12">
      <c r="A12" s="2" t="inlineStr">
        <is>
          <t>PPO Priority</t>
        </is>
      </c>
      <c r="B12" s="2" t="inlineStr">
        <is>
          <t>High</t>
        </is>
      </c>
    </row>
    <row r="13" ht="30" customHeight="1" s="15">
      <c r="A13" s="2" t="inlineStr">
        <is>
          <t>Primary Roles</t>
        </is>
      </c>
      <c r="B13" s="2" t="inlineStr">
        <is>
          <t>SDE / Software Engineer Intern; Full Stack Intern; Backend Intern</t>
        </is>
      </c>
    </row>
    <row r="14" ht="30" customHeight="1" s="15">
      <c r="A14" s="2" t="inlineStr">
        <is>
          <t>Secondary Roles</t>
        </is>
      </c>
      <c r="B14" s="2" t="inlineStr">
        <is>
          <t>MERN/Node.js Intern; Frontend Intern; DevOps/Cloud Intern</t>
        </is>
      </c>
    </row>
    <row r="15">
      <c r="A15" s="2" t="inlineStr">
        <is>
          <t>Selective Roles</t>
        </is>
      </c>
      <c r="B15" s="2" t="inlineStr">
        <is>
          <t>Java Developer Intern</t>
        </is>
      </c>
    </row>
    <row r="16" ht="30" customHeight="1" s="15">
      <c r="A16" s="2" t="inlineStr">
        <is>
          <t>Primary Stack</t>
        </is>
      </c>
      <c r="B16" s="2" t="inlineStr">
        <is>
          <t>JavaScript, TypeScript, Node.js, Express, Angular, React, MongoDB, MySQL</t>
        </is>
      </c>
    </row>
    <row r="17" ht="30" customHeight="1" s="15">
      <c r="A17" s="2" t="inlineStr">
        <is>
          <t>Cloud/DevOps</t>
        </is>
      </c>
      <c r="B17" s="2" t="inlineStr">
        <is>
          <t>AWS, Azure, Vercel, Render, Docker, Kubernetes, CI/CD</t>
        </is>
      </c>
    </row>
    <row r="18" ht="30" customHeight="1" s="15">
      <c r="A18" s="2" t="inlineStr">
        <is>
          <t>Experience</t>
        </is>
      </c>
      <c r="B18" s="2" t="inlineStr">
        <is>
          <t>Production internship + freelance client experience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5" min="1" max="1"/>
    <col width="15" customWidth="1" style="15" min="2" max="2"/>
    <col width="42" customWidth="1" style="15" min="3" max="3"/>
    <col width="26" customWidth="1" style="15" min="4" max="4"/>
    <col width="12" customWidth="1" style="15" min="5" max="5"/>
  </cols>
  <sheetData>
    <row r="1">
      <c r="A1" s="1" t="inlineStr">
        <is>
          <t>Skill</t>
        </is>
      </c>
      <c r="B1" s="1" t="inlineStr">
        <is>
          <t>Level</t>
        </is>
      </c>
      <c r="C1" s="1" t="inlineStr">
        <is>
          <t>Evidence / Context</t>
        </is>
      </c>
      <c r="D1" s="1" t="inlineStr">
        <is>
          <t>Target Roles</t>
        </is>
      </c>
      <c r="E1" s="1" t="inlineStr">
        <is>
          <t>Verified?</t>
        </is>
      </c>
    </row>
    <row r="2">
      <c r="A2" s="2" t="inlineStr">
        <is>
          <t>JavaScript</t>
        </is>
      </c>
      <c r="B2" s="2" t="inlineStr">
        <is>
          <t>Strong</t>
        </is>
      </c>
      <c r="C2" s="2" t="inlineStr">
        <is>
          <t>MERN + Angular production/projects</t>
        </is>
      </c>
      <c r="D2" s="2" t="inlineStr">
        <is>
          <t>SDE; Full Stack; Backend</t>
        </is>
      </c>
      <c r="E2" s="2" t="inlineStr">
        <is>
          <t>Yes</t>
        </is>
      </c>
    </row>
    <row r="3">
      <c r="A3" s="2" t="inlineStr">
        <is>
          <t>TypeScript</t>
        </is>
      </c>
      <c r="B3" s="2" t="inlineStr">
        <is>
          <t>Strong</t>
        </is>
      </c>
      <c r="C3" s="2" t="inlineStr">
        <is>
          <t>Angular</t>
        </is>
      </c>
      <c r="D3" s="2" t="inlineStr">
        <is>
          <t>Full Stack; Frontend</t>
        </is>
      </c>
      <c r="E3" s="2" t="inlineStr">
        <is>
          <t>Yes</t>
        </is>
      </c>
    </row>
    <row r="4">
      <c r="A4" s="2" t="inlineStr">
        <is>
          <t>Node.js</t>
        </is>
      </c>
      <c r="B4" s="2" t="inlineStr">
        <is>
          <t>Strong</t>
        </is>
      </c>
      <c r="C4" s="2" t="inlineStr">
        <is>
          <t>Production internship + projects</t>
        </is>
      </c>
      <c r="D4" s="2" t="inlineStr">
        <is>
          <t>SDE; Backend; Full Stack</t>
        </is>
      </c>
      <c r="E4" s="2" t="inlineStr">
        <is>
          <t>Yes</t>
        </is>
      </c>
    </row>
    <row r="5">
      <c r="A5" s="2" t="inlineStr">
        <is>
          <t>Express.js</t>
        </is>
      </c>
      <c r="B5" s="2" t="inlineStr">
        <is>
          <t>Strong</t>
        </is>
      </c>
      <c r="C5" s="2" t="inlineStr">
        <is>
          <t>Production/projects</t>
        </is>
      </c>
      <c r="D5" s="2" t="inlineStr">
        <is>
          <t>Backend; Full Stack</t>
        </is>
      </c>
      <c r="E5" s="2" t="inlineStr">
        <is>
          <t>Yes</t>
        </is>
      </c>
    </row>
    <row r="6">
      <c r="A6" s="2" t="inlineStr">
        <is>
          <t>Angular</t>
        </is>
      </c>
      <c r="B6" s="2" t="inlineStr">
        <is>
          <t>Strong</t>
        </is>
      </c>
      <c r="C6" s="2" t="inlineStr">
        <is>
          <t>Production internship + POS</t>
        </is>
      </c>
      <c r="D6" s="2" t="inlineStr">
        <is>
          <t>Full Stack; Frontend</t>
        </is>
      </c>
      <c r="E6" s="2" t="inlineStr">
        <is>
          <t>Yes</t>
        </is>
      </c>
    </row>
    <row r="7">
      <c r="A7" s="2" t="inlineStr">
        <is>
          <t>React</t>
        </is>
      </c>
      <c r="B7" s="2" t="inlineStr">
        <is>
          <t>Working</t>
        </is>
      </c>
      <c r="C7" s="2" t="inlineStr">
        <is>
          <t>MERN projects</t>
        </is>
      </c>
      <c r="D7" s="2" t="inlineStr">
        <is>
          <t>Full Stack; Frontend</t>
        </is>
      </c>
      <c r="E7" s="2" t="inlineStr">
        <is>
          <t>Yes</t>
        </is>
      </c>
    </row>
    <row r="8">
      <c r="A8" s="2" t="inlineStr">
        <is>
          <t>MongoDB</t>
        </is>
      </c>
      <c r="B8" s="2" t="inlineStr">
        <is>
          <t>Strong</t>
        </is>
      </c>
      <c r="C8" s="2" t="inlineStr">
        <is>
          <t>Multiple full-stack projects</t>
        </is>
      </c>
      <c r="D8" s="2" t="inlineStr">
        <is>
          <t>Backend; Full Stack</t>
        </is>
      </c>
      <c r="E8" s="2" t="inlineStr">
        <is>
          <t>Yes</t>
        </is>
      </c>
    </row>
    <row r="9">
      <c r="A9" s="2" t="inlineStr">
        <is>
          <t>MySQL</t>
        </is>
      </c>
      <c r="B9" s="2" t="inlineStr">
        <is>
          <t>Strong</t>
        </is>
      </c>
      <c r="C9" s="2" t="inlineStr">
        <is>
          <t>Production internship</t>
        </is>
      </c>
      <c r="D9" s="2" t="inlineStr">
        <is>
          <t>Backend; Full Stack</t>
        </is>
      </c>
      <c r="E9" s="2" t="inlineStr">
        <is>
          <t>Yes</t>
        </is>
      </c>
    </row>
    <row r="10">
      <c r="A10" s="2" t="inlineStr">
        <is>
          <t>PostgreSQL</t>
        </is>
      </c>
      <c r="B10" s="2" t="inlineStr">
        <is>
          <t>Working</t>
        </is>
      </c>
      <c r="C10" s="2" t="inlineStr">
        <is>
          <t>Listed skill</t>
        </is>
      </c>
      <c r="D10" s="2" t="inlineStr">
        <is>
          <t>Backend; SDE</t>
        </is>
      </c>
      <c r="E10" s="2" t="inlineStr">
        <is>
          <t>Review</t>
        </is>
      </c>
    </row>
    <row r="11">
      <c r="A11" s="2" t="inlineStr">
        <is>
          <t>Next.js</t>
        </is>
      </c>
      <c r="B11" s="2" t="inlineStr">
        <is>
          <t>Working</t>
        </is>
      </c>
      <c r="C11" s="2" t="inlineStr">
        <is>
          <t>Listed skill</t>
        </is>
      </c>
      <c r="D11" s="2" t="inlineStr">
        <is>
          <t>Full Stack; Frontend</t>
        </is>
      </c>
      <c r="E11" s="2" t="inlineStr">
        <is>
          <t>Review</t>
        </is>
      </c>
    </row>
    <row r="12" ht="30" customHeight="1" s="15">
      <c r="A12" s="2" t="inlineStr">
        <is>
          <t>Java</t>
        </is>
      </c>
      <c r="B12" s="2" t="inlineStr">
        <is>
          <t>Working / DSA</t>
        </is>
      </c>
      <c r="C12" s="2" t="inlineStr">
        <is>
          <t>DSA certification; development depth to verify</t>
        </is>
      </c>
      <c r="D12" s="2" t="inlineStr">
        <is>
          <t>SDE; Java</t>
        </is>
      </c>
      <c r="E12" s="2" t="inlineStr">
        <is>
          <t>Review</t>
        </is>
      </c>
    </row>
    <row r="13">
      <c r="A13" s="2" t="inlineStr">
        <is>
          <t>Python</t>
        </is>
      </c>
      <c r="B13" s="2" t="inlineStr">
        <is>
          <t>Working</t>
        </is>
      </c>
      <c r="C13" s="2" t="inlineStr">
        <is>
          <t>Listed skill</t>
        </is>
      </c>
      <c r="D13" s="2" t="inlineStr">
        <is>
          <t>SDE; Backend</t>
        </is>
      </c>
      <c r="E13" s="2" t="inlineStr">
        <is>
          <t>Review</t>
        </is>
      </c>
    </row>
    <row r="14">
      <c r="A14" s="2" t="inlineStr">
        <is>
          <t>AWS</t>
        </is>
      </c>
      <c r="B14" s="2" t="inlineStr">
        <is>
          <t>Working</t>
        </is>
      </c>
      <c r="C14" s="2" t="inlineStr">
        <is>
          <t>Cloud experience listed</t>
        </is>
      </c>
      <c r="D14" s="2" t="inlineStr">
        <is>
          <t>Cloud; SDE; Backend</t>
        </is>
      </c>
      <c r="E14" s="2" t="inlineStr">
        <is>
          <t>Review</t>
        </is>
      </c>
    </row>
    <row r="15">
      <c r="A15" s="2" t="inlineStr">
        <is>
          <t>Azure</t>
        </is>
      </c>
      <c r="B15" s="2" t="inlineStr">
        <is>
          <t>Strong</t>
        </is>
      </c>
      <c r="C15" s="2" t="inlineStr">
        <is>
          <t>Live POS deployment</t>
        </is>
      </c>
      <c r="D15" s="2" t="inlineStr">
        <is>
          <t>Cloud; Full Stack</t>
        </is>
      </c>
      <c r="E15" s="2" t="inlineStr">
        <is>
          <t>Yes</t>
        </is>
      </c>
    </row>
    <row r="16">
      <c r="A16" s="2" t="inlineStr">
        <is>
          <t>Docker</t>
        </is>
      </c>
      <c r="B16" s="2" t="inlineStr">
        <is>
          <t>Working</t>
        </is>
      </c>
      <c r="C16" s="2" t="inlineStr">
        <is>
          <t>Listed skill</t>
        </is>
      </c>
      <c r="D16" s="2" t="inlineStr">
        <is>
          <t>Cloud; DevOps; Backend</t>
        </is>
      </c>
      <c r="E16" s="2" t="inlineStr">
        <is>
          <t>Review</t>
        </is>
      </c>
    </row>
    <row r="17">
      <c r="A17" s="2" t="inlineStr">
        <is>
          <t>Kubernetes</t>
        </is>
      </c>
      <c r="B17" s="2" t="inlineStr">
        <is>
          <t>Working</t>
        </is>
      </c>
      <c r="C17" s="2" t="inlineStr">
        <is>
          <t>Listed skill</t>
        </is>
      </c>
      <c r="D17" s="2" t="inlineStr">
        <is>
          <t>DevOps/Cloud</t>
        </is>
      </c>
      <c r="E17" s="2" t="inlineStr">
        <is>
          <t>Review</t>
        </is>
      </c>
    </row>
    <row r="18">
      <c r="A18" s="2" t="inlineStr">
        <is>
          <t>CI/CD</t>
        </is>
      </c>
      <c r="B18" s="2" t="inlineStr">
        <is>
          <t>Working</t>
        </is>
      </c>
      <c r="C18" s="2" t="inlineStr">
        <is>
          <t>Listed skill</t>
        </is>
      </c>
      <c r="D18" s="2" t="inlineStr">
        <is>
          <t>DevOps/Cloud</t>
        </is>
      </c>
      <c r="E18" s="2" t="inlineStr">
        <is>
          <t>Review</t>
        </is>
      </c>
    </row>
    <row r="19">
      <c r="A19" s="2" t="inlineStr">
        <is>
          <t>Git/GitHub</t>
        </is>
      </c>
      <c r="B19" s="2" t="inlineStr">
        <is>
          <t>Strong</t>
        </is>
      </c>
      <c r="C19" s="2" t="inlineStr">
        <is>
          <t>Development workflow</t>
        </is>
      </c>
      <c r="D19" s="2" t="inlineStr">
        <is>
          <t>All</t>
        </is>
      </c>
      <c r="E19" s="2" t="inlineStr">
        <is>
          <t>Yes</t>
        </is>
      </c>
    </row>
    <row r="20">
      <c r="A20" s="2" t="inlineStr">
        <is>
          <t>REST APIs</t>
        </is>
      </c>
      <c r="B20" s="2" t="inlineStr">
        <is>
          <t>Strong</t>
        </is>
      </c>
      <c r="C20" s="2" t="inlineStr">
        <is>
          <t>Node/Express projects</t>
        </is>
      </c>
      <c r="D20" s="2" t="inlineStr">
        <is>
          <t>Backend; SDE; Full Stack</t>
        </is>
      </c>
      <c r="E20" s="2" t="inlineStr">
        <is>
          <t>Yes</t>
        </is>
      </c>
    </row>
    <row r="21">
      <c r="A21" s="2" t="inlineStr">
        <is>
          <t>Authentication</t>
        </is>
      </c>
      <c r="B21" s="2" t="inlineStr">
        <is>
          <t>Strong</t>
        </is>
      </c>
      <c r="C21" s="2" t="inlineStr">
        <is>
          <t>JWT, Passport.js, RBAC</t>
        </is>
      </c>
      <c r="D21" s="2" t="inlineStr">
        <is>
          <t>Backend; SDE; Full Stack</t>
        </is>
      </c>
      <c r="E21" s="2" t="inlineStr">
        <is>
          <t>Yes</t>
        </is>
      </c>
    </row>
    <row r="22">
      <c r="A22" s="2" t="inlineStr">
        <is>
          <t>SQL Server</t>
        </is>
      </c>
      <c r="B22" s="2" t="inlineStr">
        <is>
          <t>Strong</t>
        </is>
      </c>
      <c r="C22" s="2" t="inlineStr">
        <is>
          <t>Australian restaurant POS</t>
        </is>
      </c>
      <c r="D22" s="2" t="inlineStr">
        <is>
          <t>Backend; Full Stack</t>
        </is>
      </c>
      <c r="E22" s="2" t="inlineStr">
        <is>
          <t>Yes</t>
        </is>
      </c>
    </row>
    <row r="23">
      <c r="A23" s="2" t="inlineStr">
        <is>
          <t>Figma</t>
        </is>
      </c>
      <c r="B23" s="2" t="inlineStr">
        <is>
          <t>Working</t>
        </is>
      </c>
      <c r="C23" s="2" t="inlineStr">
        <is>
          <t>POS UI/UX</t>
        </is>
      </c>
      <c r="D23" s="2" t="inlineStr">
        <is>
          <t>Frontend; Full Stack</t>
        </is>
      </c>
      <c r="E23" s="2" t="inlineStr">
        <is>
          <t>Yes</t>
        </is>
      </c>
    </row>
  </sheetData>
  <dataValidations count="2">
    <dataValidation sqref="B2:B500" showDropDown="0" showInputMessage="0" showErrorMessage="0" allowBlank="1" type="list">
      <formula1>"Strong,Working,Working / DSA,Developing,Beginner"</formula1>
    </dataValidation>
    <dataValidation sqref="E2:E500" showDropDown="0" showInputMessage="0" showErrorMessage="0" allowBlank="1" type="list">
      <formula1>"Yes,Review,No"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"/>
  <sheetViews>
    <sheetView tabSelected="1" topLeftCell="AM1" workbookViewId="0">
      <pane ySplit="1" topLeftCell="A2" activePane="bottomLeft" state="frozen"/>
      <selection pane="bottomLeft" activeCell="AR4" sqref="AR4"/>
    </sheetView>
  </sheetViews>
  <sheetFormatPr baseColWidth="8" defaultRowHeight="15"/>
  <cols>
    <col width="12" customWidth="1" style="15" min="1" max="10"/>
    <col width="17" customWidth="1" style="15" min="11" max="11"/>
    <col width="18" customWidth="1" style="15" min="12" max="12"/>
    <col width="55" customWidth="1" style="15" min="13" max="13"/>
    <col width="38" customWidth="1" style="15" min="14" max="14"/>
    <col width="15" customWidth="1" style="15" min="15" max="15"/>
    <col width="16" customWidth="1" style="15" min="16" max="16"/>
    <col width="12" customWidth="1" style="15" min="17" max="18"/>
    <col width="18" customWidth="1" style="15" min="19" max="19"/>
    <col width="21" customWidth="1" style="15" min="20" max="20"/>
    <col width="38" customWidth="1" style="15" min="21" max="22"/>
    <col width="55" customWidth="1" style="15" min="23" max="23"/>
    <col width="16" customWidth="1" style="15" min="24" max="24"/>
    <col width="12" customWidth="1" style="15" min="25" max="25"/>
    <col width="55" customWidth="1" style="15" min="26" max="26"/>
    <col width="28" customWidth="1" style="15" min="27" max="38"/>
    <col width="52.28515625" bestFit="1" customWidth="1" style="15" min="39" max="39"/>
    <col width="20.140625" bestFit="1" customWidth="1" style="15" min="40" max="40"/>
    <col width="18" bestFit="1" customWidth="1" style="15" min="41" max="41"/>
    <col width="20.85546875" bestFit="1" customWidth="1" style="15" min="42" max="42"/>
    <col width="24" bestFit="1" customWidth="1" style="15" min="43" max="43"/>
    <col width="14.42578125" bestFit="1" customWidth="1" style="15" min="44" max="44"/>
  </cols>
  <sheetData>
    <row r="1">
      <c r="A1" s="5" t="inlineStr">
        <is>
          <t>Job ID</t>
        </is>
      </c>
      <c r="B1" s="5" t="inlineStr">
        <is>
          <t>Company</t>
        </is>
      </c>
      <c r="C1" s="5" t="inlineStr">
        <is>
          <t>Role</t>
        </is>
      </c>
      <c r="D1" s="5" t="inlineStr">
        <is>
          <t>Job URL</t>
        </is>
      </c>
      <c r="E1" s="5" t="inlineStr">
        <is>
          <t>Source</t>
        </is>
      </c>
      <c r="F1" s="5" t="inlineStr">
        <is>
          <t>Location</t>
        </is>
      </c>
      <c r="G1" s="5" t="inlineStr">
        <is>
          <t>Work Mode</t>
        </is>
      </c>
      <c r="H1" s="5" t="inlineStr">
        <is>
          <t>Stipend</t>
        </is>
      </c>
      <c r="I1" s="5" t="inlineStr">
        <is>
          <t>Duration</t>
        </is>
      </c>
      <c r="J1" s="5" t="inlineStr">
        <is>
          <t>PPO Signal</t>
        </is>
      </c>
      <c r="K1" s="5" t="inlineStr">
        <is>
          <t>Required Skills</t>
        </is>
      </c>
      <c r="L1" s="5" t="inlineStr">
        <is>
          <t>Preferred Skills</t>
        </is>
      </c>
      <c r="M1" s="5" t="inlineStr">
        <is>
          <t>JD Text</t>
        </is>
      </c>
      <c r="N1" s="5" t="inlineStr">
        <is>
          <t>Match Score</t>
        </is>
      </c>
      <c r="O1" s="5" t="inlineStr">
        <is>
          <t>Technical Fit</t>
        </is>
      </c>
      <c r="P1" s="5" t="inlineStr">
        <is>
          <t>Experience Fit</t>
        </is>
      </c>
      <c r="Q1" s="5" t="inlineStr">
        <is>
          <t>Role Fit</t>
        </is>
      </c>
      <c r="R1" s="5" t="inlineStr">
        <is>
          <t>PPO Score</t>
        </is>
      </c>
      <c r="S1" s="5" t="inlineStr">
        <is>
          <t>Compensation Fit</t>
        </is>
      </c>
      <c r="T1" s="5" t="inlineStr">
        <is>
          <t>Opportunity Quality</t>
        </is>
      </c>
      <c r="U1" s="5" t="inlineStr">
        <is>
          <t>Priority</t>
        </is>
      </c>
      <c r="V1" s="5" t="inlineStr">
        <is>
          <t>Recommendation</t>
        </is>
      </c>
      <c r="W1" s="5" t="inlineStr">
        <is>
          <t>Skill Gaps</t>
        </is>
      </c>
      <c r="X1" s="5" t="inlineStr">
        <is>
          <t>Resume Version</t>
        </is>
      </c>
      <c r="Y1" s="5" t="inlineStr">
        <is>
          <t>Date Found</t>
        </is>
      </c>
      <c r="Z1" s="5" t="inlineStr">
        <is>
          <t>Notes</t>
        </is>
      </c>
      <c r="AA1" s="5" t="inlineStr">
        <is>
          <t>Eligibility Status</t>
        </is>
      </c>
      <c r="AB1" s="5" t="inlineStr">
        <is>
          <t>Eligibility Reasons</t>
        </is>
      </c>
      <c r="AC1" s="5" t="inlineStr">
        <is>
          <t>Availability Status</t>
        </is>
      </c>
      <c r="AD1" s="5" t="inlineStr">
        <is>
          <t>Availability Reason</t>
        </is>
      </c>
      <c r="AE1" s="5" t="inlineStr">
        <is>
          <t>Compensation Status</t>
        </is>
      </c>
      <c r="AF1" s="5" t="inlineStr">
        <is>
          <t>Guaranteed Stipend</t>
        </is>
      </c>
      <c r="AG1" s="5" t="inlineStr">
        <is>
          <t>Incentive Included</t>
        </is>
      </c>
      <c r="AH1" s="5" t="inlineStr">
        <is>
          <t>PPO Status</t>
        </is>
      </c>
      <c r="AI1" s="5" t="inlineStr">
        <is>
          <t>PPO Evidence</t>
        </is>
      </c>
      <c r="AJ1" s="5" t="inlineStr">
        <is>
          <t>Hard Blockers</t>
        </is>
      </c>
      <c r="AK1" s="5" t="inlineStr">
        <is>
          <t>Red Flags</t>
        </is>
      </c>
      <c r="AL1" s="5" t="inlineStr">
        <is>
          <t>Interview Topics</t>
        </is>
      </c>
      <c r="AM1" s="21" t="inlineStr">
        <is>
          <t>Application Kit Path</t>
        </is>
      </c>
      <c r="AN1" s="21" t="inlineStr">
        <is>
          <t>Application Kit Status</t>
        </is>
      </c>
      <c r="AO1" s="21" t="inlineStr">
        <is>
          <t>Cover Letter Status</t>
        </is>
      </c>
      <c r="AP1" s="21" t="inlineStr">
        <is>
          <t>Resume Bullets Status</t>
        </is>
      </c>
      <c r="AQ1" s="21" t="inlineStr">
        <is>
          <t>Screening Answers Status</t>
        </is>
      </c>
      <c r="AR1" s="21" t="inlineStr">
        <is>
          <t>Apply Status</t>
        </is>
      </c>
    </row>
  </sheetData>
  <autoFilter ref="A1:Z1"/>
  <dataValidations count="7"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"NOT APPLIED,APPLIED,REJECTED,WITHDRAWN"</formula1>
    </dataValidation>
    <dataValidation sqref="AR2:AR10000" showDropDown="0" showInputMessage="0" showErrorMessage="0" allowBlank="1" errorTitle="Invalid Apply Status" error="Choose a status from the dropdown." promptTitle="Application Status" prompt="Select the current application status." type="list">
      <formula1>"Ready to Apply,NOT APPLIED,APPLIED,REJECTED,WITHDRAWN"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5" min="1" max="1"/>
    <col width="12" customWidth="1" style="15" min="2" max="5"/>
    <col width="16" customWidth="1" style="15" min="6" max="6"/>
    <col width="14" customWidth="1" style="15" min="7" max="7"/>
    <col width="12" customWidth="1" style="15" min="8" max="8"/>
    <col width="13" customWidth="1" style="15" min="9" max="9"/>
    <col width="16" customWidth="1" style="15" min="10" max="10"/>
    <col width="40" customWidth="1" style="15" min="11" max="12"/>
    <col width="16" customWidth="1" style="15" min="13" max="13"/>
    <col width="40" customWidth="1" style="15" min="14" max="15"/>
    <col width="12" customWidth="1" style="15" min="16" max="16"/>
    <col width="30" customWidth="1" style="15" min="17" max="17"/>
  </cols>
  <sheetData>
    <row r="1">
      <c r="A1" s="1" t="inlineStr">
        <is>
          <t>Application ID</t>
        </is>
      </c>
      <c r="B1" s="1" t="inlineStr">
        <is>
          <t>Job ID</t>
        </is>
      </c>
      <c r="C1" s="1" t="inlineStr">
        <is>
          <t>Company</t>
        </is>
      </c>
      <c r="D1" s="1" t="inlineStr">
        <is>
          <t>Role</t>
        </is>
      </c>
      <c r="E1" s="1" t="inlineStr">
        <is>
          <t>Job URL</t>
        </is>
      </c>
      <c r="F1" s="1" t="inlineStr">
        <is>
          <t>Resume Version</t>
        </is>
      </c>
      <c r="G1" s="1" t="inlineStr">
        <is>
          <t>Applied Date</t>
        </is>
      </c>
      <c r="H1" s="1" t="inlineStr">
        <is>
          <t>Status</t>
        </is>
      </c>
      <c r="I1" s="1" t="inlineStr">
        <is>
          <t>Next Action</t>
        </is>
      </c>
      <c r="J1" s="1" t="inlineStr">
        <is>
          <t>Follow-up Date</t>
        </is>
      </c>
      <c r="K1" s="1" t="inlineStr">
        <is>
          <t>Application Notes</t>
        </is>
      </c>
      <c r="L1" s="1" t="inlineStr">
        <is>
          <t>OA Date</t>
        </is>
      </c>
      <c r="M1" s="1" t="inlineStr">
        <is>
          <t>Interview Date</t>
        </is>
      </c>
      <c r="N1" s="1" t="inlineStr">
        <is>
          <t>Outcome</t>
        </is>
      </c>
      <c r="O1" s="1" t="inlineStr">
        <is>
          <t>Stipend</t>
        </is>
      </c>
      <c r="P1" s="1" t="inlineStr">
        <is>
          <t>PPO</t>
        </is>
      </c>
      <c r="Q1" s="1" t="inlineStr">
        <is>
          <t>Days Since Applied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>
        <f>IF(G2="","",TODAY()-G2)</f>
        <v/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IF(G3="","",TODAY()-G3)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IF(G4="","",TODAY()-G4)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IF(G5="","",TODAY()-G5)</f>
        <v/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IF(G6="","",TODAY()-G6)</f>
        <v/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IF(G7="","",TODAY()-G7)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IF(G8="","",TODAY()-G8)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IF(G9="","",TODAY()-G9)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IF(G10="","",TODAY()-G10)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IF(G11="","",TODAY()-G11)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IF(G12="","",TODAY()-G12)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IF(G13="","",TODAY()-G13)</f>
        <v/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IF(G14="","",TODAY()-G14)</f>
        <v/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>
        <f>IF(G15="","",TODAY()-G15)</f>
        <v/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>
        <f>IF(G16="","",TODAY()-G16)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>
        <f>IF(G17="","",TODAY()-G17)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>
        <f>IF(G18="","",TODAY()-G18)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>
        <f>IF(G19="","",TODAY()-G19)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>
        <f>IF(G20="","",TODAY()-G20)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>
        <f>IF(G21="","",TODAY()-G21)</f>
        <v/>
      </c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>
        <f>IF(G22="","",TODAY()-G22)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>
        <f>IF(G23="","",TODAY()-G23)</f>
        <v/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>
        <f>IF(G24="","",TODAY()-G24)</f>
        <v/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>
        <f>IF(G25="","",TODAY()-G25)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>
        <f>IF(G26="","",TODAY()-G26)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>
        <f>IF(G27="","",TODAY()-G27)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>
        <f>IF(G28="","",TODAY()-G28)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>
        <f>IF(G29="","",TODAY()-G29)</f>
        <v/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>
        <f>IF(G30="","",TODAY()-G30)</f>
        <v/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>
        <f>IF(G31="","",TODAY()-G31)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>
        <f>IF(G32="","",TODAY()-G32)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>
        <f>IF(G33="","",TODAY()-G33)</f>
        <v/>
      </c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>
        <f>IF(G34="","",TODAY()-G34)</f>
        <v/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>
        <f>IF(G35="","",TODAY()-G35)</f>
        <v/>
      </c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>
        <f>IF(G36="","",TODAY()-G36)</f>
        <v/>
      </c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>
        <f>IF(G37="","",TODAY()-G37)</f>
        <v/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>
        <f>IF(G38="","",TODAY()-G38)</f>
        <v/>
      </c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>
        <f>IF(G39="","",TODAY()-G39)</f>
        <v/>
      </c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>
        <f>IF(G40="","",TODAY()-G40)</f>
        <v/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>
        <f>IF(G41="","",TODAY()-G41)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>
        <f>IF(G42="","",TODAY()-G42)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>
        <f>IF(G43="","",TODAY()-G43)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>
        <f>IF(G44="","",TODAY()-G44)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>
        <f>IF(G45="","",TODAY()-G45)</f>
        <v/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>
        <f>IF(G46="","",TODAY()-G46)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>
        <f>IF(G47="","",TODAY()-G47)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>
        <f>IF(G48="","",TODAY()-G48)</f>
        <v/>
      </c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>
        <f>IF(G49="","",TODAY()-G49)</f>
        <v/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>
        <f>IF(G50="","",TODAY()-G50)</f>
        <v/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>
        <f>IF(G51="","",TODAY()-G51)</f>
        <v/>
      </c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>
        <f>IF(G52="","",TODAY()-G52)</f>
        <v/>
      </c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>
        <f>IF(G53="","",TODAY()-G53)</f>
        <v/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>
        <f>IF(G54="","",TODAY()-G54)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>
        <f>IF(G55="","",TODAY()-G55)</f>
        <v/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>
        <f>IF(G56="","",TODAY()-G56)</f>
        <v/>
      </c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>
        <f>IF(G57="","",TODAY()-G57)</f>
        <v/>
      </c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>
        <f>IF(G58="","",TODAY()-G58)</f>
        <v/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>
        <f>IF(G59="","",TODAY()-G59)</f>
        <v/>
      </c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>
        <f>IF(G60="","",TODAY()-G60)</f>
        <v/>
      </c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>
        <f>IF(G61="","",TODAY()-G61)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>
        <f>IF(G62="","",TODAY()-G62)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>
        <f>IF(G63="","",TODAY()-G63)</f>
        <v/>
      </c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>
        <f>IF(G64="","",TODAY()-G64)</f>
        <v/>
      </c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>
        <f>IF(G65="","",TODAY()-G65)</f>
        <v/>
      </c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>
        <f>IF(G66="","",TODAY()-G66)</f>
        <v/>
      </c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>
        <f>IF(G67="","",TODAY()-G67)</f>
        <v/>
      </c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>
        <f>IF(G68="","",TODAY()-G68)</f>
        <v/>
      </c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>
        <f>IF(G69="","",TODAY()-G69)</f>
        <v/>
      </c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>
        <f>IF(G70="","",TODAY()-G70)</f>
        <v/>
      </c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>
        <f>IF(G71="","",TODAY()-G71)</f>
        <v/>
      </c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>
        <f>IF(G72="","",TODAY()-G72)</f>
        <v/>
      </c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>
        <f>IF(G73="","",TODAY()-G73)</f>
        <v/>
      </c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>
        <f>IF(G74="","",TODAY()-G74)</f>
        <v/>
      </c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>
        <f>IF(G75="","",TODAY()-G75)</f>
        <v/>
      </c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>
        <f>IF(G76="","",TODAY()-G76)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>
        <f>IF(G77="","",TODAY()-G77)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>
        <f>IF(G78="","",TODAY()-G78)</f>
        <v/>
      </c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>
        <f>IF(G79="","",TODAY()-G79)</f>
        <v/>
      </c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>
        <f>IF(G80="","",TODAY()-G80)</f>
        <v/>
      </c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>
        <f>IF(G81="","",TODAY()-G81)</f>
        <v/>
      </c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>
        <f>IF(G82="","",TODAY()-G82)</f>
        <v/>
      </c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>
        <f>IF(G83="","",TODAY()-G83)</f>
        <v/>
      </c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>
        <f>IF(G84="","",TODAY()-G84)</f>
        <v/>
      </c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>
        <f>IF(G85="","",TODAY()-G85)</f>
        <v/>
      </c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>
        <f>IF(G86="","",TODAY()-G86)</f>
        <v/>
      </c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>
        <f>IF(G87="","",TODAY()-G87)</f>
        <v/>
      </c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>
        <f>IF(G88="","",TODAY()-G88)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>
        <f>IF(G89="","",TODAY()-G89)</f>
        <v/>
      </c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>
        <f>IF(G90="","",TODAY()-G90)</f>
        <v/>
      </c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>
        <f>IF(G91="","",TODAY()-G91)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>
        <f>IF(G92="","",TODAY()-G92)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>
        <f>IF(G93="","",TODAY()-G93)</f>
        <v/>
      </c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>
        <f>IF(G94="","",TODAY()-G94)</f>
        <v/>
      </c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>
        <f>IF(G95="","",TODAY()-G95)</f>
        <v/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>
        <f>IF(G96="","",TODAY()-G96)</f>
        <v/>
      </c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>
        <f>IF(G97="","",TODAY()-G97)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>
        <f>IF(G98="","",TODAY()-G98)</f>
        <v/>
      </c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>
        <f>IF(G99="","",TODAY()-G99)</f>
        <v/>
      </c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>
        <f>IF(G100="","",TODAY()-G100)</f>
        <v/>
      </c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>
        <f>IF(G101="","",TODAY()-G101)</f>
        <v/>
      </c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>
        <f>IF(G102="","",TODAY()-G102)</f>
        <v/>
      </c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>
        <f>IF(G103="","",TODAY()-G103)</f>
        <v/>
      </c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>
        <f>IF(G104="","",TODAY()-G104)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>
        <f>IF(G105="","",TODAY()-G105)</f>
        <v/>
      </c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>
        <f>IF(G106="","",TODAY()-G106)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>
        <f>IF(G107="","",TODAY()-G107)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>
        <f>IF(G108="","",TODAY()-G108)</f>
        <v/>
      </c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>
        <f>IF(G109="","",TODAY()-G109)</f>
        <v/>
      </c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>
        <f>IF(G110="","",TODAY()-G110)</f>
        <v/>
      </c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>
        <f>IF(G111="","",TODAY()-G111)</f>
        <v/>
      </c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>
        <f>IF(G112="","",TODAY()-G112)</f>
        <v/>
      </c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>
        <f>IF(G113="","",TODAY()-G113)</f>
        <v/>
      </c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>
        <f>IF(G114="","",TODAY()-G114)</f>
        <v/>
      </c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>
        <f>IF(G115="","",TODAY()-G115)</f>
        <v/>
      </c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>
        <f>IF(G116="","",TODAY()-G116)</f>
        <v/>
      </c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>
        <f>IF(G117="","",TODAY()-G117)</f>
        <v/>
      </c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>
        <f>IF(G118="","",TODAY()-G118)</f>
        <v/>
      </c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>
        <f>IF(G119="","",TODAY()-G119)</f>
        <v/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>
        <f>IF(G120="","",TODAY()-G120)</f>
        <v/>
      </c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>
        <f>IF(G121="","",TODAY()-G121)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>
        <f>IF(G122="","",TODAY()-G122)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>
        <f>IF(G123="","",TODAY()-G123)</f>
        <v/>
      </c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>
        <f>IF(G124="","",TODAY()-G124)</f>
        <v/>
      </c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>
        <f>IF(G125="","",TODAY()-G125)</f>
        <v/>
      </c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>
        <f>IF(G126="","",TODAY()-G126)</f>
        <v/>
      </c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>
        <f>IF(G127="","",TODAY()-G127)</f>
        <v/>
      </c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>
        <f>IF(G128="","",TODAY()-G128)</f>
        <v/>
      </c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>
        <f>IF(G129="","",TODAY()-G129)</f>
        <v/>
      </c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>
        <f>IF(G130="","",TODAY()-G130)</f>
        <v/>
      </c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>
        <f>IF(G131="","",TODAY()-G131)</f>
        <v/>
      </c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>
        <f>IF(G132="","",TODAY()-G132)</f>
        <v/>
      </c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>
        <f>IF(G133="","",TODAY()-G133)</f>
        <v/>
      </c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>
        <f>IF(G134="","",TODAY()-G134)</f>
        <v/>
      </c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>
        <f>IF(G135="","",TODAY()-G135)</f>
        <v/>
      </c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>
        <f>IF(G136="","",TODAY()-G136)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>
        <f>IF(G137="","",TODAY()-G137)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>
        <f>IF(G138="","",TODAY()-G138)</f>
        <v/>
      </c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>
        <f>IF(G139="","",TODAY()-G139)</f>
        <v/>
      </c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>
        <f>IF(G140="","",TODAY()-G140)</f>
        <v/>
      </c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>
        <f>IF(G141="","",TODAY()-G141)</f>
        <v/>
      </c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>
        <f>IF(G142="","",TODAY()-G142)</f>
        <v/>
      </c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>
        <f>IF(G143="","",TODAY()-G143)</f>
        <v/>
      </c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>
        <f>IF(G144="","",TODAY()-G144)</f>
        <v/>
      </c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>
        <f>IF(G145="","",TODAY()-G145)</f>
        <v/>
      </c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>
        <f>IF(G146="","",TODAY()-G146)</f>
        <v/>
      </c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>
        <f>IF(G147="","",TODAY()-G147)</f>
        <v/>
      </c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>
        <f>IF(G148="","",TODAY()-G148)</f>
        <v/>
      </c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>
        <f>IF(G149="","",TODAY()-G149)</f>
        <v/>
      </c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>
        <f>IF(G150="","",TODAY()-G150)</f>
        <v/>
      </c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>
        <f>IF(G151="","",TODAY()-G151)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>
        <f>IF(G152="","",TODAY()-G152)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>
        <f>IF(G153="","",TODAY()-G153)</f>
        <v/>
      </c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>
        <f>IF(G154="","",TODAY()-G154)</f>
        <v/>
      </c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>
        <f>IF(G155="","",TODAY()-G155)</f>
        <v/>
      </c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>
        <f>IF(G156="","",TODAY()-G156)</f>
        <v/>
      </c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>
        <f>IF(G157="","",TODAY()-G157)</f>
        <v/>
      </c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>
        <f>IF(G158="","",TODAY()-G158)</f>
        <v/>
      </c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>
        <f>IF(G159="","",TODAY()-G159)</f>
        <v/>
      </c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>
        <f>IF(G160="","",TODAY()-G160)</f>
        <v/>
      </c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>
        <f>IF(G161="","",TODAY()-G161)</f>
        <v/>
      </c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>
        <f>IF(G162="","",TODAY()-G162)</f>
        <v/>
      </c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>
        <f>IF(G163="","",TODAY()-G163)</f>
        <v/>
      </c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>
        <f>IF(G164="","",TODAY()-G164)</f>
        <v/>
      </c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>
        <f>IF(G165="","",TODAY()-G165)</f>
        <v/>
      </c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>
        <f>IF(G166="","",TODAY()-G166)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>
        <f>IF(G167="","",TODAY()-G167)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>
        <f>IF(G168="","",TODAY()-G168)</f>
        <v/>
      </c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>
        <f>IF(G169="","",TODAY()-G169)</f>
        <v/>
      </c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>
        <f>IF(G170="","",TODAY()-G170)</f>
        <v/>
      </c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>
        <f>IF(G171="","",TODAY()-G171)</f>
        <v/>
      </c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>
        <f>IF(G172="","",TODAY()-G172)</f>
        <v/>
      </c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>
        <f>IF(G173="","",TODAY()-G173)</f>
        <v/>
      </c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>
        <f>IF(G174="","",TODAY()-G174)</f>
        <v/>
      </c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>
        <f>IF(G175="","",TODAY()-G175)</f>
        <v/>
      </c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>
        <f>IF(G176="","",TODAY()-G176)</f>
        <v/>
      </c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>
        <f>IF(G177="","",TODAY()-G177)</f>
        <v/>
      </c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>
        <f>IF(G178="","",TODAY()-G178)</f>
        <v/>
      </c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>
        <f>IF(G179="","",TODAY()-G179)</f>
        <v/>
      </c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>
        <f>IF(G180="","",TODAY()-G180)</f>
        <v/>
      </c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>
        <f>IF(G181="","",TODAY()-G181)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>
        <f>IF(G182="","",TODAY()-G182)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>
        <f>IF(G183="","",TODAY()-G183)</f>
        <v/>
      </c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>
        <f>IF(G184="","",TODAY()-G184)</f>
        <v/>
      </c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>
        <f>IF(G185="","",TODAY()-G185)</f>
        <v/>
      </c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>
        <f>IF(G186="","",TODAY()-G186)</f>
        <v/>
      </c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>
        <f>IF(G187="","",TODAY()-G187)</f>
        <v/>
      </c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>
        <f>IF(G188="","",TODAY()-G188)</f>
        <v/>
      </c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>
        <f>IF(G189="","",TODAY()-G189)</f>
        <v/>
      </c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>
        <f>IF(G190="","",TODAY()-G190)</f>
        <v/>
      </c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>
        <f>IF(G191="","",TODAY()-G191)</f>
        <v/>
      </c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>
        <f>IF(G192="","",TODAY()-G192)</f>
        <v/>
      </c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>
        <f>IF(G193="","",TODAY()-G193)</f>
        <v/>
      </c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>
        <f>IF(G194="","",TODAY()-G194)</f>
        <v/>
      </c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>
        <f>IF(G195="","",TODAY()-G195)</f>
        <v/>
      </c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>
        <f>IF(G196="","",TODAY()-G196)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>
        <f>IF(G197="","",TODAY()-G197)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>
        <f>IF(G198="","",TODAY()-G198)</f>
        <v/>
      </c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>
        <f>IF(G199="","",TODAY()-G199)</f>
        <v/>
      </c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>
        <f>IF(G200="","",TODAY()-G200)</f>
        <v/>
      </c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>
        <f>IF(G201="","",TODAY()-G201)</f>
        <v/>
      </c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>
        <f>IF(G202="","",TODAY()-G202)</f>
        <v/>
      </c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>
        <f>IF(G203="","",TODAY()-G203)</f>
        <v/>
      </c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>
        <f>IF(G204="","",TODAY()-G204)</f>
        <v/>
      </c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>
        <f>IF(G205="","",TODAY()-G205)</f>
        <v/>
      </c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>
        <f>IF(G206="","",TODAY()-G206)</f>
        <v/>
      </c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>
        <f>IF(G207="","",TODAY()-G207)</f>
        <v/>
      </c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>
        <f>IF(G208="","",TODAY()-G208)</f>
        <v/>
      </c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>
        <f>IF(G209="","",TODAY()-G209)</f>
        <v/>
      </c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>
        <f>IF(G210="","",TODAY()-G210)</f>
        <v/>
      </c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>
        <f>IF(G211="","",TODAY()-G211)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>
        <f>IF(G212="","",TODAY()-G212)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>
        <f>IF(G213="","",TODAY()-G213)</f>
        <v/>
      </c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>
        <f>IF(G214="","",TODAY()-G214)</f>
        <v/>
      </c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>
        <f>IF(G215="","",TODAY()-G215)</f>
        <v/>
      </c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>
        <f>IF(G216="","",TODAY()-G216)</f>
        <v/>
      </c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>
        <f>IF(G217="","",TODAY()-G217)</f>
        <v/>
      </c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>
        <f>IF(G218="","",TODAY()-G218)</f>
        <v/>
      </c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>
        <f>IF(G219="","",TODAY()-G219)</f>
        <v/>
      </c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>
        <f>IF(G220="","",TODAY()-G220)</f>
        <v/>
      </c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>
        <f>IF(G221="","",TODAY()-G221)</f>
        <v/>
      </c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>
        <f>IF(G222="","",TODAY()-G222)</f>
        <v/>
      </c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>
        <f>IF(G223="","",TODAY()-G223)</f>
        <v/>
      </c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>
        <f>IF(G224="","",TODAY()-G224)</f>
        <v/>
      </c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>
        <f>IF(G225="","",TODAY()-G225)</f>
        <v/>
      </c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>
        <f>IF(G226="","",TODAY()-G226)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>
        <f>IF(G227="","",TODAY()-G227)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>
        <f>IF(G228="","",TODAY()-G228)</f>
        <v/>
      </c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>
        <f>IF(G229="","",TODAY()-G229)</f>
        <v/>
      </c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>
        <f>IF(G230="","",TODAY()-G230)</f>
        <v/>
      </c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>
        <f>IF(G231="","",TODAY()-G231)</f>
        <v/>
      </c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>
        <f>IF(G232="","",TODAY()-G232)</f>
        <v/>
      </c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>
        <f>IF(G233="","",TODAY()-G233)</f>
        <v/>
      </c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>
        <f>IF(G234="","",TODAY()-G234)</f>
        <v/>
      </c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>
        <f>IF(G235="","",TODAY()-G235)</f>
        <v/>
      </c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>
        <f>IF(G236="","",TODAY()-G236)</f>
        <v/>
      </c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>
        <f>IF(G237="","",TODAY()-G237)</f>
        <v/>
      </c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>
        <f>IF(G238="","",TODAY()-G238)</f>
        <v/>
      </c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>
        <f>IF(G239="","",TODAY()-G239)</f>
        <v/>
      </c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>
        <f>IF(G240="","",TODAY()-G240)</f>
        <v/>
      </c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>
        <f>IF(G241="","",TODAY()-G241)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>
        <f>IF(G242="","",TODAY()-G242)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>
        <f>IF(G243="","",TODAY()-G243)</f>
        <v/>
      </c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>
        <f>IF(G244="","",TODAY()-G244)</f>
        <v/>
      </c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>
        <f>IF(G245="","",TODAY()-G245)</f>
        <v/>
      </c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>
        <f>IF(G246="","",TODAY()-G246)</f>
        <v/>
      </c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>
        <f>IF(G247="","",TODAY()-G247)</f>
        <v/>
      </c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>
        <f>IF(G248="","",TODAY()-G248)</f>
        <v/>
      </c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>
        <f>IF(G249="","",TODAY()-G249)</f>
        <v/>
      </c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>
        <f>IF(G250="","",TODAY()-G250)</f>
        <v/>
      </c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>
        <f>IF(G251="","",TODAY()-G251)</f>
        <v/>
      </c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>
        <f>IF(G252="","",TODAY()-G252)</f>
        <v/>
      </c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>
        <f>IF(G253="","",TODAY()-G253)</f>
        <v/>
      </c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>
        <f>IF(G254="","",TODAY()-G254)</f>
        <v/>
      </c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>
        <f>IF(G255="","",TODAY()-G255)</f>
        <v/>
      </c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>
        <f>IF(G256="","",TODAY()-G256)</f>
        <v/>
      </c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>
        <f>IF(G257="","",TODAY()-G257)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>
        <f>IF(G258="","",TODAY()-G258)</f>
        <v/>
      </c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>
        <f>IF(G259="","",TODAY()-G259)</f>
        <v/>
      </c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>
        <f>IF(G260="","",TODAY()-G260)</f>
        <v/>
      </c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>
        <f>IF(G261="","",TODAY()-G261)</f>
        <v/>
      </c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>
        <f>IF(G262="","",TODAY()-G262)</f>
        <v/>
      </c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>
        <f>IF(G263="","",TODAY()-G263)</f>
        <v/>
      </c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>
        <f>IF(G264="","",TODAY()-G264)</f>
        <v/>
      </c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>
        <f>IF(G265="","",TODAY()-G265)</f>
        <v/>
      </c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>
        <f>IF(G266="","",TODAY()-G266)</f>
        <v/>
      </c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>
        <f>IF(G267="","",TODAY()-G267)</f>
        <v/>
      </c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>
        <f>IF(G268="","",TODAY()-G268)</f>
        <v/>
      </c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>
        <f>IF(G269="","",TODAY()-G269)</f>
        <v/>
      </c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>
        <f>IF(G270="","",TODAY()-G270)</f>
        <v/>
      </c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>
        <f>IF(G271="","",TODAY()-G271)</f>
        <v/>
      </c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>
        <f>IF(G272="","",TODAY()-G272)</f>
        <v/>
      </c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>
        <f>IF(G273="","",TODAY()-G273)</f>
        <v/>
      </c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>
        <f>IF(G274="","",TODAY()-G274)</f>
        <v/>
      </c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>
        <f>IF(G275="","",TODAY()-G275)</f>
        <v/>
      </c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>
        <f>IF(G276="","",TODAY()-G276)</f>
        <v/>
      </c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>
        <f>IF(G277="","",TODAY()-G277)</f>
        <v/>
      </c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>
        <f>IF(G278="","",TODAY()-G278)</f>
        <v/>
      </c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>
        <f>IF(G279="","",TODAY()-G279)</f>
        <v/>
      </c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>
        <f>IF(G280="","",TODAY()-G280)</f>
        <v/>
      </c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>
        <f>IF(G281="","",TODAY()-G281)</f>
        <v/>
      </c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>
        <f>IF(G282="","",TODAY()-G282)</f>
        <v/>
      </c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>
        <f>IF(G283="","",TODAY()-G283)</f>
        <v/>
      </c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>
        <f>IF(G284="","",TODAY()-G284)</f>
        <v/>
      </c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>
        <f>IF(G285="","",TODAY()-G285)</f>
        <v/>
      </c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>
        <f>IF(G286="","",TODAY()-G286)</f>
        <v/>
      </c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>
        <f>IF(G287="","",TODAY()-G287)</f>
        <v/>
      </c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>
        <f>IF(G288="","",TODAY()-G288)</f>
        <v/>
      </c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>
        <f>IF(G289="","",TODAY()-G289)</f>
        <v/>
      </c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>
        <f>IF(G290="","",TODAY()-G290)</f>
        <v/>
      </c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>
        <f>IF(G291="","",TODAY()-G291)</f>
        <v/>
      </c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>
        <f>IF(G292="","",TODAY()-G292)</f>
        <v/>
      </c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>
        <f>IF(G293="","",TODAY()-G293)</f>
        <v/>
      </c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>
        <f>IF(G294="","",TODAY()-G294)</f>
        <v/>
      </c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>
        <f>IF(G295="","",TODAY()-G295)</f>
        <v/>
      </c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>
        <f>IF(G296="","",TODAY()-G296)</f>
        <v/>
      </c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>
        <f>IF(G297="","",TODAY()-G297)</f>
        <v/>
      </c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>
        <f>IF(G298="","",TODAY()-G298)</f>
        <v/>
      </c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>
        <f>IF(G299="","",TODAY()-G299)</f>
        <v/>
      </c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>
        <f>IF(G300="","",TODAY()-G300)</f>
        <v/>
      </c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>
        <f>IF(G301="","",TODAY()-G301)</f>
        <v/>
      </c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>
        <f>IF(G302="","",TODAY()-G302)</f>
        <v/>
      </c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>
        <f>IF(G303="","",TODAY()-G303)</f>
        <v/>
      </c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>
        <f>IF(G304="","",TODAY()-G304)</f>
        <v/>
      </c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>
        <f>IF(G305="","",TODAY()-G305)</f>
        <v/>
      </c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>
        <f>IF(G306="","",TODAY()-G306)</f>
        <v/>
      </c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>
        <f>IF(G307="","",TODAY()-G307)</f>
        <v/>
      </c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>
        <f>IF(G308="","",TODAY()-G308)</f>
        <v/>
      </c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>
        <f>IF(G309="","",TODAY()-G309)</f>
        <v/>
      </c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>
        <f>IF(G310="","",TODAY()-G310)</f>
        <v/>
      </c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>
        <f>IF(G311="","",TODAY()-G311)</f>
        <v/>
      </c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>
        <f>IF(G312="","",TODAY()-G312)</f>
        <v/>
      </c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>
        <f>IF(G313="","",TODAY()-G313)</f>
        <v/>
      </c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>
        <f>IF(G314="","",TODAY()-G314)</f>
        <v/>
      </c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>
        <f>IF(G315="","",TODAY()-G315)</f>
        <v/>
      </c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>
        <f>IF(G316="","",TODAY()-G316)</f>
        <v/>
      </c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>
        <f>IF(G317="","",TODAY()-G317)</f>
        <v/>
      </c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>
        <f>IF(G318="","",TODAY()-G318)</f>
        <v/>
      </c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>
        <f>IF(G319="","",TODAY()-G319)</f>
        <v/>
      </c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>
        <f>IF(G320="","",TODAY()-G320)</f>
        <v/>
      </c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>
        <f>IF(G321="","",TODAY()-G321)</f>
        <v/>
      </c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>
        <f>IF(G322="","",TODAY()-G322)</f>
        <v/>
      </c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>
        <f>IF(G323="","",TODAY()-G323)</f>
        <v/>
      </c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>
        <f>IF(G324="","",TODAY()-G324)</f>
        <v/>
      </c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>
        <f>IF(G325="","",TODAY()-G325)</f>
        <v/>
      </c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>
        <f>IF(G326="","",TODAY()-G326)</f>
        <v/>
      </c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>
        <f>IF(G327="","",TODAY()-G327)</f>
        <v/>
      </c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>
        <f>IF(G328="","",TODAY()-G328)</f>
        <v/>
      </c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>
        <f>IF(G329="","",TODAY()-G329)</f>
        <v/>
      </c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>
        <f>IF(G330="","",TODAY()-G330)</f>
        <v/>
      </c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>
        <f>IF(G331="","",TODAY()-G331)</f>
        <v/>
      </c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>
        <f>IF(G332="","",TODAY()-G332)</f>
        <v/>
      </c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>
        <f>IF(G333="","",TODAY()-G333)</f>
        <v/>
      </c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>
        <f>IF(G334="","",TODAY()-G334)</f>
        <v/>
      </c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>
        <f>IF(G335="","",TODAY()-G335)</f>
        <v/>
      </c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>
        <f>IF(G336="","",TODAY()-G336)</f>
        <v/>
      </c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>
        <f>IF(G337="","",TODAY()-G337)</f>
        <v/>
      </c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>
        <f>IF(G338="","",TODAY()-G338)</f>
        <v/>
      </c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>
        <f>IF(G339="","",TODAY()-G339)</f>
        <v/>
      </c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>
        <f>IF(G340="","",TODAY()-G340)</f>
        <v/>
      </c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>
        <f>IF(G341="","",TODAY()-G341)</f>
        <v/>
      </c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>
        <f>IF(G342="","",TODAY()-G342)</f>
        <v/>
      </c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>
        <f>IF(G343="","",TODAY()-G343)</f>
        <v/>
      </c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>
        <f>IF(G344="","",TODAY()-G344)</f>
        <v/>
      </c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>
        <f>IF(G345="","",TODAY()-G345)</f>
        <v/>
      </c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>
        <f>IF(G346="","",TODAY()-G346)</f>
        <v/>
      </c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>
        <f>IF(G347="","",TODAY()-G347)</f>
        <v/>
      </c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>
        <f>IF(G348="","",TODAY()-G348)</f>
        <v/>
      </c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>
        <f>IF(G349="","",TODAY()-G349)</f>
        <v/>
      </c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>
        <f>IF(G350="","",TODAY()-G350)</f>
        <v/>
      </c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>
        <f>IF(G351="","",TODAY()-G351)</f>
        <v/>
      </c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>
        <f>IF(G352="","",TODAY()-G352)</f>
        <v/>
      </c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>
        <f>IF(G353="","",TODAY()-G353)</f>
        <v/>
      </c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>
        <f>IF(G354="","",TODAY()-G354)</f>
        <v/>
      </c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>
        <f>IF(G355="","",TODAY()-G355)</f>
        <v/>
      </c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>
        <f>IF(G356="","",TODAY()-G356)</f>
        <v/>
      </c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>
        <f>IF(G357="","",TODAY()-G357)</f>
        <v/>
      </c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>
        <f>IF(G358="","",TODAY()-G358)</f>
        <v/>
      </c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>
        <f>IF(G359="","",TODAY()-G359)</f>
        <v/>
      </c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>
        <f>IF(G360="","",TODAY()-G360)</f>
        <v/>
      </c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>
        <f>IF(G361="","",TODAY()-G361)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>
        <f>IF(G362="","",TODAY()-G362)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>
        <f>IF(G363="","",TODAY()-G363)</f>
        <v/>
      </c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>
        <f>IF(G364="","",TODAY()-G364)</f>
        <v/>
      </c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>
        <f>IF(G365="","",TODAY()-G365)</f>
        <v/>
      </c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>
        <f>IF(G366="","",TODAY()-G366)</f>
        <v/>
      </c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>
        <f>IF(G367="","",TODAY()-G367)</f>
        <v/>
      </c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>
        <f>IF(G368="","",TODAY()-G368)</f>
        <v/>
      </c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>
        <f>IF(G369="","",TODAY()-G369)</f>
        <v/>
      </c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>
        <f>IF(G370="","",TODAY()-G370)</f>
        <v/>
      </c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>
        <f>IF(G371="","",TODAY()-G371)</f>
        <v/>
      </c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>
        <f>IF(G372="","",TODAY()-G372)</f>
        <v/>
      </c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>
        <f>IF(G373="","",TODAY()-G373)</f>
        <v/>
      </c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>
        <f>IF(G374="","",TODAY()-G374)</f>
        <v/>
      </c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>
        <f>IF(G375="","",TODAY()-G375)</f>
        <v/>
      </c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>
        <f>IF(G376="","",TODAY()-G376)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>
        <f>IF(G377="","",TODAY()-G377)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>
        <f>IF(G378="","",TODAY()-G378)</f>
        <v/>
      </c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>
        <f>IF(G379="","",TODAY()-G379)</f>
        <v/>
      </c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>
        <f>IF(G380="","",TODAY()-G380)</f>
        <v/>
      </c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>
        <f>IF(G381="","",TODAY()-G381)</f>
        <v/>
      </c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>
        <f>IF(G382="","",TODAY()-G382)</f>
        <v/>
      </c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>
        <f>IF(G383="","",TODAY()-G383)</f>
        <v/>
      </c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>
        <f>IF(G384="","",TODAY()-G384)</f>
        <v/>
      </c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>
        <f>IF(G385="","",TODAY()-G385)</f>
        <v/>
      </c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>
        <f>IF(G386="","",TODAY()-G386)</f>
        <v/>
      </c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>
        <f>IF(G387="","",TODAY()-G387)</f>
        <v/>
      </c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>
        <f>IF(G388="","",TODAY()-G388)</f>
        <v/>
      </c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>
        <f>IF(G389="","",TODAY()-G389)</f>
        <v/>
      </c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>
        <f>IF(G390="","",TODAY()-G390)</f>
        <v/>
      </c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>
        <f>IF(G391="","",TODAY()-G391)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>
        <f>IF(G392="","",TODAY()-G392)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>
        <f>IF(G393="","",TODAY()-G393)</f>
        <v/>
      </c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>
        <f>IF(G394="","",TODAY()-G394)</f>
        <v/>
      </c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>
        <f>IF(G395="","",TODAY()-G395)</f>
        <v/>
      </c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>
        <f>IF(G396="","",TODAY()-G396)</f>
        <v/>
      </c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>
        <f>IF(G397="","",TODAY()-G397)</f>
        <v/>
      </c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>
        <f>IF(G398="","",TODAY()-G398)</f>
        <v/>
      </c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>
        <f>IF(G399="","",TODAY()-G399)</f>
        <v/>
      </c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>
        <f>IF(G400="","",TODAY()-G400)</f>
        <v/>
      </c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>
        <f>IF(G401="","",TODAY()-G401)</f>
        <v/>
      </c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>
        <f>IF(G402="","",TODAY()-G402)</f>
        <v/>
      </c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>
        <f>IF(G403="","",TODAY()-G403)</f>
        <v/>
      </c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>
        <f>IF(G404="","",TODAY()-G404)</f>
        <v/>
      </c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>
        <f>IF(G405="","",TODAY()-G405)</f>
        <v/>
      </c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>
        <f>IF(G406="","",TODAY()-G406)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>
        <f>IF(G407="","",TODAY()-G407)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>
        <f>IF(G408="","",TODAY()-G408)</f>
        <v/>
      </c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>
        <f>IF(G409="","",TODAY()-G409)</f>
        <v/>
      </c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>
        <f>IF(G410="","",TODAY()-G410)</f>
        <v/>
      </c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>
        <f>IF(G411="","",TODAY()-G411)</f>
        <v/>
      </c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>
        <f>IF(G412="","",TODAY()-G412)</f>
        <v/>
      </c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>
        <f>IF(G413="","",TODAY()-G413)</f>
        <v/>
      </c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>
        <f>IF(G414="","",TODAY()-G414)</f>
        <v/>
      </c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>
        <f>IF(G415="","",TODAY()-G415)</f>
        <v/>
      </c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>
        <f>IF(G416="","",TODAY()-G416)</f>
        <v/>
      </c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>
        <f>IF(G417="","",TODAY()-G417)</f>
        <v/>
      </c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>
        <f>IF(G418="","",TODAY()-G418)</f>
        <v/>
      </c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>
        <f>IF(G419="","",TODAY()-G419)</f>
        <v/>
      </c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>
        <f>IF(G420="","",TODAY()-G420)</f>
        <v/>
      </c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>
        <f>IF(G421="","",TODAY()-G421)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>
        <f>IF(G422="","",TODAY()-G422)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>
        <f>IF(G423="","",TODAY()-G423)</f>
        <v/>
      </c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>
        <f>IF(G424="","",TODAY()-G424)</f>
        <v/>
      </c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>
        <f>IF(G425="","",TODAY()-G425)</f>
        <v/>
      </c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>
        <f>IF(G426="","",TODAY()-G426)</f>
        <v/>
      </c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>
        <f>IF(G427="","",TODAY()-G427)</f>
        <v/>
      </c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>
        <f>IF(G428="","",TODAY()-G428)</f>
        <v/>
      </c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>
        <f>IF(G429="","",TODAY()-G429)</f>
        <v/>
      </c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>
        <f>IF(G430="","",TODAY()-G430)</f>
        <v/>
      </c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>
        <f>IF(G431="","",TODAY()-G431)</f>
        <v/>
      </c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>
        <f>IF(G432="","",TODAY()-G432)</f>
        <v/>
      </c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>
        <f>IF(G433="","",TODAY()-G433)</f>
        <v/>
      </c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>
        <f>IF(G434="","",TODAY()-G434)</f>
        <v/>
      </c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>
        <f>IF(G435="","",TODAY()-G435)</f>
        <v/>
      </c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>
        <f>IF(G436="","",TODAY()-G436)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>
        <f>IF(G437="","",TODAY()-G437)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>
        <f>IF(G438="","",TODAY()-G438)</f>
        <v/>
      </c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>
        <f>IF(G439="","",TODAY()-G439)</f>
        <v/>
      </c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>
        <f>IF(G440="","",TODAY()-G440)</f>
        <v/>
      </c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>
        <f>IF(G441="","",TODAY()-G441)</f>
        <v/>
      </c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>
        <f>IF(G442="","",TODAY()-G442)</f>
        <v/>
      </c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>
        <f>IF(G443="","",TODAY()-G443)</f>
        <v/>
      </c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>
        <f>IF(G444="","",TODAY()-G444)</f>
        <v/>
      </c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>
        <f>IF(G445="","",TODAY()-G445)</f>
        <v/>
      </c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>
        <f>IF(G446="","",TODAY()-G446)</f>
        <v/>
      </c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>
        <f>IF(G447="","",TODAY()-G447)</f>
        <v/>
      </c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>
        <f>IF(G448="","",TODAY()-G448)</f>
        <v/>
      </c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>
        <f>IF(G449="","",TODAY()-G449)</f>
        <v/>
      </c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>
        <f>IF(G450="","",TODAY()-G450)</f>
        <v/>
      </c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>
        <f>IF(G451="","",TODAY()-G451)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>
        <f>IF(G452="","",TODAY()-G452)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>
        <f>IF(G453="","",TODAY()-G453)</f>
        <v/>
      </c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>
        <f>IF(G454="","",TODAY()-G454)</f>
        <v/>
      </c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>
        <f>IF(G455="","",TODAY()-G455)</f>
        <v/>
      </c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>
        <f>IF(G456="","",TODAY()-G456)</f>
        <v/>
      </c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>
        <f>IF(G457="","",TODAY()-G457)</f>
        <v/>
      </c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>
        <f>IF(G458="","",TODAY()-G458)</f>
        <v/>
      </c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>
        <f>IF(G459="","",TODAY()-G459)</f>
        <v/>
      </c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>
        <f>IF(G460="","",TODAY()-G460)</f>
        <v/>
      </c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>
        <f>IF(G461="","",TODAY()-G461)</f>
        <v/>
      </c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>
        <f>IF(G462="","",TODAY()-G462)</f>
        <v/>
      </c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>
        <f>IF(G463="","",TODAY()-G463)</f>
        <v/>
      </c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>
        <f>IF(G464="","",TODAY()-G464)</f>
        <v/>
      </c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>
        <f>IF(G465="","",TODAY()-G465)</f>
        <v/>
      </c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>
        <f>IF(G466="","",TODAY()-G466)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>
        <f>IF(G467="","",TODAY()-G467)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>
        <f>IF(G468="","",TODAY()-G468)</f>
        <v/>
      </c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>
        <f>IF(G469="","",TODAY()-G469)</f>
        <v/>
      </c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>
        <f>IF(G470="","",TODAY()-G470)</f>
        <v/>
      </c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>
        <f>IF(G471="","",TODAY()-G471)</f>
        <v/>
      </c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>
        <f>IF(G472="","",TODAY()-G472)</f>
        <v/>
      </c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>
        <f>IF(G473="","",TODAY()-G473)</f>
        <v/>
      </c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>
        <f>IF(G474="","",TODAY()-G474)</f>
        <v/>
      </c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>
        <f>IF(G475="","",TODAY()-G475)</f>
        <v/>
      </c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>
        <f>IF(G476="","",TODAY()-G476)</f>
        <v/>
      </c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>
        <f>IF(G477="","",TODAY()-G477)</f>
        <v/>
      </c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>
        <f>IF(G478="","",TODAY()-G478)</f>
        <v/>
      </c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>
        <f>IF(G479="","",TODAY()-G479)</f>
        <v/>
      </c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>
        <f>IF(G480="","",TODAY()-G480)</f>
        <v/>
      </c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>
        <f>IF(G481="","",TODAY()-G481)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>
        <f>IF(G482="","",TODAY()-G482)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>
        <f>IF(G483="","",TODAY()-G483)</f>
        <v/>
      </c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>
        <f>IF(G484="","",TODAY()-G484)</f>
        <v/>
      </c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>
        <f>IF(G485="","",TODAY()-G485)</f>
        <v/>
      </c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>
        <f>IF(G486="","",TODAY()-G486)</f>
        <v/>
      </c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>
        <f>IF(G487="","",TODAY()-G487)</f>
        <v/>
      </c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>
        <f>IF(G488="","",TODAY()-G488)</f>
        <v/>
      </c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>
        <f>IF(G489="","",TODAY()-G489)</f>
        <v/>
      </c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>
        <f>IF(G490="","",TODAY()-G490)</f>
        <v/>
      </c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>
        <f>IF(G491="","",TODAY()-G491)</f>
        <v/>
      </c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>
        <f>IF(G492="","",TODAY()-G492)</f>
        <v/>
      </c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>
        <f>IF(G493="","",TODAY()-G493)</f>
        <v/>
      </c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>
        <f>IF(G494="","",TODAY()-G494)</f>
        <v/>
      </c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>
        <f>IF(G495="","",TODAY()-G495)</f>
        <v/>
      </c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>
        <f>IF(G496="","",TODAY()-G496)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>
        <f>IF(G497="","",TODAY()-G497)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>
        <f>IF(G498="","",TODAY()-G498)</f>
        <v/>
      </c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>
        <f>IF(G499="","",TODAY()-G499)</f>
        <v/>
      </c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>
        <f>IF(G500="","",TODAY()-G500)</f>
        <v/>
      </c>
    </row>
  </sheetData>
  <autoFilter ref="A1:Q500"/>
  <conditionalFormatting sqref="H2:H500">
    <cfRule type="cellIs" priority="1" operator="equal" dxfId="0">
      <formula>"PPO"</formula>
    </cfRule>
  </conditionalFormatting>
  <dataValidations count="3">
    <dataValidation sqref="H2:H500" showDropDown="0" showInputMessage="0" showErrorMessage="0" allowBlank="1" type="list">
      <formula1>"Shortlisted,Applied,Waiting,OA,Technical Interview,HR/Manager,Offer,Rejected,Ghosted,Withdrawn,PPO"</formula1>
    </dataValidation>
    <dataValidation sqref="F2:F500" showDropDown="0" showInputMessage="0" showErrorMessage="0" allowBlank="1" type="list">
      <formula1>"SDE,Backend,Full Stack,Cloud/DevOps"</formula1>
    </dataValidation>
    <dataValidation sqref="P2:P500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5" min="1" max="1"/>
    <col width="16" customWidth="1" style="15" min="2" max="2"/>
    <col width="12" customWidth="1" style="15" min="3" max="6"/>
    <col width="17" customWidth="1" style="15" min="7" max="7"/>
    <col width="12" customWidth="1" style="15" min="8" max="8"/>
    <col width="15" customWidth="1" style="15" min="9" max="9"/>
    <col width="21" customWidth="1" style="15" min="10" max="10"/>
    <col width="38" customWidth="1" style="15" min="11" max="11"/>
    <col width="42" customWidth="1" style="15" min="12" max="15"/>
  </cols>
  <sheetData>
    <row r="1">
      <c r="A1" s="1" t="inlineStr">
        <is>
          <t>Interview ID</t>
        </is>
      </c>
      <c r="B1" s="1" t="inlineStr">
        <is>
          <t>Application ID</t>
        </is>
      </c>
      <c r="C1" s="1" t="inlineStr">
        <is>
          <t>Company</t>
        </is>
      </c>
      <c r="D1" s="1" t="inlineStr">
        <is>
          <t>Role</t>
        </is>
      </c>
      <c r="E1" s="1" t="inlineStr">
        <is>
          <t>Stage</t>
        </is>
      </c>
      <c r="F1" s="1" t="inlineStr">
        <is>
          <t>Date</t>
        </is>
      </c>
      <c r="G1" s="1" t="inlineStr">
        <is>
          <t>Technical Score</t>
        </is>
      </c>
      <c r="H1" s="1" t="inlineStr">
        <is>
          <t>DSA Score</t>
        </is>
      </c>
      <c r="I1" s="1" t="inlineStr">
        <is>
          <t>Project Score</t>
        </is>
      </c>
      <c r="J1" s="1" t="inlineStr">
        <is>
          <t>Communication Score</t>
        </is>
      </c>
      <c r="K1" s="1" t="inlineStr">
        <is>
          <t>Overall Score</t>
        </is>
      </c>
      <c r="L1" s="1" t="inlineStr">
        <is>
          <t>Top Weaknesses</t>
        </is>
      </c>
      <c r="M1" s="1" t="inlineStr">
        <is>
          <t>Questions / Topics</t>
        </is>
      </c>
      <c r="N1" s="1" t="inlineStr">
        <is>
          <t>Next Preparation</t>
        </is>
      </c>
      <c r="O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>
        <f>IF(COUNTA(G2:J2)&lt;4,"",ROUND(AVERAGE(G2:J2),1))</f>
        <v/>
      </c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>
        <f>IF(COUNTA(G3:J3)&lt;4,"",ROUND(AVERAGE(G3:J3),1))</f>
        <v/>
      </c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>
        <f>IF(COUNTA(G4:J4)&lt;4,"",ROUND(AVERAGE(G4:J4),1))</f>
        <v/>
      </c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>
        <f>IF(COUNTA(G5:J5)&lt;4,"",ROUND(AVERAGE(G5:J5),1))</f>
        <v/>
      </c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>
        <f>IF(COUNTA(G6:J6)&lt;4,"",ROUND(AVERAGE(G6:J6),1))</f>
        <v/>
      </c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>
        <f>IF(COUNTA(G7:J7)&lt;4,"",ROUND(AVERAGE(G7:J7),1))</f>
        <v/>
      </c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>
        <f>IF(COUNTA(G8:J8)&lt;4,"",ROUND(AVERAGE(G8:J8),1))</f>
        <v/>
      </c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>
        <f>IF(COUNTA(G9:J9)&lt;4,"",ROUND(AVERAGE(G9:J9),1))</f>
        <v/>
      </c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>
        <f>IF(COUNTA(G10:J10)&lt;4,"",ROUND(AVERAGE(G10:J10),1))</f>
        <v/>
      </c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>
        <f>IF(COUNTA(G11:J11)&lt;4,"",ROUND(AVERAGE(G11:J11),1))</f>
        <v/>
      </c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>
        <f>IF(COUNTA(G12:J12)&lt;4,"",ROUND(AVERAGE(G12:J12),1))</f>
        <v/>
      </c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>
        <f>IF(COUNTA(G13:J13)&lt;4,"",ROUND(AVERAGE(G13:J13),1))</f>
        <v/>
      </c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>
        <f>IF(COUNTA(G14:J14)&lt;4,"",ROUND(AVERAGE(G14:J14),1))</f>
        <v/>
      </c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>
        <f>IF(COUNTA(G15:J15)&lt;4,"",ROUND(AVERAGE(G15:J15),1))</f>
        <v/>
      </c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>
        <f>IF(COUNTA(G16:J16)&lt;4,"",ROUND(AVERAGE(G16:J16),1))</f>
        <v/>
      </c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>
        <f>IF(COUNTA(G17:J17)&lt;4,"",ROUND(AVERAGE(G17:J17),1))</f>
        <v/>
      </c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>
        <f>IF(COUNTA(G18:J18)&lt;4,"",ROUND(AVERAGE(G18:J18),1))</f>
        <v/>
      </c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>
        <f>IF(COUNTA(G19:J19)&lt;4,"",ROUND(AVERAGE(G19:J19),1))</f>
        <v/>
      </c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>
        <f>IF(COUNTA(G20:J20)&lt;4,"",ROUND(AVERAGE(G20:J20),1))</f>
        <v/>
      </c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>
        <f>IF(COUNTA(G21:J21)&lt;4,"",ROUND(AVERAGE(G21:J21),1))</f>
        <v/>
      </c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>
        <f>IF(COUNTA(G22:J22)&lt;4,"",ROUND(AVERAGE(G22:J22),1))</f>
        <v/>
      </c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>
        <f>IF(COUNTA(G23:J23)&lt;4,"",ROUND(AVERAGE(G23:J23),1))</f>
        <v/>
      </c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>
        <f>IF(COUNTA(G24:J24)&lt;4,"",ROUND(AVERAGE(G24:J24),1))</f>
        <v/>
      </c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>
        <f>IF(COUNTA(G25:J25)&lt;4,"",ROUND(AVERAGE(G25:J25),1))</f>
        <v/>
      </c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>
        <f>IF(COUNTA(G26:J26)&lt;4,"",ROUND(AVERAGE(G26:J26),1))</f>
        <v/>
      </c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>
        <f>IF(COUNTA(G27:J27)&lt;4,"",ROUND(AVERAGE(G27:J27),1))</f>
        <v/>
      </c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>
        <f>IF(COUNTA(G28:J28)&lt;4,"",ROUND(AVERAGE(G28:J28),1))</f>
        <v/>
      </c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>
        <f>IF(COUNTA(G29:J29)&lt;4,"",ROUND(AVERAGE(G29:J29),1))</f>
        <v/>
      </c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>
        <f>IF(COUNTA(G30:J30)&lt;4,"",ROUND(AVERAGE(G30:J30),1))</f>
        <v/>
      </c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>
        <f>IF(COUNTA(G31:J31)&lt;4,"",ROUND(AVERAGE(G31:J31),1))</f>
        <v/>
      </c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>
        <f>IF(COUNTA(G32:J32)&lt;4,"",ROUND(AVERAGE(G32:J32),1))</f>
        <v/>
      </c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>
        <f>IF(COUNTA(G33:J33)&lt;4,"",ROUND(AVERAGE(G33:J33),1))</f>
        <v/>
      </c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>
        <f>IF(COUNTA(G34:J34)&lt;4,"",ROUND(AVERAGE(G34:J34),1))</f>
        <v/>
      </c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>
        <f>IF(COUNTA(G35:J35)&lt;4,"",ROUND(AVERAGE(G35:J35),1))</f>
        <v/>
      </c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>
        <f>IF(COUNTA(G36:J36)&lt;4,"",ROUND(AVERAGE(G36:J36),1))</f>
        <v/>
      </c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>
        <f>IF(COUNTA(G37:J37)&lt;4,"",ROUND(AVERAGE(G37:J37),1))</f>
        <v/>
      </c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>
        <f>IF(COUNTA(G38:J38)&lt;4,"",ROUND(AVERAGE(G38:J38),1))</f>
        <v/>
      </c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>
        <f>IF(COUNTA(G39:J39)&lt;4,"",ROUND(AVERAGE(G39:J39),1))</f>
        <v/>
      </c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>
        <f>IF(COUNTA(G40:J40)&lt;4,"",ROUND(AVERAGE(G40:J40),1))</f>
        <v/>
      </c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>
        <f>IF(COUNTA(G41:J41)&lt;4,"",ROUND(AVERAGE(G41:J41),1))</f>
        <v/>
      </c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>
        <f>IF(COUNTA(G42:J42)&lt;4,"",ROUND(AVERAGE(G42:J42),1))</f>
        <v/>
      </c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>
        <f>IF(COUNTA(G43:J43)&lt;4,"",ROUND(AVERAGE(G43:J43),1))</f>
        <v/>
      </c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>
        <f>IF(COUNTA(G44:J44)&lt;4,"",ROUND(AVERAGE(G44:J44),1))</f>
        <v/>
      </c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>
        <f>IF(COUNTA(G45:J45)&lt;4,"",ROUND(AVERAGE(G45:J45),1))</f>
        <v/>
      </c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>
        <f>IF(COUNTA(G46:J46)&lt;4,"",ROUND(AVERAGE(G46:J46),1))</f>
        <v/>
      </c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>
        <f>IF(COUNTA(G47:J47)&lt;4,"",ROUND(AVERAGE(G47:J47),1))</f>
        <v/>
      </c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>
        <f>IF(COUNTA(G48:J48)&lt;4,"",ROUND(AVERAGE(G48:J48),1))</f>
        <v/>
      </c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>
        <f>IF(COUNTA(G49:J49)&lt;4,"",ROUND(AVERAGE(G49:J49),1))</f>
        <v/>
      </c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>
        <f>IF(COUNTA(G50:J50)&lt;4,"",ROUND(AVERAGE(G50:J50),1))</f>
        <v/>
      </c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>
        <f>IF(COUNTA(G51:J51)&lt;4,"",ROUND(AVERAGE(G51:J51),1))</f>
        <v/>
      </c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>
        <f>IF(COUNTA(G52:J52)&lt;4,"",ROUND(AVERAGE(G52:J52),1))</f>
        <v/>
      </c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>
        <f>IF(COUNTA(G53:J53)&lt;4,"",ROUND(AVERAGE(G53:J53),1))</f>
        <v/>
      </c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>
        <f>IF(COUNTA(G54:J54)&lt;4,"",ROUND(AVERAGE(G54:J54),1))</f>
        <v/>
      </c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>
        <f>IF(COUNTA(G55:J55)&lt;4,"",ROUND(AVERAGE(G55:J55),1))</f>
        <v/>
      </c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>
        <f>IF(COUNTA(G56:J56)&lt;4,"",ROUND(AVERAGE(G56:J56),1))</f>
        <v/>
      </c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>
        <f>IF(COUNTA(G57:J57)&lt;4,"",ROUND(AVERAGE(G57:J57),1))</f>
        <v/>
      </c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>
        <f>IF(COUNTA(G58:J58)&lt;4,"",ROUND(AVERAGE(G58:J58),1))</f>
        <v/>
      </c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>
        <f>IF(COUNTA(G59:J59)&lt;4,"",ROUND(AVERAGE(G59:J59),1))</f>
        <v/>
      </c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>
        <f>IF(COUNTA(G60:J60)&lt;4,"",ROUND(AVERAGE(G60:J60),1))</f>
        <v/>
      </c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>
        <f>IF(COUNTA(G61:J61)&lt;4,"",ROUND(AVERAGE(G61:J61),1))</f>
        <v/>
      </c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>
        <f>IF(COUNTA(G62:J62)&lt;4,"",ROUND(AVERAGE(G62:J62),1))</f>
        <v/>
      </c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>
        <f>IF(COUNTA(G63:J63)&lt;4,"",ROUND(AVERAGE(G63:J63),1))</f>
        <v/>
      </c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>
        <f>IF(COUNTA(G64:J64)&lt;4,"",ROUND(AVERAGE(G64:J64),1))</f>
        <v/>
      </c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>
        <f>IF(COUNTA(G65:J65)&lt;4,"",ROUND(AVERAGE(G65:J65),1))</f>
        <v/>
      </c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>
        <f>IF(COUNTA(G66:J66)&lt;4,"",ROUND(AVERAGE(G66:J66),1))</f>
        <v/>
      </c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>
        <f>IF(COUNTA(G67:J67)&lt;4,"",ROUND(AVERAGE(G67:J67),1))</f>
        <v/>
      </c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>
        <f>IF(COUNTA(G68:J68)&lt;4,"",ROUND(AVERAGE(G68:J68),1))</f>
        <v/>
      </c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>
        <f>IF(COUNTA(G69:J69)&lt;4,"",ROUND(AVERAGE(G69:J69),1))</f>
        <v/>
      </c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>
        <f>IF(COUNTA(G70:J70)&lt;4,"",ROUND(AVERAGE(G70:J70),1))</f>
        <v/>
      </c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>
        <f>IF(COUNTA(G71:J71)&lt;4,"",ROUND(AVERAGE(G71:J71),1))</f>
        <v/>
      </c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>
        <f>IF(COUNTA(G72:J72)&lt;4,"",ROUND(AVERAGE(G72:J72),1))</f>
        <v/>
      </c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>
        <f>IF(COUNTA(G73:J73)&lt;4,"",ROUND(AVERAGE(G73:J73),1))</f>
        <v/>
      </c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>
        <f>IF(COUNTA(G74:J74)&lt;4,"",ROUND(AVERAGE(G74:J74),1))</f>
        <v/>
      </c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>
        <f>IF(COUNTA(G75:J75)&lt;4,"",ROUND(AVERAGE(G75:J75),1))</f>
        <v/>
      </c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>
        <f>IF(COUNTA(G76:J76)&lt;4,"",ROUND(AVERAGE(G76:J76),1))</f>
        <v/>
      </c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>
        <f>IF(COUNTA(G77:J77)&lt;4,"",ROUND(AVERAGE(G77:J77),1))</f>
        <v/>
      </c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>
        <f>IF(COUNTA(G78:J78)&lt;4,"",ROUND(AVERAGE(G78:J78),1))</f>
        <v/>
      </c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>
        <f>IF(COUNTA(G79:J79)&lt;4,"",ROUND(AVERAGE(G79:J79),1))</f>
        <v/>
      </c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>
        <f>IF(COUNTA(G80:J80)&lt;4,"",ROUND(AVERAGE(G80:J80),1))</f>
        <v/>
      </c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>
        <f>IF(COUNTA(G81:J81)&lt;4,"",ROUND(AVERAGE(G81:J81),1))</f>
        <v/>
      </c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>
        <f>IF(COUNTA(G82:J82)&lt;4,"",ROUND(AVERAGE(G82:J82),1))</f>
        <v/>
      </c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>
        <f>IF(COUNTA(G83:J83)&lt;4,"",ROUND(AVERAGE(G83:J83),1))</f>
        <v/>
      </c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>
        <f>IF(COUNTA(G84:J84)&lt;4,"",ROUND(AVERAGE(G84:J84),1))</f>
        <v/>
      </c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>
        <f>IF(COUNTA(G85:J85)&lt;4,"",ROUND(AVERAGE(G85:J85),1))</f>
        <v/>
      </c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>
        <f>IF(COUNTA(G86:J86)&lt;4,"",ROUND(AVERAGE(G86:J86),1))</f>
        <v/>
      </c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>
        <f>IF(COUNTA(G87:J87)&lt;4,"",ROUND(AVERAGE(G87:J87),1))</f>
        <v/>
      </c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>
        <f>IF(COUNTA(G88:J88)&lt;4,"",ROUND(AVERAGE(G88:J88),1))</f>
        <v/>
      </c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>
        <f>IF(COUNTA(G89:J89)&lt;4,"",ROUND(AVERAGE(G89:J89),1))</f>
        <v/>
      </c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>
        <f>IF(COUNTA(G90:J90)&lt;4,"",ROUND(AVERAGE(G90:J90),1))</f>
        <v/>
      </c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>
        <f>IF(COUNTA(G91:J91)&lt;4,"",ROUND(AVERAGE(G91:J91),1))</f>
        <v/>
      </c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>
        <f>IF(COUNTA(G92:J92)&lt;4,"",ROUND(AVERAGE(G92:J92),1))</f>
        <v/>
      </c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>
        <f>IF(COUNTA(G93:J93)&lt;4,"",ROUND(AVERAGE(G93:J93),1))</f>
        <v/>
      </c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>
        <f>IF(COUNTA(G94:J94)&lt;4,"",ROUND(AVERAGE(G94:J94),1))</f>
        <v/>
      </c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>
        <f>IF(COUNTA(G95:J95)&lt;4,"",ROUND(AVERAGE(G95:J95),1))</f>
        <v/>
      </c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>
        <f>IF(COUNTA(G96:J96)&lt;4,"",ROUND(AVERAGE(G96:J96),1))</f>
        <v/>
      </c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>
        <f>IF(COUNTA(G97:J97)&lt;4,"",ROUND(AVERAGE(G97:J97),1))</f>
        <v/>
      </c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>
        <f>IF(COUNTA(G98:J98)&lt;4,"",ROUND(AVERAGE(G98:J98),1))</f>
        <v/>
      </c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>
        <f>IF(COUNTA(G99:J99)&lt;4,"",ROUND(AVERAGE(G99:J99),1))</f>
        <v/>
      </c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>
        <f>IF(COUNTA(G100:J100)&lt;4,"",ROUND(AVERAGE(G100:J100),1))</f>
        <v/>
      </c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>
        <f>IF(COUNTA(G101:J101)&lt;4,"",ROUND(AVERAGE(G101:J101),1))</f>
        <v/>
      </c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>
        <f>IF(COUNTA(G102:J102)&lt;4,"",ROUND(AVERAGE(G102:J102),1))</f>
        <v/>
      </c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>
        <f>IF(COUNTA(G103:J103)&lt;4,"",ROUND(AVERAGE(G103:J103),1))</f>
        <v/>
      </c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>
        <f>IF(COUNTA(G104:J104)&lt;4,"",ROUND(AVERAGE(G104:J104),1))</f>
        <v/>
      </c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>
        <f>IF(COUNTA(G105:J105)&lt;4,"",ROUND(AVERAGE(G105:J105),1))</f>
        <v/>
      </c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>
        <f>IF(COUNTA(G106:J106)&lt;4,"",ROUND(AVERAGE(G106:J106),1))</f>
        <v/>
      </c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>
        <f>IF(COUNTA(G107:J107)&lt;4,"",ROUND(AVERAGE(G107:J107),1))</f>
        <v/>
      </c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>
        <f>IF(COUNTA(G108:J108)&lt;4,"",ROUND(AVERAGE(G108:J108),1))</f>
        <v/>
      </c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>
        <f>IF(COUNTA(G109:J109)&lt;4,"",ROUND(AVERAGE(G109:J109),1))</f>
        <v/>
      </c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>
        <f>IF(COUNTA(G110:J110)&lt;4,"",ROUND(AVERAGE(G110:J110),1))</f>
        <v/>
      </c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>
        <f>IF(COUNTA(G111:J111)&lt;4,"",ROUND(AVERAGE(G111:J111),1))</f>
        <v/>
      </c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>
        <f>IF(COUNTA(G112:J112)&lt;4,"",ROUND(AVERAGE(G112:J112),1))</f>
        <v/>
      </c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>
        <f>IF(COUNTA(G113:J113)&lt;4,"",ROUND(AVERAGE(G113:J113),1))</f>
        <v/>
      </c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>
        <f>IF(COUNTA(G114:J114)&lt;4,"",ROUND(AVERAGE(G114:J114),1))</f>
        <v/>
      </c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>
        <f>IF(COUNTA(G115:J115)&lt;4,"",ROUND(AVERAGE(G115:J115),1))</f>
        <v/>
      </c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>
        <f>IF(COUNTA(G116:J116)&lt;4,"",ROUND(AVERAGE(G116:J116),1))</f>
        <v/>
      </c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>
        <f>IF(COUNTA(G117:J117)&lt;4,"",ROUND(AVERAGE(G117:J117),1))</f>
        <v/>
      </c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>
        <f>IF(COUNTA(G118:J118)&lt;4,"",ROUND(AVERAGE(G118:J118),1))</f>
        <v/>
      </c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>
        <f>IF(COUNTA(G119:J119)&lt;4,"",ROUND(AVERAGE(G119:J119),1))</f>
        <v/>
      </c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>
        <f>IF(COUNTA(G120:J120)&lt;4,"",ROUND(AVERAGE(G120:J120),1))</f>
        <v/>
      </c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>
        <f>IF(COUNTA(G121:J121)&lt;4,"",ROUND(AVERAGE(G121:J121),1))</f>
        <v/>
      </c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>
        <f>IF(COUNTA(G122:J122)&lt;4,"",ROUND(AVERAGE(G122:J122),1))</f>
        <v/>
      </c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>
        <f>IF(COUNTA(G123:J123)&lt;4,"",ROUND(AVERAGE(G123:J123),1))</f>
        <v/>
      </c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>
        <f>IF(COUNTA(G124:J124)&lt;4,"",ROUND(AVERAGE(G124:J124),1))</f>
        <v/>
      </c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>
        <f>IF(COUNTA(G125:J125)&lt;4,"",ROUND(AVERAGE(G125:J125),1))</f>
        <v/>
      </c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>
        <f>IF(COUNTA(G126:J126)&lt;4,"",ROUND(AVERAGE(G126:J126),1))</f>
        <v/>
      </c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>
        <f>IF(COUNTA(G127:J127)&lt;4,"",ROUND(AVERAGE(G127:J127),1))</f>
        <v/>
      </c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>
        <f>IF(COUNTA(G128:J128)&lt;4,"",ROUND(AVERAGE(G128:J128),1))</f>
        <v/>
      </c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>
        <f>IF(COUNTA(G129:J129)&lt;4,"",ROUND(AVERAGE(G129:J129),1))</f>
        <v/>
      </c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>
        <f>IF(COUNTA(G130:J130)&lt;4,"",ROUND(AVERAGE(G130:J130),1))</f>
        <v/>
      </c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>
        <f>IF(COUNTA(G131:J131)&lt;4,"",ROUND(AVERAGE(G131:J131),1))</f>
        <v/>
      </c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>
        <f>IF(COUNTA(G132:J132)&lt;4,"",ROUND(AVERAGE(G132:J132),1))</f>
        <v/>
      </c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>
        <f>IF(COUNTA(G133:J133)&lt;4,"",ROUND(AVERAGE(G133:J133),1))</f>
        <v/>
      </c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>
        <f>IF(COUNTA(G134:J134)&lt;4,"",ROUND(AVERAGE(G134:J134),1))</f>
        <v/>
      </c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>
        <f>IF(COUNTA(G135:J135)&lt;4,"",ROUND(AVERAGE(G135:J135),1))</f>
        <v/>
      </c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>
        <f>IF(COUNTA(G136:J136)&lt;4,"",ROUND(AVERAGE(G136:J136),1))</f>
        <v/>
      </c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>
        <f>IF(COUNTA(G137:J137)&lt;4,"",ROUND(AVERAGE(G137:J137),1))</f>
        <v/>
      </c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>
        <f>IF(COUNTA(G138:J138)&lt;4,"",ROUND(AVERAGE(G138:J138),1))</f>
        <v/>
      </c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>
        <f>IF(COUNTA(G139:J139)&lt;4,"",ROUND(AVERAGE(G139:J139),1))</f>
        <v/>
      </c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>
        <f>IF(COUNTA(G140:J140)&lt;4,"",ROUND(AVERAGE(G140:J140),1))</f>
        <v/>
      </c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>
        <f>IF(COUNTA(G141:J141)&lt;4,"",ROUND(AVERAGE(G141:J141),1))</f>
        <v/>
      </c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>
        <f>IF(COUNTA(G142:J142)&lt;4,"",ROUND(AVERAGE(G142:J142),1))</f>
        <v/>
      </c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>
        <f>IF(COUNTA(G143:J143)&lt;4,"",ROUND(AVERAGE(G143:J143),1))</f>
        <v/>
      </c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>
        <f>IF(COUNTA(G144:J144)&lt;4,"",ROUND(AVERAGE(G144:J144),1))</f>
        <v/>
      </c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>
        <f>IF(COUNTA(G145:J145)&lt;4,"",ROUND(AVERAGE(G145:J145),1))</f>
        <v/>
      </c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>
        <f>IF(COUNTA(G146:J146)&lt;4,"",ROUND(AVERAGE(G146:J146),1))</f>
        <v/>
      </c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>
        <f>IF(COUNTA(G147:J147)&lt;4,"",ROUND(AVERAGE(G147:J147),1))</f>
        <v/>
      </c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>
        <f>IF(COUNTA(G148:J148)&lt;4,"",ROUND(AVERAGE(G148:J148),1))</f>
        <v/>
      </c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>
        <f>IF(COUNTA(G149:J149)&lt;4,"",ROUND(AVERAGE(G149:J149),1))</f>
        <v/>
      </c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>
        <f>IF(COUNTA(G150:J150)&lt;4,"",ROUND(AVERAGE(G150:J150),1))</f>
        <v/>
      </c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>
        <f>IF(COUNTA(G151:J151)&lt;4,"",ROUND(AVERAGE(G151:J151),1))</f>
        <v/>
      </c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>
        <f>IF(COUNTA(G152:J152)&lt;4,"",ROUND(AVERAGE(G152:J152),1))</f>
        <v/>
      </c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>
        <f>IF(COUNTA(G153:J153)&lt;4,"",ROUND(AVERAGE(G153:J153),1))</f>
        <v/>
      </c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>
        <f>IF(COUNTA(G154:J154)&lt;4,"",ROUND(AVERAGE(G154:J154),1))</f>
        <v/>
      </c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>
        <f>IF(COUNTA(G155:J155)&lt;4,"",ROUND(AVERAGE(G155:J155),1))</f>
        <v/>
      </c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>
        <f>IF(COUNTA(G156:J156)&lt;4,"",ROUND(AVERAGE(G156:J156),1))</f>
        <v/>
      </c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>
        <f>IF(COUNTA(G157:J157)&lt;4,"",ROUND(AVERAGE(G157:J157),1))</f>
        <v/>
      </c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>
        <f>IF(COUNTA(G158:J158)&lt;4,"",ROUND(AVERAGE(G158:J158),1))</f>
        <v/>
      </c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>
        <f>IF(COUNTA(G159:J159)&lt;4,"",ROUND(AVERAGE(G159:J159),1))</f>
        <v/>
      </c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>
        <f>IF(COUNTA(G160:J160)&lt;4,"",ROUND(AVERAGE(G160:J160),1))</f>
        <v/>
      </c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>
        <f>IF(COUNTA(G161:J161)&lt;4,"",ROUND(AVERAGE(G161:J161),1))</f>
        <v/>
      </c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>
        <f>IF(COUNTA(G162:J162)&lt;4,"",ROUND(AVERAGE(G162:J162),1))</f>
        <v/>
      </c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>
        <f>IF(COUNTA(G163:J163)&lt;4,"",ROUND(AVERAGE(G163:J163),1))</f>
        <v/>
      </c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>
        <f>IF(COUNTA(G164:J164)&lt;4,"",ROUND(AVERAGE(G164:J164),1))</f>
        <v/>
      </c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>
        <f>IF(COUNTA(G165:J165)&lt;4,"",ROUND(AVERAGE(G165:J165),1))</f>
        <v/>
      </c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>
        <f>IF(COUNTA(G166:J166)&lt;4,"",ROUND(AVERAGE(G166:J166),1))</f>
        <v/>
      </c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>
        <f>IF(COUNTA(G167:J167)&lt;4,"",ROUND(AVERAGE(G167:J167),1))</f>
        <v/>
      </c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>
        <f>IF(COUNTA(G168:J168)&lt;4,"",ROUND(AVERAGE(G168:J168),1))</f>
        <v/>
      </c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>
        <f>IF(COUNTA(G169:J169)&lt;4,"",ROUND(AVERAGE(G169:J169),1))</f>
        <v/>
      </c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>
        <f>IF(COUNTA(G170:J170)&lt;4,"",ROUND(AVERAGE(G170:J170),1))</f>
        <v/>
      </c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>
        <f>IF(COUNTA(G171:J171)&lt;4,"",ROUND(AVERAGE(G171:J171),1))</f>
        <v/>
      </c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>
        <f>IF(COUNTA(G172:J172)&lt;4,"",ROUND(AVERAGE(G172:J172),1))</f>
        <v/>
      </c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>
        <f>IF(COUNTA(G173:J173)&lt;4,"",ROUND(AVERAGE(G173:J173),1))</f>
        <v/>
      </c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>
        <f>IF(COUNTA(G174:J174)&lt;4,"",ROUND(AVERAGE(G174:J174),1))</f>
        <v/>
      </c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>
        <f>IF(COUNTA(G175:J175)&lt;4,"",ROUND(AVERAGE(G175:J175),1))</f>
        <v/>
      </c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>
        <f>IF(COUNTA(G176:J176)&lt;4,"",ROUND(AVERAGE(G176:J176),1))</f>
        <v/>
      </c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>
        <f>IF(COUNTA(G177:J177)&lt;4,"",ROUND(AVERAGE(G177:J177),1))</f>
        <v/>
      </c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>
        <f>IF(COUNTA(G178:J178)&lt;4,"",ROUND(AVERAGE(G178:J178),1))</f>
        <v/>
      </c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>
        <f>IF(COUNTA(G179:J179)&lt;4,"",ROUND(AVERAGE(G179:J179),1))</f>
        <v/>
      </c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>
        <f>IF(COUNTA(G180:J180)&lt;4,"",ROUND(AVERAGE(G180:J180),1))</f>
        <v/>
      </c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>
        <f>IF(COUNTA(G181:J181)&lt;4,"",ROUND(AVERAGE(G181:J181),1))</f>
        <v/>
      </c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>
        <f>IF(COUNTA(G182:J182)&lt;4,"",ROUND(AVERAGE(G182:J182),1))</f>
        <v/>
      </c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>
        <f>IF(COUNTA(G183:J183)&lt;4,"",ROUND(AVERAGE(G183:J183),1))</f>
        <v/>
      </c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>
        <f>IF(COUNTA(G184:J184)&lt;4,"",ROUND(AVERAGE(G184:J184),1))</f>
        <v/>
      </c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>
        <f>IF(COUNTA(G185:J185)&lt;4,"",ROUND(AVERAGE(G185:J185),1))</f>
        <v/>
      </c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>
        <f>IF(COUNTA(G186:J186)&lt;4,"",ROUND(AVERAGE(G186:J186),1))</f>
        <v/>
      </c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>
        <f>IF(COUNTA(G187:J187)&lt;4,"",ROUND(AVERAGE(G187:J187),1))</f>
        <v/>
      </c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>
        <f>IF(COUNTA(G188:J188)&lt;4,"",ROUND(AVERAGE(G188:J188),1))</f>
        <v/>
      </c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>
        <f>IF(COUNTA(G189:J189)&lt;4,"",ROUND(AVERAGE(G189:J189),1))</f>
        <v/>
      </c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>
        <f>IF(COUNTA(G190:J190)&lt;4,"",ROUND(AVERAGE(G190:J190),1))</f>
        <v/>
      </c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>
        <f>IF(COUNTA(G191:J191)&lt;4,"",ROUND(AVERAGE(G191:J191),1))</f>
        <v/>
      </c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>
        <f>IF(COUNTA(G192:J192)&lt;4,"",ROUND(AVERAGE(G192:J192),1))</f>
        <v/>
      </c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>
        <f>IF(COUNTA(G193:J193)&lt;4,"",ROUND(AVERAGE(G193:J193),1))</f>
        <v/>
      </c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>
        <f>IF(COUNTA(G194:J194)&lt;4,"",ROUND(AVERAGE(G194:J194),1))</f>
        <v/>
      </c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>
        <f>IF(COUNTA(G195:J195)&lt;4,"",ROUND(AVERAGE(G195:J195),1))</f>
        <v/>
      </c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>
        <f>IF(COUNTA(G196:J196)&lt;4,"",ROUND(AVERAGE(G196:J196),1))</f>
        <v/>
      </c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>
        <f>IF(COUNTA(G197:J197)&lt;4,"",ROUND(AVERAGE(G197:J197),1))</f>
        <v/>
      </c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>
        <f>IF(COUNTA(G198:J198)&lt;4,"",ROUND(AVERAGE(G198:J198),1))</f>
        <v/>
      </c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>
        <f>IF(COUNTA(G199:J199)&lt;4,"",ROUND(AVERAGE(G199:J199),1))</f>
        <v/>
      </c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>
        <f>IF(COUNTA(G200:J200)&lt;4,"",ROUND(AVERAGE(G200:J200),1))</f>
        <v/>
      </c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>
        <f>IF(COUNTA(G201:J201)&lt;4,"",ROUND(AVERAGE(G201:J201),1))</f>
        <v/>
      </c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>
        <f>IF(COUNTA(G202:J202)&lt;4,"",ROUND(AVERAGE(G202:J202),1))</f>
        <v/>
      </c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>
        <f>IF(COUNTA(G203:J203)&lt;4,"",ROUND(AVERAGE(G203:J203),1))</f>
        <v/>
      </c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>
        <f>IF(COUNTA(G204:J204)&lt;4,"",ROUND(AVERAGE(G204:J204),1))</f>
        <v/>
      </c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>
        <f>IF(COUNTA(G205:J205)&lt;4,"",ROUND(AVERAGE(G205:J205),1))</f>
        <v/>
      </c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>
        <f>IF(COUNTA(G206:J206)&lt;4,"",ROUND(AVERAGE(G206:J206),1))</f>
        <v/>
      </c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>
        <f>IF(COUNTA(G207:J207)&lt;4,"",ROUND(AVERAGE(G207:J207),1))</f>
        <v/>
      </c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>
        <f>IF(COUNTA(G208:J208)&lt;4,"",ROUND(AVERAGE(G208:J208),1))</f>
        <v/>
      </c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>
        <f>IF(COUNTA(G209:J209)&lt;4,"",ROUND(AVERAGE(G209:J209),1))</f>
        <v/>
      </c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>
        <f>IF(COUNTA(G210:J210)&lt;4,"",ROUND(AVERAGE(G210:J210),1))</f>
        <v/>
      </c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>
        <f>IF(COUNTA(G211:J211)&lt;4,"",ROUND(AVERAGE(G211:J211),1))</f>
        <v/>
      </c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>
        <f>IF(COUNTA(G212:J212)&lt;4,"",ROUND(AVERAGE(G212:J212),1))</f>
        <v/>
      </c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>
        <f>IF(COUNTA(G213:J213)&lt;4,"",ROUND(AVERAGE(G213:J213),1))</f>
        <v/>
      </c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>
        <f>IF(COUNTA(G214:J214)&lt;4,"",ROUND(AVERAGE(G214:J214),1))</f>
        <v/>
      </c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>
        <f>IF(COUNTA(G215:J215)&lt;4,"",ROUND(AVERAGE(G215:J215),1))</f>
        <v/>
      </c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>
        <f>IF(COUNTA(G216:J216)&lt;4,"",ROUND(AVERAGE(G216:J216),1))</f>
        <v/>
      </c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>
        <f>IF(COUNTA(G217:J217)&lt;4,"",ROUND(AVERAGE(G217:J217),1))</f>
        <v/>
      </c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>
        <f>IF(COUNTA(G218:J218)&lt;4,"",ROUND(AVERAGE(G218:J218),1))</f>
        <v/>
      </c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>
        <f>IF(COUNTA(G219:J219)&lt;4,"",ROUND(AVERAGE(G219:J219),1))</f>
        <v/>
      </c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>
        <f>IF(COUNTA(G220:J220)&lt;4,"",ROUND(AVERAGE(G220:J220),1))</f>
        <v/>
      </c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>
        <f>IF(COUNTA(G221:J221)&lt;4,"",ROUND(AVERAGE(G221:J221),1))</f>
        <v/>
      </c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>
        <f>IF(COUNTA(G222:J222)&lt;4,"",ROUND(AVERAGE(G222:J222),1))</f>
        <v/>
      </c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>
        <f>IF(COUNTA(G223:J223)&lt;4,"",ROUND(AVERAGE(G223:J223),1))</f>
        <v/>
      </c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>
        <f>IF(COUNTA(G224:J224)&lt;4,"",ROUND(AVERAGE(G224:J224),1))</f>
        <v/>
      </c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>
        <f>IF(COUNTA(G225:J225)&lt;4,"",ROUND(AVERAGE(G225:J225),1))</f>
        <v/>
      </c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>
        <f>IF(COUNTA(G226:J226)&lt;4,"",ROUND(AVERAGE(G226:J226),1))</f>
        <v/>
      </c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>
        <f>IF(COUNTA(G227:J227)&lt;4,"",ROUND(AVERAGE(G227:J227),1))</f>
        <v/>
      </c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>
        <f>IF(COUNTA(G228:J228)&lt;4,"",ROUND(AVERAGE(G228:J228),1))</f>
        <v/>
      </c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>
        <f>IF(COUNTA(G229:J229)&lt;4,"",ROUND(AVERAGE(G229:J229),1))</f>
        <v/>
      </c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>
        <f>IF(COUNTA(G230:J230)&lt;4,"",ROUND(AVERAGE(G230:J230),1))</f>
        <v/>
      </c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>
        <f>IF(COUNTA(G231:J231)&lt;4,"",ROUND(AVERAGE(G231:J231),1))</f>
        <v/>
      </c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>
        <f>IF(COUNTA(G232:J232)&lt;4,"",ROUND(AVERAGE(G232:J232),1))</f>
        <v/>
      </c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>
        <f>IF(COUNTA(G233:J233)&lt;4,"",ROUND(AVERAGE(G233:J233),1))</f>
        <v/>
      </c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>
        <f>IF(COUNTA(G234:J234)&lt;4,"",ROUND(AVERAGE(G234:J234),1))</f>
        <v/>
      </c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>
        <f>IF(COUNTA(G235:J235)&lt;4,"",ROUND(AVERAGE(G235:J235),1))</f>
        <v/>
      </c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>
        <f>IF(COUNTA(G236:J236)&lt;4,"",ROUND(AVERAGE(G236:J236),1))</f>
        <v/>
      </c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>
        <f>IF(COUNTA(G237:J237)&lt;4,"",ROUND(AVERAGE(G237:J237),1))</f>
        <v/>
      </c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>
        <f>IF(COUNTA(G238:J238)&lt;4,"",ROUND(AVERAGE(G238:J238),1))</f>
        <v/>
      </c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>
        <f>IF(COUNTA(G239:J239)&lt;4,"",ROUND(AVERAGE(G239:J239),1))</f>
        <v/>
      </c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>
        <f>IF(COUNTA(G240:J240)&lt;4,"",ROUND(AVERAGE(G240:J240),1))</f>
        <v/>
      </c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>
        <f>IF(COUNTA(G241:J241)&lt;4,"",ROUND(AVERAGE(G241:J241),1))</f>
        <v/>
      </c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>
        <f>IF(COUNTA(G242:J242)&lt;4,"",ROUND(AVERAGE(G242:J242),1))</f>
        <v/>
      </c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>
        <f>IF(COUNTA(G243:J243)&lt;4,"",ROUND(AVERAGE(G243:J243),1))</f>
        <v/>
      </c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>
        <f>IF(COUNTA(G244:J244)&lt;4,"",ROUND(AVERAGE(G244:J244),1))</f>
        <v/>
      </c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>
        <f>IF(COUNTA(G245:J245)&lt;4,"",ROUND(AVERAGE(G245:J245),1))</f>
        <v/>
      </c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>
        <f>IF(COUNTA(G246:J246)&lt;4,"",ROUND(AVERAGE(G246:J246),1))</f>
        <v/>
      </c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>
        <f>IF(COUNTA(G247:J247)&lt;4,"",ROUND(AVERAGE(G247:J247),1))</f>
        <v/>
      </c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>
        <f>IF(COUNTA(G248:J248)&lt;4,"",ROUND(AVERAGE(G248:J248),1))</f>
        <v/>
      </c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>
        <f>IF(COUNTA(G249:J249)&lt;4,"",ROUND(AVERAGE(G249:J249),1))</f>
        <v/>
      </c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>
        <f>IF(COUNTA(G250:J250)&lt;4,"",ROUND(AVERAGE(G250:J250),1))</f>
        <v/>
      </c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>
        <f>IF(COUNTA(G251:J251)&lt;4,"",ROUND(AVERAGE(G251:J251),1))</f>
        <v/>
      </c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>
        <f>IF(COUNTA(G252:J252)&lt;4,"",ROUND(AVERAGE(G252:J252),1))</f>
        <v/>
      </c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>
        <f>IF(COUNTA(G253:J253)&lt;4,"",ROUND(AVERAGE(G253:J253),1))</f>
        <v/>
      </c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>
        <f>IF(COUNTA(G254:J254)&lt;4,"",ROUND(AVERAGE(G254:J254),1))</f>
        <v/>
      </c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>
        <f>IF(COUNTA(G255:J255)&lt;4,"",ROUND(AVERAGE(G255:J255),1))</f>
        <v/>
      </c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>
        <f>IF(COUNTA(G256:J256)&lt;4,"",ROUND(AVERAGE(G256:J256),1))</f>
        <v/>
      </c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>
        <f>IF(COUNTA(G257:J257)&lt;4,"",ROUND(AVERAGE(G257:J257),1))</f>
        <v/>
      </c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>
        <f>IF(COUNTA(G258:J258)&lt;4,"",ROUND(AVERAGE(G258:J258),1))</f>
        <v/>
      </c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>
        <f>IF(COUNTA(G259:J259)&lt;4,"",ROUND(AVERAGE(G259:J259),1))</f>
        <v/>
      </c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>
        <f>IF(COUNTA(G260:J260)&lt;4,"",ROUND(AVERAGE(G260:J260),1))</f>
        <v/>
      </c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>
        <f>IF(COUNTA(G261:J261)&lt;4,"",ROUND(AVERAGE(G261:J261),1))</f>
        <v/>
      </c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>
        <f>IF(COUNTA(G262:J262)&lt;4,"",ROUND(AVERAGE(G262:J262),1))</f>
        <v/>
      </c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>
        <f>IF(COUNTA(G263:J263)&lt;4,"",ROUND(AVERAGE(G263:J263),1))</f>
        <v/>
      </c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>
        <f>IF(COUNTA(G264:J264)&lt;4,"",ROUND(AVERAGE(G264:J264),1))</f>
        <v/>
      </c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>
        <f>IF(COUNTA(G265:J265)&lt;4,"",ROUND(AVERAGE(G265:J265),1))</f>
        <v/>
      </c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>
        <f>IF(COUNTA(G266:J266)&lt;4,"",ROUND(AVERAGE(G266:J266),1))</f>
        <v/>
      </c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>
        <f>IF(COUNTA(G267:J267)&lt;4,"",ROUND(AVERAGE(G267:J267),1))</f>
        <v/>
      </c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>
        <f>IF(COUNTA(G268:J268)&lt;4,"",ROUND(AVERAGE(G268:J268),1))</f>
        <v/>
      </c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>
        <f>IF(COUNTA(G269:J269)&lt;4,"",ROUND(AVERAGE(G269:J269),1))</f>
        <v/>
      </c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>
        <f>IF(COUNTA(G270:J270)&lt;4,"",ROUND(AVERAGE(G270:J270),1))</f>
        <v/>
      </c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>
        <f>IF(COUNTA(G271:J271)&lt;4,"",ROUND(AVERAGE(G271:J271),1))</f>
        <v/>
      </c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>
        <f>IF(COUNTA(G272:J272)&lt;4,"",ROUND(AVERAGE(G272:J272),1))</f>
        <v/>
      </c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>
        <f>IF(COUNTA(G273:J273)&lt;4,"",ROUND(AVERAGE(G273:J273),1))</f>
        <v/>
      </c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>
        <f>IF(COUNTA(G274:J274)&lt;4,"",ROUND(AVERAGE(G274:J274),1))</f>
        <v/>
      </c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>
        <f>IF(COUNTA(G275:J275)&lt;4,"",ROUND(AVERAGE(G275:J275),1))</f>
        <v/>
      </c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>
        <f>IF(COUNTA(G276:J276)&lt;4,"",ROUND(AVERAGE(G276:J276),1))</f>
        <v/>
      </c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>
        <f>IF(COUNTA(G277:J277)&lt;4,"",ROUND(AVERAGE(G277:J277),1))</f>
        <v/>
      </c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>
        <f>IF(COUNTA(G278:J278)&lt;4,"",ROUND(AVERAGE(G278:J278),1))</f>
        <v/>
      </c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>
        <f>IF(COUNTA(G279:J279)&lt;4,"",ROUND(AVERAGE(G279:J279),1))</f>
        <v/>
      </c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>
        <f>IF(COUNTA(G280:J280)&lt;4,"",ROUND(AVERAGE(G280:J280),1))</f>
        <v/>
      </c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>
        <f>IF(COUNTA(G281:J281)&lt;4,"",ROUND(AVERAGE(G281:J281),1))</f>
        <v/>
      </c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>
        <f>IF(COUNTA(G282:J282)&lt;4,"",ROUND(AVERAGE(G282:J282),1))</f>
        <v/>
      </c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>
        <f>IF(COUNTA(G283:J283)&lt;4,"",ROUND(AVERAGE(G283:J283),1))</f>
        <v/>
      </c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>
        <f>IF(COUNTA(G284:J284)&lt;4,"",ROUND(AVERAGE(G284:J284),1))</f>
        <v/>
      </c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>
        <f>IF(COUNTA(G285:J285)&lt;4,"",ROUND(AVERAGE(G285:J285),1))</f>
        <v/>
      </c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>
        <f>IF(COUNTA(G286:J286)&lt;4,"",ROUND(AVERAGE(G286:J286),1))</f>
        <v/>
      </c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>
        <f>IF(COUNTA(G287:J287)&lt;4,"",ROUND(AVERAGE(G287:J287),1))</f>
        <v/>
      </c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>
        <f>IF(COUNTA(G288:J288)&lt;4,"",ROUND(AVERAGE(G288:J288),1))</f>
        <v/>
      </c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>
        <f>IF(COUNTA(G289:J289)&lt;4,"",ROUND(AVERAGE(G289:J289),1))</f>
        <v/>
      </c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>
        <f>IF(COUNTA(G290:J290)&lt;4,"",ROUND(AVERAGE(G290:J290),1))</f>
        <v/>
      </c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>
        <f>IF(COUNTA(G291:J291)&lt;4,"",ROUND(AVERAGE(G291:J291),1))</f>
        <v/>
      </c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>
        <f>IF(COUNTA(G292:J292)&lt;4,"",ROUND(AVERAGE(G292:J292),1))</f>
        <v/>
      </c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>
        <f>IF(COUNTA(G293:J293)&lt;4,"",ROUND(AVERAGE(G293:J293),1))</f>
        <v/>
      </c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>
        <f>IF(COUNTA(G294:J294)&lt;4,"",ROUND(AVERAGE(G294:J294),1))</f>
        <v/>
      </c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>
        <f>IF(COUNTA(G295:J295)&lt;4,"",ROUND(AVERAGE(G295:J295),1))</f>
        <v/>
      </c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>
        <f>IF(COUNTA(G296:J296)&lt;4,"",ROUND(AVERAGE(G296:J296),1))</f>
        <v/>
      </c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>
        <f>IF(COUNTA(G297:J297)&lt;4,"",ROUND(AVERAGE(G297:J297),1))</f>
        <v/>
      </c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>
        <f>IF(COUNTA(G298:J298)&lt;4,"",ROUND(AVERAGE(G298:J298),1))</f>
        <v/>
      </c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>
        <f>IF(COUNTA(G299:J299)&lt;4,"",ROUND(AVERAGE(G299:J299),1))</f>
        <v/>
      </c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>
        <f>IF(COUNTA(G300:J300)&lt;4,"",ROUND(AVERAGE(G300:J300),1))</f>
        <v/>
      </c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>
        <f>IF(COUNTA(G301:J301)&lt;4,"",ROUND(AVERAGE(G301:J301),1))</f>
        <v/>
      </c>
      <c r="L301" s="2" t="n"/>
      <c r="M301" s="2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>
        <f>IF(COUNTA(G302:J302)&lt;4,"",ROUND(AVERAGE(G302:J302),1))</f>
        <v/>
      </c>
      <c r="L302" s="2" t="n"/>
      <c r="M302" s="2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>
        <f>IF(COUNTA(G303:J303)&lt;4,"",ROUND(AVERAGE(G303:J303),1))</f>
        <v/>
      </c>
      <c r="L303" s="2" t="n"/>
      <c r="M303" s="2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>
        <f>IF(COUNTA(G304:J304)&lt;4,"",ROUND(AVERAGE(G304:J304),1))</f>
        <v/>
      </c>
      <c r="L304" s="2" t="n"/>
      <c r="M304" s="2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>
        <f>IF(COUNTA(G305:J305)&lt;4,"",ROUND(AVERAGE(G305:J305),1))</f>
        <v/>
      </c>
      <c r="L305" s="2" t="n"/>
      <c r="M305" s="2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>
        <f>IF(COUNTA(G306:J306)&lt;4,"",ROUND(AVERAGE(G306:J306),1))</f>
        <v/>
      </c>
      <c r="L306" s="2" t="n"/>
      <c r="M306" s="2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>
        <f>IF(COUNTA(G307:J307)&lt;4,"",ROUND(AVERAGE(G307:J307),1))</f>
        <v/>
      </c>
      <c r="L307" s="2" t="n"/>
      <c r="M307" s="2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>
        <f>IF(COUNTA(G308:J308)&lt;4,"",ROUND(AVERAGE(G308:J308),1))</f>
        <v/>
      </c>
      <c r="L308" s="2" t="n"/>
      <c r="M308" s="2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>
        <f>IF(COUNTA(G309:J309)&lt;4,"",ROUND(AVERAGE(G309:J309),1))</f>
        <v/>
      </c>
      <c r="L309" s="2" t="n"/>
      <c r="M309" s="2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>
        <f>IF(COUNTA(G310:J310)&lt;4,"",ROUND(AVERAGE(G310:J310),1))</f>
        <v/>
      </c>
      <c r="L310" s="2" t="n"/>
      <c r="M310" s="2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>
        <f>IF(COUNTA(G311:J311)&lt;4,"",ROUND(AVERAGE(G311:J311),1))</f>
        <v/>
      </c>
      <c r="L311" s="2" t="n"/>
      <c r="M311" s="2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>
        <f>IF(COUNTA(G312:J312)&lt;4,"",ROUND(AVERAGE(G312:J312),1))</f>
        <v/>
      </c>
      <c r="L312" s="2" t="n"/>
      <c r="M312" s="2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>
        <f>IF(COUNTA(G313:J313)&lt;4,"",ROUND(AVERAGE(G313:J313),1))</f>
        <v/>
      </c>
      <c r="L313" s="2" t="n"/>
      <c r="M313" s="2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>
        <f>IF(COUNTA(G314:J314)&lt;4,"",ROUND(AVERAGE(G314:J314),1))</f>
        <v/>
      </c>
      <c r="L314" s="2" t="n"/>
      <c r="M314" s="2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>
        <f>IF(COUNTA(G315:J315)&lt;4,"",ROUND(AVERAGE(G315:J315),1))</f>
        <v/>
      </c>
      <c r="L315" s="2" t="n"/>
      <c r="M315" s="2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>
        <f>IF(COUNTA(G316:J316)&lt;4,"",ROUND(AVERAGE(G316:J316),1))</f>
        <v/>
      </c>
      <c r="L316" s="2" t="n"/>
      <c r="M316" s="2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>
        <f>IF(COUNTA(G317:J317)&lt;4,"",ROUND(AVERAGE(G317:J317),1))</f>
        <v/>
      </c>
      <c r="L317" s="2" t="n"/>
      <c r="M317" s="2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>
        <f>IF(COUNTA(G318:J318)&lt;4,"",ROUND(AVERAGE(G318:J318),1))</f>
        <v/>
      </c>
      <c r="L318" s="2" t="n"/>
      <c r="M318" s="2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>
        <f>IF(COUNTA(G319:J319)&lt;4,"",ROUND(AVERAGE(G319:J319),1))</f>
        <v/>
      </c>
      <c r="L319" s="2" t="n"/>
      <c r="M319" s="2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>
        <f>IF(COUNTA(G320:J320)&lt;4,"",ROUND(AVERAGE(G320:J320),1))</f>
        <v/>
      </c>
      <c r="L320" s="2" t="n"/>
      <c r="M320" s="2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>
        <f>IF(COUNTA(G321:J321)&lt;4,"",ROUND(AVERAGE(G321:J321),1))</f>
        <v/>
      </c>
      <c r="L321" s="2" t="n"/>
      <c r="M321" s="2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>
        <f>IF(COUNTA(G322:J322)&lt;4,"",ROUND(AVERAGE(G322:J322),1))</f>
        <v/>
      </c>
      <c r="L322" s="2" t="n"/>
      <c r="M322" s="2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>
        <f>IF(COUNTA(G323:J323)&lt;4,"",ROUND(AVERAGE(G323:J323),1))</f>
        <v/>
      </c>
      <c r="L323" s="2" t="n"/>
      <c r="M323" s="2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>
        <f>IF(COUNTA(G324:J324)&lt;4,"",ROUND(AVERAGE(G324:J324),1))</f>
        <v/>
      </c>
      <c r="L324" s="2" t="n"/>
      <c r="M324" s="2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>
        <f>IF(COUNTA(G325:J325)&lt;4,"",ROUND(AVERAGE(G325:J325),1))</f>
        <v/>
      </c>
      <c r="L325" s="2" t="n"/>
      <c r="M325" s="2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>
        <f>IF(COUNTA(G326:J326)&lt;4,"",ROUND(AVERAGE(G326:J326),1))</f>
        <v/>
      </c>
      <c r="L326" s="2" t="n"/>
      <c r="M326" s="2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>
        <f>IF(COUNTA(G327:J327)&lt;4,"",ROUND(AVERAGE(G327:J327),1))</f>
        <v/>
      </c>
      <c r="L327" s="2" t="n"/>
      <c r="M327" s="2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>
        <f>IF(COUNTA(G328:J328)&lt;4,"",ROUND(AVERAGE(G328:J328),1))</f>
        <v/>
      </c>
      <c r="L328" s="2" t="n"/>
      <c r="M328" s="2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>
        <f>IF(COUNTA(G329:J329)&lt;4,"",ROUND(AVERAGE(G329:J329),1))</f>
        <v/>
      </c>
      <c r="L329" s="2" t="n"/>
      <c r="M329" s="2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>
        <f>IF(COUNTA(G330:J330)&lt;4,"",ROUND(AVERAGE(G330:J330),1))</f>
        <v/>
      </c>
      <c r="L330" s="2" t="n"/>
      <c r="M330" s="2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>
        <f>IF(COUNTA(G331:J331)&lt;4,"",ROUND(AVERAGE(G331:J331),1))</f>
        <v/>
      </c>
      <c r="L331" s="2" t="n"/>
      <c r="M331" s="2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>
        <f>IF(COUNTA(G332:J332)&lt;4,"",ROUND(AVERAGE(G332:J332),1))</f>
        <v/>
      </c>
      <c r="L332" s="2" t="n"/>
      <c r="M332" s="2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>
        <f>IF(COUNTA(G333:J333)&lt;4,"",ROUND(AVERAGE(G333:J333),1))</f>
        <v/>
      </c>
      <c r="L333" s="2" t="n"/>
      <c r="M333" s="2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>
        <f>IF(COUNTA(G334:J334)&lt;4,"",ROUND(AVERAGE(G334:J334),1))</f>
        <v/>
      </c>
      <c r="L334" s="2" t="n"/>
      <c r="M334" s="2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>
        <f>IF(COUNTA(G335:J335)&lt;4,"",ROUND(AVERAGE(G335:J335),1))</f>
        <v/>
      </c>
      <c r="L335" s="2" t="n"/>
      <c r="M335" s="2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>
        <f>IF(COUNTA(G336:J336)&lt;4,"",ROUND(AVERAGE(G336:J336),1))</f>
        <v/>
      </c>
      <c r="L336" s="2" t="n"/>
      <c r="M336" s="2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>
        <f>IF(COUNTA(G337:J337)&lt;4,"",ROUND(AVERAGE(G337:J337),1))</f>
        <v/>
      </c>
      <c r="L337" s="2" t="n"/>
      <c r="M337" s="2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>
        <f>IF(COUNTA(G338:J338)&lt;4,"",ROUND(AVERAGE(G338:J338),1))</f>
        <v/>
      </c>
      <c r="L338" s="2" t="n"/>
      <c r="M338" s="2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>
        <f>IF(COUNTA(G339:J339)&lt;4,"",ROUND(AVERAGE(G339:J339),1))</f>
        <v/>
      </c>
      <c r="L339" s="2" t="n"/>
      <c r="M339" s="2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>
        <f>IF(COUNTA(G340:J340)&lt;4,"",ROUND(AVERAGE(G340:J340),1))</f>
        <v/>
      </c>
      <c r="L340" s="2" t="n"/>
      <c r="M340" s="2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>
        <f>IF(COUNTA(G341:J341)&lt;4,"",ROUND(AVERAGE(G341:J341),1))</f>
        <v/>
      </c>
      <c r="L341" s="2" t="n"/>
      <c r="M341" s="2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>
        <f>IF(COUNTA(G342:J342)&lt;4,"",ROUND(AVERAGE(G342:J342),1))</f>
        <v/>
      </c>
      <c r="L342" s="2" t="n"/>
      <c r="M342" s="2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>
        <f>IF(COUNTA(G343:J343)&lt;4,"",ROUND(AVERAGE(G343:J343),1))</f>
        <v/>
      </c>
      <c r="L343" s="2" t="n"/>
      <c r="M343" s="2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>
        <f>IF(COUNTA(G344:J344)&lt;4,"",ROUND(AVERAGE(G344:J344),1))</f>
        <v/>
      </c>
      <c r="L344" s="2" t="n"/>
      <c r="M344" s="2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>
        <f>IF(COUNTA(G345:J345)&lt;4,"",ROUND(AVERAGE(G345:J345),1))</f>
        <v/>
      </c>
      <c r="L345" s="2" t="n"/>
      <c r="M345" s="2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>
        <f>IF(COUNTA(G346:J346)&lt;4,"",ROUND(AVERAGE(G346:J346),1))</f>
        <v/>
      </c>
      <c r="L346" s="2" t="n"/>
      <c r="M346" s="2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>
        <f>IF(COUNTA(G347:J347)&lt;4,"",ROUND(AVERAGE(G347:J347),1))</f>
        <v/>
      </c>
      <c r="L347" s="2" t="n"/>
      <c r="M347" s="2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>
        <f>IF(COUNTA(G348:J348)&lt;4,"",ROUND(AVERAGE(G348:J348),1))</f>
        <v/>
      </c>
      <c r="L348" s="2" t="n"/>
      <c r="M348" s="2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>
        <f>IF(COUNTA(G349:J349)&lt;4,"",ROUND(AVERAGE(G349:J349),1))</f>
        <v/>
      </c>
      <c r="L349" s="2" t="n"/>
      <c r="M349" s="2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>
        <f>IF(COUNTA(G350:J350)&lt;4,"",ROUND(AVERAGE(G350:J350),1))</f>
        <v/>
      </c>
      <c r="L350" s="2" t="n"/>
      <c r="M350" s="2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>
        <f>IF(COUNTA(G351:J351)&lt;4,"",ROUND(AVERAGE(G351:J351),1))</f>
        <v/>
      </c>
      <c r="L351" s="2" t="n"/>
      <c r="M351" s="2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>
        <f>IF(COUNTA(G352:J352)&lt;4,"",ROUND(AVERAGE(G352:J352),1))</f>
        <v/>
      </c>
      <c r="L352" s="2" t="n"/>
      <c r="M352" s="2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>
        <f>IF(COUNTA(G353:J353)&lt;4,"",ROUND(AVERAGE(G353:J353),1))</f>
        <v/>
      </c>
      <c r="L353" s="2" t="n"/>
      <c r="M353" s="2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>
        <f>IF(COUNTA(G354:J354)&lt;4,"",ROUND(AVERAGE(G354:J354),1))</f>
        <v/>
      </c>
      <c r="L354" s="2" t="n"/>
      <c r="M354" s="2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>
        <f>IF(COUNTA(G355:J355)&lt;4,"",ROUND(AVERAGE(G355:J355),1))</f>
        <v/>
      </c>
      <c r="L355" s="2" t="n"/>
      <c r="M355" s="2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>
        <f>IF(COUNTA(G356:J356)&lt;4,"",ROUND(AVERAGE(G356:J356),1))</f>
        <v/>
      </c>
      <c r="L356" s="2" t="n"/>
      <c r="M356" s="2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>
        <f>IF(COUNTA(G357:J357)&lt;4,"",ROUND(AVERAGE(G357:J357),1))</f>
        <v/>
      </c>
      <c r="L357" s="2" t="n"/>
      <c r="M357" s="2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>
        <f>IF(COUNTA(G358:J358)&lt;4,"",ROUND(AVERAGE(G358:J358),1))</f>
        <v/>
      </c>
      <c r="L358" s="2" t="n"/>
      <c r="M358" s="2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>
        <f>IF(COUNTA(G359:J359)&lt;4,"",ROUND(AVERAGE(G359:J359),1))</f>
        <v/>
      </c>
      <c r="L359" s="2" t="n"/>
      <c r="M359" s="2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>
        <f>IF(COUNTA(G360:J360)&lt;4,"",ROUND(AVERAGE(G360:J360),1))</f>
        <v/>
      </c>
      <c r="L360" s="2" t="n"/>
      <c r="M360" s="2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>
        <f>IF(COUNTA(G361:J361)&lt;4,"",ROUND(AVERAGE(G361:J361),1))</f>
        <v/>
      </c>
      <c r="L361" s="2" t="n"/>
      <c r="M361" s="2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>
        <f>IF(COUNTA(G362:J362)&lt;4,"",ROUND(AVERAGE(G362:J362),1))</f>
        <v/>
      </c>
      <c r="L362" s="2" t="n"/>
      <c r="M362" s="2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>
        <f>IF(COUNTA(G363:J363)&lt;4,"",ROUND(AVERAGE(G363:J363),1))</f>
        <v/>
      </c>
      <c r="L363" s="2" t="n"/>
      <c r="M363" s="2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>
        <f>IF(COUNTA(G364:J364)&lt;4,"",ROUND(AVERAGE(G364:J364),1))</f>
        <v/>
      </c>
      <c r="L364" s="2" t="n"/>
      <c r="M364" s="2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>
        <f>IF(COUNTA(G365:J365)&lt;4,"",ROUND(AVERAGE(G365:J365),1))</f>
        <v/>
      </c>
      <c r="L365" s="2" t="n"/>
      <c r="M365" s="2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>
        <f>IF(COUNTA(G366:J366)&lt;4,"",ROUND(AVERAGE(G366:J366),1))</f>
        <v/>
      </c>
      <c r="L366" s="2" t="n"/>
      <c r="M366" s="2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>
        <f>IF(COUNTA(G367:J367)&lt;4,"",ROUND(AVERAGE(G367:J367),1))</f>
        <v/>
      </c>
      <c r="L367" s="2" t="n"/>
      <c r="M367" s="2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>
        <f>IF(COUNTA(G368:J368)&lt;4,"",ROUND(AVERAGE(G368:J368),1))</f>
        <v/>
      </c>
      <c r="L368" s="2" t="n"/>
      <c r="M368" s="2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>
        <f>IF(COUNTA(G369:J369)&lt;4,"",ROUND(AVERAGE(G369:J369),1))</f>
        <v/>
      </c>
      <c r="L369" s="2" t="n"/>
      <c r="M369" s="2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>
        <f>IF(COUNTA(G370:J370)&lt;4,"",ROUND(AVERAGE(G370:J370),1))</f>
        <v/>
      </c>
      <c r="L370" s="2" t="n"/>
      <c r="M370" s="2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>
        <f>IF(COUNTA(G371:J371)&lt;4,"",ROUND(AVERAGE(G371:J371),1))</f>
        <v/>
      </c>
      <c r="L371" s="2" t="n"/>
      <c r="M371" s="2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>
        <f>IF(COUNTA(G372:J372)&lt;4,"",ROUND(AVERAGE(G372:J372),1))</f>
        <v/>
      </c>
      <c r="L372" s="2" t="n"/>
      <c r="M372" s="2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>
        <f>IF(COUNTA(G373:J373)&lt;4,"",ROUND(AVERAGE(G373:J373),1))</f>
        <v/>
      </c>
      <c r="L373" s="2" t="n"/>
      <c r="M373" s="2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>
        <f>IF(COUNTA(G374:J374)&lt;4,"",ROUND(AVERAGE(G374:J374),1))</f>
        <v/>
      </c>
      <c r="L374" s="2" t="n"/>
      <c r="M374" s="2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>
        <f>IF(COUNTA(G375:J375)&lt;4,"",ROUND(AVERAGE(G375:J375),1))</f>
        <v/>
      </c>
      <c r="L375" s="2" t="n"/>
      <c r="M375" s="2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>
        <f>IF(COUNTA(G376:J376)&lt;4,"",ROUND(AVERAGE(G376:J376),1))</f>
        <v/>
      </c>
      <c r="L376" s="2" t="n"/>
      <c r="M376" s="2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>
        <f>IF(COUNTA(G377:J377)&lt;4,"",ROUND(AVERAGE(G377:J377),1))</f>
        <v/>
      </c>
      <c r="L377" s="2" t="n"/>
      <c r="M377" s="2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>
        <f>IF(COUNTA(G378:J378)&lt;4,"",ROUND(AVERAGE(G378:J378),1))</f>
        <v/>
      </c>
      <c r="L378" s="2" t="n"/>
      <c r="M378" s="2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>
        <f>IF(COUNTA(G379:J379)&lt;4,"",ROUND(AVERAGE(G379:J379),1))</f>
        <v/>
      </c>
      <c r="L379" s="2" t="n"/>
      <c r="M379" s="2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>
        <f>IF(COUNTA(G380:J380)&lt;4,"",ROUND(AVERAGE(G380:J380),1))</f>
        <v/>
      </c>
      <c r="L380" s="2" t="n"/>
      <c r="M380" s="2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>
        <f>IF(COUNTA(G381:J381)&lt;4,"",ROUND(AVERAGE(G381:J381),1))</f>
        <v/>
      </c>
      <c r="L381" s="2" t="n"/>
      <c r="M381" s="2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>
        <f>IF(COUNTA(G382:J382)&lt;4,"",ROUND(AVERAGE(G382:J382),1))</f>
        <v/>
      </c>
      <c r="L382" s="2" t="n"/>
      <c r="M382" s="2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>
        <f>IF(COUNTA(G383:J383)&lt;4,"",ROUND(AVERAGE(G383:J383),1))</f>
        <v/>
      </c>
      <c r="L383" s="2" t="n"/>
      <c r="M383" s="2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>
        <f>IF(COUNTA(G384:J384)&lt;4,"",ROUND(AVERAGE(G384:J384),1))</f>
        <v/>
      </c>
      <c r="L384" s="2" t="n"/>
      <c r="M384" s="2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>
        <f>IF(COUNTA(G385:J385)&lt;4,"",ROUND(AVERAGE(G385:J385),1))</f>
        <v/>
      </c>
      <c r="L385" s="2" t="n"/>
      <c r="M385" s="2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>
        <f>IF(COUNTA(G386:J386)&lt;4,"",ROUND(AVERAGE(G386:J386),1))</f>
        <v/>
      </c>
      <c r="L386" s="2" t="n"/>
      <c r="M386" s="2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>
        <f>IF(COUNTA(G387:J387)&lt;4,"",ROUND(AVERAGE(G387:J387),1))</f>
        <v/>
      </c>
      <c r="L387" s="2" t="n"/>
      <c r="M387" s="2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>
        <f>IF(COUNTA(G388:J388)&lt;4,"",ROUND(AVERAGE(G388:J388),1))</f>
        <v/>
      </c>
      <c r="L388" s="2" t="n"/>
      <c r="M388" s="2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>
        <f>IF(COUNTA(G389:J389)&lt;4,"",ROUND(AVERAGE(G389:J389),1))</f>
        <v/>
      </c>
      <c r="L389" s="2" t="n"/>
      <c r="M389" s="2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>
        <f>IF(COUNTA(G390:J390)&lt;4,"",ROUND(AVERAGE(G390:J390),1))</f>
        <v/>
      </c>
      <c r="L390" s="2" t="n"/>
      <c r="M390" s="2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>
        <f>IF(COUNTA(G391:J391)&lt;4,"",ROUND(AVERAGE(G391:J391),1))</f>
        <v/>
      </c>
      <c r="L391" s="2" t="n"/>
      <c r="M391" s="2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>
        <f>IF(COUNTA(G392:J392)&lt;4,"",ROUND(AVERAGE(G392:J392),1))</f>
        <v/>
      </c>
      <c r="L392" s="2" t="n"/>
      <c r="M392" s="2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>
        <f>IF(COUNTA(G393:J393)&lt;4,"",ROUND(AVERAGE(G393:J393),1))</f>
        <v/>
      </c>
      <c r="L393" s="2" t="n"/>
      <c r="M393" s="2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>
        <f>IF(COUNTA(G394:J394)&lt;4,"",ROUND(AVERAGE(G394:J394),1))</f>
        <v/>
      </c>
      <c r="L394" s="2" t="n"/>
      <c r="M394" s="2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>
        <f>IF(COUNTA(G395:J395)&lt;4,"",ROUND(AVERAGE(G395:J395),1))</f>
        <v/>
      </c>
      <c r="L395" s="2" t="n"/>
      <c r="M395" s="2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>
        <f>IF(COUNTA(G396:J396)&lt;4,"",ROUND(AVERAGE(G396:J396),1))</f>
        <v/>
      </c>
      <c r="L396" s="2" t="n"/>
      <c r="M396" s="2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>
        <f>IF(COUNTA(G397:J397)&lt;4,"",ROUND(AVERAGE(G397:J397),1))</f>
        <v/>
      </c>
      <c r="L397" s="2" t="n"/>
      <c r="M397" s="2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>
        <f>IF(COUNTA(G398:J398)&lt;4,"",ROUND(AVERAGE(G398:J398),1))</f>
        <v/>
      </c>
      <c r="L398" s="2" t="n"/>
      <c r="M398" s="2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>
        <f>IF(COUNTA(G399:J399)&lt;4,"",ROUND(AVERAGE(G399:J399),1))</f>
        <v/>
      </c>
      <c r="L399" s="2" t="n"/>
      <c r="M399" s="2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>
        <f>IF(COUNTA(G400:J400)&lt;4,"",ROUND(AVERAGE(G400:J400),1))</f>
        <v/>
      </c>
      <c r="L400" s="2" t="n"/>
      <c r="M400" s="2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>
        <f>IF(COUNTA(G401:J401)&lt;4,"",ROUND(AVERAGE(G401:J401),1))</f>
        <v/>
      </c>
      <c r="L401" s="2" t="n"/>
      <c r="M401" s="2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>
        <f>IF(COUNTA(G402:J402)&lt;4,"",ROUND(AVERAGE(G402:J402),1))</f>
        <v/>
      </c>
      <c r="L402" s="2" t="n"/>
      <c r="M402" s="2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>
        <f>IF(COUNTA(G403:J403)&lt;4,"",ROUND(AVERAGE(G403:J403),1))</f>
        <v/>
      </c>
      <c r="L403" s="2" t="n"/>
      <c r="M403" s="2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>
        <f>IF(COUNTA(G404:J404)&lt;4,"",ROUND(AVERAGE(G404:J404),1))</f>
        <v/>
      </c>
      <c r="L404" s="2" t="n"/>
      <c r="M404" s="2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>
        <f>IF(COUNTA(G405:J405)&lt;4,"",ROUND(AVERAGE(G405:J405),1))</f>
        <v/>
      </c>
      <c r="L405" s="2" t="n"/>
      <c r="M405" s="2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>
        <f>IF(COUNTA(G406:J406)&lt;4,"",ROUND(AVERAGE(G406:J406),1))</f>
        <v/>
      </c>
      <c r="L406" s="2" t="n"/>
      <c r="M406" s="2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>
        <f>IF(COUNTA(G407:J407)&lt;4,"",ROUND(AVERAGE(G407:J407),1))</f>
        <v/>
      </c>
      <c r="L407" s="2" t="n"/>
      <c r="M407" s="2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>
        <f>IF(COUNTA(G408:J408)&lt;4,"",ROUND(AVERAGE(G408:J408),1))</f>
        <v/>
      </c>
      <c r="L408" s="2" t="n"/>
      <c r="M408" s="2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>
        <f>IF(COUNTA(G409:J409)&lt;4,"",ROUND(AVERAGE(G409:J409),1))</f>
        <v/>
      </c>
      <c r="L409" s="2" t="n"/>
      <c r="M409" s="2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>
        <f>IF(COUNTA(G410:J410)&lt;4,"",ROUND(AVERAGE(G410:J410),1))</f>
        <v/>
      </c>
      <c r="L410" s="2" t="n"/>
      <c r="M410" s="2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>
        <f>IF(COUNTA(G411:J411)&lt;4,"",ROUND(AVERAGE(G411:J411),1))</f>
        <v/>
      </c>
      <c r="L411" s="2" t="n"/>
      <c r="M411" s="2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>
        <f>IF(COUNTA(G412:J412)&lt;4,"",ROUND(AVERAGE(G412:J412),1))</f>
        <v/>
      </c>
      <c r="L412" s="2" t="n"/>
      <c r="M412" s="2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>
        <f>IF(COUNTA(G413:J413)&lt;4,"",ROUND(AVERAGE(G413:J413),1))</f>
        <v/>
      </c>
      <c r="L413" s="2" t="n"/>
      <c r="M413" s="2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>
        <f>IF(COUNTA(G414:J414)&lt;4,"",ROUND(AVERAGE(G414:J414),1))</f>
        <v/>
      </c>
      <c r="L414" s="2" t="n"/>
      <c r="M414" s="2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>
        <f>IF(COUNTA(G415:J415)&lt;4,"",ROUND(AVERAGE(G415:J415),1))</f>
        <v/>
      </c>
      <c r="L415" s="2" t="n"/>
      <c r="M415" s="2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>
        <f>IF(COUNTA(G416:J416)&lt;4,"",ROUND(AVERAGE(G416:J416),1))</f>
        <v/>
      </c>
      <c r="L416" s="2" t="n"/>
      <c r="M416" s="2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>
        <f>IF(COUNTA(G417:J417)&lt;4,"",ROUND(AVERAGE(G417:J417),1))</f>
        <v/>
      </c>
      <c r="L417" s="2" t="n"/>
      <c r="M417" s="2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>
        <f>IF(COUNTA(G418:J418)&lt;4,"",ROUND(AVERAGE(G418:J418),1))</f>
        <v/>
      </c>
      <c r="L418" s="2" t="n"/>
      <c r="M418" s="2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>
        <f>IF(COUNTA(G419:J419)&lt;4,"",ROUND(AVERAGE(G419:J419),1))</f>
        <v/>
      </c>
      <c r="L419" s="2" t="n"/>
      <c r="M419" s="2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>
        <f>IF(COUNTA(G420:J420)&lt;4,"",ROUND(AVERAGE(G420:J420),1))</f>
        <v/>
      </c>
      <c r="L420" s="2" t="n"/>
      <c r="M420" s="2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>
        <f>IF(COUNTA(G421:J421)&lt;4,"",ROUND(AVERAGE(G421:J421),1))</f>
        <v/>
      </c>
      <c r="L421" s="2" t="n"/>
      <c r="M421" s="2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>
        <f>IF(COUNTA(G422:J422)&lt;4,"",ROUND(AVERAGE(G422:J422),1))</f>
        <v/>
      </c>
      <c r="L422" s="2" t="n"/>
      <c r="M422" s="2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>
        <f>IF(COUNTA(G423:J423)&lt;4,"",ROUND(AVERAGE(G423:J423),1))</f>
        <v/>
      </c>
      <c r="L423" s="2" t="n"/>
      <c r="M423" s="2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>
        <f>IF(COUNTA(G424:J424)&lt;4,"",ROUND(AVERAGE(G424:J424),1))</f>
        <v/>
      </c>
      <c r="L424" s="2" t="n"/>
      <c r="M424" s="2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>
        <f>IF(COUNTA(G425:J425)&lt;4,"",ROUND(AVERAGE(G425:J425),1))</f>
        <v/>
      </c>
      <c r="L425" s="2" t="n"/>
      <c r="M425" s="2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>
        <f>IF(COUNTA(G426:J426)&lt;4,"",ROUND(AVERAGE(G426:J426),1))</f>
        <v/>
      </c>
      <c r="L426" s="2" t="n"/>
      <c r="M426" s="2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>
        <f>IF(COUNTA(G427:J427)&lt;4,"",ROUND(AVERAGE(G427:J427),1))</f>
        <v/>
      </c>
      <c r="L427" s="2" t="n"/>
      <c r="M427" s="2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>
        <f>IF(COUNTA(G428:J428)&lt;4,"",ROUND(AVERAGE(G428:J428),1))</f>
        <v/>
      </c>
      <c r="L428" s="2" t="n"/>
      <c r="M428" s="2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>
        <f>IF(COUNTA(G429:J429)&lt;4,"",ROUND(AVERAGE(G429:J429),1))</f>
        <v/>
      </c>
      <c r="L429" s="2" t="n"/>
      <c r="M429" s="2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>
        <f>IF(COUNTA(G430:J430)&lt;4,"",ROUND(AVERAGE(G430:J430),1))</f>
        <v/>
      </c>
      <c r="L430" s="2" t="n"/>
      <c r="M430" s="2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>
        <f>IF(COUNTA(G431:J431)&lt;4,"",ROUND(AVERAGE(G431:J431),1))</f>
        <v/>
      </c>
      <c r="L431" s="2" t="n"/>
      <c r="M431" s="2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>
        <f>IF(COUNTA(G432:J432)&lt;4,"",ROUND(AVERAGE(G432:J432),1))</f>
        <v/>
      </c>
      <c r="L432" s="2" t="n"/>
      <c r="M432" s="2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>
        <f>IF(COUNTA(G433:J433)&lt;4,"",ROUND(AVERAGE(G433:J433),1))</f>
        <v/>
      </c>
      <c r="L433" s="2" t="n"/>
      <c r="M433" s="2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>
        <f>IF(COUNTA(G434:J434)&lt;4,"",ROUND(AVERAGE(G434:J434),1))</f>
        <v/>
      </c>
      <c r="L434" s="2" t="n"/>
      <c r="M434" s="2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>
        <f>IF(COUNTA(G435:J435)&lt;4,"",ROUND(AVERAGE(G435:J435),1))</f>
        <v/>
      </c>
      <c r="L435" s="2" t="n"/>
      <c r="M435" s="2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>
        <f>IF(COUNTA(G436:J436)&lt;4,"",ROUND(AVERAGE(G436:J436),1))</f>
        <v/>
      </c>
      <c r="L436" s="2" t="n"/>
      <c r="M436" s="2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>
        <f>IF(COUNTA(G437:J437)&lt;4,"",ROUND(AVERAGE(G437:J437),1))</f>
        <v/>
      </c>
      <c r="L437" s="2" t="n"/>
      <c r="M437" s="2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>
        <f>IF(COUNTA(G438:J438)&lt;4,"",ROUND(AVERAGE(G438:J438),1))</f>
        <v/>
      </c>
      <c r="L438" s="2" t="n"/>
      <c r="M438" s="2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>
        <f>IF(COUNTA(G439:J439)&lt;4,"",ROUND(AVERAGE(G439:J439),1))</f>
        <v/>
      </c>
      <c r="L439" s="2" t="n"/>
      <c r="M439" s="2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>
        <f>IF(COUNTA(G440:J440)&lt;4,"",ROUND(AVERAGE(G440:J440),1))</f>
        <v/>
      </c>
      <c r="L440" s="2" t="n"/>
      <c r="M440" s="2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>
        <f>IF(COUNTA(G441:J441)&lt;4,"",ROUND(AVERAGE(G441:J441),1))</f>
        <v/>
      </c>
      <c r="L441" s="2" t="n"/>
      <c r="M441" s="2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>
        <f>IF(COUNTA(G442:J442)&lt;4,"",ROUND(AVERAGE(G442:J442),1))</f>
        <v/>
      </c>
      <c r="L442" s="2" t="n"/>
      <c r="M442" s="2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>
        <f>IF(COUNTA(G443:J443)&lt;4,"",ROUND(AVERAGE(G443:J443),1))</f>
        <v/>
      </c>
      <c r="L443" s="2" t="n"/>
      <c r="M443" s="2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>
        <f>IF(COUNTA(G444:J444)&lt;4,"",ROUND(AVERAGE(G444:J444),1))</f>
        <v/>
      </c>
      <c r="L444" s="2" t="n"/>
      <c r="M444" s="2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>
        <f>IF(COUNTA(G445:J445)&lt;4,"",ROUND(AVERAGE(G445:J445),1))</f>
        <v/>
      </c>
      <c r="L445" s="2" t="n"/>
      <c r="M445" s="2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>
        <f>IF(COUNTA(G446:J446)&lt;4,"",ROUND(AVERAGE(G446:J446),1))</f>
        <v/>
      </c>
      <c r="L446" s="2" t="n"/>
      <c r="M446" s="2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>
        <f>IF(COUNTA(G447:J447)&lt;4,"",ROUND(AVERAGE(G447:J447),1))</f>
        <v/>
      </c>
      <c r="L447" s="2" t="n"/>
      <c r="M447" s="2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>
        <f>IF(COUNTA(G448:J448)&lt;4,"",ROUND(AVERAGE(G448:J448),1))</f>
        <v/>
      </c>
      <c r="L448" s="2" t="n"/>
      <c r="M448" s="2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>
        <f>IF(COUNTA(G449:J449)&lt;4,"",ROUND(AVERAGE(G449:J449),1))</f>
        <v/>
      </c>
      <c r="L449" s="2" t="n"/>
      <c r="M449" s="2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>
        <f>IF(COUNTA(G450:J450)&lt;4,"",ROUND(AVERAGE(G450:J450),1))</f>
        <v/>
      </c>
      <c r="L450" s="2" t="n"/>
      <c r="M450" s="2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>
        <f>IF(COUNTA(G451:J451)&lt;4,"",ROUND(AVERAGE(G451:J451),1))</f>
        <v/>
      </c>
      <c r="L451" s="2" t="n"/>
      <c r="M451" s="2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>
        <f>IF(COUNTA(G452:J452)&lt;4,"",ROUND(AVERAGE(G452:J452),1))</f>
        <v/>
      </c>
      <c r="L452" s="2" t="n"/>
      <c r="M452" s="2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>
        <f>IF(COUNTA(G453:J453)&lt;4,"",ROUND(AVERAGE(G453:J453),1))</f>
        <v/>
      </c>
      <c r="L453" s="2" t="n"/>
      <c r="M453" s="2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>
        <f>IF(COUNTA(G454:J454)&lt;4,"",ROUND(AVERAGE(G454:J454),1))</f>
        <v/>
      </c>
      <c r="L454" s="2" t="n"/>
      <c r="M454" s="2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>
        <f>IF(COUNTA(G455:J455)&lt;4,"",ROUND(AVERAGE(G455:J455),1))</f>
        <v/>
      </c>
      <c r="L455" s="2" t="n"/>
      <c r="M455" s="2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>
        <f>IF(COUNTA(G456:J456)&lt;4,"",ROUND(AVERAGE(G456:J456),1))</f>
        <v/>
      </c>
      <c r="L456" s="2" t="n"/>
      <c r="M456" s="2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>
        <f>IF(COUNTA(G457:J457)&lt;4,"",ROUND(AVERAGE(G457:J457),1))</f>
        <v/>
      </c>
      <c r="L457" s="2" t="n"/>
      <c r="M457" s="2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>
        <f>IF(COUNTA(G458:J458)&lt;4,"",ROUND(AVERAGE(G458:J458),1))</f>
        <v/>
      </c>
      <c r="L458" s="2" t="n"/>
      <c r="M458" s="2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>
        <f>IF(COUNTA(G459:J459)&lt;4,"",ROUND(AVERAGE(G459:J459),1))</f>
        <v/>
      </c>
      <c r="L459" s="2" t="n"/>
      <c r="M459" s="2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>
        <f>IF(COUNTA(G460:J460)&lt;4,"",ROUND(AVERAGE(G460:J460),1))</f>
        <v/>
      </c>
      <c r="L460" s="2" t="n"/>
      <c r="M460" s="2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>
        <f>IF(COUNTA(G461:J461)&lt;4,"",ROUND(AVERAGE(G461:J461),1))</f>
        <v/>
      </c>
      <c r="L461" s="2" t="n"/>
      <c r="M461" s="2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>
        <f>IF(COUNTA(G462:J462)&lt;4,"",ROUND(AVERAGE(G462:J462),1))</f>
        <v/>
      </c>
      <c r="L462" s="2" t="n"/>
      <c r="M462" s="2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>
        <f>IF(COUNTA(G463:J463)&lt;4,"",ROUND(AVERAGE(G463:J463),1))</f>
        <v/>
      </c>
      <c r="L463" s="2" t="n"/>
      <c r="M463" s="2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>
        <f>IF(COUNTA(G464:J464)&lt;4,"",ROUND(AVERAGE(G464:J464),1))</f>
        <v/>
      </c>
      <c r="L464" s="2" t="n"/>
      <c r="M464" s="2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>
        <f>IF(COUNTA(G465:J465)&lt;4,"",ROUND(AVERAGE(G465:J465),1))</f>
        <v/>
      </c>
      <c r="L465" s="2" t="n"/>
      <c r="M465" s="2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>
        <f>IF(COUNTA(G466:J466)&lt;4,"",ROUND(AVERAGE(G466:J466),1))</f>
        <v/>
      </c>
      <c r="L466" s="2" t="n"/>
      <c r="M466" s="2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>
        <f>IF(COUNTA(G467:J467)&lt;4,"",ROUND(AVERAGE(G467:J467),1))</f>
        <v/>
      </c>
      <c r="L467" s="2" t="n"/>
      <c r="M467" s="2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>
        <f>IF(COUNTA(G468:J468)&lt;4,"",ROUND(AVERAGE(G468:J468),1))</f>
        <v/>
      </c>
      <c r="L468" s="2" t="n"/>
      <c r="M468" s="2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>
        <f>IF(COUNTA(G469:J469)&lt;4,"",ROUND(AVERAGE(G469:J469),1))</f>
        <v/>
      </c>
      <c r="L469" s="2" t="n"/>
      <c r="M469" s="2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>
        <f>IF(COUNTA(G470:J470)&lt;4,"",ROUND(AVERAGE(G470:J470),1))</f>
        <v/>
      </c>
      <c r="L470" s="2" t="n"/>
      <c r="M470" s="2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>
        <f>IF(COUNTA(G471:J471)&lt;4,"",ROUND(AVERAGE(G471:J471),1))</f>
        <v/>
      </c>
      <c r="L471" s="2" t="n"/>
      <c r="M471" s="2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>
        <f>IF(COUNTA(G472:J472)&lt;4,"",ROUND(AVERAGE(G472:J472),1))</f>
        <v/>
      </c>
      <c r="L472" s="2" t="n"/>
      <c r="M472" s="2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>
        <f>IF(COUNTA(G473:J473)&lt;4,"",ROUND(AVERAGE(G473:J473),1))</f>
        <v/>
      </c>
      <c r="L473" s="2" t="n"/>
      <c r="M473" s="2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>
        <f>IF(COUNTA(G474:J474)&lt;4,"",ROUND(AVERAGE(G474:J474),1))</f>
        <v/>
      </c>
      <c r="L474" s="2" t="n"/>
      <c r="M474" s="2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>
        <f>IF(COUNTA(G475:J475)&lt;4,"",ROUND(AVERAGE(G475:J475),1))</f>
        <v/>
      </c>
      <c r="L475" s="2" t="n"/>
      <c r="M475" s="2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>
        <f>IF(COUNTA(G476:J476)&lt;4,"",ROUND(AVERAGE(G476:J476),1))</f>
        <v/>
      </c>
      <c r="L476" s="2" t="n"/>
      <c r="M476" s="2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>
        <f>IF(COUNTA(G477:J477)&lt;4,"",ROUND(AVERAGE(G477:J477),1))</f>
        <v/>
      </c>
      <c r="L477" s="2" t="n"/>
      <c r="M477" s="2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>
        <f>IF(COUNTA(G478:J478)&lt;4,"",ROUND(AVERAGE(G478:J478),1))</f>
        <v/>
      </c>
      <c r="L478" s="2" t="n"/>
      <c r="M478" s="2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>
        <f>IF(COUNTA(G479:J479)&lt;4,"",ROUND(AVERAGE(G479:J479),1))</f>
        <v/>
      </c>
      <c r="L479" s="2" t="n"/>
      <c r="M479" s="2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>
        <f>IF(COUNTA(G480:J480)&lt;4,"",ROUND(AVERAGE(G480:J480),1))</f>
        <v/>
      </c>
      <c r="L480" s="2" t="n"/>
      <c r="M480" s="2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>
        <f>IF(COUNTA(G481:J481)&lt;4,"",ROUND(AVERAGE(G481:J481),1))</f>
        <v/>
      </c>
      <c r="L481" s="2" t="n"/>
      <c r="M481" s="2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>
        <f>IF(COUNTA(G482:J482)&lt;4,"",ROUND(AVERAGE(G482:J482),1))</f>
        <v/>
      </c>
      <c r="L482" s="2" t="n"/>
      <c r="M482" s="2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>
        <f>IF(COUNTA(G483:J483)&lt;4,"",ROUND(AVERAGE(G483:J483),1))</f>
        <v/>
      </c>
      <c r="L483" s="2" t="n"/>
      <c r="M483" s="2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>
        <f>IF(COUNTA(G484:J484)&lt;4,"",ROUND(AVERAGE(G484:J484),1))</f>
        <v/>
      </c>
      <c r="L484" s="2" t="n"/>
      <c r="M484" s="2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>
        <f>IF(COUNTA(G485:J485)&lt;4,"",ROUND(AVERAGE(G485:J485),1))</f>
        <v/>
      </c>
      <c r="L485" s="2" t="n"/>
      <c r="M485" s="2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>
        <f>IF(COUNTA(G486:J486)&lt;4,"",ROUND(AVERAGE(G486:J486),1))</f>
        <v/>
      </c>
      <c r="L486" s="2" t="n"/>
      <c r="M486" s="2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>
        <f>IF(COUNTA(G487:J487)&lt;4,"",ROUND(AVERAGE(G487:J487),1))</f>
        <v/>
      </c>
      <c r="L487" s="2" t="n"/>
      <c r="M487" s="2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>
        <f>IF(COUNTA(G488:J488)&lt;4,"",ROUND(AVERAGE(G488:J488),1))</f>
        <v/>
      </c>
      <c r="L488" s="2" t="n"/>
      <c r="M488" s="2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>
        <f>IF(COUNTA(G489:J489)&lt;4,"",ROUND(AVERAGE(G489:J489),1))</f>
        <v/>
      </c>
      <c r="L489" s="2" t="n"/>
      <c r="M489" s="2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>
        <f>IF(COUNTA(G490:J490)&lt;4,"",ROUND(AVERAGE(G490:J490),1))</f>
        <v/>
      </c>
      <c r="L490" s="2" t="n"/>
      <c r="M490" s="2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>
        <f>IF(COUNTA(G491:J491)&lt;4,"",ROUND(AVERAGE(G491:J491),1))</f>
        <v/>
      </c>
      <c r="L491" s="2" t="n"/>
      <c r="M491" s="2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>
        <f>IF(COUNTA(G492:J492)&lt;4,"",ROUND(AVERAGE(G492:J492),1))</f>
        <v/>
      </c>
      <c r="L492" s="2" t="n"/>
      <c r="M492" s="2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>
        <f>IF(COUNTA(G493:J493)&lt;4,"",ROUND(AVERAGE(G493:J493),1))</f>
        <v/>
      </c>
      <c r="L493" s="2" t="n"/>
      <c r="M493" s="2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>
        <f>IF(COUNTA(G494:J494)&lt;4,"",ROUND(AVERAGE(G494:J494),1))</f>
        <v/>
      </c>
      <c r="L494" s="2" t="n"/>
      <c r="M494" s="2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>
        <f>IF(COUNTA(G495:J495)&lt;4,"",ROUND(AVERAGE(G495:J495),1))</f>
        <v/>
      </c>
      <c r="L495" s="2" t="n"/>
      <c r="M495" s="2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>
        <f>IF(COUNTA(G496:J496)&lt;4,"",ROUND(AVERAGE(G496:J496),1))</f>
        <v/>
      </c>
      <c r="L496" s="2" t="n"/>
      <c r="M496" s="2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>
        <f>IF(COUNTA(G497:J497)&lt;4,"",ROUND(AVERAGE(G497:J497),1))</f>
        <v/>
      </c>
      <c r="L497" s="2" t="n"/>
      <c r="M497" s="2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>
        <f>IF(COUNTA(G498:J498)&lt;4,"",ROUND(AVERAGE(G498:J498),1))</f>
        <v/>
      </c>
      <c r="L498" s="2" t="n"/>
      <c r="M498" s="2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>
        <f>IF(COUNTA(G499:J499)&lt;4,"",ROUND(AVERAGE(G499:J499),1))</f>
        <v/>
      </c>
      <c r="L499" s="2" t="n"/>
      <c r="M499" s="2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>
        <f>IF(COUNTA(G500:J500)&lt;4,"",ROUND(AVERAGE(G500:J500),1))</f>
        <v/>
      </c>
      <c r="L500" s="2" t="n"/>
      <c r="M500" s="2" t="n"/>
      <c r="N500" s="2" t="n"/>
      <c r="O500" s="2" t="n"/>
    </row>
  </sheetData>
  <autoFilter ref="A1:O50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32" customWidth="1" style="15" min="1" max="2"/>
    <col width="12" customWidth="1" style="15" min="3" max="3"/>
    <col width="21" customWidth="1" style="15" min="4" max="4"/>
    <col width="32" customWidth="1" style="15" min="5" max="5"/>
  </cols>
  <sheetData>
    <row r="1">
      <c r="A1" s="18" t="inlineStr">
        <is>
          <t>INTERNSHIP HUNT — LIVE ANALYTICS</t>
        </is>
      </c>
      <c r="B1" s="19" t="n"/>
      <c r="C1" s="19" t="n"/>
      <c r="D1" s="20" t="n"/>
      <c r="E1" s="2" t="n"/>
    </row>
    <row r="2">
      <c r="A2" s="3" t="inlineStr">
        <is>
          <t>Metric</t>
        </is>
      </c>
      <c r="B2" s="2" t="n">
        <v>0</v>
      </c>
      <c r="C2" s="2" t="n"/>
      <c r="D2" s="2" t="n"/>
      <c r="E2" s="2" t="n"/>
      <c r="G2" s="6" t="inlineStr">
        <is>
          <t>V2 Intelligence Metrics</t>
        </is>
      </c>
    </row>
    <row r="3">
      <c r="A3" s="3" t="inlineStr">
        <is>
          <t>Total Jobs</t>
        </is>
      </c>
      <c r="B3" s="2" t="n">
        <v>0</v>
      </c>
      <c r="C3" s="2" t="n"/>
      <c r="D3" s="3" t="inlineStr">
        <is>
          <t>Priority</t>
        </is>
      </c>
      <c r="E3" s="3" t="inlineStr">
        <is>
          <t>Count</t>
        </is>
      </c>
      <c r="G3" s="6" t="inlineStr">
        <is>
          <t>Jobs with eligibility risk</t>
        </is>
      </c>
      <c r="H3">
        <f>COUNTIF(Jobs!#REF!,"risk")</f>
        <v/>
      </c>
    </row>
    <row r="4">
      <c r="A4" s="3" t="inlineStr">
        <is>
          <t>Shortlisted / Apply-level Jobs</t>
        </is>
      </c>
      <c r="B4" s="2" t="n">
        <v>0</v>
      </c>
      <c r="C4" s="2" t="n"/>
      <c r="D4" s="2" t="inlineStr">
        <is>
          <t>P1</t>
        </is>
      </c>
      <c r="E4" s="2">
        <f>COUNTIF(Jobs!#REF!,D4)</f>
        <v/>
      </c>
      <c r="G4" s="6" t="inlineStr">
        <is>
          <t>Jobs with eligibility failure</t>
        </is>
      </c>
      <c r="H4">
        <f>COUNTIF(Jobs!#REF!,"fail")</f>
        <v/>
      </c>
    </row>
    <row r="5">
      <c r="A5" s="3" t="inlineStr">
        <is>
          <t>Applications</t>
        </is>
      </c>
      <c r="B5" s="2">
        <f>COUNTA(Applications!A2:A500)</f>
        <v/>
      </c>
      <c r="C5" s="2" t="n"/>
      <c r="D5" s="2" t="inlineStr">
        <is>
          <t>P2</t>
        </is>
      </c>
      <c r="E5" s="2">
        <f>COUNTIF(Jobs!#REF!,D5)</f>
        <v/>
      </c>
      <c r="G5" s="6" t="inlineStr">
        <is>
          <t>PPO-strong jobs</t>
        </is>
      </c>
      <c r="H5">
        <f>COUNTIF(Jobs!#REF!,"strong")</f>
        <v/>
      </c>
    </row>
    <row r="6">
      <c r="A6" s="3" t="inlineStr">
        <is>
          <t>OAs</t>
        </is>
      </c>
      <c r="B6" s="2" t="n">
        <v>0</v>
      </c>
      <c r="C6" s="2" t="n"/>
      <c r="D6" s="2" t="inlineStr">
        <is>
          <t>P3</t>
        </is>
      </c>
      <c r="E6" s="2">
        <f>COUNTIF(Jobs!#REF!,D6)</f>
        <v/>
      </c>
      <c r="G6" s="6" t="inlineStr">
        <is>
          <t>Compensation to verify</t>
        </is>
      </c>
      <c r="H6">
        <f>COUNTIF(Jobs!#REF!,"verify")</f>
        <v/>
      </c>
    </row>
    <row r="7">
      <c r="A7" s="3" t="inlineStr">
        <is>
          <t>Interviews</t>
        </is>
      </c>
      <c r="B7" s="2" t="n">
        <v>0</v>
      </c>
      <c r="C7" s="2" t="n"/>
      <c r="D7" s="2" t="inlineStr">
        <is>
          <t>P4</t>
        </is>
      </c>
      <c r="E7" s="2">
        <f>COUNTIF(Jobs!#REF!,D7)</f>
        <v/>
      </c>
      <c r="G7" s="6" t="inlineStr">
        <is>
          <t>Apply ASAP jobs</t>
        </is>
      </c>
      <c r="H7">
        <f>COUNTIF(Jobs!#REF!,"APPLY ASAP")</f>
        <v/>
      </c>
    </row>
    <row r="8">
      <c r="A8" s="3" t="inlineStr">
        <is>
          <t>Offers</t>
        </is>
      </c>
      <c r="B8" s="2">
        <f>COUNTIF(Applications!H2:H500,"Offer")+COUNTIF(Applications!H2:H500,"PPO")</f>
        <v/>
      </c>
      <c r="C8" s="2" t="n"/>
      <c r="D8" s="2" t="n"/>
      <c r="E8" s="2" t="n"/>
    </row>
    <row r="9">
      <c r="A9" s="3" t="inlineStr">
        <is>
          <t>PPOs</t>
        </is>
      </c>
      <c r="B9" s="4">
        <f>COUNTIF(Applications!H2:H500,"PPO")</f>
        <v/>
      </c>
      <c r="C9" s="2" t="n"/>
      <c r="D9" s="2" t="n"/>
      <c r="E9" s="2" t="n"/>
    </row>
    <row r="10">
      <c r="A10" s="3" t="inlineStr">
        <is>
          <t>Application → Interview %</t>
        </is>
      </c>
      <c r="B10" s="4">
        <f>IFERROR(B6/B4,0)</f>
        <v/>
      </c>
      <c r="C10" s="2" t="n"/>
      <c r="D10" s="3" t="inlineStr">
        <is>
          <t>Application Status</t>
        </is>
      </c>
      <c r="E10" s="3" t="inlineStr">
        <is>
          <t>Count</t>
        </is>
      </c>
    </row>
    <row r="11">
      <c r="A11" s="3" t="inlineStr">
        <is>
          <t>Application → Offer %</t>
        </is>
      </c>
      <c r="B11" s="4">
        <f>IFERROR(B7/B4,0)</f>
        <v/>
      </c>
      <c r="C11" s="2" t="n"/>
      <c r="D11" s="2" t="inlineStr">
        <is>
          <t>Applied</t>
        </is>
      </c>
      <c r="E11" s="2">
        <f>COUNTIF(Applications!H2:H500,D11)</f>
        <v/>
      </c>
    </row>
    <row r="12">
      <c r="A12" s="2" t="inlineStr">
        <is>
          <t>Application → PPO %</t>
        </is>
      </c>
      <c r="B12" s="2">
        <f>IFERROR(B8/B4,0)</f>
        <v/>
      </c>
      <c r="C12" s="2" t="n"/>
      <c r="D12" s="2" t="inlineStr">
        <is>
          <t>Waiting</t>
        </is>
      </c>
      <c r="E12" s="2">
        <f>COUNTIF(Applications!H2:H500,D12)</f>
        <v/>
      </c>
    </row>
    <row r="13">
      <c r="A13" s="2" t="n"/>
      <c r="B13" s="2" t="n"/>
      <c r="C13" s="2" t="n"/>
      <c r="D13" s="2" t="inlineStr">
        <is>
          <t>OA</t>
        </is>
      </c>
      <c r="E13" s="2">
        <f>COUNTIF(Applications!H2:H500,D13)</f>
        <v/>
      </c>
    </row>
    <row r="14">
      <c r="A14" s="2" t="n"/>
      <c r="B14" s="2" t="n"/>
      <c r="C14" s="2" t="n"/>
      <c r="D14" s="2" t="inlineStr">
        <is>
          <t>Technical Interview</t>
        </is>
      </c>
      <c r="E14" s="2">
        <f>COUNTIF(Applications!H2:H500,D14)</f>
        <v/>
      </c>
    </row>
    <row r="15">
      <c r="A15" s="2" t="n"/>
      <c r="B15" s="2" t="n"/>
      <c r="C15" s="2" t="n"/>
      <c r="D15" s="2" t="inlineStr">
        <is>
          <t>HR/Manager</t>
        </is>
      </c>
      <c r="E15" s="2">
        <f>COUNTIF(Applications!H2:H500,D15)</f>
        <v/>
      </c>
    </row>
    <row r="16">
      <c r="A16" s="2" t="n"/>
      <c r="B16" s="2" t="n"/>
      <c r="C16" s="2" t="n"/>
      <c r="D16" s="2" t="inlineStr">
        <is>
          <t>Offer</t>
        </is>
      </c>
      <c r="E16" s="2">
        <f>COUNTIF(Applications!H2:H500,D16)</f>
        <v/>
      </c>
    </row>
    <row r="17">
      <c r="A17" s="2" t="n"/>
      <c r="B17" s="2" t="n"/>
      <c r="C17" s="2" t="n"/>
      <c r="D17" s="2" t="inlineStr">
        <is>
          <t>Rejected</t>
        </is>
      </c>
      <c r="E17" s="2">
        <f>COUNTIF(Applications!H2:H500,D17)</f>
        <v/>
      </c>
    </row>
    <row r="18">
      <c r="A18" s="2" t="n"/>
      <c r="B18" s="2" t="n"/>
      <c r="C18" s="2" t="n"/>
      <c r="D18" s="2" t="inlineStr">
        <is>
          <t>Ghosted</t>
        </is>
      </c>
      <c r="E18" s="2">
        <f>COUNTIF(Applications!H2:H500,D18)</f>
        <v/>
      </c>
    </row>
    <row r="19">
      <c r="A19" s="2" t="n"/>
      <c r="B19" s="2" t="n"/>
      <c r="C19" s="2" t="n"/>
      <c r="D19" s="2" t="inlineStr">
        <is>
          <t>PPO</t>
        </is>
      </c>
      <c r="E19" s="2">
        <f>COUNTIF(Applications!H2:H500,D19)</f>
        <v/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pane ySplit="1" topLeftCell="A2" activePane="bottomLeft" state="frozen"/>
      <selection activeCell="A1" sqref="A1:D1"/>
      <selection pane="bottomLeft" activeCell="A1" sqref="A1:D1"/>
    </sheetView>
  </sheetViews>
  <sheetFormatPr baseColWidth="8" defaultRowHeight="15"/>
  <cols>
    <col width="24" customWidth="1" style="15" min="1" max="37"/>
  </cols>
  <sheetData>
    <row r="1">
      <c r="A1" s="5" t="inlineStr">
        <is>
          <t>Job ID</t>
        </is>
      </c>
      <c r="B1" s="5" t="inlineStr">
        <is>
          <t>Company</t>
        </is>
      </c>
      <c r="C1" s="5" t="inlineStr">
        <is>
          <t>Role</t>
        </is>
      </c>
      <c r="D1" s="5" t="inlineStr">
        <is>
          <t>Job URL</t>
        </is>
      </c>
      <c r="E1" s="5" t="inlineStr">
        <is>
          <t>Source</t>
        </is>
      </c>
      <c r="F1" s="5" t="inlineStr">
        <is>
          <t>Location</t>
        </is>
      </c>
      <c r="G1" s="5" t="inlineStr">
        <is>
          <t>Work Mode</t>
        </is>
      </c>
      <c r="H1" s="5" t="inlineStr">
        <is>
          <t>Job Type</t>
        </is>
      </c>
      <c r="I1" s="5" t="inlineStr">
        <is>
          <t>Duration</t>
        </is>
      </c>
      <c r="J1" s="5" t="inlineStr">
        <is>
          <t>Stipend Raw</t>
        </is>
      </c>
      <c r="K1" s="5" t="inlineStr">
        <is>
          <t>Eligibility Status</t>
        </is>
      </c>
      <c r="L1" s="5" t="inlineStr">
        <is>
          <t>Eligibility Reasons</t>
        </is>
      </c>
      <c r="M1" s="5" t="inlineStr">
        <is>
          <t>Availability Status</t>
        </is>
      </c>
      <c r="N1" s="5" t="inlineStr">
        <is>
          <t>Availability Reason</t>
        </is>
      </c>
      <c r="O1" s="5" t="inlineStr">
        <is>
          <t>Compensation Status</t>
        </is>
      </c>
      <c r="P1" s="5" t="inlineStr">
        <is>
          <t>Guaranteed Stipend</t>
        </is>
      </c>
      <c r="Q1" s="5" t="inlineStr">
        <is>
          <t>Incentive Included</t>
        </is>
      </c>
      <c r="R1" s="5" t="inlineStr">
        <is>
          <t>PPO Status</t>
        </is>
      </c>
      <c r="S1" s="5" t="inlineStr">
        <is>
          <t>PPO Evidence</t>
        </is>
      </c>
      <c r="T1" s="5" t="inlineStr">
        <is>
          <t>Technical Fit</t>
        </is>
      </c>
      <c r="U1" s="5" t="inlineStr">
        <is>
          <t>Experience Fit</t>
        </is>
      </c>
      <c r="V1" s="5" t="inlineStr">
        <is>
          <t>Role Fit</t>
        </is>
      </c>
      <c r="W1" s="5" t="inlineStr">
        <is>
          <t>PPO Score</t>
        </is>
      </c>
      <c r="X1" s="5" t="inlineStr">
        <is>
          <t>Compensation Fit</t>
        </is>
      </c>
      <c r="Y1" s="5" t="inlineStr">
        <is>
          <t>Opportunity Quality</t>
        </is>
      </c>
      <c r="Z1" s="5" t="inlineStr">
        <is>
          <t>Overall Score</t>
        </is>
      </c>
      <c r="AA1" s="5" t="inlineStr">
        <is>
          <t>Recommendation</t>
        </is>
      </c>
      <c r="AB1" s="5" t="inlineStr">
        <is>
          <t>Required Skills</t>
        </is>
      </c>
      <c r="AC1" s="5" t="inlineStr">
        <is>
          <t>Preferred Skills</t>
        </is>
      </c>
      <c r="AD1" s="5" t="inlineStr">
        <is>
          <t>Skill Gaps</t>
        </is>
      </c>
      <c r="AE1" s="5" t="inlineStr">
        <is>
          <t>Hard Blockers</t>
        </is>
      </c>
      <c r="AF1" s="5" t="inlineStr">
        <is>
          <t>Red Flags</t>
        </is>
      </c>
      <c r="AG1" s="5" t="inlineStr">
        <is>
          <t>Recommended Resume</t>
        </is>
      </c>
      <c r="AH1" s="5" t="inlineStr">
        <is>
          <t>Interview Topics</t>
        </is>
      </c>
      <c r="AI1" s="5" t="inlineStr">
        <is>
          <t>Why Apply</t>
        </is>
      </c>
      <c r="AJ1" s="5" t="inlineStr">
        <is>
          <t>Why Not</t>
        </is>
      </c>
      <c r="AK1" s="5" t="inlineStr">
        <is>
          <t>Date Found</t>
        </is>
      </c>
    </row>
  </sheetData>
  <autoFilter ref="A1:AK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style="15" min="1" max="1"/>
    <col width="105" customWidth="1" style="15" min="2" max="2"/>
  </cols>
  <sheetData>
    <row r="1" ht="39" customHeight="1" s="15">
      <c r="A1" s="7" t="inlineStr">
        <is>
          <t>AI → CRM workflow</t>
        </is>
      </c>
      <c r="B1" s="2" t="n"/>
    </row>
    <row r="2">
      <c r="A2" s="2" t="inlineStr">
        <is>
          <t>1</t>
        </is>
      </c>
      <c r="B2" s="2" t="inlineStr">
        <is>
          <t>Run a JD through the AI Job Analyzer.</t>
        </is>
      </c>
    </row>
    <row r="3">
      <c r="A3" s="2" t="inlineStr">
        <is>
          <t>2</t>
        </is>
      </c>
      <c r="B3" s="2" t="inlineStr">
        <is>
          <t>Copy the structured JSON result into the importer script/tool we will build next.</t>
        </is>
      </c>
    </row>
    <row r="4">
      <c r="A4" s="2" t="inlineStr">
        <is>
          <t>3</t>
        </is>
      </c>
      <c r="B4" s="2" t="inlineStr">
        <is>
          <t>The importer maps the analysis into AI_Import and Jobs.</t>
        </is>
      </c>
    </row>
    <row r="5">
      <c r="A5" s="2" t="inlineStr">
        <is>
          <t>4</t>
        </is>
      </c>
      <c r="B5" s="2" t="inlineStr">
        <is>
          <t>Only shortlisted jobs move into Applications after you personally approve them.</t>
        </is>
      </c>
    </row>
    <row r="6">
      <c r="A6" s="2" t="inlineStr">
        <is>
          <t>5</t>
        </is>
      </c>
      <c r="B6" s="2" t="inlineStr">
        <is>
          <t>Never let AI submit applications automatically at this stage.</t>
        </is>
      </c>
    </row>
    <row r="7">
      <c r="A7" s="2" t="inlineStr">
        <is>
          <t>Current scoring</t>
        </is>
      </c>
      <c r="B7" s="2" t="inlineStr">
        <is>
          <t>Technical 30% + Experience 20% + Role 15% + PPO 15% + Compensation 10% + Opportunity Quality 10%.</t>
        </is>
      </c>
    </row>
    <row r="8">
      <c r="A8" s="2" t="inlineStr">
        <is>
          <t>Hard blockers</t>
        </is>
      </c>
      <c r="B8" s="2" t="inlineStr">
        <is>
          <t>Eligibility or availability failure forces SKIP regardless of score.</t>
        </is>
      </c>
    </row>
    <row r="9" ht="30" customHeight="1" s="15">
      <c r="A9" s="2" t="inlineStr">
        <is>
          <t>Compensation</t>
        </is>
      </c>
      <c r="B9" s="2" t="inlineStr">
        <is>
          <t>Guaranteed/fixed pay is what counts toward the ₹25,000 minimum; incentive-only amounts are not treated as guaranteed.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2026-08-17T20:57:55Z</dcterms:created>
  <dcterms:modified xsi:type="dcterms:W3CDTF">2026-10-02T12:00:06Z</dcterms:modified>
  <cp:lastModifiedBy>Amaanuddin Ahmed</cp:lastModifiedBy>
</cp:coreProperties>
</file>