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4" autoFilterDateGrouping="1"/>
  </bookViews>
  <sheets>
    <sheet name="Morning Dashboard" sheetId="1" state="visible" r:id="rId1"/>
    <sheet name="README" sheetId="2" state="visible" r:id="rId2"/>
    <sheet name="Career_Profile" sheetId="3" state="visible" r:id="rId3"/>
    <sheet name="Skills" sheetId="4" state="visible" r:id="rId4"/>
    <sheet name="Jobs" sheetId="5" state="visible" r:id="rId5"/>
    <sheet name="Applications" sheetId="6" state="visible" r:id="rId6"/>
    <sheet name="Interviews" sheetId="7" state="visible" r:id="rId7"/>
    <sheet name="Analytics" sheetId="8" state="visible" r:id="rId8"/>
    <sheet name="AI_Import" sheetId="9" state="visible" r:id="rId9"/>
    <sheet name="AI_Import_Guide" sheetId="10" state="visible" r:id="rId10"/>
  </sheets>
  <definedNames>
    <definedName name="_xlnm._FilterDatabase" localSheetId="0" hidden="1">'Morning Dashboard'!$A$12:$L$73</definedName>
    <definedName name="_xlnm._FilterDatabase" localSheetId="4" hidden="1">'Jobs'!$A$1:$Z$1</definedName>
    <definedName name="_xlnm._FilterDatabase" localSheetId="5" hidden="1">'Applications'!$A$1:$Q$500</definedName>
    <definedName name="_xlnm._FilterDatabase" localSheetId="6" hidden="1">'Interviews'!$A$1:$O$500</definedName>
    <definedName name="_xlnm._FilterDatabase" localSheetId="8" hidden="1">'AI_Import'!$A$1:$AK$499</definedName>
  </definedNames>
  <calcPr calcId="19102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b val="1"/>
      <color rgb="FFFFFFFF"/>
      <sz val="11"/>
    </font>
    <font>
      <name val="Calibri"/>
      <b val="1"/>
      <sz val="16"/>
    </font>
    <font>
      <name val="Calibri"/>
      <b val="1"/>
      <sz val="11"/>
    </font>
    <font>
      <name val="Calibri"/>
      <b val="1"/>
      <color rgb="FFFFFFFF"/>
      <sz val="15"/>
    </font>
    <font>
      <name val="Calibri"/>
      <family val="2"/>
      <color theme="10"/>
      <sz val="12"/>
      <scheme val="minor"/>
    </font>
    <font>
      <name val="Calibri"/>
      <b val="1"/>
      <sz val="18"/>
    </font>
    <font>
      <name val="Calibri"/>
      <b val="1"/>
      <sz val="11"/>
    </font>
    <font>
      <name val="Calibri"/>
      <b val="1"/>
      <sz val="14"/>
    </font>
    <font>
      <name val="Calibri"/>
      <b val="1"/>
      <sz val="12"/>
    </font>
    <font>
      <name val="Calibri"/>
      <family val="2"/>
      <b val="1"/>
      <color theme="0"/>
      <sz val="11"/>
      <scheme val="minor"/>
    </font>
    <font>
      <b val="1"/>
      <sz val="18"/>
    </font>
    <font>
      <b val="1"/>
    </font>
    <font>
      <b val="1"/>
      <sz val="14"/>
    </font>
    <font>
      <b val="1"/>
      <sz val="12"/>
    </font>
  </fonts>
  <fills count="9">
    <fill>
      <patternFill/>
    </fill>
    <fill>
      <patternFill patternType="gray125"/>
    </fill>
    <fill>
      <patternFill patternType="solid">
        <fgColor rgb="FF1F2937"/>
      </patternFill>
    </fill>
    <fill>
      <patternFill patternType="solid">
        <fgColor rgb="FFFFF2CC"/>
      </patternFill>
    </fill>
    <fill>
      <patternFill patternType="solid">
        <fgColor rgb="FFE2F0D9"/>
      </patternFill>
    </fill>
    <fill>
      <patternFill patternType="solid">
        <fgColor theme="3" tint="-0.499984740745262"/>
        <bgColor indexed="64"/>
      </patternFill>
    </fill>
    <fill>
      <patternFill patternType="solid">
        <fgColor rgb="00FFF2CC"/>
      </patternFill>
    </fill>
    <fill>
      <patternFill patternType="solid">
        <fgColor rgb="00E2F0D9"/>
      </patternFill>
    </fill>
    <fill>
      <patternFill patternType="solid">
        <fgColor rgb="00FCE4D6"/>
      </patternFill>
    </fill>
  </fills>
  <borders count="8">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auto="1"/>
      </bottom>
      <diagonal/>
    </border>
    <border>
      <left/>
      <right/>
      <top style="thin">
        <color rgb="FFD1D5DB"/>
      </top>
      <bottom/>
      <diagonal/>
    </border>
    <border>
      <left/>
      <right style="thin">
        <color rgb="FFD1D5DB"/>
      </right>
      <top style="thin">
        <color rgb="FFD1D5DB"/>
      </top>
      <bottom/>
      <diagonal/>
    </border>
    <border>
      <bottom style="thin"/>
    </border>
  </borders>
  <cellStyleXfs count="2">
    <xf numFmtId="0" fontId="0" fillId="0" borderId="0"/>
    <xf numFmtId="0" fontId="5" fillId="0" borderId="0"/>
  </cellStyleXfs>
  <cellXfs count="33">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3" fillId="0" borderId="1" applyAlignment="1" pivotButton="0" quotePrefix="0" xfId="0">
      <alignment vertical="top" wrapText="1"/>
    </xf>
    <xf numFmtId="164" fontId="0" fillId="0" borderId="1" applyAlignment="1" pivotButton="0" quotePrefix="0" xfId="0">
      <alignment vertical="top" wrapText="1"/>
    </xf>
    <xf numFmtId="0" fontId="1" fillId="2" borderId="1" applyAlignment="1" pivotButton="0" quotePrefix="0" xfId="0">
      <alignment horizontal="center" vertical="center" wrapText="1"/>
    </xf>
    <xf numFmtId="0" fontId="3"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xf numFmtId="0" fontId="7" fillId="0" borderId="0" applyAlignment="1" pivotButton="0" quotePrefix="0" xfId="0">
      <alignment horizontal="center"/>
    </xf>
    <xf numFmtId="0" fontId="0" fillId="3" borderId="4" applyAlignment="1" pivotButton="0" quotePrefix="0" xfId="0">
      <alignment vertical="top" wrapText="1"/>
    </xf>
    <xf numFmtId="0" fontId="5" fillId="3" borderId="4" pivotButton="0" quotePrefix="0" xfId="1"/>
    <xf numFmtId="0" fontId="0" fillId="4" borderId="4" applyAlignment="1" pivotButton="0" quotePrefix="0" xfId="0">
      <alignment vertical="top" wrapText="1"/>
    </xf>
    <xf numFmtId="0" fontId="9" fillId="0" borderId="0" pivotButton="0" quotePrefix="0" xfId="0"/>
    <xf numFmtId="0" fontId="0" fillId="0" borderId="0" pivotButton="0" quotePrefix="0" xfId="0"/>
    <xf numFmtId="0" fontId="6" fillId="0" borderId="0" pivotButton="0" quotePrefix="0" xfId="0"/>
    <xf numFmtId="0" fontId="8" fillId="0" borderId="0" pivotButton="0" quotePrefix="0" xfId="0"/>
    <xf numFmtId="0" fontId="2" fillId="0" borderId="1" applyAlignment="1" pivotButton="0" quotePrefix="0" xfId="0">
      <alignment vertical="top" wrapText="1"/>
    </xf>
    <xf numFmtId="0" fontId="0" fillId="0" borderId="2" pivotButton="0" quotePrefix="0" xfId="0"/>
    <xf numFmtId="0" fontId="0" fillId="0" borderId="3" pivotButton="0" quotePrefix="0" xfId="0"/>
    <xf numFmtId="0" fontId="10" fillId="5" borderId="0" pivotButton="0" quotePrefix="0" xfId="0"/>
    <xf numFmtId="0" fontId="11" fillId="0" borderId="0" pivotButton="0" quotePrefix="0" xfId="0"/>
    <xf numFmtId="0" fontId="12" fillId="0" borderId="0" pivotButton="0" quotePrefix="0" xfId="0"/>
    <xf numFmtId="0" fontId="13" fillId="0" borderId="0" pivotButton="0" quotePrefix="0" xfId="0"/>
    <xf numFmtId="0" fontId="12" fillId="0" borderId="0" applyAlignment="1" pivotButton="0" quotePrefix="0" xfId="0">
      <alignment horizontal="center"/>
    </xf>
    <xf numFmtId="0" fontId="0" fillId="6" borderId="7" applyAlignment="1" pivotButton="0" quotePrefix="0" xfId="0">
      <alignment vertical="top" wrapText="1"/>
    </xf>
    <xf numFmtId="0" fontId="5" fillId="6" borderId="7" pivotButton="0" quotePrefix="0" xfId="1"/>
    <xf numFmtId="0" fontId="0" fillId="7" borderId="7" applyAlignment="1" pivotButton="0" quotePrefix="0" xfId="0">
      <alignment vertical="top" wrapText="1"/>
    </xf>
    <xf numFmtId="0" fontId="14" fillId="0" borderId="0" pivotButton="0" quotePrefix="0" xfId="0"/>
    <xf numFmtId="0" fontId="5" fillId="7" borderId="7" pivotButton="0" quotePrefix="0" xfId="1"/>
    <xf numFmtId="0" fontId="0" fillId="8" borderId="7" applyAlignment="1" pivotButton="0" quotePrefix="0" xfId="0">
      <alignment vertical="top" wrapText="1"/>
    </xf>
    <xf numFmtId="0" fontId="5" fillId="8" borderId="7" pivotButton="0" quotePrefix="0" xfId="1"/>
  </cellXfs>
  <cellStyles count="2">
    <cellStyle name="Normal" xfId="0" builtinId="0"/>
    <cellStyle name="Hyperlink" xfId="1" builtinId="8"/>
  </cellStyles>
  <dxfs count="1">
    <dxf>
      <fill>
        <patternFill patternType="solid">
          <fgColor rgb="FF86EFA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jooble.org/desc/7218822007534742956?ckey=Node.js+intern&amp;rgn=3193&amp;pos=3&amp;elckey=930407992578992996&amp;p=1&amp;aq=7103456895385232430&amp;cid=389&amp;jobAge=181&amp;brelb=10&amp;bscr=1951.097&amp;scr=1951.097" TargetMode="External" Id="rId1" /><Relationship Type="http://schemas.openxmlformats.org/officeDocument/2006/relationships/hyperlink" Target="file:///E:/InternshipHunter/applications/jooble-1b5a5a8ad892" TargetMode="External" Id="rId2" /><Relationship Type="http://schemas.openxmlformats.org/officeDocument/2006/relationships/hyperlink" Target="https://in.jooble.org/away/6509585558078273655?p=1&amp;pos=2&amp;rgn=3193&amp;cid=389&amp;ckey=full+stack+developer+intern&amp;jobAge=35&amp;brelb=10&amp;scr=1559.8843&amp;bscr=1559.8843&amp;aq=-4733170829206058009&amp;elckey=953019572989986905" TargetMode="External" Id="rId3" /><Relationship Type="http://schemas.openxmlformats.org/officeDocument/2006/relationships/hyperlink" Target="file:///E:/InternshipHunter/applications/jooble-41328e9efe02" TargetMode="External" Id="rId4" /><Relationship Type="http://schemas.openxmlformats.org/officeDocument/2006/relationships/hyperlink" Target="https://in.jooble.org/desc/7218822007534742956?ckey=software+development+intern&amp;rgn=3193&amp;pos=13&amp;elckey=-6253554300614115614&amp;p=1&amp;aq=5713289480022363991&amp;cid=389&amp;jobAge=181&amp;brelb=10&amp;bscr=1449.8528&amp;scr=1449.8528" TargetMode="External" Id="rId5" /><Relationship Type="http://schemas.openxmlformats.org/officeDocument/2006/relationships/hyperlink" Target="file:///E:/InternshipHunter/applications/jooble-c0045e73bcca" TargetMode="External" Id="rId6" /><Relationship Type="http://schemas.openxmlformats.org/officeDocument/2006/relationships/hyperlink" Target="https://in.jooble.org/desc/7218822007534742956?ckey=MERN+intern&amp;rgn=3193&amp;pos=1&amp;elckey=-8354470278249994869&amp;p=1&amp;aq=-6356034267964637025&amp;cid=389&amp;jobAge=181&amp;brelb=10&amp;bscr=2931.9358&amp;scr=2931.9358" TargetMode="External" Id="rId7" /><Relationship Type="http://schemas.openxmlformats.org/officeDocument/2006/relationships/hyperlink" Target="file:///E:/InternshipHunter/applications/jooble-2c93da9e0c09" TargetMode="External" Id="rId8" /><Relationship Type="http://schemas.openxmlformats.org/officeDocument/2006/relationships/hyperlink" Target="https://in.jooble.org/jdp/3760385546685730255" TargetMode="External" Id="rId9" /><Relationship Type="http://schemas.openxmlformats.org/officeDocument/2006/relationships/hyperlink" Target="file:///E:/InternshipHunter/applications/3760385546685730255" TargetMode="External" Id="rId10" /><Relationship Type="http://schemas.openxmlformats.org/officeDocument/2006/relationships/hyperlink" Target="https://www.adzuna.in/land/ad/5876025620?se=ir4HAvSs8RGLWNueJPgGLw&amp;utm_medium=api&amp;utm_source=5ccdc27f&amp;v=1D0F8F215F44296BA10AFF7D83E711A388FDA935" TargetMode="External" Id="rId11" /><Relationship Type="http://schemas.openxmlformats.org/officeDocument/2006/relationships/hyperlink" Target="file:///E:/InternshipHunter/applications/adzuna-ebcbf7cb9e21" TargetMode="External" Id="rId12" /><Relationship Type="http://schemas.openxmlformats.org/officeDocument/2006/relationships/hyperlink" Target="https://www.adzuna.in/land/ad/5876025620?se=dMU9A_Ss8RGxxJIBlTg-jQ&amp;utm_medium=api&amp;utm_source=5ccdc27f&amp;v=1D0F8F215F44296BA10AFF7D83E711A388FDA935" TargetMode="External" Id="rId13" /><Relationship Type="http://schemas.openxmlformats.org/officeDocument/2006/relationships/hyperlink" Target="file:///E:/InternshipHunter/applications/adzuna-e31ed382d941" TargetMode="External" Id="rId14" /><Relationship Type="http://schemas.openxmlformats.org/officeDocument/2006/relationships/hyperlink" Target="https://www.adzuna.in/details/3066949136?utm_medium=api&amp;utm_source=5ccdc27f" TargetMode="External" Id="rId15" /><Relationship Type="http://schemas.openxmlformats.org/officeDocument/2006/relationships/hyperlink" Target="file:///E:/InternshipHunter/applications/adzuna-59fe15a9ae76" TargetMode="External" Id="rId16" /><Relationship Type="http://schemas.openxmlformats.org/officeDocument/2006/relationships/hyperlink" Target="https://in.jooble.org/away/6509585558078273655?p=1&amp;pos=12&amp;rgn=3193&amp;cid=389&amp;ckey=software+engineer+intern&amp;jobAge=35&amp;brelb=10&amp;scr=1290.3198&amp;bscr=1290.3198&amp;aq=-5789299792193885679&amp;elckey=5749610590021549824" TargetMode="External" Id="rId17" /><Relationship Type="http://schemas.openxmlformats.org/officeDocument/2006/relationships/hyperlink" Target="file:///E:/InternshipHunter/applications/jooble-ed55556853c0" TargetMode="External" Id="rId18" /><Relationship Type="http://schemas.openxmlformats.org/officeDocument/2006/relationships/hyperlink" Target="https://www.adzuna.in/details/4176492451?utm_medium=api&amp;utm_source=5ccdc27f" TargetMode="External" Id="rId19" /><Relationship Type="http://schemas.openxmlformats.org/officeDocument/2006/relationships/hyperlink" Target="file:///E:/InternshipHunter/applications/adzuna-5581d926b09b" TargetMode="External" Id="rId20" /><Relationship Type="http://schemas.openxmlformats.org/officeDocument/2006/relationships/hyperlink" Target="https://www.adzuna.in/details/5420122532?utm_medium=api&amp;utm_source=5ccdc27f" TargetMode="External" Id="rId21" /><Relationship Type="http://schemas.openxmlformats.org/officeDocument/2006/relationships/hyperlink" Target="file:///E:/InternshipHunter/applications/adzuna-4fd638d3d3c7" TargetMode="External" Id="rId22" /><Relationship Type="http://schemas.openxmlformats.org/officeDocument/2006/relationships/hyperlink" Target="https://in.jooble.org/desc/5089802996613037634?ckey=software+development+intern&amp;rgn=3193&amp;pos=9&amp;elckey=-6253554300614115614&amp;p=1&amp;aq=5713289480022363991&amp;cid=389&amp;jobAge=5797&amp;brelb=100&amp;bscr=1540.8499&amp;scr=1540.8499" TargetMode="External" Id="rId23" /><Relationship Type="http://schemas.openxmlformats.org/officeDocument/2006/relationships/hyperlink" Target="https://www.adzuna.in/details/5625720116?utm_medium=api&amp;utm_source=5ccdc27f" TargetMode="External" Id="rId24" /><Relationship Type="http://schemas.openxmlformats.org/officeDocument/2006/relationships/hyperlink" Target="https://in.jooble.org/away/-1939946349168902640?p=1&amp;pos=1&amp;rgn=3193&amp;cid=389&amp;ckey=software+engineer+intern&amp;jobAge=35&amp;brelb=10&amp;scr=3529.8728&amp;bscr=3529.8728&amp;aq=-5789299792193885679&amp;elckey=5749610590021549824" TargetMode="External" Id="rId25" /><Relationship Type="http://schemas.openxmlformats.org/officeDocument/2006/relationships/hyperlink" Target="https://in.jooble.org/desc/1797195671655267307?ckey=software+development+intern&amp;rgn=158289&amp;pos=1&amp;elckey=-4790967087848484633&amp;p=1&amp;aq=-8929922690946418059&amp;cid=389&amp;jobAge=1381&amp;brelb=10&amp;bscr=1017.60645&amp;scr=1017.60645" TargetMode="External" Id="rId26" /><Relationship Type="http://schemas.openxmlformats.org/officeDocument/2006/relationships/hyperlink" Target="https://in.jooble.org/desc/1797195671655267307?ckey=backend+developer+intern&amp;rgn=158289&amp;pos=8&amp;elckey=-3520815707833452043&amp;p=1&amp;aq=-6187450009504489705&amp;cid=389&amp;jobAge=1381&amp;brelb=10&amp;bscr=158.13762&amp;scr=158.13762" TargetMode="External" Id="rId27" /><Relationship Type="http://schemas.openxmlformats.org/officeDocument/2006/relationships/hyperlink" Target="https://in.jooble.org/away/2792678126425269567?p=1&amp;pos=2&amp;rgn=3193&amp;cid=389&amp;ckey=Node.js+intern&amp;jobAge=37&amp;brelb=10&amp;scr=3608.9937&amp;bscr=3608.9937&amp;aq=7103456895385232430&amp;elckey=930407992578992996" TargetMode="External" Id="rId28" /><Relationship Type="http://schemas.openxmlformats.org/officeDocument/2006/relationships/hyperlink" Target="https://in.jooble.org/desc/-3697916622688250511?ckey=Node.js+intern&amp;rgn=3193&amp;pos=19&amp;elckey=930407992578992996&amp;p=1&amp;aq=7103456895385232430&amp;cid=389&amp;jobAge=277&amp;brelb=10&amp;bscr=1166.5027&amp;scr=1166.5027" TargetMode="External" Id="rId29" /><Relationship Type="http://schemas.openxmlformats.org/officeDocument/2006/relationships/hyperlink" Target="https://www.adzuna.in/details/5775777688?utm_medium=api&amp;utm_source=5ccdc27f" TargetMode="External" Id="rId30" /><Relationship Type="http://schemas.openxmlformats.org/officeDocument/2006/relationships/hyperlink" Target="https://www.adzuna.in/details/5876941757?utm_medium=api&amp;utm_source=5ccdc27f" TargetMode="External" Id="rId31" /><Relationship Type="http://schemas.openxmlformats.org/officeDocument/2006/relationships/hyperlink" Target="https://www.adzuna.in/details/5827200226?utm_medium=api&amp;utm_source=5ccdc27f" TargetMode="External" Id="rId32" /><Relationship Type="http://schemas.openxmlformats.org/officeDocument/2006/relationships/hyperlink" Target="https://in.jooble.org/away/-1939946349168902640?p=1&amp;pos=1&amp;rgn=3193&amp;cid=389&amp;ckey=software+development+intern&amp;jobAge=35&amp;brelb=10&amp;scr=3337.2424&amp;bscr=3337.2424&amp;aq=5713289480022363991&amp;elckey=-6253554300614115614" TargetMode="External" Id="rId33" /><Relationship Type="http://schemas.openxmlformats.org/officeDocument/2006/relationships/hyperlink" Target="https://in.jooble.org/away/-1939946349168902640?p=1&amp;pos=1&amp;rgn=3193&amp;cid=389&amp;ckey=Node.js+intern&amp;jobAge=35&amp;brelb=10&amp;scr=3740.61&amp;bscr=3740.61&amp;aq=7103456895385232430&amp;elckey=930407992578992996" TargetMode="External" Id="rId34" /><Relationship Type="http://schemas.openxmlformats.org/officeDocument/2006/relationships/hyperlink" Target="https://in.jooble.org/desc/1797195671655267307?ckey=MERN+intern&amp;rgn=158289&amp;pos=2&amp;elckey=1874977272019323040&amp;p=1&amp;aq=-5722987355497464567&amp;cid=389&amp;jobAge=1381&amp;brelb=10&amp;bscr=231.89882&amp;scr=231.89882" TargetMode="External" Id="rId35" /><Relationship Type="http://schemas.openxmlformats.org/officeDocument/2006/relationships/hyperlink" Target="https://in.jooble.org/desc/1797195671655267307?ckey=Java+developer+intern&amp;rgn=158289&amp;pos=8&amp;elckey=7213811091158651535&amp;p=1&amp;aq=-5549015689624089547&amp;cid=389&amp;jobAge=1381&amp;brelb=10&amp;bscr=156.66751&amp;scr=156.66751" TargetMode="External" Id="rId36" /><Relationship Type="http://schemas.openxmlformats.org/officeDocument/2006/relationships/hyperlink" Target="https://in.jooble.org/desc/1797195671655267307?ckey=software+engineer+intern&amp;rgn=158289&amp;pos=1&amp;elckey=-589253467805491739&amp;p=1&amp;aq=5487403520884986870&amp;cid=389&amp;jobAge=1381&amp;brelb=10&amp;bscr=1101.489&amp;scr=1101.489" TargetMode="External" Id="rId37" /><Relationship Type="http://schemas.openxmlformats.org/officeDocument/2006/relationships/hyperlink" Target="https://in.jooble.org/desc/1797195671655267307?ckey=SDE+intern&amp;rgn=158289&amp;pos=2&amp;elckey=1863874851629358450&amp;p=1&amp;aq=-1822151525624909990&amp;cid=389&amp;jobAge=1381&amp;brelb=10&amp;bscr=231.89882&amp;scr=231.89882" TargetMode="External" Id="rId38" /><Relationship Type="http://schemas.openxmlformats.org/officeDocument/2006/relationships/hyperlink" Target="https://in.jooble.org/desc/1797195671655267307?ckey=Node.js+intern&amp;rgn=158289&amp;pos=9&amp;elckey=4672171110006000265&amp;p=1&amp;aq=8026308147579207820&amp;cid=389&amp;jobAge=1381&amp;brelb=10&amp;bscr=156.66751&amp;scr=156.66751" TargetMode="External" Id="rId39" /><Relationship Type="http://schemas.openxmlformats.org/officeDocument/2006/relationships/hyperlink" Target="https://www.adzuna.in/details/5854846598?utm_medium=api&amp;utm_source=5ccdc27f" TargetMode="External" Id="rId40" /><Relationship Type="http://schemas.openxmlformats.org/officeDocument/2006/relationships/hyperlink" Target="https://www.adzuna.in/details/5565364089?utm_medium=api&amp;utm_source=5ccdc27f" TargetMode="External" Id="rId41" /><Relationship Type="http://schemas.openxmlformats.org/officeDocument/2006/relationships/hyperlink" Target="https://www.adzuna.in/details/5811667426?utm_medium=api&amp;utm_source=5ccdc27f" TargetMode="External" Id="rId42" /><Relationship Type="http://schemas.openxmlformats.org/officeDocument/2006/relationships/hyperlink" Target="https://www.adzuna.in/details/5853546345?utm_medium=api&amp;utm_source=5ccdc27f" TargetMode="External" Id="rId43" /><Relationship Type="http://schemas.openxmlformats.org/officeDocument/2006/relationships/hyperlink" Target="https://in.jooble.org/desc/1797195671655267307?ckey=AI+engineer+intern&amp;rgn=158289&amp;pos=9&amp;elckey=-6745963282442062407&amp;p=1&amp;aq=-19656684045375692&amp;cid=389&amp;jobAge=1381&amp;brelb=10&amp;bscr=158.13762&amp;scr=158.13762" TargetMode="External" Id="rId44" /><Relationship Type="http://schemas.openxmlformats.org/officeDocument/2006/relationships/hyperlink" Target="https://www.adzuna.in/details/4476844222?utm_medium=api&amp;utm_source=5ccdc27f" TargetMode="External" Id="rId45" /><Relationship Type="http://schemas.openxmlformats.org/officeDocument/2006/relationships/hyperlink" Target="https://www.adzuna.in/details/4366939888?utm_medium=api&amp;utm_source=5ccdc27f" TargetMode="External" Id="rId46" /><Relationship Type="http://schemas.openxmlformats.org/officeDocument/2006/relationships/hyperlink" Target="https://in.jooble.org/desc/-4062499930695493919?ckey=Node.js+intern&amp;rgn=3193&amp;pos=10&amp;elckey=930407992578992996&amp;p=1&amp;aq=7103456895385232430&amp;cid=389&amp;jobAge=325&amp;brelb=10&amp;bscr=1422.4893&amp;scr=1422.4893" TargetMode="External" Id="rId47" /><Relationship Type="http://schemas.openxmlformats.org/officeDocument/2006/relationships/hyperlink" Target="https://in.jooble.org/desc/1797195671655267307?ckey=Python+developer+intern&amp;rgn=158289&amp;pos=7&amp;elckey=5816802918702638823&amp;p=1&amp;aq=7266557730527404686&amp;cid=389&amp;jobAge=1381&amp;brelb=10&amp;bscr=156.66751&amp;scr=156.66751" TargetMode="External" Id="rId48" /><Relationship Type="http://schemas.openxmlformats.org/officeDocument/2006/relationships/hyperlink" Target="https://www.adzuna.in/details/3447826016?utm_medium=api&amp;utm_source=5ccdc27f" TargetMode="External" Id="rId49" /><Relationship Type="http://schemas.openxmlformats.org/officeDocument/2006/relationships/hyperlink" Target="https://www.adzuna.in/details/5856165557?utm_medium=api&amp;utm_source=5ccdc27f" TargetMode="External" Id="rId50" /><Relationship Type="http://schemas.openxmlformats.org/officeDocument/2006/relationships/hyperlink" Target="https://in.jooble.org/desc/1797195671655267307?ckey=full+stack+developer+intern&amp;rgn=158289&amp;pos=7&amp;elckey=2779378181405776718&amp;p=1&amp;aq=8080683883857761511&amp;cid=389&amp;jobAge=1381&amp;brelb=10&amp;bscr=158.13762&amp;scr=158.13762" TargetMode="External" Id="rId51" /><Relationship Type="http://schemas.openxmlformats.org/officeDocument/2006/relationships/hyperlink" Target="https://in.jooble.org/desc/-4568808634222375591?ckey=backend+developer+intern&amp;rgn=158289&amp;pos=1&amp;elckey=-3520815707833452043&amp;p=1&amp;aq=-6187450009504489705&amp;cid=389&amp;jobAge=7&amp;brelb=100&amp;bscr=295.33273&amp;scr=295.33273" TargetMode="External" Id="rId52" /><Relationship Type="http://schemas.openxmlformats.org/officeDocument/2006/relationships/hyperlink" Target="https://in.jooble.org/desc/3071963684124717842?ckey=Node.js+intern&amp;rgn=3193&amp;pos=15&amp;elckey=930407992578992996&amp;p=1&amp;aq=7103456895385232430&amp;cid=389&amp;jobAge=61&amp;brelb=10&amp;bscr=1265.2983&amp;scr=1265.2983" TargetMode="External" Id="rId53" /><Relationship Type="http://schemas.openxmlformats.org/officeDocument/2006/relationships/hyperlink" Target="https://www.adzuna.in/details/5854847469?utm_medium=api&amp;utm_source=5ccdc27f" TargetMode="External" Id="rId54" /><Relationship Type="http://schemas.openxmlformats.org/officeDocument/2006/relationships/hyperlink" Target="https://www.adzuna.in/details/5032506958?utm_medium=api&amp;utm_source=5ccdc27f" TargetMode="External" Id="rId55" /><Relationship Type="http://schemas.openxmlformats.org/officeDocument/2006/relationships/hyperlink" Target="https://in.jooble.org/away/6509585558078273655?p=1&amp;pos=2&amp;rgn=3193&amp;cid=389&amp;ckey=software+development+intern&amp;jobAge=35&amp;brelb=10&amp;scr=2429.823&amp;bscr=2429.823&amp;aq=5713289480022363991&amp;elckey=-6253554300614115614" TargetMode="External" Id="rId56" /><Relationship Type="http://schemas.openxmlformats.org/officeDocument/2006/relationships/hyperlink" Target="https://in.jooble.org/desc/3071963684124717842?ckey=full+stack+developer+intern&amp;rgn=3193&amp;pos=3&amp;elckey=953019572989986905&amp;p=1&amp;aq=-4733170829206058009&amp;cid=389&amp;jobAge=61&amp;brelb=10&amp;bscr=1436.5935&amp;scr=1436.5935" TargetMode="External" Id="rId57" /><Relationship Type="http://schemas.openxmlformats.org/officeDocument/2006/relationships/hyperlink" Target="https://www.adzuna.in/details/5802073705?utm_medium=api&amp;utm_source=5ccdc27f" TargetMode="External" Id="rId58" /><Relationship Type="http://schemas.openxmlformats.org/officeDocument/2006/relationships/hyperlink" Target="https://www.adzuna.in/details/5876449427?utm_medium=api&amp;utm_source=5ccdc27f" TargetMode="External" Id="rId59" /><Relationship Type="http://schemas.openxmlformats.org/officeDocument/2006/relationships/hyperlink" Target="https://www.adzuna.in/details/3148437412?utm_medium=api&amp;utm_source=5ccdc27f" TargetMode="External" Id="rId60" /><Relationship Type="http://schemas.openxmlformats.org/officeDocument/2006/relationships/hyperlink" Target="https://www.adzuna.in/details/5032506906?utm_medium=api&amp;utm_source=5ccdc27f" TargetMode="External" Id="rId61" /><Relationship Type="http://schemas.openxmlformats.org/officeDocument/2006/relationships/hyperlink" Target="https://in.jooble.org/desc/412261402595740673?ckey=software+engineer+intern&amp;rgn=158289&amp;pos=2&amp;elckey=-589253467805491739&amp;p=1&amp;aq=5487403520884986870&amp;cid=389&amp;jobAge=7&amp;brelb=100&amp;bscr=268.75974&amp;scr=268.75974" TargetMode="External" Id="rId62" /><Relationship Type="http://schemas.openxmlformats.org/officeDocument/2006/relationships/hyperlink" Target="https://in.jooble.org/desc/-2588912263494949841?ckey=full+stack+developer+intern&amp;rgn=3193&amp;pos=5&amp;elckey=953019572989986905&amp;p=1&amp;aq=-4733170829206058009&amp;cid=389&amp;jobAge=61&amp;brelb=10&amp;bscr=1344.4529&amp;scr=1344.4529" TargetMode="External" Id="rId63" /><Relationship Type="http://schemas.openxmlformats.org/officeDocument/2006/relationships/hyperlink" Target="https://in.jooble.org/desc/-4568808634222375591?ckey=Node.js+intern&amp;rgn=158289&amp;pos=1&amp;elckey=4672171110006000265&amp;p=1&amp;aq=8026308147579207820&amp;cid=389&amp;jobAge=7&amp;brelb=100&amp;bscr=599.5004&amp;scr=599.5004" TargetMode="External" Id="rId64" /><Relationship Type="http://schemas.openxmlformats.org/officeDocument/2006/relationships/hyperlink" Target="https://www.adzuna.in/details/5006488241?utm_medium=api&amp;utm_source=5ccdc27f" TargetMode="External" Id="rId65" /><Relationship Type="http://schemas.openxmlformats.org/officeDocument/2006/relationships/hyperlink" Target="https://www.adzuna.in/details/4801660754?utm_medium=api&amp;utm_source=5ccdc27f" TargetMode="External" Id="rId66" /></Relationships>
</file>

<file path=xl/worksheets/sheet1.xml><?xml version="1.0" encoding="utf-8"?>
<worksheet xmlns="http://schemas.openxmlformats.org/spreadsheetml/2006/main">
  <sheetPr>
    <outlinePr summaryBelow="1" summaryRight="1"/>
    <pageSetUpPr/>
  </sheetPr>
  <dimension ref="A1:L82"/>
  <sheetViews>
    <sheetView workbookViewId="0">
      <pane ySplit="12" topLeftCell="A13" activePane="bottomLeft" state="frozen"/>
      <selection pane="bottomLeft" activeCell="A1" sqref="A1"/>
    </sheetView>
  </sheetViews>
  <sheetFormatPr baseColWidth="8" defaultRowHeight="15"/>
  <cols>
    <col width="7" customWidth="1" style="15" min="1" max="1"/>
    <col width="28" customWidth="1" style="15" min="2" max="2"/>
    <col width="42" customWidth="1" style="15" min="3" max="3"/>
    <col width="9" customWidth="1" style="15" min="4" max="4"/>
    <col width="17" customWidth="1" style="15" min="5" max="5"/>
    <col width="18" customWidth="1" style="15" min="6" max="6"/>
    <col width="14" customWidth="1" style="15" min="7" max="7"/>
    <col width="20" customWidth="1" style="15" min="8" max="8"/>
    <col width="18" customWidth="1" style="15" min="9" max="9"/>
    <col width="36" customWidth="1" style="15" min="10" max="10"/>
    <col width="20" customWidth="1" style="15" min="11" max="11"/>
    <col width="18" customWidth="1" style="15" min="12" max="12"/>
  </cols>
  <sheetData>
    <row r="1">
      <c r="A1" s="22" t="inlineStr">
        <is>
          <t>AMAAN INTERNSHIP ECOSYSTEM — MORNING DASHBOARD</t>
        </is>
      </c>
    </row>
    <row r="2">
      <c r="A2" t="inlineStr">
        <is>
          <t>Updated: 2026-09-10</t>
        </is>
      </c>
    </row>
    <row r="3">
      <c r="A3" t="inlineStr">
        <is>
          <t>Workflow: Discover → Analyze → Shortlist → Apply-Assist → Apply → Track</t>
        </is>
      </c>
    </row>
    <row r="5">
      <c r="A5" s="23" t="inlineStr">
        <is>
          <t>Relevant/Tracked Jobs</t>
        </is>
      </c>
      <c r="B5" s="23" t="inlineStr">
        <is>
          <t>Apply Queue</t>
        </is>
      </c>
      <c r="C5" s="23" t="inlineStr">
        <is>
          <t>APPLY ASAP</t>
        </is>
      </c>
      <c r="D5" s="23" t="inlineStr">
        <is>
          <t>APPLY</t>
        </is>
      </c>
      <c r="E5" s="23" t="inlineStr">
        <is>
          <t>Kits Ready</t>
        </is>
      </c>
      <c r="F5" s="23" t="inlineStr">
        <is>
          <t>Applied</t>
        </is>
      </c>
    </row>
    <row r="6">
      <c r="A6" s="24" t="n">
        <v>260</v>
      </c>
      <c r="B6" s="24" t="n">
        <v>56</v>
      </c>
      <c r="C6" s="24" t="n">
        <v>7</v>
      </c>
      <c r="D6" s="24" t="n">
        <v>5</v>
      </c>
      <c r="E6" s="24" t="n">
        <v>11</v>
      </c>
      <c r="F6" s="24" t="n">
        <v>0</v>
      </c>
    </row>
    <row r="9">
      <c r="A9" s="24" t="inlineStr">
        <is>
          <t>APPLY QUEUE</t>
        </is>
      </c>
    </row>
    <row r="10">
      <c r="A10" t="inlineStr">
        <is>
          <t>Review APPLY ASAP first. Open the job, review the generated kit, then apply manually.</t>
        </is>
      </c>
    </row>
    <row r="12">
      <c r="A12" s="25" t="inlineStr">
        <is>
          <t>Rank</t>
        </is>
      </c>
      <c r="B12" s="25" t="inlineStr">
        <is>
          <t>Company</t>
        </is>
      </c>
      <c r="C12" s="25" t="inlineStr">
        <is>
          <t>Role</t>
        </is>
      </c>
      <c r="D12" s="25" t="inlineStr">
        <is>
          <t>Score</t>
        </is>
      </c>
      <c r="E12" s="25" t="inlineStr">
        <is>
          <t>Recommendation</t>
        </is>
      </c>
      <c r="F12" s="25" t="inlineStr">
        <is>
          <t>Location</t>
        </is>
      </c>
      <c r="G12" s="25" t="inlineStr">
        <is>
          <t>Work Mode</t>
        </is>
      </c>
      <c r="H12" s="25" t="inlineStr">
        <is>
          <t>Stipend</t>
        </is>
      </c>
      <c r="I12" s="25" t="inlineStr">
        <is>
          <t>PPO</t>
        </is>
      </c>
      <c r="J12" s="25" t="inlineStr">
        <is>
          <t>Resume</t>
        </is>
      </c>
      <c r="K12" s="25" t="inlineStr">
        <is>
          <t>Application Kit</t>
        </is>
      </c>
      <c r="L12" s="25" t="inlineStr">
        <is>
          <t>Status</t>
        </is>
      </c>
    </row>
    <row r="13">
      <c r="A13" s="26" t="n">
        <v>1</v>
      </c>
      <c r="B13" s="26" t="inlineStr">
        <is>
          <t>Nxtwave Disruptive Technologies Private Limited</t>
        </is>
      </c>
      <c r="C13" s="27" t="inlineStr">
        <is>
          <t>MERN Developer - Intern</t>
        </is>
      </c>
      <c r="D13" s="26" t="n">
        <v>100</v>
      </c>
      <c r="E13" s="26" t="inlineStr">
        <is>
          <t>APPLY ASAP</t>
        </is>
      </c>
      <c r="F13" s="26" t="inlineStr">
        <is>
          <t>Bangalore</t>
        </is>
      </c>
      <c r="G13" s="26" t="inlineStr">
        <is>
          <t>On-site / Not specified</t>
        </is>
      </c>
      <c r="H13" s="26" t="inlineStr">
        <is>
          <t>Rs 3.5 - 4 lakhs p.a.</t>
        </is>
      </c>
      <c r="I13" s="26" t="inlineStr">
        <is>
          <t>YES</t>
        </is>
      </c>
      <c r="J13" s="26" t="inlineStr">
        <is>
          <t>Amaan_Full_Stack_Resume.pdf</t>
        </is>
      </c>
      <c r="K13" s="27" t="inlineStr">
        <is>
          <t>OPEN KIT</t>
        </is>
      </c>
      <c r="L13" s="26" t="inlineStr">
        <is>
          <t>READY TO APPLY</t>
        </is>
      </c>
    </row>
    <row r="14">
      <c r="A14" s="26" t="n">
        <v>2</v>
      </c>
      <c r="B14" s="26" t="inlineStr">
        <is>
          <t>IONIC (Under Rebranding)</t>
        </is>
      </c>
      <c r="C14" s="27" t="inlineStr">
        <is>
          <t>Full Stack Engineer / Tech Intern</t>
        </is>
      </c>
      <c r="D14" s="26" t="n">
        <v>96</v>
      </c>
      <c r="E14" s="26" t="inlineStr">
        <is>
          <t>APPLY ASAP</t>
        </is>
      </c>
      <c r="F14" s="26" t="inlineStr">
        <is>
          <t>Bangalore</t>
        </is>
      </c>
      <c r="G14" s="26" t="inlineStr">
        <is>
          <t>On-site</t>
        </is>
      </c>
      <c r="H14" s="26" t="inlineStr">
        <is>
          <t>INR 25K to 50K</t>
        </is>
      </c>
      <c r="I14" s="26" t="inlineStr">
        <is>
          <t>YES</t>
        </is>
      </c>
      <c r="J14" s="26" t="inlineStr">
        <is>
          <t>Full_Stack_Development</t>
        </is>
      </c>
      <c r="K14" s="27" t="inlineStr">
        <is>
          <t>OPEN KIT</t>
        </is>
      </c>
      <c r="L14" s="26" t="inlineStr">
        <is>
          <t>READY TO APPLY</t>
        </is>
      </c>
    </row>
    <row r="15">
      <c r="A15" s="26" t="n">
        <v>3</v>
      </c>
      <c r="B15" s="26" t="inlineStr">
        <is>
          <t>Nxtwave Disruptive Technologies Private Limited</t>
        </is>
      </c>
      <c r="C15" s="27" t="inlineStr">
        <is>
          <t>MERN Developer - Intern</t>
        </is>
      </c>
      <c r="D15" s="26" t="n">
        <v>93</v>
      </c>
      <c r="E15" s="26" t="inlineStr">
        <is>
          <t>APPLY ASAP</t>
        </is>
      </c>
      <c r="F15" s="26" t="inlineStr">
        <is>
          <t>Bangalore</t>
        </is>
      </c>
      <c r="G15" s="26" t="inlineStr">
        <is>
          <t>Not Specified</t>
        </is>
      </c>
      <c r="H15" s="26" t="inlineStr">
        <is>
          <t>20,000/month</t>
        </is>
      </c>
      <c r="I15" s="26" t="inlineStr">
        <is>
          <t>EXPLICIT</t>
        </is>
      </c>
      <c r="J15" s="26" t="inlineStr">
        <is>
          <t>Amaan_FullStack_Resume.pdf</t>
        </is>
      </c>
      <c r="K15" s="27" t="inlineStr">
        <is>
          <t>OPEN KIT</t>
        </is>
      </c>
      <c r="L15" s="26" t="inlineStr">
        <is>
          <t>READY TO APPLY</t>
        </is>
      </c>
    </row>
    <row r="16">
      <c r="A16" s="26" t="n">
        <v>4</v>
      </c>
      <c r="B16" s="26" t="inlineStr">
        <is>
          <t>Nxtwave Disruptive Technologies Private Limited</t>
        </is>
      </c>
      <c r="C16" s="27" t="inlineStr">
        <is>
          <t>MERN Developer - Intern</t>
        </is>
      </c>
      <c r="D16" s="26" t="n">
        <v>93</v>
      </c>
      <c r="E16" s="26" t="inlineStr">
        <is>
          <t>APPLY ASAP</t>
        </is>
      </c>
      <c r="F16" s="26" t="inlineStr">
        <is>
          <t>Bangalore</t>
        </is>
      </c>
      <c r="G16" s="26" t="inlineStr">
        <is>
          <t>On-site</t>
        </is>
      </c>
      <c r="H16" s="26" t="inlineStr">
        <is>
          <t>20,000/month</t>
        </is>
      </c>
      <c r="I16" s="26" t="inlineStr">
        <is>
          <t>Available</t>
        </is>
      </c>
      <c r="J16" s="26" t="inlineStr">
        <is>
          <t>Amaan_FullStack_Resume.pdf</t>
        </is>
      </c>
      <c r="K16" s="27" t="inlineStr">
        <is>
          <t>OPEN KIT</t>
        </is>
      </c>
      <c r="L16" s="26" t="inlineStr">
        <is>
          <t>READY TO APPLY</t>
        </is>
      </c>
    </row>
    <row r="17">
      <c r="A17" s="26" t="n">
        <v>5</v>
      </c>
      <c r="B17" s="26" t="inlineStr">
        <is>
          <t>Nutrithy Wellness</t>
        </is>
      </c>
      <c r="C17" s="27" t="inlineStr">
        <is>
          <t>Software Development Engineering Intern</t>
        </is>
      </c>
      <c r="D17" s="26" t="n">
        <v>90</v>
      </c>
      <c r="E17" s="26" t="inlineStr">
        <is>
          <t>APPLY ASAP</t>
        </is>
      </c>
      <c r="F17" s="26" t="inlineStr">
        <is>
          <t>Remote</t>
        </is>
      </c>
      <c r="G17" s="26" t="inlineStr">
        <is>
          <t>Remote</t>
        </is>
      </c>
      <c r="H17" s="26" t="inlineStr">
        <is>
          <t>₹20,000- ₹30,000 /month</t>
        </is>
      </c>
      <c r="I17" s="26" t="inlineStr">
        <is>
          <t>YES</t>
        </is>
      </c>
      <c r="J17" s="26" t="inlineStr">
        <is>
          <t>Amaanuddin_Ahmed_Fullstack_Resume.pdf</t>
        </is>
      </c>
      <c r="K17" s="27" t="inlineStr">
        <is>
          <t>OPEN KIT</t>
        </is>
      </c>
      <c r="L17" s="26" t="inlineStr">
        <is>
          <t>READY TO APPLY</t>
        </is>
      </c>
    </row>
    <row r="18">
      <c r="A18" s="26" t="n">
        <v>6</v>
      </c>
      <c r="B18" s="26" t="inlineStr">
        <is>
          <t>Nutrithy Wellness</t>
        </is>
      </c>
      <c r="C18" s="27" t="inlineStr">
        <is>
          <t>Software Engineer Intern</t>
        </is>
      </c>
      <c r="D18" s="26" t="n">
        <v>90</v>
      </c>
      <c r="E18" s="26" t="inlineStr">
        <is>
          <t>APPLY ASAP</t>
        </is>
      </c>
      <c r="F18" s="26" t="inlineStr">
        <is>
          <t>India</t>
        </is>
      </c>
      <c r="G18" s="26" t="inlineStr">
        <is>
          <t>Remote</t>
        </is>
      </c>
      <c r="H18" s="26" t="inlineStr">
        <is>
          <t>₹20,000- ₹30,000 /month</t>
        </is>
      </c>
      <c r="I18" s="26" t="inlineStr">
        <is>
          <t>yes</t>
        </is>
      </c>
      <c r="J18" s="26" t="inlineStr">
        <is>
          <t>Full Stack / Software Engineering Resume</t>
        </is>
      </c>
      <c r="K18" s="27" t="inlineStr">
        <is>
          <t>OPEN KIT</t>
        </is>
      </c>
      <c r="L18" s="26" t="inlineStr">
        <is>
          <t>READY TO APPLY</t>
        </is>
      </c>
    </row>
    <row r="19">
      <c r="A19" s="26" t="n">
        <v>7</v>
      </c>
      <c r="B19" s="26" t="inlineStr">
        <is>
          <t>Nutrithy Wellness</t>
        </is>
      </c>
      <c r="C19" s="27" t="inlineStr">
        <is>
          <t>Software Engineer Intern</t>
        </is>
      </c>
      <c r="D19" s="26" t="n">
        <v>90</v>
      </c>
      <c r="E19" s="26" t="inlineStr">
        <is>
          <t>APPLY ASAP</t>
        </is>
      </c>
      <c r="F19" s="26" t="inlineStr">
        <is>
          <t>India</t>
        </is>
      </c>
      <c r="G19" s="26" t="inlineStr">
        <is>
          <t>Remote</t>
        </is>
      </c>
      <c r="H19" s="26" t="inlineStr">
        <is>
          <t>₹20,000- ₹30,000 /month</t>
        </is>
      </c>
      <c r="I19" s="26" t="inlineStr">
        <is>
          <t>YES</t>
        </is>
      </c>
      <c r="J19" s="26" t="inlineStr">
        <is>
          <t>Full Stack / MERN Resume</t>
        </is>
      </c>
      <c r="K19" s="27" t="inlineStr">
        <is>
          <t>OPEN KIT</t>
        </is>
      </c>
      <c r="L19" s="26" t="inlineStr">
        <is>
          <t>READY TO APPLY</t>
        </is>
      </c>
    </row>
    <row r="20">
      <c r="A20" s="28" t="n">
        <v>8</v>
      </c>
      <c r="B20" s="28" t="inlineStr">
        <is>
          <t>SubSpace</t>
        </is>
      </c>
      <c r="C20" s="28" t="inlineStr">
        <is>
          <t>Software Development</t>
        </is>
      </c>
      <c r="D20" s="28" t="n">
        <v>94</v>
      </c>
      <c r="E20" s="28" t="inlineStr">
        <is>
          <t>APPLY</t>
        </is>
      </c>
      <c r="F20" s="28" t="inlineStr">
        <is>
          <t>Bangalore</t>
        </is>
      </c>
      <c r="G20" s="28" t="inlineStr">
        <is>
          <t>Hybrid</t>
        </is>
      </c>
      <c r="H20" s="28" t="inlineStr">
        <is>
          <t>₹30,000–40,001 headline; fixed ₹20,000–30,000 + incentive ₹10,000–10,001</t>
        </is>
      </c>
      <c r="I20" s="28" t="inlineStr">
        <is>
          <t>strong</t>
        </is>
      </c>
      <c r="J20" s="28" t="inlineStr">
        <is>
          <t>Full Stack</t>
        </is>
      </c>
      <c r="K20" s="28" t="inlineStr">
        <is>
          <t>NOT GENERATED</t>
        </is>
      </c>
      <c r="L20" s="28" t="inlineStr">
        <is>
          <t>READY TO APPLY</t>
        </is>
      </c>
    </row>
    <row r="21">
      <c r="A21" s="28" t="n">
        <v>9</v>
      </c>
      <c r="B21" s="28" t="inlineStr">
        <is>
          <t>Mogi IO</t>
        </is>
      </c>
      <c r="C21" s="30" t="inlineStr">
        <is>
          <t>Backend Developer Intern (Converts to full-time)</t>
        </is>
      </c>
      <c r="D21" s="28" t="n">
        <v>87</v>
      </c>
      <c r="E21" s="28" t="inlineStr">
        <is>
          <t>APPLY</t>
        </is>
      </c>
      <c r="F21" s="28" t="inlineStr">
        <is>
          <t>Delhi, India</t>
        </is>
      </c>
      <c r="G21" s="28" t="inlineStr">
        <is>
          <t>On-site</t>
        </is>
      </c>
      <c r="H21" s="28" t="inlineStr">
        <is>
          <t>Not specified</t>
        </is>
      </c>
      <c r="I21" s="28" t="inlineStr">
        <is>
          <t>Yes</t>
        </is>
      </c>
      <c r="J21" s="28" t="inlineStr">
        <is>
          <t>Amaanuddin_Ahmed_Fullstack_Resume.pdf</t>
        </is>
      </c>
      <c r="K21" s="30" t="inlineStr">
        <is>
          <t>OPEN KIT</t>
        </is>
      </c>
      <c r="L21" s="28" t="inlineStr">
        <is>
          <t>READY TO APPLY</t>
        </is>
      </c>
    </row>
    <row r="22">
      <c r="A22" s="28" t="n">
        <v>10</v>
      </c>
      <c r="B22" s="28" t="inlineStr">
        <is>
          <t>IONIC (Under Rebranding)</t>
        </is>
      </c>
      <c r="C22" s="30" t="inlineStr">
        <is>
          <t>Full Stack Engineer / Tech Intern</t>
        </is>
      </c>
      <c r="D22" s="28" t="n">
        <v>85</v>
      </c>
      <c r="E22" s="28" t="inlineStr">
        <is>
          <t>APPLY</t>
        </is>
      </c>
      <c r="F22" s="28" t="inlineStr">
        <is>
          <t>Bangalore / Gurgaon</t>
        </is>
      </c>
      <c r="G22" s="28" t="inlineStr">
        <is>
          <t>On-site</t>
        </is>
      </c>
      <c r="H22" s="28" t="inlineStr">
        <is>
          <t>INR 25K to 50K</t>
        </is>
      </c>
      <c r="I22" s="28" t="inlineStr">
        <is>
          <t>Not Mentioned</t>
        </is>
      </c>
      <c r="J22" s="28" t="inlineStr">
        <is>
          <t>Amaanuddin_Ahmed_Full_Stack_Resume.pdf</t>
        </is>
      </c>
      <c r="K22" s="30" t="inlineStr">
        <is>
          <t>OPEN KIT</t>
        </is>
      </c>
      <c r="L22" s="28" t="inlineStr">
        <is>
          <t>READY TO APPLY</t>
        </is>
      </c>
    </row>
    <row r="23">
      <c r="A23" s="28" t="n">
        <v>11</v>
      </c>
      <c r="B23" s="28" t="inlineStr">
        <is>
          <t>ventura securities ltd</t>
        </is>
      </c>
      <c r="C23" s="30" t="inlineStr">
        <is>
          <t>NodeJS Developer</t>
        </is>
      </c>
      <c r="D23" s="28" t="n">
        <v>84</v>
      </c>
      <c r="E23" s="28" t="inlineStr">
        <is>
          <t>APPLY</t>
        </is>
      </c>
      <c r="F23" s="28" t="inlineStr">
        <is>
          <t>India</t>
        </is>
      </c>
      <c r="G23" s="28" t="inlineStr">
        <is>
          <t>remote</t>
        </is>
      </c>
      <c r="H23" s="28" t="inlineStr">
        <is>
          <t>Not specified</t>
        </is>
      </c>
      <c r="I23" s="28" t="inlineStr">
        <is>
          <t>EXPLICITLY_OFFERED</t>
        </is>
      </c>
      <c r="J23" s="28" t="inlineStr">
        <is>
          <t>Amaanuddin_Ahmed_Fullstack_Resume.pdf</t>
        </is>
      </c>
      <c r="K23" s="30" t="inlineStr">
        <is>
          <t>OPEN KIT</t>
        </is>
      </c>
      <c r="L23" s="28" t="inlineStr">
        <is>
          <t>READY TO APPLY</t>
        </is>
      </c>
    </row>
    <row r="24">
      <c r="A24" s="28" t="n">
        <v>12</v>
      </c>
      <c r="B24" s="28" t="inlineStr">
        <is>
          <t>Pitchline</t>
        </is>
      </c>
      <c r="C24" s="30" t="inlineStr">
        <is>
          <t>Full Stack Developer Intern</t>
        </is>
      </c>
      <c r="D24" s="28" t="n">
        <v>80</v>
      </c>
      <c r="E24" s="28" t="inlineStr">
        <is>
          <t>APPLY</t>
        </is>
      </c>
      <c r="F24" s="28" t="inlineStr">
        <is>
          <t>India</t>
        </is>
      </c>
      <c r="G24" s="28" t="inlineStr">
        <is>
          <t>Remote</t>
        </is>
      </c>
      <c r="H24" s="28" t="inlineStr">
        <is>
          <t>₹20,000 - ₹30,000/month</t>
        </is>
      </c>
      <c r="I24" s="28" t="inlineStr">
        <is>
          <t>UNKNOWN</t>
        </is>
      </c>
      <c r="J24" s="28" t="inlineStr">
        <is>
          <t>Amaanuddin_Ahmed_Fullstack_Resume.pdf</t>
        </is>
      </c>
      <c r="K24" s="30" t="inlineStr">
        <is>
          <t>OPEN KIT</t>
        </is>
      </c>
      <c r="L24" s="28" t="inlineStr">
        <is>
          <t>READY TO APPLY</t>
        </is>
      </c>
    </row>
    <row r="25">
      <c r="A25" s="31" t="n">
        <v>13</v>
      </c>
      <c r="B25" s="31" t="inlineStr">
        <is>
          <t>Outbox.vc</t>
        </is>
      </c>
      <c r="C25" s="32" t="inlineStr">
        <is>
          <t>Software Developer - Intern</t>
        </is>
      </c>
      <c r="D25" s="31" t="n">
        <v>79</v>
      </c>
      <c r="E25" s="31" t="inlineStr">
        <is>
          <t>CONSIDER</t>
        </is>
      </c>
      <c r="F25" s="31" t="inlineStr">
        <is>
          <t>Bangalore</t>
        </is>
      </c>
      <c r="G25" s="31" t="inlineStr">
        <is>
          <t>UNKNOWN</t>
        </is>
      </c>
      <c r="H25" s="31" t="inlineStr">
        <is>
          <t>Rs 30000 - Rs 35000 per month</t>
        </is>
      </c>
      <c r="I25" s="31" t="inlineStr">
        <is>
          <t>NOT_MENTIONED</t>
        </is>
      </c>
      <c r="J25" s="31" t="inlineStr">
        <is>
          <t>Default Full Stack / Backend Resume emphasizing Node.js, Express, and SQL/MySQL experience.</t>
        </is>
      </c>
      <c r="K25" s="31" t="inlineStr">
        <is>
          <t>NOT GENERATED</t>
        </is>
      </c>
      <c r="L25" s="31" t="inlineStr">
        <is>
          <t>READY TO APPLY</t>
        </is>
      </c>
    </row>
    <row r="26">
      <c r="A26" s="31" t="n">
        <v>14</v>
      </c>
      <c r="B26" s="31" t="inlineStr">
        <is>
          <t>InstaWeb Labs Pvt Ltd</t>
        </is>
      </c>
      <c r="C26" s="32" t="inlineStr">
        <is>
          <t>Full Stack Development Intern</t>
        </is>
      </c>
      <c r="D26" s="31" t="n">
        <v>79</v>
      </c>
      <c r="E26" s="31" t="inlineStr">
        <is>
          <t>CONSIDER</t>
        </is>
      </c>
      <c r="F26" s="31" t="inlineStr">
        <is>
          <t>Mumbai or Remote</t>
        </is>
      </c>
      <c r="G26" s="31" t="inlineStr">
        <is>
          <t>Remote / Hybrid</t>
        </is>
      </c>
      <c r="H26" s="31" t="inlineStr">
        <is>
          <t>Not specified</t>
        </is>
      </c>
      <c r="I26" s="31" t="inlineStr">
        <is>
          <t>NOT_MENTIONED</t>
        </is>
      </c>
      <c r="J26" s="31" t="inlineStr">
        <is>
          <t>Amaanuddin_Ahmed_Full_Stack_Resume.pdf</t>
        </is>
      </c>
      <c r="K26" s="31" t="inlineStr">
        <is>
          <t>NOT GENERATED</t>
        </is>
      </c>
      <c r="L26" s="31" t="inlineStr">
        <is>
          <t>READY TO APPLY</t>
        </is>
      </c>
    </row>
    <row r="27">
      <c r="A27" s="31" t="n">
        <v>15</v>
      </c>
      <c r="B27" s="31" t="inlineStr">
        <is>
          <t>Joveo</t>
        </is>
      </c>
      <c r="C27" s="32" t="inlineStr">
        <is>
          <t>Software Engineering Intern (Full Stack)</t>
        </is>
      </c>
      <c r="D27" s="31" t="n">
        <v>78</v>
      </c>
      <c r="E27" s="31" t="inlineStr">
        <is>
          <t>CONSIDER</t>
        </is>
      </c>
      <c r="F27" s="31" t="inlineStr">
        <is>
          <t>Bangalore</t>
        </is>
      </c>
      <c r="G27" s="31" t="inlineStr">
        <is>
          <t>Unknown</t>
        </is>
      </c>
      <c r="H27" s="31" t="inlineStr">
        <is>
          <t>Competitive stipend</t>
        </is>
      </c>
      <c r="I27" s="31" t="inlineStr">
        <is>
          <t>Not Mentioned</t>
        </is>
      </c>
      <c r="J27" s="31" t="inlineStr">
        <is>
          <t>Full Stack Development Resume</t>
        </is>
      </c>
      <c r="K27" s="31" t="inlineStr">
        <is>
          <t>NOT GENERATED</t>
        </is>
      </c>
      <c r="L27" s="31" t="inlineStr">
        <is>
          <t>READY TO APPLY</t>
        </is>
      </c>
    </row>
    <row r="28">
      <c r="A28" s="31" t="n">
        <v>16</v>
      </c>
      <c r="B28" s="31" t="inlineStr">
        <is>
          <t>Coinbase India Services</t>
        </is>
      </c>
      <c r="C28" s="32" t="inlineStr">
        <is>
          <t>Software Engineer Intern</t>
        </is>
      </c>
      <c r="D28" s="31" t="n">
        <v>78</v>
      </c>
      <c r="E28" s="31" t="inlineStr">
        <is>
          <t>CONSIDER</t>
        </is>
      </c>
      <c r="F28" s="31" t="inlineStr">
        <is>
          <t>India</t>
        </is>
      </c>
      <c r="G28" s="31" t="inlineStr">
        <is>
          <t>work from home</t>
        </is>
      </c>
      <c r="H28" s="31" t="inlineStr">
        <is>
          <t>Rs 2.5 - 5 lakhs p.a.</t>
        </is>
      </c>
      <c r="I28" s="31" t="inlineStr">
        <is>
          <t>UNKNOWN</t>
        </is>
      </c>
      <c r="J28" s="31" t="inlineStr">
        <is>
          <t>Standard Software Engineering Resume</t>
        </is>
      </c>
      <c r="K28" s="31" t="inlineStr">
        <is>
          <t>NOT GENERATED</t>
        </is>
      </c>
      <c r="L28" s="31" t="inlineStr">
        <is>
          <t>READY TO APPLY</t>
        </is>
      </c>
    </row>
    <row r="29">
      <c r="A29" s="31" t="n">
        <v>17</v>
      </c>
      <c r="B29" s="31" t="inlineStr">
        <is>
          <t>Coinbase India Services</t>
        </is>
      </c>
      <c r="C29" s="32" t="inlineStr">
        <is>
          <t>Software Engineer Intern</t>
        </is>
      </c>
      <c r="D29" s="31" t="n">
        <v>78</v>
      </c>
      <c r="E29" s="31" t="inlineStr">
        <is>
          <t>CONSIDER</t>
        </is>
      </c>
      <c r="F29" s="31" t="inlineStr">
        <is>
          <t>work from home</t>
        </is>
      </c>
      <c r="G29" s="31" t="inlineStr">
        <is>
          <t>Remote</t>
        </is>
      </c>
      <c r="H29" s="31" t="inlineStr">
        <is>
          <t>Rs 2.5 - 5 lakhs p.a.</t>
        </is>
      </c>
      <c r="I29" s="31" t="inlineStr">
        <is>
          <t>UNKNOWN</t>
        </is>
      </c>
      <c r="J29" s="31" t="inlineStr">
        <is>
          <t>Amaanuddin_Ahmed_Software_Engineer_Resume.pdf</t>
        </is>
      </c>
      <c r="K29" s="31" t="inlineStr">
        <is>
          <t>NOT GENERATED</t>
        </is>
      </c>
      <c r="L29" s="31" t="inlineStr">
        <is>
          <t>READY TO APPLY</t>
        </is>
      </c>
    </row>
    <row r="30">
      <c r="A30" s="31" t="n">
        <v>18</v>
      </c>
      <c r="B30" s="31" t="inlineStr">
        <is>
          <t>Joveo</t>
        </is>
      </c>
      <c r="C30" s="32" t="inlineStr">
        <is>
          <t>Software Engineering Intern (Full Stack)</t>
        </is>
      </c>
      <c r="D30" s="31" t="n">
        <v>78</v>
      </c>
      <c r="E30" s="31" t="inlineStr">
        <is>
          <t>CONSIDER</t>
        </is>
      </c>
      <c r="F30" s="31" t="inlineStr">
        <is>
          <t>Bengaluru, India</t>
        </is>
      </c>
      <c r="G30" s="31" t="inlineStr">
        <is>
          <t>On-site (5 days a week)</t>
        </is>
      </c>
      <c r="H30" s="31" t="inlineStr">
        <is>
          <t>Not specified</t>
        </is>
      </c>
      <c r="I30" s="31" t="inlineStr">
        <is>
          <t>Not Mentioned</t>
        </is>
      </c>
      <c r="J30" s="31" t="inlineStr">
        <is>
          <t>Full Stack / MERN Resume</t>
        </is>
      </c>
      <c r="K30" s="31" t="inlineStr">
        <is>
          <t>NOT GENERATED</t>
        </is>
      </c>
      <c r="L30" s="31" t="inlineStr">
        <is>
          <t>READY TO APPLY</t>
        </is>
      </c>
    </row>
    <row r="31">
      <c r="A31" s="31" t="n">
        <v>19</v>
      </c>
      <c r="B31" s="31" t="inlineStr">
        <is>
          <t>Lane</t>
        </is>
      </c>
      <c r="C31" s="32" t="inlineStr">
        <is>
          <t>Tech- Intern</t>
        </is>
      </c>
      <c r="D31" s="31" t="n">
        <v>78</v>
      </c>
      <c r="E31" s="31" t="inlineStr">
        <is>
          <t>CONSIDER</t>
        </is>
      </c>
      <c r="F31" s="31" t="inlineStr">
        <is>
          <t>Bangalore</t>
        </is>
      </c>
      <c r="G31" s="31" t="inlineStr">
        <is>
          <t>UNKNOWN</t>
        </is>
      </c>
      <c r="H31" s="31" t="inlineStr">
        <is>
          <t>Not specified</t>
        </is>
      </c>
      <c r="I31" s="31" t="inlineStr">
        <is>
          <t>UNKNOWN</t>
        </is>
      </c>
      <c r="J31" s="31" t="inlineStr">
        <is>
          <t>Default Full Stack / MERN Resume</t>
        </is>
      </c>
      <c r="K31" s="31" t="inlineStr">
        <is>
          <t>NOT GENERATED</t>
        </is>
      </c>
      <c r="L31" s="31" t="inlineStr">
        <is>
          <t>READY TO APPLY</t>
        </is>
      </c>
    </row>
    <row r="32">
      <c r="A32" s="31" t="n">
        <v>20</v>
      </c>
      <c r="B32" s="31" t="inlineStr">
        <is>
          <t>Microsoft Corporation</t>
        </is>
      </c>
      <c r="C32" s="32" t="inlineStr">
        <is>
          <t>Software Engineering INTERN</t>
        </is>
      </c>
      <c r="D32" s="31" t="n">
        <v>78</v>
      </c>
      <c r="E32" s="31" t="inlineStr">
        <is>
          <t>CONSIDER</t>
        </is>
      </c>
      <c r="F32" s="31" t="inlineStr">
        <is>
          <t>India</t>
        </is>
      </c>
      <c r="G32" s="31" t="inlineStr">
        <is>
          <t>Unknown</t>
        </is>
      </c>
      <c r="H32" s="31" t="inlineStr">
        <is>
          <t>Not specified</t>
        </is>
      </c>
      <c r="I32" s="31" t="inlineStr">
        <is>
          <t>UNKNOWN</t>
        </is>
      </c>
      <c r="J32" s="31" t="inlineStr">
        <is>
          <t>Standard Software Engineering Resume</t>
        </is>
      </c>
      <c r="K32" s="31" t="inlineStr">
        <is>
          <t>NOT GENERATED</t>
        </is>
      </c>
      <c r="L32" s="31" t="inlineStr">
        <is>
          <t>READY TO APPLY</t>
        </is>
      </c>
    </row>
    <row r="33">
      <c r="A33" s="31" t="n">
        <v>21</v>
      </c>
      <c r="B33" s="31" t="inlineStr">
        <is>
          <t>Stripe</t>
        </is>
      </c>
      <c r="C33" s="32" t="inlineStr">
        <is>
          <t>Software Engineer, Intern</t>
        </is>
      </c>
      <c r="D33" s="31" t="n">
        <v>77</v>
      </c>
      <c r="E33" s="31" t="inlineStr">
        <is>
          <t>CONSIDER</t>
        </is>
      </c>
      <c r="F33" s="31" t="inlineStr">
        <is>
          <t>India</t>
        </is>
      </c>
      <c r="G33" s="31" t="inlineStr">
        <is>
          <t>UNKNOWN</t>
        </is>
      </c>
      <c r="H33" s="31" t="inlineStr"/>
      <c r="I33" s="31" t="inlineStr">
        <is>
          <t>UNKNOWN</t>
        </is>
      </c>
      <c r="J33" s="31" t="inlineStr">
        <is>
          <t>Amaanuddin_Ahmed_Software_Engineer_Resume.pdf</t>
        </is>
      </c>
      <c r="K33" s="31" t="inlineStr">
        <is>
          <t>NOT GENERATED</t>
        </is>
      </c>
      <c r="L33" s="31" t="inlineStr">
        <is>
          <t>READY TO APPLY</t>
        </is>
      </c>
    </row>
    <row r="34">
      <c r="A34" s="31" t="n">
        <v>22</v>
      </c>
      <c r="B34" s="31" t="inlineStr">
        <is>
          <t>Paathz</t>
        </is>
      </c>
      <c r="C34" s="32" t="inlineStr">
        <is>
          <t>Software Engineer Intern MERN</t>
        </is>
      </c>
      <c r="D34" s="31" t="n">
        <v>77</v>
      </c>
      <c r="E34" s="31" t="inlineStr">
        <is>
          <t>CONSIDER</t>
        </is>
      </c>
      <c r="F34" s="31" t="inlineStr">
        <is>
          <t>Hyderabad, Telangana</t>
        </is>
      </c>
      <c r="G34" s="31" t="inlineStr">
        <is>
          <t>Unknown</t>
        </is>
      </c>
      <c r="H34" s="31" t="inlineStr">
        <is>
          <t>Not specified</t>
        </is>
      </c>
      <c r="I34" s="31" t="inlineStr">
        <is>
          <t>Not Mentioned</t>
        </is>
      </c>
      <c r="J34" s="31" t="inlineStr">
        <is>
          <t>MERN / Full Stack Developer Resume</t>
        </is>
      </c>
      <c r="K34" s="31" t="inlineStr">
        <is>
          <t>NOT GENERATED</t>
        </is>
      </c>
      <c r="L34" s="31" t="inlineStr">
        <is>
          <t>READY TO APPLY</t>
        </is>
      </c>
    </row>
    <row r="35">
      <c r="A35" s="31" t="n">
        <v>23</v>
      </c>
      <c r="B35" s="31" t="inlineStr">
        <is>
          <t>Joveo</t>
        </is>
      </c>
      <c r="C35" s="32" t="inlineStr">
        <is>
          <t>Software Engineering Intern (Full Stack)</t>
        </is>
      </c>
      <c r="D35" s="31" t="n">
        <v>76</v>
      </c>
      <c r="E35" s="31" t="inlineStr">
        <is>
          <t>CONSIDER</t>
        </is>
      </c>
      <c r="F35" s="31" t="inlineStr">
        <is>
          <t>Bangalore</t>
        </is>
      </c>
      <c r="G35" s="31" t="inlineStr">
        <is>
          <t>Unknown</t>
        </is>
      </c>
      <c r="H35" s="31" t="inlineStr">
        <is>
          <t>Competitive stipend</t>
        </is>
      </c>
      <c r="I35" s="31" t="inlineStr">
        <is>
          <t>Not Mentioned</t>
        </is>
      </c>
      <c r="J35" s="31" t="inlineStr">
        <is>
          <t>Full Stack Development Resume</t>
        </is>
      </c>
      <c r="K35" s="31" t="inlineStr">
        <is>
          <t>NOT GENERATED</t>
        </is>
      </c>
      <c r="L35" s="31" t="inlineStr">
        <is>
          <t>READY TO APPLY</t>
        </is>
      </c>
    </row>
    <row r="36">
      <c r="A36" s="31" t="n">
        <v>24</v>
      </c>
      <c r="B36" s="31" t="inlineStr">
        <is>
          <t>Joveo</t>
        </is>
      </c>
      <c r="C36" s="32" t="inlineStr">
        <is>
          <t>Software Engineering Intern (Full Stack)</t>
        </is>
      </c>
      <c r="D36" s="31" t="n">
        <v>76</v>
      </c>
      <c r="E36" s="31" t="inlineStr">
        <is>
          <t>CONSIDER</t>
        </is>
      </c>
      <c r="F36" s="31" t="inlineStr">
        <is>
          <t>Bangalore</t>
        </is>
      </c>
      <c r="G36" s="31" t="inlineStr">
        <is>
          <t>Unknown</t>
        </is>
      </c>
      <c r="H36" s="31" t="inlineStr">
        <is>
          <t>Competitive stipend</t>
        </is>
      </c>
      <c r="I36" s="31" t="inlineStr">
        <is>
          <t>UNKNOWN</t>
        </is>
      </c>
      <c r="J36" s="31" t="inlineStr">
        <is>
          <t>Amaan_FullStack_Resume.pdf</t>
        </is>
      </c>
      <c r="K36" s="31" t="inlineStr">
        <is>
          <t>NOT GENERATED</t>
        </is>
      </c>
      <c r="L36" s="31" t="inlineStr">
        <is>
          <t>READY TO APPLY</t>
        </is>
      </c>
    </row>
    <row r="37">
      <c r="A37" s="31" t="n">
        <v>25</v>
      </c>
      <c r="B37" s="31" t="inlineStr">
        <is>
          <t>Coinbase India Services</t>
        </is>
      </c>
      <c r="C37" s="32" t="inlineStr">
        <is>
          <t>Software Engineer Intern</t>
        </is>
      </c>
      <c r="D37" s="31" t="n">
        <v>76</v>
      </c>
      <c r="E37" s="31" t="inlineStr">
        <is>
          <t>CONSIDER</t>
        </is>
      </c>
      <c r="F37" s="31" t="inlineStr">
        <is>
          <t>India</t>
        </is>
      </c>
      <c r="G37" s="31" t="inlineStr">
        <is>
          <t>work from home</t>
        </is>
      </c>
      <c r="H37" s="31" t="inlineStr">
        <is>
          <t>Rs 2.5 - 5 lakhs p.a.</t>
        </is>
      </c>
      <c r="I37" s="31" t="inlineStr">
        <is>
          <t>NOT_MENTIONED</t>
        </is>
      </c>
      <c r="J37" s="31" t="inlineStr">
        <is>
          <t>Default Full Stack / Software Engineering Resume</t>
        </is>
      </c>
      <c r="K37" s="31" t="inlineStr">
        <is>
          <t>NOT GENERATED</t>
        </is>
      </c>
      <c r="L37" s="31" t="inlineStr">
        <is>
          <t>READY TO APPLY</t>
        </is>
      </c>
    </row>
    <row r="38">
      <c r="A38" s="31" t="n">
        <v>26</v>
      </c>
      <c r="B38" s="31" t="inlineStr">
        <is>
          <t>Coinbase India Services</t>
        </is>
      </c>
      <c r="C38" s="32" t="inlineStr">
        <is>
          <t>Software Engineer Intern</t>
        </is>
      </c>
      <c r="D38" s="31" t="n">
        <v>76</v>
      </c>
      <c r="E38" s="31" t="inlineStr">
        <is>
          <t>CONSIDER</t>
        </is>
      </c>
      <c r="F38" s="31" t="inlineStr">
        <is>
          <t>India</t>
        </is>
      </c>
      <c r="G38" s="31" t="inlineStr">
        <is>
          <t>Work from home</t>
        </is>
      </c>
      <c r="H38" s="31" t="inlineStr">
        <is>
          <t>Rs 2.5 - 5 lakhs p.a.</t>
        </is>
      </c>
      <c r="I38" s="31" t="inlineStr">
        <is>
          <t>NOT_MENTIONED</t>
        </is>
      </c>
      <c r="J38" s="31" t="inlineStr">
        <is>
          <t>Amaanuddin_Ahmed_FullStack_Resume.pdf</t>
        </is>
      </c>
      <c r="K38" s="31" t="inlineStr">
        <is>
          <t>NOT GENERATED</t>
        </is>
      </c>
      <c r="L38" s="31" t="inlineStr">
        <is>
          <t>READY TO APPLY</t>
        </is>
      </c>
    </row>
    <row r="39">
      <c r="A39" s="31" t="n">
        <v>27</v>
      </c>
      <c r="B39" s="31" t="inlineStr">
        <is>
          <t>Coinbase India Services</t>
        </is>
      </c>
      <c r="C39" s="32" t="inlineStr">
        <is>
          <t>Software Engineer Intern</t>
        </is>
      </c>
      <c r="D39" s="31" t="n">
        <v>75</v>
      </c>
      <c r="E39" s="31" t="inlineStr">
        <is>
          <t>CONSIDER</t>
        </is>
      </c>
      <c r="F39" s="31" t="inlineStr">
        <is>
          <t>India</t>
        </is>
      </c>
      <c r="G39" s="31" t="inlineStr">
        <is>
          <t>work from home</t>
        </is>
      </c>
      <c r="H39" s="31" t="inlineStr">
        <is>
          <t>Rs 2.5 - 5 lakhs p.a.</t>
        </is>
      </c>
      <c r="I39" s="31" t="inlineStr">
        <is>
          <t>UNKNOWN</t>
        </is>
      </c>
      <c r="J39" s="31" t="inlineStr">
        <is>
          <t>Amaanuddin_Ahmed_Software_Engineer_Resume.pdf</t>
        </is>
      </c>
      <c r="K39" s="31" t="inlineStr">
        <is>
          <t>NOT GENERATED</t>
        </is>
      </c>
      <c r="L39" s="31" t="inlineStr">
        <is>
          <t>READY TO APPLY</t>
        </is>
      </c>
    </row>
    <row r="40">
      <c r="A40" s="31" t="n">
        <v>28</v>
      </c>
      <c r="B40" s="31" t="inlineStr">
        <is>
          <t>Coinbase India Services</t>
        </is>
      </c>
      <c r="C40" s="32" t="inlineStr">
        <is>
          <t>Software Engineer Intern</t>
        </is>
      </c>
      <c r="D40" s="31" t="n">
        <v>75</v>
      </c>
      <c r="E40" s="31" t="inlineStr">
        <is>
          <t>CONSIDER</t>
        </is>
      </c>
      <c r="F40" s="31" t="inlineStr">
        <is>
          <t>India</t>
        </is>
      </c>
      <c r="G40" s="31" t="inlineStr">
        <is>
          <t>work from home</t>
        </is>
      </c>
      <c r="H40" s="31" t="inlineStr">
        <is>
          <t>Rs 2.5 - 5 lakhs p.a.</t>
        </is>
      </c>
      <c r="I40" s="31" t="inlineStr">
        <is>
          <t>UNKNOWN</t>
        </is>
      </c>
      <c r="J40" s="31" t="inlineStr">
        <is>
          <t>Default Full Stack / Software Engineering Resume</t>
        </is>
      </c>
      <c r="K40" s="31" t="inlineStr">
        <is>
          <t>NOT GENERATED</t>
        </is>
      </c>
      <c r="L40" s="31" t="inlineStr">
        <is>
          <t>READY TO APPLY</t>
        </is>
      </c>
    </row>
    <row r="41">
      <c r="A41" s="31" t="n">
        <v>29</v>
      </c>
      <c r="B41" s="31" t="inlineStr">
        <is>
          <t>Coinbase India Services</t>
        </is>
      </c>
      <c r="C41" s="32" t="inlineStr">
        <is>
          <t>Software Engineer Intern</t>
        </is>
      </c>
      <c r="D41" s="31" t="n">
        <v>75</v>
      </c>
      <c r="E41" s="31" t="inlineStr">
        <is>
          <t>CONSIDER</t>
        </is>
      </c>
      <c r="F41" s="31" t="inlineStr">
        <is>
          <t>India</t>
        </is>
      </c>
      <c r="G41" s="31" t="inlineStr">
        <is>
          <t>work from home</t>
        </is>
      </c>
      <c r="H41" s="31" t="inlineStr">
        <is>
          <t>Rs 2.5 - 5 lakhs p.a.</t>
        </is>
      </c>
      <c r="I41" s="31" t="inlineStr">
        <is>
          <t>NOT_MENTIONED</t>
        </is>
      </c>
      <c r="J41" s="31" t="inlineStr">
        <is>
          <t>Full Stack / Software Engineering Resume</t>
        </is>
      </c>
      <c r="K41" s="31" t="inlineStr">
        <is>
          <t>NOT GENERATED</t>
        </is>
      </c>
      <c r="L41" s="31" t="inlineStr">
        <is>
          <t>READY TO APPLY</t>
        </is>
      </c>
    </row>
    <row r="42">
      <c r="A42" s="31" t="n">
        <v>30</v>
      </c>
      <c r="B42" s="31" t="inlineStr">
        <is>
          <t>MAXGEN TECHNOLOGIES PRIVATE LIMITED</t>
        </is>
      </c>
      <c r="C42" s="32" t="inlineStr">
        <is>
          <t>MERN Stack Internship</t>
        </is>
      </c>
      <c r="D42" s="31" t="n">
        <v>75</v>
      </c>
      <c r="E42" s="31" t="inlineStr">
        <is>
          <t>CONSIDER</t>
        </is>
      </c>
      <c r="F42" s="31" t="inlineStr">
        <is>
          <t>Ahmedabad</t>
        </is>
      </c>
      <c r="G42" s="31" t="inlineStr">
        <is>
          <t>Hybrid</t>
        </is>
      </c>
      <c r="H42" s="31" t="inlineStr">
        <is>
          <t>Not specified</t>
        </is>
      </c>
      <c r="I42" s="31" t="inlineStr">
        <is>
          <t>UNKNOWN</t>
        </is>
      </c>
      <c r="J42" s="31" t="inlineStr">
        <is>
          <t>Default Full Stack / MERN Resume</t>
        </is>
      </c>
      <c r="K42" s="31" t="inlineStr">
        <is>
          <t>NOT GENERATED</t>
        </is>
      </c>
      <c r="L42" s="31" t="inlineStr">
        <is>
          <t>READY TO APPLY</t>
        </is>
      </c>
    </row>
    <row r="43">
      <c r="A43" s="31" t="n">
        <v>31</v>
      </c>
      <c r="B43" s="31" t="inlineStr">
        <is>
          <t>Zecser Business LLP</t>
        </is>
      </c>
      <c r="C43" s="32" t="inlineStr">
        <is>
          <t>MERN Stack Developer Internship</t>
        </is>
      </c>
      <c r="D43" s="31" t="n">
        <v>75</v>
      </c>
      <c r="E43" s="31" t="inlineStr">
        <is>
          <t>CONSIDER</t>
        </is>
      </c>
      <c r="F43" s="31" t="inlineStr">
        <is>
          <t>Kochi, Ernakulam</t>
        </is>
      </c>
      <c r="G43" s="31" t="inlineStr">
        <is>
          <t>UNKNOWN</t>
        </is>
      </c>
      <c r="H43" s="31" t="inlineStr">
        <is>
          <t>Not specified</t>
        </is>
      </c>
      <c r="I43" s="31" t="inlineStr">
        <is>
          <t>UNKNOWN</t>
        </is>
      </c>
      <c r="J43" s="31" t="inlineStr">
        <is>
          <t>Default Full Stack / MERN Resume</t>
        </is>
      </c>
      <c r="K43" s="31" t="inlineStr">
        <is>
          <t>NOT GENERATED</t>
        </is>
      </c>
      <c r="L43" s="31" t="inlineStr">
        <is>
          <t>READY TO APPLY</t>
        </is>
      </c>
    </row>
    <row r="44">
      <c r="A44" s="31" t="n">
        <v>32</v>
      </c>
      <c r="B44" s="31" t="inlineStr">
        <is>
          <t>Idli Technologies Pvt Ltd</t>
        </is>
      </c>
      <c r="C44" s="32" t="inlineStr">
        <is>
          <t>MERN Stack Developer Internship</t>
        </is>
      </c>
      <c r="D44" s="31" t="n">
        <v>75</v>
      </c>
      <c r="E44" s="31" t="inlineStr">
        <is>
          <t>CONSIDER</t>
        </is>
      </c>
      <c r="F44" s="31" t="inlineStr">
        <is>
          <t>Raipur, Chhattisgarh</t>
        </is>
      </c>
      <c r="G44" s="31" t="inlineStr">
        <is>
          <t>UNKNOWN</t>
        </is>
      </c>
      <c r="H44" s="31" t="inlineStr">
        <is>
          <t>Not specified</t>
        </is>
      </c>
      <c r="I44" s="31" t="inlineStr">
        <is>
          <t>UNKNOWN</t>
        </is>
      </c>
      <c r="J44" s="31" t="inlineStr">
        <is>
          <t>Amaanuddin_Ahmed_Fullstack_Resume.pdf</t>
        </is>
      </c>
      <c r="K44" s="31" t="inlineStr">
        <is>
          <t>NOT GENERATED</t>
        </is>
      </c>
      <c r="L44" s="31" t="inlineStr">
        <is>
          <t>READY TO APPLY</t>
        </is>
      </c>
    </row>
    <row r="45">
      <c r="A45" s="31" t="n">
        <v>33</v>
      </c>
      <c r="B45" s="31" t="inlineStr">
        <is>
          <t>Beyond Technologies Private Limited</t>
        </is>
      </c>
      <c r="C45" s="32" t="inlineStr">
        <is>
          <t>AI Engineer Intern</t>
        </is>
      </c>
      <c r="D45" s="31" t="n">
        <v>75</v>
      </c>
      <c r="E45" s="31" t="inlineStr">
        <is>
          <t>CONSIDER</t>
        </is>
      </c>
      <c r="F45" s="31" t="inlineStr">
        <is>
          <t>Bangalore, Karnataka</t>
        </is>
      </c>
      <c r="G45" s="31" t="inlineStr">
        <is>
          <t>Onsite</t>
        </is>
      </c>
      <c r="H45" s="31" t="inlineStr">
        <is>
          <t>25K/month</t>
        </is>
      </c>
      <c r="I45" s="31" t="inlineStr">
        <is>
          <t>not_mentioned</t>
        </is>
      </c>
      <c r="J45" s="31" t="inlineStr">
        <is>
          <t>Amaanuddin_Ahmed_Software_Engineer_Resume.pdf</t>
        </is>
      </c>
      <c r="K45" s="31" t="inlineStr">
        <is>
          <t>NOT GENERATED</t>
        </is>
      </c>
      <c r="L45" s="31" t="inlineStr">
        <is>
          <t>READY TO APPLY</t>
        </is>
      </c>
    </row>
    <row r="46">
      <c r="A46" s="31" t="n">
        <v>34</v>
      </c>
      <c r="B46" s="31" t="inlineStr">
        <is>
          <t>Coinbase India Services</t>
        </is>
      </c>
      <c r="C46" s="32" t="inlineStr">
        <is>
          <t>Software Engineer Intern</t>
        </is>
      </c>
      <c r="D46" s="31" t="n">
        <v>74</v>
      </c>
      <c r="E46" s="31" t="inlineStr">
        <is>
          <t>CONSIDER</t>
        </is>
      </c>
      <c r="F46" s="31" t="inlineStr">
        <is>
          <t>India</t>
        </is>
      </c>
      <c r="G46" s="31" t="inlineStr">
        <is>
          <t>work from home</t>
        </is>
      </c>
      <c r="H46" s="31" t="inlineStr">
        <is>
          <t>Rs 2.5 - 5 lakhs p.a.</t>
        </is>
      </c>
      <c r="I46" s="31" t="inlineStr">
        <is>
          <t>UNKNOWN</t>
        </is>
      </c>
      <c r="J46" s="31" t="inlineStr">
        <is>
          <t>Amaanuddin_Ahmed_Software_Engineering_Resume.pdf</t>
        </is>
      </c>
      <c r="K46" s="31" t="inlineStr">
        <is>
          <t>NOT GENERATED</t>
        </is>
      </c>
      <c r="L46" s="31" t="inlineStr">
        <is>
          <t>READY TO APPLY</t>
        </is>
      </c>
    </row>
    <row r="47">
      <c r="A47" s="31" t="n">
        <v>35</v>
      </c>
      <c r="B47" s="31" t="inlineStr">
        <is>
          <t>TransFi</t>
        </is>
      </c>
      <c r="C47" s="32" t="inlineStr">
        <is>
          <t>MERN Full Stack Developer Intern</t>
        </is>
      </c>
      <c r="D47" s="31" t="n">
        <v>74</v>
      </c>
      <c r="E47" s="31" t="inlineStr">
        <is>
          <t>CONSIDER</t>
        </is>
      </c>
      <c r="F47" s="31" t="inlineStr">
        <is>
          <t>Mysore, Karnataka</t>
        </is>
      </c>
      <c r="G47" s="31" t="inlineStr">
        <is>
          <t>UNKNOWN</t>
        </is>
      </c>
      <c r="H47" s="31" t="inlineStr">
        <is>
          <t>Not specified</t>
        </is>
      </c>
      <c r="I47" s="31" t="inlineStr">
        <is>
          <t>UNKNOWN</t>
        </is>
      </c>
      <c r="J47" s="31" t="inlineStr">
        <is>
          <t>Amaanuddin_Ahmed_Fullstack_Resume.pdf</t>
        </is>
      </c>
      <c r="K47" s="31" t="inlineStr">
        <is>
          <t>NOT GENERATED</t>
        </is>
      </c>
      <c r="L47" s="31" t="inlineStr">
        <is>
          <t>READY TO APPLY</t>
        </is>
      </c>
    </row>
    <row r="48">
      <c r="A48" s="31" t="n">
        <v>36</v>
      </c>
      <c r="B48" s="31" t="inlineStr">
        <is>
          <t>ConaXweb Solutions</t>
        </is>
      </c>
      <c r="C48" s="32" t="inlineStr">
        <is>
          <t>MERN Stack Intern</t>
        </is>
      </c>
      <c r="D48" s="31" t="n">
        <v>74</v>
      </c>
      <c r="E48" s="31" t="inlineStr">
        <is>
          <t>CONSIDER</t>
        </is>
      </c>
      <c r="F48" s="31" t="inlineStr">
        <is>
          <t>Allahabad, Uttar Pradesh</t>
        </is>
      </c>
      <c r="G48" s="31" t="inlineStr">
        <is>
          <t>On-site</t>
        </is>
      </c>
      <c r="H48" s="31" t="inlineStr">
        <is>
          <t>Not specified</t>
        </is>
      </c>
      <c r="I48" s="31" t="inlineStr">
        <is>
          <t>NOT_MENTIONED</t>
        </is>
      </c>
      <c r="J48" s="31" t="inlineStr">
        <is>
          <t>Standard Full Stack / MERN Resume</t>
        </is>
      </c>
      <c r="K48" s="31" t="inlineStr">
        <is>
          <t>NOT GENERATED</t>
        </is>
      </c>
      <c r="L48" s="31" t="inlineStr">
        <is>
          <t>READY TO APPLY</t>
        </is>
      </c>
    </row>
    <row r="49">
      <c r="A49" s="31" t="n">
        <v>37</v>
      </c>
      <c r="B49" s="31" t="inlineStr">
        <is>
          <t>tradegospel</t>
        </is>
      </c>
      <c r="C49" s="32" t="inlineStr">
        <is>
          <t>Full Stack Developer Intern</t>
        </is>
      </c>
      <c r="D49" s="31" t="n">
        <v>73</v>
      </c>
      <c r="E49" s="31" t="inlineStr">
        <is>
          <t>CONSIDER</t>
        </is>
      </c>
      <c r="F49" s="31" t="inlineStr">
        <is>
          <t>Bengaluru</t>
        </is>
      </c>
      <c r="G49" s="31" t="inlineStr">
        <is>
          <t>In-office</t>
        </is>
      </c>
      <c r="H49" s="31" t="inlineStr">
        <is>
          <t>Not specified</t>
        </is>
      </c>
      <c r="I49" s="31" t="inlineStr">
        <is>
          <t>NOT_MENTIONED</t>
        </is>
      </c>
      <c r="J49" s="31" t="inlineStr">
        <is>
          <t>MERN_Stack_Resume</t>
        </is>
      </c>
      <c r="K49" s="31" t="inlineStr">
        <is>
          <t>NOT GENERATED</t>
        </is>
      </c>
      <c r="L49" s="31" t="inlineStr">
        <is>
          <t>READY TO APPLY</t>
        </is>
      </c>
    </row>
    <row r="50">
      <c r="A50" s="31" t="n">
        <v>38</v>
      </c>
      <c r="B50" s="31" t="inlineStr">
        <is>
          <t>Coinbase India Services</t>
        </is>
      </c>
      <c r="C50" s="32" t="inlineStr">
        <is>
          <t>Software Engineer Intern</t>
        </is>
      </c>
      <c r="D50" s="31" t="n">
        <v>73</v>
      </c>
      <c r="E50" s="31" t="inlineStr">
        <is>
          <t>CONSIDER</t>
        </is>
      </c>
      <c r="F50" s="31" t="inlineStr">
        <is>
          <t>India</t>
        </is>
      </c>
      <c r="G50" s="31" t="inlineStr">
        <is>
          <t>work from home</t>
        </is>
      </c>
      <c r="H50" s="31" t="inlineStr">
        <is>
          <t>Rs 2.5 - 5 lakhs p.a.</t>
        </is>
      </c>
      <c r="I50" s="31" t="inlineStr">
        <is>
          <t>NOT_MENTIONED</t>
        </is>
      </c>
      <c r="J50" s="31" t="inlineStr">
        <is>
          <t>Amaanuddin_Ahmed_Software_Engineering_Resume.pdf</t>
        </is>
      </c>
      <c r="K50" s="31" t="inlineStr">
        <is>
          <t>NOT GENERATED</t>
        </is>
      </c>
      <c r="L50" s="31" t="inlineStr">
        <is>
          <t>READY TO APPLY</t>
        </is>
      </c>
    </row>
    <row r="51">
      <c r="A51" s="31" t="n">
        <v>39</v>
      </c>
      <c r="B51" s="31" t="inlineStr">
        <is>
          <t>shiryam</t>
        </is>
      </c>
      <c r="C51" s="32" t="inlineStr">
        <is>
          <t>Backend Developer (Python Intern)</t>
        </is>
      </c>
      <c r="D51" s="31" t="n">
        <v>73</v>
      </c>
      <c r="E51" s="31" t="inlineStr">
        <is>
          <t>CONSIDER</t>
        </is>
      </c>
      <c r="F51" s="31" t="inlineStr">
        <is>
          <t>India</t>
        </is>
      </c>
      <c r="G51" s="31" t="inlineStr">
        <is>
          <t>Remote</t>
        </is>
      </c>
      <c r="H51" s="31" t="inlineStr">
        <is>
          <t>Competitive stipend</t>
        </is>
      </c>
      <c r="I51" s="31" t="inlineStr">
        <is>
          <t>YES</t>
        </is>
      </c>
      <c r="J51" s="31" t="inlineStr">
        <is>
          <t>Amaanuddin_Ahmed_Backend_Resume.pdf</t>
        </is>
      </c>
      <c r="K51" s="31" t="inlineStr">
        <is>
          <t>NOT GENERATED</t>
        </is>
      </c>
      <c r="L51" s="31" t="inlineStr">
        <is>
          <t>READY TO APPLY</t>
        </is>
      </c>
    </row>
    <row r="52">
      <c r="A52" s="31" t="n">
        <v>40</v>
      </c>
      <c r="B52" s="31" t="inlineStr">
        <is>
          <t>Sparks To Ideas</t>
        </is>
      </c>
      <c r="C52" s="32" t="inlineStr">
        <is>
          <t>MERN Stack Developer Internship</t>
        </is>
      </c>
      <c r="D52" s="31" t="n">
        <v>73</v>
      </c>
      <c r="E52" s="31" t="inlineStr">
        <is>
          <t>CONSIDER</t>
        </is>
      </c>
      <c r="F52" s="31" t="inlineStr">
        <is>
          <t>Ahmedabad</t>
        </is>
      </c>
      <c r="G52" s="31" t="inlineStr">
        <is>
          <t>On-site</t>
        </is>
      </c>
      <c r="H52" s="31" t="inlineStr">
        <is>
          <t>Not Specified</t>
        </is>
      </c>
      <c r="I52" s="31" t="inlineStr">
        <is>
          <t>UNKNOWN</t>
        </is>
      </c>
      <c r="J52" s="31" t="inlineStr">
        <is>
          <t>Amaanuddin_Ahmed_Full_Stack_Resume.pdf</t>
        </is>
      </c>
      <c r="K52" s="31" t="inlineStr">
        <is>
          <t>NOT GENERATED</t>
        </is>
      </c>
      <c r="L52" s="31" t="inlineStr">
        <is>
          <t>READY TO APPLY</t>
        </is>
      </c>
    </row>
    <row r="53">
      <c r="A53" s="31" t="n">
        <v>41</v>
      </c>
      <c r="B53" s="31" t="inlineStr">
        <is>
          <t>Coinbase India Services</t>
        </is>
      </c>
      <c r="C53" s="32" t="inlineStr">
        <is>
          <t>Software Engineer Intern</t>
        </is>
      </c>
      <c r="D53" s="31" t="n">
        <v>72</v>
      </c>
      <c r="E53" s="31" t="inlineStr">
        <is>
          <t>CONSIDER</t>
        </is>
      </c>
      <c r="F53" s="31" t="inlineStr">
        <is>
          <t>work from home</t>
        </is>
      </c>
      <c r="G53" s="31" t="inlineStr">
        <is>
          <t>Remote</t>
        </is>
      </c>
      <c r="H53" s="31" t="inlineStr">
        <is>
          <t>Rs 2.5 - 5 lakhs p.a.</t>
        </is>
      </c>
      <c r="I53" s="31" t="inlineStr">
        <is>
          <t>UNKNOWN</t>
        </is>
      </c>
      <c r="J53" s="31" t="inlineStr">
        <is>
          <t>Amaanuddin_Ahmed_Software_Engineer_Resume.pdf</t>
        </is>
      </c>
      <c r="K53" s="31" t="inlineStr">
        <is>
          <t>NOT GENERATED</t>
        </is>
      </c>
      <c r="L53" s="31" t="inlineStr">
        <is>
          <t>READY TO APPLY</t>
        </is>
      </c>
    </row>
    <row r="54">
      <c r="A54" s="31" t="n">
        <v>42</v>
      </c>
      <c r="B54" s="31" t="inlineStr">
        <is>
          <t>Boatigo</t>
        </is>
      </c>
      <c r="C54" s="32" t="inlineStr">
        <is>
          <t>AI Backend Engineer Intern</t>
        </is>
      </c>
      <c r="D54" s="31" t="n">
        <v>72</v>
      </c>
      <c r="E54" s="31" t="inlineStr">
        <is>
          <t>CONSIDER</t>
        </is>
      </c>
      <c r="F54" s="31" t="inlineStr">
        <is>
          <t>Remote</t>
        </is>
      </c>
      <c r="G54" s="31" t="inlineStr">
        <is>
          <t>Work from home</t>
        </is>
      </c>
      <c r="H54" s="31" t="inlineStr">
        <is>
          <t>Not specified</t>
        </is>
      </c>
      <c r="I54" s="31" t="inlineStr">
        <is>
          <t>UNKNOWN</t>
        </is>
      </c>
      <c r="J54" s="31" t="inlineStr">
        <is>
          <t>Amaan_Ahmed_Backend_Python_Resume</t>
        </is>
      </c>
      <c r="K54" s="31" t="inlineStr">
        <is>
          <t>NOT GENERATED</t>
        </is>
      </c>
      <c r="L54" s="31" t="inlineStr">
        <is>
          <t>READY TO APPLY</t>
        </is>
      </c>
    </row>
    <row r="55">
      <c r="A55" s="31" t="n">
        <v>43</v>
      </c>
      <c r="B55" s="31" t="inlineStr">
        <is>
          <t>emo.energy</t>
        </is>
      </c>
      <c r="C55" s="32" t="inlineStr">
        <is>
          <t>Full-Stack Developer</t>
        </is>
      </c>
      <c r="D55" s="31" t="n">
        <v>72</v>
      </c>
      <c r="E55" s="31" t="inlineStr">
        <is>
          <t>CONSIDER</t>
        </is>
      </c>
      <c r="F55" s="31" t="inlineStr">
        <is>
          <t>Bangalore</t>
        </is>
      </c>
      <c r="G55" s="31" t="inlineStr">
        <is>
          <t>Unknown</t>
        </is>
      </c>
      <c r="H55" s="31" t="inlineStr">
        <is>
          <t>Not specified</t>
        </is>
      </c>
      <c r="I55" s="31" t="inlineStr">
        <is>
          <t>Not Mentioned</t>
        </is>
      </c>
      <c r="J55" s="31" t="inlineStr">
        <is>
          <t>Default Full-Stack / MERN Resume</t>
        </is>
      </c>
      <c r="K55" s="31" t="inlineStr">
        <is>
          <t>NOT GENERATED</t>
        </is>
      </c>
      <c r="L55" s="31" t="inlineStr">
        <is>
          <t>READY TO APPLY</t>
        </is>
      </c>
    </row>
    <row r="56">
      <c r="A56" s="31" t="n">
        <v>44</v>
      </c>
      <c r="B56" s="31" t="inlineStr">
        <is>
          <t>Lakshagath Enterprises</t>
        </is>
      </c>
      <c r="C56" s="32" t="inlineStr">
        <is>
          <t>Software Developer Intern</t>
        </is>
      </c>
      <c r="D56" s="31" t="n">
        <v>72</v>
      </c>
      <c r="E56" s="31" t="inlineStr">
        <is>
          <t>CONSIDER</t>
        </is>
      </c>
      <c r="F56" s="31" t="inlineStr">
        <is>
          <t>Kanchipuram, Tamil Nadu</t>
        </is>
      </c>
      <c r="G56" s="31" t="inlineStr">
        <is>
          <t>Unknown</t>
        </is>
      </c>
      <c r="H56" s="31" t="inlineStr">
        <is>
          <t>Not specified</t>
        </is>
      </c>
      <c r="I56" s="31" t="inlineStr">
        <is>
          <t>UNKNOWN</t>
        </is>
      </c>
      <c r="J56" s="31" t="inlineStr">
        <is>
          <t>Default Full Stack / Software Engineering Resume</t>
        </is>
      </c>
      <c r="K56" s="31" t="inlineStr">
        <is>
          <t>NOT GENERATED</t>
        </is>
      </c>
      <c r="L56" s="31" t="inlineStr">
        <is>
          <t>READY TO APPLY</t>
        </is>
      </c>
    </row>
    <row r="57">
      <c r="A57" s="31" t="n">
        <v>45</v>
      </c>
      <c r="B57" s="31" t="inlineStr">
        <is>
          <t>LOGICAL Soft Tech</t>
        </is>
      </c>
      <c r="C57" s="32" t="inlineStr">
        <is>
          <t>web development Interns</t>
        </is>
      </c>
      <c r="D57" s="31" t="n">
        <v>72</v>
      </c>
      <c r="E57" s="31" t="inlineStr">
        <is>
          <t>CONSIDER</t>
        </is>
      </c>
      <c r="F57" s="31" t="inlineStr">
        <is>
          <t>Indore, Madhya Pradesh</t>
        </is>
      </c>
      <c r="G57" s="31" t="inlineStr">
        <is>
          <t>Work from office</t>
        </is>
      </c>
      <c r="H57" s="31" t="inlineStr">
        <is>
          <t>Not mentioned</t>
        </is>
      </c>
      <c r="I57" s="31" t="inlineStr">
        <is>
          <t>UNKNOWN</t>
        </is>
      </c>
      <c r="J57" s="31" t="inlineStr">
        <is>
          <t>Amaanuddin_Ahmed_Full_Stack_Resume.pdf</t>
        </is>
      </c>
      <c r="K57" s="31" t="inlineStr">
        <is>
          <t>NOT GENERATED</t>
        </is>
      </c>
      <c r="L57" s="31" t="inlineStr">
        <is>
          <t>READY TO APPLY</t>
        </is>
      </c>
    </row>
    <row r="58">
      <c r="A58" s="31" t="n">
        <v>46</v>
      </c>
      <c r="B58" s="31" t="inlineStr">
        <is>
          <t>IONIC (Under Rebranding)</t>
        </is>
      </c>
      <c r="C58" s="32" t="inlineStr">
        <is>
          <t>Full Stack Engineer / Tech Intern</t>
        </is>
      </c>
      <c r="D58" s="31" t="n">
        <v>71</v>
      </c>
      <c r="E58" s="31" t="inlineStr">
        <is>
          <t>CONSIDER</t>
        </is>
      </c>
      <c r="F58" s="31" t="inlineStr">
        <is>
          <t>Gurgaon, Bangalore</t>
        </is>
      </c>
      <c r="G58" s="31" t="inlineStr">
        <is>
          <t>On-site / Unspecified</t>
        </is>
      </c>
      <c r="H58" s="31" t="inlineStr">
        <is>
          <t>INR 25K to 50K</t>
        </is>
      </c>
      <c r="I58" s="31" t="inlineStr">
        <is>
          <t>NOT_MENTIONED</t>
        </is>
      </c>
      <c r="J58" s="31" t="inlineStr">
        <is>
          <t>Full Stack &amp; Backend Development Resume</t>
        </is>
      </c>
      <c r="K58" s="31" t="inlineStr">
        <is>
          <t>NOT GENERATED</t>
        </is>
      </c>
      <c r="L58" s="31" t="inlineStr">
        <is>
          <t>READY TO APPLY</t>
        </is>
      </c>
    </row>
    <row r="59">
      <c r="A59" s="31" t="n">
        <v>47</v>
      </c>
      <c r="B59" s="31" t="inlineStr">
        <is>
          <t>emo.energy</t>
        </is>
      </c>
      <c r="C59" s="32" t="inlineStr">
        <is>
          <t>Full-Stack Developer</t>
        </is>
      </c>
      <c r="D59" s="31" t="n">
        <v>71</v>
      </c>
      <c r="E59" s="31" t="inlineStr">
        <is>
          <t>CONSIDER</t>
        </is>
      </c>
      <c r="F59" s="31" t="inlineStr">
        <is>
          <t>Bangalore</t>
        </is>
      </c>
      <c r="G59" s="31" t="inlineStr">
        <is>
          <t>Unknown</t>
        </is>
      </c>
      <c r="H59" s="31" t="inlineStr">
        <is>
          <t>Not specified</t>
        </is>
      </c>
      <c r="I59" s="31" t="inlineStr">
        <is>
          <t>Not Mentioned</t>
        </is>
      </c>
      <c r="J59" s="31" t="inlineStr">
        <is>
          <t>Amaanuddin_Ahmed_Full_Stack_Resume</t>
        </is>
      </c>
      <c r="K59" s="31" t="inlineStr">
        <is>
          <t>NOT GENERATED</t>
        </is>
      </c>
      <c r="L59" s="31" t="inlineStr">
        <is>
          <t>READY TO APPLY</t>
        </is>
      </c>
    </row>
    <row r="60">
      <c r="A60" s="31" t="n">
        <v>48</v>
      </c>
      <c r="B60" s="31" t="inlineStr">
        <is>
          <t>Coinbase India Services</t>
        </is>
      </c>
      <c r="C60" s="32" t="inlineStr">
        <is>
          <t>Software Engineer Intern</t>
        </is>
      </c>
      <c r="D60" s="31" t="n">
        <v>71</v>
      </c>
      <c r="E60" s="31" t="inlineStr">
        <is>
          <t>CONSIDER</t>
        </is>
      </c>
      <c r="F60" s="31" t="inlineStr">
        <is>
          <t>India</t>
        </is>
      </c>
      <c r="G60" s="31" t="inlineStr">
        <is>
          <t>Unknown</t>
        </is>
      </c>
      <c r="H60" s="31" t="inlineStr">
        <is>
          <t>Not specified</t>
        </is>
      </c>
      <c r="I60" s="31" t="inlineStr">
        <is>
          <t>Not mentioned</t>
        </is>
      </c>
      <c r="J60" s="31" t="inlineStr">
        <is>
          <t>Amaanuddin_Ahmed_Software_Engineering_Resume.pdf</t>
        </is>
      </c>
      <c r="K60" s="31" t="inlineStr">
        <is>
          <t>NOT GENERATED</t>
        </is>
      </c>
      <c r="L60" s="31" t="inlineStr">
        <is>
          <t>READY TO APPLY</t>
        </is>
      </c>
    </row>
    <row r="61">
      <c r="A61" s="31" t="n">
        <v>49</v>
      </c>
      <c r="B61" s="31" t="inlineStr">
        <is>
          <t>Geta AI Labs Pvt Ltd</t>
        </is>
      </c>
      <c r="C61" s="32" t="inlineStr">
        <is>
          <t>Full Stack Development Intern (MERN Python)</t>
        </is>
      </c>
      <c r="D61" s="31" t="n">
        <v>71</v>
      </c>
      <c r="E61" s="31" t="inlineStr">
        <is>
          <t>CONSIDER</t>
        </is>
      </c>
      <c r="F61" s="31" t="inlineStr">
        <is>
          <t>Pune, Maharashtra</t>
        </is>
      </c>
      <c r="G61" s="31" t="inlineStr">
        <is>
          <t>unknown</t>
        </is>
      </c>
      <c r="H61" s="31" t="inlineStr">
        <is>
          <t>unknown</t>
        </is>
      </c>
      <c r="I61" s="31" t="inlineStr">
        <is>
          <t>not mentioned</t>
        </is>
      </c>
      <c r="J61" s="31" t="inlineStr">
        <is>
          <t>Amaanuddin_Ahmed_Full_Stack_Resume.pdf</t>
        </is>
      </c>
      <c r="K61" s="31" t="inlineStr">
        <is>
          <t>NOT GENERATED</t>
        </is>
      </c>
      <c r="L61" s="31" t="inlineStr">
        <is>
          <t>READY TO APPLY</t>
        </is>
      </c>
    </row>
    <row r="62">
      <c r="A62" s="31" t="n">
        <v>50</v>
      </c>
      <c r="B62" s="31" t="inlineStr">
        <is>
          <t>Ylytic</t>
        </is>
      </c>
      <c r="C62" s="32" t="inlineStr">
        <is>
          <t>Backend Developer</t>
        </is>
      </c>
      <c r="D62" s="31" t="n">
        <v>71</v>
      </c>
      <c r="E62" s="31" t="inlineStr">
        <is>
          <t>CONSIDER</t>
        </is>
      </c>
      <c r="F62" s="31" t="inlineStr">
        <is>
          <t>India</t>
        </is>
      </c>
      <c r="G62" s="31" t="inlineStr">
        <is>
          <t>UNKNOWN</t>
        </is>
      </c>
      <c r="H62" s="31" t="inlineStr">
        <is>
          <t>Not specified</t>
        </is>
      </c>
      <c r="I62" s="31" t="inlineStr">
        <is>
          <t>YES</t>
        </is>
      </c>
      <c r="J62" s="31" t="inlineStr">
        <is>
          <t>Default Full-Stack/Backend Resume</t>
        </is>
      </c>
      <c r="K62" s="31" t="inlineStr">
        <is>
          <t>NOT GENERATED</t>
        </is>
      </c>
      <c r="L62" s="31" t="inlineStr">
        <is>
          <t>READY TO APPLY</t>
        </is>
      </c>
    </row>
    <row r="63">
      <c r="A63" s="31" t="n">
        <v>51</v>
      </c>
      <c r="B63" s="31" t="inlineStr">
        <is>
          <t>LOGICAL Soft Tech</t>
        </is>
      </c>
      <c r="C63" s="32" t="inlineStr">
        <is>
          <t>Node.js Intern</t>
        </is>
      </c>
      <c r="D63" s="31" t="n">
        <v>71</v>
      </c>
      <c r="E63" s="31" t="inlineStr">
        <is>
          <t>CONSIDER</t>
        </is>
      </c>
      <c r="F63" s="31" t="inlineStr">
        <is>
          <t>Indore, Madhya Pradesh</t>
        </is>
      </c>
      <c r="G63" s="31" t="inlineStr">
        <is>
          <t>Work from office</t>
        </is>
      </c>
      <c r="H63" s="31" t="inlineStr">
        <is>
          <t>Not specified</t>
        </is>
      </c>
      <c r="I63" s="31" t="inlineStr">
        <is>
          <t>NOT_MENTIONED</t>
        </is>
      </c>
      <c r="J63" s="31" t="inlineStr">
        <is>
          <t>Amaanuddin_Ahmed_FullStack_Resume.pdf</t>
        </is>
      </c>
      <c r="K63" s="31" t="inlineStr">
        <is>
          <t>NOT GENERATED</t>
        </is>
      </c>
      <c r="L63" s="31" t="inlineStr">
        <is>
          <t>READY TO APPLY</t>
        </is>
      </c>
    </row>
    <row r="64">
      <c r="A64" s="31" t="n">
        <v>52</v>
      </c>
      <c r="B64" s="31" t="inlineStr">
        <is>
          <t>Unknown</t>
        </is>
      </c>
      <c r="C64" s="32" t="inlineStr">
        <is>
          <t>AI Engineer Internship</t>
        </is>
      </c>
      <c r="D64" s="31" t="n">
        <v>70</v>
      </c>
      <c r="E64" s="31" t="inlineStr">
        <is>
          <t>CONSIDER</t>
        </is>
      </c>
      <c r="F64" s="31" t="inlineStr">
        <is>
          <t>Remote</t>
        </is>
      </c>
      <c r="G64" s="31" t="inlineStr">
        <is>
          <t>Work from home</t>
        </is>
      </c>
      <c r="H64" s="31" t="inlineStr">
        <is>
          <t>Not specified</t>
        </is>
      </c>
      <c r="I64" s="31" t="inlineStr">
        <is>
          <t>UNKNOWN</t>
        </is>
      </c>
      <c r="J64" s="31" t="inlineStr">
        <is>
          <t>Amaan_Ahmed_Fullstack_Resume.pdf</t>
        </is>
      </c>
      <c r="K64" s="31" t="inlineStr">
        <is>
          <t>NOT GENERATED</t>
        </is>
      </c>
      <c r="L64" s="31" t="inlineStr">
        <is>
          <t>READY TO APPLY</t>
        </is>
      </c>
    </row>
    <row r="65">
      <c r="A65" s="31" t="n">
        <v>53</v>
      </c>
      <c r="B65" s="31" t="inlineStr">
        <is>
          <t>emo.energy</t>
        </is>
      </c>
      <c r="C65" s="32" t="inlineStr">
        <is>
          <t>Full-Stack Developer Intern</t>
        </is>
      </c>
      <c r="D65" s="31" t="n">
        <v>70</v>
      </c>
      <c r="E65" s="31" t="inlineStr">
        <is>
          <t>CONSIDER</t>
        </is>
      </c>
      <c r="F65" s="31" t="inlineStr">
        <is>
          <t>Bangalore</t>
        </is>
      </c>
      <c r="G65" s="31" t="inlineStr">
        <is>
          <t>UNKNOWN</t>
        </is>
      </c>
      <c r="H65" s="31" t="inlineStr">
        <is>
          <t>Not specified</t>
        </is>
      </c>
      <c r="I65" s="31" t="inlineStr">
        <is>
          <t>UNKNOWN</t>
        </is>
      </c>
      <c r="J65" s="31" t="inlineStr">
        <is>
          <t>Default Full Stack Resume</t>
        </is>
      </c>
      <c r="K65" s="31" t="inlineStr">
        <is>
          <t>NOT GENERATED</t>
        </is>
      </c>
      <c r="L65" s="31" t="inlineStr">
        <is>
          <t>READY TO APPLY</t>
        </is>
      </c>
    </row>
    <row r="66">
      <c r="A66" s="31" t="n">
        <v>54</v>
      </c>
      <c r="B66" s="31" t="inlineStr">
        <is>
          <t>Boatigo</t>
        </is>
      </c>
      <c r="C66" s="32" t="inlineStr">
        <is>
          <t>AI Backend Engineer Intern</t>
        </is>
      </c>
      <c r="D66" s="31" t="n">
        <v>70</v>
      </c>
      <c r="E66" s="31" t="inlineStr">
        <is>
          <t>CONSIDER</t>
        </is>
      </c>
      <c r="F66" s="31" t="inlineStr">
        <is>
          <t>work from home</t>
        </is>
      </c>
      <c r="G66" s="31" t="inlineStr">
        <is>
          <t>Remote</t>
        </is>
      </c>
      <c r="H66" s="31" t="inlineStr">
        <is>
          <t>Not specified</t>
        </is>
      </c>
      <c r="I66" s="31" t="inlineStr">
        <is>
          <t>NOT_MENTIONED</t>
        </is>
      </c>
      <c r="J66" s="31" t="inlineStr">
        <is>
          <t>Default Full Stack / Backend Resume</t>
        </is>
      </c>
      <c r="K66" s="31" t="inlineStr">
        <is>
          <t>NOT GENERATED</t>
        </is>
      </c>
      <c r="L66" s="31" t="inlineStr">
        <is>
          <t>READY TO APPLY</t>
        </is>
      </c>
    </row>
    <row r="67">
      <c r="A67" s="31" t="n">
        <v>55</v>
      </c>
      <c r="B67" s="31" t="inlineStr">
        <is>
          <t>keyshade</t>
        </is>
      </c>
      <c r="C67" s="32" t="inlineStr">
        <is>
          <t>Full-Stack Developer Intern</t>
        </is>
      </c>
      <c r="D67" s="31" t="n">
        <v>70</v>
      </c>
      <c r="E67" s="31" t="inlineStr">
        <is>
          <t>CONSIDER</t>
        </is>
      </c>
      <c r="F67" s="31" t="inlineStr">
        <is>
          <t>India</t>
        </is>
      </c>
      <c r="G67" s="31" t="inlineStr">
        <is>
          <t>Remote / Unspecified</t>
        </is>
      </c>
      <c r="H67" s="31" t="inlineStr">
        <is>
          <t>Not Specified</t>
        </is>
      </c>
      <c r="I67" s="31" t="inlineStr">
        <is>
          <t>UNKNOWN</t>
        </is>
      </c>
      <c r="J67" s="31" t="inlineStr">
        <is>
          <t>Amaanuddin_Ahmed_FullStack_Resume.pdf</t>
        </is>
      </c>
      <c r="K67" s="31" t="inlineStr">
        <is>
          <t>NOT GENERATED</t>
        </is>
      </c>
      <c r="L67" s="31" t="inlineStr">
        <is>
          <t>READY TO APPLY</t>
        </is>
      </c>
    </row>
    <row r="68">
      <c r="A68" s="31" t="n">
        <v>56</v>
      </c>
      <c r="B68" s="31" t="inlineStr">
        <is>
          <t>Affworld Technologies</t>
        </is>
      </c>
      <c r="C68" s="32" t="inlineStr">
        <is>
          <t>SDE Intern</t>
        </is>
      </c>
      <c r="D68" s="31" t="n">
        <v>70</v>
      </c>
      <c r="E68" s="31" t="inlineStr">
        <is>
          <t>CONSIDER</t>
        </is>
      </c>
      <c r="F68" s="31" t="inlineStr">
        <is>
          <t>Jaipur, Rajasthan</t>
        </is>
      </c>
      <c r="G68" s="31" t="inlineStr">
        <is>
          <t>Unknown</t>
        </is>
      </c>
      <c r="H68" s="31" t="inlineStr">
        <is>
          <t>Not specified</t>
        </is>
      </c>
      <c r="I68" s="31" t="inlineStr">
        <is>
          <t>Not Mentioned</t>
        </is>
      </c>
      <c r="J68" s="31" t="inlineStr">
        <is>
          <t>Amaanuddin_Ahmed_Full_Stack_Resume.pdf</t>
        </is>
      </c>
      <c r="K68" s="31" t="inlineStr">
        <is>
          <t>NOT GENERATED</t>
        </is>
      </c>
      <c r="L68" s="31" t="inlineStr">
        <is>
          <t>READY TO APPLY</t>
        </is>
      </c>
    </row>
    <row r="71">
      <c r="A71" s="24" t="inlineStr">
        <is>
          <t>ALREADY APPLIED</t>
        </is>
      </c>
    </row>
    <row r="73">
      <c r="A73" s="25" t="inlineStr">
        <is>
          <t>Rank</t>
        </is>
      </c>
      <c r="B73" s="25" t="inlineStr">
        <is>
          <t>Company</t>
        </is>
      </c>
      <c r="C73" s="25" t="inlineStr">
        <is>
          <t>Role</t>
        </is>
      </c>
      <c r="D73" s="25" t="inlineStr">
        <is>
          <t>Score</t>
        </is>
      </c>
      <c r="E73" s="25" t="inlineStr">
        <is>
          <t>Recommendation</t>
        </is>
      </c>
      <c r="F73" s="25" t="inlineStr">
        <is>
          <t>Location</t>
        </is>
      </c>
      <c r="G73" s="25" t="inlineStr">
        <is>
          <t>Work Mode</t>
        </is>
      </c>
      <c r="H73" s="25" t="inlineStr">
        <is>
          <t>Stipend</t>
        </is>
      </c>
      <c r="I73" s="25" t="inlineStr">
        <is>
          <t>PPO</t>
        </is>
      </c>
      <c r="J73" s="25" t="inlineStr">
        <is>
          <t>Resume</t>
        </is>
      </c>
      <c r="K73" s="25" t="inlineStr">
        <is>
          <t>Application Kit</t>
        </is>
      </c>
      <c r="L73" s="25" t="inlineStr">
        <is>
          <t>Status</t>
        </is>
      </c>
    </row>
    <row r="76">
      <c r="A76" s="29" t="inlineStr">
        <is>
          <t>MORNING ROUTINE</t>
        </is>
      </c>
    </row>
    <row r="77">
      <c r="A77" t="inlineStr">
        <is>
          <t>1. Start with APPLY ASAP.</t>
        </is>
      </c>
    </row>
    <row r="78">
      <c r="A78" t="inlineStr">
        <is>
          <t>2. Click the Role to open the original job.</t>
        </is>
      </c>
    </row>
    <row r="79">
      <c r="A79" t="inlineStr">
        <is>
          <t>3. Click OPEN KIT to review the generated application material.</t>
        </is>
      </c>
    </row>
    <row r="80">
      <c r="A80" t="inlineStr">
        <is>
          <t>4. Submit the application manually.</t>
        </is>
      </c>
    </row>
    <row r="81">
      <c r="A81" t="inlineStr">
        <is>
          <t>5. In the Jobs sheet, change Apply Status to APPLIED.</t>
        </is>
      </c>
    </row>
    <row r="82">
      <c r="A82" t="inlineStr">
        <is>
          <t>6. Refresh the dashboard. The job will move to ALREADY APPLIED.</t>
        </is>
      </c>
    </row>
  </sheetData>
  <autoFilter ref="A12:L73"/>
  <mergeCells count="11">
    <mergeCell ref="A78:L78"/>
    <mergeCell ref="A81:L81"/>
    <mergeCell ref="A10:L10"/>
    <mergeCell ref="A82:L82"/>
    <mergeCell ref="A71:L71"/>
    <mergeCell ref="A1:L1"/>
    <mergeCell ref="A80:L80"/>
    <mergeCell ref="A9:L9"/>
    <mergeCell ref="A79:L79"/>
    <mergeCell ref="A3:L3"/>
    <mergeCell ref="A77:L77"/>
  </mergeCells>
  <hyperlinks>
    <hyperlink xmlns:r="http://schemas.openxmlformats.org/officeDocument/2006/relationships" ref="C13" r:id="rId1"/>
    <hyperlink xmlns:r="http://schemas.openxmlformats.org/officeDocument/2006/relationships" ref="K13" r:id="rId2"/>
    <hyperlink xmlns:r="http://schemas.openxmlformats.org/officeDocument/2006/relationships" ref="C14" r:id="rId3"/>
    <hyperlink xmlns:r="http://schemas.openxmlformats.org/officeDocument/2006/relationships" ref="K14" r:id="rId4"/>
    <hyperlink xmlns:r="http://schemas.openxmlformats.org/officeDocument/2006/relationships" ref="C15" r:id="rId5"/>
    <hyperlink xmlns:r="http://schemas.openxmlformats.org/officeDocument/2006/relationships" ref="K15" r:id="rId6"/>
    <hyperlink xmlns:r="http://schemas.openxmlformats.org/officeDocument/2006/relationships" ref="C16" r:id="rId7"/>
    <hyperlink xmlns:r="http://schemas.openxmlformats.org/officeDocument/2006/relationships" ref="K16" r:id="rId8"/>
    <hyperlink xmlns:r="http://schemas.openxmlformats.org/officeDocument/2006/relationships" ref="C17" r:id="rId9"/>
    <hyperlink xmlns:r="http://schemas.openxmlformats.org/officeDocument/2006/relationships" ref="K17" r:id="rId10"/>
    <hyperlink xmlns:r="http://schemas.openxmlformats.org/officeDocument/2006/relationships" ref="C18" r:id="rId11"/>
    <hyperlink xmlns:r="http://schemas.openxmlformats.org/officeDocument/2006/relationships" ref="K18" r:id="rId12"/>
    <hyperlink xmlns:r="http://schemas.openxmlformats.org/officeDocument/2006/relationships" ref="C19" r:id="rId13"/>
    <hyperlink xmlns:r="http://schemas.openxmlformats.org/officeDocument/2006/relationships" ref="K19" r:id="rId14"/>
    <hyperlink xmlns:r="http://schemas.openxmlformats.org/officeDocument/2006/relationships" ref="C21" r:id="rId15"/>
    <hyperlink xmlns:r="http://schemas.openxmlformats.org/officeDocument/2006/relationships" ref="K21" r:id="rId16"/>
    <hyperlink xmlns:r="http://schemas.openxmlformats.org/officeDocument/2006/relationships" ref="C22" r:id="rId17"/>
    <hyperlink xmlns:r="http://schemas.openxmlformats.org/officeDocument/2006/relationships" ref="K22" r:id="rId18"/>
    <hyperlink xmlns:r="http://schemas.openxmlformats.org/officeDocument/2006/relationships" ref="C23" r:id="rId19"/>
    <hyperlink xmlns:r="http://schemas.openxmlformats.org/officeDocument/2006/relationships" ref="K23" r:id="rId20"/>
    <hyperlink xmlns:r="http://schemas.openxmlformats.org/officeDocument/2006/relationships" ref="C24" r:id="rId21"/>
    <hyperlink xmlns:r="http://schemas.openxmlformats.org/officeDocument/2006/relationships" ref="K24" r:id="rId22"/>
    <hyperlink xmlns:r="http://schemas.openxmlformats.org/officeDocument/2006/relationships" ref="C25" r:id="rId23"/>
    <hyperlink xmlns:r="http://schemas.openxmlformats.org/officeDocument/2006/relationships" ref="C26" r:id="rId24"/>
    <hyperlink xmlns:r="http://schemas.openxmlformats.org/officeDocument/2006/relationships" ref="C27" r:id="rId25"/>
    <hyperlink xmlns:r="http://schemas.openxmlformats.org/officeDocument/2006/relationships" ref="C28" r:id="rId26"/>
    <hyperlink xmlns:r="http://schemas.openxmlformats.org/officeDocument/2006/relationships" ref="C29" r:id="rId27"/>
    <hyperlink xmlns:r="http://schemas.openxmlformats.org/officeDocument/2006/relationships" ref="C30" r:id="rId28"/>
    <hyperlink xmlns:r="http://schemas.openxmlformats.org/officeDocument/2006/relationships" ref="C31" r:id="rId29"/>
    <hyperlink xmlns:r="http://schemas.openxmlformats.org/officeDocument/2006/relationships" ref="C32" r:id="rId30"/>
    <hyperlink xmlns:r="http://schemas.openxmlformats.org/officeDocument/2006/relationships" ref="C33" r:id="rId31"/>
    <hyperlink xmlns:r="http://schemas.openxmlformats.org/officeDocument/2006/relationships" ref="C34" r:id="rId32"/>
    <hyperlink xmlns:r="http://schemas.openxmlformats.org/officeDocument/2006/relationships" ref="C35" r:id="rId33"/>
    <hyperlink xmlns:r="http://schemas.openxmlformats.org/officeDocument/2006/relationships" ref="C36" r:id="rId34"/>
    <hyperlink xmlns:r="http://schemas.openxmlformats.org/officeDocument/2006/relationships" ref="C37" r:id="rId35"/>
    <hyperlink xmlns:r="http://schemas.openxmlformats.org/officeDocument/2006/relationships" ref="C38" r:id="rId36"/>
    <hyperlink xmlns:r="http://schemas.openxmlformats.org/officeDocument/2006/relationships" ref="C39" r:id="rId37"/>
    <hyperlink xmlns:r="http://schemas.openxmlformats.org/officeDocument/2006/relationships" ref="C40" r:id="rId38"/>
    <hyperlink xmlns:r="http://schemas.openxmlformats.org/officeDocument/2006/relationships" ref="C41" r:id="rId39"/>
    <hyperlink xmlns:r="http://schemas.openxmlformats.org/officeDocument/2006/relationships" ref="C42" r:id="rId40"/>
    <hyperlink xmlns:r="http://schemas.openxmlformats.org/officeDocument/2006/relationships" ref="C43" r:id="rId41"/>
    <hyperlink xmlns:r="http://schemas.openxmlformats.org/officeDocument/2006/relationships" ref="C44" r:id="rId42"/>
    <hyperlink xmlns:r="http://schemas.openxmlformats.org/officeDocument/2006/relationships" ref="C45" r:id="rId43"/>
    <hyperlink xmlns:r="http://schemas.openxmlformats.org/officeDocument/2006/relationships" ref="C46" r:id="rId44"/>
    <hyperlink xmlns:r="http://schemas.openxmlformats.org/officeDocument/2006/relationships" ref="C47" r:id="rId45"/>
    <hyperlink xmlns:r="http://schemas.openxmlformats.org/officeDocument/2006/relationships" ref="C48" r:id="rId46"/>
    <hyperlink xmlns:r="http://schemas.openxmlformats.org/officeDocument/2006/relationships" ref="C49" r:id="rId47"/>
    <hyperlink xmlns:r="http://schemas.openxmlformats.org/officeDocument/2006/relationships" ref="C50" r:id="rId48"/>
    <hyperlink xmlns:r="http://schemas.openxmlformats.org/officeDocument/2006/relationships" ref="C51" r:id="rId49"/>
    <hyperlink xmlns:r="http://schemas.openxmlformats.org/officeDocument/2006/relationships" ref="C52" r:id="rId50"/>
    <hyperlink xmlns:r="http://schemas.openxmlformats.org/officeDocument/2006/relationships" ref="C53" r:id="rId51"/>
    <hyperlink xmlns:r="http://schemas.openxmlformats.org/officeDocument/2006/relationships" ref="C54" r:id="rId52"/>
    <hyperlink xmlns:r="http://schemas.openxmlformats.org/officeDocument/2006/relationships" ref="C55" r:id="rId53"/>
    <hyperlink xmlns:r="http://schemas.openxmlformats.org/officeDocument/2006/relationships" ref="C56" r:id="rId54"/>
    <hyperlink xmlns:r="http://schemas.openxmlformats.org/officeDocument/2006/relationships" ref="C57" r:id="rId55"/>
    <hyperlink xmlns:r="http://schemas.openxmlformats.org/officeDocument/2006/relationships" ref="C58" r:id="rId56"/>
    <hyperlink xmlns:r="http://schemas.openxmlformats.org/officeDocument/2006/relationships" ref="C59" r:id="rId57"/>
    <hyperlink xmlns:r="http://schemas.openxmlformats.org/officeDocument/2006/relationships" ref="C60" r:id="rId58"/>
    <hyperlink xmlns:r="http://schemas.openxmlformats.org/officeDocument/2006/relationships" ref="C61" r:id="rId59"/>
    <hyperlink xmlns:r="http://schemas.openxmlformats.org/officeDocument/2006/relationships" ref="C62" r:id="rId60"/>
    <hyperlink xmlns:r="http://schemas.openxmlformats.org/officeDocument/2006/relationships" ref="C63" r:id="rId61"/>
    <hyperlink xmlns:r="http://schemas.openxmlformats.org/officeDocument/2006/relationships" ref="C64" r:id="rId62"/>
    <hyperlink xmlns:r="http://schemas.openxmlformats.org/officeDocument/2006/relationships" ref="C65" r:id="rId63"/>
    <hyperlink xmlns:r="http://schemas.openxmlformats.org/officeDocument/2006/relationships" ref="C66" r:id="rId64"/>
    <hyperlink xmlns:r="http://schemas.openxmlformats.org/officeDocument/2006/relationships" ref="C67" r:id="rId65"/>
    <hyperlink xmlns:r="http://schemas.openxmlformats.org/officeDocument/2006/relationships" ref="C68" r:id="rId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2" customWidth="1" style="15" min="1" max="1"/>
    <col width="100" customWidth="1" style="15" min="2" max="2"/>
  </cols>
  <sheetData>
    <row r="1" ht="30" customHeight="1" s="15">
      <c r="A1" s="1" t="inlineStr">
        <is>
          <t>Amaan's Internship Ecosystem — v1</t>
        </is>
      </c>
      <c r="B1" s="2" t="n"/>
    </row>
    <row r="2">
      <c r="A2" s="2" t="inlineStr">
        <is>
          <t>Purpose</t>
        </is>
      </c>
      <c r="B2" s="2" t="inlineStr">
        <is>
          <t>Personal internship CRM + AI-ready job database.</t>
        </is>
      </c>
    </row>
    <row r="3">
      <c r="A3" s="2" t="inlineStr">
        <is>
          <t>Workflow</t>
        </is>
      </c>
      <c r="B3" s="2" t="inlineStr">
        <is>
          <t>Discover → Analyze → Shortlist → Apply → OA → Interview → Offer → PPO</t>
        </is>
      </c>
    </row>
    <row r="4">
      <c r="A4" s="2" t="inlineStr">
        <is>
          <t>Start here</t>
        </is>
      </c>
      <c r="B4" s="2" t="inlineStr">
        <is>
          <t>Fill Career_Profile and verify Skills. Add jobs to Jobs. Applications are only for jobs you actually apply to.</t>
        </is>
      </c>
    </row>
    <row r="5">
      <c r="A5" s="2" t="inlineStr">
        <is>
          <t>AI fields</t>
        </is>
      </c>
      <c r="B5" s="2" t="inlineStr">
        <is>
          <t>Match/fit scores, skill gaps, PPO signal and resume version will later be populated by the AI analyzer.</t>
        </is>
      </c>
    </row>
    <row r="6" ht="30" customHeight="1" s="15">
      <c r="A6" s="2" t="inlineStr">
        <is>
          <t>Scoring</t>
        </is>
      </c>
      <c r="B6" s="2" t="inlineStr">
        <is>
          <t>Overall Match = Technical 30% + Experience 20% + Role 15% + PPO 15% + Compensation 10% + Opportunity Quality 10%.</t>
        </is>
      </c>
    </row>
    <row r="7">
      <c r="A7" s="2" t="inlineStr">
        <is>
          <t>Priority</t>
        </is>
      </c>
      <c r="B7" s="2" t="inlineStr">
        <is>
          <t>P1 = 80+, P2 = 70–79, P3 = 60–69, P4 = below 60. APPLY ASAP is reserved for 90+.</t>
        </is>
      </c>
    </row>
    <row r="8">
      <c r="A8" s="2" t="inlineStr">
        <is>
          <t>Important</t>
        </is>
      </c>
      <c r="B8" s="2" t="inlineStr">
        <is>
          <t>Never let AI invent skills, experience, metrics, eligibility, compensation or PPO claims.</t>
        </is>
      </c>
    </row>
    <row r="9">
      <c r="A9" s="2" t="inlineStr">
        <is>
          <t>Next build step</t>
        </is>
      </c>
      <c r="B9" s="2" t="inlineStr">
        <is>
          <t>Connect the AI Job Analyzer to this database, then add job discovery automation.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21" customWidth="1" style="15" min="1" max="1"/>
    <col width="42" customWidth="1" style="15" min="2" max="2"/>
  </cols>
  <sheetData>
    <row r="1">
      <c r="A1" s="1" t="inlineStr">
        <is>
          <t>Field</t>
        </is>
      </c>
      <c r="B1" s="1" t="inlineStr">
        <is>
          <t>Value</t>
        </is>
      </c>
    </row>
    <row r="2">
      <c r="A2" s="2" t="inlineStr">
        <is>
          <t>Candidate</t>
        </is>
      </c>
      <c r="B2" s="2" t="inlineStr">
        <is>
          <t>Amaanuddin Ahmed</t>
        </is>
      </c>
    </row>
    <row r="3">
      <c r="A3" s="2" t="inlineStr">
        <is>
          <t>Current Degree</t>
        </is>
      </c>
      <c r="B3" s="2" t="inlineStr">
        <is>
          <t>MCA</t>
        </is>
      </c>
    </row>
    <row r="4">
      <c r="A4" s="2" t="inlineStr">
        <is>
          <t>University</t>
        </is>
      </c>
      <c r="B4" s="2" t="inlineStr">
        <is>
          <t>PES University, Bengaluru</t>
        </is>
      </c>
    </row>
    <row r="5">
      <c r="A5" s="2" t="inlineStr">
        <is>
          <t>MCA CGPA</t>
        </is>
      </c>
      <c r="B5" s="2" t="n">
        <v>8.48</v>
      </c>
    </row>
    <row r="6">
      <c r="A6" s="2" t="inlineStr">
        <is>
          <t>BCA CGPA</t>
        </is>
      </c>
      <c r="B6" s="2" t="n">
        <v>8.199999999999999</v>
      </c>
    </row>
    <row r="7">
      <c r="A7" s="2" t="inlineStr">
        <is>
          <t>Location Preference</t>
        </is>
      </c>
      <c r="B7" s="2" t="inlineStr">
        <is>
          <t>Anywhere in India</t>
        </is>
      </c>
    </row>
    <row r="8">
      <c r="A8" s="2" t="inlineStr">
        <is>
          <t>Work Mode</t>
        </is>
      </c>
      <c r="B8" s="2" t="inlineStr">
        <is>
          <t>Remote / Hybrid / On-site</t>
        </is>
      </c>
    </row>
    <row r="9">
      <c r="A9" s="2" t="inlineStr">
        <is>
          <t>Minimum Stipend</t>
        </is>
      </c>
      <c r="B9" s="2" t="n">
        <v>25000</v>
      </c>
    </row>
    <row r="10">
      <c r="A10" s="2" t="inlineStr">
        <is>
          <t>Duration</t>
        </is>
      </c>
      <c r="B10" s="2" t="inlineStr">
        <is>
          <t>Any</t>
        </is>
      </c>
    </row>
    <row r="11">
      <c r="A11" s="2" t="inlineStr">
        <is>
          <t>Company Preference</t>
        </is>
      </c>
      <c r="B11" s="2" t="inlineStr">
        <is>
          <t>No preference</t>
        </is>
      </c>
    </row>
    <row r="12">
      <c r="A12" s="2" t="inlineStr">
        <is>
          <t>PPO Priority</t>
        </is>
      </c>
      <c r="B12" s="2" t="inlineStr">
        <is>
          <t>High</t>
        </is>
      </c>
    </row>
    <row r="13" ht="30" customHeight="1" s="15">
      <c r="A13" s="2" t="inlineStr">
        <is>
          <t>Primary Roles</t>
        </is>
      </c>
      <c r="B13" s="2" t="inlineStr">
        <is>
          <t>SDE / Software Engineer Intern; Full Stack Intern; Backend Intern</t>
        </is>
      </c>
    </row>
    <row r="14" ht="30" customHeight="1" s="15">
      <c r="A14" s="2" t="inlineStr">
        <is>
          <t>Secondary Roles</t>
        </is>
      </c>
      <c r="B14" s="2" t="inlineStr">
        <is>
          <t>MERN/Node.js Intern; Frontend Intern; DevOps/Cloud Intern</t>
        </is>
      </c>
    </row>
    <row r="15">
      <c r="A15" s="2" t="inlineStr">
        <is>
          <t>Selective Roles</t>
        </is>
      </c>
      <c r="B15" s="2" t="inlineStr">
        <is>
          <t>Java Developer Intern</t>
        </is>
      </c>
    </row>
    <row r="16" ht="30" customHeight="1" s="15">
      <c r="A16" s="2" t="inlineStr">
        <is>
          <t>Primary Stack</t>
        </is>
      </c>
      <c r="B16" s="2" t="inlineStr">
        <is>
          <t>JavaScript, TypeScript, Node.js, Express, Angular, React, MongoDB, MySQL</t>
        </is>
      </c>
    </row>
    <row r="17" ht="30" customHeight="1" s="15">
      <c r="A17" s="2" t="inlineStr">
        <is>
          <t>Cloud/DevOps</t>
        </is>
      </c>
      <c r="B17" s="2" t="inlineStr">
        <is>
          <t>AWS, Azure, Vercel, Render, Docker, Kubernetes, CI/CD</t>
        </is>
      </c>
    </row>
    <row r="18" ht="30" customHeight="1" s="15">
      <c r="A18" s="2" t="inlineStr">
        <is>
          <t>Experience</t>
        </is>
      </c>
      <c r="B18" s="2" t="inlineStr">
        <is>
          <t>Production internship + freelance client experience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6" customWidth="1" style="15" min="1" max="1"/>
    <col width="15" customWidth="1" style="15" min="2" max="2"/>
    <col width="42" customWidth="1" style="15" min="3" max="3"/>
    <col width="26" customWidth="1" style="15" min="4" max="4"/>
    <col width="12" customWidth="1" style="15" min="5" max="5"/>
  </cols>
  <sheetData>
    <row r="1">
      <c r="A1" s="1" t="inlineStr">
        <is>
          <t>Skill</t>
        </is>
      </c>
      <c r="B1" s="1" t="inlineStr">
        <is>
          <t>Level</t>
        </is>
      </c>
      <c r="C1" s="1" t="inlineStr">
        <is>
          <t>Evidence / Context</t>
        </is>
      </c>
      <c r="D1" s="1" t="inlineStr">
        <is>
          <t>Target Roles</t>
        </is>
      </c>
      <c r="E1" s="1" t="inlineStr">
        <is>
          <t>Verified?</t>
        </is>
      </c>
    </row>
    <row r="2">
      <c r="A2" s="2" t="inlineStr">
        <is>
          <t>JavaScript</t>
        </is>
      </c>
      <c r="B2" s="2" t="inlineStr">
        <is>
          <t>Strong</t>
        </is>
      </c>
      <c r="C2" s="2" t="inlineStr">
        <is>
          <t>MERN + Angular production/projects</t>
        </is>
      </c>
      <c r="D2" s="2" t="inlineStr">
        <is>
          <t>SDE; Full Stack; Backend</t>
        </is>
      </c>
      <c r="E2" s="2" t="inlineStr">
        <is>
          <t>Yes</t>
        </is>
      </c>
    </row>
    <row r="3">
      <c r="A3" s="2" t="inlineStr">
        <is>
          <t>TypeScript</t>
        </is>
      </c>
      <c r="B3" s="2" t="inlineStr">
        <is>
          <t>Strong</t>
        </is>
      </c>
      <c r="C3" s="2" t="inlineStr">
        <is>
          <t>Angular</t>
        </is>
      </c>
      <c r="D3" s="2" t="inlineStr">
        <is>
          <t>Full Stack; Frontend</t>
        </is>
      </c>
      <c r="E3" s="2" t="inlineStr">
        <is>
          <t>Yes</t>
        </is>
      </c>
    </row>
    <row r="4">
      <c r="A4" s="2" t="inlineStr">
        <is>
          <t>Node.js</t>
        </is>
      </c>
      <c r="B4" s="2" t="inlineStr">
        <is>
          <t>Strong</t>
        </is>
      </c>
      <c r="C4" s="2" t="inlineStr">
        <is>
          <t>Production internship + projects</t>
        </is>
      </c>
      <c r="D4" s="2" t="inlineStr">
        <is>
          <t>SDE; Backend; Full Stack</t>
        </is>
      </c>
      <c r="E4" s="2" t="inlineStr">
        <is>
          <t>Yes</t>
        </is>
      </c>
    </row>
    <row r="5">
      <c r="A5" s="2" t="inlineStr">
        <is>
          <t>Express.js</t>
        </is>
      </c>
      <c r="B5" s="2" t="inlineStr">
        <is>
          <t>Strong</t>
        </is>
      </c>
      <c r="C5" s="2" t="inlineStr">
        <is>
          <t>Production/projects</t>
        </is>
      </c>
      <c r="D5" s="2" t="inlineStr">
        <is>
          <t>Backend; Full Stack</t>
        </is>
      </c>
      <c r="E5" s="2" t="inlineStr">
        <is>
          <t>Yes</t>
        </is>
      </c>
    </row>
    <row r="6">
      <c r="A6" s="2" t="inlineStr">
        <is>
          <t>Angular</t>
        </is>
      </c>
      <c r="B6" s="2" t="inlineStr">
        <is>
          <t>Strong</t>
        </is>
      </c>
      <c r="C6" s="2" t="inlineStr">
        <is>
          <t>Production internship + POS</t>
        </is>
      </c>
      <c r="D6" s="2" t="inlineStr">
        <is>
          <t>Full Stack; Frontend</t>
        </is>
      </c>
      <c r="E6" s="2" t="inlineStr">
        <is>
          <t>Yes</t>
        </is>
      </c>
    </row>
    <row r="7">
      <c r="A7" s="2" t="inlineStr">
        <is>
          <t>React</t>
        </is>
      </c>
      <c r="B7" s="2" t="inlineStr">
        <is>
          <t>Working</t>
        </is>
      </c>
      <c r="C7" s="2" t="inlineStr">
        <is>
          <t>MERN projects</t>
        </is>
      </c>
      <c r="D7" s="2" t="inlineStr">
        <is>
          <t>Full Stack; Frontend</t>
        </is>
      </c>
      <c r="E7" s="2" t="inlineStr">
        <is>
          <t>Yes</t>
        </is>
      </c>
    </row>
    <row r="8">
      <c r="A8" s="2" t="inlineStr">
        <is>
          <t>MongoDB</t>
        </is>
      </c>
      <c r="B8" s="2" t="inlineStr">
        <is>
          <t>Strong</t>
        </is>
      </c>
      <c r="C8" s="2" t="inlineStr">
        <is>
          <t>Multiple full-stack projects</t>
        </is>
      </c>
      <c r="D8" s="2" t="inlineStr">
        <is>
          <t>Backend; Full Stack</t>
        </is>
      </c>
      <c r="E8" s="2" t="inlineStr">
        <is>
          <t>Yes</t>
        </is>
      </c>
    </row>
    <row r="9">
      <c r="A9" s="2" t="inlineStr">
        <is>
          <t>MySQL</t>
        </is>
      </c>
      <c r="B9" s="2" t="inlineStr">
        <is>
          <t>Strong</t>
        </is>
      </c>
      <c r="C9" s="2" t="inlineStr">
        <is>
          <t>Production internship</t>
        </is>
      </c>
      <c r="D9" s="2" t="inlineStr">
        <is>
          <t>Backend; Full Stack</t>
        </is>
      </c>
      <c r="E9" s="2" t="inlineStr">
        <is>
          <t>Yes</t>
        </is>
      </c>
    </row>
    <row r="10">
      <c r="A10" s="2" t="inlineStr">
        <is>
          <t>PostgreSQL</t>
        </is>
      </c>
      <c r="B10" s="2" t="inlineStr">
        <is>
          <t>Working</t>
        </is>
      </c>
      <c r="C10" s="2" t="inlineStr">
        <is>
          <t>Listed skill</t>
        </is>
      </c>
      <c r="D10" s="2" t="inlineStr">
        <is>
          <t>Backend; SDE</t>
        </is>
      </c>
      <c r="E10" s="2" t="inlineStr">
        <is>
          <t>Review</t>
        </is>
      </c>
    </row>
    <row r="11">
      <c r="A11" s="2" t="inlineStr">
        <is>
          <t>Next.js</t>
        </is>
      </c>
      <c r="B11" s="2" t="inlineStr">
        <is>
          <t>Working</t>
        </is>
      </c>
      <c r="C11" s="2" t="inlineStr">
        <is>
          <t>Listed skill</t>
        </is>
      </c>
      <c r="D11" s="2" t="inlineStr">
        <is>
          <t>Full Stack; Frontend</t>
        </is>
      </c>
      <c r="E11" s="2" t="inlineStr">
        <is>
          <t>Review</t>
        </is>
      </c>
    </row>
    <row r="12" ht="30" customHeight="1" s="15">
      <c r="A12" s="2" t="inlineStr">
        <is>
          <t>Java</t>
        </is>
      </c>
      <c r="B12" s="2" t="inlineStr">
        <is>
          <t>Working / DSA</t>
        </is>
      </c>
      <c r="C12" s="2" t="inlineStr">
        <is>
          <t>DSA certification; development depth to verify</t>
        </is>
      </c>
      <c r="D12" s="2" t="inlineStr">
        <is>
          <t>SDE; Java</t>
        </is>
      </c>
      <c r="E12" s="2" t="inlineStr">
        <is>
          <t>Review</t>
        </is>
      </c>
    </row>
    <row r="13">
      <c r="A13" s="2" t="inlineStr">
        <is>
          <t>Python</t>
        </is>
      </c>
      <c r="B13" s="2" t="inlineStr">
        <is>
          <t>Working</t>
        </is>
      </c>
      <c r="C13" s="2" t="inlineStr">
        <is>
          <t>Listed skill</t>
        </is>
      </c>
      <c r="D13" s="2" t="inlineStr">
        <is>
          <t>SDE; Backend</t>
        </is>
      </c>
      <c r="E13" s="2" t="inlineStr">
        <is>
          <t>Review</t>
        </is>
      </c>
    </row>
    <row r="14">
      <c r="A14" s="2" t="inlineStr">
        <is>
          <t>AWS</t>
        </is>
      </c>
      <c r="B14" s="2" t="inlineStr">
        <is>
          <t>Working</t>
        </is>
      </c>
      <c r="C14" s="2" t="inlineStr">
        <is>
          <t>Cloud experience listed</t>
        </is>
      </c>
      <c r="D14" s="2" t="inlineStr">
        <is>
          <t>Cloud; SDE; Backend</t>
        </is>
      </c>
      <c r="E14" s="2" t="inlineStr">
        <is>
          <t>Review</t>
        </is>
      </c>
    </row>
    <row r="15">
      <c r="A15" s="2" t="inlineStr">
        <is>
          <t>Azure</t>
        </is>
      </c>
      <c r="B15" s="2" t="inlineStr">
        <is>
          <t>Strong</t>
        </is>
      </c>
      <c r="C15" s="2" t="inlineStr">
        <is>
          <t>Live POS deployment</t>
        </is>
      </c>
      <c r="D15" s="2" t="inlineStr">
        <is>
          <t>Cloud; Full Stack</t>
        </is>
      </c>
      <c r="E15" s="2" t="inlineStr">
        <is>
          <t>Yes</t>
        </is>
      </c>
    </row>
    <row r="16">
      <c r="A16" s="2" t="inlineStr">
        <is>
          <t>Docker</t>
        </is>
      </c>
      <c r="B16" s="2" t="inlineStr">
        <is>
          <t>Working</t>
        </is>
      </c>
      <c r="C16" s="2" t="inlineStr">
        <is>
          <t>Listed skill</t>
        </is>
      </c>
      <c r="D16" s="2" t="inlineStr">
        <is>
          <t>Cloud; DevOps; Backend</t>
        </is>
      </c>
      <c r="E16" s="2" t="inlineStr">
        <is>
          <t>Review</t>
        </is>
      </c>
    </row>
    <row r="17">
      <c r="A17" s="2" t="inlineStr">
        <is>
          <t>Kubernetes</t>
        </is>
      </c>
      <c r="B17" s="2" t="inlineStr">
        <is>
          <t>Working</t>
        </is>
      </c>
      <c r="C17" s="2" t="inlineStr">
        <is>
          <t>Listed skill</t>
        </is>
      </c>
      <c r="D17" s="2" t="inlineStr">
        <is>
          <t>DevOps/Cloud</t>
        </is>
      </c>
      <c r="E17" s="2" t="inlineStr">
        <is>
          <t>Review</t>
        </is>
      </c>
    </row>
    <row r="18">
      <c r="A18" s="2" t="inlineStr">
        <is>
          <t>CI/CD</t>
        </is>
      </c>
      <c r="B18" s="2" t="inlineStr">
        <is>
          <t>Working</t>
        </is>
      </c>
      <c r="C18" s="2" t="inlineStr">
        <is>
          <t>Listed skill</t>
        </is>
      </c>
      <c r="D18" s="2" t="inlineStr">
        <is>
          <t>DevOps/Cloud</t>
        </is>
      </c>
      <c r="E18" s="2" t="inlineStr">
        <is>
          <t>Review</t>
        </is>
      </c>
    </row>
    <row r="19">
      <c r="A19" s="2" t="inlineStr">
        <is>
          <t>Git/GitHub</t>
        </is>
      </c>
      <c r="B19" s="2" t="inlineStr">
        <is>
          <t>Strong</t>
        </is>
      </c>
      <c r="C19" s="2" t="inlineStr">
        <is>
          <t>Development workflow</t>
        </is>
      </c>
      <c r="D19" s="2" t="inlineStr">
        <is>
          <t>All</t>
        </is>
      </c>
      <c r="E19" s="2" t="inlineStr">
        <is>
          <t>Yes</t>
        </is>
      </c>
    </row>
    <row r="20">
      <c r="A20" s="2" t="inlineStr">
        <is>
          <t>REST APIs</t>
        </is>
      </c>
      <c r="B20" s="2" t="inlineStr">
        <is>
          <t>Strong</t>
        </is>
      </c>
      <c r="C20" s="2" t="inlineStr">
        <is>
          <t>Node/Express projects</t>
        </is>
      </c>
      <c r="D20" s="2" t="inlineStr">
        <is>
          <t>Backend; SDE; Full Stack</t>
        </is>
      </c>
      <c r="E20" s="2" t="inlineStr">
        <is>
          <t>Yes</t>
        </is>
      </c>
    </row>
    <row r="21">
      <c r="A21" s="2" t="inlineStr">
        <is>
          <t>Authentication</t>
        </is>
      </c>
      <c r="B21" s="2" t="inlineStr">
        <is>
          <t>Strong</t>
        </is>
      </c>
      <c r="C21" s="2" t="inlineStr">
        <is>
          <t>JWT, Passport.js, RBAC</t>
        </is>
      </c>
      <c r="D21" s="2" t="inlineStr">
        <is>
          <t>Backend; SDE; Full Stack</t>
        </is>
      </c>
      <c r="E21" s="2" t="inlineStr">
        <is>
          <t>Yes</t>
        </is>
      </c>
    </row>
    <row r="22">
      <c r="A22" s="2" t="inlineStr">
        <is>
          <t>SQL Server</t>
        </is>
      </c>
      <c r="B22" s="2" t="inlineStr">
        <is>
          <t>Strong</t>
        </is>
      </c>
      <c r="C22" s="2" t="inlineStr">
        <is>
          <t>Australian restaurant POS</t>
        </is>
      </c>
      <c r="D22" s="2" t="inlineStr">
        <is>
          <t>Backend; Full Stack</t>
        </is>
      </c>
      <c r="E22" s="2" t="inlineStr">
        <is>
          <t>Yes</t>
        </is>
      </c>
    </row>
    <row r="23">
      <c r="A23" s="2" t="inlineStr">
        <is>
          <t>Figma</t>
        </is>
      </c>
      <c r="B23" s="2" t="inlineStr">
        <is>
          <t>Working</t>
        </is>
      </c>
      <c r="C23" s="2" t="inlineStr">
        <is>
          <t>POS UI/UX</t>
        </is>
      </c>
      <c r="D23" s="2" t="inlineStr">
        <is>
          <t>Frontend; Full Stack</t>
        </is>
      </c>
      <c r="E23" s="2" t="inlineStr">
        <is>
          <t>Yes</t>
        </is>
      </c>
    </row>
  </sheetData>
  <dataValidations count="2">
    <dataValidation sqref="B2:B500" showDropDown="0" showInputMessage="0" showErrorMessage="0" allowBlank="1" type="list">
      <formula1>"Strong,Working,Working / DSA,Developing,Beginner"</formula1>
    </dataValidation>
    <dataValidation sqref="E2:E500" showDropDown="0" showInputMessage="0" showErrorMessage="0" allowBlank="1" type="list">
      <formula1>"Yes,Review,No"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261"/>
  <sheetViews>
    <sheetView tabSelected="1" topLeftCell="AM1" workbookViewId="0">
      <pane ySplit="1" topLeftCell="A2" activePane="bottomLeft" state="frozen"/>
      <selection pane="bottomLeft" activeCell="AR4" sqref="AR4"/>
    </sheetView>
  </sheetViews>
  <sheetFormatPr baseColWidth="8" defaultRowHeight="15"/>
  <cols>
    <col width="12" customWidth="1" style="15" min="1" max="10"/>
    <col width="17" customWidth="1" style="15" min="11" max="11"/>
    <col width="18" customWidth="1" style="15" min="12" max="12"/>
    <col width="55" customWidth="1" style="15" min="13" max="13"/>
    <col width="38" customWidth="1" style="15" min="14" max="14"/>
    <col width="15" customWidth="1" style="15" min="15" max="15"/>
    <col width="16" customWidth="1" style="15" min="16" max="16"/>
    <col width="12" customWidth="1" style="15" min="17" max="18"/>
    <col width="18" customWidth="1" style="15" min="19" max="19"/>
    <col width="21" customWidth="1" style="15" min="20" max="20"/>
    <col width="38" customWidth="1" style="15" min="21" max="22"/>
    <col width="55" customWidth="1" style="15" min="23" max="23"/>
    <col width="16" customWidth="1" style="15" min="24" max="24"/>
    <col width="12" customWidth="1" style="15" min="25" max="25"/>
    <col width="55" customWidth="1" style="15" min="26" max="26"/>
    <col width="28" customWidth="1" style="15" min="27" max="38"/>
    <col width="52.28515625" bestFit="1" customWidth="1" style="15" min="39" max="39"/>
    <col width="20.140625" bestFit="1" customWidth="1" style="15" min="40" max="40"/>
    <col width="18" bestFit="1" customWidth="1" style="15" min="41" max="41"/>
    <col width="20.85546875" bestFit="1" customWidth="1" style="15" min="42" max="42"/>
    <col width="24" bestFit="1" customWidth="1" style="15" min="43" max="43"/>
    <col width="14.42578125" bestFit="1" customWidth="1" style="15" min="44" max="44"/>
  </cols>
  <sheetData>
    <row r="1">
      <c r="A1" s="5" t="inlineStr">
        <is>
          <t>Job ID</t>
        </is>
      </c>
      <c r="B1" s="5" t="inlineStr">
        <is>
          <t>Company</t>
        </is>
      </c>
      <c r="C1" s="5" t="inlineStr">
        <is>
          <t>Role</t>
        </is>
      </c>
      <c r="D1" s="5" t="inlineStr">
        <is>
          <t>Job URL</t>
        </is>
      </c>
      <c r="E1" s="5" t="inlineStr">
        <is>
          <t>Source</t>
        </is>
      </c>
      <c r="F1" s="5" t="inlineStr">
        <is>
          <t>Location</t>
        </is>
      </c>
      <c r="G1" s="5" t="inlineStr">
        <is>
          <t>Work Mode</t>
        </is>
      </c>
      <c r="H1" s="5" t="inlineStr">
        <is>
          <t>Stipend</t>
        </is>
      </c>
      <c r="I1" s="5" t="inlineStr">
        <is>
          <t>Duration</t>
        </is>
      </c>
      <c r="J1" s="5" t="inlineStr">
        <is>
          <t>PPO Signal</t>
        </is>
      </c>
      <c r="K1" s="5" t="inlineStr">
        <is>
          <t>Required Skills</t>
        </is>
      </c>
      <c r="L1" s="5" t="inlineStr">
        <is>
          <t>Preferred Skills</t>
        </is>
      </c>
      <c r="M1" s="5" t="inlineStr">
        <is>
          <t>JD Text</t>
        </is>
      </c>
      <c r="N1" s="5" t="inlineStr">
        <is>
          <t>Match Score</t>
        </is>
      </c>
      <c r="O1" s="5" t="inlineStr">
        <is>
          <t>Technical Fit</t>
        </is>
      </c>
      <c r="P1" s="5" t="inlineStr">
        <is>
          <t>Experience Fit</t>
        </is>
      </c>
      <c r="Q1" s="5" t="inlineStr">
        <is>
          <t>Role Fit</t>
        </is>
      </c>
      <c r="R1" s="5" t="inlineStr">
        <is>
          <t>PPO Score</t>
        </is>
      </c>
      <c r="S1" s="5" t="inlineStr">
        <is>
          <t>Compensation Fit</t>
        </is>
      </c>
      <c r="T1" s="5" t="inlineStr">
        <is>
          <t>Opportunity Quality</t>
        </is>
      </c>
      <c r="U1" s="5" t="inlineStr">
        <is>
          <t>Priority</t>
        </is>
      </c>
      <c r="V1" s="5" t="inlineStr">
        <is>
          <t>Recommendation</t>
        </is>
      </c>
      <c r="W1" s="5" t="inlineStr">
        <is>
          <t>Skill Gaps</t>
        </is>
      </c>
      <c r="X1" s="5" t="inlineStr">
        <is>
          <t>Resume Version</t>
        </is>
      </c>
      <c r="Y1" s="5" t="inlineStr">
        <is>
          <t>Date Found</t>
        </is>
      </c>
      <c r="Z1" s="5" t="inlineStr">
        <is>
          <t>Notes</t>
        </is>
      </c>
      <c r="AA1" s="5" t="inlineStr">
        <is>
          <t>Eligibility Status</t>
        </is>
      </c>
      <c r="AB1" s="5" t="inlineStr">
        <is>
          <t>Eligibility Reasons</t>
        </is>
      </c>
      <c r="AC1" s="5" t="inlineStr">
        <is>
          <t>Availability Status</t>
        </is>
      </c>
      <c r="AD1" s="5" t="inlineStr">
        <is>
          <t>Availability Reason</t>
        </is>
      </c>
      <c r="AE1" s="5" t="inlineStr">
        <is>
          <t>Compensation Status</t>
        </is>
      </c>
      <c r="AF1" s="5" t="inlineStr">
        <is>
          <t>Guaranteed Stipend</t>
        </is>
      </c>
      <c r="AG1" s="5" t="inlineStr">
        <is>
          <t>Incentive Included</t>
        </is>
      </c>
      <c r="AH1" s="5" t="inlineStr">
        <is>
          <t>PPO Status</t>
        </is>
      </c>
      <c r="AI1" s="5" t="inlineStr">
        <is>
          <t>PPO Evidence</t>
        </is>
      </c>
      <c r="AJ1" s="5" t="inlineStr">
        <is>
          <t>Hard Blockers</t>
        </is>
      </c>
      <c r="AK1" s="5" t="inlineStr">
        <is>
          <t>Red Flags</t>
        </is>
      </c>
      <c r="AL1" s="5" t="inlineStr">
        <is>
          <t>Interview Topics</t>
        </is>
      </c>
      <c r="AM1" s="21" t="inlineStr">
        <is>
          <t>Application Kit Path</t>
        </is>
      </c>
      <c r="AN1" s="21" t="inlineStr">
        <is>
          <t>Application Kit Status</t>
        </is>
      </c>
      <c r="AO1" s="21" t="inlineStr">
        <is>
          <t>Cover Letter Status</t>
        </is>
      </c>
      <c r="AP1" s="21" t="inlineStr">
        <is>
          <t>Resume Bullets Status</t>
        </is>
      </c>
      <c r="AQ1" s="21" t="inlineStr">
        <is>
          <t>Screening Answers Status</t>
        </is>
      </c>
      <c r="AR1" s="21" t="inlineStr">
        <is>
          <t>Apply Status</t>
        </is>
      </c>
    </row>
    <row r="2">
      <c r="B2" t="inlineStr">
        <is>
          <t>SubSpace</t>
        </is>
      </c>
      <c r="C2" t="inlineStr">
        <is>
          <t>Software Development</t>
        </is>
      </c>
      <c r="E2" t="inlineStr">
        <is>
          <t>AI Analyzer</t>
        </is>
      </c>
      <c r="F2" t="inlineStr">
        <is>
          <t>Bangalore</t>
        </is>
      </c>
      <c r="G2" t="inlineStr">
        <is>
          <t>Hybrid</t>
        </is>
      </c>
      <c r="H2" t="inlineStr">
        <is>
          <t>₹30,000–40,001 headline; fixed ₹20,000–30,000 + incentive ₹10,000–10,001</t>
        </is>
      </c>
      <c r="I2" t="inlineStr">
        <is>
          <t>6 months</t>
        </is>
      </c>
      <c r="AA2" t="inlineStr">
        <is>
          <t>risk</t>
        </is>
      </c>
      <c r="AB2" t="inlineStr">
        <is>
          <t>Full-time/in-office and specific start window require availability confirmation.</t>
        </is>
      </c>
      <c r="AC2" t="inlineStr">
        <is>
          <t>risk</t>
        </is>
      </c>
      <c r="AD2" t="inlineStr">
        <is>
          <t>Required start window must be confirmed against candidate availability.</t>
        </is>
      </c>
      <c r="AE2" t="inlineStr">
        <is>
          <t>verify</t>
        </is>
      </c>
      <c r="AF2" t="n">
        <v>20000</v>
      </c>
      <c r="AG2" t="inlineStr">
        <is>
          <t>Yes</t>
        </is>
      </c>
      <c r="AH2" t="inlineStr">
        <is>
          <t>strong</t>
        </is>
      </c>
      <c r="AI2" t="inlineStr">
        <is>
          <t>Job offer up to ₹11 LPA post internship.</t>
        </is>
      </c>
      <c r="AK2" t="inlineStr">
        <is>
          <t>Guaranteed stipend should be verified because headline total includes incentives.</t>
        </is>
      </c>
      <c r="AL2" t="inlineStr">
        <is>
          <t>Node.js; Express; JavaScript; REST APIs; Git/GitHub; React; SQL; WebSockets; DSA</t>
        </is>
      </c>
    </row>
    <row r="3">
      <c r="A3" t="inlineStr">
        <is>
          <t>SUBSPACE-260909</t>
        </is>
      </c>
      <c r="B3" t="inlineStr">
        <is>
          <t>SubSpace</t>
        </is>
      </c>
      <c r="C3" t="inlineStr">
        <is>
          <t>Software Development</t>
        </is>
      </c>
      <c r="E3" t="inlineStr">
        <is>
          <t>AI Analyzer</t>
        </is>
      </c>
      <c r="F3" t="inlineStr">
        <is>
          <t>Bangalore</t>
        </is>
      </c>
      <c r="G3" t="inlineStr">
        <is>
          <t>Hybrid</t>
        </is>
      </c>
      <c r="H3" t="inlineStr">
        <is>
          <t>₹30,000–40,001 headline; fixed ₹20,000–30,000 + incentive ₹10,000–10,001</t>
        </is>
      </c>
      <c r="I3" t="inlineStr">
        <is>
          <t>6 months</t>
        </is>
      </c>
      <c r="J3" t="inlineStr">
        <is>
          <t>Strong</t>
        </is>
      </c>
      <c r="K3" t="inlineStr">
        <is>
          <t>Node.js; Express.js; JavaScript; REST APIs; Git/GitHub; Go; GraphQL; WebSockets</t>
        </is>
      </c>
      <c r="L3" t="inlineStr">
        <is>
          <t>Next.js; React; SQL; Tailwind CSS; Python; Hasura; AI/Claude</t>
        </is>
      </c>
      <c r="N3" t="n">
        <v>94</v>
      </c>
      <c r="O3" t="n">
        <v>91</v>
      </c>
      <c r="P3" t="n">
        <v>94</v>
      </c>
      <c r="Q3" t="n">
        <v>98</v>
      </c>
      <c r="R3" t="n">
        <v>100</v>
      </c>
      <c r="S3" t="n">
        <v>90</v>
      </c>
      <c r="T3" t="n">
        <v>90</v>
      </c>
      <c r="U3" t="inlineStr">
        <is>
          <t>P1</t>
        </is>
      </c>
      <c r="V3" t="inlineStr">
        <is>
          <t>APPLY</t>
        </is>
      </c>
      <c r="W3" t="inlineStr">
        <is>
          <t>Go — candidate fit is stronger in Node.js</t>
        </is>
      </c>
      <c r="X3" t="inlineStr">
        <is>
          <t>Full Stack</t>
        </is>
      </c>
      <c r="Y3" t="inlineStr">
        <is>
          <t>2026-09-09</t>
        </is>
      </c>
      <c r="Z3" t="inlineStr">
        <is>
          <t>Guaranteed stipend should be verified; headline amount includes incentives.</t>
        </is>
      </c>
      <c r="AA3" t="inlineStr">
        <is>
          <t>risk</t>
        </is>
      </c>
      <c r="AB3" t="inlineStr">
        <is>
          <t>Full-time/in-office and specific start window require availability confirmation.</t>
        </is>
      </c>
      <c r="AC3" t="inlineStr">
        <is>
          <t>risk</t>
        </is>
      </c>
      <c r="AD3" t="inlineStr">
        <is>
          <t>Required start window must be confirmed against candidate availability.</t>
        </is>
      </c>
      <c r="AE3" t="inlineStr">
        <is>
          <t>verify</t>
        </is>
      </c>
      <c r="AF3" t="n">
        <v>20000</v>
      </c>
      <c r="AG3" t="inlineStr">
        <is>
          <t>Yes</t>
        </is>
      </c>
      <c r="AH3" t="inlineStr">
        <is>
          <t>strong</t>
        </is>
      </c>
      <c r="AI3" t="inlineStr">
        <is>
          <t>Job offer up to ₹11 LPA post internship.</t>
        </is>
      </c>
      <c r="AK3" t="inlineStr">
        <is>
          <t>Guaranteed stipend should be verified because headline total includes incentives.</t>
        </is>
      </c>
      <c r="AL3" t="inlineStr">
        <is>
          <t>Node.js; Express; JavaScript; REST APIs; Git/GitHub; React; SQL; WebSockets; DSA</t>
        </is>
      </c>
    </row>
    <row r="4">
      <c r="B4" t="inlineStr">
        <is>
          <t>SubSpace</t>
        </is>
      </c>
      <c r="C4" t="inlineStr">
        <is>
          <t>Software Development</t>
        </is>
      </c>
      <c r="E4" t="inlineStr">
        <is>
          <t>AI Analyzer</t>
        </is>
      </c>
      <c r="F4" t="inlineStr">
        <is>
          <t>Bangalore</t>
        </is>
      </c>
      <c r="G4" t="inlineStr">
        <is>
          <t>Hybrid</t>
        </is>
      </c>
      <c r="H4" t="inlineStr">
        <is>
          <t>₹30,000–40,001 headline; fixed ₹20,000–30,000 + incentive ₹10,000–10,001</t>
        </is>
      </c>
      <c r="I4" t="inlineStr">
        <is>
          <t>6 months</t>
        </is>
      </c>
      <c r="AA4" t="inlineStr">
        <is>
          <t>risk</t>
        </is>
      </c>
      <c r="AB4" t="inlineStr">
        <is>
          <t>Full-time/in-office and specific start window require availability confirmation.</t>
        </is>
      </c>
      <c r="AC4" t="inlineStr">
        <is>
          <t>risk</t>
        </is>
      </c>
      <c r="AD4" t="inlineStr">
        <is>
          <t>Required start window must be confirmed against candidate availability.</t>
        </is>
      </c>
      <c r="AE4" t="inlineStr">
        <is>
          <t>verify</t>
        </is>
      </c>
      <c r="AF4" t="n">
        <v>20000</v>
      </c>
      <c r="AG4" t="inlineStr">
        <is>
          <t>Yes</t>
        </is>
      </c>
      <c r="AH4" t="inlineStr">
        <is>
          <t>strong</t>
        </is>
      </c>
      <c r="AI4" t="inlineStr">
        <is>
          <t>Job offer up to ₹11 LPA post internship.</t>
        </is>
      </c>
      <c r="AK4" t="inlineStr">
        <is>
          <t>Guaranteed stipend should be verified because headline total includes incentives.</t>
        </is>
      </c>
      <c r="AL4" t="inlineStr">
        <is>
          <t>Node.js; Express; JavaScript; REST APIs; Git/GitHub; React; SQL; WebSockets; DSA</t>
        </is>
      </c>
    </row>
    <row r="5">
      <c r="B5" t="inlineStr">
        <is>
          <t>SubSpace</t>
        </is>
      </c>
      <c r="C5" t="inlineStr">
        <is>
          <t>Software Development Intern</t>
        </is>
      </c>
      <c r="E5" t="inlineStr">
        <is>
          <t>AI Analyzer</t>
        </is>
      </c>
      <c r="F5" t="inlineStr">
        <is>
          <t>Bangalore</t>
        </is>
      </c>
      <c r="G5" t="inlineStr">
        <is>
          <t>Hybrid</t>
        </is>
      </c>
      <c r="H5" t="inlineStr">
        <is>
          <t>₹30,000 – ₹40,001/month</t>
        </is>
      </c>
      <c r="I5" t="inlineStr">
        <is>
          <t>6 Months</t>
        </is>
      </c>
      <c r="AA5" t="inlineStr">
        <is>
          <t>eligible</t>
        </is>
      </c>
      <c r="AB5" t="inlineStr">
        <is>
          <t>Meets general qualification and skill criteria; Undergraduate degree requirement is a plus, not a hard blocker</t>
        </is>
      </c>
      <c r="AC5" t="inlineStr">
        <is>
          <t>unknown</t>
        </is>
      </c>
      <c r="AD5" t="inlineStr">
        <is>
          <t>Candidate availability dates not explicitly confirmed against immediate start.</t>
        </is>
      </c>
      <c r="AE5" t="inlineStr">
        <is>
          <t>disclosed</t>
        </is>
      </c>
      <c r="AF5" t="n">
        <v>30000</v>
      </c>
      <c r="AG5" t="inlineStr">
        <is>
          <t>No</t>
        </is>
      </c>
      <c r="AH5" t="inlineStr">
        <is>
          <t>available</t>
        </is>
      </c>
      <c r="AI5" t="inlineStr">
        <is>
          <t>On successful conversion to a permanent employee, the candidate can expect a salary of approximately ₹6 LPA to ₹11 LPA.</t>
        </is>
      </c>
      <c r="AL5" t="inlineStr">
        <is>
          <t>Node.js and Express architecture; RESTful APIs and WebSockets; JavaScript asynchronous programming; Git and GitHub workflow; Problem-solving and AI-assisted development</t>
        </is>
      </c>
    </row>
    <row r="6">
      <c r="B6" t="inlineStr">
        <is>
          <t>Joveo</t>
        </is>
      </c>
      <c r="C6" t="inlineStr">
        <is>
          <t>Software Engineering Intern (Full Stack)</t>
        </is>
      </c>
      <c r="D6" t="inlineStr">
        <is>
          <t>https://in.jooble.org/jdp/-1939946349168902640</t>
        </is>
      </c>
      <c r="E6" t="inlineStr">
        <is>
          <t>AI Analyzer</t>
        </is>
      </c>
      <c r="F6" t="inlineStr">
        <is>
          <t>Bangalore</t>
        </is>
      </c>
      <c r="G6" t="inlineStr">
        <is>
          <t>Unknown</t>
        </is>
      </c>
      <c r="H6" t="inlineStr">
        <is>
          <t>Competitive stipend</t>
        </is>
      </c>
      <c r="I6" t="inlineStr">
        <is>
          <t>Unknown</t>
        </is>
      </c>
      <c r="J6" t="inlineStr">
        <is>
          <t>Not Mentioned</t>
        </is>
      </c>
      <c r="K6" t="inlineStr">
        <is>
          <t>Full Stack Development</t>
        </is>
      </c>
      <c r="L6" t="inlineStr">
        <is>
          <t>AI recruitment tech</t>
        </is>
      </c>
      <c r="M6" t="inlineStr">
        <is>
          <t>&amp;nbsp;...Role  : &lt;b&gt;Software Engineering Intern &lt;/b&gt;(Full Stack)
 Payout  : Competitive stipend  Role Overview:  We are seeking a  Software Engineering Intern (Full Stack) to work on a full-time internship basis. Joblet is rewriting the rules of recruitment through AI, and this role sits...&amp;nbsp;</t>
        </is>
      </c>
      <c r="N6" t="n">
        <v>77</v>
      </c>
      <c r="O6" t="n">
        <v>27</v>
      </c>
      <c r="P6" t="n">
        <v>18</v>
      </c>
      <c r="Q6" t="n">
        <v>14</v>
      </c>
      <c r="R6" t="n">
        <v>5</v>
      </c>
      <c r="S6" t="n">
        <v>5</v>
      </c>
      <c r="T6" t="n">
        <v>8</v>
      </c>
      <c r="U6" t="inlineStr">
        <is>
          <t>CONSIDER</t>
        </is>
      </c>
      <c r="V6" t="inlineStr">
        <is>
          <t>CONSIDER</t>
        </is>
      </c>
      <c r="X6" t="inlineStr">
        <is>
          <t>Amaanuddin_Ahmed_Fullstack_Resume.pdf</t>
        </is>
      </c>
      <c r="Y6" t="inlineStr">
        <is>
          <t>2026-09-10</t>
        </is>
      </c>
      <c r="Z6" t="inlineStr">
        <is>
          <t>Matches target role of Full Stack Development.; Located in Bangalore with a full-time internship format.; Aligns well with MERN stack projects like StaySphere and Zenvest.</t>
        </is>
      </c>
      <c r="AA6" t="inlineStr">
        <is>
          <t>Eligible</t>
        </is>
      </c>
      <c r="AB6" t="inlineStr">
        <is>
          <t>Candidate is pursuing MCA at PES University and fits software engineering intern profiles.</t>
        </is>
      </c>
      <c r="AC6" t="inlineStr">
        <is>
          <t>Unknown</t>
        </is>
      </c>
      <c r="AD6" t="inlineStr">
        <is>
          <t>Availability not specified in the profile or JD.</t>
        </is>
      </c>
      <c r="AE6" t="inlineStr">
        <is>
          <t>UNKNOWN</t>
        </is>
      </c>
      <c r="AF6" t="n">
        <v>0</v>
      </c>
      <c r="AG6" t="inlineStr">
        <is>
          <t>No</t>
        </is>
      </c>
      <c r="AH6" t="inlineStr">
        <is>
          <t>Not Mentioned</t>
        </is>
      </c>
      <c r="AI6" t="inlineStr">
        <is>
          <t>No explicit mention of PPO or conversion in the snippet.</t>
        </is>
      </c>
      <c r="AK6" t="inlineStr">
        <is>
          <t>Stipend amount is not disclosed (Competitive stipend)</t>
        </is>
      </c>
      <c r="AL6" t="inlineStr">
        <is>
          <t>MERN stack architecture; RESTful API design; State management in React; Database indexing and queries in MongoDB</t>
        </is>
      </c>
    </row>
    <row r="7">
      <c r="B7" t="inlineStr">
        <is>
          <t>friday media tech india (fmg)</t>
        </is>
      </c>
      <c r="C7" t="inlineStr">
        <is>
          <t>Software Engineer Intern</t>
        </is>
      </c>
      <c r="D7" t="inlineStr">
        <is>
          <t>https://in.jooble.org/jdp/-5404656752169186420</t>
        </is>
      </c>
      <c r="E7" t="inlineStr">
        <is>
          <t>AI Analyzer</t>
        </is>
      </c>
      <c r="F7" t="inlineStr">
        <is>
          <t>Bangalore</t>
        </is>
      </c>
      <c r="G7" t="inlineStr">
        <is>
          <t>UNKNOWN</t>
        </is>
      </c>
      <c r="I7" t="inlineStr">
        <is>
          <t>UNKNOWN</t>
        </is>
      </c>
      <c r="J7" t="inlineStr">
        <is>
          <t>UNKNOWN</t>
        </is>
      </c>
      <c r="K7" t="inlineStr">
        <is>
          <t>Modern web technologies; Frameworks</t>
        </is>
      </c>
      <c r="M7" t="inlineStr">
        <is>
          <t>&amp;nbsp;...Job Description 
 We are looking for a passionate and driven  &lt;b&gt;Software Engineer Intern &lt;/b&gt; to join our development team. You will get hands-on experience working on real-world projects using modern web technologies and frameworks. This internship is ideal for candidates eager...&amp;nbsp;</t>
        </is>
      </c>
      <c r="N7" t="n">
        <v>57</v>
      </c>
      <c r="O7" t="n">
        <v>20</v>
      </c>
      <c r="P7" t="n">
        <v>15</v>
      </c>
      <c r="Q7" t="n">
        <v>12</v>
      </c>
      <c r="R7" t="n">
        <v>5</v>
      </c>
      <c r="S7" t="n">
        <v>0</v>
      </c>
      <c r="T7" t="n">
        <v>5</v>
      </c>
      <c r="U7" t="inlineStr">
        <is>
          <t>SKIP</t>
        </is>
      </c>
      <c r="V7" t="inlineStr">
        <is>
          <t>SKIP</t>
        </is>
      </c>
      <c r="X7" t="inlineStr">
        <is>
          <t>Default Full Stack / Software Engineering Resume</t>
        </is>
      </c>
      <c r="Y7" t="inlineStr">
        <is>
          <t>2026-09-10</t>
        </is>
      </c>
      <c r="Z7" t="inlineStr">
        <is>
          <t>Aligns with target Software Engineering and Full Stack roles; Located in Bangalore</t>
        </is>
      </c>
      <c r="AA7" t="inlineStr">
        <is>
          <t>ELIGIBLE</t>
        </is>
      </c>
      <c r="AB7" t="inlineStr">
        <is>
          <t>No specific degree or experience blockers mentioned in the snippet</t>
        </is>
      </c>
      <c r="AC7" t="inlineStr">
        <is>
          <t>UNKNOWN</t>
        </is>
      </c>
      <c r="AD7" t="inlineStr">
        <is>
          <t>Availability not specified</t>
        </is>
      </c>
      <c r="AE7" t="inlineStr">
        <is>
          <t>UNKNOWN</t>
        </is>
      </c>
      <c r="AF7" t="n">
        <v>0</v>
      </c>
      <c r="AG7" t="inlineStr">
        <is>
          <t>No</t>
        </is>
      </c>
      <c r="AH7" t="inlineStr">
        <is>
          <t>UNKNOWN</t>
        </is>
      </c>
      <c r="AI7" t="inlineStr">
        <is>
          <t>PPO/conversion is not explicitly mentioned in the snippet</t>
        </is>
      </c>
      <c r="AK7" t="inlineStr">
        <is>
          <t>Job description snippet is very brief and lacks specific details on compensation, duration, and stack</t>
        </is>
      </c>
      <c r="AL7" t="inlineStr">
        <is>
          <t>Web Development Fundamentals; JavaScript Frameworks; Project walkthrough</t>
        </is>
      </c>
    </row>
    <row r="8">
      <c r="B8" t="inlineStr">
        <is>
          <t>Stripe</t>
        </is>
      </c>
      <c r="C8" t="inlineStr">
        <is>
          <t>Software Engineer, Intern</t>
        </is>
      </c>
      <c r="D8" t="inlineStr">
        <is>
          <t>https://in.jooble.org/jdp/6361268409707951745</t>
        </is>
      </c>
      <c r="E8" t="inlineStr">
        <is>
          <t>AI Analyzer</t>
        </is>
      </c>
      <c r="F8" t="inlineStr">
        <is>
          <t>Bangalore</t>
        </is>
      </c>
      <c r="G8" t="inlineStr">
        <is>
          <t>Unknown</t>
        </is>
      </c>
      <c r="I8" t="inlineStr">
        <is>
          <t>Unknown</t>
        </is>
      </c>
      <c r="J8" t="inlineStr">
        <is>
          <t>Unknown</t>
        </is>
      </c>
      <c r="M8" t="inlineStr">
        <is>
          <t>&amp;nbsp;...world works. 
 What you’ll do 
 As an &lt;b&gt;intern &lt;/b&gt;at Stripe you’ll work on projects across...&amp;nbsp;&amp;nbsp;...the most creative and technically rigorous &lt;b&gt;engineers &lt;/b&gt;in the industry and learn how to ship high...&amp;nbsp;&amp;nbsp;...the technical design process. 
 Write &lt;b&gt;software &lt;/b&gt;that will be used in production, and has...&amp;nbsp;</t>
        </is>
      </c>
      <c r="N8" t="n">
        <v>58</v>
      </c>
      <c r="O8" t="n">
        <v>50</v>
      </c>
      <c r="P8" t="n">
        <v>70</v>
      </c>
      <c r="Q8" t="n">
        <v>80</v>
      </c>
      <c r="R8" t="n">
        <v>50</v>
      </c>
      <c r="S8" t="n">
        <v>0</v>
      </c>
      <c r="T8" t="n">
        <v>80</v>
      </c>
      <c r="U8" t="inlineStr">
        <is>
          <t>SKIP</t>
        </is>
      </c>
      <c r="V8" t="inlineStr">
        <is>
          <t>SKIP</t>
        </is>
      </c>
      <c r="X8" t="inlineStr">
        <is>
          <t>Default Full Stack / Software Engineering Resume</t>
        </is>
      </c>
      <c r="Y8" t="inlineStr">
        <is>
          <t>2026-09-10</t>
        </is>
      </c>
      <c r="Z8" t="inlineStr">
        <is>
          <t>Stripe is a top-tier tech company with high opportunity quality.; Role aligns with target Software Engineering internships.</t>
        </is>
      </c>
      <c r="AA8" t="inlineStr">
        <is>
          <t>Eligible</t>
        </is>
      </c>
      <c r="AB8" t="inlineStr">
        <is>
          <t>No specific hard blockers like graduation year or degree restrictions were mentioned in the snippet.</t>
        </is>
      </c>
      <c r="AC8" t="inlineStr">
        <is>
          <t>Unknown</t>
        </is>
      </c>
      <c r="AD8" t="inlineStr">
        <is>
          <t>Candidate availability timeline not specified in the career brain.</t>
        </is>
      </c>
      <c r="AE8" t="inlineStr">
        <is>
          <t>UNKNOWN</t>
        </is>
      </c>
      <c r="AF8" t="n">
        <v>0</v>
      </c>
      <c r="AG8" t="inlineStr">
        <is>
          <t>No</t>
        </is>
      </c>
      <c r="AH8" t="inlineStr">
        <is>
          <t>Unknown</t>
        </is>
      </c>
      <c r="AI8" t="inlineStr">
        <is>
          <t>No explicit PPO or conversion mention found in the truncated JD snippet.</t>
        </is>
      </c>
      <c r="AK8" t="inlineStr">
        <is>
          <t>Job description snippet is heavily truncated and lacks technical details.</t>
        </is>
      </c>
      <c r="AL8" t="inlineStr">
        <is>
          <t>System Design; Production-grade Software Engineering; Data Structures and Algorithms</t>
        </is>
      </c>
    </row>
    <row r="9">
      <c r="B9" t="inlineStr">
        <is>
          <t>Ecera System</t>
        </is>
      </c>
      <c r="C9" t="inlineStr">
        <is>
          <t>Software Engineer Intern</t>
        </is>
      </c>
      <c r="D9" t="inlineStr">
        <is>
          <t>https://in.jooble.org/jdp/-4076037738651150701</t>
        </is>
      </c>
      <c r="E9" t="inlineStr">
        <is>
          <t>AI Analyzer</t>
        </is>
      </c>
      <c r="F9" t="inlineStr">
        <is>
          <t>Bangalore</t>
        </is>
      </c>
      <c r="G9" t="inlineStr">
        <is>
          <t>UNKNOWN</t>
        </is>
      </c>
      <c r="H9" t="inlineStr">
        <is>
          <t>Paid</t>
        </is>
      </c>
      <c r="I9" t="inlineStr">
        <is>
          <t>UNKNOWN</t>
        </is>
      </c>
      <c r="J9" t="inlineStr">
        <is>
          <t>UNKNOWN</t>
        </is>
      </c>
      <c r="K9" t="inlineStr">
        <is>
          <t>Software Development; Testing</t>
        </is>
      </c>
      <c r="M9" t="inlineStr">
        <is>
          <t>&amp;nbsp;...streamlined, time-conscious process designed to ensure high-quality placements and complete satisfaction. 
 Role Description  The &lt;b&gt;Software Engineer Intern &lt;/b&gt;(Paid) will support the design, development, and testing of software applications as part of a collaborative engineering team...&amp;nbsp;</t>
        </is>
      </c>
      <c r="N9" t="n">
        <v>68</v>
      </c>
      <c r="O9" t="n">
        <v>70</v>
      </c>
      <c r="P9" t="n">
        <v>80</v>
      </c>
      <c r="Q9" t="n">
        <v>80</v>
      </c>
      <c r="R9" t="n">
        <v>50</v>
      </c>
      <c r="S9" t="n">
        <v>50</v>
      </c>
      <c r="T9" t="n">
        <v>60</v>
      </c>
      <c r="U9" t="inlineStr">
        <is>
          <t>STRETCH</t>
        </is>
      </c>
      <c r="V9" t="inlineStr">
        <is>
          <t>STRETCH</t>
        </is>
      </c>
      <c r="X9" t="inlineStr">
        <is>
          <t>Amaanuddin_Ahmed_Software_Engineering_Resume.pdf</t>
        </is>
      </c>
      <c r="Y9" t="inlineStr">
        <is>
          <t>2026-09-10</t>
        </is>
      </c>
      <c r="Z9" t="inlineStr">
        <is>
          <t>Matches general software engineering intern profile; Located in Bangalore</t>
        </is>
      </c>
      <c r="AA9" t="inlineStr">
        <is>
          <t>ELIGIBLE</t>
        </is>
      </c>
      <c r="AB9" t="inlineStr">
        <is>
          <t>Candidate is pursuing MCA at PES University and fits general software engineering intern criteria.</t>
        </is>
      </c>
      <c r="AC9" t="inlineStr">
        <is>
          <t>UNKNOWN</t>
        </is>
      </c>
      <c r="AD9" t="inlineStr">
        <is>
          <t>Availability not explicitly stated in JD or career brain profile.</t>
        </is>
      </c>
      <c r="AE9" t="inlineStr">
        <is>
          <t>UNKNOWN</t>
        </is>
      </c>
      <c r="AF9" t="n">
        <v>0</v>
      </c>
      <c r="AG9" t="inlineStr">
        <is>
          <t>No</t>
        </is>
      </c>
      <c r="AH9" t="inlineStr">
        <is>
          <t>UNKNOWN</t>
        </is>
      </c>
      <c r="AI9" t="inlineStr">
        <is>
          <t>No mention of PPO or conversion in the job snippet.</t>
        </is>
      </c>
      <c r="AK9" t="inlineStr">
        <is>
          <t>Vague job description snippet without specific technology requirements or stipend amounts</t>
        </is>
      </c>
      <c r="AL9" t="inlineStr">
        <is>
          <t>Software development lifecycle; Testing methodologies; Problem solving and coding fundamentals</t>
        </is>
      </c>
    </row>
    <row r="10">
      <c r="B10" t="inlineStr">
        <is>
          <t>allen digital</t>
        </is>
      </c>
      <c r="C10" t="inlineStr">
        <is>
          <t>Software Engineer Intern</t>
        </is>
      </c>
      <c r="D10" t="inlineStr">
        <is>
          <t>https://in.jooble.org/jdp/5384164569259953805</t>
        </is>
      </c>
      <c r="E10" t="inlineStr">
        <is>
          <t>AI Analyzer</t>
        </is>
      </c>
      <c r="F10" t="inlineStr">
        <is>
          <t>Bangalore</t>
        </is>
      </c>
      <c r="G10" t="inlineStr">
        <is>
          <t>Unknown</t>
        </is>
      </c>
      <c r="H10" t="inlineStr">
        <is>
          <t>Not specified</t>
        </is>
      </c>
      <c r="I10" t="inlineStr">
        <is>
          <t>Unknown</t>
        </is>
      </c>
      <c r="J10" t="inlineStr">
        <is>
          <t>UNKNOWN</t>
        </is>
      </c>
      <c r="K10" t="inlineStr">
        <is>
          <t>Go; Backend programming language</t>
        </is>
      </c>
      <c r="M10" t="inlineStr">
        <is>
          <t>&amp;nbsp;...technologies related to Go development. 
 Qualifications 
 Currently pursuing a Bachelor's or Master's degree in Computer Science, &lt;b&gt;Engineering,&lt;/b&gt; or a related technical field, scheduled to complete in 2026
 Familiarity with at least one backend programming language (e.g.,...&amp;nbsp;</t>
        </is>
      </c>
      <c r="N10" t="n">
        <v>64</v>
      </c>
      <c r="O10" t="n">
        <v>60</v>
      </c>
      <c r="P10" t="n">
        <v>80</v>
      </c>
      <c r="Q10" t="n">
        <v>75</v>
      </c>
      <c r="R10" t="n">
        <v>50</v>
      </c>
      <c r="S10" t="n">
        <v>40</v>
      </c>
      <c r="T10" t="n">
        <v>60</v>
      </c>
      <c r="U10" t="inlineStr">
        <is>
          <t>STRETCH</t>
        </is>
      </c>
      <c r="V10" t="inlineStr">
        <is>
          <t>STRETCH</t>
        </is>
      </c>
      <c r="W10" t="inlineStr">
        <is>
          <t>Go</t>
        </is>
      </c>
      <c r="X10" t="inlineStr">
        <is>
          <t>Amaanuddin_Ahmed_Software_Engineer_Resume.pdf</t>
        </is>
      </c>
      <c r="Y10" t="inlineStr">
        <is>
          <t>2026-09-10</t>
        </is>
      </c>
      <c r="Z10" t="inlineStr">
        <is>
          <t>Matches education and graduation timeline criteria (Master's in 2026).; Good alignment with Software Engineering internship role.</t>
        </is>
      </c>
      <c r="AA10" t="inlineStr">
        <is>
          <t>ELIGIBLE</t>
        </is>
      </c>
      <c r="AB10" t="inlineStr">
        <is>
          <t>Currently pursuing a Master's degree in a technical field (MCA) scheduled to complete in 2026.</t>
        </is>
      </c>
      <c r="AC10" t="inlineStr">
        <is>
          <t>UNKNOWN</t>
        </is>
      </c>
      <c r="AD10" t="inlineStr">
        <is>
          <t>Not mentioned in the job snippet.</t>
        </is>
      </c>
      <c r="AE10" t="inlineStr">
        <is>
          <t>UNKNOWN</t>
        </is>
      </c>
      <c r="AF10" t="n">
        <v>0</v>
      </c>
      <c r="AG10" t="inlineStr">
        <is>
          <t>No</t>
        </is>
      </c>
      <c r="AH10" t="inlineStr">
        <is>
          <t>UNKNOWN</t>
        </is>
      </c>
      <c r="AI10" t="inlineStr">
        <is>
          <t>No mention of PPO or conversion in the snippet.</t>
        </is>
      </c>
      <c r="AK10" t="inlineStr">
        <is>
          <t>Stipend is not disclosed; Go development is mentioned</t>
        </is>
      </c>
      <c r="AL10" t="inlineStr">
        <is>
          <t>Backend fundamentals; Go vs Node.js/Java/Python comparison; System design basics; Project walkthrough from portfolio</t>
        </is>
      </c>
    </row>
    <row r="11">
      <c r="B11" t="inlineStr">
        <is>
          <t>IONIC (Under Rebranding)</t>
        </is>
      </c>
      <c r="C11" t="inlineStr">
        <is>
          <t>Full Stack Engineer / Tech Intern</t>
        </is>
      </c>
      <c r="D11" t="inlineStr">
        <is>
          <t>https://in.jooble.org/jdp/6509585558078273655</t>
        </is>
      </c>
      <c r="E11" t="inlineStr">
        <is>
          <t>AI Analyzer</t>
        </is>
      </c>
      <c r="F11" t="inlineStr">
        <is>
          <t>Bangalore (also Gurgaon)</t>
        </is>
      </c>
      <c r="G11" t="inlineStr">
        <is>
          <t>On-site</t>
        </is>
      </c>
      <c r="H11" t="inlineStr">
        <is>
          <t>INR 25K to 50K</t>
        </is>
      </c>
      <c r="I11" t="inlineStr">
        <is>
          <t>Not Specified</t>
        </is>
      </c>
      <c r="J11" t="inlineStr">
        <is>
          <t>NOT_MENTIONED</t>
        </is>
      </c>
      <c r="K11" t="inlineStr">
        <is>
          <t>Full Stack Development; Software Engineering</t>
        </is>
      </c>
      <c r="M11" t="inlineStr">
        <is>
          <t>&amp;nbsp;...We're Hiring: SDE1 and Tech &lt;b&gt;Intern &lt;/b&gt;(Paid - INR 25K to 50K)
 Location: Gurgaon, Bangalore...&amp;nbsp;&amp;nbsp;...internship on-site role for a Full Stack &lt;b&gt;Engineer.&lt;/b&gt; 
 The Full Stack Engineer will be responsible...&amp;nbsp;&amp;nbsp;...code, troubleshooting and debugging &lt;b&gt;software,&lt;/b&gt; collaborating with cross-functional...&amp;nbsp;</t>
        </is>
      </c>
      <c r="N11" t="n">
        <v>83</v>
      </c>
      <c r="O11" t="n">
        <v>27</v>
      </c>
      <c r="P11" t="n">
        <v>18</v>
      </c>
      <c r="Q11" t="n">
        <v>14</v>
      </c>
      <c r="R11" t="n">
        <v>7</v>
      </c>
      <c r="S11" t="n">
        <v>10</v>
      </c>
      <c r="T11" t="n">
        <v>7</v>
      </c>
      <c r="U11" t="inlineStr">
        <is>
          <t>APPLY</t>
        </is>
      </c>
      <c r="V11" t="inlineStr">
        <is>
          <t>APPLY</t>
        </is>
      </c>
      <c r="X11" t="inlineStr">
        <is>
          <t>Amaanuddin_Ahmed_Full_Stack_Resume.pdf</t>
        </is>
      </c>
      <c r="Y11" t="inlineStr">
        <is>
          <t>2026-09-10</t>
        </is>
      </c>
      <c r="Z11" t="inlineStr">
        <is>
          <t>Stipend range of 25K to 50K meets the minimum target of ₹25,000/month.; Located in Bangalore with an on-site role matching target domains.; Good technical alignment with full stack development.</t>
        </is>
      </c>
      <c r="AA11" t="inlineStr">
        <is>
          <t>ELIGIBLE</t>
        </is>
      </c>
      <c r="AB11" t="inlineStr">
        <is>
          <t>No restrictive experience or degree requirements stated in the snippet.; Matches tech stack context.</t>
        </is>
      </c>
      <c r="AC11" t="inlineStr">
        <is>
          <t>UNKNOWN</t>
        </is>
      </c>
      <c r="AD11" t="inlineStr">
        <is>
          <t>Candidate availability details are not provided in the Career Brain.</t>
        </is>
      </c>
      <c r="AE11" t="inlineStr">
        <is>
          <t>EXPLICIT</t>
        </is>
      </c>
      <c r="AF11" t="n">
        <v>25000</v>
      </c>
      <c r="AG11" t="inlineStr">
        <is>
          <t>No</t>
        </is>
      </c>
      <c r="AH11" t="inlineStr">
        <is>
          <t>NOT_MENTIONED</t>
        </is>
      </c>
      <c r="AI11" t="inlineStr">
        <is>
          <t>No explicit mention of PPO or conversion in the snippet.</t>
        </is>
      </c>
      <c r="AK11" t="inlineStr">
        <is>
          <t>Company name states 'Under Rebranding'</t>
        </is>
      </c>
      <c r="AL11" t="inlineStr">
        <is>
          <t>Full stack system architecture; Debugging and troubleshooting methodologies; MERN or relevant stack project deep-dive; Collaborative development and REST APIs</t>
        </is>
      </c>
      <c r="AM11" t="inlineStr">
        <is>
          <t>E:\InternshipHunter\applications\6509585558078273655</t>
        </is>
      </c>
      <c r="AN11" t="inlineStr">
        <is>
          <t>Ready for Review</t>
        </is>
      </c>
      <c r="AO11" t="inlineStr">
        <is>
          <t>Generated</t>
        </is>
      </c>
      <c r="AP11" t="inlineStr">
        <is>
          <t>Generated</t>
        </is>
      </c>
      <c r="AQ11" t="inlineStr">
        <is>
          <t>Generated</t>
        </is>
      </c>
      <c r="AR11" t="inlineStr">
        <is>
          <t>Ready to Apply</t>
        </is>
      </c>
    </row>
    <row r="12">
      <c r="B12" t="inlineStr">
        <is>
          <t>Rubrik</t>
        </is>
      </c>
      <c r="C12" t="inlineStr">
        <is>
          <t>Software Engineer - Winter Intern</t>
        </is>
      </c>
      <c r="D12" t="inlineStr">
        <is>
          <t>https://in.jooble.org/jdp/-1777843382272607488</t>
        </is>
      </c>
      <c r="E12" t="inlineStr">
        <is>
          <t>AI Analyzer</t>
        </is>
      </c>
      <c r="F12" t="inlineStr">
        <is>
          <t>Bangalore</t>
        </is>
      </c>
      <c r="G12" t="inlineStr">
        <is>
          <t>Unknown</t>
        </is>
      </c>
      <c r="H12" t="inlineStr">
        <is>
          <t>Not specified</t>
        </is>
      </c>
      <c r="I12" t="inlineStr">
        <is>
          <t>Winter Internship</t>
        </is>
      </c>
      <c r="O12" t="n">
        <v>70</v>
      </c>
      <c r="P12" t="n">
        <v>75</v>
      </c>
      <c r="Q12" t="n">
        <v>80</v>
      </c>
      <c r="R12" t="n">
        <v>50</v>
      </c>
      <c r="S12" t="n">
        <v>0</v>
      </c>
      <c r="T12" t="n">
        <v>75</v>
      </c>
      <c r="V12" t="inlineStr">
        <is>
          <t>STRETCH</t>
        </is>
      </c>
      <c r="AA12" t="inlineStr">
        <is>
          <t>Eligible</t>
        </is>
      </c>
      <c r="AB12" t="inlineStr">
        <is>
          <t>Location matches target city (Bangalore); Role aligns with Software Engineering target</t>
        </is>
      </c>
      <c r="AC12" t="inlineStr">
        <is>
          <t>Unknown</t>
        </is>
      </c>
      <c r="AD12" t="inlineStr">
        <is>
          <t>Candidate availability details are not provided in the career brain.</t>
        </is>
      </c>
      <c r="AE12" t="inlineStr">
        <is>
          <t>UNKNOWN</t>
        </is>
      </c>
      <c r="AF12" t="n">
        <v>0</v>
      </c>
      <c r="AG12" t="inlineStr">
        <is>
          <t>No</t>
        </is>
      </c>
      <c r="AH12" t="inlineStr">
        <is>
          <t>Not Mentioned</t>
        </is>
      </c>
      <c r="AI12" t="inlineStr">
        <is>
          <t>The job description snippet does not explicitly mention PPO or conversion opportunities.</t>
        </is>
      </c>
      <c r="AK12" t="inlineStr">
        <is>
          <t>Very brief job snippet with no explicit stack, stipend, or requirements mentioned</t>
        </is>
      </c>
      <c r="AL12" t="inlineStr">
        <is>
          <t>General software engineering principles; Problem solving and data structures; Past project architectures and design</t>
        </is>
      </c>
    </row>
    <row r="13">
      <c r="B13" t="inlineStr">
        <is>
          <t>Repowise</t>
        </is>
      </c>
      <c r="C13" t="inlineStr">
        <is>
          <t>SDE Intern (Founding Team) | AI x Developer Tools</t>
        </is>
      </c>
      <c r="D13" t="inlineStr">
        <is>
          <t>https://in.jooble.org/jdp/8042308166668747854</t>
        </is>
      </c>
      <c r="E13" t="inlineStr">
        <is>
          <t>AI Analyzer</t>
        </is>
      </c>
      <c r="F13" t="inlineStr">
        <is>
          <t>Bangalore</t>
        </is>
      </c>
      <c r="G13" t="inlineStr">
        <is>
          <t>Remote</t>
        </is>
      </c>
      <c r="H13" t="inlineStr">
        <is>
          <t>Not specified</t>
        </is>
      </c>
      <c r="I13" t="inlineStr">
        <is>
          <t>UNKNOWN</t>
        </is>
      </c>
      <c r="J13" t="inlineStr">
        <is>
          <t>UNKNOWN</t>
        </is>
      </c>
      <c r="K13" t="inlineStr">
        <is>
          <t>Python; FastAPI; tree-sitter; git internals; vector search; Docker; MCP; LLM integrations</t>
        </is>
      </c>
      <c r="L13" t="inlineStr">
        <is>
          <t>AI-agent tooling</t>
        </is>
      </c>
      <c r="M13" t="inlineStr">
        <is>
          <t>&amp;nbsp;...Build and ship production-grade features across the indexing &lt;b&gt;engine &lt;/b&gt;and AI-agent tooling 
 Work on core platform systems: code parsing...&amp;nbsp;&amp;nbsp;...Stack (Exposure You'll Get)
 Python, FastAPI, tree-sitter, git &lt;b&gt;internals,&lt;/b&gt; vector search, Docker, MCP, and LLM integrations, applied to static...&amp;nbsp;</t>
        </is>
      </c>
      <c r="N13" t="n">
        <v>40</v>
      </c>
      <c r="O13" t="n">
        <v>40</v>
      </c>
      <c r="P13" t="n">
        <v>50</v>
      </c>
      <c r="Q13" t="n">
        <v>50</v>
      </c>
      <c r="R13" t="n">
        <v>0</v>
      </c>
      <c r="S13" t="n">
        <v>0</v>
      </c>
      <c r="T13" t="n">
        <v>60</v>
      </c>
      <c r="U13" t="inlineStr">
        <is>
          <t>SKIP</t>
        </is>
      </c>
      <c r="V13" t="inlineStr">
        <is>
          <t>SKIP</t>
        </is>
      </c>
      <c r="W13" t="inlineStr">
        <is>
          <t>FastAPI; tree-sitter; git internals; vector search; Docker; MCP; LLM integrations</t>
        </is>
      </c>
      <c r="X13" t="inlineStr">
        <is>
          <t>Amaanuddin_Ahmed_Software_Engineer_Resume.pdf</t>
        </is>
      </c>
      <c r="Y13" t="inlineStr">
        <is>
          <t>2026-09-10</t>
        </is>
      </c>
      <c r="Z13" t="inlineStr">
        <is>
          <t>High-impact founding team opportunity in AI x Developer Tools.; Remote work mode aligns well with preferences.</t>
        </is>
      </c>
      <c r="AA13" t="inlineStr">
        <is>
          <t>ELIGIBLE</t>
        </is>
      </c>
      <c r="AB13" t="inlineStr">
        <is>
          <t>No explicit graduation year or degree blockers mentioned in the snippet.</t>
        </is>
      </c>
      <c r="AC13" t="inlineStr">
        <is>
          <t>UNKNOWN</t>
        </is>
      </c>
      <c r="AD13" t="inlineStr">
        <is>
          <t>Not enough information to determine exact availability constraints.</t>
        </is>
      </c>
      <c r="AE13" t="inlineStr">
        <is>
          <t>UNKNOWN</t>
        </is>
      </c>
      <c r="AF13" t="n">
        <v>0</v>
      </c>
      <c r="AG13" t="inlineStr">
        <is>
          <t>No</t>
        </is>
      </c>
      <c r="AH13" t="inlineStr">
        <is>
          <t>UNKNOWN</t>
        </is>
      </c>
      <c r="AI13" t="inlineStr">
        <is>
          <t>No explicit PPO or conversion mention found in the snippet.</t>
        </is>
      </c>
      <c r="AK13" t="inlineStr">
        <is>
          <t>Unspecified stipend</t>
        </is>
      </c>
      <c r="AL13" t="inlineStr">
        <is>
          <t>Python fundamentals; Vector search concepts; LLM integration and AI agents; System architecture for developer tools</t>
        </is>
      </c>
    </row>
    <row r="14">
      <c r="B14" t="inlineStr">
        <is>
          <t>Codingal</t>
        </is>
      </c>
      <c r="C14" t="inlineStr">
        <is>
          <t>Software Engineer Intern</t>
        </is>
      </c>
      <c r="D14" t="inlineStr">
        <is>
          <t>https://in.jooble.org/jdp/3561679318189260784</t>
        </is>
      </c>
      <c r="E14" t="inlineStr">
        <is>
          <t>AI Analyzer</t>
        </is>
      </c>
      <c r="F14" t="inlineStr">
        <is>
          <t>Bangalore</t>
        </is>
      </c>
      <c r="G14" t="inlineStr">
        <is>
          <t>UNKNOWN</t>
        </is>
      </c>
      <c r="H14" t="inlineStr">
        <is>
          <t>Not specified</t>
        </is>
      </c>
      <c r="I14" t="inlineStr">
        <is>
          <t>UNKNOWN</t>
        </is>
      </c>
      <c r="J14" t="inlineStr">
        <is>
          <t>UNKNOWN</t>
        </is>
      </c>
      <c r="K14" t="inlineStr">
        <is>
          <t>Python; Django; React</t>
        </is>
      </c>
      <c r="M14" t="inlineStr">
        <is>
          <t>&amp;nbsp;...prepare them to become future-ready creators - entrepreneurs, &lt;b&gt;engineers,&lt;/b&gt; and scientists. With a curriculum accredited by  STEM.org...&amp;nbsp;&amp;nbsp;...for coding and AI education. 
 We are seeking a  &lt;b&gt;Software &lt;/b&gt;Engineering &lt;b&gt;Intern &lt;/b&gt;(Fullstack - Python, Django, React) to join the passionate...&amp;nbsp;</t>
        </is>
      </c>
      <c r="N14" t="n">
        <v>65</v>
      </c>
      <c r="O14" t="n">
        <v>20</v>
      </c>
      <c r="P14" t="n">
        <v>20</v>
      </c>
      <c r="Q14" t="n">
        <v>15</v>
      </c>
      <c r="R14" t="n">
        <v>5</v>
      </c>
      <c r="S14" t="n">
        <v>0</v>
      </c>
      <c r="T14" t="n">
        <v>5</v>
      </c>
      <c r="U14" t="inlineStr">
        <is>
          <t>STRETCH</t>
        </is>
      </c>
      <c r="V14" t="inlineStr">
        <is>
          <t>STRETCH</t>
        </is>
      </c>
      <c r="W14" t="inlineStr">
        <is>
          <t>Django</t>
        </is>
      </c>
      <c r="X14" t="inlineStr">
        <is>
          <t>Amaanuddin_Ahmed_Fullstack_Resume.pdf</t>
        </is>
      </c>
      <c r="Y14" t="inlineStr">
        <is>
          <t>2026-09-10</t>
        </is>
      </c>
      <c r="Z14" t="inlineStr">
        <is>
          <t>Matches target role of Software Engineering / Full Stack Development; Candidate has demonstrated experience in Python and React</t>
        </is>
      </c>
      <c r="AA14" t="inlineStr">
        <is>
          <t>ELIGIBLE</t>
        </is>
      </c>
      <c r="AB14" t="inlineStr">
        <is>
          <t>No specific graduation year, strict degree, or explicit experience blockers mentioned in snippet</t>
        </is>
      </c>
      <c r="AC14" t="inlineStr">
        <is>
          <t>UNKNOWN</t>
        </is>
      </c>
      <c r="AD14" t="inlineStr">
        <is>
          <t>Not specified in candidate profile</t>
        </is>
      </c>
      <c r="AE14" t="inlineStr">
        <is>
          <t>UNKNOWN</t>
        </is>
      </c>
      <c r="AF14" t="n">
        <v>0</v>
      </c>
      <c r="AG14" t="inlineStr">
        <is>
          <t>No</t>
        </is>
      </c>
      <c r="AH14" t="inlineStr">
        <is>
          <t>UNKNOWN</t>
        </is>
      </c>
      <c r="AI14" t="inlineStr">
        <is>
          <t>No mention of PPO or conversion in the job description snippet</t>
        </is>
      </c>
      <c r="AK14" t="inlineStr">
        <is>
          <t>Incomplete job description snippet providing limited details on stipend and duration</t>
        </is>
      </c>
      <c r="AL14" t="inlineStr">
        <is>
          <t>Python fundamentals; Django framework experience; React state management; Full stack web development projects</t>
        </is>
      </c>
    </row>
    <row r="15">
      <c r="B15" t="inlineStr">
        <is>
          <t>merklescience</t>
        </is>
      </c>
      <c r="C15" t="inlineStr">
        <is>
          <t>Software Engineer (Intern) - Backend</t>
        </is>
      </c>
      <c r="D15" t="inlineStr">
        <is>
          <t>https://in.jooble.org/jdp/-4009572167721000675</t>
        </is>
      </c>
      <c r="E15" t="inlineStr">
        <is>
          <t>AI Analyzer</t>
        </is>
      </c>
      <c r="F15" t="inlineStr">
        <is>
          <t>Bangalore</t>
        </is>
      </c>
      <c r="G15" t="inlineStr">
        <is>
          <t>Unknown</t>
        </is>
      </c>
      <c r="I15" t="inlineStr">
        <is>
          <t>Unknown</t>
        </is>
      </c>
      <c r="J15" t="inlineStr">
        <is>
          <t>Not Mentioned</t>
        </is>
      </c>
      <c r="K15" t="inlineStr">
        <is>
          <t>PostgreSQL; Redis; Backend Development</t>
        </is>
      </c>
      <c r="L15" t="inlineStr">
        <is>
          <t>Caching; Queue management; Testing; Debugging</t>
        </is>
      </c>
      <c r="M15" t="inlineStr">
        <is>
          <t>&amp;nbsp;...models in  PostgreSQL 
 Work with  Redis  for caching, queues, and improving service performance 
 Collaborate with frontend and QA &lt;b&gt;engineers &lt;/b&gt;to ship end-to-end features 
 Write clean, tested, well-documented code and participate in code reviews 
 Debug and optimize...&amp;nbsp;</t>
        </is>
      </c>
      <c r="N15" t="n">
        <v>53</v>
      </c>
      <c r="O15" t="n">
        <v>60</v>
      </c>
      <c r="P15" t="n">
        <v>70</v>
      </c>
      <c r="Q15" t="n">
        <v>75</v>
      </c>
      <c r="R15" t="n">
        <v>0</v>
      </c>
      <c r="S15" t="n">
        <v>0</v>
      </c>
      <c r="T15" t="n">
        <v>60</v>
      </c>
      <c r="U15" t="inlineStr">
        <is>
          <t>SKIP</t>
        </is>
      </c>
      <c r="V15" t="inlineStr">
        <is>
          <t>SKIP</t>
        </is>
      </c>
      <c r="W15" t="inlineStr">
        <is>
          <t>PostgreSQL; Redis</t>
        </is>
      </c>
      <c r="X15" t="inlineStr">
        <is>
          <t>Amaanuddin_Ahmed_Backend_Resume</t>
        </is>
      </c>
      <c r="Y15" t="inlineStr">
        <is>
          <t>2026-09-10</t>
        </is>
      </c>
      <c r="Z15" t="inlineStr">
        <is>
          <t>Matches backend engineering interests; Located in Bangalore</t>
        </is>
      </c>
      <c r="AA15" t="inlineStr">
        <is>
          <t>Eligible</t>
        </is>
      </c>
      <c r="AB15" t="inlineStr">
        <is>
          <t>Location matches target city (Bangalore); Role aligns with Backend Development</t>
        </is>
      </c>
      <c r="AC15" t="inlineStr">
        <is>
          <t>Unknown</t>
        </is>
      </c>
      <c r="AD15" t="inlineStr">
        <is>
          <t>Availability not explicitly specified in the job snippet</t>
        </is>
      </c>
      <c r="AE15" t="inlineStr">
        <is>
          <t>UNKNOWN</t>
        </is>
      </c>
      <c r="AF15" t="n">
        <v>0</v>
      </c>
      <c r="AG15" t="inlineStr">
        <is>
          <t>No</t>
        </is>
      </c>
      <c r="AH15" t="inlineStr">
        <is>
          <t>Not Mentioned</t>
        </is>
      </c>
      <c r="AI15" t="inlineStr">
        <is>
          <t>No explicit mention of PPO or conversion in the snippet</t>
        </is>
      </c>
      <c r="AK15" t="inlineStr">
        <is>
          <t>Stipend information is missing</t>
        </is>
      </c>
      <c r="AL15" t="inlineStr">
        <is>
          <t>PostgreSQL relational modeling and query optimization; Redis for caching and message queues; REST API design and backend architecture; Testing and debugging strategies in backend systems</t>
        </is>
      </c>
    </row>
    <row r="16">
      <c r="B16" t="inlineStr">
        <is>
          <t>Saffronbizz Solutions</t>
        </is>
      </c>
      <c r="C16" t="inlineStr">
        <is>
          <t>Software Developer Intern</t>
        </is>
      </c>
      <c r="D16" t="inlineStr">
        <is>
          <t>https://in.jooble.org/jdp/-6825957623175668188</t>
        </is>
      </c>
      <c r="E16" t="inlineStr">
        <is>
          <t>AI Analyzer</t>
        </is>
      </c>
      <c r="F16" t="inlineStr">
        <is>
          <t>Bangalore</t>
        </is>
      </c>
      <c r="G16" t="inlineStr">
        <is>
          <t>Unknown</t>
        </is>
      </c>
      <c r="H16" t="inlineStr">
        <is>
          <t>Rs 2 - 5 lakhs p.a.</t>
        </is>
      </c>
      <c r="I16" t="inlineStr">
        <is>
          <t>Unknown</t>
        </is>
      </c>
      <c r="J16" t="inlineStr">
        <is>
          <t>NOT_MENTIONED</t>
        </is>
      </c>
      <c r="K16" t="inlineStr">
        <is>
          <t>Agile; Modern programming languages</t>
        </is>
      </c>
      <c r="M16" t="inlineStr">
        <is>
          <t>&amp;nbsp;...Job description  As a &lt;b&gt;Software &lt;/b&gt;Developer &lt;b&gt;Intern,&lt;/b&gt; you will: 
 Work alongside our experienced software developers on one of our small, energetic &lt;b&gt;development &lt;/b&gt;teams. 
 Learn the process of software development using modern languages like Agile to help full-time work in designing...&amp;nbsp;</t>
        </is>
      </c>
      <c r="N16" t="n">
        <v>62</v>
      </c>
      <c r="O16" t="n">
        <v>70</v>
      </c>
      <c r="P16" t="n">
        <v>80</v>
      </c>
      <c r="Q16" t="n">
        <v>80</v>
      </c>
      <c r="R16" t="n">
        <v>0</v>
      </c>
      <c r="S16" t="n">
        <v>60</v>
      </c>
      <c r="T16" t="n">
        <v>60</v>
      </c>
      <c r="U16" t="inlineStr">
        <is>
          <t>STRETCH</t>
        </is>
      </c>
      <c r="V16" t="inlineStr">
        <is>
          <t>STRETCH</t>
        </is>
      </c>
      <c r="X16" t="inlineStr">
        <is>
          <t>Amaanuddin_Ahmed_Software_Engineer_Resume.pdf</t>
        </is>
      </c>
      <c r="Y16" t="inlineStr">
        <is>
          <t>2026-09-10</t>
        </is>
      </c>
      <c r="Z16" t="inlineStr">
        <is>
          <t>Matches the target Software Engineering internship role; Located in Bangalore</t>
        </is>
      </c>
      <c r="AA16" t="inlineStr">
        <is>
          <t>ELIGIBLE</t>
        </is>
      </c>
      <c r="AB16" t="inlineStr">
        <is>
          <t>No strict degree or hard blockers specified in the snippet</t>
        </is>
      </c>
      <c r="AC16" t="inlineStr">
        <is>
          <t>UNKNOWN</t>
        </is>
      </c>
      <c r="AD16" t="inlineStr">
        <is>
          <t>Candidate availability not specified in job description</t>
        </is>
      </c>
      <c r="AE16" t="inlineStr">
        <is>
          <t>EXPLICIT</t>
        </is>
      </c>
      <c r="AF16" t="n">
        <v>16666</v>
      </c>
      <c r="AG16" t="inlineStr">
        <is>
          <t>No</t>
        </is>
      </c>
      <c r="AH16" t="inlineStr">
        <is>
          <t>NOT_MENTIONED</t>
        </is>
      </c>
      <c r="AI16" t="inlineStr">
        <is>
          <t>No mention of PPO or conversion in the job description snippet</t>
        </is>
      </c>
      <c r="AK16" t="inlineStr">
        <is>
          <t>Job description snippet is very vague</t>
        </is>
      </c>
      <c r="AL16" t="inlineStr">
        <is>
          <t>Agile methodology; Software development life cycle; Basic programming and problem solving</t>
        </is>
      </c>
    </row>
    <row r="17">
      <c r="B17" t="inlineStr">
        <is>
          <t>Chai Point</t>
        </is>
      </c>
      <c r="C17" t="inlineStr">
        <is>
          <t>Software Development Engineering (Web) Intern</t>
        </is>
      </c>
      <c r="D17" t="inlineStr">
        <is>
          <t>https://in.jooble.org/jdp/2483334524981365185</t>
        </is>
      </c>
      <c r="E17" t="inlineStr">
        <is>
          <t>AI Analyzer</t>
        </is>
      </c>
      <c r="F17" t="inlineStr">
        <is>
          <t>Bangalore</t>
        </is>
      </c>
      <c r="G17" t="inlineStr">
        <is>
          <t>Unknown</t>
        </is>
      </c>
      <c r="H17" t="inlineStr">
        <is>
          <t>Not specified</t>
        </is>
      </c>
      <c r="I17" t="inlineStr">
        <is>
          <t>Unknown</t>
        </is>
      </c>
      <c r="J17" t="inlineStr">
        <is>
          <t>Not Mentioned</t>
        </is>
      </c>
      <c r="K17" t="inlineStr">
        <is>
          <t>Web Development; QA and Testing</t>
        </is>
      </c>
      <c r="L17" t="inlineStr">
        <is>
          <t>AI Adoption; Technical Documentation</t>
        </is>
      </c>
      <c r="M17" t="inlineStr">
        <is>
          <t>&amp;nbsp;...&lt;b&gt;Intern'&lt;/b&gt;s Day-to-day Responsibilities Include 
 Assist with &lt;b&gt;development &lt;/b&gt;and implementation activities. 
 Support QA, testing, and bug identification. 
 Prepare and maintain technical documentation. 
 Explore and support AI adoption and AI-driven initiatives. 
 About Company...&amp;nbsp;</t>
        </is>
      </c>
      <c r="N17" t="n">
        <v>58</v>
      </c>
      <c r="O17" t="n">
        <v>70</v>
      </c>
      <c r="P17" t="n">
        <v>70</v>
      </c>
      <c r="Q17" t="n">
        <v>75</v>
      </c>
      <c r="R17" t="n">
        <v>30</v>
      </c>
      <c r="S17" t="n">
        <v>0</v>
      </c>
      <c r="T17" t="n">
        <v>50</v>
      </c>
      <c r="U17" t="inlineStr">
        <is>
          <t>SKIP</t>
        </is>
      </c>
      <c r="V17" t="inlineStr">
        <is>
          <t>SKIP</t>
        </is>
      </c>
      <c r="X17" t="inlineStr">
        <is>
          <t>Amaan_Ahmed_Fullstack_Resume.pdf</t>
        </is>
      </c>
      <c r="Y17" t="inlineStr">
        <is>
          <t>2026-09-10</t>
        </is>
      </c>
      <c r="Z17" t="inlineStr">
        <is>
          <t>Located in Bangalore; Matches general Full Stack/Software Engineering profile</t>
        </is>
      </c>
      <c r="AA17" t="inlineStr">
        <is>
          <t>Eligible</t>
        </is>
      </c>
      <c r="AB17" t="inlineStr">
        <is>
          <t>No explicit degree or graduation-year blockers mentioned in the snippet.</t>
        </is>
      </c>
      <c r="AC17" t="inlineStr">
        <is>
          <t>Unknown</t>
        </is>
      </c>
      <c r="AD17" t="inlineStr">
        <is>
          <t>Not specified in candidate profile or job description.</t>
        </is>
      </c>
      <c r="AE17" t="inlineStr">
        <is>
          <t>UNKNOWN</t>
        </is>
      </c>
      <c r="AF17" t="n">
        <v>0</v>
      </c>
      <c r="AG17" t="inlineStr">
        <is>
          <t>No</t>
        </is>
      </c>
      <c r="AH17" t="inlineStr">
        <is>
          <t>Not Mentioned</t>
        </is>
      </c>
      <c r="AI17" t="inlineStr">
        <is>
          <t>No explicit mention of PPO or conversion in the job description snippet.</t>
        </is>
      </c>
      <c r="AK17" t="inlineStr">
        <is>
          <t>Stipend details not provided; Vague and brief job description snippet</t>
        </is>
      </c>
      <c r="AL17" t="inlineStr">
        <is>
          <t>Web Development Fundamentals; Testing and QA processes; AI adoption in software development</t>
        </is>
      </c>
    </row>
    <row r="18">
      <c r="B18" t="inlineStr">
        <is>
          <t>Outbox.vc</t>
        </is>
      </c>
      <c r="C18" t="inlineStr">
        <is>
          <t>Software Developer - Intern</t>
        </is>
      </c>
      <c r="D18" t="inlineStr">
        <is>
          <t>https://in.jooble.org/jdp/5089802996613037634</t>
        </is>
      </c>
      <c r="E18" t="inlineStr">
        <is>
          <t>AI Analyzer</t>
        </is>
      </c>
      <c r="F18" t="inlineStr">
        <is>
          <t>Bangalore</t>
        </is>
      </c>
      <c r="G18" t="inlineStr">
        <is>
          <t>Unknown</t>
        </is>
      </c>
      <c r="H18" t="inlineStr">
        <is>
          <t>Rs 30000 - Rs 35000 per month</t>
        </is>
      </c>
      <c r="I18" t="inlineStr">
        <is>
          <t>Unknown</t>
        </is>
      </c>
      <c r="J18" t="inlineStr">
        <is>
          <t>not mentioned</t>
        </is>
      </c>
      <c r="K18" t="inlineStr">
        <is>
          <t>NodeJS; Typescript; Git; MySQL</t>
        </is>
      </c>
      <c r="M18" t="inlineStr">
        <is>
          <t>&amp;nbsp;...Job Description 
 We are seeking  SDE &lt;b&gt;Interns,&lt;/b&gt;  talented individuals with strong knowledge of NodeJS, Typescript, Git and MySQL to...&amp;nbsp;&amp;nbsp;...opportunity to work on cutting-edge technologies and contribute to the &lt;b&gt;development &lt;/b&gt;of our innovative outbound marketing system. 
 If you are...&amp;nbsp;</t>
        </is>
      </c>
      <c r="N18" t="n">
        <v>77</v>
      </c>
      <c r="O18" t="n">
        <v>22</v>
      </c>
      <c r="P18" t="n">
        <v>18</v>
      </c>
      <c r="Q18" t="n">
        <v>14</v>
      </c>
      <c r="R18" t="n">
        <v>5</v>
      </c>
      <c r="S18" t="n">
        <v>10</v>
      </c>
      <c r="T18" t="n">
        <v>8</v>
      </c>
      <c r="U18" t="inlineStr">
        <is>
          <t>CONSIDER</t>
        </is>
      </c>
      <c r="V18" t="inlineStr">
        <is>
          <t>CONSIDER</t>
        </is>
      </c>
      <c r="W18" t="inlineStr">
        <is>
          <t>Typescript</t>
        </is>
      </c>
      <c r="X18" t="inlineStr">
        <is>
          <t>Full Stack / Backend Resume</t>
        </is>
      </c>
      <c r="Y18" t="inlineStr">
        <is>
          <t>2026-09-10</t>
        </is>
      </c>
      <c r="Z18" t="inlineStr">
        <is>
          <t>Stipend is above the minimum target of ₹25,000/month.; Matches primary tech stack skills like Node.js and MySQL.; Located in Bangalore.</t>
        </is>
      </c>
      <c r="AA18" t="inlineStr">
        <is>
          <t>eligible</t>
        </is>
      </c>
      <c r="AB18" t="inlineStr">
        <is>
          <t>Meets degree and graduation year constraints implicitly by being an MCA student looking for internships.; Location matches Bangalore.</t>
        </is>
      </c>
      <c r="AC18" t="inlineStr">
        <is>
          <t>unknown</t>
        </is>
      </c>
      <c r="AD18" t="inlineStr">
        <is>
          <t>Candidate availability start date is not specified in the career brain.</t>
        </is>
      </c>
      <c r="AE18" t="inlineStr">
        <is>
          <t>paid</t>
        </is>
      </c>
      <c r="AF18" t="n">
        <v>30000</v>
      </c>
      <c r="AG18" t="inlineStr">
        <is>
          <t>No</t>
        </is>
      </c>
      <c r="AH18" t="inlineStr">
        <is>
          <t>not mentioned</t>
        </is>
      </c>
      <c r="AI18" t="inlineStr">
        <is>
          <t>Job description does not explicitly mention PPO or conversion.</t>
        </is>
      </c>
      <c r="AL18" t="inlineStr">
        <is>
          <t>Node.js architecture and event loop; TypeScript fundamentals and migration from JS; MySQL queries, indexing, and joins; Git workflows and branch management</t>
        </is>
      </c>
    </row>
    <row r="19">
      <c r="B19" t="inlineStr">
        <is>
          <t>Nxtwave Disruptive Technologies Private Limited</t>
        </is>
      </c>
      <c r="C19" t="inlineStr">
        <is>
          <t>MERN Developer - Intern</t>
        </is>
      </c>
      <c r="D19" t="inlineStr">
        <is>
          <t>https://in.jooble.org/jdp/7218822007534742956</t>
        </is>
      </c>
      <c r="E19" t="inlineStr">
        <is>
          <t>AI Analyzer</t>
        </is>
      </c>
      <c r="F19" t="inlineStr">
        <is>
          <t>Bangalore</t>
        </is>
      </c>
      <c r="G19" t="inlineStr">
        <is>
          <t>On-site</t>
        </is>
      </c>
      <c r="H19" t="inlineStr">
        <is>
          <t>20,000/month</t>
        </is>
      </c>
      <c r="I19" t="inlineStr">
        <is>
          <t>6 Months</t>
        </is>
      </c>
      <c r="J19" t="inlineStr">
        <is>
          <t>Yes</t>
        </is>
      </c>
      <c r="K19" t="inlineStr">
        <is>
          <t>MERN; MongoDB; Express.js; React.js; Node.js</t>
        </is>
      </c>
      <c r="M19" t="inlineStr">
        <is>
          <t>&amp;nbsp;...MERN Developer – Internship + Full-Time Opportunity  Apply Link:    Apply Here 
 Role:  MERN Developer – &lt;b&gt;Intern &lt;/b&gt;
  Job Type:  Internship + Full-Time 
  Location:  Bangalore 
  CTC:  3.6 – 4.2 LPA 
  Internship Duration:  6 Months 
  Internship Stipend:  20,000/month...&amp;nbsp;</t>
        </is>
      </c>
      <c r="N19" t="n">
        <v>91</v>
      </c>
      <c r="O19" t="n">
        <v>30</v>
      </c>
      <c r="P19" t="n">
        <v>18</v>
      </c>
      <c r="Q19" t="n">
        <v>15</v>
      </c>
      <c r="R19" t="n">
        <v>15</v>
      </c>
      <c r="S19" t="n">
        <v>5</v>
      </c>
      <c r="T19" t="n">
        <v>8</v>
      </c>
      <c r="U19" t="inlineStr">
        <is>
          <t>APPLY ASAP</t>
        </is>
      </c>
      <c r="V19" t="inlineStr">
        <is>
          <t>APPLY ASAP</t>
        </is>
      </c>
      <c r="X19" t="inlineStr">
        <is>
          <t>Amaan_FullStack_MERN_Resume.pdf</t>
        </is>
      </c>
      <c r="Y19" t="inlineStr">
        <is>
          <t>2026-09-10</t>
        </is>
      </c>
      <c r="Z19" t="inlineStr">
        <is>
          <t>Exact match for MERN stack role which aligns with Amaan's core skills and StaySphere project; Explicit Full-Time conversion opportunity (PPO) included with CTC of 3.6 - 4.2 LPA; Bangalore location matches preference</t>
        </is>
      </c>
      <c r="AA19" t="inlineStr">
        <is>
          <t>Eligible</t>
        </is>
      </c>
      <c r="AC19" t="inlineStr">
        <is>
          <t>Unknown</t>
        </is>
      </c>
      <c r="AD19" t="inlineStr">
        <is>
          <t>Not specified in the candidate profile.</t>
        </is>
      </c>
      <c r="AE19" t="inlineStr">
        <is>
          <t>Below Target</t>
        </is>
      </c>
      <c r="AF19" t="n">
        <v>20000</v>
      </c>
      <c r="AG19" t="inlineStr">
        <is>
          <t>No</t>
        </is>
      </c>
      <c r="AH19" t="inlineStr">
        <is>
          <t>Yes</t>
        </is>
      </c>
      <c r="AI19" t="inlineStr">
        <is>
          <t>Internship + Full-Time Opportunity / CTC: 3.6 - 4.2 LPA</t>
        </is>
      </c>
      <c r="AK19" t="inlineStr">
        <is>
          <t>Stipend of Rs 20,000/month is below Amaan's minimum target of ₹25,000/month</t>
        </is>
      </c>
      <c r="AL19" t="inlineStr">
        <is>
          <t>MERN Stack Architecture; RESTful APIs and Authentication; State Management in React; MongoDB Aggregation and Schema Design; StaySphere Project Architecture</t>
        </is>
      </c>
      <c r="AM19" t="inlineStr">
        <is>
          <t>E:\InternshipHunter\applications\7218822007534742956</t>
        </is>
      </c>
      <c r="AN19" t="inlineStr">
        <is>
          <t>Ready for Review</t>
        </is>
      </c>
      <c r="AO19" t="inlineStr">
        <is>
          <t>Generated</t>
        </is>
      </c>
      <c r="AP19" t="inlineStr">
        <is>
          <t>Generated</t>
        </is>
      </c>
      <c r="AQ19" t="inlineStr">
        <is>
          <t>Generated</t>
        </is>
      </c>
      <c r="AR19" t="inlineStr">
        <is>
          <t>Ready to Apply</t>
        </is>
      </c>
    </row>
    <row r="20">
      <c r="B20" t="inlineStr">
        <is>
          <t>dodo payments</t>
        </is>
      </c>
      <c r="C20" t="inlineStr">
        <is>
          <t>Developer Relations Intern</t>
        </is>
      </c>
      <c r="D20" t="inlineStr">
        <is>
          <t>https://in.jooble.org/jdp/-6984745115447187577</t>
        </is>
      </c>
      <c r="E20" t="inlineStr">
        <is>
          <t>AI Analyzer</t>
        </is>
      </c>
      <c r="F20" t="inlineStr">
        <is>
          <t>Bangalore</t>
        </is>
      </c>
      <c r="G20" t="inlineStr">
        <is>
          <t>Unknown</t>
        </is>
      </c>
      <c r="H20" t="inlineStr">
        <is>
          <t>Not specified</t>
        </is>
      </c>
      <c r="I20" t="inlineStr">
        <is>
          <t>Unknown</t>
        </is>
      </c>
      <c r="J20" t="inlineStr">
        <is>
          <t>Not Mentioned</t>
        </is>
      </c>
      <c r="K20" t="inlineStr">
        <is>
          <t>Communication; Management; Coding; CRM systems; Technical support; Software development; APIs; Documentation; Community engagement; Workflow</t>
        </is>
      </c>
      <c r="M20" t="inlineStr">
        <is>
          <t>&amp;nbsp;...About Us 
 Dodo Payments is an &lt;b&gt;international &lt;/b&gt;payments platform (Merchant-of-record) that enables digital-first businesses to collect...&amp;nbsp;&amp;nbsp;...communication,management,coding,crm systems,technical support,&lt;b&gt;software development,&lt;/b&gt;apis,documentation,community engagement,workflow...&amp;nbsp;</t>
        </is>
      </c>
      <c r="N20" t="n">
        <v>35</v>
      </c>
      <c r="O20" t="n">
        <v>40</v>
      </c>
      <c r="P20" t="n">
        <v>50</v>
      </c>
      <c r="Q20" t="n">
        <v>30</v>
      </c>
      <c r="R20" t="n">
        <v>0</v>
      </c>
      <c r="S20" t="n">
        <v>0</v>
      </c>
      <c r="T20" t="n">
        <v>50</v>
      </c>
      <c r="U20" t="inlineStr">
        <is>
          <t>SKIP</t>
        </is>
      </c>
      <c r="V20" t="inlineStr">
        <is>
          <t>SKIP</t>
        </is>
      </c>
      <c r="W20" t="inlineStr">
        <is>
          <t>Developer Relations; CRM systems; Technical support; Community engagement; Documentation</t>
        </is>
      </c>
      <c r="X20" t="inlineStr">
        <is>
          <t>Default / General</t>
        </is>
      </c>
      <c r="Y20" t="inlineStr">
        <is>
          <t>2026-09-10</t>
        </is>
      </c>
      <c r="Z20" t="inlineStr">
        <is>
          <t>Located in Bangalore</t>
        </is>
      </c>
      <c r="AA20" t="inlineStr">
        <is>
          <t>Eligible</t>
        </is>
      </c>
      <c r="AC20" t="inlineStr">
        <is>
          <t>Unknown</t>
        </is>
      </c>
      <c r="AD20" t="inlineStr">
        <is>
          <t>Not specified in candidate profile or job description</t>
        </is>
      </c>
      <c r="AE20" t="inlineStr">
        <is>
          <t>UNKNOWN</t>
        </is>
      </c>
      <c r="AF20" t="n">
        <v>0</v>
      </c>
      <c r="AG20" t="inlineStr">
        <is>
          <t>No</t>
        </is>
      </c>
      <c r="AH20" t="inlineStr">
        <is>
          <t>Not Mentioned</t>
        </is>
      </c>
      <c r="AI20" t="inlineStr">
        <is>
          <t>No mention of PPO or conversion in the job snippet</t>
        </is>
      </c>
      <c r="AK20" t="inlineStr">
        <is>
          <t>Role is Developer Relations rather than core Software Engineering or Full Stack Development</t>
        </is>
      </c>
      <c r="AL20" t="inlineStr">
        <is>
          <t>API documentation experience; Community engagement and technical writing; Developer support workflows</t>
        </is>
      </c>
    </row>
    <row r="21">
      <c r="B21" t="inlineStr">
        <is>
          <t>Continental Industry</t>
        </is>
      </c>
      <c r="C21" t="inlineStr">
        <is>
          <t>Intern - AI Engineer</t>
        </is>
      </c>
      <c r="D21" t="inlineStr">
        <is>
          <t>https://in.jooble.org/jdp/-8151250632548540664</t>
        </is>
      </c>
      <c r="E21" t="inlineStr">
        <is>
          <t>AI Analyzer</t>
        </is>
      </c>
      <c r="F21" t="inlineStr">
        <is>
          <t>Bangalore</t>
        </is>
      </c>
      <c r="G21" t="inlineStr">
        <is>
          <t>UNKNOWN</t>
        </is>
      </c>
      <c r="H21" t="inlineStr">
        <is>
          <t>Not specified</t>
        </is>
      </c>
      <c r="I21" t="inlineStr">
        <is>
          <t>UNKNOWN</t>
        </is>
      </c>
      <c r="J21" t="inlineStr">
        <is>
          <t>UNKNOWN</t>
        </is>
      </c>
      <c r="K21" t="inlineStr">
        <is>
          <t>AI; Machine Learning</t>
        </is>
      </c>
      <c r="M21" t="inlineStr">
        <is>
          <t xml:space="preserve"> Company Description 
 At ContiTech, we are building a world-class Business Hub in Bangalore that supports global business functions and enables excellence across finance, technology, and corporate services. 
 We are inviting students for internship opportunities in the space...</t>
        </is>
      </c>
      <c r="N21" t="n">
        <v>49</v>
      </c>
      <c r="O21" t="n">
        <v>40</v>
      </c>
      <c r="P21" t="n">
        <v>70</v>
      </c>
      <c r="Q21" t="n">
        <v>50</v>
      </c>
      <c r="R21" t="n">
        <v>50</v>
      </c>
      <c r="S21" t="n">
        <v>0</v>
      </c>
      <c r="T21" t="n">
        <v>60</v>
      </c>
      <c r="U21" t="inlineStr">
        <is>
          <t>SKIP</t>
        </is>
      </c>
      <c r="V21" t="inlineStr">
        <is>
          <t>SKIP</t>
        </is>
      </c>
      <c r="W21" t="inlineStr">
        <is>
          <t>AI Model Training; Deep Learning frameworks</t>
        </is>
      </c>
      <c r="X21" t="inlineStr">
        <is>
          <t>Amaan_Software_Engineer_Resume.pdf</t>
        </is>
      </c>
      <c r="Y21" t="inlineStr">
        <is>
          <t>2026-09-10</t>
        </is>
      </c>
      <c r="Z21" t="inlineStr">
        <is>
          <t>Located in Bangalore; Internship opportunity for students</t>
        </is>
      </c>
      <c r="AA21" t="inlineStr">
        <is>
          <t>ELIGIBLE</t>
        </is>
      </c>
      <c r="AB21" t="inlineStr">
        <is>
          <t>Student internship opportunity in Bangalore matching location preference</t>
        </is>
      </c>
      <c r="AC21" t="inlineStr">
        <is>
          <t>UNKNOWN</t>
        </is>
      </c>
      <c r="AD21" t="inlineStr">
        <is>
          <t>Not specified in candidate profile</t>
        </is>
      </c>
      <c r="AE21" t="inlineStr">
        <is>
          <t>UNKNOWN</t>
        </is>
      </c>
      <c r="AF21" t="n">
        <v>0</v>
      </c>
      <c r="AG21" t="inlineStr">
        <is>
          <t>No</t>
        </is>
      </c>
      <c r="AH21" t="inlineStr">
        <is>
          <t>UNKNOWN</t>
        </is>
      </c>
      <c r="AI21" t="inlineStr">
        <is>
          <t>Not mentioned in the truncated job snippet</t>
        </is>
      </c>
      <c r="AK21" t="inlineStr">
        <is>
          <t>Truncated job description snippet; Missing stipend information</t>
        </is>
      </c>
      <c r="AL21" t="inlineStr">
        <is>
          <t>Python fundamentals; Basic AI/ML concepts; Student project walkthrough</t>
        </is>
      </c>
    </row>
    <row r="22">
      <c r="B22" t="inlineStr">
        <is>
          <t>Globalfoundries Engineering Private Limited</t>
        </is>
      </c>
      <c r="C22" t="inlineStr">
        <is>
          <t>Intern - QA Engineer</t>
        </is>
      </c>
      <c r="D22" t="inlineStr">
        <is>
          <t>https://in.jooble.org/jdp/-8396505595416879628</t>
        </is>
      </c>
      <c r="E22" t="inlineStr">
        <is>
          <t>AI Analyzer</t>
        </is>
      </c>
      <c r="F22" t="inlineStr">
        <is>
          <t>Bangalore</t>
        </is>
      </c>
      <c r="G22" t="inlineStr">
        <is>
          <t>Unknown</t>
        </is>
      </c>
      <c r="H22" t="inlineStr">
        <is>
          <t>Rs 2.5 - 5.5 lakhs p.a.</t>
        </is>
      </c>
      <c r="I22" t="inlineStr">
        <is>
          <t>Unknown</t>
        </is>
      </c>
      <c r="J22" t="inlineStr">
        <is>
          <t>UNKNOWN</t>
        </is>
      </c>
      <c r="K22" t="inlineStr">
        <is>
          <t>Software QA methodologies; Software development life cycle; Object-oriented principles</t>
        </is>
      </c>
      <c r="L22" t="inlineStr">
        <is>
          <t>Testing tools and processes</t>
        </is>
      </c>
      <c r="M22" t="inlineStr">
        <is>
          <t>&amp;nbsp;...wide range of applications and with specific efficient solutions based on the AUT.  
 Your Job: 
 Good understanding of the &lt;b&gt;software development/&lt;/b&gt;test life cycle and quality assurance 
 Strong knowledge of software QA methodologies tools and processes 
 Strong, object-oriented...&amp;nbsp;</t>
        </is>
      </c>
      <c r="N22" t="n">
        <v>35</v>
      </c>
      <c r="O22" t="n">
        <v>20</v>
      </c>
      <c r="P22" t="n">
        <v>50</v>
      </c>
      <c r="Q22" t="n">
        <v>20</v>
      </c>
      <c r="R22" t="n">
        <v>0</v>
      </c>
      <c r="S22" t="n">
        <v>80</v>
      </c>
      <c r="T22" t="n">
        <v>60</v>
      </c>
      <c r="U22" t="inlineStr">
        <is>
          <t>SKIP</t>
        </is>
      </c>
      <c r="V22" t="inlineStr">
        <is>
          <t>SKIP</t>
        </is>
      </c>
      <c r="W22" t="inlineStr">
        <is>
          <t>QA Engineering; Software testing methodologies; AUT testing</t>
        </is>
      </c>
      <c r="X22" t="inlineStr">
        <is>
          <t>Default MCA Resume</t>
        </is>
      </c>
      <c r="Y22" t="inlineStr">
        <is>
          <t>2026-09-10</t>
        </is>
      </c>
      <c r="Z22" t="inlineStr">
        <is>
          <t>Decent compensation range.</t>
        </is>
      </c>
      <c r="AA22" t="inlineStr">
        <is>
          <t>ELIGIBLE</t>
        </is>
      </c>
      <c r="AB22" t="inlineStr">
        <is>
          <t>No explicit graduation year or degree blockers mentioned in the snippet.</t>
        </is>
      </c>
      <c r="AC22" t="inlineStr">
        <is>
          <t>UNKNOWN</t>
        </is>
      </c>
      <c r="AD22" t="inlineStr">
        <is>
          <t>Not specified in career brain.</t>
        </is>
      </c>
      <c r="AE22" t="inlineStr">
        <is>
          <t>PAID</t>
        </is>
      </c>
      <c r="AF22" t="n">
        <v>20833</v>
      </c>
      <c r="AG22" t="inlineStr">
        <is>
          <t>No</t>
        </is>
      </c>
      <c r="AH22" t="inlineStr">
        <is>
          <t>UNKNOWN</t>
        </is>
      </c>
      <c r="AI22" t="inlineStr">
        <is>
          <t>No mention of PPO or conversion in the job snippet.</t>
        </is>
      </c>
      <c r="AK22" t="inlineStr">
        <is>
          <t>Role is QA Engineer, which does not align well with target roles like Full Stack, Backend, Software Engineering, DevOps, or AI.</t>
        </is>
      </c>
      <c r="AL22" t="inlineStr">
        <is>
          <t>Software testing life cycle; QA methodologies; Object-oriented programming basics</t>
        </is>
      </c>
    </row>
    <row r="23">
      <c r="B23" t="inlineStr">
        <is>
          <t>emo.energy</t>
        </is>
      </c>
      <c r="C23" t="inlineStr">
        <is>
          <t>Full-Stack Developer</t>
        </is>
      </c>
      <c r="D23" t="inlineStr">
        <is>
          <t>https://in.jooble.org/jdp/3071963684124717842</t>
        </is>
      </c>
      <c r="E23" t="inlineStr">
        <is>
          <t>AI Analyzer</t>
        </is>
      </c>
      <c r="F23" t="inlineStr">
        <is>
          <t>Bangalore</t>
        </is>
      </c>
      <c r="G23" t="inlineStr">
        <is>
          <t>Unknown</t>
        </is>
      </c>
      <c r="H23" t="inlineStr">
        <is>
          <t>Not specified</t>
        </is>
      </c>
      <c r="I23" t="inlineStr">
        <is>
          <t>Unknown</t>
        </is>
      </c>
      <c r="J23" t="inlineStr">
        <is>
          <t>NOT_MENTIONED</t>
        </is>
      </c>
      <c r="K23" t="inlineStr">
        <is>
          <t>Full-Stack Development</t>
        </is>
      </c>
      <c r="M23" t="inlineStr">
        <is>
          <t>&amp;nbsp;...Position: &lt;b&gt;Full-Stack Developer &lt;/b&gt;
  Location:  Bangalore 
 About Us 
 At EMO Energy, we're a fast-moving deep-tech startup revolutionizing...&amp;nbsp;&amp;nbsp;...Summary 
 We're looking for a passionate Full-Stack Developer (&lt;b&gt;Intern &lt;/b&gt;or Entry Level: 0–2 years) who can work with minimal guidance...&amp;nbsp;</t>
        </is>
      </c>
      <c r="N23" t="n">
        <v>72</v>
      </c>
      <c r="O23" t="n">
        <v>24</v>
      </c>
      <c r="P23" t="n">
        <v>18</v>
      </c>
      <c r="Q23" t="n">
        <v>13</v>
      </c>
      <c r="R23" t="n">
        <v>5</v>
      </c>
      <c r="S23" t="n">
        <v>5</v>
      </c>
      <c r="T23" t="n">
        <v>7</v>
      </c>
      <c r="U23" t="inlineStr">
        <is>
          <t>CONSIDER</t>
        </is>
      </c>
      <c r="V23" t="inlineStr">
        <is>
          <t>CONSIDER</t>
        </is>
      </c>
      <c r="X23" t="inlineStr">
        <is>
          <t>Amaan_Ahmed_Full_Stack_Resume.pdf</t>
        </is>
      </c>
      <c r="Y23" t="inlineStr">
        <is>
          <t>2026-09-10</t>
        </is>
      </c>
      <c r="Z23" t="inlineStr">
        <is>
          <t>Matches target role for Full Stack Development; Experience range (0-2 years) fits well; Deep-tech startup environment offers good learning opportunity</t>
        </is>
      </c>
      <c r="AA23" t="inlineStr">
        <is>
          <t>ELIGIBLE</t>
        </is>
      </c>
      <c r="AB23" t="inlineStr">
        <is>
          <t>Experience requirement of 0-2 years aligns with candidate profile; Location Bangalore is acceptable</t>
        </is>
      </c>
      <c r="AC23" t="inlineStr">
        <is>
          <t>UNKNOWN</t>
        </is>
      </c>
      <c r="AD23" t="inlineStr">
        <is>
          <t>Not specified in candidate profile</t>
        </is>
      </c>
      <c r="AE23" t="inlineStr">
        <is>
          <t>UNKNOWN</t>
        </is>
      </c>
      <c r="AF23" t="n">
        <v>0</v>
      </c>
      <c r="AG23" t="inlineStr">
        <is>
          <t>No</t>
        </is>
      </c>
      <c r="AH23" t="inlineStr">
        <is>
          <t>NOT_MENTIONED</t>
        </is>
      </c>
      <c r="AI23" t="inlineStr">
        <is>
          <t>No mention of PPO or conversion in the job snippet</t>
        </is>
      </c>
      <c r="AK23" t="inlineStr">
        <is>
          <t>Stipend not disclosed; PPO terms not disclosed</t>
        </is>
      </c>
      <c r="AL23" t="inlineStr">
        <is>
          <t>Full stack system architecture; MERN stack hands-on experience; Minimal guidance execution capability</t>
        </is>
      </c>
    </row>
    <row r="24">
      <c r="B24" t="inlineStr">
        <is>
          <t>panikcure</t>
        </is>
      </c>
      <c r="C24" t="inlineStr">
        <is>
          <t>Full Stack Developer Intern</t>
        </is>
      </c>
      <c r="D24" t="inlineStr">
        <is>
          <t>https://in.jooble.org/jdp/-3123247519826094573</t>
        </is>
      </c>
      <c r="E24" t="inlineStr">
        <is>
          <t>AI Analyzer</t>
        </is>
      </c>
      <c r="F24" t="inlineStr">
        <is>
          <t>Bangalore</t>
        </is>
      </c>
      <c r="G24" t="inlineStr">
        <is>
          <t>UNKNOWN</t>
        </is>
      </c>
      <c r="I24" t="inlineStr">
        <is>
          <t>UNKNOWN</t>
        </is>
      </c>
      <c r="J24" t="inlineStr">
        <is>
          <t>UNKNOWN</t>
        </is>
      </c>
      <c r="K24" t="inlineStr">
        <is>
          <t>Full Stack Development; Web Development; UI/UX Implementation</t>
        </is>
      </c>
      <c r="M24" t="inlineStr">
        <is>
          <t>&amp;nbsp;...™ is an early-stage innovation project exploring AI-driven, non-addictive mental-health solutions. 
 We're looking for a  &lt;b&gt;Full Stack Developer Intern &lt;/b&gt; . You'll work closely with a small, cross-functional team to turn UI/UX designs into a functional web product that demonstrates...&amp;nbsp;</t>
        </is>
      </c>
      <c r="N24" t="n">
        <v>57</v>
      </c>
      <c r="O24" t="n">
        <v>24</v>
      </c>
      <c r="P24" t="n">
        <v>16</v>
      </c>
      <c r="Q24" t="n">
        <v>12</v>
      </c>
      <c r="R24" t="n">
        <v>0</v>
      </c>
      <c r="S24" t="n">
        <v>0</v>
      </c>
      <c r="T24" t="n">
        <v>5</v>
      </c>
      <c r="U24" t="inlineStr">
        <is>
          <t>SKIP</t>
        </is>
      </c>
      <c r="V24" t="inlineStr">
        <is>
          <t>SKIP</t>
        </is>
      </c>
      <c r="X24" t="inlineStr">
        <is>
          <t>Amaan_FullStack_Resume</t>
        </is>
      </c>
      <c r="Y24" t="inlineStr">
        <is>
          <t>2026-09-10</t>
        </is>
      </c>
      <c r="Z24" t="inlineStr">
        <is>
          <t>Matches target Full Stack Developer internship role.; Located in Bangalore.</t>
        </is>
      </c>
      <c r="AA24" t="inlineStr">
        <is>
          <t>ELIGIBLE</t>
        </is>
      </c>
      <c r="AB24" t="inlineStr">
        <is>
          <t>No explicit degree or graduation-year blockers mentioned.</t>
        </is>
      </c>
      <c r="AC24" t="inlineStr">
        <is>
          <t>UNKNOWN</t>
        </is>
      </c>
      <c r="AD24" t="inlineStr">
        <is>
          <t>Not specified in JD or candidate profile.</t>
        </is>
      </c>
      <c r="AE24" t="inlineStr">
        <is>
          <t>UNKNOWN</t>
        </is>
      </c>
      <c r="AF24" t="n">
        <v>0</v>
      </c>
      <c r="AG24" t="inlineStr">
        <is>
          <t>No</t>
        </is>
      </c>
      <c r="AH24" t="inlineStr">
        <is>
          <t>UNKNOWN</t>
        </is>
      </c>
      <c r="AI24" t="inlineStr">
        <is>
          <t>No mention of PPO or conversion.</t>
        </is>
      </c>
      <c r="AK24" t="inlineStr">
        <is>
          <t>Early-stage innovation project with sparse details on compensation and duration.</t>
        </is>
      </c>
      <c r="AL24" t="inlineStr">
        <is>
          <t>Full stack web development experience; Translating UI/UX designs to functional code; Project architecture for mental-health solutions</t>
        </is>
      </c>
    </row>
    <row r="25">
      <c r="B25" t="inlineStr">
        <is>
          <t>emo.energy</t>
        </is>
      </c>
      <c r="C25" t="inlineStr">
        <is>
          <t>Full-Stack Developer Intern</t>
        </is>
      </c>
      <c r="D25" t="inlineStr">
        <is>
          <t>https://in.jooble.org/jdp/-2588912263494949841</t>
        </is>
      </c>
      <c r="E25" t="inlineStr">
        <is>
          <t>AI Analyzer</t>
        </is>
      </c>
      <c r="F25" t="inlineStr">
        <is>
          <t>Bangalore</t>
        </is>
      </c>
      <c r="G25" t="inlineStr">
        <is>
          <t>UNKNOWN</t>
        </is>
      </c>
      <c r="I25" t="inlineStr">
        <is>
          <t>UNKNOWN</t>
        </is>
      </c>
      <c r="J25" t="inlineStr">
        <is>
          <t>UNKNOWN</t>
        </is>
      </c>
      <c r="K25" t="inlineStr">
        <is>
          <t>Front-end development; Full-Stack Development</t>
        </is>
      </c>
      <c r="M25" t="inlineStr">
        <is>
          <t>&amp;nbsp;...future of mobility by building a comprehensive end-to-end EV &lt;b&gt;Stack.&lt;/b&gt; From high-performance battery systems to cutting-edge...&amp;nbsp;&amp;nbsp;...sustainable and electrified transportation. 
 Job Overview 
 As a &lt;b&gt;Full-&lt;/b&gt;Stack &lt;b&gt;Developer Intern,&lt;/b&gt; you will work primarily on front-end development while also...&amp;nbsp;</t>
        </is>
      </c>
      <c r="N25" t="n">
        <v>64</v>
      </c>
      <c r="O25" t="n">
        <v>21</v>
      </c>
      <c r="P25" t="n">
        <v>14</v>
      </c>
      <c r="Q25" t="n">
        <v>11</v>
      </c>
      <c r="R25" t="n">
        <v>7</v>
      </c>
      <c r="S25" t="n">
        <v>5</v>
      </c>
      <c r="T25" t="n">
        <v>6</v>
      </c>
      <c r="U25" t="inlineStr">
        <is>
          <t>STRETCH</t>
        </is>
      </c>
      <c r="V25" t="inlineStr">
        <is>
          <t>STRETCH</t>
        </is>
      </c>
      <c r="X25" t="inlineStr">
        <is>
          <t>Amaanuddin_Ahmed_Software_Engineer_Resume.pdf</t>
        </is>
      </c>
      <c r="Y25" t="inlineStr">
        <is>
          <t>2026-09-10</t>
        </is>
      </c>
      <c r="Z25" t="inlineStr">
        <is>
          <t>Role aligns well with Full Stack Development targets; Located in Bangalore</t>
        </is>
      </c>
      <c r="AA25" t="inlineStr">
        <is>
          <t>ELIGIBLE</t>
        </is>
      </c>
      <c r="AB25" t="inlineStr">
        <is>
          <t>No explicit degree or hard graduation-year blockers mentioned in the snippet</t>
        </is>
      </c>
      <c r="AC25" t="inlineStr">
        <is>
          <t>UNKNOWN</t>
        </is>
      </c>
      <c r="AD25" t="inlineStr">
        <is>
          <t>Not specified in candidate profile</t>
        </is>
      </c>
      <c r="AE25" t="inlineStr">
        <is>
          <t>UNKNOWN</t>
        </is>
      </c>
      <c r="AF25" t="n">
        <v>0</v>
      </c>
      <c r="AG25" t="inlineStr">
        <is>
          <t>No</t>
        </is>
      </c>
      <c r="AH25" t="inlineStr">
        <is>
          <t>UNKNOWN</t>
        </is>
      </c>
      <c r="AI25" t="inlineStr">
        <is>
          <t>No explicit mention of PPO or conversion in the job description snippet</t>
        </is>
      </c>
      <c r="AK25" t="inlineStr">
        <is>
          <t>Incomplete job description snippet provided; Stipend information missing</t>
        </is>
      </c>
      <c r="AL25" t="inlineStr">
        <is>
          <t>Front-end frameworks and architecture; Full-stack web application development; EV domain interest and past project experience</t>
        </is>
      </c>
    </row>
    <row r="26">
      <c r="B26" t="inlineStr">
        <is>
          <t>tradegospel</t>
        </is>
      </c>
      <c r="C26" t="inlineStr">
        <is>
          <t>Full Stack Developer Intern</t>
        </is>
      </c>
      <c r="D26" t="inlineStr">
        <is>
          <t>https://in.jooble.org/jdp/-4062499930695493919</t>
        </is>
      </c>
      <c r="E26" t="inlineStr">
        <is>
          <t>AI Analyzer</t>
        </is>
      </c>
      <c r="F26" t="inlineStr">
        <is>
          <t>Bengaluru</t>
        </is>
      </c>
      <c r="G26" t="inlineStr">
        <is>
          <t>On-site</t>
        </is>
      </c>
      <c r="I26" t="inlineStr">
        <is>
          <t>3 months</t>
        </is>
      </c>
      <c r="J26" t="inlineStr">
        <is>
          <t>NOT_MENTIONED</t>
        </is>
      </c>
      <c r="K26" t="inlineStr">
        <is>
          <t>Full Stack Development</t>
        </is>
      </c>
      <c r="M26" t="inlineStr">
        <is>
          <t>&amp;nbsp;...collaborate, and grow. Our team is passionate about innovation and creating impactful digital solutions.  We are looking for a  &lt;b&gt;Full Stack Developer Intern &lt;/b&gt; to join us for a 3-month internship  at our Bengaluru office. This is a great opportunity to gain hands-on experience...&amp;nbsp;</t>
        </is>
      </c>
      <c r="N26" t="n">
        <v>62</v>
      </c>
      <c r="O26" t="n">
        <v>24</v>
      </c>
      <c r="P26" t="n">
        <v>16</v>
      </c>
      <c r="Q26" t="n">
        <v>12</v>
      </c>
      <c r="R26" t="n">
        <v>5</v>
      </c>
      <c r="S26" t="n">
        <v>0</v>
      </c>
      <c r="T26" t="n">
        <v>5</v>
      </c>
      <c r="U26" t="inlineStr">
        <is>
          <t>STRETCH</t>
        </is>
      </c>
      <c r="V26" t="inlineStr">
        <is>
          <t>STRETCH</t>
        </is>
      </c>
      <c r="X26" t="inlineStr">
        <is>
          <t>Full Stack Developer Resume</t>
        </is>
      </c>
      <c r="Y26" t="inlineStr">
        <is>
          <t>2026-09-10</t>
        </is>
      </c>
      <c r="Z26" t="inlineStr">
        <is>
          <t>Aligns well with target Full Stack Developer role.; Located in Bengaluru which matches regional preferences.</t>
        </is>
      </c>
      <c r="AA26" t="inlineStr">
        <is>
          <t>ELIGIBLE</t>
        </is>
      </c>
      <c r="AB26" t="inlineStr">
        <is>
          <t>No explicit degree or hard eligibility blockers mentioned in the snippet.</t>
        </is>
      </c>
      <c r="AC26" t="inlineStr">
        <is>
          <t>UNKNOWN</t>
        </is>
      </c>
      <c r="AD26" t="inlineStr">
        <is>
          <t>Candidate availability dates are not specified relative to the internship term.</t>
        </is>
      </c>
      <c r="AE26" t="inlineStr">
        <is>
          <t>UNKNOWN</t>
        </is>
      </c>
      <c r="AF26" t="n">
        <v>0</v>
      </c>
      <c r="AG26" t="inlineStr">
        <is>
          <t>No</t>
        </is>
      </c>
      <c r="AH26" t="inlineStr">
        <is>
          <t>NOT_MENTIONED</t>
        </is>
      </c>
      <c r="AI26" t="inlineStr">
        <is>
          <t>No mention of PPO or conversion in the job snippet.</t>
        </is>
      </c>
      <c r="AK26" t="inlineStr">
        <is>
          <t>Stipend details are not provided.</t>
        </is>
      </c>
      <c r="AL26" t="inlineStr">
        <is>
          <t>MERN stack architecture; Full-stack project walkthrough (StaySphere or Zenvest); RESTful API design and database management</t>
        </is>
      </c>
    </row>
    <row r="27">
      <c r="B27" t="inlineStr">
        <is>
          <t>rp infocare pvt ltd</t>
        </is>
      </c>
      <c r="C27" t="inlineStr">
        <is>
          <t>Full Stack Web developer Intern- React, PHP</t>
        </is>
      </c>
      <c r="D27" t="inlineStr">
        <is>
          <t>https://in.jooble.org/jdp/-5507068087024381505</t>
        </is>
      </c>
      <c r="E27" t="inlineStr">
        <is>
          <t>AI Analyzer</t>
        </is>
      </c>
      <c r="F27" t="inlineStr">
        <is>
          <t>Bangalore</t>
        </is>
      </c>
      <c r="G27" t="inlineStr">
        <is>
          <t>On-site</t>
        </is>
      </c>
      <c r="H27" t="inlineStr">
        <is>
          <t>NON PAID</t>
        </is>
      </c>
      <c r="I27" t="inlineStr">
        <is>
          <t>Not Specified</t>
        </is>
      </c>
      <c r="J27" t="inlineStr">
        <is>
          <t>NOT_MENTIONED</t>
        </is>
      </c>
      <c r="K27" t="inlineStr">
        <is>
          <t>React; PHP; Front-end Development; Back-end Development</t>
        </is>
      </c>
      <c r="M27" t="inlineStr">
        <is>
          <t>&amp;nbsp;...ensure an exceptional user experience and secure transactions. 
 Role Description 
 This is a &lt;b&gt;full-&lt;/b&gt;time, on-site role located in Bengaluru for a Full &lt;b&gt;Stack &lt;/b&gt;Web &lt;b&gt;Developer Intern-&lt;/b&gt; React, PHP (NON PAID). The intern will be responsible for assisting in both front-end and back-...&amp;nbsp;</t>
        </is>
      </c>
      <c r="N27" t="n">
        <v>35</v>
      </c>
      <c r="O27" t="n">
        <v>40</v>
      </c>
      <c r="P27" t="n">
        <v>50</v>
      </c>
      <c r="Q27" t="n">
        <v>50</v>
      </c>
      <c r="R27" t="n">
        <v>0</v>
      </c>
      <c r="S27" t="n">
        <v>0</v>
      </c>
      <c r="T27" t="n">
        <v>20</v>
      </c>
      <c r="U27" t="inlineStr">
        <is>
          <t>SKIP</t>
        </is>
      </c>
      <c r="V27" t="inlineStr">
        <is>
          <t>SKIP</t>
        </is>
      </c>
      <c r="W27" t="inlineStr">
        <is>
          <t>PHP</t>
        </is>
      </c>
      <c r="X27" t="inlineStr">
        <is>
          <t>Amaanuddin_Ahmed_Standard_Resume</t>
        </is>
      </c>
      <c r="Y27" t="inlineStr">
        <is>
          <t>2026-09-10</t>
        </is>
      </c>
      <c r="Z27" t="inlineStr">
        <is>
          <t>Located in Bangalore; Full stack internship role</t>
        </is>
      </c>
      <c r="AA27" t="inlineStr">
        <is>
          <t>ELIGIBLE</t>
        </is>
      </c>
      <c r="AC27" t="inlineStr">
        <is>
          <t>UNKNOWN</t>
        </is>
      </c>
      <c r="AD27" t="inlineStr">
        <is>
          <t>Candidate availability details are not provided.</t>
        </is>
      </c>
      <c r="AE27" t="inlineStr">
        <is>
          <t>UNPAID</t>
        </is>
      </c>
      <c r="AF27" t="n">
        <v>0</v>
      </c>
      <c r="AG27" t="inlineStr">
        <is>
          <t>No</t>
        </is>
      </c>
      <c r="AH27" t="inlineStr">
        <is>
          <t>NOT_MENTIONED</t>
        </is>
      </c>
      <c r="AI27" t="inlineStr">
        <is>
          <t>No mention of PPO or conversion in the job description snippet.</t>
        </is>
      </c>
      <c r="AK27" t="inlineStr">
        <is>
          <t>Non-paid internship; Requires PHP which is not in candidate primary demonstrated stack</t>
        </is>
      </c>
      <c r="AL27" t="inlineStr">
        <is>
          <t>React.js state management; PHP fundamentals; Full-stack web architecture</t>
        </is>
      </c>
    </row>
    <row r="28">
      <c r="B28" t="inlineStr">
        <is>
          <t>ai4sees private ltd</t>
        </is>
      </c>
      <c r="C28" t="inlineStr">
        <is>
          <t>Full Stack Web Developer Intern</t>
        </is>
      </c>
      <c r="D28" t="inlineStr">
        <is>
          <t>https://in.jooble.org/jdp/4356507815804547926</t>
        </is>
      </c>
      <c r="E28" t="inlineStr">
        <is>
          <t>AI Analyzer</t>
        </is>
      </c>
      <c r="F28" t="inlineStr">
        <is>
          <t>Bengaluru</t>
        </is>
      </c>
      <c r="G28" t="inlineStr">
        <is>
          <t>On-site</t>
        </is>
      </c>
      <c r="H28" t="inlineStr">
        <is>
          <t>Not specified</t>
        </is>
      </c>
      <c r="I28" t="inlineStr">
        <is>
          <t>UNKNOWN</t>
        </is>
      </c>
      <c r="J28" t="inlineStr">
        <is>
          <t>NOT_MENTIONED</t>
        </is>
      </c>
      <c r="K28" t="inlineStr">
        <is>
          <t>Full Stack Web Development</t>
        </is>
      </c>
      <c r="M28" t="inlineStr">
        <is>
          <t>&amp;nbsp;...application development, and digital marketing. AI4SEES also &lt;b&gt;develops &lt;/b&gt;SaaS and PaaS products, IoT and cloud technology...&amp;nbsp;&amp;nbsp;...and clients. 
 Role Description  This is a &lt;b&gt;full-&lt;/b&gt;time, on-site Full &lt;b&gt;Stack &lt;/b&gt;Web Developer &lt;b&gt;Intern &lt;/b&gt;role based in Bengaluru. The intern will assist in designing...&amp;nbsp;</t>
        </is>
      </c>
      <c r="N28" t="n">
        <v>62</v>
      </c>
      <c r="O28" t="n">
        <v>24</v>
      </c>
      <c r="P28" t="n">
        <v>16</v>
      </c>
      <c r="Q28" t="n">
        <v>12</v>
      </c>
      <c r="R28" t="n">
        <v>5</v>
      </c>
      <c r="S28" t="n">
        <v>0</v>
      </c>
      <c r="T28" t="n">
        <v>5</v>
      </c>
      <c r="U28" t="inlineStr">
        <is>
          <t>STRETCH</t>
        </is>
      </c>
      <c r="V28" t="inlineStr">
        <is>
          <t>STRETCH</t>
        </is>
      </c>
      <c r="X28" t="inlineStr">
        <is>
          <t>Amaanuddin_Ahmed_Fullstack_Resume.pdf</t>
        </is>
      </c>
      <c r="Y28" t="inlineStr">
        <is>
          <t>2026-09-10</t>
        </is>
      </c>
      <c r="Z28" t="inlineStr">
        <is>
          <t>Matches target Full Stack Development role; Requires stack overlapping with Amaan's MERN expertise</t>
        </is>
      </c>
      <c r="AA28" t="inlineStr">
        <is>
          <t>ELIGIBLE</t>
        </is>
      </c>
      <c r="AB28" t="inlineStr">
        <is>
          <t>Role aligns with MCA student profile; No specific hard experience blockers mentioned in the snippet</t>
        </is>
      </c>
      <c r="AC28" t="inlineStr">
        <is>
          <t>UNKNOWN</t>
        </is>
      </c>
      <c r="AD28" t="inlineStr">
        <is>
          <t>Candidate availability timeline not explicitly matched against company requirements.</t>
        </is>
      </c>
      <c r="AE28" t="inlineStr">
        <is>
          <t>UNKNOWN</t>
        </is>
      </c>
      <c r="AF28" t="n">
        <v>0</v>
      </c>
      <c r="AG28" t="inlineStr">
        <is>
          <t>No</t>
        </is>
      </c>
      <c r="AH28" t="inlineStr">
        <is>
          <t>NOT_MENTIONED</t>
        </is>
      </c>
      <c r="AI28" t="inlineStr">
        <is>
          <t>No mention of PPO or conversion in the job description snippet.</t>
        </is>
      </c>
      <c r="AK28" t="inlineStr">
        <is>
          <t>Incomplete job description snippet with missing stipend and duration details</t>
        </is>
      </c>
      <c r="AL28" t="inlineStr">
        <is>
          <t>MERN stack architecture; REST API design; Database modeling with MongoDB; Past projects like StaySphere and Zenvest</t>
        </is>
      </c>
    </row>
    <row r="29">
      <c r="B29" t="inlineStr">
        <is>
          <t>Equilibrium</t>
        </is>
      </c>
      <c r="C29" t="inlineStr">
        <is>
          <t>GIS Intern</t>
        </is>
      </c>
      <c r="D29" t="inlineStr">
        <is>
          <t>https://in.jooble.org/jdp/-4605506488581299335</t>
        </is>
      </c>
      <c r="E29" t="inlineStr">
        <is>
          <t>AI Analyzer</t>
        </is>
      </c>
      <c r="F29" t="inlineStr">
        <is>
          <t>Bangalore</t>
        </is>
      </c>
      <c r="G29" t="inlineStr">
        <is>
          <t>Unknown</t>
        </is>
      </c>
      <c r="H29" t="inlineStr">
        <is>
          <t>Not specified</t>
        </is>
      </c>
      <c r="I29" t="inlineStr">
        <is>
          <t>Unknown</t>
        </is>
      </c>
      <c r="J29" t="inlineStr">
        <is>
          <t>Not Mentioned</t>
        </is>
      </c>
      <c r="K29" t="inlineStr">
        <is>
          <t>GIS; Geospatial Data; Mapping; Remote Sensing</t>
        </is>
      </c>
      <c r="M29" t="inlineStr">
        <is>
          <t>&amp;nbsp;...Location: Bangalore 
 About Equilibrium: 
 Equilibrium is a &lt;b&gt;full-stack &lt;/b&gt;carbon removal &lt;b&gt;developer &lt;/b&gt;building one of the largest high-integrity carbon...&amp;nbsp;&amp;nbsp;...operations. 
 Key Responsibilities: 
 We are looking for a GIS &lt;b&gt;Intern &lt;/b&gt;to support our geospatial data, mapping, remote sensing,...&amp;nbsp;</t>
        </is>
      </c>
      <c r="N29" t="n">
        <v>26</v>
      </c>
      <c r="O29" t="n">
        <v>20</v>
      </c>
      <c r="P29" t="n">
        <v>50</v>
      </c>
      <c r="Q29" t="n">
        <v>30</v>
      </c>
      <c r="R29" t="n">
        <v>0</v>
      </c>
      <c r="S29" t="n">
        <v>0</v>
      </c>
      <c r="T29" t="n">
        <v>50</v>
      </c>
      <c r="U29" t="inlineStr">
        <is>
          <t>SKIP</t>
        </is>
      </c>
      <c r="V29" t="inlineStr">
        <is>
          <t>SKIP</t>
        </is>
      </c>
      <c r="W29" t="inlineStr">
        <is>
          <t>GIS; Geospatial Data; Mapping; Remote Sensing</t>
        </is>
      </c>
      <c r="X29" t="inlineStr">
        <is>
          <t>Default Resume</t>
        </is>
      </c>
      <c r="Y29" t="inlineStr">
        <is>
          <t>2026-09-10</t>
        </is>
      </c>
      <c r="Z29" t="inlineStr">
        <is>
          <t>Located in Bangalore</t>
        </is>
      </c>
      <c r="AA29" t="inlineStr">
        <is>
          <t>Eligible</t>
        </is>
      </c>
      <c r="AB29" t="inlineStr">
        <is>
          <t>Location matches Bangalore preference; Internship role aligns with current student status</t>
        </is>
      </c>
      <c r="AC29" t="inlineStr">
        <is>
          <t>Unknown</t>
        </is>
      </c>
      <c r="AD29" t="inlineStr">
        <is>
          <t>Not specified in candidate profile</t>
        </is>
      </c>
      <c r="AE29" t="inlineStr">
        <is>
          <t>UNKNOWN</t>
        </is>
      </c>
      <c r="AF29" t="n">
        <v>0</v>
      </c>
      <c r="AG29" t="inlineStr">
        <is>
          <t>No</t>
        </is>
      </c>
      <c r="AH29" t="inlineStr">
        <is>
          <t>Not Mentioned</t>
        </is>
      </c>
      <c r="AI29" t="inlineStr">
        <is>
          <t>No mention of conversion to full-time employment or PPO in the job snippet.</t>
        </is>
      </c>
      <c r="AK29" t="inlineStr">
        <is>
          <t>Role is heavily focused on GIS and Remote Sensing which is outside Amaan's core software engineering skill set.</t>
        </is>
      </c>
      <c r="AL29" t="inlineStr">
        <is>
          <t>GIS fundamentals; Geospatial data handling; Remote sensing techniques</t>
        </is>
      </c>
    </row>
    <row r="30">
      <c r="B30" t="inlineStr">
        <is>
          <t>Impacto Digifin Technologies Pvt. Ltd.</t>
        </is>
      </c>
      <c r="C30" t="inlineStr">
        <is>
          <t>Full Stack Developer Intern</t>
        </is>
      </c>
      <c r="D30" t="inlineStr">
        <is>
          <t>https://in.jooble.org/jdp/-3040557102943083105</t>
        </is>
      </c>
      <c r="E30" t="inlineStr">
        <is>
          <t>AI Analyzer</t>
        </is>
      </c>
      <c r="F30" t="inlineStr">
        <is>
          <t>Brookefield, Bangalore</t>
        </is>
      </c>
      <c r="G30" t="inlineStr">
        <is>
          <t>Work From Office</t>
        </is>
      </c>
      <c r="H30" t="inlineStr">
        <is>
          <t>₹15,000 per Month</t>
        </is>
      </c>
      <c r="I30" t="inlineStr">
        <is>
          <t>6 Months</t>
        </is>
      </c>
      <c r="J30" t="inlineStr">
        <is>
          <t>UNKNOWN</t>
        </is>
      </c>
      <c r="K30" t="inlineStr">
        <is>
          <t>Full Stack Development</t>
        </is>
      </c>
      <c r="M30" t="inlineStr">
        <is>
          <t>&amp;nbsp;...&lt;b&gt;Full Stack Developer Intern &lt;/b&gt; Company:  Impacto Digifin Technologies Pvt. Ltd. 
 Position:  Full Stack Developer Intern 
 Location:  Brookefield, Bangalore (Work From Office)
 Duration:  6 Months 
 Stipend:  ₹15,000 per Month 
 Working Hours:  9:00 AM – 6:00 PM 
 Working...&amp;nbsp;</t>
        </is>
      </c>
      <c r="N30" t="n">
        <v>71</v>
      </c>
      <c r="O30" t="n">
        <v>25</v>
      </c>
      <c r="P30" t="n">
        <v>20</v>
      </c>
      <c r="Q30" t="n">
        <v>15</v>
      </c>
      <c r="R30" t="n">
        <v>5</v>
      </c>
      <c r="S30" t="n">
        <v>0</v>
      </c>
      <c r="T30" t="n">
        <v>6</v>
      </c>
      <c r="U30" t="inlineStr">
        <is>
          <t>CONSIDER</t>
        </is>
      </c>
      <c r="V30" t="inlineStr">
        <is>
          <t>CONSIDER</t>
        </is>
      </c>
      <c r="X30" t="inlineStr">
        <is>
          <t>Default Full Stack Resume</t>
        </is>
      </c>
      <c r="Y30" t="inlineStr">
        <is>
          <t>2026-09-10</t>
        </is>
      </c>
      <c r="Z30" t="inlineStr">
        <is>
          <t>Matches target role of Full Stack Developer Intern.; Located in Bangalore with work from office mode.</t>
        </is>
      </c>
      <c r="AA30" t="inlineStr">
        <is>
          <t>ELIGIBLE</t>
        </is>
      </c>
      <c r="AB30" t="inlineStr">
        <is>
          <t>Location is Bangalore, matching candidate preference for work from office.; No specific degree or experience blockers mentioned in the snippet.</t>
        </is>
      </c>
      <c r="AC30" t="inlineStr">
        <is>
          <t>UNKNOWN</t>
        </is>
      </c>
      <c r="AD30" t="inlineStr">
        <is>
          <t>Availability requirements not specified in the job description.</t>
        </is>
      </c>
      <c r="AE30" t="inlineStr">
        <is>
          <t>PAID</t>
        </is>
      </c>
      <c r="AF30" t="n">
        <v>15000</v>
      </c>
      <c r="AG30" t="inlineStr">
        <is>
          <t>No</t>
        </is>
      </c>
      <c r="AH30" t="inlineStr">
        <is>
          <t>UNKNOWN</t>
        </is>
      </c>
      <c r="AI30" t="inlineStr">
        <is>
          <t>No mention of PPO or conversion in the job snippet.</t>
        </is>
      </c>
      <c r="AJ30" t="inlineStr">
        <is>
          <t>Stipend is ₹15,000 per month, which is below Amaan's minimum stipend target of ₹25,000/month.</t>
        </is>
      </c>
      <c r="AK30" t="inlineStr">
        <is>
          <t>Stipend below target threshold.</t>
        </is>
      </c>
      <c r="AL30" t="inlineStr">
        <is>
          <t>MERN stack fundamentals; REST API design; State management in React; Database schema design</t>
        </is>
      </c>
    </row>
    <row r="31">
      <c r="B31" t="inlineStr">
        <is>
          <t>Equilibrium</t>
        </is>
      </c>
      <c r="C31" t="inlineStr">
        <is>
          <t>Intern - Accounts &amp; Compliance</t>
        </is>
      </c>
      <c r="D31" t="inlineStr">
        <is>
          <t>https://in.jooble.org/jdp/3513868326605286801</t>
        </is>
      </c>
      <c r="E31" t="inlineStr">
        <is>
          <t>AI Analyzer</t>
        </is>
      </c>
      <c r="F31" t="inlineStr">
        <is>
          <t>Bangalore</t>
        </is>
      </c>
      <c r="G31" t="inlineStr">
        <is>
          <t>UNKNOWN</t>
        </is>
      </c>
      <c r="H31" t="inlineStr">
        <is>
          <t>Not specified</t>
        </is>
      </c>
      <c r="I31" t="inlineStr">
        <is>
          <t>UNKNOWN</t>
        </is>
      </c>
      <c r="J31" t="inlineStr">
        <is>
          <t>UNKNOWN</t>
        </is>
      </c>
      <c r="K31" t="inlineStr">
        <is>
          <t>Accounts; Compliance; Audits</t>
        </is>
      </c>
      <c r="M31" t="inlineStr">
        <is>
          <t>&amp;nbsp;...Location: Bangalore 
 About Equilibrium: 
 Equilibrium is a &lt;b&gt;full-stack &lt;/b&gt;carbon removal &lt;b&gt;developer &lt;/b&gt;building one of the largest high-integrity carbon...&amp;nbsp;&amp;nbsp;...compliance-related documents 
 Support the Accounts team during &lt;b&gt;internal &lt;/b&gt;and statutory audits by preparing schedules,...&amp;nbsp;</t>
        </is>
      </c>
      <c r="N31" t="n">
        <v>0</v>
      </c>
      <c r="O31" t="n">
        <v>0</v>
      </c>
      <c r="P31" t="n">
        <v>0</v>
      </c>
      <c r="Q31" t="n">
        <v>0</v>
      </c>
      <c r="R31" t="n">
        <v>0</v>
      </c>
      <c r="S31" t="n">
        <v>0</v>
      </c>
      <c r="T31" t="n">
        <v>0</v>
      </c>
      <c r="U31" t="inlineStr">
        <is>
          <t>SKIP</t>
        </is>
      </c>
      <c r="V31" t="inlineStr">
        <is>
          <t>SKIP</t>
        </is>
      </c>
      <c r="W31" t="inlineStr">
        <is>
          <t>Accounts; Compliance; Audits</t>
        </is>
      </c>
      <c r="X31" t="inlineStr">
        <is>
          <t>Amaanuddin_Ahmed_MCA_Resume</t>
        </is>
      </c>
      <c r="Y31" t="inlineStr">
        <is>
          <t>2026-09-10</t>
        </is>
      </c>
      <c r="AA31" t="inlineStr">
        <is>
          <t>NOT ELIGIBLE</t>
        </is>
      </c>
      <c r="AB31" t="inlineStr">
        <is>
          <t>Role is in Accounts &amp; Compliance, which does not match candidate's target engineering and development roles.</t>
        </is>
      </c>
      <c r="AC31" t="inlineStr">
        <is>
          <t>UNKNOWN</t>
        </is>
      </c>
      <c r="AD31" t="inlineStr">
        <is>
          <t>Not provided</t>
        </is>
      </c>
      <c r="AE31" t="inlineStr">
        <is>
          <t>UNKNOWN</t>
        </is>
      </c>
      <c r="AF31" t="n">
        <v>0</v>
      </c>
      <c r="AG31" t="inlineStr">
        <is>
          <t>No</t>
        </is>
      </c>
      <c r="AH31" t="inlineStr">
        <is>
          <t>UNKNOWN</t>
        </is>
      </c>
      <c r="AI31" t="inlineStr">
        <is>
          <t>No PPO mentioned in the job description snippet.</t>
        </is>
      </c>
      <c r="AJ31" t="inlineStr">
        <is>
          <t>Non-engineering role (Accounts &amp; Compliance instead of Software Engineering/Development)</t>
        </is>
      </c>
      <c r="AK31" t="inlineStr">
        <is>
          <t>Mismatch in domain (Finance/Compliance vs Computer Applications/Software Engineering)</t>
        </is>
      </c>
    </row>
    <row r="32">
      <c r="B32" t="inlineStr">
        <is>
          <t>AppScrip</t>
        </is>
      </c>
      <c r="C32" t="inlineStr">
        <is>
          <t>Python Backend Developer Intern (FastAPI)</t>
        </is>
      </c>
      <c r="D32" t="inlineStr">
        <is>
          <t>https://in.jooble.org/jdp/-283288305107251489</t>
        </is>
      </c>
      <c r="E32" t="inlineStr">
        <is>
          <t>AI Analyzer</t>
        </is>
      </c>
      <c r="F32" t="inlineStr">
        <is>
          <t>Bangalore</t>
        </is>
      </c>
      <c r="G32" t="inlineStr">
        <is>
          <t>Unknown</t>
        </is>
      </c>
      <c r="H32" t="inlineStr">
        <is>
          <t>Not specified</t>
        </is>
      </c>
      <c r="I32" t="inlineStr">
        <is>
          <t>Unknown</t>
        </is>
      </c>
      <c r="J32" t="inlineStr">
        <is>
          <t>Unknown</t>
        </is>
      </c>
      <c r="K32" t="inlineStr">
        <is>
          <t>Python; FastAPI</t>
        </is>
      </c>
      <c r="L32" t="inlineStr">
        <is>
          <t>AI; Cloud infrastructure</t>
        </is>
      </c>
      <c r="M32" t="inlineStr">
        <is>
          <t>&amp;nbsp;...products that solve real business problems using modern technologies like AI, cloud infrastructure, and scalable &lt;b&gt;backend &lt;/b&gt;systems. We're looking for &lt;b&gt;developers &lt;/b&gt;who enjoy building things, learning quickly, and aren't afraid to dive into new technologies. 
 If you've built projects...&amp;nbsp;</t>
        </is>
      </c>
      <c r="N32" t="n">
        <v>60</v>
      </c>
      <c r="O32" t="n">
        <v>20</v>
      </c>
      <c r="P32" t="n">
        <v>20</v>
      </c>
      <c r="Q32" t="n">
        <v>15</v>
      </c>
      <c r="R32" t="n">
        <v>0</v>
      </c>
      <c r="S32" t="n">
        <v>0</v>
      </c>
      <c r="T32" t="n">
        <v>5</v>
      </c>
      <c r="U32" t="inlineStr">
        <is>
          <t>STRETCH</t>
        </is>
      </c>
      <c r="V32" t="inlineStr">
        <is>
          <t>STRETCH</t>
        </is>
      </c>
      <c r="W32" t="inlineStr">
        <is>
          <t>FastAPI</t>
        </is>
      </c>
      <c r="X32" t="inlineStr">
        <is>
          <t>Amaanuddin_Ahmed_Software_Engineering_Resume.pdf</t>
        </is>
      </c>
      <c r="Y32" t="inlineStr">
        <is>
          <t>2026-09-10</t>
        </is>
      </c>
      <c r="Z32" t="inlineStr">
        <is>
          <t>Matches target backend development role; Located in Bangalore; Involves Python which is in candidate skill set</t>
        </is>
      </c>
      <c r="AA32" t="inlineStr">
        <is>
          <t>Eligible</t>
        </is>
      </c>
      <c r="AB32" t="inlineStr">
        <is>
          <t>No explicit degree or graduation-year blockers found in the snippet.</t>
        </is>
      </c>
      <c r="AC32" t="inlineStr">
        <is>
          <t>Unknown</t>
        </is>
      </c>
      <c r="AD32" t="inlineStr">
        <is>
          <t>Candidate availability relative to start date not specified in JD or Career Brain.</t>
        </is>
      </c>
      <c r="AE32" t="inlineStr">
        <is>
          <t>UNKNOWN</t>
        </is>
      </c>
      <c r="AF32" t="n">
        <v>0</v>
      </c>
      <c r="AG32" t="inlineStr">
        <is>
          <t>No</t>
        </is>
      </c>
      <c r="AH32" t="inlineStr">
        <is>
          <t>Unknown</t>
        </is>
      </c>
      <c r="AI32" t="inlineStr">
        <is>
          <t>No explicit PPO or conversion mention found in the job description snippet.</t>
        </is>
      </c>
      <c r="AK32" t="inlineStr">
        <is>
          <t>Stipend information missing; PPO information missing</t>
        </is>
      </c>
      <c r="AL32" t="inlineStr">
        <is>
          <t>Python fundamentals and OOP; FastAPI framework and asynchronous programming; RESTful API design; Backend scalability and cloud infrastructure</t>
        </is>
      </c>
    </row>
    <row r="33">
      <c r="B33" t="inlineStr">
        <is>
          <t>Vetifi</t>
        </is>
      </c>
      <c r="C33" t="inlineStr">
        <is>
          <t>Flutter SDE Intern</t>
        </is>
      </c>
      <c r="D33" t="inlineStr">
        <is>
          <t>https://in.jooble.org/jdp/-1529116818359291845</t>
        </is>
      </c>
      <c r="E33" t="inlineStr">
        <is>
          <t>AI Analyzer</t>
        </is>
      </c>
      <c r="F33" t="inlineStr">
        <is>
          <t>Remote</t>
        </is>
      </c>
      <c r="G33" t="inlineStr">
        <is>
          <t>Remote</t>
        </is>
      </c>
      <c r="H33" t="inlineStr">
        <is>
          <t>Unpaid Internship</t>
        </is>
      </c>
      <c r="I33" t="inlineStr">
        <is>
          <t>3-6 months preferred</t>
        </is>
      </c>
      <c r="J33" t="inlineStr">
        <is>
          <t>Not Mentioned</t>
        </is>
      </c>
      <c r="K33" t="inlineStr">
        <is>
          <t>Flutter; Mobile App Development</t>
        </is>
      </c>
      <c r="M33" t="inlineStr">
        <is>
          <t>Job Description: Flutter &lt;b&gt;SDE Intern &lt;/b&gt;(Mobile App Development)
 Company:  Vetifi 
  Location:  Remote 
  Internship Type:  Unpaid Internship 
  Duration:  Flexible (3–6 months preferred)
 About Vetifi 
 Vetifi is an innovative veterinary-focused application built...&amp;nbsp;</t>
        </is>
      </c>
      <c r="N33" t="n">
        <v>7</v>
      </c>
      <c r="O33" t="n">
        <v>0</v>
      </c>
      <c r="P33" t="n">
        <v>0</v>
      </c>
      <c r="Q33" t="n">
        <v>20</v>
      </c>
      <c r="R33" t="n">
        <v>0</v>
      </c>
      <c r="S33" t="n">
        <v>0</v>
      </c>
      <c r="T33" t="n">
        <v>20</v>
      </c>
      <c r="U33" t="inlineStr">
        <is>
          <t>SKIP</t>
        </is>
      </c>
      <c r="V33" t="inlineStr">
        <is>
          <t>SKIP</t>
        </is>
      </c>
      <c r="W33" t="inlineStr">
        <is>
          <t>Flutter; Mobile App Development</t>
        </is>
      </c>
      <c r="X33" t="inlineStr">
        <is>
          <t>Amaanuddin_Ahmed_General_SDE_Resume.pdf</t>
        </is>
      </c>
      <c r="Y33" t="inlineStr">
        <is>
          <t>2026-09-10</t>
        </is>
      </c>
      <c r="AA33" t="inlineStr">
        <is>
          <t>Eligible</t>
        </is>
      </c>
      <c r="AB33" t="inlineStr">
        <is>
          <t>No specific degree or graduation year hard blockers mentioned in the snippet</t>
        </is>
      </c>
      <c r="AC33" t="inlineStr">
        <is>
          <t>UNKNOWN</t>
        </is>
      </c>
      <c r="AD33" t="inlineStr">
        <is>
          <t>Not specified in the candidate profile or job description</t>
        </is>
      </c>
      <c r="AE33" t="inlineStr">
        <is>
          <t>Unpaid</t>
        </is>
      </c>
      <c r="AF33" t="n">
        <v>0</v>
      </c>
      <c r="AG33" t="inlineStr">
        <is>
          <t>No</t>
        </is>
      </c>
      <c r="AH33" t="inlineStr">
        <is>
          <t>Not Mentioned</t>
        </is>
      </c>
      <c r="AI33" t="inlineStr">
        <is>
          <t>No mention of PPO or conversion in the job description snippet</t>
        </is>
      </c>
      <c r="AJ33" t="inlineStr">
        <is>
          <t>Unpaid internship below minimum stipend target; Missing core required skill: Flutter</t>
        </is>
      </c>
      <c r="AK33" t="inlineStr">
        <is>
          <t>Unpaid internship; Mismatch in core technology stack (Flutter vs MERN/Java/Python/Angular)</t>
        </is>
      </c>
      <c r="AL33" t="inlineStr">
        <is>
          <t>Flutter framework fundamentals; Mobile app state management; Cross-platform development experience</t>
        </is>
      </c>
    </row>
    <row r="34">
      <c r="B34" t="inlineStr">
        <is>
          <t>epifi</t>
        </is>
      </c>
      <c r="C34" t="inlineStr">
        <is>
          <t>Ai Engg Intern</t>
        </is>
      </c>
      <c r="D34" t="inlineStr">
        <is>
          <t>https://in.jooble.org/jdp/458763758895582905</t>
        </is>
      </c>
      <c r="E34" t="inlineStr">
        <is>
          <t>AI Analyzer</t>
        </is>
      </c>
      <c r="F34" t="inlineStr">
        <is>
          <t>Bangalore</t>
        </is>
      </c>
      <c r="G34" t="inlineStr">
        <is>
          <t>UNKNOWN</t>
        </is>
      </c>
      <c r="I34" t="inlineStr">
        <is>
          <t>UNKNOWN</t>
        </is>
      </c>
      <c r="J34" t="inlineStr">
        <is>
          <t>UNKNOWN</t>
        </is>
      </c>
      <c r="K34" t="inlineStr">
        <is>
          <t>Python; Go; Node.js</t>
        </is>
      </c>
      <c r="L34" t="inlineStr">
        <is>
          <t>Independent learning; Problem solving</t>
        </is>
      </c>
      <c r="M34" t="inlineStr">
        <is>
          <t>&amp;nbsp;...least one meaningful project outside of coursework. 
 Strong programming fundamentals in a backend or full-stack language (Python, Go, &lt;b&gt;Node.js,&lt;/b&gt; etc.). 
 The ability to learn independently, solve unfamiliar problems, and figure things out. 
 A self-directed builder who doesn...&amp;nbsp;</t>
        </is>
      </c>
      <c r="N34" t="n">
        <v>76</v>
      </c>
      <c r="O34" t="n">
        <v>25</v>
      </c>
      <c r="P34" t="n">
        <v>18</v>
      </c>
      <c r="Q34" t="n">
        <v>12</v>
      </c>
      <c r="R34" t="n">
        <v>8</v>
      </c>
      <c r="S34" t="n">
        <v>5</v>
      </c>
      <c r="T34" t="n">
        <v>8</v>
      </c>
      <c r="U34" t="inlineStr">
        <is>
          <t>CONSIDER</t>
        </is>
      </c>
      <c r="V34" t="inlineStr">
        <is>
          <t>CONSIDER</t>
        </is>
      </c>
      <c r="X34" t="inlineStr">
        <is>
          <t>Default Full Stack / Backend Resume</t>
        </is>
      </c>
      <c r="Y34" t="inlineStr">
        <is>
          <t>2026-09-10</t>
        </is>
      </c>
      <c r="Z34" t="inlineStr">
        <is>
          <t>Matches technical requirements for Node.js and Python backend/full-stack development.; Aligns with candidate's target roles in Software Engineering and Backend Development.</t>
        </is>
      </c>
      <c r="AA34" t="inlineStr">
        <is>
          <t>ELIGIBLE</t>
        </is>
      </c>
      <c r="AB34" t="inlineStr">
        <is>
          <t>Candidate possesses required Node.js backend/full-stack programming fundamentals.; Candidate has meaningful projects outside of coursework.</t>
        </is>
      </c>
      <c r="AC34" t="inlineStr">
        <is>
          <t>UNKNOWN</t>
        </is>
      </c>
      <c r="AD34" t="inlineStr">
        <is>
          <t>Candidate availability details are not specified in the career brain.</t>
        </is>
      </c>
      <c r="AE34" t="inlineStr">
        <is>
          <t>UNKNOWN</t>
        </is>
      </c>
      <c r="AF34" t="n">
        <v>0</v>
      </c>
      <c r="AG34" t="inlineStr">
        <is>
          <t>No</t>
        </is>
      </c>
      <c r="AH34" t="inlineStr">
        <is>
          <t>UNKNOWN</t>
        </is>
      </c>
      <c r="AI34" t="inlineStr">
        <is>
          <t>No explicit mention of PPO or conversion in the job snippet.</t>
        </is>
      </c>
      <c r="AL34" t="inlineStr">
        <is>
          <t>Backend fundamentals in Node.js or Python; Project architecture and independent problem-solving; API design and system scaling</t>
        </is>
      </c>
    </row>
    <row r="35">
      <c r="B35" t="inlineStr">
        <is>
          <t>liminal custody</t>
        </is>
      </c>
      <c r="C35" t="inlineStr">
        <is>
          <t>QA Automation Intern</t>
        </is>
      </c>
      <c r="D35" t="inlineStr">
        <is>
          <t>https://in.jooble.org/jdp/-313820493907634138</t>
        </is>
      </c>
      <c r="E35" t="inlineStr">
        <is>
          <t>AI Analyzer</t>
        </is>
      </c>
      <c r="F35" t="inlineStr">
        <is>
          <t>Bangalore</t>
        </is>
      </c>
      <c r="G35" t="inlineStr">
        <is>
          <t>UNKNOWN</t>
        </is>
      </c>
      <c r="H35" t="inlineStr">
        <is>
          <t>Not specified</t>
        </is>
      </c>
      <c r="I35" t="inlineStr">
        <is>
          <t>UNKNOWN</t>
        </is>
      </c>
      <c r="J35" t="inlineStr">
        <is>
          <t>UNKNOWN</t>
        </is>
      </c>
      <c r="K35" t="inlineStr">
        <is>
          <t>Software Testing concepts; Git/GitHub; Node.js</t>
        </is>
      </c>
      <c r="L35" t="inlineStr">
        <is>
          <t>HTML &amp; CSS</t>
        </is>
      </c>
      <c r="M35" t="inlineStr">
        <is>
          <t>&amp;nbsp;...About the Internship : We are looking for a passionate QA Automation &lt;b&gt;Intern &lt;/b&gt;who is eager to learn modern test automation practices and...&amp;nbsp;&amp;nbsp;...&amp; CSS 
 Software Testing concepts 
 Git/GitHub 
 Knowledge of &lt;b&gt;Node.js.&lt;/b&gt; 
 Strong analytical and problem-solving skills. 
 Good communication...&amp;nbsp;</t>
        </is>
      </c>
      <c r="N35" t="n">
        <v>43</v>
      </c>
      <c r="O35" t="n">
        <v>50</v>
      </c>
      <c r="P35" t="n">
        <v>70</v>
      </c>
      <c r="Q35" t="n">
        <v>40</v>
      </c>
      <c r="R35" t="n">
        <v>0</v>
      </c>
      <c r="S35" t="n">
        <v>0</v>
      </c>
      <c r="T35" t="n">
        <v>50</v>
      </c>
      <c r="U35" t="inlineStr">
        <is>
          <t>SKIP</t>
        </is>
      </c>
      <c r="V35" t="inlineStr">
        <is>
          <t>SKIP</t>
        </is>
      </c>
      <c r="W35" t="inlineStr">
        <is>
          <t>QA Automation tools/frameworks; Software Testing concepts</t>
        </is>
      </c>
      <c r="X35" t="inlineStr">
        <is>
          <t>Default Full Stack / Software Engineering Resume</t>
        </is>
      </c>
      <c r="Y35" t="inlineStr">
        <is>
          <t>2026-09-10</t>
        </is>
      </c>
      <c r="Z35" t="inlineStr">
        <is>
          <t>Aligns with internship status and Bangalore location</t>
        </is>
      </c>
      <c r="AA35" t="inlineStr">
        <is>
          <t>ELIGIBLE</t>
        </is>
      </c>
      <c r="AB35" t="inlineStr">
        <is>
          <t>Candidate is an MCA student looking for internships; No strict degree or graduation year blockers found in snippet</t>
        </is>
      </c>
      <c r="AC35" t="inlineStr">
        <is>
          <t>UNKNOWN</t>
        </is>
      </c>
      <c r="AD35" t="inlineStr">
        <is>
          <t>Not specified in candidate profile or job description</t>
        </is>
      </c>
      <c r="AE35" t="inlineStr">
        <is>
          <t>UNKNOWN</t>
        </is>
      </c>
      <c r="AF35" t="n">
        <v>0</v>
      </c>
      <c r="AG35" t="inlineStr">
        <is>
          <t>No</t>
        </is>
      </c>
      <c r="AH35" t="inlineStr">
        <is>
          <t>UNKNOWN</t>
        </is>
      </c>
      <c r="AI35" t="inlineStr">
        <is>
          <t>No explicit mention of PPO or conversion in the snippet</t>
        </is>
      </c>
      <c r="AK35" t="inlineStr">
        <is>
          <t>Role is QA Automation, which diverges from target development and engineering roles</t>
        </is>
      </c>
      <c r="AL35" t="inlineStr">
        <is>
          <t>Software Testing Fundamentals; Test Automation Practices; Node.js Backend Basics; Git Workflows</t>
        </is>
      </c>
    </row>
    <row r="36">
      <c r="B36" t="inlineStr">
        <is>
          <t>RentoMojo</t>
        </is>
      </c>
      <c r="C36" t="inlineStr">
        <is>
          <t>Data Analyst - Intern</t>
        </is>
      </c>
      <c r="D36" t="inlineStr">
        <is>
          <t>https://in.jooble.org/jdp/8456592047622568060</t>
        </is>
      </c>
      <c r="E36" t="inlineStr">
        <is>
          <t>AI Analyzer</t>
        </is>
      </c>
      <c r="F36" t="inlineStr">
        <is>
          <t>Bangalore</t>
        </is>
      </c>
      <c r="G36" t="inlineStr">
        <is>
          <t>Unknown</t>
        </is>
      </c>
      <c r="H36" t="inlineStr">
        <is>
          <t>Not specified</t>
        </is>
      </c>
      <c r="I36" t="inlineStr">
        <is>
          <t>Unknown</t>
        </is>
      </c>
      <c r="J36" t="inlineStr">
        <is>
          <t>NOT_MENTIONED</t>
        </is>
      </c>
      <c r="K36" t="inlineStr">
        <is>
          <t>Business KPIs; Data Analysis</t>
        </is>
      </c>
      <c r="L36" t="inlineStr">
        <is>
          <t>Python; Node.js; DBT; Snowflake; Redshift; Fivetran</t>
        </is>
      </c>
      <c r="M36" t="inlineStr">
        <is>
          <t>&amp;nbsp;...). 
 Good understanding of business KPIs and ability to derive insights from raw data. 
 Bonus Points 
 Experience with Python or &lt;b&gt;Node.js &lt;/b&gt;for Lambda scripting and automation. 
 Familiarity with DBT or modern data stack (e.g., Snowflake, Redshift, Fivetran). 
 Exposure...&amp;nbsp;</t>
        </is>
      </c>
      <c r="N36" t="n">
        <v>34</v>
      </c>
      <c r="O36" t="n">
        <v>40</v>
      </c>
      <c r="P36" t="n">
        <v>50</v>
      </c>
      <c r="Q36" t="n">
        <v>20</v>
      </c>
      <c r="R36" t="n">
        <v>0</v>
      </c>
      <c r="S36" t="n">
        <v>0</v>
      </c>
      <c r="T36" t="n">
        <v>40</v>
      </c>
      <c r="U36" t="inlineStr">
        <is>
          <t>SKIP</t>
        </is>
      </c>
      <c r="V36" t="inlineStr">
        <is>
          <t>SKIP</t>
        </is>
      </c>
      <c r="W36" t="inlineStr">
        <is>
          <t>Business KPIs; DBT; Snowflake; Redshift; Fivetran</t>
        </is>
      </c>
      <c r="X36" t="inlineStr">
        <is>
          <t>Amaanuddin_Ahmed_Software_Engineering_Resume.pdf</t>
        </is>
      </c>
      <c r="Y36" t="inlineStr">
        <is>
          <t>2026-09-10</t>
        </is>
      </c>
      <c r="Z36" t="inlineStr">
        <is>
          <t>Matches some bonus skills like Python and Node.js.</t>
        </is>
      </c>
      <c r="AA36" t="inlineStr">
        <is>
          <t>ELIGIBLE</t>
        </is>
      </c>
      <c r="AB36" t="inlineStr">
        <is>
          <t>No explicit degree or graduation-year blockers mentioned in the snippet.</t>
        </is>
      </c>
      <c r="AC36" t="inlineStr">
        <is>
          <t>UNKNOWN</t>
        </is>
      </c>
      <c r="AD36" t="inlineStr">
        <is>
          <t>Candidate availability details are not provided.</t>
        </is>
      </c>
      <c r="AE36" t="inlineStr">
        <is>
          <t>UNKNOWN</t>
        </is>
      </c>
      <c r="AF36" t="n">
        <v>0</v>
      </c>
      <c r="AG36" t="inlineStr">
        <is>
          <t>No</t>
        </is>
      </c>
      <c r="AH36" t="inlineStr">
        <is>
          <t>NOT_MENTIONED</t>
        </is>
      </c>
      <c r="AI36" t="inlineStr">
        <is>
          <t>No mention of PPO or conversion in the job description snippet.</t>
        </is>
      </c>
      <c r="AK36" t="inlineStr">
        <is>
          <t>Role is Data Analyst, whereas target roles are Software Engineering/Backend/Full Stack.</t>
        </is>
      </c>
      <c r="AL36" t="inlineStr">
        <is>
          <t>Business KPIs; Data analysis and insights derivation; Python/Node.js scripting</t>
        </is>
      </c>
    </row>
    <row r="37">
      <c r="B37" t="inlineStr">
        <is>
          <t>Simulationhub</t>
        </is>
      </c>
      <c r="C37" t="inlineStr">
        <is>
          <t>Intern-Digital Transformation</t>
        </is>
      </c>
      <c r="D37" t="inlineStr">
        <is>
          <t>https://in.jooble.org/jdp/3491546633823889584</t>
        </is>
      </c>
      <c r="E37" t="inlineStr">
        <is>
          <t>AI Analyzer</t>
        </is>
      </c>
      <c r="F37" t="inlineStr">
        <is>
          <t>Bangalore</t>
        </is>
      </c>
      <c r="G37" t="inlineStr">
        <is>
          <t>UNKNOWN</t>
        </is>
      </c>
      <c r="H37" t="inlineStr">
        <is>
          <t>Rs 2.5 - 5 lakhs p.a.</t>
        </is>
      </c>
      <c r="I37" t="inlineStr">
        <is>
          <t>UNKNOWN</t>
        </is>
      </c>
      <c r="J37" t="inlineStr">
        <is>
          <t>UNKNOWN</t>
        </is>
      </c>
      <c r="K37" t="inlineStr">
        <is>
          <t>Python; Flask; Node.js; .NET</t>
        </is>
      </c>
      <c r="L37" t="inlineStr">
        <is>
          <t>Digital twins; PLM systems; BIM</t>
        </is>
      </c>
      <c r="M37" t="inlineStr">
        <is>
          <t>&amp;nbsp;...integrations, and BIM-enabled digital twins. We are seeking high-energy &lt;b&gt;Interns &lt;/b&gt;who can combine domain expertise with software-development...&amp;nbsp;&amp;nbsp;...engineering data using modern technology stacks (Python/Flask, &lt;b&gt;Node.js,&lt;/b&gt; .NET, or similar). 
 Integrate design data with PLM systems (...&amp;nbsp;</t>
        </is>
      </c>
      <c r="N37" t="n">
        <v>64</v>
      </c>
      <c r="O37" t="n">
        <v>24</v>
      </c>
      <c r="P37" t="n">
        <v>16</v>
      </c>
      <c r="Q37" t="n">
        <v>11</v>
      </c>
      <c r="R37" t="n">
        <v>0</v>
      </c>
      <c r="S37" t="n">
        <v>6</v>
      </c>
      <c r="T37" t="n">
        <v>7</v>
      </c>
      <c r="U37" t="inlineStr">
        <is>
          <t>STRETCH</t>
        </is>
      </c>
      <c r="V37" t="inlineStr">
        <is>
          <t>STRETCH</t>
        </is>
      </c>
      <c r="W37" t="inlineStr">
        <is>
          <t>Flask; .NET</t>
        </is>
      </c>
      <c r="X37" t="inlineStr">
        <is>
          <t>Amaanuddin_Ahmed_Fullstack_Resume.pdf</t>
        </is>
      </c>
      <c r="Y37" t="inlineStr">
        <is>
          <t>2026-09-10</t>
        </is>
      </c>
      <c r="Z37" t="inlineStr">
        <is>
          <t>Matches core technical skills including Node.js and Python.; Located in Bangalore with an acceptable salary range.</t>
        </is>
      </c>
      <c r="AA37" t="inlineStr">
        <is>
          <t>ELIGIBLE</t>
        </is>
      </c>
      <c r="AC37" t="inlineStr">
        <is>
          <t>UNKNOWN</t>
        </is>
      </c>
      <c r="AD37" t="inlineStr">
        <is>
          <t>Availability requirements not specified in the job description.</t>
        </is>
      </c>
      <c r="AE37" t="inlineStr">
        <is>
          <t>DISCLOSED</t>
        </is>
      </c>
      <c r="AF37" t="n">
        <v>20833</v>
      </c>
      <c r="AG37" t="inlineStr">
        <is>
          <t>No</t>
        </is>
      </c>
      <c r="AH37" t="inlineStr">
        <is>
          <t>UNKNOWN</t>
        </is>
      </c>
      <c r="AI37" t="inlineStr">
        <is>
          <t>No mention of PPO or conversion in the job description.</t>
        </is>
      </c>
      <c r="AK37" t="inlineStr">
        <is>
          <t>Minimum stipend falls slightly below the Rs 25,000/month target at the lower end (approx Rs 20,833/month).</t>
        </is>
      </c>
      <c r="AL37" t="inlineStr">
        <is>
          <t>Node.js backend development; Python/Flask integration; Digital twin concepts and BIM; PLM systems integration</t>
        </is>
      </c>
    </row>
    <row r="38">
      <c r="B38" t="inlineStr">
        <is>
          <t>viscr ai</t>
        </is>
      </c>
      <c r="C38" t="inlineStr">
        <is>
          <t>Intern Software Development Engineering R&amp;D (AI/ML/NLP)</t>
        </is>
      </c>
      <c r="D38" t="inlineStr">
        <is>
          <t>https://in.jooble.org/jdp/-8319584585580036309</t>
        </is>
      </c>
      <c r="E38" t="inlineStr">
        <is>
          <t>AI Analyzer</t>
        </is>
      </c>
      <c r="F38" t="inlineStr">
        <is>
          <t>Bangalore</t>
        </is>
      </c>
      <c r="G38" t="inlineStr">
        <is>
          <t>UNKNOWN</t>
        </is>
      </c>
      <c r="H38" t="inlineStr">
        <is>
          <t>Not specified</t>
        </is>
      </c>
      <c r="I38" t="inlineStr">
        <is>
          <t>6 months</t>
        </is>
      </c>
      <c r="J38" t="inlineStr">
        <is>
          <t>YES</t>
        </is>
      </c>
      <c r="K38" t="inlineStr">
        <is>
          <t>C; Python; Go Lang; Java; Rust; JavaScript; TypeScript; Node.js; SQL</t>
        </is>
      </c>
      <c r="L38" t="inlineStr">
        <is>
          <t>AI/ML/NLP; Other OO languages</t>
        </is>
      </c>
      <c r="M38" t="inlineStr">
        <is>
          <t>&amp;nbsp;...languages – C, Python, Go Lang, Java, Rust, JavaScript, TypeScript, &lt;b&gt;Node.js.&lt;/b&gt; Other OO languages are also a plus. 
 Experience with SQL,...&amp;nbsp;&amp;nbsp;...Computer science students looking for full-time roles should join us as &lt;b&gt;Intern &lt;/b&gt;for 6 months and then will be converted into full-time role (on...&amp;nbsp;</t>
        </is>
      </c>
      <c r="N38" t="n">
        <v>85</v>
      </c>
      <c r="O38" t="n">
        <v>24</v>
      </c>
      <c r="P38" t="n">
        <v>18</v>
      </c>
      <c r="Q38" t="n">
        <v>14</v>
      </c>
      <c r="R38" t="n">
        <v>15</v>
      </c>
      <c r="S38" t="n">
        <v>5</v>
      </c>
      <c r="T38" t="n">
        <v>9</v>
      </c>
      <c r="U38" t="inlineStr">
        <is>
          <t>APPLY</t>
        </is>
      </c>
      <c r="V38" t="inlineStr">
        <is>
          <t>APPLY</t>
        </is>
      </c>
      <c r="W38" t="inlineStr">
        <is>
          <t>C; Go Lang; Rust; TypeScript; AI/ML/NLP</t>
        </is>
      </c>
      <c r="X38" t="inlineStr">
        <is>
          <t>Amaanuddin_Ahmed_Software_Engineering_Resume.pdf</t>
        </is>
      </c>
      <c r="Y38" t="inlineStr">
        <is>
          <t>2026-09-10</t>
        </is>
      </c>
      <c r="Z38" t="inlineStr">
        <is>
          <t>Explicit 6-month internship with guaranteed full-time conversion path aligns with high PPO priority.; Matches core technical stack requirements including Python, Java, JavaScript, Node.js, and SQL.; Located in Bangalore with an AI/ML/NLP R&amp;D focus fitting AI-adjacent software engineering targets.</t>
        </is>
      </c>
      <c r="AA38" t="inlineStr">
        <is>
          <t>ELIGIBLE</t>
        </is>
      </c>
      <c r="AB38" t="inlineStr">
        <is>
          <t>Computer science student looking for internship role aligning with MCA background; Matches programming language requirements such as Python, Java, JavaScript, and Node.js</t>
        </is>
      </c>
      <c r="AC38" t="inlineStr">
        <is>
          <t>UNKNOWN</t>
        </is>
      </c>
      <c r="AD38" t="inlineStr">
        <is>
          <t>Not specified in the job description or career brain</t>
        </is>
      </c>
      <c r="AE38" t="inlineStr">
        <is>
          <t>UNKNOWN</t>
        </is>
      </c>
      <c r="AF38" t="n">
        <v>0</v>
      </c>
      <c r="AG38" t="inlineStr">
        <is>
          <t>No</t>
        </is>
      </c>
      <c r="AH38" t="inlineStr">
        <is>
          <t>YES</t>
        </is>
      </c>
      <c r="AI38" t="inlineStr">
        <is>
          <t>Intern for 6 months and then will be converted into full-time role</t>
        </is>
      </c>
      <c r="AL38" t="inlineStr">
        <is>
          <t>Python and Node.js development experience; SQL and database management; Past projects like StaySphere or Zenvest; Readiness for conversion to full-time role after 6 months</t>
        </is>
      </c>
      <c r="AM38" t="inlineStr">
        <is>
          <t>E:\InternshipHunter\applications\-8319584585580036309</t>
        </is>
      </c>
      <c r="AN38" t="inlineStr">
        <is>
          <t>Ready for Review</t>
        </is>
      </c>
      <c r="AO38" t="inlineStr">
        <is>
          <t>Generated</t>
        </is>
      </c>
      <c r="AP38" t="inlineStr">
        <is>
          <t>Generated</t>
        </is>
      </c>
      <c r="AQ38" t="inlineStr">
        <is>
          <t>Generated</t>
        </is>
      </c>
      <c r="AR38" t="inlineStr">
        <is>
          <t>Ready to Apply</t>
        </is>
      </c>
    </row>
    <row r="39">
      <c r="B39" t="inlineStr">
        <is>
          <t>lanmea</t>
        </is>
      </c>
      <c r="C39" t="inlineStr">
        <is>
          <t>AI &amp; Software Engineering Intern</t>
        </is>
      </c>
      <c r="D39" t="inlineStr">
        <is>
          <t>https://in.jooble.org/jdp/-1833422697647887305</t>
        </is>
      </c>
      <c r="E39" t="inlineStr">
        <is>
          <t>AI Analyzer</t>
        </is>
      </c>
      <c r="F39" t="inlineStr">
        <is>
          <t>Bangalore</t>
        </is>
      </c>
      <c r="G39" t="inlineStr">
        <is>
          <t>Unknown</t>
        </is>
      </c>
      <c r="H39" t="inlineStr">
        <is>
          <t>Not specified</t>
        </is>
      </c>
      <c r="I39" t="inlineStr">
        <is>
          <t>Unknown</t>
        </is>
      </c>
      <c r="J39" t="inlineStr">
        <is>
          <t>Not Mentioned</t>
        </is>
      </c>
      <c r="K39" t="inlineStr">
        <is>
          <t>AI; Software Engineering</t>
        </is>
      </c>
      <c r="L39" t="inlineStr">
        <is>
          <t>Data; Internal Tools; AI-assisted workflows</t>
        </is>
      </c>
      <c r="M39" t="inlineStr">
        <is>
          <t>&amp;nbsp;...Need You 
 We believe technology, data and &lt;b&gt;AI &lt;/b&gt;are how a modern platform compounds its...&amp;nbsp;&amp;nbsp;...turn what we learn into structured data, &lt;b&gt;internal &lt;/b&gt;tools and AI-assisted workflows that help...&amp;nbsp;&amp;nbsp;...and Capital. 
 As our AI &amp; Software &lt;b&gt;Engineering &lt;/b&gt;Intern, you'll sit at the intersection of...&amp;nbsp;</t>
        </is>
      </c>
      <c r="N39" t="n">
        <v>67</v>
      </c>
      <c r="O39" t="n">
        <v>70</v>
      </c>
      <c r="P39" t="n">
        <v>75</v>
      </c>
      <c r="Q39" t="n">
        <v>80</v>
      </c>
      <c r="R39" t="n">
        <v>40</v>
      </c>
      <c r="S39" t="n">
        <v>50</v>
      </c>
      <c r="T39" t="n">
        <v>60</v>
      </c>
      <c r="U39" t="inlineStr">
        <is>
          <t>STRETCH</t>
        </is>
      </c>
      <c r="V39" t="inlineStr">
        <is>
          <t>STRETCH</t>
        </is>
      </c>
      <c r="X39" t="inlineStr">
        <is>
          <t>Amaanuddin_Ahmed_Software_Engineer_Resume.pdf</t>
        </is>
      </c>
      <c r="Y39" t="inlineStr">
        <is>
          <t>2026-09-10</t>
        </is>
      </c>
      <c r="Z39" t="inlineStr">
        <is>
          <t>Matches target AI-adjacent software engineering and Bangalore location; Good opportunity to work at the intersection of AI and software engineering</t>
        </is>
      </c>
      <c r="AA39" t="inlineStr">
        <is>
          <t>Eligible</t>
        </is>
      </c>
      <c r="AB39" t="inlineStr">
        <is>
          <t>Location matches target city (Bangalore); Role aligns with AI-adjacent software engineering</t>
        </is>
      </c>
      <c r="AC39" t="inlineStr">
        <is>
          <t>Unknown</t>
        </is>
      </c>
      <c r="AD39" t="inlineStr">
        <is>
          <t>Not specified in JD</t>
        </is>
      </c>
      <c r="AE39" t="inlineStr">
        <is>
          <t>UNKNOWN</t>
        </is>
      </c>
      <c r="AF39" t="n">
        <v>0</v>
      </c>
      <c r="AG39" t="inlineStr">
        <is>
          <t>No</t>
        </is>
      </c>
      <c r="AH39" t="inlineStr">
        <is>
          <t>Not Mentioned</t>
        </is>
      </c>
      <c r="AI39" t="inlineStr">
        <is>
          <t>No explicit PPO or conversion mention found in snippet</t>
        </is>
      </c>
      <c r="AK39" t="inlineStr">
        <is>
          <t>Vague job description snippet with missing stipend and duration details</t>
        </is>
      </c>
      <c r="AL39" t="inlineStr">
        <is>
          <t>AI-assisted workflows and internal tooling; Full stack development and data structuring; Projects and previous software engineering experience</t>
        </is>
      </c>
    </row>
    <row r="40">
      <c r="B40" t="inlineStr">
        <is>
          <t>Rubrik</t>
        </is>
      </c>
      <c r="C40" t="inlineStr">
        <is>
          <t>Software Engineer - Intern</t>
        </is>
      </c>
      <c r="D40" t="inlineStr">
        <is>
          <t>https://in.jooble.org/jdp/4771329012250323697</t>
        </is>
      </c>
      <c r="E40" t="inlineStr">
        <is>
          <t>AI Analyzer</t>
        </is>
      </c>
      <c r="F40" t="inlineStr">
        <is>
          <t>Pune</t>
        </is>
      </c>
      <c r="G40" t="inlineStr">
        <is>
          <t>Unknown</t>
        </is>
      </c>
      <c r="H40" t="inlineStr">
        <is>
          <t>Not specified</t>
        </is>
      </c>
      <c r="I40" t="inlineStr">
        <is>
          <t>Winter Intern</t>
        </is>
      </c>
      <c r="J40" t="inlineStr">
        <is>
          <t>UNKNOWN</t>
        </is>
      </c>
      <c r="M40" t="inlineStr">
        <is>
          <t>&amp;nbsp;...ABOUT THE JOB 
 We are looking for a &lt;b&gt;Software Engineer - Intern &lt;/b&gt;to join our Continuous Product Development (CPD) team in Pune. We believe in giving engineers responsibility, not tasks. Our goal is to motivate and challenge people to do their best work. To do that, we have...&amp;nbsp;</t>
        </is>
      </c>
      <c r="N40" t="n">
        <v>42</v>
      </c>
      <c r="O40" t="n">
        <v>50</v>
      </c>
      <c r="P40" t="n">
        <v>50</v>
      </c>
      <c r="Q40" t="n">
        <v>60</v>
      </c>
      <c r="R40" t="n">
        <v>0</v>
      </c>
      <c r="S40" t="n">
        <v>0</v>
      </c>
      <c r="T40" t="n">
        <v>50</v>
      </c>
      <c r="U40" t="inlineStr">
        <is>
          <t>SKIP</t>
        </is>
      </c>
      <c r="V40" t="inlineStr">
        <is>
          <t>SKIP</t>
        </is>
      </c>
      <c r="X40" t="inlineStr">
        <is>
          <t>Amaanuddin_Ahmed_Software_Engineer_Resume.pdf</t>
        </is>
      </c>
      <c r="Y40" t="inlineStr">
        <is>
          <t>2026-09-10</t>
        </is>
      </c>
      <c r="Z40" t="inlineStr">
        <is>
          <t>Good brand name (Rubrik)</t>
        </is>
      </c>
      <c r="AA40" t="inlineStr">
        <is>
          <t>ELIGIBLE</t>
        </is>
      </c>
      <c r="AB40" t="inlineStr">
        <is>
          <t>Candidate is pursuing MCA which aligns with software engineering intern roles.</t>
        </is>
      </c>
      <c r="AC40" t="inlineStr">
        <is>
          <t>UNKNOWN</t>
        </is>
      </c>
      <c r="AD40" t="inlineStr">
        <is>
          <t>Not specified in the job description or career brain.</t>
        </is>
      </c>
      <c r="AE40" t="inlineStr">
        <is>
          <t>UNKNOWN</t>
        </is>
      </c>
      <c r="AF40" t="n">
        <v>0</v>
      </c>
      <c r="AG40" t="inlineStr">
        <is>
          <t>No</t>
        </is>
      </c>
      <c r="AH40" t="inlineStr">
        <is>
          <t>UNKNOWN</t>
        </is>
      </c>
      <c r="AI40" t="inlineStr">
        <is>
          <t>No explicit mention of PPO or conversion in the snippet.</t>
        </is>
      </c>
      <c r="AK40" t="inlineStr">
        <is>
          <t>Location mismatch (Job is in Pune, candidate target location not explicitly restricted but relevant consideration)</t>
        </is>
      </c>
      <c r="AL40" t="inlineStr">
        <is>
          <t>Data Structures and Algorithms; Software Engineering Fundamentals; System Design basics</t>
        </is>
      </c>
    </row>
    <row r="41">
      <c r="B41" t="inlineStr">
        <is>
          <t>TestHiring</t>
        </is>
      </c>
      <c r="C41" t="inlineStr">
        <is>
          <t>AI Engineer - Intern</t>
        </is>
      </c>
      <c r="D41" t="inlineStr">
        <is>
          <t>https://in.jooble.org/jdp/1212238152267076468</t>
        </is>
      </c>
      <c r="E41" t="inlineStr">
        <is>
          <t>AI Analyzer</t>
        </is>
      </c>
      <c r="F41" t="inlineStr">
        <is>
          <t>Bangalore North</t>
        </is>
      </c>
      <c r="G41" t="inlineStr">
        <is>
          <t>Unknown</t>
        </is>
      </c>
      <c r="H41" t="inlineStr">
        <is>
          <t>Rs 15000 - Rs 20000 per month</t>
        </is>
      </c>
      <c r="I41" t="inlineStr">
        <is>
          <t>Unknown</t>
        </is>
      </c>
      <c r="J41" t="inlineStr">
        <is>
          <t>not mentioned</t>
        </is>
      </c>
      <c r="K41" t="inlineStr">
        <is>
          <t>Rapid Prototyping; Chatbots; Workflow Automations</t>
        </is>
      </c>
      <c r="M41" t="inlineStr">
        <is>
          <t>&amp;nbsp;...ideas. 
 Rapid Prototyping &amp; Experimentation 
 Support the &lt;b&gt;development &lt;/b&gt;of small-scale prototypes (e.g., chatbots, workflow automations...&amp;nbsp;&amp;nbsp;...&amp; Iteration 
 Help deploy and monitor pilot solutions with &lt;b&gt;internal &lt;/b&gt;teams. 
 Collect feedback, track basic usage metrics, and support...&amp;nbsp;</t>
        </is>
      </c>
      <c r="N41" t="n">
        <v>55</v>
      </c>
      <c r="O41" t="n">
        <v>60</v>
      </c>
      <c r="P41" t="n">
        <v>70</v>
      </c>
      <c r="Q41" t="n">
        <v>65</v>
      </c>
      <c r="R41" t="n">
        <v>0</v>
      </c>
      <c r="S41" t="n">
        <v>40</v>
      </c>
      <c r="T41" t="n">
        <v>60</v>
      </c>
      <c r="U41" t="inlineStr">
        <is>
          <t>SKIP</t>
        </is>
      </c>
      <c r="V41" t="inlineStr">
        <is>
          <t>SKIP</t>
        </is>
      </c>
      <c r="W41" t="inlineStr">
        <is>
          <t>Dedicated AI/LLM Engineering experience</t>
        </is>
      </c>
      <c r="X41" t="inlineStr">
        <is>
          <t>Amaanuddin_Ahmed_Resume.pdf</t>
        </is>
      </c>
      <c r="Y41" t="inlineStr">
        <is>
          <t>2026-09-10</t>
        </is>
      </c>
      <c r="Z41" t="inlineStr">
        <is>
          <t>Located in Bengaluru; AI-adjacent exposure</t>
        </is>
      </c>
      <c r="AA41" t="inlineStr">
        <is>
          <t>eligible</t>
        </is>
      </c>
      <c r="AB41" t="inlineStr">
        <is>
          <t>No strict hard blockers found in description.</t>
        </is>
      </c>
      <c r="AC41" t="inlineStr">
        <is>
          <t>unknown</t>
        </is>
      </c>
      <c r="AD41" t="inlineStr">
        <is>
          <t>Candidate availability timeline not specified in prompt.</t>
        </is>
      </c>
      <c r="AE41" t="inlineStr">
        <is>
          <t>exact</t>
        </is>
      </c>
      <c r="AF41" t="n">
        <v>15000</v>
      </c>
      <c r="AG41" t="inlineStr">
        <is>
          <t>No</t>
        </is>
      </c>
      <c r="AH41" t="inlineStr">
        <is>
          <t>not mentioned</t>
        </is>
      </c>
      <c r="AI41" t="inlineStr">
        <is>
          <t>No mention of PPO or conversion in the job description.</t>
        </is>
      </c>
      <c r="AK41" t="inlineStr">
        <is>
          <t>Stipend is below the minimum target of ₹25,000/month; No mention of PPO</t>
        </is>
      </c>
      <c r="AL41" t="inlineStr">
        <is>
          <t>Rapid prototyping methodology; Chatbot development experience; Workflow automation tools</t>
        </is>
      </c>
    </row>
    <row r="42">
      <c r="B42" t="inlineStr">
        <is>
          <t>neostats</t>
        </is>
      </c>
      <c r="C42" t="inlineStr">
        <is>
          <t>Artificial Intelligence Engineer Intern</t>
        </is>
      </c>
      <c r="D42" t="inlineStr">
        <is>
          <t>https://in.jooble.org/jdp/-7292019498942283213</t>
        </is>
      </c>
      <c r="E42" t="inlineStr">
        <is>
          <t>AI Analyzer</t>
        </is>
      </c>
      <c r="F42" t="inlineStr">
        <is>
          <t>Bangalore</t>
        </is>
      </c>
      <c r="G42" t="inlineStr">
        <is>
          <t>Onsite</t>
        </is>
      </c>
      <c r="H42" t="inlineStr">
        <is>
          <t>Paid Internship</t>
        </is>
      </c>
      <c r="I42" t="inlineStr">
        <is>
          <t>6 months</t>
        </is>
      </c>
      <c r="J42" t="inlineStr">
        <is>
          <t>NOT_MENTIONED</t>
        </is>
      </c>
      <c r="K42" t="inlineStr">
        <is>
          <t>AI-powered applications; Prototypes development; Performance metrics</t>
        </is>
      </c>
      <c r="M42" t="inlineStr">
        <is>
          <t>&amp;nbsp;...AI Engineer &lt;b&gt;Intern &lt;/b&gt; Location: Bangalore 
 Mode of Work: Onsite 
 Years of Experience: 0-3 years 
 Paid Internship 
 Duration-6 months...&amp;nbsp;&amp;nbsp;...tasks to improve performance me 
# trics.Contribute to the &lt;b&gt;development &lt;/b&gt;of AI-powered applications and prototypes for real-world use 
#...&amp;nbsp;</t>
        </is>
      </c>
      <c r="N42" t="n">
        <v>52</v>
      </c>
      <c r="O42" t="n">
        <v>40</v>
      </c>
      <c r="P42" t="n">
        <v>90</v>
      </c>
      <c r="Q42" t="n">
        <v>60</v>
      </c>
      <c r="R42" t="n">
        <v>0</v>
      </c>
      <c r="S42" t="n">
        <v>40</v>
      </c>
      <c r="T42" t="n">
        <v>50</v>
      </c>
      <c r="U42" t="inlineStr">
        <is>
          <t>SKIP</t>
        </is>
      </c>
      <c r="V42" t="inlineStr">
        <is>
          <t>SKIP</t>
        </is>
      </c>
      <c r="W42" t="inlineStr">
        <is>
          <t>Machine Learning; Deep Learning; AI Model Development</t>
        </is>
      </c>
      <c r="X42" t="inlineStr">
        <is>
          <t>Default Software Engineering Resume</t>
        </is>
      </c>
      <c r="Y42" t="inlineStr">
        <is>
          <t>2026-09-10</t>
        </is>
      </c>
      <c r="Z42" t="inlineStr">
        <is>
          <t>Located in Bangalore with onsite mode; Internship duration is 6 months matching academic requirements</t>
        </is>
      </c>
      <c r="AA42" t="inlineStr">
        <is>
          <t>ELIGIBLE</t>
        </is>
      </c>
      <c r="AB42" t="inlineStr">
        <is>
          <t>Experience requirement is 0-3 years which fits freshers or early professionals</t>
        </is>
      </c>
      <c r="AC42" t="inlineStr">
        <is>
          <t>UNKNOWN</t>
        </is>
      </c>
      <c r="AD42" t="inlineStr">
        <is>
          <t>Not enough information to determine availability constraints</t>
        </is>
      </c>
      <c r="AE42" t="inlineStr">
        <is>
          <t>UNKNOWN</t>
        </is>
      </c>
      <c r="AF42" t="n">
        <v>0</v>
      </c>
      <c r="AG42" t="inlineStr">
        <is>
          <t>No</t>
        </is>
      </c>
      <c r="AH42" t="inlineStr">
        <is>
          <t>NOT_MENTIONED</t>
        </is>
      </c>
      <c r="AI42" t="inlineStr">
        <is>
          <t>No mention of PPO or conversion to full-time role in the snippet</t>
        </is>
      </c>
      <c r="AK42" t="inlineStr">
        <is>
          <t>Stipend amount is unknown despite being marked as paid</t>
        </is>
      </c>
      <c r="AL42" t="inlineStr">
        <is>
          <t>Python programming; Building software prototypes; Basic AI concepts</t>
        </is>
      </c>
    </row>
    <row r="43">
      <c r="B43" t="inlineStr">
        <is>
          <t>Lane</t>
        </is>
      </c>
      <c r="C43" t="inlineStr">
        <is>
          <t>Tech- Intern</t>
        </is>
      </c>
      <c r="D43" t="inlineStr">
        <is>
          <t>https://in.jooble.org/jdp/-3697916622688250511</t>
        </is>
      </c>
      <c r="E43" t="inlineStr">
        <is>
          <t>AI Analyzer</t>
        </is>
      </c>
      <c r="F43" t="inlineStr">
        <is>
          <t>Bangalore</t>
        </is>
      </c>
      <c r="G43" t="inlineStr">
        <is>
          <t>Unknown</t>
        </is>
      </c>
      <c r="I43" t="inlineStr">
        <is>
          <t>Unknown</t>
        </is>
      </c>
      <c r="J43" t="inlineStr">
        <is>
          <t>Unknown</t>
        </is>
      </c>
      <c r="K43" t="inlineStr">
        <is>
          <t>Node.js; Python; HTML; CSS; JavaScript; React</t>
        </is>
      </c>
      <c r="M43" t="inlineStr">
        <is>
          <t>&amp;nbsp;...experience in software development and technology operations. As a Tech &lt;b&gt;Intern,&lt;/b&gt; you will work closely with our engineering team on live projects...&amp;nbsp;&amp;nbsp;...Basics: Familiarity with at least one backend language (e.g., &lt;b&gt;Node.js,&lt;/b&gt; Python) and frontend basics (HTML/CSS/JavaScript or React)....&amp;nbsp;</t>
        </is>
      </c>
      <c r="N43" t="n">
        <v>75</v>
      </c>
      <c r="O43" t="n">
        <v>30</v>
      </c>
      <c r="P43" t="n">
        <v>20</v>
      </c>
      <c r="Q43" t="n">
        <v>15</v>
      </c>
      <c r="R43" t="n">
        <v>5</v>
      </c>
      <c r="S43" t="n">
        <v>0</v>
      </c>
      <c r="T43" t="n">
        <v>5</v>
      </c>
      <c r="U43" t="inlineStr">
        <is>
          <t>CONSIDER</t>
        </is>
      </c>
      <c r="V43" t="inlineStr">
        <is>
          <t>CONSIDER</t>
        </is>
      </c>
      <c r="X43" t="inlineStr">
        <is>
          <t>Full Stack / Software Engineering Resume</t>
        </is>
      </c>
      <c r="Y43" t="inlineStr">
        <is>
          <t>2026-09-10</t>
        </is>
      </c>
      <c r="Z43" t="inlineStr">
        <is>
          <t>Amaan's demonstrated skills in Node.js, Python, JavaScript, and React perfectly match the required stack.; Location matches target preferences (Bangalore).</t>
        </is>
      </c>
      <c r="AA43" t="inlineStr">
        <is>
          <t>Eligible</t>
        </is>
      </c>
      <c r="AC43" t="inlineStr">
        <is>
          <t>Unknown</t>
        </is>
      </c>
      <c r="AD43" t="inlineStr">
        <is>
          <t>Not specified in the job description.</t>
        </is>
      </c>
      <c r="AE43" t="inlineStr">
        <is>
          <t>UNKNOWN</t>
        </is>
      </c>
      <c r="AF43" t="n">
        <v>0</v>
      </c>
      <c r="AG43" t="inlineStr">
        <is>
          <t>No</t>
        </is>
      </c>
      <c r="AH43" t="inlineStr">
        <is>
          <t>Unknown</t>
        </is>
      </c>
      <c r="AI43" t="inlineStr">
        <is>
          <t>No mention of PPO or conversion in the job snippet.</t>
        </is>
      </c>
      <c r="AK43" t="inlineStr">
        <is>
          <t>Stipend is not disclosed.</t>
        </is>
      </c>
      <c r="AL43" t="inlineStr">
        <is>
          <t>Backend fundamentals (Node.js or Python); Frontend basics (HTML, CSS, JavaScript, React); Past project experience in software development</t>
        </is>
      </c>
    </row>
    <row r="44">
      <c r="A44" t="inlineStr">
        <is>
          <t>NUTRITHY-WEL-260909-1</t>
        </is>
      </c>
      <c r="B44" t="inlineStr">
        <is>
          <t>Nutrithy Wellness</t>
        </is>
      </c>
      <c r="C44" t="inlineStr">
        <is>
          <t>Software Development Engineering Intern</t>
        </is>
      </c>
      <c r="D44" t="inlineStr">
        <is>
          <t>https://in.jooble.org/jdp/3760385546685730255</t>
        </is>
      </c>
      <c r="E44" t="inlineStr">
        <is>
          <t>AI Analyzer</t>
        </is>
      </c>
      <c r="F44" t="inlineStr">
        <is>
          <t>Remote</t>
        </is>
      </c>
      <c r="G44" t="inlineStr">
        <is>
          <t>Remote</t>
        </is>
      </c>
      <c r="H44" t="inlineStr">
        <is>
          <t>₹20,000- ₹30,000 /month</t>
        </is>
      </c>
      <c r="I44" t="inlineStr">
        <is>
          <t>Upto 3 Months</t>
        </is>
      </c>
      <c r="J44" t="inlineStr">
        <is>
          <t>YES</t>
        </is>
      </c>
      <c r="K44" t="inlineStr">
        <is>
          <t>Software Development</t>
        </is>
      </c>
      <c r="M44" t="inlineStr">
        <is>
          <t>&amp;nbsp;...Internship Opportunity | &lt;b&gt;Software &lt;/b&gt;Development &lt;b&gt;Engineering &lt;/b&gt;| PPO opportunity 
 Nutrithy Wellness is hiring Software Development &lt;b&gt;Interns &lt;/b&gt;to join their team!
 Location: Remote. Duration: Upto 3 Months 
 Stipend: ₹20,000- ₹30,000 /month 
 What you'll be doing: 
 Working...&amp;nbsp;</t>
        </is>
      </c>
      <c r="N44" t="n">
        <v>90</v>
      </c>
      <c r="O44" t="n">
        <v>25</v>
      </c>
      <c r="P44" t="n">
        <v>20</v>
      </c>
      <c r="Q44" t="n">
        <v>15</v>
      </c>
      <c r="R44" t="n">
        <v>15</v>
      </c>
      <c r="S44" t="n">
        <v>7</v>
      </c>
      <c r="T44" t="n">
        <v>8</v>
      </c>
      <c r="U44" t="inlineStr">
        <is>
          <t>APPLY ASAP</t>
        </is>
      </c>
      <c r="V44" t="inlineStr">
        <is>
          <t>APPLY ASAP</t>
        </is>
      </c>
      <c r="X44" t="inlineStr">
        <is>
          <t>Amaanuddin_Ahmed_Fullstack_Resume.pdf</t>
        </is>
      </c>
      <c r="Y44" t="inlineStr">
        <is>
          <t>2026-09-10</t>
        </is>
      </c>
      <c r="Z44" t="inlineStr">
        <is>
          <t>Includes a PPO opportunity which is a high priority for the candidate; Stipend is close to target range; Remote work mode aligns well with flexibility; Role matches target software engineering positions</t>
        </is>
      </c>
      <c r="AA44" t="inlineStr">
        <is>
          <t>ELIGIBLE</t>
        </is>
      </c>
      <c r="AB44" t="inlineStr">
        <is>
          <t>Candidate is pursuing MCA; Matches target Software Engineering role</t>
        </is>
      </c>
      <c r="AC44" t="inlineStr">
        <is>
          <t>UNKNOWN</t>
        </is>
      </c>
      <c r="AD44" t="inlineStr">
        <is>
          <t>Candidate availability timeline not provided in career brain.</t>
        </is>
      </c>
      <c r="AE44" t="inlineStr">
        <is>
          <t>DISCLOSED</t>
        </is>
      </c>
      <c r="AF44" t="n">
        <v>20000</v>
      </c>
      <c r="AG44" t="inlineStr">
        <is>
          <t>No</t>
        </is>
      </c>
      <c r="AH44" t="inlineStr">
        <is>
          <t>YES</t>
        </is>
      </c>
      <c r="AI44" t="inlineStr">
        <is>
          <t>PPO opportunity mentioned in the job snippet.</t>
        </is>
      </c>
      <c r="AL44" t="inlineStr">
        <is>
          <t>Full stack development fundamentals; Problem solving and coding; Project architecture and deployment</t>
        </is>
      </c>
      <c r="AM44" t="inlineStr">
        <is>
          <t>E:\InternshipHunter\applications\3760385546685730255</t>
        </is>
      </c>
      <c r="AN44" t="inlineStr">
        <is>
          <t>Ready for Review</t>
        </is>
      </c>
      <c r="AO44" t="inlineStr">
        <is>
          <t>Generated</t>
        </is>
      </c>
      <c r="AP44" t="inlineStr">
        <is>
          <t>Generated</t>
        </is>
      </c>
      <c r="AQ44" t="inlineStr">
        <is>
          <t>Generated</t>
        </is>
      </c>
      <c r="AR44" t="inlineStr">
        <is>
          <t>Ready to Apply</t>
        </is>
      </c>
    </row>
    <row r="45">
      <c r="A45" t="inlineStr">
        <is>
          <t>JOBRAPIDO-260909-2</t>
        </is>
      </c>
      <c r="B45" t="inlineStr">
        <is>
          <t>Jobrapido</t>
        </is>
      </c>
      <c r="C45" t="inlineStr">
        <is>
          <t>Software Engineer Intern (Django + ReactJS)</t>
        </is>
      </c>
      <c r="D45" t="inlineStr">
        <is>
          <t>https://in.jooble.org/jdp/-8478551749094636824</t>
        </is>
      </c>
      <c r="E45" t="inlineStr">
        <is>
          <t>AI Analyzer</t>
        </is>
      </c>
      <c r="F45" t="inlineStr">
        <is>
          <t>Bangalore</t>
        </is>
      </c>
      <c r="G45" t="inlineStr">
        <is>
          <t>UNKNOWN</t>
        </is>
      </c>
      <c r="H45" t="inlineStr">
        <is>
          <t>Not specified</t>
        </is>
      </c>
      <c r="I45" t="inlineStr">
        <is>
          <t>UNKNOWN</t>
        </is>
      </c>
      <c r="J45" t="inlineStr">
        <is>
          <t>NOT_MENTIONED</t>
        </is>
      </c>
      <c r="K45" t="inlineStr">
        <is>
          <t>Django; ReactJS; Third-party APIs</t>
        </is>
      </c>
      <c r="M45" t="inlineStr">
        <is>
          <t>&amp;nbsp;...them increase their sales on Amazon. We are looking for a tech &lt;b&gt;intern &lt;/b&gt;to help us develop our product. 
 Tech Stack: 
 Programming languages...&amp;nbsp;&amp;nbsp;...with third-party APIs 
 Contributing to all phases of the &lt;b&gt;development &lt;/b&gt;life cycle 
 Working to improve the efficiency and...&amp;nbsp;</t>
        </is>
      </c>
      <c r="N45" t="n">
        <v>49</v>
      </c>
      <c r="O45" t="n">
        <v>50</v>
      </c>
      <c r="P45" t="n">
        <v>70</v>
      </c>
      <c r="Q45" t="n">
        <v>70</v>
      </c>
      <c r="R45" t="n">
        <v>0</v>
      </c>
      <c r="S45" t="n">
        <v>0</v>
      </c>
      <c r="T45" t="n">
        <v>50</v>
      </c>
      <c r="U45" t="inlineStr">
        <is>
          <t>SKIP</t>
        </is>
      </c>
      <c r="V45" t="inlineStr">
        <is>
          <t>SKIP</t>
        </is>
      </c>
      <c r="W45" t="inlineStr">
        <is>
          <t>Django</t>
        </is>
      </c>
      <c r="X45" t="inlineStr">
        <is>
          <t>Amaanuddin_Ahmed_Fullstack_Resume.pdf</t>
        </is>
      </c>
      <c r="Y45" t="inlineStr">
        <is>
          <t>2026-09-10</t>
        </is>
      </c>
      <c r="Z45" t="inlineStr">
        <is>
          <t>Role matches target Full Stack / Software Engineering profile; Located in Bangalore</t>
        </is>
      </c>
      <c r="AA45" t="inlineStr">
        <is>
          <t>ELIGIBLE</t>
        </is>
      </c>
      <c r="AB45" t="inlineStr">
        <is>
          <t>No explicit degree or graduation-year blockers found in the snippet</t>
        </is>
      </c>
      <c r="AC45" t="inlineStr">
        <is>
          <t>UNKNOWN</t>
        </is>
      </c>
      <c r="AD45" t="inlineStr">
        <is>
          <t>Availability not specified in career brain</t>
        </is>
      </c>
      <c r="AE45" t="inlineStr">
        <is>
          <t>UNKNOWN</t>
        </is>
      </c>
      <c r="AF45" t="n">
        <v>0</v>
      </c>
      <c r="AG45" t="inlineStr">
        <is>
          <t>No</t>
        </is>
      </c>
      <c r="AH45" t="inlineStr">
        <is>
          <t>NOT_MENTIONED</t>
        </is>
      </c>
      <c r="AI45" t="inlineStr">
        <is>
          <t>No mention of PPO or conversion in the job snippet</t>
        </is>
      </c>
      <c r="AK45" t="inlineStr">
        <is>
          <t>Very limited job description snippet provided; Stipend details not disclosed</t>
        </is>
      </c>
      <c r="AL45" t="inlineStr">
        <is>
          <t>Django framework fundamentals; React.js state management; REST API integration; SDLC practices</t>
        </is>
      </c>
    </row>
    <row r="46">
      <c r="A46" t="inlineStr">
        <is>
          <t>JOVEO-260909-1</t>
        </is>
      </c>
      <c r="B46" t="inlineStr">
        <is>
          <t>Joveo</t>
        </is>
      </c>
      <c r="C46" t="inlineStr">
        <is>
          <t>Software Engineering Intern / Back End Developer</t>
        </is>
      </c>
      <c r="D46" t="inlineStr">
        <is>
          <t>https://in.jooble.org/jdp/5995199810772247499</t>
        </is>
      </c>
      <c r="E46" t="inlineStr">
        <is>
          <t>AI Analyzer</t>
        </is>
      </c>
      <c r="F46" t="inlineStr">
        <is>
          <t>Bengaluru, India</t>
        </is>
      </c>
      <c r="G46" t="inlineStr">
        <is>
          <t>On-site (5 days a week)</t>
        </is>
      </c>
      <c r="H46" t="inlineStr">
        <is>
          <t>Not mentioned</t>
        </is>
      </c>
      <c r="I46" t="inlineStr">
        <is>
          <t>UNKNOWN</t>
        </is>
      </c>
      <c r="J46" t="inlineStr">
        <is>
          <t>NOT_MENTIONED</t>
        </is>
      </c>
      <c r="K46" t="inlineStr">
        <is>
          <t>Node.js; Express.js; React.js; Next.js</t>
        </is>
      </c>
      <c r="M46" t="inlineStr">
        <is>
          <t>&amp;nbsp;...Title  : Software Engineering &lt;b&gt;Intern &lt;/b&gt;
 Location  : Bengaluru, India ( 5 days a week)
 Timings  : 2-9 pm  About Joveo  As the global...&amp;nbsp;&amp;nbsp;...products from whiteboard to working prototype. 
 Ship across the &lt;b&gt;full stack,&lt;/b&gt; React and Next.js on the front, Node.js and Express on the back...&amp;nbsp;</t>
        </is>
      </c>
      <c r="N46" t="n">
        <v>66</v>
      </c>
      <c r="O46" t="n">
        <v>25</v>
      </c>
      <c r="P46" t="n">
        <v>20</v>
      </c>
      <c r="Q46" t="n">
        <v>15</v>
      </c>
      <c r="R46" t="n">
        <v>0</v>
      </c>
      <c r="S46" t="n">
        <v>0</v>
      </c>
      <c r="T46" t="n">
        <v>6</v>
      </c>
      <c r="U46" t="inlineStr">
        <is>
          <t>STRETCH</t>
        </is>
      </c>
      <c r="V46" t="inlineStr">
        <is>
          <t>STRETCH</t>
        </is>
      </c>
      <c r="W46" t="inlineStr">
        <is>
          <t>Next.js</t>
        </is>
      </c>
      <c r="X46" t="inlineStr">
        <is>
          <t>Default Full Stack / MERN Resume</t>
        </is>
      </c>
      <c r="Y46" t="inlineStr">
        <is>
          <t>2026-09-10</t>
        </is>
      </c>
      <c r="Z46" t="inlineStr">
        <is>
          <t>Matches primary MERN stack skill set (Node.js, Express.js, React.js); Good opportunity for full stack experience</t>
        </is>
      </c>
      <c r="AA46" t="inlineStr">
        <is>
          <t>ELIGIBLE</t>
        </is>
      </c>
      <c r="AB46" t="inlineStr">
        <is>
          <t>Candidate is pursuing MCA; Skills match the technical expectations of the role</t>
        </is>
      </c>
      <c r="AC46" t="inlineStr">
        <is>
          <t>UNKNOWN</t>
        </is>
      </c>
      <c r="AD46" t="inlineStr">
        <is>
          <t>Availability not explicitly stated in the job description or career brain.</t>
        </is>
      </c>
      <c r="AE46" t="inlineStr">
        <is>
          <t>UNKNOWN</t>
        </is>
      </c>
      <c r="AF46" t="n">
        <v>0</v>
      </c>
      <c r="AG46" t="inlineStr">
        <is>
          <t>No</t>
        </is>
      </c>
      <c r="AH46" t="inlineStr">
        <is>
          <t>NOT_MENTIONED</t>
        </is>
      </c>
      <c r="AI46" t="inlineStr">
        <is>
          <t>No mention of PPO or conversion in the job snippet.</t>
        </is>
      </c>
      <c r="AK46" t="inlineStr">
        <is>
          <t>Stipend is not disclosed; Fixed shift timing (2-9 pm) might be required</t>
        </is>
      </c>
      <c r="AL46" t="inlineStr">
        <is>
          <t>Node.js and Express.js architecture; React.js and Next.js differences/usage; Full stack system design and prototyping</t>
        </is>
      </c>
    </row>
    <row r="47">
      <c r="A47" t="inlineStr">
        <is>
          <t>JOVEO-260910-1</t>
        </is>
      </c>
      <c r="B47" t="inlineStr">
        <is>
          <t>Joveo</t>
        </is>
      </c>
      <c r="C47" t="inlineStr">
        <is>
          <t>Software Engineering Intern (Full Stack)</t>
        </is>
      </c>
      <c r="D47" t="inlineStr">
        <is>
          <t>https://in.jooble.org/away/-1939946349168902640?p=1&amp;pos=1&amp;rgn=3193&amp;cid=389&amp;ckey=software+engineer+intern&amp;jobAge=35&amp;brelb=10&amp;scr=3529.8728&amp;bscr=3529.8728&amp;aq=-5789299792193885679&amp;elckey=5749610590021549824</t>
        </is>
      </c>
      <c r="E47" t="inlineStr">
        <is>
          <t>AI Analyzer</t>
        </is>
      </c>
      <c r="F47" t="inlineStr">
        <is>
          <t>Bangalore</t>
        </is>
      </c>
      <c r="G47" t="inlineStr">
        <is>
          <t>Unknown</t>
        </is>
      </c>
      <c r="H47" t="inlineStr">
        <is>
          <t>Competitive stipend</t>
        </is>
      </c>
      <c r="I47" t="inlineStr">
        <is>
          <t>Unknown</t>
        </is>
      </c>
      <c r="J47" t="inlineStr">
        <is>
          <t>Not Mentioned</t>
        </is>
      </c>
      <c r="K47" t="inlineStr">
        <is>
          <t>Full Stack Development; JavaScript; React.js; Node.js</t>
        </is>
      </c>
      <c r="L47" t="inlineStr">
        <is>
          <t>AI recruitment technologies</t>
        </is>
      </c>
      <c r="M47" t="inlineStr">
        <is>
          <t>&amp;nbsp;...Role : &lt;b&gt;Software Engineering Intern &lt;/b&gt;(Full Stack) Payout : Competitive stipend Role Overview: We are seeking a Software Engineering Intern (Full Stack) to work on a full-time internship basis. Joblet is rewriting the rules of recruitment through AI, and this role sits...&amp;nbsp;</t>
        </is>
      </c>
      <c r="N47" t="n">
        <v>78</v>
      </c>
      <c r="O47" t="n">
        <v>27</v>
      </c>
      <c r="P47" t="n">
        <v>18</v>
      </c>
      <c r="Q47" t="n">
        <v>15</v>
      </c>
      <c r="R47" t="n">
        <v>5</v>
      </c>
      <c r="S47" t="n">
        <v>5</v>
      </c>
      <c r="T47" t="n">
        <v>8</v>
      </c>
      <c r="U47" t="inlineStr">
        <is>
          <t>CONSIDER</t>
        </is>
      </c>
      <c r="V47" t="inlineStr">
        <is>
          <t>CONSIDER</t>
        </is>
      </c>
      <c r="X47" t="inlineStr">
        <is>
          <t>Full Stack Development Resume</t>
        </is>
      </c>
      <c r="Y47" t="inlineStr">
        <is>
          <t>2026-09-10</t>
        </is>
      </c>
      <c r="Z47" t="inlineStr">
        <is>
          <t>Strong match with full-stack MERN skill set; Located in Bangalore; AI-driven recruitment domain aligns with interest in AI-adjacent software engineering</t>
        </is>
      </c>
      <c r="AA47" t="inlineStr">
        <is>
          <t>Eligible</t>
        </is>
      </c>
      <c r="AB47" t="inlineStr">
        <is>
          <t>Candidate is pursuing MCA; Full-time internship aligns with availability</t>
        </is>
      </c>
      <c r="AC47" t="inlineStr">
        <is>
          <t>Available</t>
        </is>
      </c>
      <c r="AD47" t="inlineStr">
        <is>
          <t>Student available for full-time internship</t>
        </is>
      </c>
      <c r="AE47" t="inlineStr">
        <is>
          <t>UNKNOWN</t>
        </is>
      </c>
      <c r="AF47" t="n">
        <v>0</v>
      </c>
      <c r="AG47" t="inlineStr">
        <is>
          <t>No</t>
        </is>
      </c>
      <c r="AH47" t="inlineStr">
        <is>
          <t>Not Mentioned</t>
        </is>
      </c>
      <c r="AI47" t="inlineStr">
        <is>
          <t>No explicit PPO or conversion mention found in the snippet</t>
        </is>
      </c>
      <c r="AK47" t="inlineStr">
        <is>
          <t>Stipend details are vague (competitive stipend)</t>
        </is>
      </c>
      <c r="AL47" t="inlineStr">
        <is>
          <t>MERN stack architecture and state management; RESTful API design and authentication; Previous full stack projects like StaySphere and Zenvest</t>
        </is>
      </c>
    </row>
    <row r="48">
      <c r="A48" t="inlineStr">
        <is>
          <t>FRIDAY-MEDIA-260910-2</t>
        </is>
      </c>
      <c r="B48" t="inlineStr">
        <is>
          <t>friday media tech india (fmg)</t>
        </is>
      </c>
      <c r="C48" t="inlineStr">
        <is>
          <t>Software Engineer Intern</t>
        </is>
      </c>
      <c r="D48" t="inlineStr">
        <is>
          <t>https://in.jooble.org/desc/-5404656752169186420?ckey=software+engineer+intern&amp;rgn=3193&amp;pos=4&amp;elckey=5749610590021549824&amp;p=1&amp;aq=-5789299792193885679&amp;cid=389&amp;jobAge=229&amp;brelb=10&amp;bscr=1683.9552&amp;scr=1683.9552</t>
        </is>
      </c>
      <c r="E48" t="inlineStr">
        <is>
          <t>AI Analyzer</t>
        </is>
      </c>
      <c r="F48" t="inlineStr">
        <is>
          <t>Bangalore</t>
        </is>
      </c>
      <c r="G48" t="inlineStr">
        <is>
          <t>Unknown</t>
        </is>
      </c>
      <c r="H48" t="inlineStr">
        <is>
          <t>Not specified</t>
        </is>
      </c>
      <c r="I48" t="inlineStr">
        <is>
          <t>Unknown</t>
        </is>
      </c>
      <c r="J48" t="inlineStr">
        <is>
          <t>Not Mentioned</t>
        </is>
      </c>
      <c r="K48" t="inlineStr">
        <is>
          <t>modern web technologies; frameworks</t>
        </is>
      </c>
      <c r="M48" t="inlineStr">
        <is>
          <t>&amp;nbsp;...Job Description We are looking for a passionate and driven &lt;b&gt;Software Engineer Intern &lt;/b&gt; to join our development team. You will get hands-on experience working on real-world projects using modern web technologies and frameworks. This internship is ideal for candidates eager...&amp;nbsp;</t>
        </is>
      </c>
      <c r="N48" t="n">
        <v>53</v>
      </c>
      <c r="O48" t="n">
        <v>70</v>
      </c>
      <c r="P48" t="n">
        <v>70</v>
      </c>
      <c r="Q48" t="n">
        <v>70</v>
      </c>
      <c r="R48" t="n">
        <v>0</v>
      </c>
      <c r="S48" t="n">
        <v>0</v>
      </c>
      <c r="T48" t="n">
        <v>40</v>
      </c>
      <c r="U48" t="inlineStr">
        <is>
          <t>SKIP</t>
        </is>
      </c>
      <c r="V48" t="inlineStr">
        <is>
          <t>SKIP</t>
        </is>
      </c>
      <c r="X48" t="inlineStr">
        <is>
          <t>Amaan_Ahmed_Fullstack_Resume.pdf</t>
        </is>
      </c>
      <c r="Y48" t="inlineStr">
        <is>
          <t>2026-09-10</t>
        </is>
      </c>
      <c r="Z48" t="inlineStr">
        <is>
          <t>Role matches target Full Stack Development internship profile.; Location is Bangalore.</t>
        </is>
      </c>
      <c r="AA48" t="inlineStr">
        <is>
          <t>Eligible</t>
        </is>
      </c>
      <c r="AB48" t="inlineStr">
        <is>
          <t>No explicit hard degree or graduation year blockers found in the brief description.</t>
        </is>
      </c>
      <c r="AC48" t="inlineStr">
        <is>
          <t>Unknown</t>
        </is>
      </c>
      <c r="AD48" t="inlineStr">
        <is>
          <t>Candidate availability date not specified.</t>
        </is>
      </c>
      <c r="AE48" t="inlineStr">
        <is>
          <t>UNKNOWN</t>
        </is>
      </c>
      <c r="AF48" t="n">
        <v>0</v>
      </c>
      <c r="AG48" t="inlineStr">
        <is>
          <t>No</t>
        </is>
      </c>
      <c r="AH48" t="inlineStr">
        <is>
          <t>Not Mentioned</t>
        </is>
      </c>
      <c r="AI48" t="inlineStr">
        <is>
          <t>No mention of conversion to full-time or PPO in the job description.</t>
        </is>
      </c>
      <c r="AK48" t="inlineStr">
        <is>
          <t>Extremely vague job description with no specific stack, stipend, or duration details provided.</t>
        </is>
      </c>
      <c r="AL48" t="inlineStr">
        <is>
          <t>Web development fundamentals; Past projects (StaySphere, Zenvest); JavaScript frameworks and modern web technologies</t>
        </is>
      </c>
    </row>
    <row r="49">
      <c r="A49" t="inlineStr">
        <is>
          <t>ECERA-SYSTEM-260910-3</t>
        </is>
      </c>
      <c r="B49" t="inlineStr">
        <is>
          <t>Ecera System</t>
        </is>
      </c>
      <c r="C49" t="inlineStr">
        <is>
          <t>Software Engineer Intern</t>
        </is>
      </c>
      <c r="D49" t="inlineStr">
        <is>
          <t>https://in.jooble.org/desc/-4076037738651150701?ckey=software+engineer+intern&amp;rgn=3193&amp;pos=6&amp;elckey=5749610590021549824&amp;p=1&amp;aq=-5789299792193885679&amp;cid=389&amp;jobAge=613&amp;brelb=10&amp;bscr=1578.701&amp;scr=1578.701</t>
        </is>
      </c>
      <c r="E49" t="inlineStr">
        <is>
          <t>AI Analyzer</t>
        </is>
      </c>
      <c r="F49" t="inlineStr">
        <is>
          <t>Bangalore</t>
        </is>
      </c>
      <c r="G49" t="inlineStr">
        <is>
          <t>Unknown</t>
        </is>
      </c>
      <c r="H49" t="inlineStr">
        <is>
          <t>Paid (Amount not specified)</t>
        </is>
      </c>
      <c r="I49" t="inlineStr">
        <is>
          <t>Unknown</t>
        </is>
      </c>
      <c r="J49" t="inlineStr">
        <is>
          <t>Not Mentioned</t>
        </is>
      </c>
      <c r="M49" t="inlineStr">
        <is>
          <t>&amp;nbsp;...streamlined, time-conscious process designed to ensure high-quality placements and complete satisfaction. Role Description The &lt;b&gt;Software Engineer Intern &lt;/b&gt;(Paid) will support the design, development, and testing of software applications as part of a collaborative engineering team...&amp;nbsp;</t>
        </is>
      </c>
      <c r="N49" t="n">
        <v>53</v>
      </c>
      <c r="O49" t="n">
        <v>50</v>
      </c>
      <c r="P49" t="n">
        <v>70</v>
      </c>
      <c r="Q49" t="n">
        <v>80</v>
      </c>
      <c r="R49" t="n">
        <v>0</v>
      </c>
      <c r="S49" t="n">
        <v>30</v>
      </c>
      <c r="T49" t="n">
        <v>40</v>
      </c>
      <c r="U49" t="inlineStr">
        <is>
          <t>SKIP</t>
        </is>
      </c>
      <c r="V49" t="inlineStr">
        <is>
          <t>SKIP</t>
        </is>
      </c>
      <c r="X49" t="inlineStr">
        <is>
          <t>Default Software Engineering Resume</t>
        </is>
      </c>
      <c r="Y49" t="inlineStr">
        <is>
          <t>2026-09-10</t>
        </is>
      </c>
      <c r="Z49" t="inlineStr">
        <is>
          <t>Located in Bangalore; Paid internship position</t>
        </is>
      </c>
      <c r="AA49" t="inlineStr">
        <is>
          <t>Eligible</t>
        </is>
      </c>
      <c r="AB49" t="inlineStr">
        <is>
          <t>Location matches target city (Bangalore); Role aligns with software engineering targets</t>
        </is>
      </c>
      <c r="AC49" t="inlineStr">
        <is>
          <t>Unknown</t>
        </is>
      </c>
      <c r="AD49" t="inlineStr">
        <is>
          <t>Not provided in the job description or career brain.</t>
        </is>
      </c>
      <c r="AE49" t="inlineStr">
        <is>
          <t>UNKNOWN</t>
        </is>
      </c>
      <c r="AF49" t="n">
        <v>0</v>
      </c>
      <c r="AG49" t="inlineStr">
        <is>
          <t>No</t>
        </is>
      </c>
      <c r="AH49" t="inlineStr">
        <is>
          <t>Not Mentioned</t>
        </is>
      </c>
      <c r="AI49" t="inlineStr">
        <is>
          <t>No PPO or conversion mention in the short description.</t>
        </is>
      </c>
      <c r="AK49" t="inlineStr">
        <is>
          <t>Extremely vague job description with no concrete tech stack or requirements listed.</t>
        </is>
      </c>
      <c r="AL49" t="inlineStr">
        <is>
          <t>General Software Engineering fundamentals; Past projects and development process; Team collaboration and testing methodologies</t>
        </is>
      </c>
    </row>
    <row r="50">
      <c r="A50" t="inlineStr">
        <is>
          <t>STRIPE-260910-4</t>
        </is>
      </c>
      <c r="B50" t="inlineStr">
        <is>
          <t>Stripe</t>
        </is>
      </c>
      <c r="C50" t="inlineStr">
        <is>
          <t>Software Engineer, Intern</t>
        </is>
      </c>
      <c r="D50" t="inlineStr">
        <is>
          <t>https://in.jooble.org/desc/6361268409707951745?ckey=software+engineer+intern&amp;rgn=3193&amp;pos=7&amp;elckey=5749610590021549824&amp;p=1&amp;aq=-5789299792193885679&amp;cid=389&amp;jobAge=243&amp;brelb=100&amp;bscr=1553.9491&amp;scr=1553.9491</t>
        </is>
      </c>
      <c r="E50" t="inlineStr">
        <is>
          <t>AI Analyzer</t>
        </is>
      </c>
      <c r="F50" t="inlineStr">
        <is>
          <t>Bangalore</t>
        </is>
      </c>
      <c r="G50" t="inlineStr">
        <is>
          <t>UNKNOWN</t>
        </is>
      </c>
      <c r="H50" t="inlineStr">
        <is>
          <t>Not specified</t>
        </is>
      </c>
      <c r="I50" t="inlineStr">
        <is>
          <t>UNKNOWN</t>
        </is>
      </c>
      <c r="J50" t="inlineStr">
        <is>
          <t>UNKNOWN</t>
        </is>
      </c>
      <c r="M50" t="inlineStr">
        <is>
          <t>&amp;nbsp;...world works. What you’ll do As an &lt;b&gt;intern &lt;/b&gt;at Stripe you’ll work on projects across...&amp;nbsp;&amp;nbsp;...the most creative and technically rigorous &lt;b&gt;engineers &lt;/b&gt;in the industry and learn how to ship high...&amp;nbsp;&amp;nbsp;...the technical design process. Write &lt;b&gt;software &lt;/b&gt;that will be used in production, and has...&amp;nbsp;</t>
        </is>
      </c>
      <c r="N50" t="n">
        <v>68</v>
      </c>
      <c r="O50" t="n">
        <v>70</v>
      </c>
      <c r="P50" t="n">
        <v>70</v>
      </c>
      <c r="Q50" t="n">
        <v>75</v>
      </c>
      <c r="R50" t="n">
        <v>50</v>
      </c>
      <c r="S50" t="n">
        <v>50</v>
      </c>
      <c r="T50" t="n">
        <v>90</v>
      </c>
      <c r="U50" t="inlineStr">
        <is>
          <t>STRETCH</t>
        </is>
      </c>
      <c r="V50" t="inlineStr">
        <is>
          <t>STRETCH</t>
        </is>
      </c>
      <c r="X50" t="inlineStr">
        <is>
          <t>Amaanuddin_Ahmed_Software_Engineer_Resume.pdf</t>
        </is>
      </c>
      <c r="Y50" t="inlineStr">
        <is>
          <t>2026-09-10</t>
        </is>
      </c>
      <c r="Z50" t="inlineStr">
        <is>
          <t>Stripe is a top-tier product company offering high opportunity quality for software engineering interns.; Matches target role of Software Engineering.</t>
        </is>
      </c>
      <c r="AA50" t="inlineStr">
        <is>
          <t>ELIGIBLE</t>
        </is>
      </c>
      <c r="AC50" t="inlineStr">
        <is>
          <t>UNKNOWN</t>
        </is>
      </c>
      <c r="AD50" t="inlineStr">
        <is>
          <t>Not specified in candidate profile or job description</t>
        </is>
      </c>
      <c r="AE50" t="inlineStr">
        <is>
          <t>UNKNOWN</t>
        </is>
      </c>
      <c r="AF50" t="n">
        <v>0</v>
      </c>
      <c r="AG50" t="inlineStr">
        <is>
          <t>No</t>
        </is>
      </c>
      <c r="AH50" t="inlineStr">
        <is>
          <t>UNKNOWN</t>
        </is>
      </c>
      <c r="AI50" t="inlineStr">
        <is>
          <t>Not mentioned in the short snippet</t>
        </is>
      </c>
      <c r="AK50" t="inlineStr">
        <is>
          <t>Job description is very sparse and lacks specific technology requirements, duration, or stipend details.</t>
        </is>
      </c>
      <c r="AL50" t="inlineStr">
        <is>
          <t>Data Structures and Algorithms; System Design and Architecture; Production-grade software engineering practices; Past project experience</t>
        </is>
      </c>
    </row>
    <row r="51">
      <c r="A51" t="inlineStr">
        <is>
          <t>ALLEN-DIGITA-260910-5</t>
        </is>
      </c>
      <c r="B51" t="inlineStr">
        <is>
          <t>allen digital</t>
        </is>
      </c>
      <c r="C51" t="inlineStr">
        <is>
          <t>Software Engineer Intern</t>
        </is>
      </c>
      <c r="D51" t="inlineStr">
        <is>
          <t>https://in.jooble.org/desc/5384164569259953805?ckey=software+engineer+intern&amp;rgn=3193&amp;pos=9&amp;elckey=5749610590021549824&amp;p=1&amp;aq=-5789299792193885679&amp;cid=389&amp;jobAge=733&amp;brelb=10&amp;bscr=1426.9312&amp;scr=1426.9312</t>
        </is>
      </c>
      <c r="E51" t="inlineStr">
        <is>
          <t>AI Analyzer</t>
        </is>
      </c>
      <c r="F51" t="inlineStr">
        <is>
          <t>Bangalore</t>
        </is>
      </c>
      <c r="G51" t="inlineStr">
        <is>
          <t>Unknown</t>
        </is>
      </c>
      <c r="H51" t="inlineStr">
        <is>
          <t>Not specified</t>
        </is>
      </c>
      <c r="I51" t="inlineStr">
        <is>
          <t>Unknown</t>
        </is>
      </c>
      <c r="J51" t="inlineStr">
        <is>
          <t>Unknown</t>
        </is>
      </c>
      <c r="K51" t="inlineStr">
        <is>
          <t>Backend programming language</t>
        </is>
      </c>
      <c r="L51" t="inlineStr">
        <is>
          <t>Go development</t>
        </is>
      </c>
      <c r="M51" t="inlineStr">
        <is>
          <t>&amp;nbsp;...technologies related to Go development. Qualifications Currently pursuing a Bachelor's or Master's degree in Computer Science, &lt;b&gt;Engineering,&lt;/b&gt; or a related technical field, scheduled to complete in 2026 Familiarity with at least one backend programming language (e.g.,...&amp;nbsp;</t>
        </is>
      </c>
      <c r="N51" t="n">
        <v>60</v>
      </c>
      <c r="O51" t="n">
        <v>60</v>
      </c>
      <c r="P51" t="n">
        <v>80</v>
      </c>
      <c r="Q51" t="n">
        <v>80</v>
      </c>
      <c r="R51" t="n">
        <v>50</v>
      </c>
      <c r="S51" t="n">
        <v>0</v>
      </c>
      <c r="T51" t="n">
        <v>60</v>
      </c>
      <c r="U51" t="inlineStr">
        <is>
          <t>STRETCH</t>
        </is>
      </c>
      <c r="V51" t="inlineStr">
        <is>
          <t>STRETCH</t>
        </is>
      </c>
      <c r="W51" t="inlineStr">
        <is>
          <t>Go</t>
        </is>
      </c>
      <c r="X51" t="inlineStr">
        <is>
          <t>Default Full Stack / Backend Resume</t>
        </is>
      </c>
      <c r="Y51" t="inlineStr">
        <is>
          <t>2026-09-10</t>
        </is>
      </c>
      <c r="Z51" t="inlineStr">
        <is>
          <t>Matches the degree and graduation year criteria (MCA graduating in 2026).; Matches general backend engineering profile.</t>
        </is>
      </c>
      <c r="AA51" t="inlineStr">
        <is>
          <t>Eligible</t>
        </is>
      </c>
      <c r="AB51" t="inlineStr">
        <is>
          <t>Currently pursuing a Master's degree in Computer Science/Engineering (MCA), scheduled to complete in 2026.</t>
        </is>
      </c>
      <c r="AC51" t="inlineStr">
        <is>
          <t>Unknown</t>
        </is>
      </c>
      <c r="AD51" t="inlineStr">
        <is>
          <t>Not specified in JD</t>
        </is>
      </c>
      <c r="AE51" t="inlineStr">
        <is>
          <t>UNKNOWN</t>
        </is>
      </c>
      <c r="AF51" t="n">
        <v>0</v>
      </c>
      <c r="AG51" t="inlineStr">
        <is>
          <t>No</t>
        </is>
      </c>
      <c r="AH51" t="inlineStr">
        <is>
          <t>Unknown</t>
        </is>
      </c>
      <c r="AI51" t="inlineStr">
        <is>
          <t>Not mentioned in the provided snippet.</t>
        </is>
      </c>
      <c r="AK51" t="inlineStr">
        <is>
          <t>Incomplete job description snippet mentioning Go development.</t>
        </is>
      </c>
      <c r="AL51" t="inlineStr">
        <is>
          <t>Backend fundamentals; Go or willingness to learn Go; Data structures and algorithms; API design</t>
        </is>
      </c>
    </row>
    <row r="52">
      <c r="A52" t="inlineStr">
        <is>
          <t>RUBRIK-JOB-B-260910-6</t>
        </is>
      </c>
      <c r="B52" t="inlineStr">
        <is>
          <t>Rubrik Job Board</t>
        </is>
      </c>
      <c r="C52" t="inlineStr">
        <is>
          <t>Software Engineer (CPD) - Winter Intern</t>
        </is>
      </c>
      <c r="D52" t="inlineStr">
        <is>
          <t>https://in.jooble.org/desc/4771329012250323697?ckey=software+engineer+intern&amp;rgn=3193&amp;pos=10&amp;elckey=5749610590021549824&amp;p=1&amp;aq=-5789299792193885679&amp;cid=389&amp;jobAge=27&amp;brelb=100&amp;bscr=1368.1357&amp;scr=1368.1357</t>
        </is>
      </c>
      <c r="E52" t="inlineStr">
        <is>
          <t>AI Analyzer</t>
        </is>
      </c>
      <c r="F52" t="inlineStr">
        <is>
          <t>Pune</t>
        </is>
      </c>
      <c r="G52" t="inlineStr">
        <is>
          <t>On-site</t>
        </is>
      </c>
      <c r="I52" t="inlineStr">
        <is>
          <t>Winter Internship</t>
        </is>
      </c>
      <c r="J52" t="inlineStr">
        <is>
          <t>NOT_MENTIONED</t>
        </is>
      </c>
      <c r="M52" t="inlineStr">
        <is>
          <t>&amp;nbsp;...ABOUT THE JOB We are looking for a &lt;b&gt;Software Engineer - Intern &lt;/b&gt;to join our Continuous Product Development (CPD) team in Pune. We believe in giving engineers responsibility, not tasks. Our goal is to motivate and challenge people to do their best work. To do that, we have...&amp;nbsp;</t>
        </is>
      </c>
      <c r="N52" t="n">
        <v>39</v>
      </c>
      <c r="O52" t="n">
        <v>50</v>
      </c>
      <c r="P52" t="n">
        <v>50</v>
      </c>
      <c r="Q52" t="n">
        <v>60</v>
      </c>
      <c r="R52" t="n">
        <v>0</v>
      </c>
      <c r="S52" t="n">
        <v>0</v>
      </c>
      <c r="T52" t="n">
        <v>50</v>
      </c>
      <c r="U52" t="inlineStr">
        <is>
          <t>SKIP</t>
        </is>
      </c>
      <c r="V52" t="inlineStr">
        <is>
          <t>SKIP</t>
        </is>
      </c>
      <c r="X52" t="inlineStr">
        <is>
          <t>Default Software Engineering Resume</t>
        </is>
      </c>
      <c r="Y52" t="inlineStr">
        <is>
          <t>2026-09-10</t>
        </is>
      </c>
      <c r="Z52" t="inlineStr">
        <is>
          <t>Reputable company brand (Rubrik)</t>
        </is>
      </c>
      <c r="AA52" t="inlineStr">
        <is>
          <t>ELIGIBLE</t>
        </is>
      </c>
      <c r="AC52" t="inlineStr">
        <is>
          <t>UNKNOWN</t>
        </is>
      </c>
      <c r="AD52" t="inlineStr">
        <is>
          <t>Not specified in candidate profile or job description</t>
        </is>
      </c>
      <c r="AE52" t="inlineStr">
        <is>
          <t>UNKNOWN</t>
        </is>
      </c>
      <c r="AF52" t="n">
        <v>0</v>
      </c>
      <c r="AG52" t="inlineStr">
        <is>
          <t>No</t>
        </is>
      </c>
      <c r="AH52" t="inlineStr">
        <is>
          <t>NOT_MENTIONED</t>
        </is>
      </c>
      <c r="AK52" t="inlineStr">
        <is>
          <t>Location mismatch (Job is in Pune, candidate target location unspecified)</t>
        </is>
      </c>
      <c r="AL52" t="inlineStr">
        <is>
          <t>General Software Engineering principles; Problem solving and coding; Internship project discussions</t>
        </is>
      </c>
    </row>
    <row r="53">
      <c r="A53" t="inlineStr">
        <is>
          <t>CODINGAL-260910-7</t>
        </is>
      </c>
      <c r="B53" t="inlineStr">
        <is>
          <t>Codingal</t>
        </is>
      </c>
      <c r="C53" t="inlineStr">
        <is>
          <t>Software Engineer Intern (Fullstack)</t>
        </is>
      </c>
      <c r="D53" t="inlineStr">
        <is>
          <t>https://in.jooble.org/desc/3561679318189260784?ckey=software+engineer+intern&amp;rgn=3193&amp;pos=11&amp;elckey=5749610590021549824&amp;p=1&amp;aq=-5789299792193885679&amp;cid=389&amp;jobAge=61&amp;brelb=10&amp;bscr=1308.522&amp;scr=1308.522</t>
        </is>
      </c>
      <c r="E53" t="inlineStr">
        <is>
          <t>AI Analyzer</t>
        </is>
      </c>
      <c r="F53" t="inlineStr">
        <is>
          <t>Bangalore</t>
        </is>
      </c>
      <c r="G53" t="inlineStr">
        <is>
          <t>UNKNOWN</t>
        </is>
      </c>
      <c r="H53" t="inlineStr">
        <is>
          <t>Not specified</t>
        </is>
      </c>
      <c r="I53" t="inlineStr">
        <is>
          <t>UNKNOWN</t>
        </is>
      </c>
      <c r="J53" t="inlineStr">
        <is>
          <t>Not Mentioned</t>
        </is>
      </c>
      <c r="K53" t="inlineStr">
        <is>
          <t>Python; Django; React</t>
        </is>
      </c>
      <c r="M53" t="inlineStr">
        <is>
          <t>&amp;nbsp;...prepare them to become future-ready creators - entrepreneurs, &lt;b&gt;engineers,&lt;/b&gt; and scientists. With a curriculum accredited by STEM.org...&amp;nbsp;&amp;nbsp;...for coding and AI education. We are seeking a &lt;b&gt;Software &lt;/b&gt;Engineering &lt;b&gt;Intern &lt;/b&gt;(Fullstack - Python, Django, React) to join the passionate...&amp;nbsp;</t>
        </is>
      </c>
      <c r="N53" t="n">
        <v>57</v>
      </c>
      <c r="O53" t="n">
        <v>20</v>
      </c>
      <c r="P53" t="n">
        <v>15</v>
      </c>
      <c r="Q53" t="n">
        <v>12</v>
      </c>
      <c r="R53" t="n">
        <v>5</v>
      </c>
      <c r="S53" t="n">
        <v>0</v>
      </c>
      <c r="T53" t="n">
        <v>5</v>
      </c>
      <c r="U53" t="inlineStr">
        <is>
          <t>SKIP</t>
        </is>
      </c>
      <c r="V53" t="inlineStr">
        <is>
          <t>SKIP</t>
        </is>
      </c>
      <c r="W53" t="inlineStr">
        <is>
          <t>Django</t>
        </is>
      </c>
      <c r="X53" t="inlineStr">
        <is>
          <t>Default Full Stack Resume</t>
        </is>
      </c>
      <c r="Y53" t="inlineStr">
        <is>
          <t>2026-09-10</t>
        </is>
      </c>
      <c r="Z53" t="inlineStr">
        <is>
          <t>Matches target Software Engineering internship role in Bangalore; Uses React which is in candidate tech stack</t>
        </is>
      </c>
      <c r="AA53" t="inlineStr">
        <is>
          <t>Eligible</t>
        </is>
      </c>
      <c r="AB53" t="inlineStr">
        <is>
          <t>No explicit degree or graduation-year blockers mentioned in the short snippet</t>
        </is>
      </c>
      <c r="AC53" t="inlineStr">
        <is>
          <t>UNKNOWN</t>
        </is>
      </c>
      <c r="AD53" t="inlineStr">
        <is>
          <t>Not specified in candidate profile</t>
        </is>
      </c>
      <c r="AE53" t="inlineStr">
        <is>
          <t>UNKNOWN</t>
        </is>
      </c>
      <c r="AF53" t="n">
        <v>0</v>
      </c>
      <c r="AG53" t="inlineStr">
        <is>
          <t>No</t>
        </is>
      </c>
      <c r="AH53" t="inlineStr">
        <is>
          <t>Not Mentioned</t>
        </is>
      </c>
      <c r="AI53" t="inlineStr">
        <is>
          <t>No mention of PPO or conversion in the snippet</t>
        </is>
      </c>
      <c r="AK53" t="inlineStr">
        <is>
          <t>Stipend not disclosed; PPO not mentioned</t>
        </is>
      </c>
      <c r="AL53" t="inlineStr">
        <is>
          <t>Python and Django fundamentals; React.js state management and component lifecycle; Building REST APIs with Django and integrating with React</t>
        </is>
      </c>
    </row>
    <row r="54">
      <c r="A54" t="inlineStr">
        <is>
          <t>IONIC-(UNDER-260910-8</t>
        </is>
      </c>
      <c r="B54" t="inlineStr">
        <is>
          <t>IONIC (Under Rebranding)</t>
        </is>
      </c>
      <c r="C54" t="inlineStr">
        <is>
          <t>Full Stack Engineer / Tech Intern</t>
        </is>
      </c>
      <c r="D54" t="inlineStr">
        <is>
          <t>https://in.jooble.org/away/6509585558078273655?p=1&amp;pos=12&amp;rgn=3193&amp;cid=389&amp;ckey=software+engineer+intern&amp;jobAge=35&amp;brelb=10&amp;scr=1290.3198&amp;bscr=1290.3198&amp;aq=-5789299792193885679&amp;elckey=5749610590021549824</t>
        </is>
      </c>
      <c r="E54" t="inlineStr">
        <is>
          <t>AI Analyzer</t>
        </is>
      </c>
      <c r="F54" t="inlineStr">
        <is>
          <t>Bangalore / Gurgaon</t>
        </is>
      </c>
      <c r="G54" t="inlineStr">
        <is>
          <t>On-site</t>
        </is>
      </c>
      <c r="H54" t="inlineStr">
        <is>
          <t>INR 25K to 50K</t>
        </is>
      </c>
      <c r="I54" t="inlineStr">
        <is>
          <t>Unknown</t>
        </is>
      </c>
      <c r="J54" t="inlineStr">
        <is>
          <t>Not Mentioned</t>
        </is>
      </c>
      <c r="K54" t="inlineStr">
        <is>
          <t>Full Stack Development; Software Engineering; Coding; Debugging; Troubleshooting</t>
        </is>
      </c>
      <c r="L54" t="inlineStr">
        <is>
          <t>JavaScript; Node.js; React.js</t>
        </is>
      </c>
      <c r="M54" t="inlineStr">
        <is>
          <t>&amp;nbsp;...We're Hiring: SDE1 and Tech &lt;b&gt;Intern &lt;/b&gt;(Paid - INR 25K to 50K) Location: Gurgaon, Bangalore...&amp;nbsp;&amp;nbsp;...internship on-site role for a Full Stack &lt;b&gt;Engineer.&lt;/b&gt; The Full Stack Engineer will be responsible...&amp;nbsp;&amp;nbsp;...code, troubleshooting and debugging &lt;b&gt;software,&lt;/b&gt; collaborating with cross-functional...&amp;nbsp;</t>
        </is>
      </c>
      <c r="N54" t="n">
        <v>85</v>
      </c>
      <c r="O54" t="n">
        <v>27</v>
      </c>
      <c r="P54" t="n">
        <v>18</v>
      </c>
      <c r="Q54" t="n">
        <v>14</v>
      </c>
      <c r="R54" t="n">
        <v>8</v>
      </c>
      <c r="S54" t="n">
        <v>10</v>
      </c>
      <c r="T54" t="n">
        <v>8</v>
      </c>
      <c r="U54" t="inlineStr">
        <is>
          <t>APPLY</t>
        </is>
      </c>
      <c r="V54" t="inlineStr">
        <is>
          <t>APPLY</t>
        </is>
      </c>
      <c r="X54" t="inlineStr">
        <is>
          <t>Amaanuddin_Ahmed_Full_Stack_Resume.pdf</t>
        </is>
      </c>
      <c r="Y54" t="inlineStr">
        <is>
          <t>2026-09-10</t>
        </is>
      </c>
      <c r="Z54" t="inlineStr">
        <is>
          <t>Stipend range of 25K to 50K INR meets the minimum target; On-site Bangalore location is a direct match; Strong technical alignment with Full Stack MERN development projects like StaySphere and Contexa</t>
        </is>
      </c>
      <c r="AA54" t="inlineStr">
        <is>
          <t>Eligible</t>
        </is>
      </c>
      <c r="AB54" t="inlineStr">
        <is>
          <t>Meets minimum stipend target; Bangalore location matches preference; Full stack role aligns with MCA background</t>
        </is>
      </c>
      <c r="AC54" t="inlineStr">
        <is>
          <t>Unknown</t>
        </is>
      </c>
      <c r="AD54" t="inlineStr">
        <is>
          <t>Availability not specified in the candidate profile or JD</t>
        </is>
      </c>
      <c r="AE54" t="inlineStr">
        <is>
          <t>Disclosed</t>
        </is>
      </c>
      <c r="AF54" t="n">
        <v>25000</v>
      </c>
      <c r="AG54" t="inlineStr">
        <is>
          <t>No</t>
        </is>
      </c>
      <c r="AH54" t="inlineStr">
        <is>
          <t>Not Mentioned</t>
        </is>
      </c>
      <c r="AI54" t="inlineStr">
        <is>
          <t>No explicit mention of PPO or conversion in the short JD snippet</t>
        </is>
      </c>
      <c r="AK54" t="inlineStr">
        <is>
          <t>Company is under rebranding, limited details provided in snippet</t>
        </is>
      </c>
      <c r="AL54" t="inlineStr">
        <is>
          <t>MERN stack architecture and REST APIs; Debugging and troubleshooting methodologies; State management in React; Asynchronous programming in Node.js</t>
        </is>
      </c>
      <c r="AM54" t="inlineStr">
        <is>
          <t>E:\InternshipHunter\applications\jooble-ed55556853c0</t>
        </is>
      </c>
      <c r="AN54" t="inlineStr">
        <is>
          <t>Ready for Review</t>
        </is>
      </c>
      <c r="AO54" t="inlineStr">
        <is>
          <t>Generated</t>
        </is>
      </c>
      <c r="AP54" t="inlineStr">
        <is>
          <t>Generated</t>
        </is>
      </c>
      <c r="AQ54" t="inlineStr">
        <is>
          <t>Generated</t>
        </is>
      </c>
      <c r="AR54" t="inlineStr">
        <is>
          <t>Ready to Apply</t>
        </is>
      </c>
    </row>
    <row r="55">
      <c r="A55" t="inlineStr">
        <is>
          <t>JOBRAPIDO-260910-9</t>
        </is>
      </c>
      <c r="B55" t="inlineStr">
        <is>
          <t>Jobrapido</t>
        </is>
      </c>
      <c r="C55" t="inlineStr">
        <is>
          <t>Software Engineer Intern (Django + ReactJS)</t>
        </is>
      </c>
      <c r="D55" t="inlineStr">
        <is>
          <t>https://in.jooble.org/away/6219055865942863074?p=1&amp;pos=16&amp;rgn=3193&amp;cid=389&amp;ckey=software+engineer+intern&amp;jobAge=37&amp;brelb=10&amp;scr=1241.2379&amp;bscr=1241.2379&amp;aq=-5789299792193885679&amp;elckey=5749610590021549824</t>
        </is>
      </c>
      <c r="E55" t="inlineStr">
        <is>
          <t>AI Analyzer</t>
        </is>
      </c>
      <c r="F55" t="inlineStr">
        <is>
          <t>Bangalore</t>
        </is>
      </c>
      <c r="G55" t="inlineStr">
        <is>
          <t>Unknown</t>
        </is>
      </c>
      <c r="H55" t="inlineStr">
        <is>
          <t>Not mentioned</t>
        </is>
      </c>
      <c r="I55" t="inlineStr">
        <is>
          <t>Unknown</t>
        </is>
      </c>
      <c r="J55" t="inlineStr">
        <is>
          <t>Unknown</t>
        </is>
      </c>
      <c r="K55" t="inlineStr">
        <is>
          <t>Programming languages; Front end development</t>
        </is>
      </c>
      <c r="L55" t="inlineStr">
        <is>
          <t>Django; ReactJS</t>
        </is>
      </c>
      <c r="M55" t="inlineStr">
        <is>
          <t>&amp;nbsp;...them increase their sales on Amazon. We are looking for a tech &lt;b&gt;intern &lt;/b&gt;to help us develop our product. Tech Stack: Programming languages...&amp;nbsp;&amp;nbsp;...: Currently enrolled in a Bachelor's degree program in &lt;b&gt;Engineering &lt;/b&gt;or Computer Sciences. Proficiency with fundamental front end...&amp;nbsp;</t>
        </is>
      </c>
      <c r="N55" t="n">
        <v>35</v>
      </c>
      <c r="O55" t="n">
        <v>40</v>
      </c>
      <c r="P55" t="n">
        <v>50</v>
      </c>
      <c r="Q55" t="n">
        <v>50</v>
      </c>
      <c r="R55" t="n">
        <v>0</v>
      </c>
      <c r="S55" t="n">
        <v>0</v>
      </c>
      <c r="T55" t="n">
        <v>40</v>
      </c>
      <c r="U55" t="inlineStr">
        <is>
          <t>SKIP</t>
        </is>
      </c>
      <c r="V55" t="inlineStr">
        <is>
          <t>SKIP</t>
        </is>
      </c>
      <c r="W55" t="inlineStr">
        <is>
          <t>Django</t>
        </is>
      </c>
      <c r="X55" t="inlineStr">
        <is>
          <t>Default Full Stack Resume</t>
        </is>
      </c>
      <c r="Y55" t="inlineStr">
        <is>
          <t>2026-09-10</t>
        </is>
      </c>
      <c r="AA55" t="inlineStr">
        <is>
          <t>Ineligible</t>
        </is>
      </c>
      <c r="AB55" t="inlineStr">
        <is>
          <t>Candidate is enrolled in an MCA program, but the job description explicitly requires enrollment in a Bachelor's degree program in Engineering or Computer Sciences.</t>
        </is>
      </c>
      <c r="AC55" t="inlineStr">
        <is>
          <t>Unknown</t>
        </is>
      </c>
      <c r="AD55" t="inlineStr">
        <is>
          <t>Not specified in candidate profile or job description</t>
        </is>
      </c>
      <c r="AE55" t="inlineStr">
        <is>
          <t>Unknown</t>
        </is>
      </c>
      <c r="AF55" t="n">
        <v>0</v>
      </c>
      <c r="AG55" t="inlineStr">
        <is>
          <t>No</t>
        </is>
      </c>
      <c r="AH55" t="inlineStr">
        <is>
          <t>Unknown</t>
        </is>
      </c>
      <c r="AI55" t="inlineStr">
        <is>
          <t>No mention of PPO or conversion in the job description.</t>
        </is>
      </c>
      <c r="AJ55" t="inlineStr">
        <is>
          <t>Requires enrollment in a Bachelor's degree program in Engineering or Computer Sciences, whereas the candidate is pursuing an MCA.</t>
        </is>
      </c>
      <c r="AK55" t="inlineStr">
        <is>
          <t>Degree level mismatch (Bachelor's required vs MCA candidate)</t>
        </is>
      </c>
      <c r="AL55" t="inlineStr">
        <is>
          <t>Frontend fundamentals; JavaScript and React; Web development basics</t>
        </is>
      </c>
    </row>
    <row r="56">
      <c r="A56" t="inlineStr">
        <is>
          <t>REPOWISE-260910-10</t>
        </is>
      </c>
      <c r="B56" t="inlineStr">
        <is>
          <t>Repowise</t>
        </is>
      </c>
      <c r="C56" t="inlineStr">
        <is>
          <t>SDE Intern (Founding Team)</t>
        </is>
      </c>
      <c r="D56" t="inlineStr">
        <is>
          <t>https://in.jooble.org/away/8042308166668747854?p=1&amp;pos=18&amp;rgn=3193&amp;cid=389&amp;ckey=software+engineer+intern&amp;jobAge=35&amp;brelb=10&amp;scr=1233.1316&amp;bscr=1233.1316&amp;aq=-5789299792193885679&amp;elckey=5749610590021549824</t>
        </is>
      </c>
      <c r="E56" t="inlineStr">
        <is>
          <t>AI Analyzer</t>
        </is>
      </c>
      <c r="F56" t="inlineStr">
        <is>
          <t>Bangalore</t>
        </is>
      </c>
      <c r="G56" t="inlineStr">
        <is>
          <t>Remote</t>
        </is>
      </c>
      <c r="I56" t="inlineStr">
        <is>
          <t>UNKNOWN</t>
        </is>
      </c>
      <c r="J56" t="inlineStr">
        <is>
          <t>UNKNOWN</t>
        </is>
      </c>
      <c r="K56" t="inlineStr">
        <is>
          <t>Python; FastAPI; tree-sitter; vector search; Docker; MCP; LLM integrations</t>
        </is>
      </c>
      <c r="L56" t="inlineStr">
        <is>
          <t>git internals</t>
        </is>
      </c>
      <c r="M56" t="inlineStr">
        <is>
          <t>&amp;nbsp;...Build and ship production-grade features across the indexing &lt;b&gt;engine &lt;/b&gt;and AI-agent tooling Work on core platform systems: code parsing...&amp;nbsp;&amp;nbsp;...Stack (Exposure You'll Get) Python, FastAPI, tree-sitter, git &lt;b&gt;internals,&lt;/b&gt; vector search, Docker, MCP, and LLM integrations, applied to static...&amp;nbsp;</t>
        </is>
      </c>
      <c r="N56" t="n">
        <v>52</v>
      </c>
      <c r="O56" t="n">
        <v>40</v>
      </c>
      <c r="P56" t="n">
        <v>70</v>
      </c>
      <c r="Q56" t="n">
        <v>80</v>
      </c>
      <c r="R56" t="n">
        <v>50</v>
      </c>
      <c r="S56" t="n">
        <v>0</v>
      </c>
      <c r="T56" t="n">
        <v>60</v>
      </c>
      <c r="U56" t="inlineStr">
        <is>
          <t>SKIP</t>
        </is>
      </c>
      <c r="V56" t="inlineStr">
        <is>
          <t>SKIP</t>
        </is>
      </c>
      <c r="W56" t="inlineStr">
        <is>
          <t>FastAPI; tree-sitter; vector search; Docker; MCP; LLM integrations</t>
        </is>
      </c>
      <c r="X56" t="inlineStr">
        <is>
          <t>Default Full Stack / Backend Resume</t>
        </is>
      </c>
      <c r="Y56" t="inlineStr">
        <is>
          <t>2026-09-10</t>
        </is>
      </c>
      <c r="Z56" t="inlineStr">
        <is>
          <t>Exciting AI x Developer Tools domain; Founding team intern role offering high learning curve</t>
        </is>
      </c>
      <c r="AA56" t="inlineStr">
        <is>
          <t>ELIGIBLE</t>
        </is>
      </c>
      <c r="AB56" t="inlineStr">
        <is>
          <t>No explicit degree or hard graduation year blockers found in the snippet</t>
        </is>
      </c>
      <c r="AC56" t="inlineStr">
        <is>
          <t>UNKNOWN</t>
        </is>
      </c>
      <c r="AD56" t="inlineStr">
        <is>
          <t>Not specified in candidate profile or job description</t>
        </is>
      </c>
      <c r="AE56" t="inlineStr">
        <is>
          <t>UNKNOWN</t>
        </is>
      </c>
      <c r="AF56" t="n">
        <v>0</v>
      </c>
      <c r="AG56" t="inlineStr">
        <is>
          <t>No</t>
        </is>
      </c>
      <c r="AH56" t="inlineStr">
        <is>
          <t>UNKNOWN</t>
        </is>
      </c>
      <c r="AI56" t="inlineStr">
        <is>
          <t>Not mentioned in the provided snippet</t>
        </is>
      </c>
      <c r="AK56" t="inlineStr">
        <is>
          <t>Incomplete job description snippet; Stipend is completely missing</t>
        </is>
      </c>
      <c r="AL56" t="inlineStr">
        <is>
          <t>Python and FastAPI fundamentals; LLM integrations and vector search; Docker and containerization; Code parsing and indexing engines</t>
        </is>
      </c>
    </row>
    <row r="57">
      <c r="A57" t="inlineStr">
        <is>
          <t>COINBASE-IND-260910-11</t>
        </is>
      </c>
      <c r="B57" t="inlineStr">
        <is>
          <t>Coinbase India Services</t>
        </is>
      </c>
      <c r="C57" t="inlineStr">
        <is>
          <t>Software Engineer Intern</t>
        </is>
      </c>
      <c r="D57" t="inlineStr">
        <is>
          <t>https://in.jooble.org/desc/1797195671655267307?ckey=software+engineer+intern&amp;rgn=158289&amp;pos=1&amp;elckey=-589253467805491739&amp;p=1&amp;aq=5487403520884986870&amp;cid=389&amp;jobAge=1381&amp;brelb=10&amp;bscr=1101.489&amp;scr=1101.489</t>
        </is>
      </c>
      <c r="E57" t="inlineStr">
        <is>
          <t>AI Analyzer</t>
        </is>
      </c>
      <c r="F57" t="inlineStr">
        <is>
          <t>India</t>
        </is>
      </c>
      <c r="G57" t="inlineStr">
        <is>
          <t>work from home</t>
        </is>
      </c>
      <c r="H57" t="inlineStr">
        <is>
          <t>Rs 2.5 - 5 lakhs p.a.</t>
        </is>
      </c>
      <c r="I57" t="inlineStr">
        <is>
          <t>UNKNOWN</t>
        </is>
      </c>
      <c r="J57" t="inlineStr">
        <is>
          <t>UNKNOWN</t>
        </is>
      </c>
      <c r="K57" t="inlineStr">
        <is>
          <t>Software Engineering; Problem Solving</t>
        </is>
      </c>
      <c r="L57" t="inlineStr">
        <is>
          <t>Crypto-forward products; Web technologies</t>
        </is>
      </c>
      <c r="M57" t="inlineStr">
        <is>
          <t>&amp;nbsp;...Job Description: ~ Coinbase is seeking &lt;b&gt;software engineer interns &lt;/b&gt;to join our team to build out the next generation of crypto-forward products and features. ~ You will solve unique, large scale, highly complex technical problems, bridging the constraints posed by web...&amp;nbsp;</t>
        </is>
      </c>
      <c r="N57" t="n">
        <v>75</v>
      </c>
      <c r="O57" t="n">
        <v>22</v>
      </c>
      <c r="P57" t="n">
        <v>15</v>
      </c>
      <c r="Q57" t="n">
        <v>12</v>
      </c>
      <c r="R57" t="n">
        <v>8</v>
      </c>
      <c r="S57" t="n">
        <v>10</v>
      </c>
      <c r="T57" t="n">
        <v>8</v>
      </c>
      <c r="U57" t="inlineStr">
        <is>
          <t>CONSIDER</t>
        </is>
      </c>
      <c r="V57" t="inlineStr">
        <is>
          <t>CONSIDER</t>
        </is>
      </c>
      <c r="X57" t="inlineStr">
        <is>
          <t>Amaanuddin_Ahmed_Software_Engineer_Resume.pdf</t>
        </is>
      </c>
      <c r="Y57" t="inlineStr">
        <is>
          <t>2026-09-10</t>
        </is>
      </c>
      <c r="Z57" t="inlineStr">
        <is>
          <t>Stipend exceeds minimum target of Rs 25,000/month.; Matches target role of Software Engineering.; Coinbase is a high-opportunity tech company.</t>
        </is>
      </c>
      <c r="AA57" t="inlineStr">
        <is>
          <t>ELIGIBLE</t>
        </is>
      </c>
      <c r="AB57" t="inlineStr">
        <is>
          <t>Candidate is pursuing an MCA and fits standard software engineering intern criteria.</t>
        </is>
      </c>
      <c r="AC57" t="inlineStr">
        <is>
          <t>UNKNOWN</t>
        </is>
      </c>
      <c r="AD57" t="inlineStr">
        <is>
          <t>Availability dates are not specified in the job description or career brain.</t>
        </is>
      </c>
      <c r="AE57" t="inlineStr">
        <is>
          <t>DISCLOSED</t>
        </is>
      </c>
      <c r="AF57" t="n">
        <v>250000</v>
      </c>
      <c r="AG57" t="inlineStr">
        <is>
          <t>No</t>
        </is>
      </c>
      <c r="AH57" t="inlineStr">
        <is>
          <t>UNKNOWN</t>
        </is>
      </c>
      <c r="AI57" t="inlineStr">
        <is>
          <t>No explicit mention of PPO or conversion in the provided job snippet.</t>
        </is>
      </c>
      <c r="AK57" t="inlineStr">
        <is>
          <t>Sparse job description snippet</t>
        </is>
      </c>
      <c r="AL57" t="inlineStr">
        <is>
          <t>Data Structures and Algorithms; System Design for Large Scale Systems; Web Technologies and APIs; Problem Solving</t>
        </is>
      </c>
    </row>
    <row r="58">
      <c r="A58" t="inlineStr">
        <is>
          <t>UNKNOWN-260910-12</t>
        </is>
      </c>
      <c r="B58" t="inlineStr">
        <is>
          <t>Unknown</t>
        </is>
      </c>
      <c r="C58" t="inlineStr">
        <is>
          <t>AI Engineer Internship</t>
        </is>
      </c>
      <c r="D58" t="inlineStr">
        <is>
          <t>https://in.jooble.org/desc/412261402595740673?ckey=software+engineer+intern&amp;rgn=158289&amp;pos=2&amp;elckey=-589253467805491739&amp;p=1&amp;aq=5487403520884986870&amp;cid=389&amp;jobAge=7&amp;brelb=100&amp;bscr=268.75974&amp;scr=268.75974</t>
        </is>
      </c>
      <c r="E58" t="inlineStr">
        <is>
          <t>AI Analyzer</t>
        </is>
      </c>
      <c r="F58" t="inlineStr">
        <is>
          <t>Remote</t>
        </is>
      </c>
      <c r="G58" t="inlineStr">
        <is>
          <t>Work from home</t>
        </is>
      </c>
      <c r="H58" t="inlineStr">
        <is>
          <t>Not specified</t>
        </is>
      </c>
      <c r="I58" t="inlineStr">
        <is>
          <t>Unknown</t>
        </is>
      </c>
      <c r="J58" t="inlineStr">
        <is>
          <t>UNKNOWN</t>
        </is>
      </c>
      <c r="K58" t="inlineStr">
        <is>
          <t>MongoDB; Git/GitHub; Software Development Practices</t>
        </is>
      </c>
      <c r="L58" t="inlineStr">
        <is>
          <t>AI; Problem-solving</t>
        </is>
      </c>
      <c r="M58" t="inlineStr">
        <is>
          <t>&amp;nbsp;...Role Overview We are looking for a motivated and curious AI &lt;b&gt;Engineer Intern &lt;/b&gt; to join our technology team and work on real-world AI...&amp;nbsp;&amp;nbsp;...MongoDB, or similar technologies. Knowledge of Git/GitHub and &lt;b&gt;software &lt;/b&gt;development practices. Strong problem-solving and analytical...&amp;nbsp;</t>
        </is>
      </c>
      <c r="N58" t="n">
        <v>70</v>
      </c>
      <c r="O58" t="n">
        <v>20</v>
      </c>
      <c r="P58" t="n">
        <v>20</v>
      </c>
      <c r="Q58" t="n">
        <v>15</v>
      </c>
      <c r="R58" t="n">
        <v>5</v>
      </c>
      <c r="S58" t="n">
        <v>5</v>
      </c>
      <c r="T58" t="n">
        <v>5</v>
      </c>
      <c r="U58" t="inlineStr">
        <is>
          <t>CONSIDER</t>
        </is>
      </c>
      <c r="V58" t="inlineStr">
        <is>
          <t>CONSIDER</t>
        </is>
      </c>
      <c r="W58" t="inlineStr">
        <is>
          <t>Dedicated AI Engineering frameworks/tools</t>
        </is>
      </c>
      <c r="X58" t="inlineStr">
        <is>
          <t>Amaan_Ahmed_Fullstack_Resume.pdf</t>
        </is>
      </c>
      <c r="Y58" t="inlineStr">
        <is>
          <t>2026-09-10</t>
        </is>
      </c>
      <c r="Z58" t="inlineStr">
        <is>
          <t>Aligns with software engineering and AI-adjacent interests; Remote work mode fits flexibility preferences; Matches core tech stack requirements like MongoDB and Git</t>
        </is>
      </c>
      <c r="AA58" t="inlineStr">
        <is>
          <t>Eligible</t>
        </is>
      </c>
      <c r="AB58" t="inlineStr">
        <is>
          <t>Candidate is an MCA student meeting tech background requirements.</t>
        </is>
      </c>
      <c r="AC58" t="inlineStr">
        <is>
          <t>UNKNOWN</t>
        </is>
      </c>
      <c r="AD58" t="inlineStr">
        <is>
          <t>Not specified in candidate profile</t>
        </is>
      </c>
      <c r="AE58" t="inlineStr">
        <is>
          <t>UNKNOWN</t>
        </is>
      </c>
      <c r="AF58" t="n">
        <v>0</v>
      </c>
      <c r="AG58" t="inlineStr">
        <is>
          <t>No</t>
        </is>
      </c>
      <c r="AH58" t="inlineStr">
        <is>
          <t>UNKNOWN</t>
        </is>
      </c>
      <c r="AI58" t="inlineStr">
        <is>
          <t>No mention of PPO or conversion in the job description.</t>
        </is>
      </c>
      <c r="AK58" t="inlineStr">
        <is>
          <t>Missing company name and stipend details</t>
        </is>
      </c>
      <c r="AL58" t="inlineStr">
        <is>
          <t>MongoDB database design and queries; Git version control workflows; Basic AI concepts and interest; Software development life cycle practices</t>
        </is>
      </c>
    </row>
    <row r="59">
      <c r="A59" t="inlineStr">
        <is>
          <t>BOATIGO-260910-13</t>
        </is>
      </c>
      <c r="B59" t="inlineStr">
        <is>
          <t>Boatigo</t>
        </is>
      </c>
      <c r="C59" t="inlineStr">
        <is>
          <t>AI Backend Engineer Intern</t>
        </is>
      </c>
      <c r="D59" t="inlineStr">
        <is>
          <t>https://in.jooble.org/desc/-4568808634222375591?ckey=software+engineer+intern&amp;rgn=158289&amp;pos=3&amp;elckey=-589253467805491739&amp;p=1&amp;aq=5487403520884986870&amp;cid=389&amp;jobAge=7&amp;brelb=100&amp;bscr=239.58437&amp;scr=239.58437</t>
        </is>
      </c>
      <c r="E59" t="inlineStr">
        <is>
          <t>AI Analyzer</t>
        </is>
      </c>
      <c r="F59" t="inlineStr">
        <is>
          <t>Remote</t>
        </is>
      </c>
      <c r="G59" t="inlineStr">
        <is>
          <t>Remote</t>
        </is>
      </c>
      <c r="H59" t="inlineStr">
        <is>
          <t>Not specified</t>
        </is>
      </c>
      <c r="I59" t="inlineStr">
        <is>
          <t>UNKNOWN</t>
        </is>
      </c>
      <c r="J59" t="inlineStr">
        <is>
          <t>UNKNOWN</t>
        </is>
      </c>
      <c r="K59" t="inlineStr">
        <is>
          <t>Backend Development; AI Backend Infrastructure</t>
        </is>
      </c>
      <c r="L59" t="inlineStr">
        <is>
          <t>Python; Node.js; REST APIs</t>
        </is>
      </c>
      <c r="M59" t="inlineStr">
        <is>
          <t>&amp;nbsp;...personalization, automation, customer support, and marketplace operations. Role Overview We are looking for a motivated AI Backend &lt;b&gt;Engineer Intern &lt;/b&gt; to help build the backend infrastructure that powers Boatigo's AI features. You will work at the intersection of backend...&amp;nbsp;</t>
        </is>
      </c>
      <c r="N59" t="n">
        <v>65</v>
      </c>
      <c r="O59" t="n">
        <v>22</v>
      </c>
      <c r="P59" t="n">
        <v>15</v>
      </c>
      <c r="Q59" t="n">
        <v>12</v>
      </c>
      <c r="R59" t="n">
        <v>5</v>
      </c>
      <c r="S59" t="n">
        <v>5</v>
      </c>
      <c r="T59" t="n">
        <v>6</v>
      </c>
      <c r="U59" t="inlineStr">
        <is>
          <t>STRETCH</t>
        </is>
      </c>
      <c r="V59" t="inlineStr">
        <is>
          <t>STRETCH</t>
        </is>
      </c>
      <c r="X59" t="inlineStr">
        <is>
          <t>Amaanuddin_Ahmed_Backend_Resume.pdf</t>
        </is>
      </c>
      <c r="Y59" t="inlineStr">
        <is>
          <t>2026-09-10</t>
        </is>
      </c>
      <c r="Z59" t="inlineStr">
        <is>
          <t>Aligns well with backend and AI-adjacent software engineering target roles; Remote work mode fits well</t>
        </is>
      </c>
      <c r="AA59" t="inlineStr">
        <is>
          <t>Eligible</t>
        </is>
      </c>
      <c r="AB59" t="inlineStr">
        <is>
          <t>No explicit hard degree or experience blockers mentioned in the short snippet</t>
        </is>
      </c>
      <c r="AC59" t="inlineStr">
        <is>
          <t>UNKNOWN</t>
        </is>
      </c>
      <c r="AD59" t="inlineStr">
        <is>
          <t>Not specified in candidate profile or job description</t>
        </is>
      </c>
      <c r="AE59" t="inlineStr">
        <is>
          <t>UNKNOWN</t>
        </is>
      </c>
      <c r="AF59" t="n">
        <v>0</v>
      </c>
      <c r="AG59" t="inlineStr">
        <is>
          <t>No</t>
        </is>
      </c>
      <c r="AH59" t="inlineStr">
        <is>
          <t>UNKNOWN</t>
        </is>
      </c>
      <c r="AI59" t="inlineStr">
        <is>
          <t>Not mentioned in the job description snippet</t>
        </is>
      </c>
      <c r="AK59" t="inlineStr">
        <is>
          <t>Incomplete job description snippet lacking stipend, duration, and PPO details</t>
        </is>
      </c>
      <c r="AL59" t="inlineStr">
        <is>
          <t>Backend architecture and REST APIs; Integration of AI features with backend infrastructure; Node.js or Python backend frameworks</t>
        </is>
      </c>
    </row>
    <row r="60">
      <c r="A60" t="inlineStr">
        <is>
          <t>JOVEO-260910-14</t>
        </is>
      </c>
      <c r="B60" t="inlineStr">
        <is>
          <t>Joveo</t>
        </is>
      </c>
      <c r="C60" t="inlineStr">
        <is>
          <t>Software Engineering Intern (Full Stack)</t>
        </is>
      </c>
      <c r="D60" t="inlineStr">
        <is>
          <t>https://in.jooble.org/away/-1939946349168902640?p=1&amp;pos=1&amp;rgn=3193&amp;cid=389&amp;ckey=software+development+intern&amp;jobAge=35&amp;brelb=10&amp;scr=3337.2424&amp;bscr=3337.2424&amp;aq=5713289480022363991&amp;elckey=-6253554300614115614</t>
        </is>
      </c>
      <c r="E60" t="inlineStr">
        <is>
          <t>AI Analyzer</t>
        </is>
      </c>
      <c r="F60" t="inlineStr">
        <is>
          <t>Bangalore</t>
        </is>
      </c>
      <c r="G60" t="inlineStr">
        <is>
          <t>Unknown</t>
        </is>
      </c>
      <c r="H60" t="inlineStr">
        <is>
          <t>Competitive stipend</t>
        </is>
      </c>
      <c r="I60" t="inlineStr">
        <is>
          <t>Unknown</t>
        </is>
      </c>
      <c r="J60" t="inlineStr">
        <is>
          <t>Not Mentioned</t>
        </is>
      </c>
      <c r="K60" t="inlineStr">
        <is>
          <t>Full Stack Development; Software Development Lifecycle</t>
        </is>
      </c>
      <c r="M60" t="inlineStr">
        <is>
          <t>&amp;nbsp;...Role : &lt;b&gt;Software &lt;/b&gt;Engineering &lt;b&gt;Intern &lt;/b&gt;(Full Stack) Payout : Competitive stipend Role Overview: We are seeking a Software Engineering Intern...&amp;nbsp;&amp;nbsp;...from your first week. Contribute to the full software &lt;b&gt;development &lt;/b&gt;lifecycle including design, development, testing, and iteration...&amp;nbsp;</t>
        </is>
      </c>
      <c r="N60" t="n">
        <v>76</v>
      </c>
      <c r="O60" t="n">
        <v>25</v>
      </c>
      <c r="P60" t="n">
        <v>20</v>
      </c>
      <c r="Q60" t="n">
        <v>15</v>
      </c>
      <c r="R60" t="n">
        <v>5</v>
      </c>
      <c r="S60" t="n">
        <v>5</v>
      </c>
      <c r="T60" t="n">
        <v>6</v>
      </c>
      <c r="U60" t="inlineStr">
        <is>
          <t>CONSIDER</t>
        </is>
      </c>
      <c r="V60" t="inlineStr">
        <is>
          <t>CONSIDER</t>
        </is>
      </c>
      <c r="X60" t="inlineStr">
        <is>
          <t>Full Stack Development Resume</t>
        </is>
      </c>
      <c r="Y60" t="inlineStr">
        <is>
          <t>2026-09-10</t>
        </is>
      </c>
      <c r="Z60" t="inlineStr">
        <is>
          <t>Matches full-stack software engineering internship profile well; Located in Bangalore; Good technical stack overlap with MERN projects</t>
        </is>
      </c>
      <c r="AA60" t="inlineStr">
        <is>
          <t>Eligible</t>
        </is>
      </c>
      <c r="AB60" t="inlineStr">
        <is>
          <t>No strict hard blockers identified in the snippet</t>
        </is>
      </c>
      <c r="AC60" t="inlineStr">
        <is>
          <t>Unknown</t>
        </is>
      </c>
      <c r="AD60" t="inlineStr">
        <is>
          <t>Not specified in JD</t>
        </is>
      </c>
      <c r="AE60" t="inlineStr">
        <is>
          <t>Competitive</t>
        </is>
      </c>
      <c r="AF60" t="n">
        <v>0</v>
      </c>
      <c r="AG60" t="inlineStr">
        <is>
          <t>No</t>
        </is>
      </c>
      <c r="AH60" t="inlineStr">
        <is>
          <t>Not Mentioned</t>
        </is>
      </c>
      <c r="AI60" t="inlineStr">
        <is>
          <t>No explicit PPO or conversion mention found in the snippet</t>
        </is>
      </c>
      <c r="AK60" t="inlineStr">
        <is>
          <t>Unclear stipend amount ('Competitive'); PPO conversion not mentioned</t>
        </is>
      </c>
      <c r="AL60" t="inlineStr">
        <is>
          <t>Full stack system design; MERN stack architecture; SDLC and deployment workflows</t>
        </is>
      </c>
    </row>
    <row r="61">
      <c r="A61" t="inlineStr">
        <is>
          <t>IONIC-(UNDER-260910-15</t>
        </is>
      </c>
      <c r="B61" t="inlineStr">
        <is>
          <t>IONIC (Under Rebranding)</t>
        </is>
      </c>
      <c r="C61" t="inlineStr">
        <is>
          <t>Full Stack Engineer / Tech Intern</t>
        </is>
      </c>
      <c r="D61" t="inlineStr">
        <is>
          <t>https://in.jooble.org/away/6509585558078273655?p=1&amp;pos=2&amp;rgn=3193&amp;cid=389&amp;ckey=software+development+intern&amp;jobAge=35&amp;brelb=10&amp;scr=2429.823&amp;bscr=2429.823&amp;aq=5713289480022363991&amp;elckey=-6253554300614115614</t>
        </is>
      </c>
      <c r="E61" t="inlineStr">
        <is>
          <t>AI Analyzer</t>
        </is>
      </c>
      <c r="F61" t="inlineStr">
        <is>
          <t>Gurgaon, Bangalore</t>
        </is>
      </c>
      <c r="G61" t="inlineStr">
        <is>
          <t>On-site / Unspecified</t>
        </is>
      </c>
      <c r="H61" t="inlineStr">
        <is>
          <t>INR 25K to 50K</t>
        </is>
      </c>
      <c r="I61" t="inlineStr">
        <is>
          <t>Unspecified</t>
        </is>
      </c>
      <c r="J61" t="inlineStr">
        <is>
          <t>NOT_MENTIONED</t>
        </is>
      </c>
      <c r="K61" t="inlineStr">
        <is>
          <t>Back-End Web Development; Full-Stack Development; AI; ML</t>
        </is>
      </c>
      <c r="M61" t="inlineStr">
        <is>
          <t>&amp;nbsp;...We're Hiring: SDE1 and Tech &lt;b&gt;Intern &lt;/b&gt;(Paid - INR 25K to 50K) Location: Gurgaon, Bangalore...&amp;nbsp;&amp;nbsp;...efficient code, troubleshooting and debugging &lt;b&gt;software,&lt;/b&gt; collaborating with cross-functional...&amp;nbsp;&amp;nbsp;...Proficiency in AL , ML, Back-End Web &lt;b&gt;Development &lt;/b&gt;and Full-Stack Development. Expertise...&amp;nbsp;</t>
        </is>
      </c>
      <c r="N61" t="n">
        <v>71</v>
      </c>
      <c r="O61" t="n">
        <v>22</v>
      </c>
      <c r="P61" t="n">
        <v>16</v>
      </c>
      <c r="Q61" t="n">
        <v>12</v>
      </c>
      <c r="R61" t="n">
        <v>5</v>
      </c>
      <c r="S61" t="n">
        <v>10</v>
      </c>
      <c r="T61" t="n">
        <v>6</v>
      </c>
      <c r="U61" t="inlineStr">
        <is>
          <t>CONSIDER</t>
        </is>
      </c>
      <c r="V61" t="inlineStr">
        <is>
          <t>CONSIDER</t>
        </is>
      </c>
      <c r="W61" t="inlineStr">
        <is>
          <t>Deep Machine Learning / AI specialization</t>
        </is>
      </c>
      <c r="X61" t="inlineStr">
        <is>
          <t>Full Stack &amp; Backend Development Resume</t>
        </is>
      </c>
      <c r="Y61" t="inlineStr">
        <is>
          <t>2026-09-10</t>
        </is>
      </c>
      <c r="Z61" t="inlineStr">
        <is>
          <t>Stipend range (25K to 50K INR) meets the minimum requirement of 25,000/month; Aligns well with target full-stack and backend engineering roles; Location includes Bangalore</t>
        </is>
      </c>
      <c r="AA61" t="inlineStr">
        <is>
          <t>ELIGIBLE</t>
        </is>
      </c>
      <c r="AB61" t="inlineStr">
        <is>
          <t>Meets minimum stipend target; Matches full-stack development and backend role requirements</t>
        </is>
      </c>
      <c r="AC61" t="inlineStr">
        <is>
          <t>UNKNOWN</t>
        </is>
      </c>
      <c r="AD61" t="inlineStr">
        <is>
          <t>Availability constraint is not specified in the job description or career brain.</t>
        </is>
      </c>
      <c r="AE61" t="inlineStr">
        <is>
          <t>EXPLICIT</t>
        </is>
      </c>
      <c r="AF61" t="n">
        <v>25000</v>
      </c>
      <c r="AG61" t="inlineStr">
        <is>
          <t>No</t>
        </is>
      </c>
      <c r="AH61" t="inlineStr">
        <is>
          <t>NOT_MENTIONED</t>
        </is>
      </c>
      <c r="AI61" t="inlineStr">
        <is>
          <t>No explicit PPO or conversion mention found in the job description.</t>
        </is>
      </c>
      <c r="AK61" t="inlineStr">
        <is>
          <t>Company name mentions 'Under Rebranding'; Broad technology requirements including AI/ML and Full-Stack simultaneously</t>
        </is>
      </c>
      <c r="AL61" t="inlineStr">
        <is>
          <t>Full-Stack Web Development Architecture; Backend REST APIs and Database Management; AI/ML application exposure or integration; Debugging and Troubleshooting methodologies</t>
        </is>
      </c>
    </row>
    <row r="62">
      <c r="A62" t="inlineStr">
        <is>
          <t>REPOWISE-260910-16</t>
        </is>
      </c>
      <c r="B62" t="inlineStr">
        <is>
          <t>Repowise</t>
        </is>
      </c>
      <c r="C62" t="inlineStr">
        <is>
          <t>SDE Intern (Founding Team) | AI x Developer Tools</t>
        </is>
      </c>
      <c r="D62" t="inlineStr">
        <is>
          <t>https://in.jooble.org/away/8042308166668747854?p=1&amp;pos=3&amp;rgn=3193&amp;cid=389&amp;ckey=software+development+intern&amp;jobAge=35&amp;brelb=10&amp;scr=2366.9937&amp;bscr=2366.9937&amp;aq=5713289480022363991&amp;elckey=-6253554300614115614</t>
        </is>
      </c>
      <c r="E62" t="inlineStr">
        <is>
          <t>AI Analyzer</t>
        </is>
      </c>
      <c r="F62" t="inlineStr">
        <is>
          <t>Bangalore</t>
        </is>
      </c>
      <c r="G62" t="inlineStr">
        <is>
          <t>Remote</t>
        </is>
      </c>
      <c r="H62" t="inlineStr">
        <is>
          <t>Not specified</t>
        </is>
      </c>
      <c r="I62" t="inlineStr">
        <is>
          <t>UNKNOWN</t>
        </is>
      </c>
      <c r="J62" t="inlineStr">
        <is>
          <t>NOT_MENTIONED</t>
        </is>
      </c>
      <c r="K62" t="inlineStr">
        <is>
          <t>Python; FastAPI; backend development; problem-solving; debugging</t>
        </is>
      </c>
      <c r="L62" t="inlineStr">
        <is>
          <t>tree-sitter; git internals; vector search; Docker; MCP; LLM integrations; C++; Go; Rust</t>
        </is>
      </c>
      <c r="M62" t="inlineStr">
        <is>
          <t>&amp;nbsp;...Stack (Exposure You'll Get) Python, FastAPI, tree-sitter, git &lt;b&gt;internals,&lt;/b&gt; vector search, Docker, MCP, and LLM integrations, applied to...&amp;nbsp;&amp;nbsp;...preferred; C++, Go, or Rust a plus) Hands-on experience with backend &lt;b&gt;development &lt;/b&gt;or systems-style projects Good problem-solving and debugging...&amp;nbsp;</t>
        </is>
      </c>
      <c r="N62" t="n">
        <v>60</v>
      </c>
      <c r="O62" t="n">
        <v>60</v>
      </c>
      <c r="P62" t="n">
        <v>70</v>
      </c>
      <c r="Q62" t="n">
        <v>80</v>
      </c>
      <c r="R62" t="n">
        <v>40</v>
      </c>
      <c r="S62" t="n">
        <v>20</v>
      </c>
      <c r="T62" t="n">
        <v>60</v>
      </c>
      <c r="U62" t="inlineStr">
        <is>
          <t>STRETCH</t>
        </is>
      </c>
      <c r="V62" t="inlineStr">
        <is>
          <t>STRETCH</t>
        </is>
      </c>
      <c r="W62" t="inlineStr">
        <is>
          <t>FastAPI; tree-sitter; vector search; Docker; MCP; LLM integrations</t>
        </is>
      </c>
      <c r="X62" t="inlineStr">
        <is>
          <t>Default Full Stack and Backend Resume</t>
        </is>
      </c>
      <c r="Y62" t="inlineStr">
        <is>
          <t>2026-09-10</t>
        </is>
      </c>
      <c r="Z62" t="inlineStr">
        <is>
          <t>Aligns with AI-adjacent software engineering and backend development targets; Remote work mode; Founding team early-stage startup exposure</t>
        </is>
      </c>
      <c r="AA62" t="inlineStr">
        <is>
          <t>ELIGIBLE</t>
        </is>
      </c>
      <c r="AB62" t="inlineStr">
        <is>
          <t>No hard degree or graduation-year blockers specified in the snippet.</t>
        </is>
      </c>
      <c r="AC62" t="inlineStr">
        <is>
          <t>UNKNOWN</t>
        </is>
      </c>
      <c r="AD62" t="inlineStr">
        <is>
          <t>Availability not specified in the profile.</t>
        </is>
      </c>
      <c r="AE62" t="inlineStr">
        <is>
          <t>UNKNOWN</t>
        </is>
      </c>
      <c r="AF62" t="n">
        <v>0</v>
      </c>
      <c r="AG62" t="inlineStr">
        <is>
          <t>No</t>
        </is>
      </c>
      <c r="AH62" t="inlineStr">
        <is>
          <t>NOT_MENTIONED</t>
        </is>
      </c>
      <c r="AI62" t="inlineStr">
        <is>
          <t>No explicit mention of PPO or conversion in the snippet.</t>
        </is>
      </c>
      <c r="AK62" t="inlineStr">
        <is>
          <t>Stipend is completely unspecified; No PPO information provided</t>
        </is>
      </c>
      <c r="AL62" t="inlineStr">
        <is>
          <t>Python and FastAPI fundamentals; Backend systems and debugging; Git internals and parser concepts; AI/LLM integration interest</t>
        </is>
      </c>
    </row>
    <row r="63">
      <c r="A63" t="inlineStr">
        <is>
          <t>JOBRAPIDO-260910-17</t>
        </is>
      </c>
      <c r="B63" t="inlineStr">
        <is>
          <t>Jobrapido</t>
        </is>
      </c>
      <c r="C63" t="inlineStr">
        <is>
          <t>AI Stock Video &amp; Prompt Engineering Intern</t>
        </is>
      </c>
      <c r="D63" t="inlineStr">
        <is>
          <t>https://in.jooble.org/away/5922967950970144752?p=1&amp;pos=4&amp;rgn=3193&amp;cid=389&amp;ckey=software+development+intern&amp;jobAge=37&amp;brelb=10&amp;scr=2337.2947&amp;bscr=2337.2947&amp;aq=5713289480022363991&amp;elckey=-6253554300614115614</t>
        </is>
      </c>
      <c r="E63" t="inlineStr">
        <is>
          <t>AI Analyzer</t>
        </is>
      </c>
      <c r="F63" t="inlineStr">
        <is>
          <t>Bangalore</t>
        </is>
      </c>
      <c r="G63" t="inlineStr">
        <is>
          <t>UNKNOWN</t>
        </is>
      </c>
      <c r="H63" t="inlineStr">
        <is>
          <t>Not specified</t>
        </is>
      </c>
      <c r="I63" t="inlineStr">
        <is>
          <t>UNKNOWN</t>
        </is>
      </c>
      <c r="J63" t="inlineStr">
        <is>
          <t>NOT_MENTIONED</t>
        </is>
      </c>
      <c r="K63" t="inlineStr">
        <is>
          <t>Prompt Engineering; AI Video Generation</t>
        </is>
      </c>
      <c r="L63" t="inlineStr">
        <is>
          <t>Branding; Marketing Content Creation</t>
        </is>
      </c>
      <c r="M63" t="inlineStr">
        <is>
          <t>&amp;nbsp;...Opportunity: AI Stock Video &amp; Prompt Engineering We’re an IT Staffing, Consulting, Outsourcing, and &lt;b&gt;Software Development &lt;/b&gt;company on the lookout for a creative &lt;b&gt;intern &lt;/b&gt;to help us build AI-generated stock videos and content for branding and marketing. If you love experimenting...&amp;nbsp;</t>
        </is>
      </c>
      <c r="N63" t="n">
        <v>21</v>
      </c>
      <c r="O63" t="n">
        <v>20</v>
      </c>
      <c r="P63" t="n">
        <v>40</v>
      </c>
      <c r="Q63" t="n">
        <v>20</v>
      </c>
      <c r="R63" t="n">
        <v>0</v>
      </c>
      <c r="S63" t="n">
        <v>0</v>
      </c>
      <c r="T63" t="n">
        <v>30</v>
      </c>
      <c r="U63" t="inlineStr">
        <is>
          <t>SKIP</t>
        </is>
      </c>
      <c r="V63" t="inlineStr">
        <is>
          <t>SKIP</t>
        </is>
      </c>
      <c r="W63" t="inlineStr">
        <is>
          <t>Prompt Engineering; AI Stock Video Generation</t>
        </is>
      </c>
      <c r="X63" t="inlineStr">
        <is>
          <t>Amaanuddin_Ahmed_General_Resume.pdf</t>
        </is>
      </c>
      <c r="Y63" t="inlineStr">
        <is>
          <t>2026-09-10</t>
        </is>
      </c>
      <c r="AA63" t="inlineStr">
        <is>
          <t>ELIGIBLE</t>
        </is>
      </c>
      <c r="AC63" t="inlineStr">
        <is>
          <t>UNKNOWN</t>
        </is>
      </c>
      <c r="AD63" t="inlineStr">
        <is>
          <t>Not specified in candidate profile or job description</t>
        </is>
      </c>
      <c r="AE63" t="inlineStr">
        <is>
          <t>UNKNOWN</t>
        </is>
      </c>
      <c r="AF63" t="n">
        <v>0</v>
      </c>
      <c r="AG63" t="inlineStr">
        <is>
          <t>No</t>
        </is>
      </c>
      <c r="AH63" t="inlineStr">
        <is>
          <t>NOT_MENTIONED</t>
        </is>
      </c>
      <c r="AI63" t="inlineStr">
        <is>
          <t>No mention of PPO or conversion in the job description.</t>
        </is>
      </c>
      <c r="AK63" t="inlineStr">
        <is>
          <t>Role focuses on AI video and prompt engineering rather than core software engineering, backend, or full-stack development.</t>
        </is>
      </c>
      <c r="AL63" t="inlineStr">
        <is>
          <t>AI video generation tools; Prompt engineering experience; Marketing and branding content creation</t>
        </is>
      </c>
    </row>
    <row r="64">
      <c r="A64" t="inlineStr">
        <is>
          <t>JOBRAPIDO-260910-18</t>
        </is>
      </c>
      <c r="B64" t="inlineStr">
        <is>
          <t>Jobrapido</t>
        </is>
      </c>
      <c r="C64" t="inlineStr">
        <is>
          <t>Software Engineer Intern</t>
        </is>
      </c>
      <c r="D64" t="inlineStr">
        <is>
          <t>https://in.jooble.org/away/6219055865942863074?p=1&amp;pos=5&amp;rgn=3193&amp;cid=389&amp;ckey=software+development+intern&amp;jobAge=37&amp;brelb=10&amp;scr=2287.8293&amp;bscr=2287.8293&amp;aq=5713289480022363991&amp;elckey=-6253554300614115614</t>
        </is>
      </c>
      <c r="E64" t="inlineStr">
        <is>
          <t>AI Analyzer</t>
        </is>
      </c>
      <c r="F64" t="inlineStr">
        <is>
          <t>Bangalore</t>
        </is>
      </c>
      <c r="G64" t="inlineStr">
        <is>
          <t>UNKNOWN</t>
        </is>
      </c>
      <c r="H64" t="inlineStr">
        <is>
          <t>Not specified</t>
        </is>
      </c>
      <c r="I64" t="inlineStr">
        <is>
          <t>UNKNOWN</t>
        </is>
      </c>
      <c r="J64" t="inlineStr">
        <is>
          <t>UNKNOWN</t>
        </is>
      </c>
      <c r="K64" t="inlineStr">
        <is>
          <t>Programming languages; Third-party APIs</t>
        </is>
      </c>
      <c r="M64" t="inlineStr">
        <is>
          <t>&amp;nbsp;...them increase their sales on Amazon. We are looking for a tech &lt;b&gt;intern &lt;/b&gt;to help us develop our product. Tech Stack: Programming languages...&amp;nbsp;&amp;nbsp;...with third-party APIs Contributing to all phases of the &lt;b&gt;development &lt;/b&gt;life cycle Working to improve the efficiency and...&amp;nbsp;</t>
        </is>
      </c>
      <c r="N64" t="n">
        <v>42</v>
      </c>
      <c r="O64" t="n">
        <v>50</v>
      </c>
      <c r="P64" t="n">
        <v>70</v>
      </c>
      <c r="Q64" t="n">
        <v>60</v>
      </c>
      <c r="R64" t="n">
        <v>0</v>
      </c>
      <c r="S64" t="n">
        <v>0</v>
      </c>
      <c r="T64" t="n">
        <v>30</v>
      </c>
      <c r="U64" t="inlineStr">
        <is>
          <t>SKIP</t>
        </is>
      </c>
      <c r="V64" t="inlineStr">
        <is>
          <t>SKIP</t>
        </is>
      </c>
      <c r="W64" t="inlineStr">
        <is>
          <t>Specific programming language requirement unstated in snippet</t>
        </is>
      </c>
      <c r="X64" t="inlineStr">
        <is>
          <t>Default Full Stack Resume</t>
        </is>
      </c>
      <c r="Y64" t="inlineStr">
        <is>
          <t>2026-09-10</t>
        </is>
      </c>
      <c r="Z64" t="inlineStr">
        <is>
          <t>Located in Bangalore; Matches target Software Engineering internship role</t>
        </is>
      </c>
      <c r="AA64" t="inlineStr">
        <is>
          <t>ELIGIBLE</t>
        </is>
      </c>
      <c r="AB64" t="inlineStr">
        <is>
          <t>No explicit hard blockers found in the brief job description text</t>
        </is>
      </c>
      <c r="AC64" t="inlineStr">
        <is>
          <t>UNKNOWN</t>
        </is>
      </c>
      <c r="AD64" t="inlineStr">
        <is>
          <t>Availability not specified in career brain</t>
        </is>
      </c>
      <c r="AE64" t="inlineStr">
        <is>
          <t>UNKNOWN</t>
        </is>
      </c>
      <c r="AF64" t="n">
        <v>0</v>
      </c>
      <c r="AG64" t="inlineStr">
        <is>
          <t>No</t>
        </is>
      </c>
      <c r="AH64" t="inlineStr">
        <is>
          <t>UNKNOWN</t>
        </is>
      </c>
      <c r="AI64" t="inlineStr">
        <is>
          <t>No explicit PPO mention in the snippet</t>
        </is>
      </c>
      <c r="AK64" t="inlineStr">
        <is>
          <t>Extremely vague job description snippet</t>
        </is>
      </c>
      <c r="AL64" t="inlineStr">
        <is>
          <t>API Development; Software Development Life Cycle</t>
        </is>
      </c>
    </row>
    <row r="65">
      <c r="A65" t="inlineStr">
        <is>
          <t>SAFFRONBIZZ--260910-19</t>
        </is>
      </c>
      <c r="B65" t="inlineStr">
        <is>
          <t>Saffronbizz Solutions</t>
        </is>
      </c>
      <c r="C65" t="inlineStr">
        <is>
          <t>Software Developer Intern</t>
        </is>
      </c>
      <c r="D65" t="inlineStr">
        <is>
          <t>https://in.jooble.org/desc/-6825957623175668188?ckey=software+development+intern&amp;rgn=3193&amp;pos=7&amp;elckey=-6253554300614115614&amp;p=1&amp;aq=5713289480022363991&amp;cid=389&amp;jobAge=181&amp;brelb=10&amp;bscr=1616.3434&amp;scr=1616.3434</t>
        </is>
      </c>
      <c r="E65" t="inlineStr">
        <is>
          <t>AI Analyzer</t>
        </is>
      </c>
      <c r="F65" t="inlineStr">
        <is>
          <t>Bangalore</t>
        </is>
      </c>
      <c r="G65" t="inlineStr">
        <is>
          <t>Unknown</t>
        </is>
      </c>
      <c r="H65" t="inlineStr">
        <is>
          <t>Rs 2 - 5 lakhs p.a.</t>
        </is>
      </c>
      <c r="I65" t="inlineStr">
        <is>
          <t>Unknown</t>
        </is>
      </c>
      <c r="J65" t="inlineStr">
        <is>
          <t>UNKNOWN</t>
        </is>
      </c>
      <c r="K65" t="inlineStr">
        <is>
          <t>Modern languages; Agile</t>
        </is>
      </c>
      <c r="M65" t="inlineStr">
        <is>
          <t>&amp;nbsp;...Job description As a &lt;b&gt;Software &lt;/b&gt;Developer &lt;b&gt;Intern,&lt;/b&gt; you will: Work alongside our experienced software developers on one of our small, energetic &lt;b&gt;development &lt;/b&gt;teams. Learn the process of software development using modern languages like Agile to help full-time work in designing...&amp;nbsp;</t>
        </is>
      </c>
      <c r="N65" t="n">
        <v>68</v>
      </c>
      <c r="O65" t="n">
        <v>70</v>
      </c>
      <c r="P65" t="n">
        <v>80</v>
      </c>
      <c r="Q65" t="n">
        <v>80</v>
      </c>
      <c r="R65" t="n">
        <v>40</v>
      </c>
      <c r="S65" t="n">
        <v>70</v>
      </c>
      <c r="T65" t="n">
        <v>60</v>
      </c>
      <c r="U65" t="inlineStr">
        <is>
          <t>STRETCH</t>
        </is>
      </c>
      <c r="V65" t="inlineStr">
        <is>
          <t>STRETCH</t>
        </is>
      </c>
      <c r="X65" t="inlineStr">
        <is>
          <t>Default Full Stack Resume</t>
        </is>
      </c>
      <c r="Y65" t="inlineStr">
        <is>
          <t>2026-09-10</t>
        </is>
      </c>
      <c r="Z65" t="inlineStr">
        <is>
          <t>Role matches target software engineering internship.; Located in Bangalore.</t>
        </is>
      </c>
      <c r="AA65" t="inlineStr">
        <is>
          <t>ELIGIBLE</t>
        </is>
      </c>
      <c r="AB65" t="inlineStr">
        <is>
          <t>No explicit hard blockers found in the brief description.</t>
        </is>
      </c>
      <c r="AC65" t="inlineStr">
        <is>
          <t>UNKNOWN</t>
        </is>
      </c>
      <c r="AD65" t="inlineStr">
        <is>
          <t>Candidate availability dates are not specified in the career brain.</t>
        </is>
      </c>
      <c r="AE65" t="inlineStr">
        <is>
          <t>EXPLICIT</t>
        </is>
      </c>
      <c r="AF65" t="n">
        <v>16666</v>
      </c>
      <c r="AG65" t="inlineStr">
        <is>
          <t>No</t>
        </is>
      </c>
      <c r="AH65" t="inlineStr">
        <is>
          <t>UNKNOWN</t>
        </is>
      </c>
      <c r="AI65" t="inlineStr">
        <is>
          <t>No mention of PPO or conversion in the job description.</t>
        </is>
      </c>
      <c r="AK65" t="inlineStr">
        <is>
          <t>Very sparse job description text provided.</t>
        </is>
      </c>
      <c r="AL65" t="inlineStr">
        <is>
          <t>Agile methodology; Software development life cycle; Basic programming concepts</t>
        </is>
      </c>
    </row>
    <row r="66">
      <c r="A66" t="inlineStr">
        <is>
          <t>CHAI-POINT-260910-20</t>
        </is>
      </c>
      <c r="B66" t="inlineStr">
        <is>
          <t>Chai Point</t>
        </is>
      </c>
      <c r="C66" t="inlineStr">
        <is>
          <t>Software Development Engineering (Web) Internship</t>
        </is>
      </c>
      <c r="D66" t="inlineStr">
        <is>
          <t>https://in.jooble.org/desc/2483334524981365185?ckey=software+development+intern&amp;rgn=3193&amp;pos=8&amp;elckey=-6253554300614115614&amp;p=1&amp;aq=5713289480022363991&amp;cid=389&amp;jobAge=421&amp;brelb=10&amp;bscr=1581.6722&amp;scr=1581.6722</t>
        </is>
      </c>
      <c r="E66" t="inlineStr">
        <is>
          <t>AI Analyzer</t>
        </is>
      </c>
      <c r="F66" t="inlineStr">
        <is>
          <t>Bangalore</t>
        </is>
      </c>
      <c r="G66" t="inlineStr">
        <is>
          <t>Unknown</t>
        </is>
      </c>
      <c r="H66" t="inlineStr">
        <is>
          <t>Not specified</t>
        </is>
      </c>
      <c r="I66" t="inlineStr">
        <is>
          <t>Unknown</t>
        </is>
      </c>
      <c r="J66" t="inlineStr">
        <is>
          <t>Not Mentioned</t>
        </is>
      </c>
      <c r="K66" t="inlineStr">
        <is>
          <t>Web Development; QA; Testing; Technical Documentation</t>
        </is>
      </c>
      <c r="L66" t="inlineStr">
        <is>
          <t>AI adoption; AI-driven initiatives</t>
        </is>
      </c>
      <c r="M66" t="inlineStr">
        <is>
          <t>&amp;nbsp;...&lt;b&gt;Intern'&lt;/b&gt;s Day-to-day Responsibilities Include Assist with &lt;b&gt;development &lt;/b&gt;and implementation activities. Support QA, testing, and bug identification. Prepare and maintain technical documentation. Explore and support AI adoption and AI-driven initiatives. About Company...&amp;nbsp;</t>
        </is>
      </c>
      <c r="N66" t="n">
        <v>53</v>
      </c>
      <c r="O66" t="n">
        <v>70</v>
      </c>
      <c r="P66" t="n">
        <v>70</v>
      </c>
      <c r="Q66" t="n">
        <v>70</v>
      </c>
      <c r="R66" t="n">
        <v>0</v>
      </c>
      <c r="S66" t="n">
        <v>0</v>
      </c>
      <c r="T66" t="n">
        <v>40</v>
      </c>
      <c r="U66" t="inlineStr">
        <is>
          <t>SKIP</t>
        </is>
      </c>
      <c r="V66" t="inlineStr">
        <is>
          <t>SKIP</t>
        </is>
      </c>
      <c r="X66" t="inlineStr">
        <is>
          <t>Amaanuddin_Ahmed_Software_Engineer_Resume.pdf</t>
        </is>
      </c>
      <c r="Y66" t="inlineStr">
        <is>
          <t>2026-09-10</t>
        </is>
      </c>
      <c r="Z66" t="inlineStr">
        <is>
          <t>Matches location preference (Bangalore); Aligns with software engineering and web development target roles</t>
        </is>
      </c>
      <c r="AA66" t="inlineStr">
        <is>
          <t>Eligible</t>
        </is>
      </c>
      <c r="AB66" t="inlineStr">
        <is>
          <t>No explicit degree or graduation year hard blockers mentioned in the description; Matches target role and location</t>
        </is>
      </c>
      <c r="AC66" t="inlineStr">
        <is>
          <t>Unknown</t>
        </is>
      </c>
      <c r="AD66" t="inlineStr">
        <is>
          <t>Candidate availability details are not specified in the career brain</t>
        </is>
      </c>
      <c r="AE66" t="inlineStr">
        <is>
          <t>UNKNOWN</t>
        </is>
      </c>
      <c r="AF66" t="n">
        <v>0</v>
      </c>
      <c r="AG66" t="inlineStr">
        <is>
          <t>No</t>
        </is>
      </c>
      <c r="AH66" t="inlineStr">
        <is>
          <t>Not Mentioned</t>
        </is>
      </c>
      <c r="AI66" t="inlineStr">
        <is>
          <t>No mention of PPO or conversion in the job description</t>
        </is>
      </c>
      <c r="AK66" t="inlineStr">
        <is>
          <t>Very vague job description with missing stipend and duration details</t>
        </is>
      </c>
      <c r="AL66" t="inlineStr">
        <is>
          <t>Web development basics; QA and testing methodologies; Technical documentation practices; AI adoption in software development</t>
        </is>
      </c>
    </row>
    <row r="67">
      <c r="A67" t="inlineStr">
        <is>
          <t>OUTBOX.VC-260910-21</t>
        </is>
      </c>
      <c r="B67" t="inlineStr">
        <is>
          <t>Outbox.vc</t>
        </is>
      </c>
      <c r="C67" t="inlineStr">
        <is>
          <t>Software Developer - Intern</t>
        </is>
      </c>
      <c r="D67" t="inlineStr">
        <is>
          <t>https://in.jooble.org/desc/5089802996613037634?ckey=software+development+intern&amp;rgn=3193&amp;pos=9&amp;elckey=-6253554300614115614&amp;p=1&amp;aq=5713289480022363991&amp;cid=389&amp;jobAge=5797&amp;brelb=100&amp;bscr=1540.8499&amp;scr=1540.8499</t>
        </is>
      </c>
      <c r="E67" t="inlineStr">
        <is>
          <t>AI Analyzer</t>
        </is>
      </c>
      <c r="F67" t="inlineStr">
        <is>
          <t>Bangalore</t>
        </is>
      </c>
      <c r="G67" t="inlineStr">
        <is>
          <t>UNKNOWN</t>
        </is>
      </c>
      <c r="H67" t="inlineStr">
        <is>
          <t>Rs 30000 - Rs 35000 per month</t>
        </is>
      </c>
      <c r="I67" t="inlineStr">
        <is>
          <t>UNKNOWN</t>
        </is>
      </c>
      <c r="J67" t="inlineStr">
        <is>
          <t>NOT_MENTIONED</t>
        </is>
      </c>
      <c r="K67" t="inlineStr">
        <is>
          <t>Node.js; TypeScript; Git; MySQL</t>
        </is>
      </c>
      <c r="M67" t="inlineStr">
        <is>
          <t>&amp;nbsp;...Job Description We are seeking SDE &lt;b&gt;Interns,&lt;/b&gt; talented individuals with strong knowledge of NodeJS, Typescript, Git and MySQL to...&amp;nbsp;&amp;nbsp;...opportunity to work on cutting-edge technologies and contribute to the &lt;b&gt;development &lt;/b&gt;of our innovative outbound marketing system. If you are...&amp;nbsp;</t>
        </is>
      </c>
      <c r="N67" t="n">
        <v>79</v>
      </c>
      <c r="O67" t="n">
        <v>22</v>
      </c>
      <c r="P67" t="n">
        <v>20</v>
      </c>
      <c r="Q67" t="n">
        <v>15</v>
      </c>
      <c r="R67" t="n">
        <v>5</v>
      </c>
      <c r="S67" t="n">
        <v>10</v>
      </c>
      <c r="T67" t="n">
        <v>7</v>
      </c>
      <c r="U67" t="inlineStr">
        <is>
          <t>CONSIDER</t>
        </is>
      </c>
      <c r="V67" t="inlineStr">
        <is>
          <t>CONSIDER</t>
        </is>
      </c>
      <c r="W67" t="inlineStr">
        <is>
          <t>TypeScript</t>
        </is>
      </c>
      <c r="X67" t="inlineStr">
        <is>
          <t>Default Full Stack / Backend Resume emphasizing Node.js, Express, and SQL/MySQL experience.</t>
        </is>
      </c>
      <c r="Y67" t="inlineStr">
        <is>
          <t>2026-09-10</t>
        </is>
      </c>
      <c r="Z67" t="inlineStr">
        <is>
          <t>Stipend of Rs 30,000 - 35,000 per month exceeds the minimum target of Rs 25,000.; Matches core backend stack requirements including Node.js and MySQL.; Located in Bangalore with an internship role alignment.</t>
        </is>
      </c>
      <c r="AA67" t="inlineStr">
        <is>
          <t>ELIGIBLE</t>
        </is>
      </c>
      <c r="AB67" t="inlineStr">
        <is>
          <t>No specific degree or experience blockers mentioned in the description.</t>
        </is>
      </c>
      <c r="AC67" t="inlineStr">
        <is>
          <t>UNKNOWN</t>
        </is>
      </c>
      <c r="AD67" t="inlineStr">
        <is>
          <t>Candidate availability details are not provided in the Career Brain.</t>
        </is>
      </c>
      <c r="AE67" t="inlineStr">
        <is>
          <t>EXPLICIT</t>
        </is>
      </c>
      <c r="AF67" t="n">
        <v>30000</v>
      </c>
      <c r="AG67" t="inlineStr">
        <is>
          <t>No</t>
        </is>
      </c>
      <c r="AH67" t="inlineStr">
        <is>
          <t>NOT_MENTIONED</t>
        </is>
      </c>
      <c r="AI67" t="inlineStr">
        <is>
          <t>The job description does not explicitly mention PPO or conversion opportunities.</t>
        </is>
      </c>
      <c r="AL67" t="inlineStr">
        <is>
          <t>Node.js internals and asynchronous programming; TypeScript advanced types and interfaces; MySQL database schema design, indexing, and queries; Git version control workflows</t>
        </is>
      </c>
    </row>
    <row r="68">
      <c r="A68" t="inlineStr">
        <is>
          <t>FRIDAY-MEDIA-260910-22</t>
        </is>
      </c>
      <c r="B68" t="inlineStr">
        <is>
          <t>friday media tech india (fmg)</t>
        </is>
      </c>
      <c r="C68" t="inlineStr">
        <is>
          <t>Software Engineer Intern</t>
        </is>
      </c>
      <c r="D68" t="inlineStr">
        <is>
          <t>https://in.jooble.org/desc/-5404656752169186420?ckey=software+development+intern&amp;rgn=3193&amp;pos=12&amp;elckey=-6253554300614115614&amp;p=1&amp;aq=5713289480022363991&amp;cid=389&amp;jobAge=229&amp;brelb=10&amp;bscr=1507.33&amp;scr=1507.33</t>
        </is>
      </c>
      <c r="E68" t="inlineStr">
        <is>
          <t>AI Analyzer</t>
        </is>
      </c>
      <c r="F68" t="inlineStr">
        <is>
          <t>Bangalore</t>
        </is>
      </c>
      <c r="G68" t="inlineStr">
        <is>
          <t>UNKNOWN</t>
        </is>
      </c>
      <c r="H68" t="inlineStr">
        <is>
          <t>Not specified</t>
        </is>
      </c>
      <c r="I68" t="inlineStr">
        <is>
          <t>UNKNOWN</t>
        </is>
      </c>
      <c r="J68" t="inlineStr">
        <is>
          <t>UNKNOWN</t>
        </is>
      </c>
      <c r="K68" t="inlineStr">
        <is>
          <t>modern web technologies; frameworks</t>
        </is>
      </c>
      <c r="M68" t="inlineStr">
        <is>
          <t>&amp;nbsp;...Job Description We are looking for a passionate and driven &lt;b&gt;Software &lt;/b&gt;Engineer &lt;b&gt;Intern &lt;/b&gt; to join our &lt;b&gt;development &lt;/b&gt;team. You will get hands-on experience working on real-world projects using modern web technologies and frameworks. This internship is ideal for candidates eager...&amp;nbsp;</t>
        </is>
      </c>
      <c r="N68" t="n">
        <v>53</v>
      </c>
      <c r="O68" t="n">
        <v>70</v>
      </c>
      <c r="P68" t="n">
        <v>70</v>
      </c>
      <c r="Q68" t="n">
        <v>75</v>
      </c>
      <c r="R68" t="n">
        <v>0</v>
      </c>
      <c r="S68" t="n">
        <v>0</v>
      </c>
      <c r="T68" t="n">
        <v>40</v>
      </c>
      <c r="U68" t="inlineStr">
        <is>
          <t>SKIP</t>
        </is>
      </c>
      <c r="V68" t="inlineStr">
        <is>
          <t>SKIP</t>
        </is>
      </c>
      <c r="X68" t="inlineStr">
        <is>
          <t>Default Full Stack Resume</t>
        </is>
      </c>
      <c r="Y68" t="inlineStr">
        <is>
          <t>2026-09-10</t>
        </is>
      </c>
      <c r="Z68" t="inlineStr">
        <is>
          <t>Matches target role for Software Engineering Internship in Bangalore.</t>
        </is>
      </c>
      <c r="AA68" t="inlineStr">
        <is>
          <t>ELIGIBLE</t>
        </is>
      </c>
      <c r="AB68" t="inlineStr">
        <is>
          <t>No explicit hard blockers such as degree or strict experience requirements found in the short description.</t>
        </is>
      </c>
      <c r="AC68" t="inlineStr">
        <is>
          <t>UNKNOWN</t>
        </is>
      </c>
      <c r="AD68" t="inlineStr">
        <is>
          <t>Availability has not been provided in the candidate career brain.</t>
        </is>
      </c>
      <c r="AE68" t="inlineStr">
        <is>
          <t>UNKNOWN</t>
        </is>
      </c>
      <c r="AF68" t="n">
        <v>0</v>
      </c>
      <c r="AG68" t="inlineStr">
        <is>
          <t>No</t>
        </is>
      </c>
      <c r="AH68" t="inlineStr">
        <is>
          <t>UNKNOWN</t>
        </is>
      </c>
      <c r="AI68" t="inlineStr">
        <is>
          <t>PPO or conversion possibility is not mentioned in the job description.</t>
        </is>
      </c>
      <c r="AK68" t="inlineStr">
        <is>
          <t>Very sparse job description lacks details on tech stack, stipend, duration, and PPO.</t>
        </is>
      </c>
      <c r="AL68" t="inlineStr">
        <is>
          <t>Web development fundamentals; JavaScript and modern frameworks; Past project experience (e.g., StaySphere or Zenvest)</t>
        </is>
      </c>
    </row>
    <row r="69">
      <c r="A69" t="inlineStr">
        <is>
          <t>NXTWAVE-DISR-260910-23</t>
        </is>
      </c>
      <c r="B69" t="inlineStr">
        <is>
          <t>Nxtwave Disruptive Technologies Private Limited</t>
        </is>
      </c>
      <c r="C69" t="inlineStr">
        <is>
          <t>MERN Developer - Intern</t>
        </is>
      </c>
      <c r="D69" t="inlineStr">
        <is>
          <t>https://in.jooble.org/desc/7218822007534742956?ckey=software+development+intern&amp;rgn=3193&amp;pos=13&amp;elckey=-6253554300614115614&amp;p=1&amp;aq=5713289480022363991&amp;cid=389&amp;jobAge=181&amp;brelb=10&amp;bscr=1449.8528&amp;scr=1449.8528</t>
        </is>
      </c>
      <c r="E69" t="inlineStr">
        <is>
          <t>AI Analyzer</t>
        </is>
      </c>
      <c r="F69" t="inlineStr">
        <is>
          <t>Bangalore</t>
        </is>
      </c>
      <c r="G69" t="inlineStr">
        <is>
          <t>Not Specified</t>
        </is>
      </c>
      <c r="H69" t="inlineStr">
        <is>
          <t>20,000/month</t>
        </is>
      </c>
      <c r="I69" t="inlineStr">
        <is>
          <t>6 Months</t>
        </is>
      </c>
      <c r="J69" t="inlineStr">
        <is>
          <t>EXPLICIT</t>
        </is>
      </c>
      <c r="K69" t="inlineStr">
        <is>
          <t>MERN Stack; MongoDB; Express.js; React.js; Node.js</t>
        </is>
      </c>
      <c r="M69" t="inlineStr">
        <is>
          <t>&amp;nbsp;...MERN Developer – Internship + Full-Time Opportunity Apply Link: Apply Here Role: MERN Developer – &lt;b&gt;Intern &lt;/b&gt; Job Type: Internship + Full-Time Location: Bangalore CTC: 3.6 – 4.2 LPA Internship Duration: 6 Months Internship Stipend: 20,000/month...&amp;nbsp;</t>
        </is>
      </c>
      <c r="N69" t="n">
        <v>93</v>
      </c>
      <c r="O69" t="n">
        <v>30</v>
      </c>
      <c r="P69" t="n">
        <v>20</v>
      </c>
      <c r="Q69" t="n">
        <v>15</v>
      </c>
      <c r="R69" t="n">
        <v>15</v>
      </c>
      <c r="S69" t="n">
        <v>5</v>
      </c>
      <c r="T69" t="n">
        <v>8</v>
      </c>
      <c r="U69" t="inlineStr">
        <is>
          <t>APPLY ASAP</t>
        </is>
      </c>
      <c r="V69" t="inlineStr">
        <is>
          <t>APPLY ASAP</t>
        </is>
      </c>
      <c r="X69" t="inlineStr">
        <is>
          <t>Amaan_FullStack_Resume.pdf</t>
        </is>
      </c>
      <c r="Y69" t="inlineStr">
        <is>
          <t>2026-09-10</t>
        </is>
      </c>
      <c r="Z69" t="inlineStr">
        <is>
          <t>Exact match for MERN Stack skills demonstrated in StaySphere project.; Explicit conversion pathway to full-time role with 3.6 - 4.2 LPA CTC.; Located in Bangalore.</t>
        </is>
      </c>
      <c r="AA69" t="inlineStr">
        <is>
          <t>ELIGIBLE</t>
        </is>
      </c>
      <c r="AB69" t="inlineStr">
        <is>
          <t>Candidate is an MCA student matching tech requirements.</t>
        </is>
      </c>
      <c r="AC69" t="inlineStr">
        <is>
          <t>UNKNOWN</t>
        </is>
      </c>
      <c r="AD69" t="inlineStr">
        <is>
          <t>Availability timeline not specified in candidate profile.</t>
        </is>
      </c>
      <c r="AE69" t="inlineStr">
        <is>
          <t>KNOWN</t>
        </is>
      </c>
      <c r="AF69" t="n">
        <v>20000</v>
      </c>
      <c r="AG69" t="inlineStr">
        <is>
          <t>No</t>
        </is>
      </c>
      <c r="AH69" t="inlineStr">
        <is>
          <t>EXPLICIT</t>
        </is>
      </c>
      <c r="AI69" t="inlineStr">
        <is>
          <t>Internship + Full-Time Opportunity (CTC: 3.6 - 4.2 LPA)</t>
        </is>
      </c>
      <c r="AK69" t="inlineStr">
        <is>
          <t>Stipend of 20,000/month is below candidate minimum target of 25,000/month.</t>
        </is>
      </c>
      <c r="AL69" t="inlineStr">
        <is>
          <t>MERN stack architecture; REST API design; State management in React; MongoDB indexing and aggregation</t>
        </is>
      </c>
      <c r="AM69" t="inlineStr">
        <is>
          <t>E:\InternshipHunter\applications\jooble-c0045e73bcca</t>
        </is>
      </c>
      <c r="AN69" t="inlineStr">
        <is>
          <t>Ready for Review</t>
        </is>
      </c>
      <c r="AO69" t="inlineStr">
        <is>
          <t>Generated</t>
        </is>
      </c>
      <c r="AP69" t="inlineStr">
        <is>
          <t>Generated</t>
        </is>
      </c>
      <c r="AQ69" t="inlineStr">
        <is>
          <t>Generated</t>
        </is>
      </c>
      <c r="AR69" t="inlineStr">
        <is>
          <t>Ready to Apply</t>
        </is>
      </c>
    </row>
    <row r="70">
      <c r="A70" t="inlineStr">
        <is>
          <t>DODO-PAYMENT-260910-24</t>
        </is>
      </c>
      <c r="B70" t="inlineStr">
        <is>
          <t>dodo payments</t>
        </is>
      </c>
      <c r="C70" t="inlineStr">
        <is>
          <t>Developer Relations Intern</t>
        </is>
      </c>
      <c r="D70" t="inlineStr">
        <is>
          <t>https://in.jooble.org/desc/-6984745115447187577?ckey=software+development+intern&amp;rgn=3193&amp;pos=14&amp;elckey=-6253554300614115614&amp;p=1&amp;aq=5713289480022363991&amp;cid=389&amp;jobAge=61&amp;brelb=10&amp;bscr=1424.9103&amp;scr=1424.9103</t>
        </is>
      </c>
      <c r="E70" t="inlineStr">
        <is>
          <t>AI Analyzer</t>
        </is>
      </c>
      <c r="F70" t="inlineStr">
        <is>
          <t>Bangalore</t>
        </is>
      </c>
      <c r="G70" t="inlineStr">
        <is>
          <t>UNKNOWN</t>
        </is>
      </c>
      <c r="H70" t="inlineStr">
        <is>
          <t>Not specified</t>
        </is>
      </c>
      <c r="I70" t="inlineStr">
        <is>
          <t>UNKNOWN</t>
        </is>
      </c>
      <c r="J70" t="inlineStr">
        <is>
          <t>UNKNOWN</t>
        </is>
      </c>
      <c r="K70" t="inlineStr">
        <is>
          <t>communication; management; coding; crm systems; technical support; software development; apis; documentation; community engagement; workflow</t>
        </is>
      </c>
      <c r="M70" t="inlineStr">
        <is>
          <t>&amp;nbsp;...About Us Dodo Payments is an &lt;b&gt;international &lt;/b&gt;payments platform (Merchant-of-record) that enables digital-first businesses to collect...&amp;nbsp;&amp;nbsp;...communication,management,coding,crm systems,technical support,&lt;b&gt;software development,&lt;/b&gt;apis,documentation,community engagement,workflow...&amp;nbsp;</t>
        </is>
      </c>
      <c r="N70" t="n">
        <v>40</v>
      </c>
      <c r="O70" t="n">
        <v>50</v>
      </c>
      <c r="P70" t="n">
        <v>60</v>
      </c>
      <c r="Q70" t="n">
        <v>40</v>
      </c>
      <c r="R70" t="n">
        <v>0</v>
      </c>
      <c r="S70" t="n">
        <v>0</v>
      </c>
      <c r="T70" t="n">
        <v>40</v>
      </c>
      <c r="U70" t="inlineStr">
        <is>
          <t>SKIP</t>
        </is>
      </c>
      <c r="V70" t="inlineStr">
        <is>
          <t>SKIP</t>
        </is>
      </c>
      <c r="W70" t="inlineStr">
        <is>
          <t>crm systems; community engagement; technical support; documentation</t>
        </is>
      </c>
      <c r="X70" t="inlineStr">
        <is>
          <t>Amaanuddin_Ahmed_Software_Engineer_Resume.pdf</t>
        </is>
      </c>
      <c r="Y70" t="inlineStr">
        <is>
          <t>2026-09-10</t>
        </is>
      </c>
      <c r="Z70" t="inlineStr">
        <is>
          <t>Located in Bangalore; Involves software development and APIs</t>
        </is>
      </c>
      <c r="AA70" t="inlineStr">
        <is>
          <t>ELIGIBLE</t>
        </is>
      </c>
      <c r="AB70" t="inlineStr">
        <is>
          <t>No explicit degree or hard blockers mentioned in the minimal JD excerpt.</t>
        </is>
      </c>
      <c r="AC70" t="inlineStr">
        <is>
          <t>UNKNOWN</t>
        </is>
      </c>
      <c r="AD70" t="inlineStr">
        <is>
          <t>Availability not specified in career brain or JD.</t>
        </is>
      </c>
      <c r="AE70" t="inlineStr">
        <is>
          <t>UNKNOWN</t>
        </is>
      </c>
      <c r="AF70" t="n">
        <v>0</v>
      </c>
      <c r="AG70" t="inlineStr">
        <is>
          <t>No</t>
        </is>
      </c>
      <c r="AH70" t="inlineStr">
        <is>
          <t>UNKNOWN</t>
        </is>
      </c>
      <c r="AI70" t="inlineStr">
        <is>
          <t>No mention of PPO or conversion in the job description.</t>
        </is>
      </c>
      <c r="AK70" t="inlineStr">
        <is>
          <t>Very sparse job description provided; Role is Developer Relations rather than core Software Engineering or Full Stack</t>
        </is>
      </c>
      <c r="AL70" t="inlineStr">
        <is>
          <t>Developer Relations and community building; API documentation and technical support; Coding and communication skills</t>
        </is>
      </c>
    </row>
    <row r="71">
      <c r="A71" t="inlineStr">
        <is>
          <t>CONTINENTAL--260910-25</t>
        </is>
      </c>
      <c r="B71" t="inlineStr">
        <is>
          <t>Continental Industry</t>
        </is>
      </c>
      <c r="C71" t="inlineStr">
        <is>
          <t>Intern - AI Engineer</t>
        </is>
      </c>
      <c r="D71" t="inlineStr">
        <is>
          <t>https://in.jooble.org/desc/-8151250632548540664?ckey=software+development+intern&amp;rgn=3193&amp;pos=16&amp;elckey=-6253554300614115614&amp;p=1&amp;aq=5713289480022363991&amp;cid=389&amp;jobAge=85&amp;brelb=10&amp;bscr=1410.0779&amp;scr=1410.0779</t>
        </is>
      </c>
      <c r="E71" t="inlineStr">
        <is>
          <t>AI Analyzer</t>
        </is>
      </c>
      <c r="F71" t="inlineStr">
        <is>
          <t>Bangalore</t>
        </is>
      </c>
      <c r="G71" t="inlineStr">
        <is>
          <t>Unknown</t>
        </is>
      </c>
      <c r="H71" t="inlineStr">
        <is>
          <t>Not specified</t>
        </is>
      </c>
      <c r="I71" t="inlineStr">
        <is>
          <t>Unknown</t>
        </is>
      </c>
      <c r="J71" t="inlineStr">
        <is>
          <t>Unknown</t>
        </is>
      </c>
      <c r="K71" t="inlineStr">
        <is>
          <t>AI Engineering; Artificial Intelligence</t>
        </is>
      </c>
      <c r="M71" t="inlineStr">
        <is>
          <t>Company Description At ContiTech, we are building a world-class Business Hub in Bangalore that supports global business functions and enables excellence across finance, technology, and corporate services. We are inviting students for internship opportunities in the space...</t>
        </is>
      </c>
      <c r="N71" t="n">
        <v>60</v>
      </c>
      <c r="O71" t="n">
        <v>60</v>
      </c>
      <c r="P71" t="n">
        <v>70</v>
      </c>
      <c r="Q71" t="n">
        <v>65</v>
      </c>
      <c r="R71" t="n">
        <v>50</v>
      </c>
      <c r="S71" t="n">
        <v>50</v>
      </c>
      <c r="T71" t="n">
        <v>60</v>
      </c>
      <c r="U71" t="inlineStr">
        <is>
          <t>STRETCH</t>
        </is>
      </c>
      <c r="V71" t="inlineStr">
        <is>
          <t>STRETCH</t>
        </is>
      </c>
      <c r="W71" t="inlineStr">
        <is>
          <t>Dedicated AI/ML framework experience beyond general Python</t>
        </is>
      </c>
      <c r="X71" t="inlineStr">
        <is>
          <t>Amaan_General_Software_Engineering_Resume.pdf</t>
        </is>
      </c>
      <c r="Y71" t="inlineStr">
        <is>
          <t>2026-09-10</t>
        </is>
      </c>
      <c r="Z71" t="inlineStr">
        <is>
          <t>Located in Bangalore aligning with preference; Internship role suitable for an MCA student</t>
        </is>
      </c>
      <c r="AA71" t="inlineStr">
        <is>
          <t>Eligible</t>
        </is>
      </c>
      <c r="AB71" t="inlineStr">
        <is>
          <t>Student internship opportunity in Bangalore matching MCA background.</t>
        </is>
      </c>
      <c r="AC71" t="inlineStr">
        <is>
          <t>Unknown</t>
        </is>
      </c>
      <c r="AD71" t="inlineStr">
        <is>
          <t>Not specified in candidate profile or job description.</t>
        </is>
      </c>
      <c r="AE71" t="inlineStr">
        <is>
          <t>UNKNOWN</t>
        </is>
      </c>
      <c r="AF71" t="n">
        <v>0</v>
      </c>
      <c r="AG71" t="inlineStr">
        <is>
          <t>No</t>
        </is>
      </c>
      <c r="AH71" t="inlineStr">
        <is>
          <t>Unknown</t>
        </is>
      </c>
      <c r="AI71" t="inlineStr">
        <is>
          <t>No explicit PPO or conversion mention found in the truncated JD snippet.</t>
        </is>
      </c>
      <c r="AK71" t="inlineStr">
        <is>
          <t>Incomplete job description text provided</t>
        </is>
      </c>
      <c r="AL71" t="inlineStr">
        <is>
          <t>Python programming; AI/ML concepts; Basic data structures and algorithms; Past capstone projects and implementation</t>
        </is>
      </c>
    </row>
    <row r="72">
      <c r="A72" t="inlineStr">
        <is>
          <t>ECERA-SYSTEM-260910-26</t>
        </is>
      </c>
      <c r="B72" t="inlineStr">
        <is>
          <t>Ecera System</t>
        </is>
      </c>
      <c r="C72" t="inlineStr">
        <is>
          <t>Software Engineer Intern</t>
        </is>
      </c>
      <c r="D72" t="inlineStr">
        <is>
          <t>https://in.jooble.org/desc/-4076037738651150701?ckey=software+development+intern&amp;rgn=3193&amp;pos=17&amp;elckey=-6253554300614115614&amp;p=1&amp;aq=5713289480022363991&amp;cid=389&amp;jobAge=613&amp;brelb=10&amp;bscr=1372.715&amp;scr=1372.715</t>
        </is>
      </c>
      <c r="E72" t="inlineStr">
        <is>
          <t>AI Analyzer</t>
        </is>
      </c>
      <c r="F72" t="inlineStr">
        <is>
          <t>Bangalore</t>
        </is>
      </c>
      <c r="G72" t="inlineStr">
        <is>
          <t>Unknown</t>
        </is>
      </c>
      <c r="H72" t="inlineStr">
        <is>
          <t>Not specified</t>
        </is>
      </c>
      <c r="I72" t="inlineStr">
        <is>
          <t>Unknown</t>
        </is>
      </c>
      <c r="J72" t="inlineStr">
        <is>
          <t>Not Mentioned</t>
        </is>
      </c>
      <c r="K72" t="inlineStr">
        <is>
          <t>Software Development; Testing</t>
        </is>
      </c>
      <c r="M72" t="inlineStr">
        <is>
          <t>&amp;nbsp;...process designed to ensure high-quality placements and complete satisfaction. Role Description The &lt;b&gt;Software &lt;/b&gt;Engineer &lt;b&gt;Intern &lt;/b&gt;(Paid) will support the design, &lt;b&gt;development,&lt;/b&gt; and testing of software applications as part of a collaborative engineering team. Day-to-day tasks include...&amp;nbsp;</t>
        </is>
      </c>
      <c r="N72" t="n">
        <v>50</v>
      </c>
      <c r="O72" t="n">
        <v>60</v>
      </c>
      <c r="P72" t="n">
        <v>70</v>
      </c>
      <c r="Q72" t="n">
        <v>70</v>
      </c>
      <c r="R72" t="n">
        <v>0</v>
      </c>
      <c r="S72" t="n">
        <v>0</v>
      </c>
      <c r="T72" t="n">
        <v>40</v>
      </c>
      <c r="U72" t="inlineStr">
        <is>
          <t>SKIP</t>
        </is>
      </c>
      <c r="V72" t="inlineStr">
        <is>
          <t>SKIP</t>
        </is>
      </c>
      <c r="X72" t="inlineStr">
        <is>
          <t>Amaanuddin_Ahmed_Software_Engineer_Resume.pdf</t>
        </is>
      </c>
      <c r="Y72" t="inlineStr">
        <is>
          <t>2026-09-10</t>
        </is>
      </c>
      <c r="Z72" t="inlineStr">
        <is>
          <t>Matches target Software Engineering internship role in Bangalore.</t>
        </is>
      </c>
      <c r="AA72" t="inlineStr">
        <is>
          <t>Eligible</t>
        </is>
      </c>
      <c r="AB72" t="inlineStr">
        <is>
          <t>No explicit degree or graduation year hard blockers mentioned in the brief JD snippet.</t>
        </is>
      </c>
      <c r="AC72" t="inlineStr">
        <is>
          <t>Unknown</t>
        </is>
      </c>
      <c r="AD72" t="inlineStr">
        <is>
          <t>Candidate availability timeline not provided in career brain.</t>
        </is>
      </c>
      <c r="AE72" t="inlineStr">
        <is>
          <t>Unknown</t>
        </is>
      </c>
      <c r="AF72" t="n">
        <v>0</v>
      </c>
      <c r="AG72" t="inlineStr">
        <is>
          <t>No</t>
        </is>
      </c>
      <c r="AH72" t="inlineStr">
        <is>
          <t>Not Mentioned</t>
        </is>
      </c>
      <c r="AI72" t="inlineStr">
        <is>
          <t>No mention of PPO or conversion in the provided text.</t>
        </is>
      </c>
      <c r="AK72" t="inlineStr">
        <is>
          <t>Very sparse job description text lacking specific technical stack requirements, duration, and stipend details.</t>
        </is>
      </c>
      <c r="AL72" t="inlineStr">
        <is>
          <t>General software engineering and development lifecycle; Testing methodologies; Past projects and collaborative teamwork</t>
        </is>
      </c>
    </row>
    <row r="73">
      <c r="A73" t="inlineStr">
        <is>
          <t>STRIPE-260910-27</t>
        </is>
      </c>
      <c r="B73" t="inlineStr">
        <is>
          <t>Stripe</t>
        </is>
      </c>
      <c r="C73" t="inlineStr">
        <is>
          <t>Software Engineer, Intern</t>
        </is>
      </c>
      <c r="D73" t="inlineStr">
        <is>
          <t>https://in.jooble.org/desc/6361268409707951745?ckey=software+development+intern&amp;rgn=3193&amp;pos=18&amp;elckey=-6253554300614115614&amp;p=1&amp;aq=5713289480022363991&amp;cid=389&amp;jobAge=243&amp;brelb=100&amp;bscr=1333.8812&amp;scr=1333.8812</t>
        </is>
      </c>
      <c r="E73" t="inlineStr">
        <is>
          <t>AI Analyzer</t>
        </is>
      </c>
      <c r="F73" t="inlineStr">
        <is>
          <t>Bangalore</t>
        </is>
      </c>
      <c r="G73" t="inlineStr">
        <is>
          <t>UNKNOWN</t>
        </is>
      </c>
      <c r="H73" t="inlineStr">
        <is>
          <t>Not specified</t>
        </is>
      </c>
      <c r="I73" t="inlineStr">
        <is>
          <t>UNKNOWN</t>
        </is>
      </c>
      <c r="J73" t="inlineStr">
        <is>
          <t>UNKNOWN</t>
        </is>
      </c>
      <c r="L73" t="inlineStr">
        <is>
          <t>AI tools</t>
        </is>
      </c>
      <c r="M73" t="inlineStr">
        <is>
          <t>&amp;nbsp;...world works. What you’ll do As an &lt;b&gt;intern &lt;/b&gt;at Stripe you’ll work on projects across...&amp;nbsp;&amp;nbsp;...and the technical design process. Write &lt;b&gt;software &lt;/b&gt;that will be used in production, and has...&amp;nbsp;&amp;nbsp;...Ability to leverage AI tools to accelerate &lt;b&gt;development &lt;/b&gt;while applying rigorous critical thinking...&amp;nbsp;</t>
        </is>
      </c>
      <c r="N73" t="n">
        <v>68</v>
      </c>
      <c r="O73" t="n">
        <v>70</v>
      </c>
      <c r="P73" t="n">
        <v>70</v>
      </c>
      <c r="Q73" t="n">
        <v>75</v>
      </c>
      <c r="R73" t="n">
        <v>50</v>
      </c>
      <c r="S73" t="n">
        <v>50</v>
      </c>
      <c r="T73" t="n">
        <v>90</v>
      </c>
      <c r="U73" t="inlineStr">
        <is>
          <t>STRETCH</t>
        </is>
      </c>
      <c r="V73" t="inlineStr">
        <is>
          <t>STRETCH</t>
        </is>
      </c>
      <c r="X73" t="inlineStr">
        <is>
          <t>Standard Software Engineering Resume</t>
        </is>
      </c>
      <c r="Y73" t="inlineStr">
        <is>
          <t>2026-09-10</t>
        </is>
      </c>
      <c r="Z73" t="inlineStr">
        <is>
          <t>Stripe is a top-tier tech company with exceptional opportunity quality for software engineering interns; Matches target Software Engineering role profile</t>
        </is>
      </c>
      <c r="AA73" t="inlineStr">
        <is>
          <t>ELIGIBLE</t>
        </is>
      </c>
      <c r="AB73" t="inlineStr">
        <is>
          <t>No explicit graduation year or degree blockers mentioned in the minimal JD snippet</t>
        </is>
      </c>
      <c r="AC73" t="inlineStr">
        <is>
          <t>UNKNOWN</t>
        </is>
      </c>
      <c r="AD73" t="inlineStr">
        <is>
          <t>Not provided in career brain or job description</t>
        </is>
      </c>
      <c r="AE73" t="inlineStr">
        <is>
          <t>UNKNOWN</t>
        </is>
      </c>
      <c r="AF73" t="n">
        <v>0</v>
      </c>
      <c r="AG73" t="inlineStr">
        <is>
          <t>No</t>
        </is>
      </c>
      <c r="AH73" t="inlineStr">
        <is>
          <t>UNKNOWN</t>
        </is>
      </c>
      <c r="AI73" t="inlineStr">
        <is>
          <t>No explicit PPO mention in the short description snippet</t>
        </is>
      </c>
      <c r="AK73" t="inlineStr">
        <is>
          <t>Extremely brief job description text making full evaluation difficult</t>
        </is>
      </c>
      <c r="AL73" t="inlineStr">
        <is>
          <t>System Design and Technical Design Process; Production-ready Software Development; Usage of AI tools in software engineering workflows</t>
        </is>
      </c>
    </row>
    <row r="74">
      <c r="A74" t="inlineStr">
        <is>
          <t>COINBASE-IND-260910-28</t>
        </is>
      </c>
      <c r="B74" t="inlineStr">
        <is>
          <t>Coinbase India Services</t>
        </is>
      </c>
      <c r="C74" t="inlineStr">
        <is>
          <t>Software Engineer Intern</t>
        </is>
      </c>
      <c r="D74" t="inlineStr">
        <is>
          <t>https://in.jooble.org/desc/1797195671655267307?ckey=software+development+intern&amp;rgn=158289&amp;pos=1&amp;elckey=-4790967087848484633&amp;p=1&amp;aq=-8929922690946418059&amp;cid=389&amp;jobAge=1381&amp;brelb=10&amp;bscr=1017.60645&amp;scr=1017.60645</t>
        </is>
      </c>
      <c r="E74" t="inlineStr">
        <is>
          <t>AI Analyzer</t>
        </is>
      </c>
      <c r="F74" t="inlineStr">
        <is>
          <t>India</t>
        </is>
      </c>
      <c r="G74" t="inlineStr">
        <is>
          <t>work from home</t>
        </is>
      </c>
      <c r="H74" t="inlineStr">
        <is>
          <t>Rs 2.5 - 5 lakhs p.a.</t>
        </is>
      </c>
      <c r="I74" t="inlineStr">
        <is>
          <t>UNKNOWN</t>
        </is>
      </c>
      <c r="J74" t="inlineStr">
        <is>
          <t>UNKNOWN</t>
        </is>
      </c>
      <c r="K74" t="inlineStr">
        <is>
          <t>Software Engineering</t>
        </is>
      </c>
      <c r="L74" t="inlineStr">
        <is>
          <t>Crypto products; Web technologies</t>
        </is>
      </c>
      <c r="M74" t="inlineStr">
        <is>
          <t>&amp;nbsp;...Job Description: ~ Coinbase is seeking &lt;b&gt;software &lt;/b&gt;engineer &lt;b&gt;interns &lt;/b&gt;to join our team to build out the next generation of crypto-forward products and features. ~ You will solve unique, large scale, highly complex technical problems, bridging the constraints posed by web...&amp;nbsp;</t>
        </is>
      </c>
      <c r="N74" t="n">
        <v>78</v>
      </c>
      <c r="O74" t="n">
        <v>75</v>
      </c>
      <c r="P74" t="n">
        <v>80</v>
      </c>
      <c r="Q74" t="n">
        <v>85</v>
      </c>
      <c r="R74" t="n">
        <v>50</v>
      </c>
      <c r="S74" t="n">
        <v>100</v>
      </c>
      <c r="T74" t="n">
        <v>90</v>
      </c>
      <c r="U74" t="inlineStr">
        <is>
          <t>CONSIDER</t>
        </is>
      </c>
      <c r="V74" t="inlineStr">
        <is>
          <t>CONSIDER</t>
        </is>
      </c>
      <c r="X74" t="inlineStr">
        <is>
          <t>Standard Software Engineering Resume</t>
        </is>
      </c>
      <c r="Y74" t="inlineStr">
        <is>
          <t>2026-09-10</t>
        </is>
      </c>
      <c r="Z74" t="inlineStr">
        <is>
          <t>Coinbase is a top-tier tech company offering high opportunity quality.; Stipend is well above the minimum target of 25,000 INR/month.; Matches target Software Engineering and Full Stack roles.</t>
        </is>
      </c>
      <c r="AA74" t="inlineStr">
        <is>
          <t>UNKNOWN</t>
        </is>
      </c>
      <c r="AB74" t="inlineStr">
        <is>
          <t>Exact degree or graduation year filters not explicitly detailed in the snippet.</t>
        </is>
      </c>
      <c r="AC74" t="inlineStr">
        <is>
          <t>UNKNOWN</t>
        </is>
      </c>
      <c r="AD74" t="inlineStr">
        <is>
          <t>Availability start date not specified in career brain or job description.</t>
        </is>
      </c>
      <c r="AE74" t="inlineStr">
        <is>
          <t>DISCLOSED</t>
        </is>
      </c>
      <c r="AF74" t="n">
        <v>250000</v>
      </c>
      <c r="AG74" t="inlineStr">
        <is>
          <t>No</t>
        </is>
      </c>
      <c r="AH74" t="inlineStr">
        <is>
          <t>UNKNOWN</t>
        </is>
      </c>
      <c r="AI74" t="inlineStr">
        <is>
          <t>PPO or conversion option is not explicitly mentioned in the provided job snippet.</t>
        </is>
      </c>
      <c r="AK74" t="inlineStr">
        <is>
          <t>Very brief job description snippet.</t>
        </is>
      </c>
      <c r="AL74" t="inlineStr">
        <is>
          <t>Data Structures and Algorithms; System Design for Large Scale Systems; Web Development Concepts; Crypto/Blockchain Fundamentals</t>
        </is>
      </c>
    </row>
    <row r="75">
      <c r="A75" t="inlineStr">
        <is>
          <t>UNKNOWN-260910-29</t>
        </is>
      </c>
      <c r="B75" t="inlineStr">
        <is>
          <t>Unknown</t>
        </is>
      </c>
      <c r="C75" t="inlineStr">
        <is>
          <t>AI Engineer Internship</t>
        </is>
      </c>
      <c r="D75" t="inlineStr">
        <is>
          <t>https://in.jooble.org/desc/412261402595740673?ckey=software+development+intern&amp;rgn=158289&amp;pos=2&amp;elckey=-4790967087848484633&amp;p=1&amp;aq=-8929922690946418059&amp;cid=389&amp;jobAge=7&amp;brelb=100&amp;bscr=526.8057&amp;scr=526.8057</t>
        </is>
      </c>
      <c r="E75" t="inlineStr">
        <is>
          <t>AI Analyzer</t>
        </is>
      </c>
      <c r="F75" t="inlineStr">
        <is>
          <t>Remote</t>
        </is>
      </c>
      <c r="G75" t="inlineStr">
        <is>
          <t>work from home</t>
        </is>
      </c>
      <c r="H75" t="inlineStr">
        <is>
          <t>Not specified</t>
        </is>
      </c>
      <c r="I75" t="inlineStr">
        <is>
          <t>Unknown</t>
        </is>
      </c>
      <c r="J75" t="inlineStr">
        <is>
          <t>Not Mentioned</t>
        </is>
      </c>
      <c r="K75" t="inlineStr">
        <is>
          <t>AI; MongoDB; Git; GitHub; software development practices</t>
        </is>
      </c>
      <c r="M75" t="inlineStr">
        <is>
          <t>&amp;nbsp;...Overview We are looking for a motivated and curious AI Engineer &lt;b&gt;Intern &lt;/b&gt; to join our technology team and work on real-world AI...&amp;nbsp;&amp;nbsp;...MongoDB, or similar technologies. Knowledge of Git/GitHub and &lt;b&gt;software development &lt;/b&gt;practices. Strong problem-solving and analytical skills....&amp;nbsp;</t>
        </is>
      </c>
      <c r="N75" t="n">
        <v>52</v>
      </c>
      <c r="O75" t="n">
        <v>60</v>
      </c>
      <c r="P75" t="n">
        <v>70</v>
      </c>
      <c r="Q75" t="n">
        <v>65</v>
      </c>
      <c r="R75" t="n">
        <v>40</v>
      </c>
      <c r="S75" t="n">
        <v>0</v>
      </c>
      <c r="T75" t="n">
        <v>50</v>
      </c>
      <c r="U75" t="inlineStr">
        <is>
          <t>SKIP</t>
        </is>
      </c>
      <c r="V75" t="inlineStr">
        <is>
          <t>SKIP</t>
        </is>
      </c>
      <c r="W75" t="inlineStr">
        <is>
          <t>AI engineering specific frameworks or models</t>
        </is>
      </c>
      <c r="X75" t="inlineStr">
        <is>
          <t>Amaan_Resume_Software_Engineering.pdf</t>
        </is>
      </c>
      <c r="Y75" t="inlineStr">
        <is>
          <t>2026-09-10</t>
        </is>
      </c>
      <c r="Z75" t="inlineStr">
        <is>
          <t>Remote work-mode aligns with flexibility.; Matches general software development practices and MongoDB stack.</t>
        </is>
      </c>
      <c r="AA75" t="inlineStr">
        <is>
          <t>Eligible</t>
        </is>
      </c>
      <c r="AB75" t="inlineStr">
        <is>
          <t>No explicit degree or graduation-year blockers found in the description.</t>
        </is>
      </c>
      <c r="AC75" t="inlineStr">
        <is>
          <t>Unknown</t>
        </is>
      </c>
      <c r="AD75" t="inlineStr">
        <is>
          <t>Availability not specified in the profile or JD.</t>
        </is>
      </c>
      <c r="AE75" t="inlineStr">
        <is>
          <t>UNKNOWN</t>
        </is>
      </c>
      <c r="AF75" t="n">
        <v>0</v>
      </c>
      <c r="AG75" t="inlineStr">
        <is>
          <t>No</t>
        </is>
      </c>
      <c r="AH75" t="inlineStr">
        <is>
          <t>Not Mentioned</t>
        </is>
      </c>
      <c r="AI75" t="inlineStr">
        <is>
          <t>No mention of PPO or conversion in the job description.</t>
        </is>
      </c>
      <c r="AK75" t="inlineStr">
        <is>
          <t>Unspecified stipend; No PPO mention; Unknown company name</t>
        </is>
      </c>
      <c r="AL75" t="inlineStr">
        <is>
          <t>MongoDB database design and queries; Git/GitHub workflow and best practices; AI and software development fundamentals; Problem-solving and analytical skills</t>
        </is>
      </c>
    </row>
    <row r="76">
      <c r="A76" t="inlineStr">
        <is>
          <t>BOATIGO-260910-30</t>
        </is>
      </c>
      <c r="B76" t="inlineStr">
        <is>
          <t>Boatigo</t>
        </is>
      </c>
      <c r="C76" t="inlineStr">
        <is>
          <t>AI Backend Engineer Intern</t>
        </is>
      </c>
      <c r="D76" t="inlineStr">
        <is>
          <t>https://in.jooble.org/desc/-4568808634222375591?ckey=software+development+intern&amp;rgn=158289&amp;pos=3&amp;elckey=-4790967087848484633&amp;p=1&amp;aq=-8929922690946418059&amp;cid=389&amp;jobAge=7&amp;brelb=100&amp;bscr=442.52866&amp;scr=442.52866</t>
        </is>
      </c>
      <c r="E76" t="inlineStr">
        <is>
          <t>AI Analyzer</t>
        </is>
      </c>
      <c r="F76" t="inlineStr">
        <is>
          <t>work from home</t>
        </is>
      </c>
      <c r="G76" t="inlineStr">
        <is>
          <t>Remote</t>
        </is>
      </c>
      <c r="H76" t="inlineStr">
        <is>
          <t>UNKNOWN</t>
        </is>
      </c>
      <c r="I76" t="inlineStr">
        <is>
          <t>UNKNOWN</t>
        </is>
      </c>
      <c r="J76" t="inlineStr">
        <is>
          <t>No explicit PPO mentioned</t>
        </is>
      </c>
      <c r="K76" t="inlineStr">
        <is>
          <t>Backend Development; AI-enabled applications</t>
        </is>
      </c>
      <c r="M76" t="inlineStr">
        <is>
          <t>&amp;nbsp;...Overview We are looking for a motivated AI Backend Engineer &lt;b&gt;Intern &lt;/b&gt; to help build the backend infrastructure that powers Boatigo's...&amp;nbsp;&amp;nbsp;...and applications. This is ideal for someone who enjoys backend &lt;b&gt;development &lt;/b&gt;and wants hands-on experience building AI-enabled production...&amp;nbsp;</t>
        </is>
      </c>
      <c r="N76" t="n">
        <v>62</v>
      </c>
      <c r="O76" t="n">
        <v>70</v>
      </c>
      <c r="P76" t="n">
        <v>70</v>
      </c>
      <c r="Q76" t="n">
        <v>75</v>
      </c>
      <c r="R76" t="n">
        <v>0</v>
      </c>
      <c r="S76" t="n">
        <v>50</v>
      </c>
      <c r="T76" t="n">
        <v>60</v>
      </c>
      <c r="U76" t="inlineStr">
        <is>
          <t>STRETCH</t>
        </is>
      </c>
      <c r="V76" t="inlineStr">
        <is>
          <t>STRETCH</t>
        </is>
      </c>
      <c r="W76" t="inlineStr">
        <is>
          <t>AI backend specific frameworks</t>
        </is>
      </c>
      <c r="X76" t="inlineStr">
        <is>
          <t>Default Full Stack / Backend Resume</t>
        </is>
      </c>
      <c r="Y76" t="inlineStr">
        <is>
          <t>2026-09-10</t>
        </is>
      </c>
      <c r="Z76" t="inlineStr">
        <is>
          <t>Aligns with backend development and AI-adjacent software engineering goals; Remote work mode fits flexibility preferences</t>
        </is>
      </c>
      <c r="AA76" t="inlineStr">
        <is>
          <t>UNKNOWN</t>
        </is>
      </c>
      <c r="AB76" t="inlineStr">
        <is>
          <t>Graduation year and degree requirements are not explicitly stated in the job description.</t>
        </is>
      </c>
      <c r="AC76" t="inlineStr">
        <is>
          <t>UNKNOWN</t>
        </is>
      </c>
      <c r="AD76" t="inlineStr">
        <is>
          <t>Candidate availability details are not provided in the prompt.</t>
        </is>
      </c>
      <c r="AE76" t="inlineStr">
        <is>
          <t>UNKNOWN</t>
        </is>
      </c>
      <c r="AF76" t="n">
        <v>0</v>
      </c>
      <c r="AG76" t="inlineStr">
        <is>
          <t>No</t>
        </is>
      </c>
      <c r="AH76" t="inlineStr">
        <is>
          <t>No explicit PPO mentioned</t>
        </is>
      </c>
      <c r="AI76" t="inlineStr">
        <is>
          <t>The job description does not mention conversion to a full-time role or PPO.</t>
        </is>
      </c>
      <c r="AK76" t="inlineStr">
        <is>
          <t>Stipend is completely undisclosed; Duration is unknown; PPO is not mentioned</t>
        </is>
      </c>
      <c r="AL76" t="inlineStr">
        <is>
          <t>Backend architecture and APIs; AI-enabled application development experience; Node.js or Python backend projects; Database management</t>
        </is>
      </c>
    </row>
    <row r="77">
      <c r="A77" t="inlineStr">
        <is>
          <t>IONIC-(UNDER-260910-31</t>
        </is>
      </c>
      <c r="B77" t="inlineStr">
        <is>
          <t>IONIC (Under Rebranding)</t>
        </is>
      </c>
      <c r="C77" t="inlineStr">
        <is>
          <t>Full Stack Engineer / Tech Intern</t>
        </is>
      </c>
      <c r="D77" t="inlineStr">
        <is>
          <t>https://in.jooble.org/away/6509585558078273655?p=1&amp;pos=2&amp;rgn=3193&amp;cid=389&amp;ckey=full+stack+developer+intern&amp;jobAge=35&amp;brelb=10&amp;scr=1559.8843&amp;bscr=1559.8843&amp;aq=-4733170829206058009&amp;elckey=953019572989986905</t>
        </is>
      </c>
      <c r="E77" t="inlineStr">
        <is>
          <t>AI Analyzer</t>
        </is>
      </c>
      <c r="F77" t="inlineStr">
        <is>
          <t>Bangalore</t>
        </is>
      </c>
      <c r="G77" t="inlineStr">
        <is>
          <t>On-site</t>
        </is>
      </c>
      <c r="H77" t="inlineStr">
        <is>
          <t>INR 25K to 50K</t>
        </is>
      </c>
      <c r="I77" t="inlineStr">
        <is>
          <t>6 months</t>
        </is>
      </c>
      <c r="J77" t="inlineStr">
        <is>
          <t>YES</t>
        </is>
      </c>
      <c r="K77" t="inlineStr">
        <is>
          <t>Full Stack Development; Front-end; Back-end</t>
        </is>
      </c>
      <c r="M77" t="inlineStr">
        <is>
          <t>&amp;nbsp;...We're Hiring: SDE1 and Tech &lt;b&gt;Intern &lt;/b&gt;(Paid - INR 25K to 50K) Location...&amp;nbsp;&amp;nbsp;...| Duration: 6 months (with &lt;b&gt;full-&lt;/b&gt;time opportunity) Role Description...&amp;nbsp;&amp;nbsp;...on-site role for a Full &lt;b&gt;Stack &lt;/b&gt;Engineer. The Full Stack...&amp;nbsp;&amp;nbsp;...be responsible for designing, &lt;b&gt;developing,&lt;/b&gt; and implementing both front-end...&amp;nbsp;</t>
        </is>
      </c>
      <c r="N77" t="n">
        <v>96</v>
      </c>
      <c r="O77" t="n">
        <v>28</v>
      </c>
      <c r="P77" t="n">
        <v>20</v>
      </c>
      <c r="Q77" t="n">
        <v>15</v>
      </c>
      <c r="R77" t="n">
        <v>15</v>
      </c>
      <c r="S77" t="n">
        <v>10</v>
      </c>
      <c r="T77" t="n">
        <v>8</v>
      </c>
      <c r="U77" t="inlineStr">
        <is>
          <t>APPLY ASAP</t>
        </is>
      </c>
      <c r="V77" t="inlineStr">
        <is>
          <t>APPLY ASAP</t>
        </is>
      </c>
      <c r="X77" t="inlineStr">
        <is>
          <t>Full_Stack_Development</t>
        </is>
      </c>
      <c r="Y77" t="inlineStr">
        <is>
          <t>2026-09-10</t>
        </is>
      </c>
      <c r="Z77" t="inlineStr">
        <is>
          <t>Stipend meets the minimum target (INR 25K to 50K); Explicit full-time conversion (PPO) opportunity available after 6 months; Strong match with candidate's Full Stack MERN expertise; On-site role in Bangalore matching target location</t>
        </is>
      </c>
      <c r="AA77" t="inlineStr">
        <is>
          <t>ELIGIBLE</t>
        </is>
      </c>
      <c r="AB77" t="inlineStr">
        <is>
          <t>No explicit degree or graduation year blockers found in the snippet; Matches target role and location preferences</t>
        </is>
      </c>
      <c r="AC77" t="inlineStr">
        <is>
          <t>UNKNOWN</t>
        </is>
      </c>
      <c r="AD77" t="inlineStr">
        <is>
          <t>Availability is not specified in candidate profile or job description</t>
        </is>
      </c>
      <c r="AE77" t="inlineStr">
        <is>
          <t>PAID</t>
        </is>
      </c>
      <c r="AF77" t="n">
        <v>25000</v>
      </c>
      <c r="AG77" t="inlineStr">
        <is>
          <t>No</t>
        </is>
      </c>
      <c r="AH77" t="inlineStr">
        <is>
          <t>YES</t>
        </is>
      </c>
      <c r="AI77" t="inlineStr">
        <is>
          <t>Duration: 6 months (with full-time opportunity)</t>
        </is>
      </c>
      <c r="AK77" t="inlineStr">
        <is>
          <t>Company name indicates rebranding stage</t>
        </is>
      </c>
      <c r="AL77" t="inlineStr">
        <is>
          <t>MERN Stack architecture; RESTful APIs design; State management in React; Database schema design with MongoDB</t>
        </is>
      </c>
      <c r="AM77" t="inlineStr">
        <is>
          <t>E:\InternshipHunter\applications\jooble-41328e9efe02</t>
        </is>
      </c>
      <c r="AN77" t="inlineStr">
        <is>
          <t>Ready for Review</t>
        </is>
      </c>
      <c r="AO77" t="inlineStr">
        <is>
          <t>Generated</t>
        </is>
      </c>
      <c r="AP77" t="inlineStr">
        <is>
          <t>Generated</t>
        </is>
      </c>
      <c r="AQ77" t="inlineStr">
        <is>
          <t>Generated</t>
        </is>
      </c>
      <c r="AR77" t="inlineStr">
        <is>
          <t>Ready to Apply</t>
        </is>
      </c>
    </row>
    <row r="78">
      <c r="A78" t="inlineStr">
        <is>
          <t>EMO.ENERGY-260910-32</t>
        </is>
      </c>
      <c r="B78" t="inlineStr">
        <is>
          <t>emo.energy</t>
        </is>
      </c>
      <c r="C78" t="inlineStr">
        <is>
          <t>Full-Stack Developer</t>
        </is>
      </c>
      <c r="D78" t="inlineStr">
        <is>
          <t>https://in.jooble.org/desc/3071963684124717842?ckey=full+stack+developer+intern&amp;rgn=3193&amp;pos=3&amp;elckey=953019572989986905&amp;p=1&amp;aq=-4733170829206058009&amp;cid=389&amp;jobAge=61&amp;brelb=10&amp;bscr=1436.5935&amp;scr=1436.5935</t>
        </is>
      </c>
      <c r="E78" t="inlineStr">
        <is>
          <t>AI Analyzer</t>
        </is>
      </c>
      <c r="F78" t="inlineStr">
        <is>
          <t>Bangalore</t>
        </is>
      </c>
      <c r="G78" t="inlineStr">
        <is>
          <t>Unknown</t>
        </is>
      </c>
      <c r="H78" t="inlineStr">
        <is>
          <t>Not specified</t>
        </is>
      </c>
      <c r="I78" t="inlineStr">
        <is>
          <t>Unknown</t>
        </is>
      </c>
      <c r="J78" t="inlineStr">
        <is>
          <t>Not Mentioned</t>
        </is>
      </c>
      <c r="K78" t="inlineStr">
        <is>
          <t>Full-Stack Development</t>
        </is>
      </c>
      <c r="M78" t="inlineStr">
        <is>
          <t>&amp;nbsp;...Position: &lt;b&gt;Full-Stack Developer &lt;/b&gt; Location: Bangalore About Us At EMO Energy, we're a fast-moving deep-tech startup revolutionizing...&amp;nbsp;&amp;nbsp;...Summary We're looking for a passionate Full-Stack Developer (&lt;b&gt;Intern &lt;/b&gt;or Entry Level: 0–2 years) who can work with minimal guidance...&amp;nbsp;</t>
        </is>
      </c>
      <c r="N78" t="n">
        <v>71</v>
      </c>
      <c r="O78" t="n">
        <v>25</v>
      </c>
      <c r="P78" t="n">
        <v>20</v>
      </c>
      <c r="Q78" t="n">
        <v>15</v>
      </c>
      <c r="R78" t="n">
        <v>5</v>
      </c>
      <c r="S78" t="n">
        <v>0</v>
      </c>
      <c r="T78" t="n">
        <v>6</v>
      </c>
      <c r="U78" t="inlineStr">
        <is>
          <t>CONSIDER</t>
        </is>
      </c>
      <c r="V78" t="inlineStr">
        <is>
          <t>CONSIDER</t>
        </is>
      </c>
      <c r="X78" t="inlineStr">
        <is>
          <t>Amaanuddin_Ahmed_Full_Stack_Resume</t>
        </is>
      </c>
      <c r="Y78" t="inlineStr">
        <is>
          <t>2026-09-10</t>
        </is>
      </c>
      <c r="Z78" t="inlineStr">
        <is>
          <t>Role matches target Full Stack Development profile.; Experience requirement (0-2 years) fits candidate profile.; Location is Bangalore.</t>
        </is>
      </c>
      <c r="AA78" t="inlineStr">
        <is>
          <t>Eligible</t>
        </is>
      </c>
      <c r="AB78" t="inlineStr">
        <is>
          <t>Experience requirement (0-2 years) matches entry level and intern criteria.</t>
        </is>
      </c>
      <c r="AC78" t="inlineStr">
        <is>
          <t>UNKNOWN</t>
        </is>
      </c>
      <c r="AD78" t="inlineStr">
        <is>
          <t>Availability not specified in the career brain or job description.</t>
        </is>
      </c>
      <c r="AE78" t="inlineStr">
        <is>
          <t>UNKNOWN</t>
        </is>
      </c>
      <c r="AF78" t="n">
        <v>0</v>
      </c>
      <c r="AG78" t="inlineStr">
        <is>
          <t>No</t>
        </is>
      </c>
      <c r="AH78" t="inlineStr">
        <is>
          <t>Not Mentioned</t>
        </is>
      </c>
      <c r="AI78" t="inlineStr">
        <is>
          <t>No explicit mention of PPO or conversion in the job description snippet.</t>
        </is>
      </c>
      <c r="AK78" t="inlineStr">
        <is>
          <t>Stipend/Salary information is missing.; PPO information is not mentioned.</t>
        </is>
      </c>
      <c r="AL78" t="inlineStr">
        <is>
          <t>MERN stack architecture; RESTful APIs implementation; Handling minimal guidance projects; Deep-tech startup interest and adaptability</t>
        </is>
      </c>
    </row>
    <row r="79">
      <c r="A79" t="inlineStr">
        <is>
          <t>PANIKCURE-260910-33</t>
        </is>
      </c>
      <c r="B79" t="inlineStr">
        <is>
          <t>panikcure</t>
        </is>
      </c>
      <c r="C79" t="inlineStr">
        <is>
          <t>Full Stack Developer Intern</t>
        </is>
      </c>
      <c r="D79" t="inlineStr">
        <is>
          <t>https://in.jooble.org/desc/-3123247519826094573?ckey=full+stack+developer+intern&amp;rgn=3193&amp;pos=4&amp;elckey=953019572989986905&amp;p=1&amp;aq=-4733170829206058009&amp;cid=389&amp;jobAge=61&amp;brelb=10&amp;bscr=1414.145&amp;scr=1414.145</t>
        </is>
      </c>
      <c r="E79" t="inlineStr">
        <is>
          <t>AI Analyzer</t>
        </is>
      </c>
      <c r="F79" t="inlineStr">
        <is>
          <t>Bangalore</t>
        </is>
      </c>
      <c r="G79" t="inlineStr">
        <is>
          <t>UNKNOWN</t>
        </is>
      </c>
      <c r="H79" t="inlineStr">
        <is>
          <t>Not specified</t>
        </is>
      </c>
      <c r="I79" t="inlineStr">
        <is>
          <t>UNKNOWN</t>
        </is>
      </c>
      <c r="J79" t="inlineStr">
        <is>
          <t>UNKNOWN</t>
        </is>
      </c>
      <c r="K79" t="inlineStr">
        <is>
          <t>Full Stack Development; UI/UX implementation; Web Development</t>
        </is>
      </c>
      <c r="L79" t="inlineStr">
        <is>
          <t>AI-driven solutions exposure</t>
        </is>
      </c>
      <c r="M79" t="inlineStr">
        <is>
          <t>&amp;nbsp;...™ is an early-stage innovation project exploring AI-driven, non-addictive mental-health solutions. We're looking for a &lt;b&gt;Full Stack Developer Intern &lt;/b&gt; . You'll work closely with a small, cross-functional team to turn UI/UX designs into a functional web product that demonstrates...&amp;nbsp;</t>
        </is>
      </c>
      <c r="N79" t="n">
        <v>62</v>
      </c>
      <c r="O79" t="n">
        <v>70</v>
      </c>
      <c r="P79" t="n">
        <v>70</v>
      </c>
      <c r="Q79" t="n">
        <v>80</v>
      </c>
      <c r="R79" t="n">
        <v>50</v>
      </c>
      <c r="S79" t="n">
        <v>40</v>
      </c>
      <c r="T79" t="n">
        <v>50</v>
      </c>
      <c r="U79" t="inlineStr">
        <is>
          <t>STRETCH</t>
        </is>
      </c>
      <c r="V79" t="inlineStr">
        <is>
          <t>STRETCH</t>
        </is>
      </c>
      <c r="X79" t="inlineStr">
        <is>
          <t>Amaanuddin_Ahmed_Fullstack_Resume.pdf</t>
        </is>
      </c>
      <c r="Y79" t="inlineStr">
        <is>
          <t>2026-09-10</t>
        </is>
      </c>
      <c r="Z79" t="inlineStr">
        <is>
          <t>Aligns well with target Full Stack Developer intern role; Located in Bangalore</t>
        </is>
      </c>
      <c r="AA79" t="inlineStr">
        <is>
          <t>ELIGIBLE</t>
        </is>
      </c>
      <c r="AB79" t="inlineStr">
        <is>
          <t>No explicit hard blockers found in the brief job description.</t>
        </is>
      </c>
      <c r="AC79" t="inlineStr">
        <is>
          <t>UNKNOWN</t>
        </is>
      </c>
      <c r="AD79" t="inlineStr">
        <is>
          <t>Candidate availability details are not provided.</t>
        </is>
      </c>
      <c r="AE79" t="inlineStr">
        <is>
          <t>UNKNOWN</t>
        </is>
      </c>
      <c r="AF79" t="n">
        <v>0</v>
      </c>
      <c r="AG79" t="inlineStr">
        <is>
          <t>No</t>
        </is>
      </c>
      <c r="AH79" t="inlineStr">
        <is>
          <t>UNKNOWN</t>
        </is>
      </c>
      <c r="AI79" t="inlineStr">
        <is>
          <t>No mention of PPO or conversion in the job description.</t>
        </is>
      </c>
      <c r="AK79" t="inlineStr">
        <is>
          <t>Very vague and short job description with no mention of stipend, tech stack details, or duration.</t>
        </is>
      </c>
      <c r="AL79" t="inlineStr">
        <is>
          <t>Full stack web development architecture; Translating UI/UX designs into code; Early-stage startup contribution and AI-driven products</t>
        </is>
      </c>
    </row>
    <row r="80">
      <c r="A80" t="inlineStr">
        <is>
          <t>EMO.ENERGY-260910-34</t>
        </is>
      </c>
      <c r="B80" t="inlineStr">
        <is>
          <t>emo.energy</t>
        </is>
      </c>
      <c r="C80" t="inlineStr">
        <is>
          <t>Full-Stack Developer Intern</t>
        </is>
      </c>
      <c r="D80" t="inlineStr">
        <is>
          <t>https://in.jooble.org/desc/-2588912263494949841?ckey=full+stack+developer+intern&amp;rgn=3193&amp;pos=5&amp;elckey=953019572989986905&amp;p=1&amp;aq=-4733170829206058009&amp;cid=389&amp;jobAge=61&amp;brelb=10&amp;bscr=1344.4529&amp;scr=1344.4529</t>
        </is>
      </c>
      <c r="E80" t="inlineStr">
        <is>
          <t>AI Analyzer</t>
        </is>
      </c>
      <c r="F80" t="inlineStr">
        <is>
          <t>Bangalore</t>
        </is>
      </c>
      <c r="G80" t="inlineStr">
        <is>
          <t>UNKNOWN</t>
        </is>
      </c>
      <c r="H80" t="inlineStr">
        <is>
          <t>Not specified</t>
        </is>
      </c>
      <c r="I80" t="inlineStr">
        <is>
          <t>UNKNOWN</t>
        </is>
      </c>
      <c r="J80" t="inlineStr">
        <is>
          <t>UNKNOWN</t>
        </is>
      </c>
      <c r="K80" t="inlineStr">
        <is>
          <t>Front-end development</t>
        </is>
      </c>
      <c r="M80" t="inlineStr">
        <is>
          <t>&amp;nbsp;...future of mobility by building a comprehensive end-to-end EV &lt;b&gt;Stack.&lt;/b&gt; From high-performance battery systems to cutting-edge...&amp;nbsp;&amp;nbsp;...sustainable and electrified transportation. Job Overview As a &lt;b&gt;Full-&lt;/b&gt;Stack &lt;b&gt;Developer Intern,&lt;/b&gt; you will work primarily on front-end development while also...&amp;nbsp;</t>
        </is>
      </c>
      <c r="N80" t="n">
        <v>70</v>
      </c>
      <c r="O80" t="n">
        <v>25</v>
      </c>
      <c r="P80" t="n">
        <v>15</v>
      </c>
      <c r="Q80" t="n">
        <v>15</v>
      </c>
      <c r="R80" t="n">
        <v>5</v>
      </c>
      <c r="S80" t="n">
        <v>5</v>
      </c>
      <c r="T80" t="n">
        <v>5</v>
      </c>
      <c r="U80" t="inlineStr">
        <is>
          <t>CONSIDER</t>
        </is>
      </c>
      <c r="V80" t="inlineStr">
        <is>
          <t>CONSIDER</t>
        </is>
      </c>
      <c r="X80" t="inlineStr">
        <is>
          <t>Default Full Stack Resume</t>
        </is>
      </c>
      <c r="Y80" t="inlineStr">
        <is>
          <t>2026-09-10</t>
        </is>
      </c>
      <c r="Z80" t="inlineStr">
        <is>
          <t>Matches target Full Stack Development role; Located in Bangalore; Aligns with candidate's MERN stack capabilities</t>
        </is>
      </c>
      <c r="AA80" t="inlineStr">
        <is>
          <t>Eligible</t>
        </is>
      </c>
      <c r="AB80" t="inlineStr">
        <is>
          <t>Location matches target city (Bangalore); Role aligns with target role (Full Stack Development)</t>
        </is>
      </c>
      <c r="AC80" t="inlineStr">
        <is>
          <t>UNKNOWN</t>
        </is>
      </c>
      <c r="AD80" t="inlineStr">
        <is>
          <t>Not specified in candidate profile</t>
        </is>
      </c>
      <c r="AE80" t="inlineStr">
        <is>
          <t>UNKNOWN</t>
        </is>
      </c>
      <c r="AF80" t="n">
        <v>0</v>
      </c>
      <c r="AG80" t="inlineStr">
        <is>
          <t>No</t>
        </is>
      </c>
      <c r="AH80" t="inlineStr">
        <is>
          <t>UNKNOWN</t>
        </is>
      </c>
      <c r="AI80" t="inlineStr">
        <is>
          <t>No explicit mention of PPO or conversion in the snippet</t>
        </is>
      </c>
      <c r="AK80" t="inlineStr">
        <is>
          <t>Incomplete job description snippet; Stipend not disclosed; PPO details not disclosed</t>
        </is>
      </c>
      <c r="AL80" t="inlineStr">
        <is>
          <t>Frontend development experience with React; End-to-end web application architecture; Previous internship or project experience</t>
        </is>
      </c>
    </row>
    <row r="81">
      <c r="A81" t="inlineStr">
        <is>
          <t>TRADEGOSPEL-260910-35</t>
        </is>
      </c>
      <c r="B81" t="inlineStr">
        <is>
          <t>tradegospel</t>
        </is>
      </c>
      <c r="C81" t="inlineStr">
        <is>
          <t>Full Stack Developer Intern</t>
        </is>
      </c>
      <c r="D81" t="inlineStr">
        <is>
          <t>https://in.jooble.org/desc/-4062499930695493919?ckey=full+stack+developer+intern&amp;rgn=3193&amp;pos=6&amp;elckey=953019572989986905&amp;p=1&amp;aq=-4733170829206058009&amp;cid=389&amp;jobAge=325&amp;brelb=10&amp;bscr=1299.7971&amp;scr=1299.7971</t>
        </is>
      </c>
      <c r="E81" t="inlineStr">
        <is>
          <t>AI Analyzer</t>
        </is>
      </c>
      <c r="F81" t="inlineStr">
        <is>
          <t>Bangalore</t>
        </is>
      </c>
      <c r="G81" t="inlineStr">
        <is>
          <t>On-site</t>
        </is>
      </c>
      <c r="H81" t="inlineStr">
        <is>
          <t>Not specified</t>
        </is>
      </c>
      <c r="I81" t="inlineStr">
        <is>
          <t>3 months</t>
        </is>
      </c>
      <c r="J81" t="inlineStr">
        <is>
          <t>UNKNOWN</t>
        </is>
      </c>
      <c r="M81" t="inlineStr">
        <is>
          <t>&amp;nbsp;...collaborate, and grow. Our team is passionate about innovation and creating impactful digital solutions. We are looking for a &lt;b&gt;Full Stack Developer Intern &lt;/b&gt; to join us for a 3-month internship at our Bengaluru office. This is a great opportunity to gain hands-on experience...&amp;nbsp;</t>
        </is>
      </c>
      <c r="N81" t="n">
        <v>48</v>
      </c>
      <c r="O81" t="n">
        <v>50</v>
      </c>
      <c r="P81" t="n">
        <v>70</v>
      </c>
      <c r="Q81" t="n">
        <v>80</v>
      </c>
      <c r="R81" t="n">
        <v>0</v>
      </c>
      <c r="S81" t="n">
        <v>0</v>
      </c>
      <c r="T81" t="n">
        <v>40</v>
      </c>
      <c r="U81" t="inlineStr">
        <is>
          <t>SKIP</t>
        </is>
      </c>
      <c r="V81" t="inlineStr">
        <is>
          <t>SKIP</t>
        </is>
      </c>
      <c r="X81" t="inlineStr">
        <is>
          <t>Amaanuddin_Ahmed_Full_Stack_Resume.pdf</t>
        </is>
      </c>
      <c r="Y81" t="inlineStr">
        <is>
          <t>2026-09-10</t>
        </is>
      </c>
      <c r="Z81" t="inlineStr">
        <is>
          <t>Role matches target Full Stack Development position; Location is in Bangalore</t>
        </is>
      </c>
      <c r="AA81" t="inlineStr">
        <is>
          <t>ELIGIBLE</t>
        </is>
      </c>
      <c r="AB81" t="inlineStr">
        <is>
          <t>Location matches target city (Bangalore); Role aligns with Full Stack Development target</t>
        </is>
      </c>
      <c r="AC81" t="inlineStr">
        <is>
          <t>UNKNOWN</t>
        </is>
      </c>
      <c r="AD81" t="inlineStr">
        <is>
          <t>Availability not explicitly specified in candidate profile or JD constraints</t>
        </is>
      </c>
      <c r="AE81" t="inlineStr">
        <is>
          <t>UNKNOWN</t>
        </is>
      </c>
      <c r="AF81" t="n">
        <v>0</v>
      </c>
      <c r="AG81" t="inlineStr">
        <is>
          <t>No</t>
        </is>
      </c>
      <c r="AH81" t="inlineStr">
        <is>
          <t>UNKNOWN</t>
        </is>
      </c>
      <c r="AI81" t="inlineStr">
        <is>
          <t>No mention of PPO or conversion in the job description</t>
        </is>
      </c>
      <c r="AK81" t="inlineStr">
        <is>
          <t>Stipend details are not provided; No specific required skills or technologies listed in the snippet; PPO information is missing</t>
        </is>
      </c>
      <c r="AL81" t="inlineStr">
        <is>
          <t>Full stack web development fundamentals; MERN stack projects discussion; Past internship or project experience</t>
        </is>
      </c>
    </row>
    <row r="82">
      <c r="A82" t="inlineStr">
        <is>
          <t>RP-INFOCARE--260910-36</t>
        </is>
      </c>
      <c r="B82" t="inlineStr">
        <is>
          <t>rp infocare pvt ltd</t>
        </is>
      </c>
      <c r="C82" t="inlineStr">
        <is>
          <t>Full Stack Web developer Intern- React, PHP</t>
        </is>
      </c>
      <c r="D82" t="inlineStr">
        <is>
          <t>https://in.jooble.org/desc/-5507068087024381505?ckey=full+stack+developer+intern&amp;rgn=3193&amp;pos=9&amp;elckey=953019572989986905&amp;p=1&amp;aq=-4733170829206058009&amp;cid=389&amp;jobAge=61&amp;brelb=10&amp;bscr=1259.2274&amp;scr=1259.2274</t>
        </is>
      </c>
      <c r="E82" t="inlineStr">
        <is>
          <t>AI Analyzer</t>
        </is>
      </c>
      <c r="F82" t="inlineStr">
        <is>
          <t>Bangalore</t>
        </is>
      </c>
      <c r="G82" t="inlineStr">
        <is>
          <t>On-site</t>
        </is>
      </c>
      <c r="H82" t="inlineStr">
        <is>
          <t>NON PAID</t>
        </is>
      </c>
      <c r="I82" t="inlineStr">
        <is>
          <t>Not specified</t>
        </is>
      </c>
      <c r="J82" t="inlineStr">
        <is>
          <t>NOT_MENTIONED</t>
        </is>
      </c>
      <c r="K82" t="inlineStr">
        <is>
          <t>React; PHP</t>
        </is>
      </c>
      <c r="M82" t="inlineStr">
        <is>
          <t>&amp;nbsp;...ensure an exceptional user experience and secure transactions. Role Description This is a &lt;b&gt;full-&lt;/b&gt;time, on-site role located in Bengaluru for a Full &lt;b&gt;Stack &lt;/b&gt;Web &lt;b&gt;Developer Intern-&lt;/b&gt; React, PHP (NON PAID). The intern will be responsible for assisting in both front-end and back-...&amp;nbsp;</t>
        </is>
      </c>
      <c r="N82" t="n">
        <v>38</v>
      </c>
      <c r="O82" t="n">
        <v>50</v>
      </c>
      <c r="P82" t="n">
        <v>50</v>
      </c>
      <c r="Q82" t="n">
        <v>70</v>
      </c>
      <c r="R82" t="n">
        <v>0</v>
      </c>
      <c r="S82" t="n">
        <v>0</v>
      </c>
      <c r="T82" t="n">
        <v>20</v>
      </c>
      <c r="U82" t="inlineStr">
        <is>
          <t>SKIP</t>
        </is>
      </c>
      <c r="V82" t="inlineStr">
        <is>
          <t>SKIP</t>
        </is>
      </c>
      <c r="W82" t="inlineStr">
        <is>
          <t>PHP</t>
        </is>
      </c>
      <c r="X82" t="inlineStr">
        <is>
          <t>Amaanuddin_Ahmed_Full_Stack_Resume.pdf</t>
        </is>
      </c>
      <c r="Y82" t="inlineStr">
        <is>
          <t>2026-09-10</t>
        </is>
      </c>
      <c r="Z82" t="inlineStr">
        <is>
          <t>Located in Bangalore; Full stack web development internship role</t>
        </is>
      </c>
      <c r="AA82" t="inlineStr">
        <is>
          <t>ELIGIBLE</t>
        </is>
      </c>
      <c r="AB82" t="inlineStr">
        <is>
          <t>Location matches target city (Bangalore); Role aligns with Full Stack Development target roles</t>
        </is>
      </c>
      <c r="AC82" t="inlineStr">
        <is>
          <t>UNKNOWN</t>
        </is>
      </c>
      <c r="AD82" t="inlineStr">
        <is>
          <t>Availability dates not provided in candidate profile</t>
        </is>
      </c>
      <c r="AE82" t="inlineStr">
        <is>
          <t>UNPAID</t>
        </is>
      </c>
      <c r="AF82" t="n">
        <v>0</v>
      </c>
      <c r="AG82" t="inlineStr">
        <is>
          <t>No</t>
        </is>
      </c>
      <c r="AH82" t="inlineStr">
        <is>
          <t>NOT_MENTIONED</t>
        </is>
      </c>
      <c r="AI82" t="inlineStr">
        <is>
          <t>No PPO or conversion mention in the job description</t>
        </is>
      </c>
      <c r="AJ82" t="inlineStr">
        <is>
          <t>Stipend is NON PAID, which violates the minimum stipend target of ₹25,000/month</t>
        </is>
      </c>
      <c r="AK82" t="inlineStr">
        <is>
          <t>Non-paid internship; Requires PHP which is not in candidate's primary demonstrated skill stack</t>
        </is>
      </c>
      <c r="AL82" t="inlineStr">
        <is>
          <t>React state management; PHP fundamentals; REST API integration</t>
        </is>
      </c>
    </row>
    <row r="83">
      <c r="A83" t="inlineStr">
        <is>
          <t>AI4SEES-PRIV-260910-37</t>
        </is>
      </c>
      <c r="B83" t="inlineStr">
        <is>
          <t>ai4sees private ltd</t>
        </is>
      </c>
      <c r="C83" t="inlineStr">
        <is>
          <t>Full Stack Web Developer Intern</t>
        </is>
      </c>
      <c r="D83" t="inlineStr">
        <is>
          <t>https://in.jooble.org/desc/4356507815804547926?ckey=full+stack+developer+intern&amp;rgn=3193&amp;pos=10&amp;elckey=953019572989986905&amp;p=1&amp;aq=-4733170829206058009&amp;cid=389&amp;jobAge=277&amp;brelb=10&amp;bscr=1239.3328&amp;scr=1239.3328</t>
        </is>
      </c>
      <c r="E83" t="inlineStr">
        <is>
          <t>AI Analyzer</t>
        </is>
      </c>
      <c r="F83" t="inlineStr">
        <is>
          <t>Bangalore</t>
        </is>
      </c>
      <c r="G83" t="inlineStr">
        <is>
          <t>On-site</t>
        </is>
      </c>
      <c r="H83" t="inlineStr">
        <is>
          <t>Not specified</t>
        </is>
      </c>
      <c r="I83" t="inlineStr">
        <is>
          <t>UNKNOWN</t>
        </is>
      </c>
      <c r="J83" t="inlineStr">
        <is>
          <t>NOT_MENTIONED</t>
        </is>
      </c>
      <c r="K83" t="inlineStr">
        <is>
          <t>Full Stack Web Development</t>
        </is>
      </c>
      <c r="M83" t="inlineStr">
        <is>
          <t>&amp;nbsp;...application development, and digital marketing. AI4SEES also &lt;b&gt;develops &lt;/b&gt;SaaS and PaaS products, IoT and cloud technology...&amp;nbsp;&amp;nbsp;...and clients. Role Description This is a &lt;b&gt;full-&lt;/b&gt;time, on-site Full &lt;b&gt;Stack &lt;/b&gt;Web Developer &lt;b&gt;Intern &lt;/b&gt;role based in Bengaluru. The intern will assist in designing...&amp;nbsp;</t>
        </is>
      </c>
      <c r="N83" t="n">
        <v>60</v>
      </c>
      <c r="O83" t="n">
        <v>25</v>
      </c>
      <c r="P83" t="n">
        <v>15</v>
      </c>
      <c r="Q83" t="n">
        <v>15</v>
      </c>
      <c r="R83" t="n">
        <v>0</v>
      </c>
      <c r="S83" t="n">
        <v>0</v>
      </c>
      <c r="T83" t="n">
        <v>5</v>
      </c>
      <c r="U83" t="inlineStr">
        <is>
          <t>STRETCH</t>
        </is>
      </c>
      <c r="V83" t="inlineStr">
        <is>
          <t>STRETCH</t>
        </is>
      </c>
      <c r="X83" t="inlineStr">
        <is>
          <t>Amaanuddin_Ahmed_Full_Stack_Resume.pdf</t>
        </is>
      </c>
      <c r="Y83" t="inlineStr">
        <is>
          <t>2026-09-10</t>
        </is>
      </c>
      <c r="Z83" t="inlineStr">
        <is>
          <t>Role aligns well with Full Stack Development target; Matches candidate's MERN stack skill set</t>
        </is>
      </c>
      <c r="AA83" t="inlineStr">
        <is>
          <t>ELIGIBLE</t>
        </is>
      </c>
      <c r="AB83" t="inlineStr">
        <is>
          <t>No explicit degree or graduation year restrictions mentioned in the JD; Matches target Full Stack Development role</t>
        </is>
      </c>
      <c r="AC83" t="inlineStr">
        <is>
          <t>UNKNOWN</t>
        </is>
      </c>
      <c r="AD83" t="inlineStr">
        <is>
          <t>Availability not specified in candidate profile or job description</t>
        </is>
      </c>
      <c r="AE83" t="inlineStr">
        <is>
          <t>UNKNOWN</t>
        </is>
      </c>
      <c r="AF83" t="n">
        <v>0</v>
      </c>
      <c r="AG83" t="inlineStr">
        <is>
          <t>No</t>
        </is>
      </c>
      <c r="AH83" t="inlineStr">
        <is>
          <t>NOT_MENTIONED</t>
        </is>
      </c>
      <c r="AI83" t="inlineStr">
        <is>
          <t>No mention of PPO or conversion in the job description</t>
        </is>
      </c>
      <c r="AK83" t="inlineStr">
        <is>
          <t>Stipend is not disclosed; Job description is very brief and lacks detailed requirements</t>
        </is>
      </c>
      <c r="AL83" t="inlineStr">
        <is>
          <t>MERN stack application architecture; RESTful API design and implementation; Previous full stack projects (StaySphere, Zenvest)</t>
        </is>
      </c>
    </row>
    <row r="84">
      <c r="A84" t="inlineStr">
        <is>
          <t>IMPACTO-DIGI-260910-38</t>
        </is>
      </c>
      <c r="B84" t="inlineStr">
        <is>
          <t>Impacto Digifin Technologies Pvt. Ltd.</t>
        </is>
      </c>
      <c r="C84" t="inlineStr">
        <is>
          <t>Full Stack Developer Intern</t>
        </is>
      </c>
      <c r="D84" t="inlineStr">
        <is>
          <t>https://in.jooble.org/desc/-3040557102943083105?ckey=full+stack+developer+intern&amp;rgn=3193&amp;pos=15&amp;elckey=953019572989986905&amp;p=1&amp;aq=-4733170829206058009&amp;cid=389&amp;jobAge=205&amp;brelb=10&amp;bscr=1126.1904&amp;scr=1126.1904</t>
        </is>
      </c>
      <c r="E84" t="inlineStr">
        <is>
          <t>AI Analyzer</t>
        </is>
      </c>
      <c r="F84" t="inlineStr">
        <is>
          <t>Brookefield, Bangalore</t>
        </is>
      </c>
      <c r="G84" t="inlineStr">
        <is>
          <t>Work From Office</t>
        </is>
      </c>
      <c r="H84" t="inlineStr">
        <is>
          <t>₹15,000 per Month</t>
        </is>
      </c>
      <c r="I84" t="inlineStr">
        <is>
          <t>6 Months</t>
        </is>
      </c>
      <c r="J84" t="inlineStr">
        <is>
          <t>Not Mentioned</t>
        </is>
      </c>
      <c r="K84" t="inlineStr">
        <is>
          <t>Full Stack Development</t>
        </is>
      </c>
      <c r="M84" t="inlineStr">
        <is>
          <t>&amp;nbsp;...&lt;b&gt;Full Stack Developer Intern &lt;/b&gt; Company: Impacto Digifin Technologies Pvt. Ltd. Position: Full Stack Developer Intern Location: Brookefield, Bangalore (Work From Office) Duration: 6 Months Stipend: ₹15,000 per Month Working Hours: 9:00 AM – 6:00 PM Working...&amp;nbsp;</t>
        </is>
      </c>
      <c r="N84" t="n">
        <v>58</v>
      </c>
      <c r="O84" t="n">
        <v>80</v>
      </c>
      <c r="P84" t="n">
        <v>80</v>
      </c>
      <c r="Q84" t="n">
        <v>85</v>
      </c>
      <c r="R84" t="n">
        <v>0</v>
      </c>
      <c r="S84" t="n">
        <v>40</v>
      </c>
      <c r="T84" t="n">
        <v>50</v>
      </c>
      <c r="U84" t="inlineStr">
        <is>
          <t>SKIP</t>
        </is>
      </c>
      <c r="V84" t="inlineStr">
        <is>
          <t>SKIP</t>
        </is>
      </c>
      <c r="X84" t="inlineStr">
        <is>
          <t>Default Full Stack / MERN Resume</t>
        </is>
      </c>
      <c r="Y84" t="inlineStr">
        <is>
          <t>2026-09-10</t>
        </is>
      </c>
      <c r="Z84" t="inlineStr">
        <is>
          <t>Matches target Full Stack Developer role; Located in Bangalore with a work-from-office setup</t>
        </is>
      </c>
      <c r="AA84" t="inlineStr">
        <is>
          <t>Eligible</t>
        </is>
      </c>
      <c r="AB84" t="inlineStr">
        <is>
          <t>Location matches target city (Bangalore); Duration of 6 months aligns with standard internship criteria</t>
        </is>
      </c>
      <c r="AC84" t="inlineStr">
        <is>
          <t>Unknown</t>
        </is>
      </c>
      <c r="AD84" t="inlineStr">
        <is>
          <t>Availability timeline not specified in candidate profile</t>
        </is>
      </c>
      <c r="AE84" t="inlineStr">
        <is>
          <t>Below Target</t>
        </is>
      </c>
      <c r="AF84" t="n">
        <v>15000</v>
      </c>
      <c r="AG84" t="inlineStr">
        <is>
          <t>No</t>
        </is>
      </c>
      <c r="AH84" t="inlineStr">
        <is>
          <t>Not Mentioned</t>
        </is>
      </c>
      <c r="AI84" t="inlineStr">
        <is>
          <t>No mention of conversion or Pre-Placement Offer in the job description.</t>
        </is>
      </c>
      <c r="AK84" t="inlineStr">
        <is>
          <t>Stipend of ₹15,000 is below the candidate's minimum target of ₹25,000; No PPO mention</t>
        </is>
      </c>
      <c r="AL84" t="inlineStr">
        <is>
          <t>MERN Stack architecture; REST API design; State management in React; Database schema design with MongoDB</t>
        </is>
      </c>
    </row>
    <row r="85">
      <c r="A85" t="inlineStr">
        <is>
          <t>COINBASE-IND-260910-39</t>
        </is>
      </c>
      <c r="B85" t="inlineStr">
        <is>
          <t>Coinbase India Services</t>
        </is>
      </c>
      <c r="C85" t="inlineStr">
        <is>
          <t>Software Engineer Intern</t>
        </is>
      </c>
      <c r="D85" t="inlineStr">
        <is>
          <t>https://in.jooble.org/desc/1797195671655267307?ckey=full+stack+developer+intern&amp;rgn=158289&amp;pos=7&amp;elckey=2779378181405776718&amp;p=1&amp;aq=8080683883857761511&amp;cid=389&amp;jobAge=1381&amp;brelb=10&amp;bscr=158.13762&amp;scr=158.13762</t>
        </is>
      </c>
      <c r="E85" t="inlineStr">
        <is>
          <t>AI Analyzer</t>
        </is>
      </c>
      <c r="F85" t="inlineStr">
        <is>
          <t>work from home</t>
        </is>
      </c>
      <c r="G85" t="inlineStr">
        <is>
          <t>Remote</t>
        </is>
      </c>
      <c r="H85" t="inlineStr">
        <is>
          <t>Rs 2.5 - 5 lakhs p.a.</t>
        </is>
      </c>
      <c r="I85" t="inlineStr">
        <is>
          <t>UNKNOWN</t>
        </is>
      </c>
      <c r="J85" t="inlineStr">
        <is>
          <t>UNKNOWN</t>
        </is>
      </c>
      <c r="K85" t="inlineStr">
        <is>
          <t>Software Engineering; Large scale systems; Web technologies</t>
        </is>
      </c>
      <c r="L85" t="inlineStr">
        <is>
          <t>Crypto-forward products</t>
        </is>
      </c>
      <c r="M85"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85" t="n">
        <v>72</v>
      </c>
      <c r="O85" t="n">
        <v>75</v>
      </c>
      <c r="P85" t="n">
        <v>70</v>
      </c>
      <c r="Q85" t="n">
        <v>80</v>
      </c>
      <c r="R85" t="n">
        <v>50</v>
      </c>
      <c r="S85" t="n">
        <v>60</v>
      </c>
      <c r="T85" t="n">
        <v>85</v>
      </c>
      <c r="U85" t="inlineStr">
        <is>
          <t>CONSIDER</t>
        </is>
      </c>
      <c r="V85" t="inlineStr">
        <is>
          <t>CONSIDER</t>
        </is>
      </c>
      <c r="W85" t="inlineStr">
        <is>
          <t>Crypto-specific product experience</t>
        </is>
      </c>
      <c r="X85" t="inlineStr">
        <is>
          <t>Amaanuddin_Ahmed_Software_Engineer_Resume.pdf</t>
        </is>
      </c>
      <c r="Y85" t="inlineStr">
        <is>
          <t>2026-09-10</t>
        </is>
      </c>
      <c r="Z85" t="inlineStr">
        <is>
          <t>Coinbase is a high-quality global tech company working on cutting-edge crypto-forward products.; Role matches general Software Engineering profile.; Remote work mode aligns well.</t>
        </is>
      </c>
      <c r="AA85" t="inlineStr">
        <is>
          <t>ELIGIBLE</t>
        </is>
      </c>
      <c r="AB85" t="inlineStr">
        <is>
          <t>Candidate is pursuing MCA at PES University.; No specific hard graduation year or degree restrictions were mentioned in the snippet.</t>
        </is>
      </c>
      <c r="AC85" t="inlineStr">
        <is>
          <t>UNKNOWN</t>
        </is>
      </c>
      <c r="AD85" t="inlineStr">
        <is>
          <t>Availability start date not specified in the career brain.</t>
        </is>
      </c>
      <c r="AE85" t="inlineStr">
        <is>
          <t>DISCLOSED</t>
        </is>
      </c>
      <c r="AF85" t="n">
        <v>20833</v>
      </c>
      <c r="AG85" t="inlineStr">
        <is>
          <t>No</t>
        </is>
      </c>
      <c r="AH85" t="inlineStr">
        <is>
          <t>UNKNOWN</t>
        </is>
      </c>
      <c r="AI85" t="inlineStr">
        <is>
          <t>No explicit PPO or conversion mention found in the snippet.</t>
        </is>
      </c>
      <c r="AK85" t="inlineStr">
        <is>
          <t>Minimum stipend range starts below the candidate's target of 25,000/month (Rs 2.5 lakhs p.a. is ~20.8k/month).</t>
        </is>
      </c>
      <c r="AL85" t="inlineStr">
        <is>
          <t>Large scale web architecture; Data structures and algorithms; System design fundamentals; Web technologies and REST APIs</t>
        </is>
      </c>
    </row>
    <row r="86">
      <c r="A86" t="inlineStr">
        <is>
          <t>BOATIGO-260910-40</t>
        </is>
      </c>
      <c r="B86" t="inlineStr">
        <is>
          <t>Boatigo</t>
        </is>
      </c>
      <c r="C86" t="inlineStr">
        <is>
          <t>AI Backend Engineer Intern</t>
        </is>
      </c>
      <c r="D86" t="inlineStr">
        <is>
          <t>https://in.jooble.org/desc/-4568808634222375591?ckey=backend+developer+intern&amp;rgn=158289&amp;pos=1&amp;elckey=-3520815707833452043&amp;p=1&amp;aq=-6187450009504489705&amp;cid=389&amp;jobAge=7&amp;brelb=100&amp;bscr=295.33273&amp;scr=295.33273</t>
        </is>
      </c>
      <c r="E86" t="inlineStr">
        <is>
          <t>AI Analyzer</t>
        </is>
      </c>
      <c r="F86" t="inlineStr">
        <is>
          <t>Remote</t>
        </is>
      </c>
      <c r="G86" t="inlineStr">
        <is>
          <t>Work from home</t>
        </is>
      </c>
      <c r="H86" t="inlineStr">
        <is>
          <t>Not specified</t>
        </is>
      </c>
      <c r="I86" t="inlineStr">
        <is>
          <t>UNKNOWN</t>
        </is>
      </c>
      <c r="J86" t="inlineStr">
        <is>
          <t>UNKNOWN</t>
        </is>
      </c>
      <c r="K86" t="inlineStr">
        <is>
          <t>Python; REST APIs; Backend infrastructure</t>
        </is>
      </c>
      <c r="L86" t="inlineStr">
        <is>
          <t>AI integration</t>
        </is>
      </c>
      <c r="M86" t="inlineStr">
        <is>
          <t>&amp;nbsp;...operations. Role Overview We are looking for a motivated AI &lt;b&gt;Backend &lt;/b&gt;Engineer &lt;b&gt;Intern &lt;/b&gt; to help build the backend infrastructure that powers...&amp;nbsp;&amp;nbsp;...backend services and APIs for AI-powered Boatigo features. &lt;b&gt;Develop &lt;/b&gt;scalable REST APIs and backend services using Python or...&amp;nbsp;</t>
        </is>
      </c>
      <c r="N86" t="n">
        <v>72</v>
      </c>
      <c r="O86" t="n">
        <v>24</v>
      </c>
      <c r="P86" t="n">
        <v>16</v>
      </c>
      <c r="Q86" t="n">
        <v>14</v>
      </c>
      <c r="R86" t="n">
        <v>7</v>
      </c>
      <c r="S86" t="n">
        <v>5</v>
      </c>
      <c r="T86" t="n">
        <v>6</v>
      </c>
      <c r="U86" t="inlineStr">
        <is>
          <t>CONSIDER</t>
        </is>
      </c>
      <c r="V86" t="inlineStr">
        <is>
          <t>CONSIDER</t>
        </is>
      </c>
      <c r="W86" t="inlineStr">
        <is>
          <t>AI-specific backend architecture</t>
        </is>
      </c>
      <c r="X86" t="inlineStr">
        <is>
          <t>Amaan_Ahmed_Backend_Python_Resume</t>
        </is>
      </c>
      <c r="Y86" t="inlineStr">
        <is>
          <t>2026-09-10</t>
        </is>
      </c>
      <c r="Z86" t="inlineStr">
        <is>
          <t>Matches backend engineering and Python skillset.; Remote work-from-home setup.</t>
        </is>
      </c>
      <c r="AA86" t="inlineStr">
        <is>
          <t>ELIGIBLE</t>
        </is>
      </c>
      <c r="AB86" t="inlineStr">
        <is>
          <t>Remote role aligns with flexibility.; Tech stack (Python) matches candidate profile.</t>
        </is>
      </c>
      <c r="AC86" t="inlineStr">
        <is>
          <t>UNKNOWN</t>
        </is>
      </c>
      <c r="AD86" t="inlineStr">
        <is>
          <t>Not specified in candidate profile</t>
        </is>
      </c>
      <c r="AE86" t="inlineStr">
        <is>
          <t>UNKNOWN</t>
        </is>
      </c>
      <c r="AF86" t="n">
        <v>0</v>
      </c>
      <c r="AG86" t="inlineStr">
        <is>
          <t>No</t>
        </is>
      </c>
      <c r="AH86" t="inlineStr">
        <is>
          <t>UNKNOWN</t>
        </is>
      </c>
      <c r="AI86" t="inlineStr">
        <is>
          <t>Not mentioned in the short job description snippet.</t>
        </is>
      </c>
      <c r="AK86" t="inlineStr">
        <is>
          <t>Extremely brief job description details provided</t>
        </is>
      </c>
      <c r="AL86" t="inlineStr">
        <is>
          <t>Python REST API development; Backend scalability; AI feature integration</t>
        </is>
      </c>
    </row>
    <row r="87">
      <c r="A87" t="inlineStr">
        <is>
          <t>COINBASE-IND-260910-41</t>
        </is>
      </c>
      <c r="B87" t="inlineStr">
        <is>
          <t>Coinbase India Services</t>
        </is>
      </c>
      <c r="C87" t="inlineStr">
        <is>
          <t>Software Engineer Intern</t>
        </is>
      </c>
      <c r="D87" t="inlineStr">
        <is>
          <t>https://in.jooble.org/desc/1797195671655267307?ckey=backend+developer+intern&amp;rgn=158289&amp;pos=8&amp;elckey=-3520815707833452043&amp;p=1&amp;aq=-6187450009504489705&amp;cid=389&amp;jobAge=1381&amp;brelb=10&amp;bscr=158.13762&amp;scr=158.13762</t>
        </is>
      </c>
      <c r="E87" t="inlineStr">
        <is>
          <t>AI Analyzer</t>
        </is>
      </c>
      <c r="F87" t="inlineStr">
        <is>
          <t>work from home</t>
        </is>
      </c>
      <c r="G87" t="inlineStr">
        <is>
          <t>Remote</t>
        </is>
      </c>
      <c r="H87" t="inlineStr">
        <is>
          <t>Rs 2.5 - 5 lakhs p.a.</t>
        </is>
      </c>
      <c r="I87" t="inlineStr">
        <is>
          <t>UNKNOWN</t>
        </is>
      </c>
      <c r="J87" t="inlineStr">
        <is>
          <t>UNKNOWN</t>
        </is>
      </c>
      <c r="K87" t="inlineStr">
        <is>
          <t>Software Engineering; Problem Solving</t>
        </is>
      </c>
      <c r="L87" t="inlineStr">
        <is>
          <t>Crypto products; Large scale systems</t>
        </is>
      </c>
      <c r="M87"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87" t="n">
        <v>78</v>
      </c>
      <c r="O87" t="n">
        <v>22</v>
      </c>
      <c r="P87" t="n">
        <v>15</v>
      </c>
      <c r="Q87" t="n">
        <v>12</v>
      </c>
      <c r="R87" t="n">
        <v>10</v>
      </c>
      <c r="S87" t="n">
        <v>10</v>
      </c>
      <c r="T87" t="n">
        <v>9</v>
      </c>
      <c r="U87" t="inlineStr">
        <is>
          <t>CONSIDER</t>
        </is>
      </c>
      <c r="V87" t="inlineStr">
        <is>
          <t>CONSIDER</t>
        </is>
      </c>
      <c r="W87" t="inlineStr">
        <is>
          <t>Crypto-forward domain experience</t>
        </is>
      </c>
      <c r="X87" t="inlineStr">
        <is>
          <t>Amaanuddin_Ahmed_Software_Engineer_Resume.pdf</t>
        </is>
      </c>
      <c r="Y87" t="inlineStr">
        <is>
          <t>2026-09-10</t>
        </is>
      </c>
      <c r="Z87" t="inlineStr">
        <is>
          <t>Strong compensation meeting minimum target requirements; Prestigious brand (Coinbase) for an internship; Aligns well with software engineering target roles</t>
        </is>
      </c>
      <c r="AA87" t="inlineStr">
        <is>
          <t>ELIGIBLE</t>
        </is>
      </c>
      <c r="AB87" t="inlineStr">
        <is>
          <t>Meets general software engineering intern profile; No hard blockers found in the brief JD snippet</t>
        </is>
      </c>
      <c r="AC87" t="inlineStr">
        <is>
          <t>UNKNOWN</t>
        </is>
      </c>
      <c r="AD87" t="inlineStr">
        <is>
          <t>Not specified in the candidate profile or job description.</t>
        </is>
      </c>
      <c r="AE87" t="inlineStr">
        <is>
          <t>DISCLOSED</t>
        </is>
      </c>
      <c r="AF87" t="n">
        <v>250000</v>
      </c>
      <c r="AG87" t="inlineStr">
        <is>
          <t>No</t>
        </is>
      </c>
      <c r="AH87" t="inlineStr">
        <is>
          <t>UNKNOWN</t>
        </is>
      </c>
      <c r="AI87" t="inlineStr">
        <is>
          <t>Not explicitly mentioned in the provided snippet.</t>
        </is>
      </c>
      <c r="AL87" t="inlineStr">
        <is>
          <t>Data Structures and Algorithms; System Design and Scalability; Object-Oriented Programming; Past Projects Architecture</t>
        </is>
      </c>
    </row>
    <row r="88">
      <c r="A88" t="inlineStr">
        <is>
          <t>REPOWISE-260910-42</t>
        </is>
      </c>
      <c r="B88" t="inlineStr">
        <is>
          <t>Repowise</t>
        </is>
      </c>
      <c r="C88" t="inlineStr">
        <is>
          <t>SDE Intern (Founding Team) | AI x Developer Tools</t>
        </is>
      </c>
      <c r="D88" t="inlineStr">
        <is>
          <t>https://in.jooble.org/away/8042308166668747854?p=1&amp;pos=1&amp;rgn=3193&amp;cid=389&amp;ckey=SDE+intern&amp;jobAge=35&amp;brelb=10&amp;scr=2052.148&amp;bscr=2052.148&amp;aq=5105804967229935953&amp;elckey=-6271670736667479491</t>
        </is>
      </c>
      <c r="E88" t="inlineStr">
        <is>
          <t>AI Analyzer</t>
        </is>
      </c>
      <c r="F88" t="inlineStr">
        <is>
          <t>Bangalore</t>
        </is>
      </c>
      <c r="G88" t="inlineStr">
        <is>
          <t>Remote</t>
        </is>
      </c>
      <c r="H88" t="inlineStr">
        <is>
          <t>Not specified</t>
        </is>
      </c>
      <c r="I88" t="inlineStr">
        <is>
          <t>Not specified</t>
        </is>
      </c>
      <c r="J88" t="inlineStr">
        <is>
          <t>NOT_MENTIONED</t>
        </is>
      </c>
      <c r="K88" t="inlineStr">
        <is>
          <t>Python; FastAPI; Docker</t>
        </is>
      </c>
      <c r="L88" t="inlineStr">
        <is>
          <t>tree-sitter; git internals; vector search; MCP; LLM integrations</t>
        </is>
      </c>
      <c r="M88" t="inlineStr">
        <is>
          <t>&amp;nbsp;...code Take ownership of features from idea to deployment Tech Stack (Exposure You'll Get) Python, FastAPI, tree-sitter, git &lt;b&gt;internals,&lt;/b&gt; vector search, Docker, MCP, and LLM integrations, applied to static code analysis across 15 languages Qualifications Strong...&amp;nbsp;</t>
        </is>
      </c>
      <c r="N88" t="n">
        <v>58</v>
      </c>
      <c r="O88" t="n">
        <v>50</v>
      </c>
      <c r="P88" t="n">
        <v>70</v>
      </c>
      <c r="Q88" t="n">
        <v>75</v>
      </c>
      <c r="R88" t="n">
        <v>30</v>
      </c>
      <c r="S88" t="n">
        <v>30</v>
      </c>
      <c r="T88" t="n">
        <v>80</v>
      </c>
      <c r="U88" t="inlineStr">
        <is>
          <t>SKIP</t>
        </is>
      </c>
      <c r="V88" t="inlineStr">
        <is>
          <t>SKIP</t>
        </is>
      </c>
      <c r="W88" t="inlineStr">
        <is>
          <t>FastAPI; Docker; tree-sitter; vector search; LLM integrations</t>
        </is>
      </c>
      <c r="X88" t="inlineStr">
        <is>
          <t>Amaanuddin_Ahmed_Software_Engineer_Resume.pdf</t>
        </is>
      </c>
      <c r="Y88" t="inlineStr">
        <is>
          <t>2026-09-10</t>
        </is>
      </c>
      <c r="Z88" t="inlineStr">
        <is>
          <t>Exciting founding team role in AI x Developer Tools; Remote work mode fits flexibility</t>
        </is>
      </c>
      <c r="AA88" t="inlineStr">
        <is>
          <t>UNKNOWN</t>
        </is>
      </c>
      <c r="AC88" t="inlineStr">
        <is>
          <t>UNKNOWN</t>
        </is>
      </c>
      <c r="AD88" t="inlineStr">
        <is>
          <t>Not specified in the job description.</t>
        </is>
      </c>
      <c r="AE88" t="inlineStr">
        <is>
          <t>UNKNOWN</t>
        </is>
      </c>
      <c r="AF88" t="n">
        <v>0</v>
      </c>
      <c r="AG88" t="inlineStr">
        <is>
          <t>No</t>
        </is>
      </c>
      <c r="AH88" t="inlineStr">
        <is>
          <t>NOT_MENTIONED</t>
        </is>
      </c>
      <c r="AI88" t="inlineStr">
        <is>
          <t>No explicit mention of PPO or conversion.</t>
        </is>
      </c>
      <c r="AK88" t="inlineStr">
        <is>
          <t>Unspecified stipend</t>
        </is>
      </c>
      <c r="AL88" t="inlineStr">
        <is>
          <t>Python fundamentals; API development with FastAPI; Containerization with Docker; Static code analysis concepts</t>
        </is>
      </c>
    </row>
    <row r="89">
      <c r="A89" t="inlineStr">
        <is>
          <t>VETIFI-260910-43</t>
        </is>
      </c>
      <c r="B89" t="inlineStr">
        <is>
          <t>Vetifi</t>
        </is>
      </c>
      <c r="C89" t="inlineStr">
        <is>
          <t>Flutter SDE Intern</t>
        </is>
      </c>
      <c r="D89" t="inlineStr">
        <is>
          <t>https://in.jooble.org/desc/-1529116818359291845?ckey=SDE+intern&amp;rgn=3193&amp;pos=3&amp;elckey=-6271670736667479491&amp;p=1&amp;aq=5105804967229935953&amp;cid=389&amp;jobAge=1069&amp;brelb=10&amp;bscr=1635.8254&amp;scr=1635.8254</t>
        </is>
      </c>
      <c r="E89" t="inlineStr">
        <is>
          <t>AI Analyzer</t>
        </is>
      </c>
      <c r="F89" t="inlineStr">
        <is>
          <t>Remote</t>
        </is>
      </c>
      <c r="G89" t="inlineStr">
        <is>
          <t>Remote</t>
        </is>
      </c>
      <c r="H89" t="inlineStr">
        <is>
          <t>Unpaid Internship</t>
        </is>
      </c>
      <c r="I89" t="inlineStr">
        <is>
          <t>3-6 months preferred</t>
        </is>
      </c>
      <c r="J89" t="inlineStr">
        <is>
          <t>NOT_MENTIONED</t>
        </is>
      </c>
      <c r="K89" t="inlineStr">
        <is>
          <t>Flutter; Mobile App Development</t>
        </is>
      </c>
      <c r="M89" t="inlineStr">
        <is>
          <t>Job Description: Flutter &lt;b&gt;SDE Intern &lt;/b&gt;(Mobile App Development) Company: Vetifi Location: Remote Internship Type: Unpaid Internship Duration: Flexible (3–6 months preferred) About Vetifi Vetifi is an innovative veterinary-focused application built...&amp;nbsp;</t>
        </is>
      </c>
      <c r="N89" t="n">
        <v>14</v>
      </c>
      <c r="O89" t="n">
        <v>0</v>
      </c>
      <c r="P89" t="n">
        <v>50</v>
      </c>
      <c r="Q89" t="n">
        <v>20</v>
      </c>
      <c r="R89" t="n">
        <v>0</v>
      </c>
      <c r="S89" t="n">
        <v>0</v>
      </c>
      <c r="T89" t="n">
        <v>20</v>
      </c>
      <c r="U89" t="inlineStr">
        <is>
          <t>SKIP</t>
        </is>
      </c>
      <c r="V89" t="inlineStr">
        <is>
          <t>SKIP</t>
        </is>
      </c>
      <c r="W89" t="inlineStr">
        <is>
          <t>Flutter; Mobile App Development</t>
        </is>
      </c>
      <c r="X89" t="inlineStr">
        <is>
          <t>Default Full Stack Resume</t>
        </is>
      </c>
      <c r="Y89" t="inlineStr">
        <is>
          <t>2026-09-10</t>
        </is>
      </c>
      <c r="AA89" t="inlineStr">
        <is>
          <t>ELIGIBLE</t>
        </is>
      </c>
      <c r="AB89" t="inlineStr">
        <is>
          <t>No strict degree or experience blockers mentioned in the description.</t>
        </is>
      </c>
      <c r="AC89" t="inlineStr">
        <is>
          <t>UNKNOWN</t>
        </is>
      </c>
      <c r="AD89" t="inlineStr">
        <is>
          <t>Availability not specified in candidate profile or job description.</t>
        </is>
      </c>
      <c r="AE89" t="inlineStr">
        <is>
          <t>UNPAID</t>
        </is>
      </c>
      <c r="AF89" t="n">
        <v>0</v>
      </c>
      <c r="AG89" t="inlineStr">
        <is>
          <t>No</t>
        </is>
      </c>
      <c r="AH89" t="inlineStr">
        <is>
          <t>NOT_MENTIONED</t>
        </is>
      </c>
      <c r="AI89" t="inlineStr">
        <is>
          <t>No mention of PPO or conversion in the job description.</t>
        </is>
      </c>
      <c r="AJ89" t="inlineStr">
        <is>
          <t>Unpaid Internship fails minimum stipend target of ₹25,000/month; Lack of Flutter/Mobile App Development stack</t>
        </is>
      </c>
      <c r="AK89" t="inlineStr">
        <is>
          <t>Unpaid internship; Tech stack mismatch (Flutter required, MERN/Java/Python demonstrated)</t>
        </is>
      </c>
      <c r="AL89" t="inlineStr">
        <is>
          <t>Flutter framework basics; Mobile app state management; Cross-platform development</t>
        </is>
      </c>
    </row>
    <row r="90">
      <c r="A90" t="inlineStr">
        <is>
          <t>COINBASE-IND-260910-44</t>
        </is>
      </c>
      <c r="B90" t="inlineStr">
        <is>
          <t>Coinbase India Services</t>
        </is>
      </c>
      <c r="C90" t="inlineStr">
        <is>
          <t>Software Engineer Intern</t>
        </is>
      </c>
      <c r="D90" t="inlineStr">
        <is>
          <t>https://in.jooble.org/desc/1797195671655267307?ckey=SDE+intern&amp;rgn=158289&amp;pos=2&amp;elckey=1863874851629358450&amp;p=1&amp;aq=-1822151525624909990&amp;cid=389&amp;jobAge=1381&amp;brelb=10&amp;bscr=231.89882&amp;scr=231.89882</t>
        </is>
      </c>
      <c r="E90" t="inlineStr">
        <is>
          <t>AI Analyzer</t>
        </is>
      </c>
      <c r="F90" t="inlineStr">
        <is>
          <t>India</t>
        </is>
      </c>
      <c r="G90" t="inlineStr">
        <is>
          <t>work from home</t>
        </is>
      </c>
      <c r="H90" t="inlineStr">
        <is>
          <t>Rs 2.5 - 5 lakhs p.a.</t>
        </is>
      </c>
      <c r="I90" t="inlineStr">
        <is>
          <t>UNKNOWN</t>
        </is>
      </c>
      <c r="J90" t="inlineStr">
        <is>
          <t>UNKNOWN</t>
        </is>
      </c>
      <c r="L90" t="inlineStr">
        <is>
          <t>Web Technologies; Software Engineering</t>
        </is>
      </c>
      <c r="M90"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90" t="n">
        <v>75</v>
      </c>
      <c r="O90" t="n">
        <v>22</v>
      </c>
      <c r="P90" t="n">
        <v>15</v>
      </c>
      <c r="Q90" t="n">
        <v>12</v>
      </c>
      <c r="R90" t="n">
        <v>8</v>
      </c>
      <c r="S90" t="n">
        <v>10</v>
      </c>
      <c r="T90" t="n">
        <v>8</v>
      </c>
      <c r="U90" t="inlineStr">
        <is>
          <t>CONSIDER</t>
        </is>
      </c>
      <c r="V90" t="inlineStr">
        <is>
          <t>CONSIDER</t>
        </is>
      </c>
      <c r="X90" t="inlineStr">
        <is>
          <t>Default Full Stack / Software Engineering Resume</t>
        </is>
      </c>
      <c r="Y90" t="inlineStr">
        <is>
          <t>2026-09-10</t>
        </is>
      </c>
      <c r="Z90" t="inlineStr">
        <is>
          <t>Coinbase is a prominent tech company working on large-scale crypto-forward products.; The stipend range (2.5 - 5 LPA) easily meets the minimum target of ₹25,000/month.; Remote work-mode aligns well with flexibility.</t>
        </is>
      </c>
      <c r="AA90" t="inlineStr">
        <is>
          <t>ELIGIBLE</t>
        </is>
      </c>
      <c r="AB90" t="inlineStr">
        <is>
          <t>Candidate is pursuing an MCA at PES University and fits general software engineering intern criteria.</t>
        </is>
      </c>
      <c r="AC90" t="inlineStr">
        <is>
          <t>UNKNOWN</t>
        </is>
      </c>
      <c r="AD90" t="inlineStr">
        <is>
          <t>Not specified in the job description or career brain.</t>
        </is>
      </c>
      <c r="AE90" t="inlineStr">
        <is>
          <t>EXPLICIT</t>
        </is>
      </c>
      <c r="AF90" t="n">
        <v>250000</v>
      </c>
      <c r="AG90" t="inlineStr">
        <is>
          <t>No</t>
        </is>
      </c>
      <c r="AH90" t="inlineStr">
        <is>
          <t>UNKNOWN</t>
        </is>
      </c>
      <c r="AI90" t="inlineStr">
        <is>
          <t>No explicit PPO or conversion mention found in the limited JD snippet.</t>
        </is>
      </c>
      <c r="AK90" t="inlineStr">
        <is>
          <t>Very brief job description provided.</t>
        </is>
      </c>
      <c r="AL90" t="inlineStr">
        <is>
          <t>Data Structures and Algorithms; System Design and Scalability; Web Technologies and APIs; Crypto-forward products interest</t>
        </is>
      </c>
    </row>
    <row r="91">
      <c r="A91" t="inlineStr">
        <is>
          <t>UNSTOP-/-INT-260910-45</t>
        </is>
      </c>
      <c r="B91" t="inlineStr">
        <is>
          <t>Unstop / IntelleQAcademy</t>
        </is>
      </c>
      <c r="C91" t="inlineStr">
        <is>
          <t>Java Development Internship</t>
        </is>
      </c>
      <c r="D91" t="inlineStr">
        <is>
          <t>https://in.jooble.org/desc/2439658101938443483?ckey=SDE+intern&amp;rgn=158289&amp;pos=16&amp;elckey=1863874851629358450&amp;p=1&amp;aq=-1822151525624909990&amp;cid=389&amp;jobAge=61&amp;brelb=100&amp;bscr=144.14499&amp;scr=144.14499</t>
        </is>
      </c>
      <c r="E91" t="inlineStr">
        <is>
          <t>AI Analyzer</t>
        </is>
      </c>
      <c r="F91" t="inlineStr">
        <is>
          <t>work from home</t>
        </is>
      </c>
      <c r="G91" t="inlineStr">
        <is>
          <t>Remote</t>
        </is>
      </c>
      <c r="H91" t="inlineStr">
        <is>
          <t>UNKNOWN</t>
        </is>
      </c>
      <c r="I91" t="inlineStr">
        <is>
          <t>UNKNOWN</t>
        </is>
      </c>
      <c r="J91" t="inlineStr">
        <is>
          <t>NOT_MENTIONED</t>
        </is>
      </c>
      <c r="K91" t="inlineStr">
        <is>
          <t>Java; Programming</t>
        </is>
      </c>
      <c r="M91" t="inlineStr">
        <is>
          <t>&amp;nbsp;...About the Company IntelleQAcademy is inviting applications for Java Development &lt;b&gt;Interns &lt;/b&gt;who are eager to strengthen their programming skills and gain practical experience in software development. As a corporate learning and workforce development organization, IntelleQAcademy...&amp;nbsp;</t>
        </is>
      </c>
      <c r="N91" t="n">
        <v>52</v>
      </c>
      <c r="O91" t="n">
        <v>20</v>
      </c>
      <c r="P91" t="n">
        <v>15</v>
      </c>
      <c r="Q91" t="n">
        <v>12</v>
      </c>
      <c r="R91" t="n">
        <v>0</v>
      </c>
      <c r="S91" t="n">
        <v>0</v>
      </c>
      <c r="T91" t="n">
        <v>5</v>
      </c>
      <c r="U91" t="inlineStr">
        <is>
          <t>SKIP</t>
        </is>
      </c>
      <c r="V91" t="inlineStr">
        <is>
          <t>SKIP</t>
        </is>
      </c>
      <c r="X91" t="inlineStr">
        <is>
          <t>Default Software Engineering Resume</t>
        </is>
      </c>
      <c r="Y91" t="inlineStr">
        <is>
          <t>2026-09-10</t>
        </is>
      </c>
      <c r="Z91" t="inlineStr">
        <is>
          <t>Remote work mode aligns with flexibility; Matches candidate's Java skill set</t>
        </is>
      </c>
      <c r="AA91" t="inlineStr">
        <is>
          <t>UNKNOWN</t>
        </is>
      </c>
      <c r="AB91" t="inlineStr">
        <is>
          <t>No specific degree or graduation year restrictions explicitly mentioned in the snippet.</t>
        </is>
      </c>
      <c r="AC91" t="inlineStr">
        <is>
          <t>UNKNOWN</t>
        </is>
      </c>
      <c r="AD91" t="inlineStr">
        <is>
          <t>Candidate availability timeline not provided.</t>
        </is>
      </c>
      <c r="AE91" t="inlineStr">
        <is>
          <t>UNKNOWN</t>
        </is>
      </c>
      <c r="AF91" t="n">
        <v>0</v>
      </c>
      <c r="AG91" t="inlineStr">
        <is>
          <t>No</t>
        </is>
      </c>
      <c r="AH91" t="inlineStr">
        <is>
          <t>NOT_MENTIONED</t>
        </is>
      </c>
      <c r="AI91" t="inlineStr">
        <is>
          <t>No mention of PPO or conversion in the job description.</t>
        </is>
      </c>
      <c r="AK91" t="inlineStr">
        <is>
          <t>Stipend details not disclosed; Duration not disclosed; PPO information not disclosed</t>
        </is>
      </c>
      <c r="AL91" t="inlineStr">
        <is>
          <t>Core Java concepts; Object-oriented programming principles; Basic data structures and algorithms</t>
        </is>
      </c>
    </row>
    <row r="92">
      <c r="A92" t="inlineStr">
        <is>
          <t>JOVEO-260910-46</t>
        </is>
      </c>
      <c r="B92" t="inlineStr">
        <is>
          <t>Joveo</t>
        </is>
      </c>
      <c r="C92" t="inlineStr">
        <is>
          <t>Software Engineering Intern (Full Stack)</t>
        </is>
      </c>
      <c r="D92" t="inlineStr">
        <is>
          <t>https://in.jooble.org/away/-1939946349168902640?p=1&amp;pos=1&amp;rgn=3193&amp;cid=389&amp;ckey=Node.js+intern&amp;jobAge=35&amp;brelb=10&amp;scr=3740.61&amp;bscr=3740.61&amp;aq=7103456895385232430&amp;elckey=930407992578992996</t>
        </is>
      </c>
      <c r="E92" t="inlineStr">
        <is>
          <t>AI Analyzer</t>
        </is>
      </c>
      <c r="F92" t="inlineStr">
        <is>
          <t>Bangalore</t>
        </is>
      </c>
      <c r="G92" t="inlineStr">
        <is>
          <t>Unknown</t>
        </is>
      </c>
      <c r="H92" t="inlineStr">
        <is>
          <t>Competitive stipend</t>
        </is>
      </c>
      <c r="I92" t="inlineStr">
        <is>
          <t>Unknown</t>
        </is>
      </c>
      <c r="J92" t="inlineStr">
        <is>
          <t>UNKNOWN</t>
        </is>
      </c>
      <c r="K92" t="inlineStr">
        <is>
          <t>React; Next.js; Node.js; Express; SQL databases</t>
        </is>
      </c>
      <c r="M92" t="inlineStr">
        <is>
          <t>&amp;nbsp;...Role : Software Engineering &lt;b&gt;Intern &lt;/b&gt;(Full Stack) Payout : Competitive stipend Role Overview: We are seeking a Software Engineering...&amp;nbsp;&amp;nbsp;...Develop and ship across the full stack using React and Next.&lt;b&gt;js &lt;/b&gt;on the frontend and &lt;b&gt;Node.&lt;/b&gt;js and Express on the backend, with SQL databases underneath...&amp;nbsp;</t>
        </is>
      </c>
      <c r="N92" t="n">
        <v>76</v>
      </c>
      <c r="O92" t="n">
        <v>24</v>
      </c>
      <c r="P92" t="n">
        <v>20</v>
      </c>
      <c r="Q92" t="n">
        <v>15</v>
      </c>
      <c r="R92" t="n">
        <v>5</v>
      </c>
      <c r="S92" t="n">
        <v>5</v>
      </c>
      <c r="T92" t="n">
        <v>7</v>
      </c>
      <c r="U92" t="inlineStr">
        <is>
          <t>CONSIDER</t>
        </is>
      </c>
      <c r="V92" t="inlineStr">
        <is>
          <t>CONSIDER</t>
        </is>
      </c>
      <c r="W92" t="inlineStr">
        <is>
          <t>Next.js</t>
        </is>
      </c>
      <c r="X92" t="inlineStr">
        <is>
          <t>Amaan_FullStack_Resume.pdf</t>
        </is>
      </c>
      <c r="Y92" t="inlineStr">
        <is>
          <t>2026-09-10</t>
        </is>
      </c>
      <c r="Z92" t="inlineStr">
        <is>
          <t>Strong tech stack match with React, Node.js, Express, and SQL databases.; Located in Bangalore with a full-stack internship role that fits target career paths.</t>
        </is>
      </c>
      <c r="AA92" t="inlineStr">
        <is>
          <t>Eligible</t>
        </is>
      </c>
      <c r="AB92" t="inlineStr">
        <is>
          <t>No explicit hard blockers found regarding degree or experience in the description.</t>
        </is>
      </c>
      <c r="AC92" t="inlineStr">
        <is>
          <t>UNKNOWN</t>
        </is>
      </c>
      <c r="AD92" t="inlineStr">
        <is>
          <t>Availability not specified in the career brain or job description.</t>
        </is>
      </c>
      <c r="AE92" t="inlineStr">
        <is>
          <t>UNKNOWN</t>
        </is>
      </c>
      <c r="AF92" t="n">
        <v>0</v>
      </c>
      <c r="AG92" t="inlineStr">
        <is>
          <t>No</t>
        </is>
      </c>
      <c r="AH92" t="inlineStr">
        <is>
          <t>UNKNOWN</t>
        </is>
      </c>
      <c r="AI92" t="inlineStr">
        <is>
          <t>PPO/conversion is not explicitly mentioned in the job description text.</t>
        </is>
      </c>
      <c r="AK92" t="inlineStr">
        <is>
          <t>Stipend is listed as competitive without a concrete amount.</t>
        </is>
      </c>
      <c r="AL92" t="inlineStr">
        <is>
          <t>React and Next.js state management and SSR; Node.js and Express backend architecture; SQL database schema design and queries; Full stack project walkthrough (e.g., StaySphere or Zenvest)</t>
        </is>
      </c>
    </row>
    <row r="93">
      <c r="A93" t="inlineStr">
        <is>
          <t>JOVEO-260910-47</t>
        </is>
      </c>
      <c r="B93" t="inlineStr">
        <is>
          <t>Joveo</t>
        </is>
      </c>
      <c r="C93" t="inlineStr">
        <is>
          <t>Software Engineering Intern (Full Stack)</t>
        </is>
      </c>
      <c r="D93" t="inlineStr">
        <is>
          <t>https://in.jooble.org/away/2792678126425269567?p=1&amp;pos=2&amp;rgn=3193&amp;cid=389&amp;ckey=Node.js+intern&amp;jobAge=37&amp;brelb=10&amp;scr=3608.9937&amp;bscr=3608.9937&amp;aq=7103456895385232430&amp;elckey=930407992578992996</t>
        </is>
      </c>
      <c r="E93" t="inlineStr">
        <is>
          <t>AI Analyzer</t>
        </is>
      </c>
      <c r="F93" t="inlineStr">
        <is>
          <t>Bengaluru, India</t>
        </is>
      </c>
      <c r="G93" t="inlineStr">
        <is>
          <t>On-site (5 days a week)</t>
        </is>
      </c>
      <c r="H93" t="inlineStr">
        <is>
          <t>Not specified</t>
        </is>
      </c>
      <c r="I93" t="inlineStr">
        <is>
          <t>Not specified</t>
        </is>
      </c>
      <c r="J93" t="inlineStr">
        <is>
          <t>Not Mentioned</t>
        </is>
      </c>
      <c r="K93" t="inlineStr">
        <is>
          <t>React; Next.js; Node.js; Express</t>
        </is>
      </c>
      <c r="L93" t="inlineStr">
        <is>
          <t>Full stack development</t>
        </is>
      </c>
      <c r="M93" t="inlineStr">
        <is>
          <t>&amp;nbsp;...Title : Software Engineering &lt;b&gt;Intern &lt;/b&gt;(Full Stack) Location : Bengaluru, India (5 days a week) Timings : 2-10 pm About Joveo...&amp;nbsp;&amp;nbsp;...prototype. Ship across the full stack, React and Next.&lt;b&gt;js &lt;/b&gt;on the front, &lt;b&gt;Node.&lt;/b&gt;js and Express on the back, with the database underneath....&amp;nbsp;</t>
        </is>
      </c>
      <c r="N93" t="n">
        <v>78</v>
      </c>
      <c r="O93" t="n">
        <v>25</v>
      </c>
      <c r="P93" t="n">
        <v>20</v>
      </c>
      <c r="Q93" t="n">
        <v>15</v>
      </c>
      <c r="R93" t="n">
        <v>5</v>
      </c>
      <c r="S93" t="n">
        <v>5</v>
      </c>
      <c r="T93" t="n">
        <v>8</v>
      </c>
      <c r="U93" t="inlineStr">
        <is>
          <t>CONSIDER</t>
        </is>
      </c>
      <c r="V93" t="inlineStr">
        <is>
          <t>CONSIDER</t>
        </is>
      </c>
      <c r="W93" t="inlineStr">
        <is>
          <t>Next.js</t>
        </is>
      </c>
      <c r="X93" t="inlineStr">
        <is>
          <t>Full Stack / MERN Resume</t>
        </is>
      </c>
      <c r="Y93" t="inlineStr">
        <is>
          <t>2026-09-10</t>
        </is>
      </c>
      <c r="Z93" t="inlineStr">
        <is>
          <t>Strong tech stack alignment with MERN (React, Node.js, Express); Full stack internship role matching MCA target profile; Based in Bengaluru</t>
        </is>
      </c>
      <c r="AA93" t="inlineStr">
        <is>
          <t>Eligible</t>
        </is>
      </c>
      <c r="AB93" t="inlineStr">
        <is>
          <t>Matches target role and location preferences; No hard degree or graduation year blockers specified in snippet</t>
        </is>
      </c>
      <c r="AC93" t="inlineStr">
        <is>
          <t>Unknown</t>
        </is>
      </c>
      <c r="AD93" t="inlineStr">
        <is>
          <t>Availability was not specified in the career brain</t>
        </is>
      </c>
      <c r="AE93" t="inlineStr">
        <is>
          <t>UNKNOWN</t>
        </is>
      </c>
      <c r="AF93" t="n">
        <v>0</v>
      </c>
      <c r="AG93" t="inlineStr">
        <is>
          <t>No</t>
        </is>
      </c>
      <c r="AH93" t="inlineStr">
        <is>
          <t>Not Mentioned</t>
        </is>
      </c>
      <c r="AI93" t="inlineStr">
        <is>
          <t>No explicit mention of PPO or conversion in the job description</t>
        </is>
      </c>
      <c r="AK93" t="inlineStr">
        <is>
          <t>Evening/night shift timings (2-10 pm)</t>
        </is>
      </c>
      <c r="AL93" t="inlineStr">
        <is>
          <t>React and Next.js state management and rendering; Node.js and Express backend architecture; Full-stack project walkthrough (e.g. StaySphere); Comfort with 2-10 pm shift timing</t>
        </is>
      </c>
    </row>
    <row r="94">
      <c r="A94" t="inlineStr">
        <is>
          <t>NXTWAVE-DISR-260910-48</t>
        </is>
      </c>
      <c r="B94" t="inlineStr">
        <is>
          <t>Nxtwave Disruptive Technologies Private Limited</t>
        </is>
      </c>
      <c r="C94" t="inlineStr">
        <is>
          <t>MERN Developer - Intern</t>
        </is>
      </c>
      <c r="D94" t="inlineStr">
        <is>
          <t>https://in.jooble.org/desc/7218822007534742956?ckey=Node.js+intern&amp;rgn=3193&amp;pos=3&amp;elckey=930407992578992996&amp;p=1&amp;aq=7103456895385232430&amp;cid=389&amp;jobAge=181&amp;brelb=10&amp;bscr=1951.097&amp;scr=1951.097</t>
        </is>
      </c>
      <c r="E94" t="inlineStr">
        <is>
          <t>AI Analyzer</t>
        </is>
      </c>
      <c r="F94" t="inlineStr">
        <is>
          <t>Bangalore</t>
        </is>
      </c>
      <c r="G94" t="inlineStr">
        <is>
          <t>On-site / Not specified</t>
        </is>
      </c>
      <c r="H94" t="inlineStr">
        <is>
          <t>Rs 3.5 - 4 lakhs p.a.</t>
        </is>
      </c>
      <c r="I94" t="inlineStr">
        <is>
          <t>Not specified</t>
        </is>
      </c>
      <c r="J94" t="inlineStr">
        <is>
          <t>YES</t>
        </is>
      </c>
      <c r="K94" t="inlineStr">
        <is>
          <t>JavaScript; React.js; Node.js; SQL/MongoDB; Python</t>
        </is>
      </c>
      <c r="M94" t="inlineStr">
        <is>
          <t>&amp;nbsp;...Opportunity Apply Link: Apply Here Role: MERN Developer – &lt;b&gt;Intern &lt;/b&gt; Job Type: Internship + Full-Time Location: Bangalore...&amp;nbsp;&amp;nbsp;...Candidates should have hands-on knowledge of JavaScript, React.&lt;b&gt;js, Node.&lt;/b&gt;js, SQL/MongoDB, and Python. Candidates should have attempted...&amp;nbsp;</t>
        </is>
      </c>
      <c r="N94" t="n">
        <v>100</v>
      </c>
      <c r="O94" t="n">
        <v>30</v>
      </c>
      <c r="P94" t="n">
        <v>20</v>
      </c>
      <c r="Q94" t="n">
        <v>15</v>
      </c>
      <c r="R94" t="n">
        <v>15</v>
      </c>
      <c r="S94" t="n">
        <v>10</v>
      </c>
      <c r="T94" t="n">
        <v>10</v>
      </c>
      <c r="U94" t="inlineStr">
        <is>
          <t>APPLY ASAP</t>
        </is>
      </c>
      <c r="V94" t="inlineStr">
        <is>
          <t>APPLY ASAP</t>
        </is>
      </c>
      <c r="X94" t="inlineStr">
        <is>
          <t>Amaan_Full_Stack_Resume.pdf</t>
        </is>
      </c>
      <c r="Y94" t="inlineStr">
        <is>
          <t>2026-09-10</t>
        </is>
      </c>
      <c r="Z94" t="inlineStr">
        <is>
          <t>Perfect match for technical skills including JavaScript, React.js, Node.js, MongoDB, SQL, and Python.; Explicitly mentions Internship + Full-Time conversion path, satisfying the high priority PPO requirement.; Stipend of 3.5 - 4 LPA converts to approximately 29k-33k per month, which exceeds the minimum stipend target of ₹25,000/month.; Located in Bangalore with a relevant Full Stack role.</t>
        </is>
      </c>
      <c r="AA94" t="inlineStr">
        <is>
          <t>ELIGIBLE</t>
        </is>
      </c>
      <c r="AB94" t="inlineStr">
        <is>
          <t>Candidate has the required MERN stack background and Python knowledge; No degree or graduation year hard blockers mentioned in the JD</t>
        </is>
      </c>
      <c r="AC94" t="inlineStr">
        <is>
          <t>UNKNOWN</t>
        </is>
      </c>
      <c r="AD94" t="inlineStr">
        <is>
          <t>Availability constraints not mentioned in career brain or job description</t>
        </is>
      </c>
      <c r="AE94" t="inlineStr">
        <is>
          <t>EXPLICIT</t>
        </is>
      </c>
      <c r="AF94" t="n">
        <v>29166</v>
      </c>
      <c r="AG94" t="inlineStr">
        <is>
          <t>No</t>
        </is>
      </c>
      <c r="AH94" t="inlineStr">
        <is>
          <t>YES</t>
        </is>
      </c>
      <c r="AI94" t="inlineStr">
        <is>
          <t>Internship + Full-Time</t>
        </is>
      </c>
      <c r="AL94" t="inlineStr">
        <is>
          <t>MERN stack architecture and end-to-end development; React.js state management and component lifecycle; Node.js event loop and asynchronous programming; MongoDB schema design vs SQL databases; Python basics and backend integration</t>
        </is>
      </c>
      <c r="AM94" t="inlineStr">
        <is>
          <t>E:\InternshipHunter\applications\jooble-1b5a5a8ad892</t>
        </is>
      </c>
      <c r="AN94" t="inlineStr">
        <is>
          <t>Ready for Review</t>
        </is>
      </c>
      <c r="AO94" t="inlineStr">
        <is>
          <t>Generated</t>
        </is>
      </c>
      <c r="AP94" t="inlineStr">
        <is>
          <t>Generated</t>
        </is>
      </c>
      <c r="AQ94" t="inlineStr">
        <is>
          <t>Generated</t>
        </is>
      </c>
      <c r="AR94" t="inlineStr">
        <is>
          <t>Ready to Apply</t>
        </is>
      </c>
    </row>
    <row r="95">
      <c r="A95" t="inlineStr">
        <is>
          <t>PANIKCURE-260910-49</t>
        </is>
      </c>
      <c r="B95" t="inlineStr">
        <is>
          <t>panikcure</t>
        </is>
      </c>
      <c r="C95" t="inlineStr">
        <is>
          <t>Full Stack Developer Intern</t>
        </is>
      </c>
      <c r="D95" t="inlineStr">
        <is>
          <t>https://in.jooble.org/desc/-3123247519826094573?ckey=Node.js+intern&amp;rgn=3193&amp;pos=5&amp;elckey=930407992578992996&amp;p=1&amp;aq=7103456895385232430&amp;cid=389&amp;jobAge=61&amp;brelb=10&amp;bscr=1547.9071&amp;scr=1547.9071</t>
        </is>
      </c>
      <c r="E95" t="inlineStr">
        <is>
          <t>AI Analyzer</t>
        </is>
      </c>
      <c r="F95" t="inlineStr">
        <is>
          <t>Bangalore</t>
        </is>
      </c>
      <c r="G95" t="inlineStr">
        <is>
          <t>UNKNOWN</t>
        </is>
      </c>
      <c r="H95" t="inlineStr">
        <is>
          <t>Not specified</t>
        </is>
      </c>
      <c r="I95" t="inlineStr">
        <is>
          <t>UNKNOWN</t>
        </is>
      </c>
      <c r="J95" t="inlineStr">
        <is>
          <t>NOT_MENTIONED</t>
        </is>
      </c>
      <c r="K95" t="inlineStr">
        <is>
          <t>React.js; Node.js</t>
        </is>
      </c>
      <c r="L95" t="inlineStr">
        <is>
          <t>Next.js; Firebase; Supabase</t>
        </is>
      </c>
      <c r="M95" t="inlineStr">
        <is>
          <t>&amp;nbsp;...health solutions. We're looking for a Full Stack Developer &lt;b&gt;Intern &lt;/b&gt; . You'll work closely with a small, cross-functional team to...&amp;nbsp;&amp;nbsp;...For Students or recent grads with: Proficiency in React.&lt;b&gt;js &lt;/b&gt;/ Next.js / &lt;b&gt;Node.&lt;/b&gt;js Familiarity with Firebase / Supabase (auth + database)...&amp;nbsp;</t>
        </is>
      </c>
      <c r="N95" t="n">
        <v>69</v>
      </c>
      <c r="O95" t="n">
        <v>24</v>
      </c>
      <c r="P95" t="n">
        <v>20</v>
      </c>
      <c r="Q95" t="n">
        <v>15</v>
      </c>
      <c r="R95" t="n">
        <v>5</v>
      </c>
      <c r="S95" t="n">
        <v>0</v>
      </c>
      <c r="T95" t="n">
        <v>5</v>
      </c>
      <c r="U95" t="inlineStr">
        <is>
          <t>STRETCH</t>
        </is>
      </c>
      <c r="V95" t="inlineStr">
        <is>
          <t>STRETCH</t>
        </is>
      </c>
      <c r="W95" t="inlineStr">
        <is>
          <t>Next.js; Firebase; Supabase</t>
        </is>
      </c>
      <c r="X95" t="inlineStr">
        <is>
          <t>Default Full Stack / MERN Resume</t>
        </is>
      </c>
      <c r="Y95" t="inlineStr">
        <is>
          <t>2026-09-10</t>
        </is>
      </c>
      <c r="Z95" t="inlineStr">
        <is>
          <t>Matches core stack requirements in React.js and Node.js; Located in Bangalore with student/recent grad eligibility</t>
        </is>
      </c>
      <c r="AA95" t="inlineStr">
        <is>
          <t>ELIGIBLE</t>
        </is>
      </c>
      <c r="AB95" t="inlineStr">
        <is>
          <t>Student or recent grad eligibility matches MCA background</t>
        </is>
      </c>
      <c r="AC95" t="inlineStr">
        <is>
          <t>UNKNOWN</t>
        </is>
      </c>
      <c r="AD95" t="inlineStr">
        <is>
          <t>Not specified in candidate profile</t>
        </is>
      </c>
      <c r="AE95" t="inlineStr">
        <is>
          <t>UNKNOWN</t>
        </is>
      </c>
      <c r="AF95" t="n">
        <v>0</v>
      </c>
      <c r="AG95" t="inlineStr">
        <is>
          <t>No</t>
        </is>
      </c>
      <c r="AH95" t="inlineStr">
        <is>
          <t>NOT_MENTIONED</t>
        </is>
      </c>
      <c r="AI95" t="inlineStr">
        <is>
          <t>No mention of conversion to full-time role or PPO in the job description</t>
        </is>
      </c>
      <c r="AK95" t="inlineStr">
        <is>
          <t>Stipend not disclosed; No PPO mention</t>
        </is>
      </c>
      <c r="AL95" t="inlineStr">
        <is>
          <t>React.js state management and hooks; Node.js event loop and backend architecture; Authentication and database integration patterns</t>
        </is>
      </c>
    </row>
    <row r="96">
      <c r="A96" t="inlineStr">
        <is>
          <t>LIMINAL-CUST-260910-50</t>
        </is>
      </c>
      <c r="B96" t="inlineStr">
        <is>
          <t>liminal custody</t>
        </is>
      </c>
      <c r="C96" t="inlineStr">
        <is>
          <t>QA Automation Intern</t>
        </is>
      </c>
      <c r="D96" t="inlineStr">
        <is>
          <t>https://in.jooble.org/desc/-313820493907634138?ckey=Node.js+intern&amp;rgn=3193&amp;pos=6&amp;elckey=930407992578992996&amp;p=1&amp;aq=7103456895385232430&amp;cid=389&amp;jobAge=349&amp;brelb=10&amp;bscr=1509.5624&amp;scr=1509.5624</t>
        </is>
      </c>
      <c r="E96" t="inlineStr">
        <is>
          <t>AI Analyzer</t>
        </is>
      </c>
      <c r="F96" t="inlineStr">
        <is>
          <t>Bangalore</t>
        </is>
      </c>
      <c r="G96" t="inlineStr">
        <is>
          <t>Unknown</t>
        </is>
      </c>
      <c r="H96" t="inlineStr">
        <is>
          <t>Not specified</t>
        </is>
      </c>
      <c r="I96" t="inlineStr">
        <is>
          <t>Unknown</t>
        </is>
      </c>
      <c r="J96" t="inlineStr">
        <is>
          <t>Not Mentioned</t>
        </is>
      </c>
      <c r="K96" t="inlineStr">
        <is>
          <t>QA Automation; Software Testing concepts; Git/GitHub; Node.js; HTML; CSS</t>
        </is>
      </c>
      <c r="M96" t="inlineStr">
        <is>
          <t>&amp;nbsp;...About the Internship : We are looking for a passionate QA Automation &lt;b&gt;Intern &lt;/b&gt;who is eager to learn modern test automation practices and...&amp;nbsp;&amp;nbsp;...&amp; CSS Software Testing concepts Git/GitHub Knowledge of &lt;b&gt;Node.js.&lt;/b&gt; Strong analytical and problem-solving skills. Good communication...&amp;nbsp;</t>
        </is>
      </c>
      <c r="N96" t="n">
        <v>41</v>
      </c>
      <c r="O96" t="n">
        <v>50</v>
      </c>
      <c r="P96" t="n">
        <v>60</v>
      </c>
      <c r="Q96" t="n">
        <v>40</v>
      </c>
      <c r="R96" t="n">
        <v>0</v>
      </c>
      <c r="S96" t="n">
        <v>0</v>
      </c>
      <c r="T96" t="n">
        <v>50</v>
      </c>
      <c r="U96" t="inlineStr">
        <is>
          <t>SKIP</t>
        </is>
      </c>
      <c r="V96" t="inlineStr">
        <is>
          <t>SKIP</t>
        </is>
      </c>
      <c r="W96" t="inlineStr">
        <is>
          <t>QA Automation; Software Testing concepts</t>
        </is>
      </c>
      <c r="X96" t="inlineStr">
        <is>
          <t>Amaanuddin_Ahmed_Software_Engineer_Resume.pdf</t>
        </is>
      </c>
      <c r="Y96" t="inlineStr">
        <is>
          <t>2026-09-10</t>
        </is>
      </c>
      <c r="Z96" t="inlineStr">
        <is>
          <t>Located in Bangalore; Mentions Node.js and Git/GitHub which match candidate's stack</t>
        </is>
      </c>
      <c r="AA96" t="inlineStr">
        <is>
          <t>Eligible</t>
        </is>
      </c>
      <c r="AB96" t="inlineStr">
        <is>
          <t>Candidate is pursuing MCA at PES University and fits typical internship criteria.</t>
        </is>
      </c>
      <c r="AC96" t="inlineStr">
        <is>
          <t>Unknown</t>
        </is>
      </c>
      <c r="AD96" t="inlineStr">
        <is>
          <t>Availability timeline not specified in candidate profile.</t>
        </is>
      </c>
      <c r="AE96" t="inlineStr">
        <is>
          <t>UNKNOWN</t>
        </is>
      </c>
      <c r="AF96" t="n">
        <v>0</v>
      </c>
      <c r="AG96" t="inlineStr">
        <is>
          <t>No</t>
        </is>
      </c>
      <c r="AH96" t="inlineStr">
        <is>
          <t>Not Mentioned</t>
        </is>
      </c>
      <c r="AI96" t="inlineStr">
        <is>
          <t>No mention of PPO or conversion in the job description.</t>
        </is>
      </c>
      <c r="AK96" t="inlineStr">
        <is>
          <t>Role is QA Automation, which does not closely align with target developer roles; Stipend is unknown; PPO information is not mentioned</t>
        </is>
      </c>
      <c r="AL96" t="inlineStr">
        <is>
          <t>QA Automation practices; Software testing lifecycle (STLC); Node.js fundamentals; Git and version control workflows</t>
        </is>
      </c>
    </row>
    <row r="97">
      <c r="A97" t="inlineStr">
        <is>
          <t>EPIFI-260910-51</t>
        </is>
      </c>
      <c r="B97" t="inlineStr">
        <is>
          <t>epifi</t>
        </is>
      </c>
      <c r="C97" t="inlineStr">
        <is>
          <t>Ai Engg Intern</t>
        </is>
      </c>
      <c r="D97" t="inlineStr">
        <is>
          <t>https://in.jooble.org/desc/458763758895582905?ckey=Node.js+intern&amp;rgn=3193&amp;pos=7&amp;elckey=930407992578992996&amp;p=1&amp;aq=7103456895385232430&amp;cid=389&amp;jobAge=1653&amp;brelb=100&amp;bscr=1509.0764&amp;scr=1509.0764</t>
        </is>
      </c>
      <c r="E97" t="inlineStr">
        <is>
          <t>AI Analyzer</t>
        </is>
      </c>
      <c r="F97" t="inlineStr">
        <is>
          <t>Bangalore</t>
        </is>
      </c>
      <c r="G97" t="inlineStr">
        <is>
          <t>Unknown</t>
        </is>
      </c>
      <c r="H97" t="inlineStr">
        <is>
          <t>Not specified</t>
        </is>
      </c>
      <c r="I97" t="inlineStr">
        <is>
          <t>Unknown</t>
        </is>
      </c>
      <c r="J97" t="inlineStr">
        <is>
          <t>Not Mentioned</t>
        </is>
      </c>
      <c r="K97" t="inlineStr">
        <is>
          <t>Python; Go; Node.js; Programming Fundamentals</t>
        </is>
      </c>
      <c r="L97" t="inlineStr">
        <is>
          <t>Independent learning; Problem solving</t>
        </is>
      </c>
      <c r="M97" t="inlineStr">
        <is>
          <t>&amp;nbsp;...least one meaningful project outside of coursework. Strong programming fundamentals in a backend or full-stack language (Python, Go, &lt;b&gt;Node.js,&lt;/b&gt; etc.). The ability to learn independently, solve unfamiliar problems, and figure things out. A self-directed builder who doesn...&amp;nbsp;</t>
        </is>
      </c>
      <c r="N97" t="n">
        <v>62</v>
      </c>
      <c r="O97" t="n">
        <v>24</v>
      </c>
      <c r="P97" t="n">
        <v>16</v>
      </c>
      <c r="Q97" t="n">
        <v>11</v>
      </c>
      <c r="R97" t="n">
        <v>5</v>
      </c>
      <c r="S97" t="n">
        <v>0</v>
      </c>
      <c r="T97" t="n">
        <v>6</v>
      </c>
      <c r="U97" t="inlineStr">
        <is>
          <t>STRETCH</t>
        </is>
      </c>
      <c r="V97" t="inlineStr">
        <is>
          <t>STRETCH</t>
        </is>
      </c>
      <c r="W97" t="inlineStr">
        <is>
          <t>Go</t>
        </is>
      </c>
      <c r="X97" t="inlineStr">
        <is>
          <t>Default Full Stack / Backend Resume</t>
        </is>
      </c>
      <c r="Y97" t="inlineStr">
        <is>
          <t>2026-09-10</t>
        </is>
      </c>
      <c r="Z97" t="inlineStr">
        <is>
          <t>Matches technical requirements for Node.js and Python; Good fit for software engineering and backend roles</t>
        </is>
      </c>
      <c r="AA97" t="inlineStr">
        <is>
          <t>Eligible</t>
        </is>
      </c>
      <c r="AB97" t="inlineStr">
        <is>
          <t>Meets general programming fundamentals and project requirements</t>
        </is>
      </c>
      <c r="AC97" t="inlineStr">
        <is>
          <t>Unknown</t>
        </is>
      </c>
      <c r="AD97" t="inlineStr">
        <is>
          <t>Availability not specified in profile or JD</t>
        </is>
      </c>
      <c r="AE97" t="inlineStr">
        <is>
          <t>Unknown</t>
        </is>
      </c>
      <c r="AF97" t="n">
        <v>0</v>
      </c>
      <c r="AG97" t="inlineStr">
        <is>
          <t>No</t>
        </is>
      </c>
      <c r="AH97" t="inlineStr">
        <is>
          <t>Not Mentioned</t>
        </is>
      </c>
      <c r="AI97" t="inlineStr">
        <is>
          <t>No mention of PPO or conversion in the provided JD text</t>
        </is>
      </c>
      <c r="AK97" t="inlineStr">
        <is>
          <t>Stipend not disclosed; PPO info missing</t>
        </is>
      </c>
      <c r="AL97" t="inlineStr">
        <is>
          <t>Backend fundamentals in Node.js or Python; Problem solving approach for unfamiliar technical issues; Discussion on independent projects outside coursework</t>
        </is>
      </c>
    </row>
    <row r="98">
      <c r="A98" t="inlineStr">
        <is>
          <t>RP-INFOCARE--260910-52</t>
        </is>
      </c>
      <c r="B98" t="inlineStr">
        <is>
          <t>rp infocare pvt ltd</t>
        </is>
      </c>
      <c r="C98" t="inlineStr">
        <is>
          <t>Full Stack Web developer Intern</t>
        </is>
      </c>
      <c r="D98" t="inlineStr">
        <is>
          <t>https://in.jooble.org/desc/-5507068087024381505?ckey=Node.js+intern&amp;rgn=3193&amp;pos=8&amp;elckey=930407992578992996&amp;p=1&amp;aq=7103456895385232430&amp;cid=389&amp;jobAge=61&amp;brelb=10&amp;bscr=1475.2461&amp;scr=1475.2461</t>
        </is>
      </c>
      <c r="E98" t="inlineStr">
        <is>
          <t>AI Analyzer</t>
        </is>
      </c>
      <c r="F98" t="inlineStr">
        <is>
          <t>Bangalore</t>
        </is>
      </c>
      <c r="G98" t="inlineStr">
        <is>
          <t>On-site</t>
        </is>
      </c>
      <c r="H98" t="inlineStr">
        <is>
          <t>NON PAID</t>
        </is>
      </c>
      <c r="I98" t="inlineStr">
        <is>
          <t>Not specified</t>
        </is>
      </c>
      <c r="J98" t="inlineStr">
        <is>
          <t>Not mentioned</t>
        </is>
      </c>
      <c r="K98" t="inlineStr">
        <is>
          <t>React; PHP</t>
        </is>
      </c>
      <c r="L98" t="inlineStr">
        <is>
          <t>Node.js; Back-End Web Development; Full-Stack Development</t>
        </is>
      </c>
      <c r="M98" t="inlineStr">
        <is>
          <t>&amp;nbsp;...on-site role located in Bengaluru for a Full Stack Web Developer &lt;b&gt;Intern-&lt;/b&gt; React, PHP (NON PAID). The intern will be responsible for assisting...&amp;nbsp;&amp;nbsp;...) Back-End Web Development skills including knowledge of PHP, &lt;b&gt;Node js.&lt;/b&gt; Software Development and Full-Stack Development skills...&amp;nbsp;</t>
        </is>
      </c>
      <c r="N98" t="n">
        <v>38</v>
      </c>
      <c r="O98" t="n">
        <v>50</v>
      </c>
      <c r="P98" t="n">
        <v>50</v>
      </c>
      <c r="Q98" t="n">
        <v>50</v>
      </c>
      <c r="R98" t="n">
        <v>0</v>
      </c>
      <c r="S98" t="n">
        <v>0</v>
      </c>
      <c r="T98" t="n">
        <v>20</v>
      </c>
      <c r="U98" t="inlineStr">
        <is>
          <t>SKIP</t>
        </is>
      </c>
      <c r="V98" t="inlineStr">
        <is>
          <t>SKIP</t>
        </is>
      </c>
      <c r="W98" t="inlineStr">
        <is>
          <t>PHP</t>
        </is>
      </c>
      <c r="X98" t="inlineStr">
        <is>
          <t>Amaanuddin_Ahmed_Resume.pdf</t>
        </is>
      </c>
      <c r="Y98" t="inlineStr">
        <is>
          <t>2026-09-10</t>
        </is>
      </c>
      <c r="AA98" t="inlineStr">
        <is>
          <t>Eligible</t>
        </is>
      </c>
      <c r="AC98" t="inlineStr">
        <is>
          <t>Unknown</t>
        </is>
      </c>
      <c r="AD98" t="inlineStr">
        <is>
          <t>Availability not specified in career brain</t>
        </is>
      </c>
      <c r="AE98" t="inlineStr">
        <is>
          <t>NON PAID</t>
        </is>
      </c>
      <c r="AF98" t="n">
        <v>0</v>
      </c>
      <c r="AG98" t="inlineStr">
        <is>
          <t>No</t>
        </is>
      </c>
      <c r="AH98" t="inlineStr">
        <is>
          <t>Not mentioned</t>
        </is>
      </c>
      <c r="AI98" t="inlineStr">
        <is>
          <t>No mention of PPO or conversion in the job description.</t>
        </is>
      </c>
      <c r="AJ98" t="inlineStr">
        <is>
          <t>Below minimum stipend target: Unpaid internship violates the minimum stipend target of ₹25,000/month.</t>
        </is>
      </c>
      <c r="AK98" t="inlineStr">
        <is>
          <t>Non-paid internship; PHP required</t>
        </is>
      </c>
      <c r="AL98" t="inlineStr">
        <is>
          <t>React state management; Node.js REST APIs; PHP basics</t>
        </is>
      </c>
    </row>
    <row r="99">
      <c r="A99" t="inlineStr">
        <is>
          <t>RENTOMOJO-260910-53</t>
        </is>
      </c>
      <c r="B99" t="inlineStr">
        <is>
          <t>RentoMojo</t>
        </is>
      </c>
      <c r="C99" t="inlineStr">
        <is>
          <t>Data Analyst -Intern</t>
        </is>
      </c>
      <c r="D99" t="inlineStr">
        <is>
          <t>https://in.jooble.org/desc/8456592047622568060?ckey=Node.js+intern&amp;rgn=3193&amp;pos=9&amp;elckey=930407992578992996&amp;p=1&amp;aq=7103456895385232430&amp;cid=389&amp;jobAge=61&amp;brelb=10&amp;bscr=1428.588&amp;scr=1428.588</t>
        </is>
      </c>
      <c r="E99" t="inlineStr">
        <is>
          <t>AI Analyzer</t>
        </is>
      </c>
      <c r="F99" t="inlineStr">
        <is>
          <t>Bangalore</t>
        </is>
      </c>
      <c r="G99" t="inlineStr">
        <is>
          <t>Unknown</t>
        </is>
      </c>
      <c r="H99" t="inlineStr">
        <is>
          <t>Not specified</t>
        </is>
      </c>
      <c r="I99" t="inlineStr">
        <is>
          <t>Unknown</t>
        </is>
      </c>
      <c r="J99" t="inlineStr">
        <is>
          <t>None</t>
        </is>
      </c>
      <c r="K99" t="inlineStr">
        <is>
          <t>Business KPIs; Data Analysis</t>
        </is>
      </c>
      <c r="L99" t="inlineStr">
        <is>
          <t>Python; Node.js; DBT; Snowflake; Redshift; Fivetran</t>
        </is>
      </c>
      <c r="M99" t="inlineStr">
        <is>
          <t>&amp;nbsp;...). Good understanding of business KPIs and ability to derive insights from raw data. Bonus Points Experience with Python or &lt;b&gt;Node.js &lt;/b&gt;for Lambda scripting and automation. Familiarity with DBT or modern data stack (e.g., Snowflake, Redshift, Fivetran). Exposure...&amp;nbsp;</t>
        </is>
      </c>
      <c r="N99" t="n">
        <v>49</v>
      </c>
      <c r="O99" t="n">
        <v>50</v>
      </c>
      <c r="P99" t="n">
        <v>60</v>
      </c>
      <c r="Q99" t="n">
        <v>40</v>
      </c>
      <c r="R99" t="n">
        <v>0</v>
      </c>
      <c r="S99" t="n">
        <v>50</v>
      </c>
      <c r="T99" t="n">
        <v>50</v>
      </c>
      <c r="U99" t="inlineStr">
        <is>
          <t>SKIP</t>
        </is>
      </c>
      <c r="V99" t="inlineStr">
        <is>
          <t>SKIP</t>
        </is>
      </c>
      <c r="W99" t="inlineStr">
        <is>
          <t>DBT; Snowflake; Redshift; Fivetran; Business KPIs</t>
        </is>
      </c>
      <c r="X99" t="inlineStr">
        <is>
          <t>Amaanuddin_Ahmed_Software_Engineer_Resume.pdf</t>
        </is>
      </c>
      <c r="Y99" t="inlineStr">
        <is>
          <t>2026-09-10</t>
        </is>
      </c>
      <c r="Z99" t="inlineStr">
        <is>
          <t>Mentions Python and Node.js which match candidate skills as bonus points.</t>
        </is>
      </c>
      <c r="AA99" t="inlineStr">
        <is>
          <t>Eligible</t>
        </is>
      </c>
      <c r="AB99" t="inlineStr">
        <is>
          <t>No explicit degree or hard graduation year blockers found in snippet.</t>
        </is>
      </c>
      <c r="AC99" t="inlineStr">
        <is>
          <t>Unknown</t>
        </is>
      </c>
      <c r="AD99" t="inlineStr">
        <is>
          <t>Not specified in candidate profile or job description.</t>
        </is>
      </c>
      <c r="AE99" t="inlineStr">
        <is>
          <t>UNKNOWN</t>
        </is>
      </c>
      <c r="AF99" t="n">
        <v>0</v>
      </c>
      <c r="AG99" t="inlineStr">
        <is>
          <t>No</t>
        </is>
      </c>
      <c r="AH99" t="inlineStr">
        <is>
          <t>None</t>
        </is>
      </c>
      <c r="AI99" t="inlineStr">
        <is>
          <t>No mention of PPO or conversion in the job description snippet.</t>
        </is>
      </c>
      <c r="AK99" t="inlineStr">
        <is>
          <t>Role is Data Analyst, whereas candidate targets Software Engineering / Backend / Full Stack roles.</t>
        </is>
      </c>
      <c r="AL99" t="inlineStr">
        <is>
          <t>Business KPIs and data derivation; Python/Node.js for Lambda scripting and automation; Modern data stack familiarity</t>
        </is>
      </c>
    </row>
    <row r="100">
      <c r="A100" t="inlineStr">
        <is>
          <t>TRADEGOSPEL-260910-54</t>
        </is>
      </c>
      <c r="B100" t="inlineStr">
        <is>
          <t>tradegospel</t>
        </is>
      </c>
      <c r="C100" t="inlineStr">
        <is>
          <t>Full Stack Developer Intern</t>
        </is>
      </c>
      <c r="D100" t="inlineStr">
        <is>
          <t>https://in.jooble.org/desc/-4062499930695493919?ckey=Node.js+intern&amp;rgn=3193&amp;pos=10&amp;elckey=930407992578992996&amp;p=1&amp;aq=7103456895385232430&amp;cid=389&amp;jobAge=325&amp;brelb=10&amp;bscr=1422.4893&amp;scr=1422.4893</t>
        </is>
      </c>
      <c r="E100" t="inlineStr">
        <is>
          <t>AI Analyzer</t>
        </is>
      </c>
      <c r="F100" t="inlineStr">
        <is>
          <t>Bengaluru</t>
        </is>
      </c>
      <c r="G100" t="inlineStr">
        <is>
          <t>In-office</t>
        </is>
      </c>
      <c r="H100" t="inlineStr">
        <is>
          <t>Not specified</t>
        </is>
      </c>
      <c r="I100" t="inlineStr">
        <is>
          <t>3 months</t>
        </is>
      </c>
      <c r="J100" t="inlineStr">
        <is>
          <t>NOT_MENTIONED</t>
        </is>
      </c>
      <c r="K100" t="inlineStr">
        <is>
          <t>React.js; Next.js; Node.js; MongoDB</t>
        </is>
      </c>
      <c r="M100" t="inlineStr">
        <is>
          <t>&amp;nbsp;...digital solutions. We are looking for a Full Stack Developer &lt;b&gt;Intern &lt;/b&gt; to join us for a 3-month internship at our Bengaluru office...&amp;nbsp;&amp;nbsp;...Develop and maintain web applications using React.&lt;b&gt;js,&lt;/b&gt; Next.js, and &lt;b&gt;Node.&lt;/b&gt;js . Work with MongoDB for database operations and integration...&amp;nbsp;</t>
        </is>
      </c>
      <c r="N100" t="n">
        <v>73</v>
      </c>
      <c r="O100" t="n">
        <v>24</v>
      </c>
      <c r="P100" t="n">
        <v>20</v>
      </c>
      <c r="Q100" t="n">
        <v>15</v>
      </c>
      <c r="R100" t="n">
        <v>5</v>
      </c>
      <c r="S100" t="n">
        <v>3</v>
      </c>
      <c r="T100" t="n">
        <v>6</v>
      </c>
      <c r="U100" t="inlineStr">
        <is>
          <t>CONSIDER</t>
        </is>
      </c>
      <c r="V100" t="inlineStr">
        <is>
          <t>CONSIDER</t>
        </is>
      </c>
      <c r="W100" t="inlineStr">
        <is>
          <t>Next.js</t>
        </is>
      </c>
      <c r="X100" t="inlineStr">
        <is>
          <t>MERN_Stack_Resume</t>
        </is>
      </c>
      <c r="Y100" t="inlineStr">
        <is>
          <t>2026-09-10</t>
        </is>
      </c>
      <c r="Z100" t="inlineStr">
        <is>
          <t>Matches target Full Stack Development role; Strong overlap with MERN stack skills (React, Node, MongoDB); Located in Bangalore</t>
        </is>
      </c>
      <c r="AA100" t="inlineStr">
        <is>
          <t>ELIGIBLE</t>
        </is>
      </c>
      <c r="AB100" t="inlineStr">
        <is>
          <t>Location matches Bangalore preference; Role matches Full Stack Development target</t>
        </is>
      </c>
      <c r="AC100" t="inlineStr">
        <is>
          <t>UNKNOWN</t>
        </is>
      </c>
      <c r="AD100" t="inlineStr">
        <is>
          <t>Candidate availability dates not specified</t>
        </is>
      </c>
      <c r="AE100" t="inlineStr">
        <is>
          <t>UNKNOWN</t>
        </is>
      </c>
      <c r="AF100" t="n">
        <v>0</v>
      </c>
      <c r="AG100" t="inlineStr">
        <is>
          <t>No</t>
        </is>
      </c>
      <c r="AH100" t="inlineStr">
        <is>
          <t>NOT_MENTIONED</t>
        </is>
      </c>
      <c r="AI100" t="inlineStr">
        <is>
          <t>Job description does not mention PPO or conversion opportunities</t>
        </is>
      </c>
      <c r="AK100" t="inlineStr">
        <is>
          <t>Stipend not disclosed; PPO not mentioned</t>
        </is>
      </c>
      <c r="AL100" t="inlineStr">
        <is>
          <t>React.js and Next.js architecture; Node.js event loop and asynchronous programming; MongoDB indexing and aggregation; RESTful API design and authentication</t>
        </is>
      </c>
    </row>
    <row r="101">
      <c r="A101" t="inlineStr">
        <is>
          <t>EMO.ENERGY-260910-55</t>
        </is>
      </c>
      <c r="B101" t="inlineStr">
        <is>
          <t>emo.energy</t>
        </is>
      </c>
      <c r="C101" t="inlineStr">
        <is>
          <t>Full-Stack Developer Intern</t>
        </is>
      </c>
      <c r="D101" t="inlineStr">
        <is>
          <t>https://in.jooble.org/desc/-2588912263494949841?ckey=Node.js+intern&amp;rgn=3193&amp;pos=11&amp;elckey=930407992578992996&amp;p=1&amp;aq=7103456895385232430&amp;cid=389&amp;jobAge=61&amp;brelb=10&amp;bscr=1362.844&amp;scr=1362.844</t>
        </is>
      </c>
      <c r="E101" t="inlineStr">
        <is>
          <t>AI Analyzer</t>
        </is>
      </c>
      <c r="F101" t="inlineStr">
        <is>
          <t>Bangalore</t>
        </is>
      </c>
      <c r="G101" t="inlineStr">
        <is>
          <t>UNKNOWN</t>
        </is>
      </c>
      <c r="H101" t="inlineStr">
        <is>
          <t>Not specified</t>
        </is>
      </c>
      <c r="I101" t="inlineStr">
        <is>
          <t>UNKNOWN</t>
        </is>
      </c>
      <c r="J101" t="inlineStr">
        <is>
          <t>UNKNOWN</t>
        </is>
      </c>
      <c r="K101" t="inlineStr">
        <is>
          <t>React; Angular; Vue.js; Node.js; Python</t>
        </is>
      </c>
      <c r="M101" t="inlineStr">
        <is>
          <t>&amp;nbsp;...Job Overview As a Full-Stack Developer &lt;b&gt;Intern,&lt;/b&gt; you will work primarily on front-end development...&amp;nbsp;&amp;nbsp;...web technologies (React, Angular, Vue.&lt;b&gt;js)&lt;/b&gt;. Collaborate with cross-functional teams...&amp;nbsp;&amp;nbsp;.... Work with back-end technologies (&lt;b&gt;Node.&lt;/b&gt;js, Python) to integrate APIs and support full...&amp;nbsp;</t>
        </is>
      </c>
      <c r="N101" t="n">
        <v>69</v>
      </c>
      <c r="O101" t="n">
        <v>25</v>
      </c>
      <c r="P101" t="n">
        <v>18</v>
      </c>
      <c r="Q101" t="n">
        <v>15</v>
      </c>
      <c r="R101" t="n">
        <v>5</v>
      </c>
      <c r="S101" t="n">
        <v>0</v>
      </c>
      <c r="T101" t="n">
        <v>6</v>
      </c>
      <c r="U101" t="inlineStr">
        <is>
          <t>STRETCH</t>
        </is>
      </c>
      <c r="V101" t="inlineStr">
        <is>
          <t>STRETCH</t>
        </is>
      </c>
      <c r="W101" t="inlineStr">
        <is>
          <t>Vue.js</t>
        </is>
      </c>
      <c r="X101" t="inlineStr">
        <is>
          <t>Default Full Stack Resume</t>
        </is>
      </c>
      <c r="Y101" t="inlineStr">
        <is>
          <t>2026-09-10</t>
        </is>
      </c>
      <c r="Z101" t="inlineStr">
        <is>
          <t>Matches primary target role of Full Stack Development; Core technologies like React, Node.js, and Python strongly match candidate's demonstrated skill set</t>
        </is>
      </c>
      <c r="AA101" t="inlineStr">
        <is>
          <t>ELIGIBLE</t>
        </is>
      </c>
      <c r="AB101" t="inlineStr">
        <is>
          <t>No explicit graduation year or degree blockers mentioned in the description.</t>
        </is>
      </c>
      <c r="AC101" t="inlineStr">
        <is>
          <t>UNKNOWN</t>
        </is>
      </c>
      <c r="AD101" t="inlineStr">
        <is>
          <t>Not specified in career brain or job description.</t>
        </is>
      </c>
      <c r="AE101" t="inlineStr">
        <is>
          <t>UNKNOWN</t>
        </is>
      </c>
      <c r="AF101" t="n">
        <v>0</v>
      </c>
      <c r="AG101" t="inlineStr">
        <is>
          <t>No</t>
        </is>
      </c>
      <c r="AH101" t="inlineStr">
        <is>
          <t>UNKNOWN</t>
        </is>
      </c>
      <c r="AI101" t="inlineStr">
        <is>
          <t>No mention of PPO or conversion in the job description text.</t>
        </is>
      </c>
      <c r="AK101" t="inlineStr">
        <is>
          <t>Stipend information is completely missing; No mention of PPO</t>
        </is>
      </c>
      <c r="AL101" t="inlineStr">
        <is>
          <t>React and Angular state management and component lifecycle; Node.js asynchronous event loop and Express architecture; Python API integration and backend services; RESTful API design and database integration</t>
        </is>
      </c>
    </row>
    <row r="102">
      <c r="A102" t="inlineStr">
        <is>
          <t>SIMULATIONHU-260910-56</t>
        </is>
      </c>
      <c r="B102" t="inlineStr">
        <is>
          <t>Simulationhub</t>
        </is>
      </c>
      <c r="C102" t="inlineStr">
        <is>
          <t>Intern-Digital Transformation</t>
        </is>
      </c>
      <c r="D102" t="inlineStr">
        <is>
          <t>https://in.jooble.org/desc/3491546633823889584?ckey=Node.js+intern&amp;rgn=3193&amp;pos=13&amp;elckey=930407992578992996&amp;p=1&amp;aq=7103456895385232430&amp;cid=389&amp;jobAge=1333&amp;brelb=10&amp;bscr=1275.2676&amp;scr=1275.2676</t>
        </is>
      </c>
      <c r="E102" t="inlineStr">
        <is>
          <t>AI Analyzer</t>
        </is>
      </c>
      <c r="F102" t="inlineStr">
        <is>
          <t>Bangalore</t>
        </is>
      </c>
      <c r="G102" t="inlineStr">
        <is>
          <t>Unknown</t>
        </is>
      </c>
      <c r="H102" t="inlineStr">
        <is>
          <t>Rs 2.5 - 5 lakhs p.a.</t>
        </is>
      </c>
      <c r="I102" t="inlineStr">
        <is>
          <t>Unknown</t>
        </is>
      </c>
      <c r="J102" t="inlineStr">
        <is>
          <t>NOT_MENTIONED</t>
        </is>
      </c>
      <c r="K102" t="inlineStr">
        <is>
          <t>Python; Flask; Node.js; .NET</t>
        </is>
      </c>
      <c r="L102" t="inlineStr">
        <is>
          <t>Digital Twins; PLM Systems; BIM</t>
        </is>
      </c>
      <c r="M102" t="inlineStr">
        <is>
          <t>&amp;nbsp;...integrations, and BIM-enabled digital twins. We are seeking high-energy &lt;b&gt;Interns &lt;/b&gt;who can combine domain expertise with software-development...&amp;nbsp;&amp;nbsp;...engineering data using modern technology stacks (Python/Flask, &lt;b&gt;Node.js,&lt;/b&gt; .NET, or similar). Integrate design data with PLM systems (...&amp;nbsp;</t>
        </is>
      </c>
      <c r="N102" t="n">
        <v>60</v>
      </c>
      <c r="O102" t="n">
        <v>22</v>
      </c>
      <c r="P102" t="n">
        <v>15</v>
      </c>
      <c r="Q102" t="n">
        <v>11</v>
      </c>
      <c r="R102" t="n">
        <v>0</v>
      </c>
      <c r="S102" t="n">
        <v>6</v>
      </c>
      <c r="T102" t="n">
        <v>6</v>
      </c>
      <c r="U102" t="inlineStr">
        <is>
          <t>STRETCH</t>
        </is>
      </c>
      <c r="V102" t="inlineStr">
        <is>
          <t>STRETCH</t>
        </is>
      </c>
      <c r="W102" t="inlineStr">
        <is>
          <t>Flask; .NET; BIM; PLM Systems</t>
        </is>
      </c>
      <c r="X102" t="inlineStr">
        <is>
          <t>Default Full Stack / Backend Resume</t>
        </is>
      </c>
      <c r="Y102" t="inlineStr">
        <is>
          <t>2026-09-10</t>
        </is>
      </c>
      <c r="Z102" t="inlineStr">
        <is>
          <t>Matches core tech stack including Node.js and Python; Located in Bangalore</t>
        </is>
      </c>
      <c r="AA102" t="inlineStr">
        <is>
          <t>ELIGIBLE</t>
        </is>
      </c>
      <c r="AB102" t="inlineStr">
        <is>
          <t>No strict blockers found in the description</t>
        </is>
      </c>
      <c r="AC102" t="inlineStr">
        <is>
          <t>UNKNOWN</t>
        </is>
      </c>
      <c r="AD102" t="inlineStr">
        <is>
          <t>Not specified in candidate profile or job description</t>
        </is>
      </c>
      <c r="AE102" t="inlineStr">
        <is>
          <t>EXPLICIT</t>
        </is>
      </c>
      <c r="AF102" t="n">
        <v>20833</v>
      </c>
      <c r="AG102" t="inlineStr">
        <is>
          <t>No</t>
        </is>
      </c>
      <c r="AH102" t="inlineStr">
        <is>
          <t>NOT_MENTIONED</t>
        </is>
      </c>
      <c r="AI102" t="inlineStr">
        <is>
          <t>No explicit mention of PPO or conversion to full-time.</t>
        </is>
      </c>
      <c r="AK102" t="inlineStr">
        <is>
          <t>Stipend lower end is roughly 20.8k/month which is below the target of 25k/month; No PPO mention</t>
        </is>
      </c>
      <c r="AL102" t="inlineStr">
        <is>
          <t>Node.js architecture and event loop; Python/Flask basics; Experience with REST APIs and integrations; Understanding of digital twins and engineering data</t>
        </is>
      </c>
    </row>
    <row r="103">
      <c r="A103" t="inlineStr">
        <is>
          <t>EMO.ENERGY-260910-57</t>
        </is>
      </c>
      <c r="B103" t="inlineStr">
        <is>
          <t>emo.energy</t>
        </is>
      </c>
      <c r="C103" t="inlineStr">
        <is>
          <t>Full-Stack Developer</t>
        </is>
      </c>
      <c r="D103" t="inlineStr">
        <is>
          <t>https://in.jooble.org/desc/3071963684124717842?ckey=Node.js+intern&amp;rgn=3193&amp;pos=15&amp;elckey=930407992578992996&amp;p=1&amp;aq=7103456895385232430&amp;cid=389&amp;jobAge=61&amp;brelb=10&amp;bscr=1265.2983&amp;scr=1265.2983</t>
        </is>
      </c>
      <c r="E103" t="inlineStr">
        <is>
          <t>AI Analyzer</t>
        </is>
      </c>
      <c r="F103" t="inlineStr">
        <is>
          <t>Bangalore</t>
        </is>
      </c>
      <c r="G103" t="inlineStr">
        <is>
          <t>Unknown</t>
        </is>
      </c>
      <c r="H103" t="inlineStr">
        <is>
          <t>Not specified</t>
        </is>
      </c>
      <c r="I103" t="inlineStr">
        <is>
          <t>Unknown</t>
        </is>
      </c>
      <c r="J103" t="inlineStr">
        <is>
          <t>Not Mentioned</t>
        </is>
      </c>
      <c r="K103" t="inlineStr">
        <is>
          <t>React; Express.js; Node.js</t>
        </is>
      </c>
      <c r="L103" t="inlineStr">
        <is>
          <t>Angular; Tailwind; Vue.js; Python</t>
        </is>
      </c>
      <c r="M103" t="inlineStr">
        <is>
          <t>&amp;nbsp;...looking for a passionate Full-Stack Developer (&lt;b&gt;Intern &lt;/b&gt;or Entry Level: 0–2 years) who can work...&amp;nbsp;&amp;nbsp;...technologies (React, Angular, Tailwind, Vue.&lt;b&gt;js)&lt;/b&gt;. Collaborate with designers, product...&amp;nbsp;&amp;nbsp;...Work with back-end technologies (Express.js, &lt;b&gt;Node.&lt;/b&gt;js, Python) to integrate APIs and support full...&amp;nbsp;</t>
        </is>
      </c>
      <c r="N103" t="n">
        <v>72</v>
      </c>
      <c r="O103" t="n">
        <v>27</v>
      </c>
      <c r="P103" t="n">
        <v>20</v>
      </c>
      <c r="Q103" t="n">
        <v>14</v>
      </c>
      <c r="R103" t="n">
        <v>5</v>
      </c>
      <c r="S103" t="n">
        <v>0</v>
      </c>
      <c r="T103" t="n">
        <v>6</v>
      </c>
      <c r="U103" t="inlineStr">
        <is>
          <t>CONSIDER</t>
        </is>
      </c>
      <c r="V103" t="inlineStr">
        <is>
          <t>CONSIDER</t>
        </is>
      </c>
      <c r="W103" t="inlineStr">
        <is>
          <t>Tailwind; Vue.js</t>
        </is>
      </c>
      <c r="X103" t="inlineStr">
        <is>
          <t>Default Full-Stack / MERN Resume</t>
        </is>
      </c>
      <c r="Y103" t="inlineStr">
        <is>
          <t>2026-09-10</t>
        </is>
      </c>
      <c r="Z103" t="inlineStr">
        <is>
          <t>Strong technical alignment with React, Node.js, and Express.js; Experience bracket of 0-2 years fits an MCA graduate well; Located in Bangalore</t>
        </is>
      </c>
      <c r="AA103" t="inlineStr">
        <is>
          <t>Eligible</t>
        </is>
      </c>
      <c r="AB103" t="inlineStr">
        <is>
          <t>Experience requirement of 0-2 years aligns with candidate profile; Required tech stack matches candidate background</t>
        </is>
      </c>
      <c r="AC103" t="inlineStr">
        <is>
          <t>Unknown</t>
        </is>
      </c>
      <c r="AD103" t="inlineStr">
        <is>
          <t>Not specified in the job description</t>
        </is>
      </c>
      <c r="AE103" t="inlineStr">
        <is>
          <t>UNKNOWN</t>
        </is>
      </c>
      <c r="AF103" t="n">
        <v>0</v>
      </c>
      <c r="AG103" t="inlineStr">
        <is>
          <t>No</t>
        </is>
      </c>
      <c r="AH103" t="inlineStr">
        <is>
          <t>Not Mentioned</t>
        </is>
      </c>
      <c r="AI103" t="inlineStr">
        <is>
          <t>No mention of PPO or conversion to full-time in the JD text.</t>
        </is>
      </c>
      <c r="AK103" t="inlineStr">
        <is>
          <t>Stipend/Salary not disclosed; No mention of PPO</t>
        </is>
      </c>
      <c r="AL103" t="inlineStr">
        <is>
          <t>React lifecycle and state management; Node.js and Express.js REST API design; Python backend integration; Previous full-stack projects like StaySphere or Zenvest</t>
        </is>
      </c>
    </row>
    <row r="104">
      <c r="A104" t="inlineStr">
        <is>
          <t>LANE-260910-58</t>
        </is>
      </c>
      <c r="B104" t="inlineStr">
        <is>
          <t>Lane</t>
        </is>
      </c>
      <c r="C104" t="inlineStr">
        <is>
          <t>Tech- Intern</t>
        </is>
      </c>
      <c r="D104" t="inlineStr">
        <is>
          <t>https://in.jooble.org/desc/-3697916622688250511?ckey=Node.js+intern&amp;rgn=3193&amp;pos=19&amp;elckey=930407992578992996&amp;p=1&amp;aq=7103456895385232430&amp;cid=389&amp;jobAge=277&amp;brelb=10&amp;bscr=1166.5027&amp;scr=1166.5027</t>
        </is>
      </c>
      <c r="E104" t="inlineStr">
        <is>
          <t>AI Analyzer</t>
        </is>
      </c>
      <c r="F104" t="inlineStr">
        <is>
          <t>Bangalore</t>
        </is>
      </c>
      <c r="G104" t="inlineStr">
        <is>
          <t>UNKNOWN</t>
        </is>
      </c>
      <c r="H104" t="inlineStr">
        <is>
          <t>Not specified</t>
        </is>
      </c>
      <c r="I104" t="inlineStr">
        <is>
          <t>UNKNOWN</t>
        </is>
      </c>
      <c r="J104" t="inlineStr">
        <is>
          <t>UNKNOWN</t>
        </is>
      </c>
      <c r="K104" t="inlineStr">
        <is>
          <t>Node.js; Python; HTML; CSS; JavaScript; React</t>
        </is>
      </c>
      <c r="M104" t="inlineStr">
        <is>
          <t>&amp;nbsp;...experience in software development and technology operations. As a Tech &lt;b&gt;Intern,&lt;/b&gt; you will work closely with our engineering team on live projects...&amp;nbsp;&amp;nbsp;...Basics: Familiarity with at least one backend language (e.g., &lt;b&gt;Node.js,&lt;/b&gt; Python) and frontend basics (HTML/CSS/JavaScript or React)....&amp;nbsp;</t>
        </is>
      </c>
      <c r="N104" t="n">
        <v>78</v>
      </c>
      <c r="O104" t="n">
        <v>30</v>
      </c>
      <c r="P104" t="n">
        <v>20</v>
      </c>
      <c r="Q104" t="n">
        <v>15</v>
      </c>
      <c r="R104" t="n">
        <v>5</v>
      </c>
      <c r="S104" t="n">
        <v>3</v>
      </c>
      <c r="T104" t="n">
        <v>5</v>
      </c>
      <c r="U104" t="inlineStr">
        <is>
          <t>CONSIDER</t>
        </is>
      </c>
      <c r="V104" t="inlineStr">
        <is>
          <t>CONSIDER</t>
        </is>
      </c>
      <c r="X104" t="inlineStr">
        <is>
          <t>Default Full Stack / MERN Resume</t>
        </is>
      </c>
      <c r="Y104" t="inlineStr">
        <is>
          <t>2026-09-10</t>
        </is>
      </c>
      <c r="Z104" t="inlineStr">
        <is>
          <t>Strong technical stack match with Node.js, Python, JavaScript, and React; Located in Bangalore aligning with candidate target</t>
        </is>
      </c>
      <c r="AA104" t="inlineStr">
        <is>
          <t>ELIGIBLE</t>
        </is>
      </c>
      <c r="AB104" t="inlineStr">
        <is>
          <t>Candidate has matching skills in Node.js, Python, JavaScript, and React</t>
        </is>
      </c>
      <c r="AC104" t="inlineStr">
        <is>
          <t>UNKNOWN</t>
        </is>
      </c>
      <c r="AD104" t="inlineStr">
        <is>
          <t>Not specified in candidate profile or job description</t>
        </is>
      </c>
      <c r="AE104" t="inlineStr">
        <is>
          <t>UNKNOWN</t>
        </is>
      </c>
      <c r="AF104" t="n">
        <v>0</v>
      </c>
      <c r="AG104" t="inlineStr">
        <is>
          <t>No</t>
        </is>
      </c>
      <c r="AH104" t="inlineStr">
        <is>
          <t>UNKNOWN</t>
        </is>
      </c>
      <c r="AI104" t="inlineStr">
        <is>
          <t>No mention of PPO or conversion in the job description.</t>
        </is>
      </c>
      <c r="AK104" t="inlineStr">
        <is>
          <t>Stipend information is missing; Duration and work mode are not specified</t>
        </is>
      </c>
      <c r="AL104" t="inlineStr">
        <is>
          <t>Node.js backend development; Python fundamentals; React frontend basics; Past projects like StaySphere or Zenvest</t>
        </is>
      </c>
    </row>
    <row r="105">
      <c r="A105" t="inlineStr">
        <is>
          <t>BOATIGO-260910-59</t>
        </is>
      </c>
      <c r="B105" t="inlineStr">
        <is>
          <t>Boatigo</t>
        </is>
      </c>
      <c r="C105" t="inlineStr">
        <is>
          <t>AI Backend Engineer Intern</t>
        </is>
      </c>
      <c r="D105" t="inlineStr">
        <is>
          <t>https://in.jooble.org/desc/-4568808634222375591?ckey=Node.js+intern&amp;rgn=158289&amp;pos=1&amp;elckey=4672171110006000265&amp;p=1&amp;aq=8026308147579207820&amp;cid=389&amp;jobAge=7&amp;brelb=100&amp;bscr=599.5004&amp;scr=599.5004</t>
        </is>
      </c>
      <c r="E105" t="inlineStr">
        <is>
          <t>AI Analyzer</t>
        </is>
      </c>
      <c r="F105" t="inlineStr">
        <is>
          <t>work from home</t>
        </is>
      </c>
      <c r="G105" t="inlineStr">
        <is>
          <t>Remote</t>
        </is>
      </c>
      <c r="H105" t="inlineStr">
        <is>
          <t>Not specified</t>
        </is>
      </c>
      <c r="I105" t="inlineStr">
        <is>
          <t>UNKNOWN</t>
        </is>
      </c>
      <c r="J105" t="inlineStr">
        <is>
          <t>NOT_MENTIONED</t>
        </is>
      </c>
      <c r="K105" t="inlineStr">
        <is>
          <t>Python; Node.js; REST APIs</t>
        </is>
      </c>
      <c r="L105" t="inlineStr">
        <is>
          <t>LLMs; AI APIs</t>
        </is>
      </c>
      <c r="M105" t="inlineStr">
        <is>
          <t>&amp;nbsp;...Overview We are looking for a motivated AI Backend Engineer &lt;b&gt;Intern &lt;/b&gt; to help build the backend infrastructure that powers Boatigo's AI...&amp;nbsp;&amp;nbsp;...Develop scalable REST APIs and backend services using Python or &lt;b&gt;Node.js.&lt;/b&gt; Integrate LLMs and AI APIs into backend applications....&amp;nbsp;</t>
        </is>
      </c>
      <c r="N105" t="n">
        <v>70</v>
      </c>
      <c r="O105" t="n">
        <v>24</v>
      </c>
      <c r="P105" t="n">
        <v>16</v>
      </c>
      <c r="Q105" t="n">
        <v>14</v>
      </c>
      <c r="R105" t="n">
        <v>5</v>
      </c>
      <c r="S105" t="n">
        <v>4</v>
      </c>
      <c r="T105" t="n">
        <v>7</v>
      </c>
      <c r="U105" t="inlineStr">
        <is>
          <t>CONSIDER</t>
        </is>
      </c>
      <c r="V105" t="inlineStr">
        <is>
          <t>CONSIDER</t>
        </is>
      </c>
      <c r="W105" t="inlineStr">
        <is>
          <t>LLMs; AI APIs</t>
        </is>
      </c>
      <c r="X105" t="inlineStr">
        <is>
          <t>Default Full Stack / Backend Resume</t>
        </is>
      </c>
      <c r="Y105" t="inlineStr">
        <is>
          <t>2026-09-10</t>
        </is>
      </c>
      <c r="Z105" t="inlineStr">
        <is>
          <t>Direct match with Node.js and Python backend requirements; Work from home flexibility; Aligns with AI-adjacent Software Engineering target roles</t>
        </is>
      </c>
      <c r="AA105" t="inlineStr">
        <is>
          <t>ELIGIBLE</t>
        </is>
      </c>
      <c r="AB105" t="inlineStr">
        <is>
          <t>Remote work mode aligns with flexibility; Matches tech stack requirements like Node.js and Python</t>
        </is>
      </c>
      <c r="AC105" t="inlineStr">
        <is>
          <t>UNKNOWN</t>
        </is>
      </c>
      <c r="AD105" t="inlineStr">
        <is>
          <t>Not specified in candidate profile</t>
        </is>
      </c>
      <c r="AE105" t="inlineStr">
        <is>
          <t>UNKNOWN</t>
        </is>
      </c>
      <c r="AF105" t="n">
        <v>0</v>
      </c>
      <c r="AG105" t="inlineStr">
        <is>
          <t>No</t>
        </is>
      </c>
      <c r="AH105" t="inlineStr">
        <is>
          <t>NOT_MENTIONED</t>
        </is>
      </c>
      <c r="AI105" t="inlineStr">
        <is>
          <t>No mention of conversion to full-time or PPO in the job description.</t>
        </is>
      </c>
      <c r="AK105" t="inlineStr">
        <is>
          <t>Stipend is completely undisclosed</t>
        </is>
      </c>
      <c r="AL105" t="inlineStr">
        <is>
          <t>REST API design and scaling in Node.js or Python; Integration of LLMs and third-party AI APIs; Backend infrastructure development experience</t>
        </is>
      </c>
    </row>
    <row r="106">
      <c r="A106" t="inlineStr">
        <is>
          <t>COINBASE-IND-260910-60</t>
        </is>
      </c>
      <c r="B106" t="inlineStr">
        <is>
          <t>Coinbase India Services</t>
        </is>
      </c>
      <c r="C106" t="inlineStr">
        <is>
          <t>Software Engineer Intern</t>
        </is>
      </c>
      <c r="D106" t="inlineStr">
        <is>
          <t>https://in.jooble.org/desc/1797195671655267307?ckey=Node.js+intern&amp;rgn=158289&amp;pos=9&amp;elckey=4672171110006000265&amp;p=1&amp;aq=8026308147579207820&amp;cid=389&amp;jobAge=1381&amp;brelb=10&amp;bscr=156.66751&amp;scr=156.66751</t>
        </is>
      </c>
      <c r="E106" t="inlineStr">
        <is>
          <t>AI Analyzer</t>
        </is>
      </c>
      <c r="F106" t="inlineStr">
        <is>
          <t>India</t>
        </is>
      </c>
      <c r="G106" t="inlineStr">
        <is>
          <t>work from home</t>
        </is>
      </c>
      <c r="H106" t="inlineStr">
        <is>
          <t>Rs 2.5 - 5 lakhs p.a.</t>
        </is>
      </c>
      <c r="I106" t="inlineStr">
        <is>
          <t>Not Specified</t>
        </is>
      </c>
      <c r="J106" t="inlineStr">
        <is>
          <t>NOT_MENTIONED</t>
        </is>
      </c>
      <c r="K106" t="inlineStr">
        <is>
          <t>Software Engineering; Web Development</t>
        </is>
      </c>
      <c r="L106" t="inlineStr">
        <is>
          <t>Crypto-forward technologies</t>
        </is>
      </c>
      <c r="M106"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106" t="n">
        <v>75</v>
      </c>
      <c r="O106" t="n">
        <v>24</v>
      </c>
      <c r="P106" t="n">
        <v>16</v>
      </c>
      <c r="Q106" t="n">
        <v>14</v>
      </c>
      <c r="R106" t="n">
        <v>5</v>
      </c>
      <c r="S106" t="n">
        <v>7</v>
      </c>
      <c r="T106" t="n">
        <v>9</v>
      </c>
      <c r="U106" t="inlineStr">
        <is>
          <t>CONSIDER</t>
        </is>
      </c>
      <c r="V106" t="inlineStr">
        <is>
          <t>CONSIDER</t>
        </is>
      </c>
      <c r="X106" t="inlineStr">
        <is>
          <t>Full Stack / Software Engineering Resume</t>
        </is>
      </c>
      <c r="Y106" t="inlineStr">
        <is>
          <t>2026-09-10</t>
        </is>
      </c>
      <c r="Z106" t="inlineStr">
        <is>
          <t>Coinbase is a high-opportunity tech company working on large-scale systems.; The role matches Amaan's target Software Engineering profile.; Remote work mode aligns well.</t>
        </is>
      </c>
      <c r="AA106" t="inlineStr">
        <is>
          <t>ELIGIBLE</t>
        </is>
      </c>
      <c r="AC106" t="inlineStr">
        <is>
          <t>UNKNOWN</t>
        </is>
      </c>
      <c r="AD106" t="inlineStr">
        <is>
          <t>Availability not specified in the candidate profile.</t>
        </is>
      </c>
      <c r="AE106" t="inlineStr">
        <is>
          <t>EXPLICIT</t>
        </is>
      </c>
      <c r="AF106" t="n">
        <v>20833</v>
      </c>
      <c r="AG106" t="inlineStr">
        <is>
          <t>No</t>
        </is>
      </c>
      <c r="AH106" t="inlineStr">
        <is>
          <t>NOT_MENTIONED</t>
        </is>
      </c>
      <c r="AI106" t="inlineStr">
        <is>
          <t>No explicit PPO or conversion mention found in the description snippet.</t>
        </is>
      </c>
      <c r="AL106" t="inlineStr">
        <is>
          <t>Data Structures and Algorithms; System Design for Large Scale Systems; Web Technologies and JavaScript; Problem Solving</t>
        </is>
      </c>
    </row>
    <row r="107">
      <c r="A107" t="inlineStr">
        <is>
          <t>UNSTOP-/-INT-260910-61</t>
        </is>
      </c>
      <c r="B107" t="inlineStr">
        <is>
          <t>Unstop / IntelleQAcademy</t>
        </is>
      </c>
      <c r="C107" t="inlineStr">
        <is>
          <t>Java Development Intern</t>
        </is>
      </c>
      <c r="D107" t="inlineStr">
        <is>
          <t>https://in.jooble.org/desc/2439658101938443483?ckey=Node.js+intern&amp;rgn=158289&amp;pos=14&amp;elckey=4672171110006000265&amp;p=1&amp;aq=8026308147579207820&amp;cid=389&amp;jobAge=61&amp;brelb=100&amp;bscr=144.14499&amp;scr=144.14499</t>
        </is>
      </c>
      <c r="E107" t="inlineStr">
        <is>
          <t>AI Analyzer</t>
        </is>
      </c>
      <c r="F107" t="inlineStr">
        <is>
          <t>Remote</t>
        </is>
      </c>
      <c r="G107" t="inlineStr">
        <is>
          <t>Work from Home</t>
        </is>
      </c>
      <c r="H107" t="inlineStr">
        <is>
          <t>Not specified</t>
        </is>
      </c>
      <c r="I107" t="inlineStr">
        <is>
          <t>Not specified</t>
        </is>
      </c>
      <c r="J107" t="inlineStr">
        <is>
          <t>UNKNOWN</t>
        </is>
      </c>
      <c r="K107" t="inlineStr">
        <is>
          <t>Java; Programming</t>
        </is>
      </c>
      <c r="M107" t="inlineStr">
        <is>
          <t>&amp;nbsp;...About the Company IntelleQAcademy is inviting applications for Java Development &lt;b&gt;Interns &lt;/b&gt;who are eager to strengthen their programming skills and gain practical experience in software development. As a corporate learning and workforce development organization, IntelleQAcademy...&amp;nbsp;</t>
        </is>
      </c>
      <c r="N107" t="n">
        <v>62</v>
      </c>
      <c r="O107" t="n">
        <v>75</v>
      </c>
      <c r="P107" t="n">
        <v>70</v>
      </c>
      <c r="Q107" t="n">
        <v>70</v>
      </c>
      <c r="R107" t="n">
        <v>40</v>
      </c>
      <c r="S107" t="n">
        <v>30</v>
      </c>
      <c r="T107" t="n">
        <v>50</v>
      </c>
      <c r="U107" t="inlineStr">
        <is>
          <t>STRETCH</t>
        </is>
      </c>
      <c r="V107" t="inlineStr">
        <is>
          <t>STRETCH</t>
        </is>
      </c>
      <c r="X107" t="inlineStr">
        <is>
          <t>Amaanuddin_Ahmed_Software_Engineer_Resume.pdf</t>
        </is>
      </c>
      <c r="Y107" t="inlineStr">
        <is>
          <t>2026-09-10</t>
        </is>
      </c>
      <c r="Z107" t="inlineStr">
        <is>
          <t>Matches Java skills and remote work preference; Good opportunity to gain structured corporate development experience</t>
        </is>
      </c>
      <c r="AA107" t="inlineStr">
        <is>
          <t>ELIGIBLE</t>
        </is>
      </c>
      <c r="AB107" t="inlineStr">
        <is>
          <t>Remote role fits location preferences; Java is part of candidate's demonstrated skill set</t>
        </is>
      </c>
      <c r="AC107" t="inlineStr">
        <is>
          <t>UNKNOWN</t>
        </is>
      </c>
      <c r="AD107" t="inlineStr">
        <is>
          <t>Candidate availability dates not specified in career brain</t>
        </is>
      </c>
      <c r="AE107" t="inlineStr">
        <is>
          <t>UNKNOWN</t>
        </is>
      </c>
      <c r="AF107" t="n">
        <v>0</v>
      </c>
      <c r="AG107" t="inlineStr">
        <is>
          <t>No</t>
        </is>
      </c>
      <c r="AH107" t="inlineStr">
        <is>
          <t>UNKNOWN</t>
        </is>
      </c>
      <c r="AI107" t="inlineStr">
        <is>
          <t>No mention of PPO or conversion in the job description</t>
        </is>
      </c>
      <c r="AK107" t="inlineStr">
        <is>
          <t>Stipend details not disclosed; PPO info missing; Company name ambiguous between Unstop and IntelleQAcademy</t>
        </is>
      </c>
      <c r="AL107" t="inlineStr">
        <is>
          <t>Core Java concepts; Object-Oriented Programming (OOP) principles; Basic data structures and algorithms in Java; Previous software development projects</t>
        </is>
      </c>
    </row>
    <row r="108">
      <c r="A108" t="inlineStr">
        <is>
          <t>NXTWAVE-DISR-260910-62</t>
        </is>
      </c>
      <c r="B108" t="inlineStr">
        <is>
          <t>Nxtwave Disruptive Technologies Private Limited</t>
        </is>
      </c>
      <c r="C108" t="inlineStr">
        <is>
          <t>MERN Developer - Intern</t>
        </is>
      </c>
      <c r="D108" t="inlineStr">
        <is>
          <t>https://in.jooble.org/desc/7218822007534742956?ckey=MERN+intern&amp;rgn=3193&amp;pos=1&amp;elckey=-8354470278249994869&amp;p=1&amp;aq=-6356034267964637025&amp;cid=389&amp;jobAge=181&amp;brelb=10&amp;bscr=2931.9358&amp;scr=2931.9358</t>
        </is>
      </c>
      <c r="E108" t="inlineStr">
        <is>
          <t>AI Analyzer</t>
        </is>
      </c>
      <c r="F108" t="inlineStr">
        <is>
          <t>Bangalore</t>
        </is>
      </c>
      <c r="G108" t="inlineStr">
        <is>
          <t>On-site</t>
        </is>
      </c>
      <c r="H108" t="inlineStr">
        <is>
          <t>20,000/month</t>
        </is>
      </c>
      <c r="I108" t="inlineStr">
        <is>
          <t>6 Months</t>
        </is>
      </c>
      <c r="J108" t="inlineStr">
        <is>
          <t>Available</t>
        </is>
      </c>
      <c r="K108" t="inlineStr">
        <is>
          <t>MERN Stack; MongoDB; Express.js; React.js; Node.js</t>
        </is>
      </c>
      <c r="M108" t="inlineStr">
        <is>
          <t>&amp;nbsp;...&lt;b&gt;MERN &lt;/b&gt;Developer – Internship + Full-Time Opportunity Apply Link: Apply Here Role: MERN Developer – &lt;b&gt;Intern &lt;/b&gt; Job Type: Internship + Full-Time Location: Bangalore CTC: 3.6 – 4.2 LPA Internship Duration: 6 Months Internship Stipend: 20,000/month...&amp;nbsp;</t>
        </is>
      </c>
      <c r="N108" t="n">
        <v>93</v>
      </c>
      <c r="O108" t="n">
        <v>30</v>
      </c>
      <c r="P108" t="n">
        <v>20</v>
      </c>
      <c r="Q108" t="n">
        <v>15</v>
      </c>
      <c r="R108" t="n">
        <v>15</v>
      </c>
      <c r="S108" t="n">
        <v>5</v>
      </c>
      <c r="T108" t="n">
        <v>8</v>
      </c>
      <c r="U108" t="inlineStr">
        <is>
          <t>APPLY ASAP</t>
        </is>
      </c>
      <c r="V108" t="inlineStr">
        <is>
          <t>APPLY ASAP</t>
        </is>
      </c>
      <c r="X108" t="inlineStr">
        <is>
          <t>Amaan_FullStack_Resume.pdf</t>
        </is>
      </c>
      <c r="Y108" t="inlineStr">
        <is>
          <t>2026-09-10</t>
        </is>
      </c>
      <c r="Z108" t="inlineStr">
        <is>
          <t>Direct match for MERN stack capabilities demonstrated in projects like StaySphere.; Includes a full-time conversion opportunity (PPO) matching the candidate's high priority.; Strong technical and role fit.</t>
        </is>
      </c>
      <c r="AA108" t="inlineStr">
        <is>
          <t>Eligible</t>
        </is>
      </c>
      <c r="AB108" t="inlineStr">
        <is>
          <t>Candidate possesses MERN stack background matching the requirements.</t>
        </is>
      </c>
      <c r="AC108" t="inlineStr">
        <is>
          <t>Unknown</t>
        </is>
      </c>
      <c r="AD108" t="inlineStr">
        <is>
          <t>Availability not explicitly stated in candidate profile.</t>
        </is>
      </c>
      <c r="AE108" t="inlineStr">
        <is>
          <t>Below target</t>
        </is>
      </c>
      <c r="AF108" t="n">
        <v>20000</v>
      </c>
      <c r="AG108" t="inlineStr">
        <is>
          <t>No</t>
        </is>
      </c>
      <c r="AH108" t="inlineStr">
        <is>
          <t>Available</t>
        </is>
      </c>
      <c r="AI108" t="inlineStr">
        <is>
          <t>Internship + Full-Time Opportunity explicitly mentioned in the job description.</t>
        </is>
      </c>
      <c r="AK108" t="inlineStr">
        <is>
          <t>Stipend of 20,000/month is below the candidate target of 25,000/month.</t>
        </is>
      </c>
      <c r="AL108" t="inlineStr">
        <is>
          <t>MERN Architecture and State Management; RESTful API Design; Database Indexing and MongoDB Operations; Asynchronous JavaScript and Event Loop</t>
        </is>
      </c>
      <c r="AM108" t="inlineStr">
        <is>
          <t>E:\InternshipHunter\applications\jooble-2c93da9e0c09</t>
        </is>
      </c>
      <c r="AN108" t="inlineStr">
        <is>
          <t>Ready for Review</t>
        </is>
      </c>
      <c r="AO108" t="inlineStr">
        <is>
          <t>Generated</t>
        </is>
      </c>
      <c r="AP108" t="inlineStr">
        <is>
          <t>Generated</t>
        </is>
      </c>
      <c r="AQ108" t="inlineStr">
        <is>
          <t>Generated</t>
        </is>
      </c>
      <c r="AR108" t="inlineStr">
        <is>
          <t>Ready to Apply</t>
        </is>
      </c>
    </row>
    <row r="109">
      <c r="A109" t="inlineStr">
        <is>
          <t>COINBASE-IND-260910-63</t>
        </is>
      </c>
      <c r="B109" t="inlineStr">
        <is>
          <t>Coinbase India Services</t>
        </is>
      </c>
      <c r="C109" t="inlineStr">
        <is>
          <t>Software Engineer Intern</t>
        </is>
      </c>
      <c r="D109" t="inlineStr">
        <is>
          <t>https://in.jooble.org/desc/1797195671655267307?ckey=MERN+intern&amp;rgn=158289&amp;pos=2&amp;elckey=1874977272019323040&amp;p=1&amp;aq=-5722987355497464567&amp;cid=389&amp;jobAge=1381&amp;brelb=10&amp;bscr=231.89882&amp;scr=231.89882</t>
        </is>
      </c>
      <c r="E109" t="inlineStr">
        <is>
          <t>AI Analyzer</t>
        </is>
      </c>
      <c r="F109" t="inlineStr">
        <is>
          <t>India</t>
        </is>
      </c>
      <c r="G109" t="inlineStr">
        <is>
          <t>work from home</t>
        </is>
      </c>
      <c r="H109" t="inlineStr">
        <is>
          <t>Rs 2.5 - 5 lakhs p.a.</t>
        </is>
      </c>
      <c r="I109" t="inlineStr">
        <is>
          <t>UNKNOWN</t>
        </is>
      </c>
      <c r="J109" t="inlineStr">
        <is>
          <t>NOT_MENTIONED</t>
        </is>
      </c>
      <c r="K109" t="inlineStr">
        <is>
          <t>Software Engineering</t>
        </is>
      </c>
      <c r="L109" t="inlineStr">
        <is>
          <t>Crypto products; Web development</t>
        </is>
      </c>
      <c r="M109"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109" t="n">
        <v>76</v>
      </c>
      <c r="O109" t="n">
        <v>24</v>
      </c>
      <c r="P109" t="n">
        <v>16</v>
      </c>
      <c r="Q109" t="n">
        <v>12</v>
      </c>
      <c r="R109" t="n">
        <v>5</v>
      </c>
      <c r="S109" t="n">
        <v>10</v>
      </c>
      <c r="T109" t="n">
        <v>9</v>
      </c>
      <c r="U109" t="inlineStr">
        <is>
          <t>CONSIDER</t>
        </is>
      </c>
      <c r="V109" t="inlineStr">
        <is>
          <t>CONSIDER</t>
        </is>
      </c>
      <c r="X109" t="inlineStr">
        <is>
          <t>Default Full Stack / Software Engineering Resume</t>
        </is>
      </c>
      <c r="Y109" t="inlineStr">
        <is>
          <t>2026-09-10</t>
        </is>
      </c>
      <c r="Z109" t="inlineStr">
        <is>
          <t>Coinbase is a high-profile brand offering strong opportunity quality.; Stipend range translates to approx 20k-41k/month, meeting minimum expectations.; Aligns well with Software Engineering and Full Stack targets.</t>
        </is>
      </c>
      <c r="AA109" t="inlineStr">
        <is>
          <t>ELIGIBLE</t>
        </is>
      </c>
      <c r="AB109" t="inlineStr">
        <is>
          <t>Candidate is pursuing an MCA at PES University.; Matches software engineering intern criteria.</t>
        </is>
      </c>
      <c r="AC109" t="inlineStr">
        <is>
          <t>UNKNOWN</t>
        </is>
      </c>
      <c r="AD109" t="inlineStr">
        <is>
          <t>Availability period not specified in career brain or job description.</t>
        </is>
      </c>
      <c r="AE109" t="inlineStr">
        <is>
          <t>EXPLICIT</t>
        </is>
      </c>
      <c r="AF109" t="n">
        <v>250000</v>
      </c>
      <c r="AG109" t="inlineStr">
        <is>
          <t>No</t>
        </is>
      </c>
      <c r="AH109" t="inlineStr">
        <is>
          <t>NOT_MENTIONED</t>
        </is>
      </c>
      <c r="AI109" t="inlineStr">
        <is>
          <t>Job description does not explicitly mention PPO or conversion.</t>
        </is>
      </c>
      <c r="AL109" t="inlineStr">
        <is>
          <t>Data Structures and Algorithms; System Design and Scalability; Web Technologies and APIs; Problem Solving</t>
        </is>
      </c>
    </row>
    <row r="110">
      <c r="A110" t="inlineStr">
        <is>
          <t>INTELLEQACAD-260910-64</t>
        </is>
      </c>
      <c r="B110" t="inlineStr">
        <is>
          <t>IntelleQAcademy (via Unstop)</t>
        </is>
      </c>
      <c r="C110" t="inlineStr">
        <is>
          <t>Java Development Internship</t>
        </is>
      </c>
      <c r="D110" t="inlineStr">
        <is>
          <t>https://in.jooble.org/desc/2439658101938443483?ckey=MERN+intern&amp;rgn=158289&amp;pos=16&amp;elckey=1874977272019323040&amp;p=1&amp;aq=-5722987355497464567&amp;cid=389&amp;jobAge=61&amp;brelb=100&amp;bscr=144.14499&amp;scr=144.14499</t>
        </is>
      </c>
      <c r="E110" t="inlineStr">
        <is>
          <t>AI Analyzer</t>
        </is>
      </c>
      <c r="F110" t="inlineStr">
        <is>
          <t>Remote</t>
        </is>
      </c>
      <c r="G110" t="inlineStr">
        <is>
          <t>Work from home</t>
        </is>
      </c>
      <c r="H110" t="inlineStr">
        <is>
          <t>Not specified</t>
        </is>
      </c>
      <c r="I110" t="inlineStr">
        <is>
          <t>Not specified</t>
        </is>
      </c>
      <c r="J110" t="inlineStr">
        <is>
          <t>NOT_MENTIONED</t>
        </is>
      </c>
      <c r="K110" t="inlineStr">
        <is>
          <t>Java; Programming</t>
        </is>
      </c>
      <c r="M110" t="inlineStr">
        <is>
          <t>&amp;nbsp;...About the Company IntelleQAcademy is inviting applications for Java Development &lt;b&gt;Interns &lt;/b&gt;who are eager to strengthen their programming skills and gain practical experience in software development. As a corporate learning and workforce development organization, IntelleQAcademy...&amp;nbsp;</t>
        </is>
      </c>
      <c r="N110" t="n">
        <v>48</v>
      </c>
      <c r="O110" t="n">
        <v>20</v>
      </c>
      <c r="P110" t="n">
        <v>15</v>
      </c>
      <c r="Q110" t="n">
        <v>10</v>
      </c>
      <c r="R110" t="n">
        <v>0</v>
      </c>
      <c r="S110" t="n">
        <v>0</v>
      </c>
      <c r="T110" t="n">
        <v>3</v>
      </c>
      <c r="U110" t="inlineStr">
        <is>
          <t>SKIP</t>
        </is>
      </c>
      <c r="V110" t="inlineStr">
        <is>
          <t>SKIP</t>
        </is>
      </c>
      <c r="X110" t="inlineStr">
        <is>
          <t>Default MCA Resume</t>
        </is>
      </c>
      <c r="Y110" t="inlineStr">
        <is>
          <t>2026-09-10</t>
        </is>
      </c>
      <c r="Z110" t="inlineStr">
        <is>
          <t>Matches candidate's Java skill set</t>
        </is>
      </c>
      <c r="AA110" t="inlineStr">
        <is>
          <t>ELIGIBLE</t>
        </is>
      </c>
      <c r="AB110" t="inlineStr">
        <is>
          <t>No specific degree or graduation year restrictions mentioned in the snippet.</t>
        </is>
      </c>
      <c r="AC110" t="inlineStr">
        <is>
          <t>UNKNOWN</t>
        </is>
      </c>
      <c r="AD110" t="inlineStr">
        <is>
          <t>Not specified in candidate profile.</t>
        </is>
      </c>
      <c r="AE110" t="inlineStr">
        <is>
          <t>UNKNOWN</t>
        </is>
      </c>
      <c r="AF110" t="n">
        <v>0</v>
      </c>
      <c r="AG110" t="inlineStr">
        <is>
          <t>No</t>
        </is>
      </c>
      <c r="AH110" t="inlineStr">
        <is>
          <t>NOT_MENTIONED</t>
        </is>
      </c>
      <c r="AI110" t="inlineStr">
        <is>
          <t>No mention of conversion or PPO in the job description.</t>
        </is>
      </c>
      <c r="AK110" t="inlineStr">
        <is>
          <t>Unclear compensation/stipend details; No PPO details mentioned; Third-party/Academy style listing</t>
        </is>
      </c>
      <c r="AL110" t="inlineStr">
        <is>
          <t>Core Java concepts; Object-oriented programming principles; Basic data structures and algorithms in Java</t>
        </is>
      </c>
    </row>
    <row r="111">
      <c r="A111" t="inlineStr">
        <is>
          <t>COINBASE-IND-260910-65</t>
        </is>
      </c>
      <c r="B111" t="inlineStr">
        <is>
          <t>Coinbase India Services</t>
        </is>
      </c>
      <c r="C111" t="inlineStr">
        <is>
          <t>Software Engineer Intern</t>
        </is>
      </c>
      <c r="D111" t="inlineStr">
        <is>
          <t>https://in.jooble.org/desc/1797195671655267307?ckey=Java+developer+intern&amp;rgn=158289&amp;pos=8&amp;elckey=7213811091158651535&amp;p=1&amp;aq=-5549015689624089547&amp;cid=389&amp;jobAge=1381&amp;brelb=10&amp;bscr=156.66751&amp;scr=156.66751</t>
        </is>
      </c>
      <c r="E111" t="inlineStr">
        <is>
          <t>AI Analyzer</t>
        </is>
      </c>
      <c r="F111" t="inlineStr">
        <is>
          <t>India</t>
        </is>
      </c>
      <c r="G111" t="inlineStr">
        <is>
          <t>Work from home</t>
        </is>
      </c>
      <c r="H111" t="inlineStr">
        <is>
          <t>Rs 2.5 - 5 lakhs p.a.</t>
        </is>
      </c>
      <c r="I111" t="inlineStr">
        <is>
          <t>UNKNOWN</t>
        </is>
      </c>
      <c r="J111" t="inlineStr">
        <is>
          <t>NOT_MENTIONED</t>
        </is>
      </c>
      <c r="M111"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111" t="n">
        <v>76</v>
      </c>
      <c r="O111" t="n">
        <v>24</v>
      </c>
      <c r="P111" t="n">
        <v>16</v>
      </c>
      <c r="Q111" t="n">
        <v>13</v>
      </c>
      <c r="R111" t="n">
        <v>5</v>
      </c>
      <c r="S111" t="n">
        <v>10</v>
      </c>
      <c r="T111" t="n">
        <v>8</v>
      </c>
      <c r="U111" t="inlineStr">
        <is>
          <t>CONSIDER</t>
        </is>
      </c>
      <c r="V111" t="inlineStr">
        <is>
          <t>CONSIDER</t>
        </is>
      </c>
      <c r="X111" t="inlineStr">
        <is>
          <t>Amaanuddin_Ahmed_FullStack_Resume.pdf</t>
        </is>
      </c>
      <c r="Y111" t="inlineStr">
        <is>
          <t>2026-09-10</t>
        </is>
      </c>
      <c r="Z111" t="inlineStr">
        <is>
          <t>Coinbase is a high-profile crypto company offering strong engineering exposure.; Stipend range (2.5 - 5 LPA) translates to approximately 20k-41k/month, meeting or closely approaching the minimum target.; Matches target role of Software Engineering / Full Stack Development.</t>
        </is>
      </c>
      <c r="AA111" t="inlineStr">
        <is>
          <t>ELIGIBLE</t>
        </is>
      </c>
      <c r="AB111" t="inlineStr">
        <is>
          <t>Candidate is pursuing MCA at PES University and eligible for software engineering internships.; No hard blockers found in the minimal job description.</t>
        </is>
      </c>
      <c r="AC111" t="inlineStr">
        <is>
          <t>UNKNOWN</t>
        </is>
      </c>
      <c r="AD111" t="inlineStr">
        <is>
          <t>Candidate availability relative to start date is not specified in the career brain.</t>
        </is>
      </c>
      <c r="AE111" t="inlineStr">
        <is>
          <t>EXPLICIT</t>
        </is>
      </c>
      <c r="AF111" t="n">
        <v>250000</v>
      </c>
      <c r="AG111" t="inlineStr">
        <is>
          <t>No</t>
        </is>
      </c>
      <c r="AH111" t="inlineStr">
        <is>
          <t>NOT_MENTIONED</t>
        </is>
      </c>
      <c r="AI111" t="inlineStr">
        <is>
          <t>The short job description snippet does not explicitly mention PPO or conversion opportunities.</t>
        </is>
      </c>
      <c r="AK111" t="inlineStr">
        <is>
          <t>Very vague and short job description provided.</t>
        </is>
      </c>
      <c r="AL111" t="inlineStr">
        <is>
          <t>Data Structures and Algorithms; System Design for crypto-forward or large-scale products; Web technologies and backend scalability; Past project architectures (StaySphere, Zenvest, Contexa)</t>
        </is>
      </c>
    </row>
    <row r="112">
      <c r="A112" t="inlineStr">
        <is>
          <t>EQUILIBRIUM-260910-66</t>
        </is>
      </c>
      <c r="B112" t="inlineStr">
        <is>
          <t>Equilibrium</t>
        </is>
      </c>
      <c r="C112" t="inlineStr">
        <is>
          <t>GIS Intern</t>
        </is>
      </c>
      <c r="D112" t="inlineStr">
        <is>
          <t>https://in.jooble.org/away/-4605506488581299335?p=1&amp;pos=19&amp;rgn=3193&amp;cid=389&amp;ckey=Python+developer+intern&amp;jobAge=47&amp;brelb=10&amp;scr=993.35284&amp;bscr=993.35284&amp;aq=-4636959287039108968&amp;elckey=-6401783053094554398</t>
        </is>
      </c>
      <c r="E112" t="inlineStr">
        <is>
          <t>AI Analyzer</t>
        </is>
      </c>
      <c r="F112" t="inlineStr">
        <is>
          <t>Bangalore</t>
        </is>
      </c>
      <c r="G112" t="inlineStr">
        <is>
          <t>UNKNOWN</t>
        </is>
      </c>
      <c r="H112" t="inlineStr">
        <is>
          <t>Not specified</t>
        </is>
      </c>
      <c r="I112" t="inlineStr">
        <is>
          <t>UNKNOWN</t>
        </is>
      </c>
      <c r="J112" t="inlineStr">
        <is>
          <t>UNKNOWN</t>
        </is>
      </c>
      <c r="K112" t="inlineStr">
        <is>
          <t>GIS; Geospatial data; Mapping; Imagery and remote sensing analysis; Python; Excel</t>
        </is>
      </c>
      <c r="M112" t="inlineStr">
        <is>
          <t>&amp;nbsp;...Equilibrium is a full-stack carbon removal &lt;b&gt;developer &lt;/b&gt;building one of the largest high-...&amp;nbsp;&amp;nbsp;...Responsibilities: We are looking for a GIS &lt;b&gt;Intern &lt;/b&gt;to support our geospatial data, mapping,...&amp;nbsp;&amp;nbsp;...imagery and remote sensing analysis. Use &lt;b&gt;Python &lt;/b&gt;and Excel for data cleaning, analysis,...&amp;nbsp;</t>
        </is>
      </c>
      <c r="N112" t="n">
        <v>33</v>
      </c>
      <c r="O112" t="n">
        <v>40</v>
      </c>
      <c r="P112" t="n">
        <v>50</v>
      </c>
      <c r="Q112" t="n">
        <v>30</v>
      </c>
      <c r="R112" t="n">
        <v>0</v>
      </c>
      <c r="S112" t="n">
        <v>0</v>
      </c>
      <c r="T112" t="n">
        <v>40</v>
      </c>
      <c r="U112" t="inlineStr">
        <is>
          <t>SKIP</t>
        </is>
      </c>
      <c r="V112" t="inlineStr">
        <is>
          <t>SKIP</t>
        </is>
      </c>
      <c r="W112" t="inlineStr">
        <is>
          <t>GIS; Geospatial data; Mapping; Imagery and remote sensing analysis; Excel</t>
        </is>
      </c>
      <c r="X112" t="inlineStr">
        <is>
          <t>Default Resume</t>
        </is>
      </c>
      <c r="Y112" t="inlineStr">
        <is>
          <t>2026-09-10</t>
        </is>
      </c>
      <c r="Z112" t="inlineStr">
        <is>
          <t>Located in Bangalore; Uses Python which is in candidate stack</t>
        </is>
      </c>
      <c r="AA112" t="inlineStr">
        <is>
          <t>ELIGIBLE</t>
        </is>
      </c>
      <c r="AB112" t="inlineStr">
        <is>
          <t>No explicit degree or hard blockers mentioned in JD</t>
        </is>
      </c>
      <c r="AC112" t="inlineStr">
        <is>
          <t>UNKNOWN</t>
        </is>
      </c>
      <c r="AD112" t="inlineStr">
        <is>
          <t>Not specified</t>
        </is>
      </c>
      <c r="AE112" t="inlineStr">
        <is>
          <t>UNKNOWN</t>
        </is>
      </c>
      <c r="AF112" t="n">
        <v>0</v>
      </c>
      <c r="AG112" t="inlineStr">
        <is>
          <t>No</t>
        </is>
      </c>
      <c r="AH112" t="inlineStr">
        <is>
          <t>UNKNOWN</t>
        </is>
      </c>
      <c r="AI112" t="inlineStr">
        <is>
          <t>No PPO or conversion mentioned</t>
        </is>
      </c>
      <c r="AK112" t="inlineStr">
        <is>
          <t>Role is GIS-focused rather than software engineering/development; No stipend specified; No PPO details</t>
        </is>
      </c>
      <c r="AL112" t="inlineStr">
        <is>
          <t>Python for data cleaning and analysis; Geospatial data handling; Remote sensing analysis basics</t>
        </is>
      </c>
    </row>
    <row r="113">
      <c r="A113" t="inlineStr">
        <is>
          <t>COINBASE-IND-260910-67</t>
        </is>
      </c>
      <c r="B113" t="inlineStr">
        <is>
          <t>Coinbase India Services</t>
        </is>
      </c>
      <c r="C113" t="inlineStr">
        <is>
          <t>Software Engineer Intern</t>
        </is>
      </c>
      <c r="D113" t="inlineStr">
        <is>
          <t>https://in.jooble.org/desc/1797195671655267307?ckey=Python+developer+intern&amp;rgn=158289&amp;pos=7&amp;elckey=5816802918702638823&amp;p=1&amp;aq=7266557730527404686&amp;cid=389&amp;jobAge=1381&amp;brelb=10&amp;bscr=156.66751&amp;scr=156.66751</t>
        </is>
      </c>
      <c r="E113" t="inlineStr">
        <is>
          <t>AI Analyzer</t>
        </is>
      </c>
      <c r="F113" t="inlineStr">
        <is>
          <t>India</t>
        </is>
      </c>
      <c r="G113" t="inlineStr">
        <is>
          <t>work from home</t>
        </is>
      </c>
      <c r="H113" t="inlineStr">
        <is>
          <t>Rs 2.5 - 5 lakhs p.a.</t>
        </is>
      </c>
      <c r="I113" t="inlineStr">
        <is>
          <t>UNKNOWN</t>
        </is>
      </c>
      <c r="J113" t="inlineStr">
        <is>
          <t>NOT_MENTIONED</t>
        </is>
      </c>
      <c r="M113" t="inlineStr">
        <is>
          <t>&amp;nbsp;...Job Description: ~ Coinbase is seeking software engineer &lt;b&gt;interns &lt;/b&gt;to join our team to build out the next generation of crypto-forward products and features. ~ You will solve unique, large scale, highly complex technical problems, bridging the constraints posed by web...&amp;nbsp;</t>
        </is>
      </c>
      <c r="N113" t="n">
        <v>73</v>
      </c>
      <c r="O113" t="n">
        <v>70</v>
      </c>
      <c r="P113" t="n">
        <v>70</v>
      </c>
      <c r="Q113" t="n">
        <v>80</v>
      </c>
      <c r="R113" t="n">
        <v>50</v>
      </c>
      <c r="S113" t="n">
        <v>100</v>
      </c>
      <c r="T113" t="n">
        <v>90</v>
      </c>
      <c r="U113" t="inlineStr">
        <is>
          <t>CONSIDER</t>
        </is>
      </c>
      <c r="V113" t="inlineStr">
        <is>
          <t>CONSIDER</t>
        </is>
      </c>
      <c r="X113" t="inlineStr">
        <is>
          <t>Amaanuddin_Ahmed_Software_Engineering_Resume.pdf</t>
        </is>
      </c>
      <c r="Y113" t="inlineStr">
        <is>
          <t>2026-09-10</t>
        </is>
      </c>
      <c r="Z113" t="inlineStr">
        <is>
          <t>Coinbase is a high-quality tech company offering strong opportunity quality.; The annualized stipend meets the minimum expectations for the candidate.</t>
        </is>
      </c>
      <c r="AA113" t="inlineStr">
        <is>
          <t>UNKNOWN</t>
        </is>
      </c>
      <c r="AC113" t="inlineStr">
        <is>
          <t>UNKNOWN</t>
        </is>
      </c>
      <c r="AD113" t="inlineStr">
        <is>
          <t>Not specified in candidate profile or job description</t>
        </is>
      </c>
      <c r="AE113" t="inlineStr">
        <is>
          <t>DISCLOSED</t>
        </is>
      </c>
      <c r="AF113" t="n">
        <v>250000</v>
      </c>
      <c r="AG113" t="inlineStr">
        <is>
          <t>No</t>
        </is>
      </c>
      <c r="AH113" t="inlineStr">
        <is>
          <t>NOT_MENTIONED</t>
        </is>
      </c>
      <c r="AI113" t="inlineStr">
        <is>
          <t>No mention of conversion to full-time employment or PPO in the provided snippet.</t>
        </is>
      </c>
      <c r="AK113" t="inlineStr">
        <is>
          <t>Very sparse job description snippet provided</t>
        </is>
      </c>
      <c r="AL113" t="inlineStr">
        <is>
          <t>Data Structures and Algorithms; Web Technologies; Large scale system design basics; Problem solving</t>
        </is>
      </c>
    </row>
    <row r="114">
      <c r="A114" t="inlineStr">
        <is>
          <t>BOATIGO-260910-68</t>
        </is>
      </c>
      <c r="B114" t="inlineStr">
        <is>
          <t>Boatigo</t>
        </is>
      </c>
      <c r="C114" t="inlineStr">
        <is>
          <t>AI Engineer Internship</t>
        </is>
      </c>
      <c r="D114" t="inlineStr">
        <is>
          <t>https://in.jooble.org/desc/412261402595740673?ckey=Python+developer+intern&amp;rgn=158289&amp;pos=18&amp;elckey=5816802918702638823&amp;p=1&amp;aq=7266557730527404686&amp;cid=389&amp;jobAge=7&amp;brelb=100&amp;bscr=131.90558&amp;scr=131.90558</t>
        </is>
      </c>
      <c r="E114" t="inlineStr">
        <is>
          <t>AI Analyzer</t>
        </is>
      </c>
      <c r="F114" t="inlineStr">
        <is>
          <t>Remote</t>
        </is>
      </c>
      <c r="G114" t="inlineStr">
        <is>
          <t>Work from home</t>
        </is>
      </c>
      <c r="H114" t="inlineStr">
        <is>
          <t>Not specified</t>
        </is>
      </c>
      <c r="I114" t="inlineStr">
        <is>
          <t>Unknown</t>
        </is>
      </c>
      <c r="J114" t="inlineStr">
        <is>
          <t>Not mentioned</t>
        </is>
      </c>
      <c r="K114" t="inlineStr">
        <is>
          <t>Python; Machine Learning</t>
        </is>
      </c>
      <c r="M114" t="inlineStr">
        <is>
          <t>&amp;nbsp;...for a motivated and curious AI Engineer &lt;b&gt;Intern &lt;/b&gt; to join our technology team and work on...&amp;nbsp;&amp;nbsp;...for Boatigo. The intern will work on &lt;b&gt;developing &lt;/b&gt;AI-powered features, automation systems,...&amp;nbsp;&amp;nbsp;...Requirements Strong programming knowledge in &lt;b&gt;Python &lt;/b&gt; . Basic understanding of Machine...&amp;nbsp;</t>
        </is>
      </c>
      <c r="N114" t="n">
        <v>55</v>
      </c>
      <c r="O114" t="n">
        <v>20</v>
      </c>
      <c r="P114" t="n">
        <v>15</v>
      </c>
      <c r="Q114" t="n">
        <v>10</v>
      </c>
      <c r="R114" t="n">
        <v>5</v>
      </c>
      <c r="S114" t="n">
        <v>0</v>
      </c>
      <c r="T114" t="n">
        <v>5</v>
      </c>
      <c r="U114" t="inlineStr">
        <is>
          <t>SKIP</t>
        </is>
      </c>
      <c r="V114" t="inlineStr">
        <is>
          <t>SKIP</t>
        </is>
      </c>
      <c r="W114" t="inlineStr">
        <is>
          <t>Machine Learning</t>
        </is>
      </c>
      <c r="X114" t="inlineStr">
        <is>
          <t>Amaan_MCA_Resume.pdf</t>
        </is>
      </c>
      <c r="Y114" t="inlineStr">
        <is>
          <t>2026-09-10</t>
        </is>
      </c>
      <c r="Z114" t="inlineStr">
        <is>
          <t>Aligns with Python skills and remote work preference; Good opportunity for AI-adjacent software engineering exposure</t>
        </is>
      </c>
      <c r="AA114" t="inlineStr">
        <is>
          <t>Eligible</t>
        </is>
      </c>
      <c r="AB114" t="inlineStr">
        <is>
          <t>Candidate has Python programming knowledge matching requirements; Work mode is remote, matching candidate preferences</t>
        </is>
      </c>
      <c r="AC114" t="inlineStr">
        <is>
          <t>Unknown</t>
        </is>
      </c>
      <c r="AD114" t="inlineStr">
        <is>
          <t>Availability not specified in profile or JD</t>
        </is>
      </c>
      <c r="AE114" t="inlineStr">
        <is>
          <t>UNKNOWN</t>
        </is>
      </c>
      <c r="AF114" t="n">
        <v>0</v>
      </c>
      <c r="AG114" t="inlineStr">
        <is>
          <t>No</t>
        </is>
      </c>
      <c r="AH114" t="inlineStr">
        <is>
          <t>Not mentioned</t>
        </is>
      </c>
      <c r="AI114" t="inlineStr">
        <is>
          <t>No mention of PPO or conversion in the job description</t>
        </is>
      </c>
      <c r="AK114" t="inlineStr">
        <is>
          <t>Unspecified stipend; No PPO details mentioned</t>
        </is>
      </c>
      <c r="AL114" t="inlineStr">
        <is>
          <t>Python programming fundamentals; Basic Machine Learning concepts; Automation systems and AI-powered features</t>
        </is>
      </c>
    </row>
    <row r="115">
      <c r="A115" t="inlineStr">
        <is>
          <t>JOBRAPIDO-260910-69</t>
        </is>
      </c>
      <c r="B115" t="inlineStr">
        <is>
          <t>Jobrapido</t>
        </is>
      </c>
      <c r="C115" t="inlineStr">
        <is>
          <t>AI Stock Video &amp; Prompt Engineering Intern</t>
        </is>
      </c>
      <c r="D115" t="inlineStr">
        <is>
          <t>https://in.jooble.org/away/5922967950970144752?p=1&amp;pos=1&amp;rgn=3193&amp;cid=389&amp;ckey=AI+engineer+intern&amp;jobAge=37&amp;brelb=10&amp;scr=2820.7346&amp;bscr=2820.7346&amp;aq=5967155849322200309&amp;elckey=-2785813088554853484</t>
        </is>
      </c>
      <c r="E115" t="inlineStr">
        <is>
          <t>AI Analyzer</t>
        </is>
      </c>
      <c r="F115" t="inlineStr">
        <is>
          <t>Bangalore</t>
        </is>
      </c>
      <c r="G115" t="inlineStr">
        <is>
          <t>UNKNOWN</t>
        </is>
      </c>
      <c r="H115" t="inlineStr">
        <is>
          <t>Not specified</t>
        </is>
      </c>
      <c r="I115" t="inlineStr">
        <is>
          <t>UNKNOWN</t>
        </is>
      </c>
      <c r="J115" t="inlineStr">
        <is>
          <t>UNKNOWN</t>
        </is>
      </c>
      <c r="K115" t="inlineStr">
        <is>
          <t>Prompt Engineering; AI Video Generation</t>
        </is>
      </c>
      <c r="L115" t="inlineStr">
        <is>
          <t>Branding; Marketing Content Creation</t>
        </is>
      </c>
      <c r="M115" t="inlineStr">
        <is>
          <t>&amp;nbsp;...Internship Opportunity: &lt;b&gt;AI &lt;/b&gt;Stock Video &amp; Prompt &lt;b&gt;Engineering &lt;/b&gt; We’re an IT Staffing, Consulting, Outsourcing, and Software Development company on the lookout for a creative &lt;b&gt;intern &lt;/b&gt;to help us build AI-generated stock videos and content for branding and marketing. If you...&amp;nbsp;</t>
        </is>
      </c>
      <c r="N115" t="n">
        <v>35</v>
      </c>
      <c r="O115" t="n">
        <v>40</v>
      </c>
      <c r="P115" t="n">
        <v>50</v>
      </c>
      <c r="Q115" t="n">
        <v>40</v>
      </c>
      <c r="R115" t="n">
        <v>0</v>
      </c>
      <c r="S115" t="n">
        <v>0</v>
      </c>
      <c r="T115" t="n">
        <v>40</v>
      </c>
      <c r="U115" t="inlineStr">
        <is>
          <t>SKIP</t>
        </is>
      </c>
      <c r="V115" t="inlineStr">
        <is>
          <t>SKIP</t>
        </is>
      </c>
      <c r="W115" t="inlineStr">
        <is>
          <t>AI Stock Video Generation; Prompt Engineering for video tools</t>
        </is>
      </c>
      <c r="X115" t="inlineStr">
        <is>
          <t>Default MCA Resume</t>
        </is>
      </c>
      <c r="Y115" t="inlineStr">
        <is>
          <t>2026-09-10</t>
        </is>
      </c>
      <c r="Z115" t="inlineStr">
        <is>
          <t>Located in Bangalore; Gain exposure to AI-adjacent tools</t>
        </is>
      </c>
      <c r="AA115" t="inlineStr">
        <is>
          <t>UNKNOWN</t>
        </is>
      </c>
      <c r="AB115" t="inlineStr">
        <is>
          <t>Degree requirements not specified in the snippet; Graduation year requirements not specified</t>
        </is>
      </c>
      <c r="AC115" t="inlineStr">
        <is>
          <t>UNKNOWN</t>
        </is>
      </c>
      <c r="AD115" t="inlineStr">
        <is>
          <t>Candidate availability details not provided in career brain</t>
        </is>
      </c>
      <c r="AE115" t="inlineStr">
        <is>
          <t>UNKNOWN</t>
        </is>
      </c>
      <c r="AF115" t="n">
        <v>0</v>
      </c>
      <c r="AG115" t="inlineStr">
        <is>
          <t>No</t>
        </is>
      </c>
      <c r="AH115" t="inlineStr">
        <is>
          <t>UNKNOWN</t>
        </is>
      </c>
      <c r="AI115" t="inlineStr">
        <is>
          <t>No mention of PPO or conversion in the job description snippet</t>
        </is>
      </c>
      <c r="AK115" t="inlineStr">
        <is>
          <t>Stipend is completely unspecified; Job description is incomplete/truncated</t>
        </is>
      </c>
      <c r="AL115" t="inlineStr">
        <is>
          <t>Prompt engineering techniques; AI video generation tools and workflows; Marketing and branding content creation</t>
        </is>
      </c>
    </row>
    <row r="116">
      <c r="A116" t="inlineStr">
        <is>
          <t>CONTINENTAL--260910-70</t>
        </is>
      </c>
      <c r="B116" t="inlineStr">
        <is>
          <t>Continental Industry</t>
        </is>
      </c>
      <c r="C116" t="inlineStr">
        <is>
          <t>Intern - AI Engineer</t>
        </is>
      </c>
      <c r="D116" t="inlineStr">
        <is>
          <t>https://in.jooble.org/desc/-8151250632548540664?ckey=AI+engineer+intern&amp;rgn=3193&amp;pos=3&amp;elckey=-2785813088554853484&amp;p=1&amp;aq=5967155849322200309&amp;cid=389&amp;jobAge=85&amp;brelb=10&amp;bscr=1650.3162&amp;scr=1650.3162</t>
        </is>
      </c>
      <c r="E116" t="inlineStr">
        <is>
          <t>AI Analyzer</t>
        </is>
      </c>
      <c r="F116" t="inlineStr">
        <is>
          <t>Bangalore</t>
        </is>
      </c>
      <c r="G116" t="inlineStr">
        <is>
          <t>Unknown</t>
        </is>
      </c>
      <c r="H116" t="inlineStr">
        <is>
          <t>Not specified</t>
        </is>
      </c>
      <c r="I116" t="inlineStr">
        <is>
          <t>Unknown</t>
        </is>
      </c>
      <c r="J116" t="inlineStr">
        <is>
          <t>UNKNOWN</t>
        </is>
      </c>
      <c r="K116" t="inlineStr">
        <is>
          <t>Gen AI; LLMs</t>
        </is>
      </c>
      <c r="L116" t="inlineStr">
        <is>
          <t>Data and Analytics</t>
        </is>
      </c>
      <c r="M116" t="inlineStr">
        <is>
          <t>&amp;nbsp;...excellence across finance, technology, and corporate services. We are inviting students for internship opportunities in the space of &lt;b&gt;AI Engineering &lt;/b&gt;in Data and Analytics team Job Description work on tasks using Gen AI and other LLMs produce POCs Propose possible...&amp;nbsp;</t>
        </is>
      </c>
      <c r="N116" t="n">
        <v>38</v>
      </c>
      <c r="O116" t="n">
        <v>40</v>
      </c>
      <c r="P116" t="n">
        <v>50</v>
      </c>
      <c r="Q116" t="n">
        <v>60</v>
      </c>
      <c r="R116" t="n">
        <v>0</v>
      </c>
      <c r="S116" t="n">
        <v>0</v>
      </c>
      <c r="T116" t="n">
        <v>40</v>
      </c>
      <c r="U116" t="inlineStr">
        <is>
          <t>SKIP</t>
        </is>
      </c>
      <c r="V116" t="inlineStr">
        <is>
          <t>SKIP</t>
        </is>
      </c>
      <c r="W116" t="inlineStr">
        <is>
          <t>Gen AI; LLMs</t>
        </is>
      </c>
      <c r="X116" t="inlineStr">
        <is>
          <t>Amaanuddin_Ahmed_AI_Software_Engineering_Resume.pdf</t>
        </is>
      </c>
      <c r="Y116" t="inlineStr">
        <is>
          <t>2026-09-10</t>
        </is>
      </c>
      <c r="Z116" t="inlineStr">
        <is>
          <t>Located in Bangalore; Matches AI-adjacent software engineering interest</t>
        </is>
      </c>
      <c r="AA116" t="inlineStr">
        <is>
          <t>ELIGIBLE</t>
        </is>
      </c>
      <c r="AB116" t="inlineStr">
        <is>
          <t>Student status matches internship requirements; Location matches target city (Bangalore)</t>
        </is>
      </c>
      <c r="AC116" t="inlineStr">
        <is>
          <t>UNKNOWN</t>
        </is>
      </c>
      <c r="AD116" t="inlineStr">
        <is>
          <t>Availability timeline not specified in candidate profile</t>
        </is>
      </c>
      <c r="AE116" t="inlineStr">
        <is>
          <t>UNKNOWN</t>
        </is>
      </c>
      <c r="AF116" t="n">
        <v>0</v>
      </c>
      <c r="AG116" t="inlineStr">
        <is>
          <t>No</t>
        </is>
      </c>
      <c r="AH116" t="inlineStr">
        <is>
          <t>UNKNOWN</t>
        </is>
      </c>
      <c r="AI116" t="inlineStr">
        <is>
          <t>No mention of PPO or conversion in the job description</t>
        </is>
      </c>
      <c r="AK116" t="inlineStr">
        <is>
          <t>Vague job description with no stipend details; No mention of PPO</t>
        </is>
      </c>
      <c r="AL116" t="inlineStr">
        <is>
          <t>Generative AI concepts; Large Language Models (LLMs) and POC development; Python programming and data analytics</t>
        </is>
      </c>
    </row>
    <row r="117">
      <c r="A117" t="inlineStr">
        <is>
          <t>TESTHIRING-260910-71</t>
        </is>
      </c>
      <c r="B117" t="inlineStr">
        <is>
          <t>TestHiring</t>
        </is>
      </c>
      <c r="C117" t="inlineStr">
        <is>
          <t>AI Engineer - Intern</t>
        </is>
      </c>
      <c r="D117" t="inlineStr">
        <is>
          <t>https://in.jooble.org/desc/1212238152267076468?ckey=AI+engineer+intern&amp;rgn=3193&amp;pos=5&amp;elckey=-2785813088554853484&amp;p=1&amp;aq=5967155849322200309&amp;cid=389&amp;jobAge=733&amp;brelb=100&amp;bscr=1484.8984&amp;scr=1484.8984</t>
        </is>
      </c>
      <c r="E117" t="inlineStr">
        <is>
          <t>AI Analyzer</t>
        </is>
      </c>
      <c r="F117" t="inlineStr">
        <is>
          <t>Bengaluru</t>
        </is>
      </c>
      <c r="G117" t="inlineStr">
        <is>
          <t>UNKNOWN</t>
        </is>
      </c>
      <c r="H117" t="inlineStr">
        <is>
          <t>Rs 15000 - Rs 20000 per month</t>
        </is>
      </c>
      <c r="I117" t="inlineStr">
        <is>
          <t>UNKNOWN</t>
        </is>
      </c>
      <c r="J117" t="inlineStr">
        <is>
          <t>NONE</t>
        </is>
      </c>
      <c r="K117" t="inlineStr">
        <is>
          <t>AI; Automation; Python</t>
        </is>
      </c>
      <c r="L117" t="inlineStr">
        <is>
          <t>Data Science</t>
        </is>
      </c>
      <c r="M117" t="inlineStr">
        <is>
          <t>&amp;nbsp;...Contribute to maintaining a backlog of &lt;b&gt;AI/&lt;/b&gt;automation ideas. Rapid Prototyping &amp;...&amp;nbsp;&amp;nbsp;...deploy and monitor pilot solutions with &lt;b&gt;internal &lt;/b&gt;teams. Collect feedback, track basic usage...&amp;nbsp;&amp;nbsp;...pursuing or recently completed a degree in &lt;b&gt;Engineering,&lt;/b&gt; Computer Science, Data Science, Business...&amp;nbsp;</t>
        </is>
      </c>
      <c r="N117" t="n">
        <v>45</v>
      </c>
      <c r="O117" t="n">
        <v>50</v>
      </c>
      <c r="P117" t="n">
        <v>60</v>
      </c>
      <c r="Q117" t="n">
        <v>50</v>
      </c>
      <c r="R117" t="n">
        <v>0</v>
      </c>
      <c r="S117" t="n">
        <v>40</v>
      </c>
      <c r="T117" t="n">
        <v>50</v>
      </c>
      <c r="U117" t="inlineStr">
        <is>
          <t>SKIP</t>
        </is>
      </c>
      <c r="V117" t="inlineStr">
        <is>
          <t>SKIP</t>
        </is>
      </c>
      <c r="W117" t="inlineStr">
        <is>
          <t>AI Engineering; Rapid Prototyping</t>
        </is>
      </c>
      <c r="X117" t="inlineStr">
        <is>
          <t>Amaan_Software_Engineer_Resume.pdf</t>
        </is>
      </c>
      <c r="Y117" t="inlineStr">
        <is>
          <t>2026-09-10</t>
        </is>
      </c>
      <c r="Z117" t="inlineStr">
        <is>
          <t>Matches general location and computer science education background.</t>
        </is>
      </c>
      <c r="AA117" t="inlineStr">
        <is>
          <t>ELIGIBLE</t>
        </is>
      </c>
      <c r="AB117" t="inlineStr">
        <is>
          <t>Candidate is pursuing an eligible degree (MCA in Computer Science context)</t>
        </is>
      </c>
      <c r="AC117" t="inlineStr">
        <is>
          <t>UNKNOWN</t>
        </is>
      </c>
      <c r="AD117" t="inlineStr">
        <is>
          <t>Not specified in candidate profile</t>
        </is>
      </c>
      <c r="AE117" t="inlineStr">
        <is>
          <t>KNOWN</t>
        </is>
      </c>
      <c r="AF117" t="n">
        <v>15000</v>
      </c>
      <c r="AG117" t="inlineStr">
        <is>
          <t>No</t>
        </is>
      </c>
      <c r="AH117" t="inlineStr">
        <is>
          <t>NONE</t>
        </is>
      </c>
      <c r="AI117" t="inlineStr">
        <is>
          <t>No mention of PPO or conversion in the job description.</t>
        </is>
      </c>
      <c r="AK117" t="inlineStr">
        <is>
          <t>Stipend is below candidate's minimum target of 25000/month; No PPO mentioned</t>
        </is>
      </c>
      <c r="AL117" t="inlineStr">
        <is>
          <t>AI and automation prototyping; Python scripting and deployment; Feedback collection and pilot solution monitoring</t>
        </is>
      </c>
    </row>
    <row r="118">
      <c r="A118" t="inlineStr">
        <is>
          <t>REPOWISE-260910-72</t>
        </is>
      </c>
      <c r="B118" t="inlineStr">
        <is>
          <t>Repowise</t>
        </is>
      </c>
      <c r="C118" t="inlineStr">
        <is>
          <t>SDE Intern (Founding Team)</t>
        </is>
      </c>
      <c r="D118" t="inlineStr">
        <is>
          <t>https://in.jooble.org/away/8042308166668747854?p=1&amp;pos=6&amp;rgn=3193&amp;cid=389&amp;ckey=AI+engineer+intern&amp;jobAge=35&amp;brelb=10&amp;scr=1443.019&amp;bscr=1443.019&amp;aq=5967155849322200309&amp;elckey=-2785813088554853484</t>
        </is>
      </c>
      <c r="E118" t="inlineStr">
        <is>
          <t>AI Analyzer</t>
        </is>
      </c>
      <c r="F118" t="inlineStr">
        <is>
          <t>Bangalore</t>
        </is>
      </c>
      <c r="G118" t="inlineStr">
        <is>
          <t>Remote</t>
        </is>
      </c>
      <c r="I118" t="inlineStr">
        <is>
          <t>UNKNOWN</t>
        </is>
      </c>
      <c r="J118" t="inlineStr">
        <is>
          <t>UNKNOWN</t>
        </is>
      </c>
      <c r="K118" t="inlineStr">
        <is>
          <t>Python; FastAPI; tree-sitter; git internals; vector search; Docker; MCP; LLM integrations</t>
        </is>
      </c>
      <c r="M118" t="inlineStr">
        <is>
          <t>&amp;nbsp;...codebase intelligence platform that makes &lt;b&gt;AI &lt;/b&gt;coding agents actually understand the code...&amp;nbsp;&amp;nbsp;...production-grade features across the indexing &lt;b&gt;engine &lt;/b&gt;and AI-agent tooling Work on core...&amp;nbsp;&amp;nbsp;...Get) Python, FastAPI, tree-sitter, git &lt;b&gt;internals,&lt;/b&gt; vector search, Docker, MCP, and LLM integrations...&amp;nbsp;</t>
        </is>
      </c>
      <c r="N118" t="n">
        <v>42</v>
      </c>
      <c r="O118" t="n">
        <v>40</v>
      </c>
      <c r="P118" t="n">
        <v>60</v>
      </c>
      <c r="Q118" t="n">
        <v>70</v>
      </c>
      <c r="R118" t="n">
        <v>0</v>
      </c>
      <c r="S118" t="n">
        <v>0</v>
      </c>
      <c r="T118" t="n">
        <v>60</v>
      </c>
      <c r="U118" t="inlineStr">
        <is>
          <t>SKIP</t>
        </is>
      </c>
      <c r="V118" t="inlineStr">
        <is>
          <t>SKIP</t>
        </is>
      </c>
      <c r="W118" t="inlineStr">
        <is>
          <t>FastAPI; tree-sitter; git internals; vector search; Docker; MCP; LLM integrations</t>
        </is>
      </c>
      <c r="X118" t="inlineStr">
        <is>
          <t>Amaan_AI_Software_Engineer_Resume.pdf</t>
        </is>
      </c>
      <c r="Y118" t="inlineStr">
        <is>
          <t>2026-09-10</t>
        </is>
      </c>
      <c r="Z118" t="inlineStr">
        <is>
          <t>Aligned with AI-adjacent software engineering and developer tools.</t>
        </is>
      </c>
      <c r="AA118" t="inlineStr">
        <is>
          <t>ELIGIBLE</t>
        </is>
      </c>
      <c r="AB118" t="inlineStr">
        <is>
          <t>No degree or graduation year hard blockers mentioned in the snippet.</t>
        </is>
      </c>
      <c r="AC118" t="inlineStr">
        <is>
          <t>UNKNOWN</t>
        </is>
      </c>
      <c r="AD118" t="inlineStr">
        <is>
          <t>Availability not specified in the candidate profile or JD.</t>
        </is>
      </c>
      <c r="AE118" t="inlineStr">
        <is>
          <t>UNKNOWN</t>
        </is>
      </c>
      <c r="AF118" t="n">
        <v>0</v>
      </c>
      <c r="AG118" t="inlineStr">
        <is>
          <t>No</t>
        </is>
      </c>
      <c r="AH118" t="inlineStr">
        <is>
          <t>UNKNOWN</t>
        </is>
      </c>
      <c r="AI118" t="inlineStr">
        <is>
          <t>No explicit PPO or conversion mention found in the truncated JD.</t>
        </is>
      </c>
      <c r="AK118" t="inlineStr">
        <is>
          <t>Incomplete or very short job description snippet.</t>
        </is>
      </c>
      <c r="AL118" t="inlineStr">
        <is>
          <t>Python and FastAPI architecture; Git internals and AST/tree-sitter; Vector search and LLM integrations</t>
        </is>
      </c>
    </row>
    <row r="119">
      <c r="A119" t="inlineStr">
        <is>
          <t>UNKNOWN-260910-73</t>
        </is>
      </c>
      <c r="B119" t="inlineStr">
        <is>
          <t>Unknown</t>
        </is>
      </c>
      <c r="C119" t="inlineStr">
        <is>
          <t>AI Engineer Intern</t>
        </is>
      </c>
      <c r="D119" t="inlineStr">
        <is>
          <t>https://in.jooble.org/desc/412261402595740673?ckey=AI+engineer+intern&amp;rgn=158289&amp;pos=1&amp;elckey=-6745963282442062407&amp;p=1&amp;aq=-19656684045375692&amp;cid=389&amp;jobAge=7&amp;brelb=100&amp;bscr=632.49493&amp;scr=632.49493</t>
        </is>
      </c>
      <c r="E119" t="inlineStr">
        <is>
          <t>AI Analyzer</t>
        </is>
      </c>
      <c r="F119" t="inlineStr">
        <is>
          <t>India</t>
        </is>
      </c>
      <c r="G119" t="inlineStr">
        <is>
          <t>work from home</t>
        </is>
      </c>
      <c r="H119" t="inlineStr">
        <is>
          <t>Not specified</t>
        </is>
      </c>
      <c r="I119" t="inlineStr">
        <is>
          <t>Unknown</t>
        </is>
      </c>
      <c r="J119" t="inlineStr">
        <is>
          <t>NOT_MENTIONED</t>
        </is>
      </c>
      <c r="K119" t="inlineStr">
        <is>
          <t>AI; Machine Learning</t>
        </is>
      </c>
      <c r="M119" t="inlineStr">
        <is>
          <t>&amp;nbsp;...across India. We are building a technology-driven platform where &lt;b&gt;AI &lt;/b&gt;can play a major role in improving how travelers discover...&amp;nbsp;&amp;nbsp;...Role Overview We are looking for a motivated and curious AI &lt;b&gt;Engineer Intern &lt;/b&gt; to join our technology team and work on real-world AI applications...&amp;nbsp;</t>
        </is>
      </c>
      <c r="N119" t="n">
        <v>43</v>
      </c>
      <c r="O119" t="n">
        <v>15</v>
      </c>
      <c r="P119" t="n">
        <v>15</v>
      </c>
      <c r="Q119" t="n">
        <v>10</v>
      </c>
      <c r="R119" t="n">
        <v>0</v>
      </c>
      <c r="S119" t="n">
        <v>0</v>
      </c>
      <c r="T119" t="n">
        <v>3</v>
      </c>
      <c r="U119" t="inlineStr">
        <is>
          <t>SKIP</t>
        </is>
      </c>
      <c r="V119" t="inlineStr">
        <is>
          <t>SKIP</t>
        </is>
      </c>
      <c r="W119" t="inlineStr">
        <is>
          <t>AI; Machine Learning</t>
        </is>
      </c>
      <c r="X119" t="inlineStr">
        <is>
          <t>Amaan_MCA_Software_Engineer.pdf</t>
        </is>
      </c>
      <c r="Y119" t="inlineStr">
        <is>
          <t>2026-09-10</t>
        </is>
      </c>
      <c r="Z119" t="inlineStr">
        <is>
          <t>Remote work mode aligns with flexibility preferences.; Matches AI-adjacent software engineering interest.</t>
        </is>
      </c>
      <c r="AA119" t="inlineStr">
        <is>
          <t>ELIGIBLE</t>
        </is>
      </c>
      <c r="AB119" t="inlineStr">
        <is>
          <t>No explicit hard blockers found in the job description.</t>
        </is>
      </c>
      <c r="AC119" t="inlineStr">
        <is>
          <t>UNKNOWN</t>
        </is>
      </c>
      <c r="AD119" t="inlineStr">
        <is>
          <t>Candidate availability details are not provided in the Career Brain.</t>
        </is>
      </c>
      <c r="AE119" t="inlineStr">
        <is>
          <t>UNKNOWN</t>
        </is>
      </c>
      <c r="AF119" t="n">
        <v>0</v>
      </c>
      <c r="AG119" t="inlineStr">
        <is>
          <t>No</t>
        </is>
      </c>
      <c r="AH119" t="inlineStr">
        <is>
          <t>NOT_MENTIONED</t>
        </is>
      </c>
      <c r="AI119" t="inlineStr">
        <is>
          <t>No explicit mention of PPO or conversion in the job description.</t>
        </is>
      </c>
      <c r="AK119" t="inlineStr">
        <is>
          <t>Vague job description with minimal requirements and no stipend information.</t>
        </is>
      </c>
      <c r="AL119" t="inlineStr">
        <is>
          <t>Python fundamentals; Basic AI/ML concepts; Previous software development projects</t>
        </is>
      </c>
    </row>
    <row r="120">
      <c r="A120" t="inlineStr">
        <is>
          <t>BOATIGO-260910-74</t>
        </is>
      </c>
      <c r="B120" t="inlineStr">
        <is>
          <t>Boatigo</t>
        </is>
      </c>
      <c r="C120" t="inlineStr">
        <is>
          <t>AI Backend Engineer Intern</t>
        </is>
      </c>
      <c r="D120" t="inlineStr">
        <is>
          <t>https://in.jooble.org/desc/-4568808634222375591?ckey=AI+engineer+intern&amp;rgn=158289&amp;pos=2&amp;elckey=-6745963282442062407&amp;p=1&amp;aq=-19656684045375692&amp;cid=389&amp;jobAge=7&amp;brelb=100&amp;bscr=517.3419&amp;scr=517.3419</t>
        </is>
      </c>
      <c r="E120" t="inlineStr">
        <is>
          <t>AI Analyzer</t>
        </is>
      </c>
      <c r="F120" t="inlineStr">
        <is>
          <t>Remote</t>
        </is>
      </c>
      <c r="G120" t="inlineStr">
        <is>
          <t>work from home</t>
        </is>
      </c>
      <c r="H120" t="inlineStr">
        <is>
          <t>UNKNOWN</t>
        </is>
      </c>
      <c r="I120" t="inlineStr">
        <is>
          <t>UNKNOWN</t>
        </is>
      </c>
      <c r="J120" t="inlineStr">
        <is>
          <t>NOT_MENTIONED</t>
        </is>
      </c>
      <c r="K120" t="inlineStr">
        <is>
          <t>Backend Development; AI-powered systems integration</t>
        </is>
      </c>
      <c r="L120" t="inlineStr">
        <is>
          <t>Python; Node.js</t>
        </is>
      </c>
      <c r="M120" t="inlineStr">
        <is>
          <t>&amp;nbsp;.... We are building a technology-driven platform and exploring &lt;b&gt;AI-&lt;/b&gt;powered systems to improve discovery, personalization, automation...&amp;nbsp;&amp;nbsp;...Role Overview We are looking for a motivated AI Backend &lt;b&gt;Engineer Intern &lt;/b&gt; to help build the backend infrastructure that powers Boatigo's...&amp;nbsp;</t>
        </is>
      </c>
      <c r="N120" t="n">
        <v>62</v>
      </c>
      <c r="O120" t="n">
        <v>21</v>
      </c>
      <c r="P120" t="n">
        <v>14</v>
      </c>
      <c r="Q120" t="n">
        <v>12</v>
      </c>
      <c r="R120" t="n">
        <v>5</v>
      </c>
      <c r="S120" t="n">
        <v>5</v>
      </c>
      <c r="T120" t="n">
        <v>5</v>
      </c>
      <c r="U120" t="inlineStr">
        <is>
          <t>STRETCH</t>
        </is>
      </c>
      <c r="V120" t="inlineStr">
        <is>
          <t>STRETCH</t>
        </is>
      </c>
      <c r="W120" t="inlineStr">
        <is>
          <t>Specific AI backend frameworks</t>
        </is>
      </c>
      <c r="X120" t="inlineStr">
        <is>
          <t>Amaanuddin_Ahmed_Backend_Resume.pdf</t>
        </is>
      </c>
      <c r="Y120" t="inlineStr">
        <is>
          <t>2026-09-10</t>
        </is>
      </c>
      <c r="Z120" t="inlineStr">
        <is>
          <t>Aligns with backend and AI-adjacent software engineering targets; Remote work arrangement</t>
        </is>
      </c>
      <c r="AA120" t="inlineStr">
        <is>
          <t>ELIGIBLE</t>
        </is>
      </c>
      <c r="AB120" t="inlineStr">
        <is>
          <t>No explicit hard blockers found in the brief job description; Work mode is remote, aligning with standard internship arrangements</t>
        </is>
      </c>
      <c r="AC120" t="inlineStr">
        <is>
          <t>UNKNOWN</t>
        </is>
      </c>
      <c r="AD120" t="inlineStr">
        <is>
          <t>Not specified in candidate brain or job description</t>
        </is>
      </c>
      <c r="AE120" t="inlineStr">
        <is>
          <t>UNKNOWN</t>
        </is>
      </c>
      <c r="AF120" t="n">
        <v>0</v>
      </c>
      <c r="AG120" t="inlineStr">
        <is>
          <t>No</t>
        </is>
      </c>
      <c r="AH120" t="inlineStr">
        <is>
          <t>NOT_MENTIONED</t>
        </is>
      </c>
      <c r="AI120" t="inlineStr">
        <is>
          <t>No explicit mention of PPO or conversion in the job description</t>
        </is>
      </c>
      <c r="AK120" t="inlineStr">
        <is>
          <t>Extremely brief job description with very few details provided</t>
        </is>
      </c>
      <c r="AL120" t="inlineStr">
        <is>
          <t>Backend architecture and infrastructure; AI system integration and API development; Previous projects like StaySphere or Contexa</t>
        </is>
      </c>
    </row>
    <row r="121">
      <c r="A121" t="inlineStr">
        <is>
          <t>COINBASE-IND-260910-75</t>
        </is>
      </c>
      <c r="B121" t="inlineStr">
        <is>
          <t>Coinbase India Services</t>
        </is>
      </c>
      <c r="C121" t="inlineStr">
        <is>
          <t>Software Engineer Intern</t>
        </is>
      </c>
      <c r="D121" t="inlineStr">
        <is>
          <t>https://in.jooble.org/desc/1797195671655267307?ckey=AI+engineer+intern&amp;rgn=158289&amp;pos=9&amp;elckey=-6745963282442062407&amp;p=1&amp;aq=-19656684045375692&amp;cid=389&amp;jobAge=1381&amp;brelb=10&amp;bscr=158.13762&amp;scr=158.13762</t>
        </is>
      </c>
      <c r="E121" t="inlineStr">
        <is>
          <t>AI Analyzer</t>
        </is>
      </c>
      <c r="F121" t="inlineStr">
        <is>
          <t>India</t>
        </is>
      </c>
      <c r="G121" t="inlineStr">
        <is>
          <t>work from home</t>
        </is>
      </c>
      <c r="H121" t="inlineStr">
        <is>
          <t>Rs 2.5 - 5 lakhs p.a.</t>
        </is>
      </c>
      <c r="I121" t="inlineStr">
        <is>
          <t>Not specified</t>
        </is>
      </c>
      <c r="J121" t="inlineStr">
        <is>
          <t>UNKNOWN</t>
        </is>
      </c>
      <c r="K121" t="inlineStr">
        <is>
          <t>Software Engineering; Web Technologies; Crypto-forward Product Development</t>
        </is>
      </c>
      <c r="M121" t="inlineStr">
        <is>
          <t>&amp;nbsp;...Job Description: ~ Coinbase is seeking software &lt;b&gt;engineer interns &lt;/b&gt;to join our team to build out the next generation of crypto-forward products and features. ~ You will solve unique, large scale, highly complex technical problems, bridging the constraints posed by web...&amp;nbsp;</t>
        </is>
      </c>
      <c r="N121" t="n">
        <v>74</v>
      </c>
      <c r="O121" t="n">
        <v>75</v>
      </c>
      <c r="P121" t="n">
        <v>70</v>
      </c>
      <c r="Q121" t="n">
        <v>80</v>
      </c>
      <c r="R121" t="n">
        <v>50</v>
      </c>
      <c r="S121" t="n">
        <v>90</v>
      </c>
      <c r="T121" t="n">
        <v>85</v>
      </c>
      <c r="U121" t="inlineStr">
        <is>
          <t>CONSIDER</t>
        </is>
      </c>
      <c r="V121" t="inlineStr">
        <is>
          <t>CONSIDER</t>
        </is>
      </c>
      <c r="W121" t="inlineStr">
        <is>
          <t>Cryptocurrency infrastructure / Web3 domain knowledge</t>
        </is>
      </c>
      <c r="X121" t="inlineStr">
        <is>
          <t>Amaanuddin_Ahmed_Software_Engineering_Resume.pdf</t>
        </is>
      </c>
      <c r="Y121" t="inlineStr">
        <is>
          <t>2026-09-10</t>
        </is>
      </c>
      <c r="Z121" t="inlineStr">
        <is>
          <t>Coinbase is a high-tier tech company offering an exciting domain in crypto products.; Stipend range is well above the minimum target of 25k/month.; Remote work-mode aligns well with flexible preferences.</t>
        </is>
      </c>
      <c r="AA121" t="inlineStr">
        <is>
          <t>UNKNOWN</t>
        </is>
      </c>
      <c r="AB121" t="inlineStr">
        <is>
          <t>No specific degree, batch, or GPA requirements explicitly detailed in the brief snippet.</t>
        </is>
      </c>
      <c r="AC121" t="inlineStr">
        <is>
          <t>UNKNOWN</t>
        </is>
      </c>
      <c r="AD121" t="inlineStr">
        <is>
          <t>Candidate availability dates are not specified in the career brain.</t>
        </is>
      </c>
      <c r="AE121" t="inlineStr">
        <is>
          <t>EXPLICIT</t>
        </is>
      </c>
      <c r="AF121" t="n">
        <v>250000</v>
      </c>
      <c r="AG121" t="inlineStr">
        <is>
          <t>No</t>
        </is>
      </c>
      <c r="AH121" t="inlineStr">
        <is>
          <t>UNKNOWN</t>
        </is>
      </c>
      <c r="AI121" t="inlineStr">
        <is>
          <t>No explicit mention of conversion to full-time employment (PPO) in the provided description snippet.</t>
        </is>
      </c>
      <c r="AK121" t="inlineStr">
        <is>
          <t>Extremely brief and sparse job description text.</t>
        </is>
      </c>
      <c r="AL121" t="inlineStr">
        <is>
          <t>Data Structures and Algorithms; System Design for Scalable Web Applications; JavaScript and Modern Web Frameworks; Problem-solving capabilities</t>
        </is>
      </c>
    </row>
    <row r="122">
      <c r="A122" t="inlineStr">
        <is>
          <t>INTELLEQACAD-260910-76</t>
        </is>
      </c>
      <c r="B122" t="inlineStr">
        <is>
          <t>IntelleQAcademy (via Unstop)</t>
        </is>
      </c>
      <c r="C122" t="inlineStr">
        <is>
          <t>Java Development Intern</t>
        </is>
      </c>
      <c r="D122" t="inlineStr">
        <is>
          <t>https://in.jooble.org/desc/2439658101938443483?ckey=AI+engineer+intern&amp;rgn=158289&amp;pos=16&amp;elckey=-6745963282442062407&amp;p=1&amp;aq=-19656684045375692&amp;cid=389&amp;jobAge=61&amp;brelb=100&amp;bscr=144.17587&amp;scr=144.17587</t>
        </is>
      </c>
      <c r="E122" t="inlineStr">
        <is>
          <t>AI Analyzer</t>
        </is>
      </c>
      <c r="F122" t="inlineStr">
        <is>
          <t>Remote</t>
        </is>
      </c>
      <c r="G122" t="inlineStr">
        <is>
          <t>Work from home</t>
        </is>
      </c>
      <c r="H122" t="inlineStr">
        <is>
          <t>Not specified</t>
        </is>
      </c>
      <c r="I122" t="inlineStr">
        <is>
          <t>Unknown</t>
        </is>
      </c>
      <c r="J122" t="inlineStr">
        <is>
          <t>Not Mentioned</t>
        </is>
      </c>
      <c r="K122" t="inlineStr">
        <is>
          <t>Java; Software Development</t>
        </is>
      </c>
      <c r="M122" t="inlineStr">
        <is>
          <t>&amp;nbsp;...About the Company IntelleQAcademy is inviting applications for Java Development &lt;b&gt;Interns &lt;/b&gt;who are eager to strengthen their programming skills and gain practical experience in software development. As a corporate learning and workforce development organization, IntelleQAcademy...&amp;nbsp;</t>
        </is>
      </c>
      <c r="N122" t="n">
        <v>57</v>
      </c>
      <c r="O122" t="n">
        <v>75</v>
      </c>
      <c r="P122" t="n">
        <v>70</v>
      </c>
      <c r="Q122" t="n">
        <v>70</v>
      </c>
      <c r="R122" t="n">
        <v>30</v>
      </c>
      <c r="S122" t="n">
        <v>0</v>
      </c>
      <c r="T122" t="n">
        <v>50</v>
      </c>
      <c r="U122" t="inlineStr">
        <is>
          <t>SKIP</t>
        </is>
      </c>
      <c r="V122" t="inlineStr">
        <is>
          <t>SKIP</t>
        </is>
      </c>
      <c r="X122" t="inlineStr">
        <is>
          <t>Amaanuddin_Ahmed_Software_Engineering_Resume.pdf</t>
        </is>
      </c>
      <c r="Y122" t="inlineStr">
        <is>
          <t>2026-09-10</t>
        </is>
      </c>
      <c r="Z122" t="inlineStr">
        <is>
          <t>Aligns with Java development skill set.; Work from home flexibility.</t>
        </is>
      </c>
      <c r="AA122" t="inlineStr">
        <is>
          <t>Eligible</t>
        </is>
      </c>
      <c r="AB122" t="inlineStr">
        <is>
          <t>No specific degree or graduation year restrictions mentioned in the snippet.</t>
        </is>
      </c>
      <c r="AC122" t="inlineStr">
        <is>
          <t>Unknown</t>
        </is>
      </c>
      <c r="AD122" t="inlineStr">
        <is>
          <t>Availability not specified in career brain or job description.</t>
        </is>
      </c>
      <c r="AE122" t="inlineStr">
        <is>
          <t>UNKNOWN</t>
        </is>
      </c>
      <c r="AF122" t="n">
        <v>0</v>
      </c>
      <c r="AG122" t="inlineStr">
        <is>
          <t>No</t>
        </is>
      </c>
      <c r="AH122" t="inlineStr">
        <is>
          <t>Not Mentioned</t>
        </is>
      </c>
      <c r="AI122" t="inlineStr">
        <is>
          <t>No mention of PPO or conversion to full-time role in the job description.</t>
        </is>
      </c>
      <c r="AK122" t="inlineStr">
        <is>
          <t>Stipend is not disclosed; No PPO information provided</t>
        </is>
      </c>
      <c r="AL122" t="inlineStr">
        <is>
          <t>Java Core Concepts; Object-Oriented Programming (OOPs); Data Structures and Algorithms in Java; Basic Software Development Life Cycle</t>
        </is>
      </c>
    </row>
    <row r="123">
      <c r="A123" t="inlineStr">
        <is>
          <t>IMPROVA-260910-77</t>
        </is>
      </c>
      <c r="B123" t="inlineStr">
        <is>
          <t>Improva</t>
        </is>
      </c>
      <c r="C123" t="inlineStr">
        <is>
          <t>Software Engineer Intern</t>
        </is>
      </c>
      <c r="D123" t="inlineStr">
        <is>
          <t>https://www.adzuna.in/land/ad/5876025310?se=ir4HAvSs8RGLWNueJPgGLw&amp;utm_medium=api&amp;utm_source=5ccdc27f&amp;v=9B6DB48BD4231C7D4F13C274F55227F8A81D57DB</t>
        </is>
      </c>
      <c r="E123" t="inlineStr">
        <is>
          <t>AI Analyzer</t>
        </is>
      </c>
      <c r="F123" t="inlineStr">
        <is>
          <t>Coimbatore, Tamil Nadu</t>
        </is>
      </c>
      <c r="G123" t="inlineStr">
        <is>
          <t>Remote</t>
        </is>
      </c>
      <c r="H123" t="inlineStr">
        <is>
          <t>₹5,000/month</t>
        </is>
      </c>
      <c r="I123" t="inlineStr">
        <is>
          <t>6 Months</t>
        </is>
      </c>
      <c r="J123" t="inlineStr">
        <is>
          <t>yes</t>
        </is>
      </c>
      <c r="K123" t="inlineStr">
        <is>
          <t>Full Stack Development; Web Applications; IT Infrastructure</t>
        </is>
      </c>
      <c r="M123" t="inlineStr">
        <is>
          <t>Software Engineer Intern (Paid Internship) Location: Coimbatore (Remote) Stipend: ₹5,000/month Duration: 6 Months Full-Time Opportunity: Based on performance About the Role: Improva is looking for enthusiastic and motivated interns who are eager to start their careers in software development. This internship offers hands-on experience in Full Stack Development and IT Infrastructure while working o</t>
        </is>
      </c>
      <c r="N123" t="n">
        <v>69</v>
      </c>
      <c r="O123" t="n">
        <v>22</v>
      </c>
      <c r="P123" t="n">
        <v>15</v>
      </c>
      <c r="Q123" t="n">
        <v>12</v>
      </c>
      <c r="R123" t="n">
        <v>12</v>
      </c>
      <c r="S123" t="n">
        <v>2</v>
      </c>
      <c r="T123" t="n">
        <v>6</v>
      </c>
      <c r="U123" t="inlineStr">
        <is>
          <t>STRETCH</t>
        </is>
      </c>
      <c r="V123" t="inlineStr">
        <is>
          <t>STRETCH</t>
        </is>
      </c>
      <c r="W123" t="inlineStr">
        <is>
          <t>IT Infrastructure</t>
        </is>
      </c>
      <c r="X123" t="inlineStr">
        <is>
          <t>Amaanuddin_Ahmed_Full_Stack_Resume.pdf</t>
        </is>
      </c>
      <c r="Y123" t="inlineStr">
        <is>
          <t>2026-09-10</t>
        </is>
      </c>
      <c r="Z123" t="inlineStr">
        <is>
          <t>Offers hands-on Full Stack Development experience.; Includes a potential PPO based on performance.</t>
        </is>
      </c>
      <c r="AA123" t="inlineStr">
        <is>
          <t>eligible</t>
        </is>
      </c>
      <c r="AB123" t="inlineStr">
        <is>
          <t>No specific degree or graduation year blockers mentioned in the JD.</t>
        </is>
      </c>
      <c r="AC123" t="inlineStr">
        <is>
          <t>unknown</t>
        </is>
      </c>
      <c r="AD123" t="inlineStr">
        <is>
          <t>Not specified in candidate profile or job description.</t>
        </is>
      </c>
      <c r="AE123" t="inlineStr">
        <is>
          <t>below_target</t>
        </is>
      </c>
      <c r="AF123" t="n">
        <v>5000</v>
      </c>
      <c r="AG123" t="inlineStr">
        <is>
          <t>No</t>
        </is>
      </c>
      <c r="AH123" t="inlineStr">
        <is>
          <t>yes</t>
        </is>
      </c>
      <c r="AI123" t="inlineStr">
        <is>
          <t>Full-Time Opportunity: Based on performance</t>
        </is>
      </c>
      <c r="AK123" t="inlineStr">
        <is>
          <t>Stipend of ₹5,000/month is significantly below Amaan's minimum target of ₹25,000/month.</t>
        </is>
      </c>
      <c r="AL123" t="inlineStr">
        <is>
          <t>Full Stack Development fundamentals; Web application architecture; Past projects like StaySphere and Zenvest</t>
        </is>
      </c>
    </row>
    <row r="124">
      <c r="A124" t="inlineStr">
        <is>
          <t>NUTRITHY-WEL-260910-78</t>
        </is>
      </c>
      <c r="B124" t="inlineStr">
        <is>
          <t>Nutrithy Wellness</t>
        </is>
      </c>
      <c r="C124" t="inlineStr">
        <is>
          <t>Software Engineer Intern</t>
        </is>
      </c>
      <c r="D124" t="inlineStr">
        <is>
          <t>https://www.adzuna.in/land/ad/5876025620?se=ir4HAvSs8RGLWNueJPgGLw&amp;utm_medium=api&amp;utm_source=5ccdc27f&amp;v=1D0F8F215F44296BA10AFF7D83E711A388FDA935</t>
        </is>
      </c>
      <c r="E124" t="inlineStr">
        <is>
          <t>AI Analyzer</t>
        </is>
      </c>
      <c r="F124" t="inlineStr">
        <is>
          <t>India</t>
        </is>
      </c>
      <c r="G124" t="inlineStr">
        <is>
          <t>Remote</t>
        </is>
      </c>
      <c r="H124" t="inlineStr">
        <is>
          <t>₹20,000- ₹30,000 /month</t>
        </is>
      </c>
      <c r="I124" t="inlineStr">
        <is>
          <t>Upto 3 Months</t>
        </is>
      </c>
      <c r="J124" t="inlineStr">
        <is>
          <t>yes</t>
        </is>
      </c>
      <c r="K124" t="inlineStr">
        <is>
          <t>JavaScript; API Integration</t>
        </is>
      </c>
      <c r="L124" t="inlineStr">
        <is>
          <t>AI tools for development</t>
        </is>
      </c>
      <c r="M124" t="inlineStr">
        <is>
          <t>Internship Opportunity | Software Development Engineering | PPO opportunity Nutrithy Wellness is hiring Software Development Interns to join their team! Location: Remote. Duration: Upto 3 Months Stipend: ₹20,000- ₹30,000 /month What you'll be doing: Working on JavaScript-based software development, including understanding requirements, building features, improving existing code, and integrating AP</t>
        </is>
      </c>
      <c r="N124" t="n">
        <v>90</v>
      </c>
      <c r="O124" t="n">
        <v>27</v>
      </c>
      <c r="P124" t="n">
        <v>18</v>
      </c>
      <c r="Q124" t="n">
        <v>14</v>
      </c>
      <c r="R124" t="n">
        <v>15</v>
      </c>
      <c r="S124" t="n">
        <v>8</v>
      </c>
      <c r="T124" t="n">
        <v>8</v>
      </c>
      <c r="U124" t="inlineStr">
        <is>
          <t>APPLY ASAP</t>
        </is>
      </c>
      <c r="V124" t="inlineStr">
        <is>
          <t>APPLY ASAP</t>
        </is>
      </c>
      <c r="X124" t="inlineStr">
        <is>
          <t>Full Stack / Software Engineering Resume</t>
        </is>
      </c>
      <c r="Y124" t="inlineStr">
        <is>
          <t>2026-09-10</t>
        </is>
      </c>
      <c r="Z124" t="inlineStr">
        <is>
          <t>Explicit PPO opportunity matches high priority target; Remote work arrangement; Stipend range meets the minimum target threshold; Strong technical alignment with JavaScript-based development</t>
        </is>
      </c>
      <c r="AA124" t="inlineStr">
        <is>
          <t>eligible</t>
        </is>
      </c>
      <c r="AB124" t="inlineStr">
        <is>
          <t>Remote work mode aligns with expectations; JavaScript-based stack matches candidate's demonstrated skill set</t>
        </is>
      </c>
      <c r="AC124" t="inlineStr">
        <is>
          <t>unknown</t>
        </is>
      </c>
      <c r="AD124" t="inlineStr">
        <is>
          <t>Candidate availability has not been specified in the career brain</t>
        </is>
      </c>
      <c r="AE124" t="inlineStr">
        <is>
          <t>partial</t>
        </is>
      </c>
      <c r="AF124" t="n">
        <v>20000</v>
      </c>
      <c r="AG124" t="inlineStr">
        <is>
          <t>No</t>
        </is>
      </c>
      <c r="AH124" t="inlineStr">
        <is>
          <t>yes</t>
        </is>
      </c>
      <c r="AI124" t="inlineStr">
        <is>
          <t>PPO opportunity explicitly mentioned in the job description</t>
        </is>
      </c>
      <c r="AL124" t="inlineStr">
        <is>
          <t>JavaScript core concepts and asynchronous programming; API integration and backend development experience; Usage of AI tools in modern software development workflows; Past projects like StaySphere and Zenvest</t>
        </is>
      </c>
      <c r="AM124" t="inlineStr">
        <is>
          <t>E:\InternshipHunter\applications\adzuna-ebcbf7cb9e21</t>
        </is>
      </c>
      <c r="AN124" t="inlineStr">
        <is>
          <t>Ready for Review</t>
        </is>
      </c>
      <c r="AO124" t="inlineStr">
        <is>
          <t>Generated</t>
        </is>
      </c>
      <c r="AP124" t="inlineStr">
        <is>
          <t>Generated</t>
        </is>
      </c>
      <c r="AQ124" t="inlineStr">
        <is>
          <t>Generated</t>
        </is>
      </c>
      <c r="AR124" t="inlineStr">
        <is>
          <t>Ready to Apply</t>
        </is>
      </c>
    </row>
    <row r="125">
      <c r="A125" t="inlineStr">
        <is>
          <t>SENTLOGIC-260910-79</t>
        </is>
      </c>
      <c r="B125" t="inlineStr">
        <is>
          <t>SentLogic</t>
        </is>
      </c>
      <c r="C125" t="inlineStr">
        <is>
          <t>Software Engineer Intern</t>
        </is>
      </c>
      <c r="D125" t="inlineStr">
        <is>
          <t>https://www.adzuna.in/land/ad/5876024936?se=ir4HAvSs8RGLWNueJPgGLw&amp;utm_medium=api&amp;utm_source=5ccdc27f&amp;v=2A71F6A6A614FEFD85E6DD6F6C558695456577AF</t>
        </is>
      </c>
      <c r="E125" t="inlineStr">
        <is>
          <t>AI Analyzer</t>
        </is>
      </c>
      <c r="F125" t="inlineStr">
        <is>
          <t>Hyderabad, Telangana</t>
        </is>
      </c>
      <c r="G125" t="inlineStr">
        <is>
          <t>remote</t>
        </is>
      </c>
      <c r="I125" t="inlineStr">
        <is>
          <t>UNKNOWN</t>
        </is>
      </c>
      <c r="J125" t="inlineStr">
        <is>
          <t>UNKNOWN</t>
        </is>
      </c>
      <c r="K125" t="inlineStr">
        <is>
          <t>Software Engineering</t>
        </is>
      </c>
      <c r="L125" t="inlineStr">
        <is>
          <t>AI; Shopify; Full Stack</t>
        </is>
      </c>
      <c r="M125" t="inlineStr">
        <is>
          <t>SentLogic is a Meta-approved platform that turns Instagram DMs into a measurable revenue channel for Shopify brands. Our AI advisor reads buyer intent in a DM thread, answers from live Shopify data like stock and sizing, and closes the sale inside the conversation. Every resulting order is written to an append-only ledger that ties it back to the exact thread that produced it. Most marketing attri</t>
        </is>
      </c>
      <c r="N125" t="n">
        <v>69</v>
      </c>
      <c r="O125" t="n">
        <v>22</v>
      </c>
      <c r="P125" t="n">
        <v>15</v>
      </c>
      <c r="Q125" t="n">
        <v>12</v>
      </c>
      <c r="R125" t="n">
        <v>7</v>
      </c>
      <c r="S125" t="n">
        <v>5</v>
      </c>
      <c r="T125" t="n">
        <v>8</v>
      </c>
      <c r="U125" t="inlineStr">
        <is>
          <t>STRETCH</t>
        </is>
      </c>
      <c r="V125" t="inlineStr">
        <is>
          <t>STRETCH</t>
        </is>
      </c>
      <c r="W125" t="inlineStr">
        <is>
          <t>Shopify ecosystem knowledge</t>
        </is>
      </c>
      <c r="X125" t="inlineStr">
        <is>
          <t>Default Full Stack / MERN Resume</t>
        </is>
      </c>
      <c r="Y125" t="inlineStr">
        <is>
          <t>2026-09-10</t>
        </is>
      </c>
      <c r="Z125" t="inlineStr">
        <is>
          <t>Aligns with Full Stack Development and AI-adjacent Software Engineering targets; Early stage remote team providing strong engineering exposure</t>
        </is>
      </c>
      <c r="AA125" t="inlineStr">
        <is>
          <t>ELIGIBLE</t>
        </is>
      </c>
      <c r="AB125" t="inlineStr">
        <is>
          <t>No explicit graduation year or degree restrictions mentioned in the partial JD snippet</t>
        </is>
      </c>
      <c r="AC125" t="inlineStr">
        <is>
          <t>UNKNOWN</t>
        </is>
      </c>
      <c r="AD125" t="inlineStr">
        <is>
          <t>Candidate availability timeline not specified in relation to the job</t>
        </is>
      </c>
      <c r="AE125" t="inlineStr">
        <is>
          <t>UNKNOWN</t>
        </is>
      </c>
      <c r="AF125" t="n">
        <v>0</v>
      </c>
      <c r="AG125" t="inlineStr">
        <is>
          <t>No</t>
        </is>
      </c>
      <c r="AH125" t="inlineStr">
        <is>
          <t>UNKNOWN</t>
        </is>
      </c>
      <c r="AI125" t="inlineStr">
        <is>
          <t>No explicit mention of PPO or conversion in the provided text snippet</t>
        </is>
      </c>
      <c r="AK125" t="inlineStr">
        <is>
          <t>Incomplete job description snippet provided</t>
        </is>
      </c>
      <c r="AL125" t="inlineStr">
        <is>
          <t>Full stack system architecture; API integrations and state management; Handling real-time data flows</t>
        </is>
      </c>
    </row>
    <row r="126">
      <c r="A126" t="inlineStr">
        <is>
          <t>LASCADE-260910-80</t>
        </is>
      </c>
      <c r="B126" t="inlineStr">
        <is>
          <t>Lascade</t>
        </is>
      </c>
      <c r="C126" t="inlineStr">
        <is>
          <t>Software Engineer Intern (Web &amp; Mobile)</t>
        </is>
      </c>
      <c r="D126" t="inlineStr">
        <is>
          <t>https://www.adzuna.in/land/ad/5876027889?se=ir4HAvSs8RGLWNueJPgGLw&amp;utm_medium=api&amp;utm_source=5ccdc27f&amp;v=3DA581351AD941E2C2CFFBF11091CA56C5B3F46C</t>
        </is>
      </c>
      <c r="E126" t="inlineStr">
        <is>
          <t>AI Analyzer</t>
        </is>
      </c>
      <c r="F126" t="inlineStr">
        <is>
          <t>Kochi, Ernakulam</t>
        </is>
      </c>
      <c r="G126" t="inlineStr">
        <is>
          <t>Unknown</t>
        </is>
      </c>
      <c r="H126" t="inlineStr">
        <is>
          <t>Not specified</t>
        </is>
      </c>
      <c r="I126" t="inlineStr">
        <is>
          <t>Unknown</t>
        </is>
      </c>
      <c r="J126" t="inlineStr">
        <is>
          <t>Not Mentioned</t>
        </is>
      </c>
      <c r="K126" t="inlineStr">
        <is>
          <t>Web Development; Mobile Development</t>
        </is>
      </c>
      <c r="L126" t="inlineStr">
        <is>
          <t>AI-powered tools</t>
        </is>
      </c>
      <c r="M126" t="inlineStr">
        <is>
          <t>Lascade is looking for passionate Software Engineer Interns who are eager to build real-world software products and learn from experienced engineers. We’re building AI-powered tools, mobile applications, travel technology, subscription products, and digital services used by customers around the world. This isn’t a typical internship. From day one, you’ll work on real products, solve real problems,</t>
        </is>
      </c>
      <c r="N126" t="n">
        <v>57</v>
      </c>
      <c r="O126" t="n">
        <v>21</v>
      </c>
      <c r="P126" t="n">
        <v>14</v>
      </c>
      <c r="Q126" t="n">
        <v>11</v>
      </c>
      <c r="R126" t="n">
        <v>5</v>
      </c>
      <c r="S126" t="n">
        <v>0</v>
      </c>
      <c r="T126" t="n">
        <v>6</v>
      </c>
      <c r="U126" t="inlineStr">
        <is>
          <t>SKIP</t>
        </is>
      </c>
      <c r="V126" t="inlineStr">
        <is>
          <t>SKIP</t>
        </is>
      </c>
      <c r="W126" t="inlineStr">
        <is>
          <t>Mobile App Development frameworks</t>
        </is>
      </c>
      <c r="X126" t="inlineStr">
        <is>
          <t>Amaanuddin_Ahmed_Fullstack_Resume.pdf</t>
        </is>
      </c>
      <c r="Y126" t="inlineStr">
        <is>
          <t>2026-09-10</t>
        </is>
      </c>
      <c r="Z126" t="inlineStr">
        <is>
          <t>Aligns with Full Stack Development and Software Engineering target roles.; Involves building real-world software products.</t>
        </is>
      </c>
      <c r="AA126" t="inlineStr">
        <is>
          <t>Eligible</t>
        </is>
      </c>
      <c r="AB126" t="inlineStr">
        <is>
          <t>No explicit graduation year or degree restrictions mentioned in the snippet.</t>
        </is>
      </c>
      <c r="AC126" t="inlineStr">
        <is>
          <t>Unknown</t>
        </is>
      </c>
      <c r="AD126" t="inlineStr">
        <is>
          <t>Availability not specified in career brain.</t>
        </is>
      </c>
      <c r="AE126" t="inlineStr">
        <is>
          <t>UNKNOWN</t>
        </is>
      </c>
      <c r="AF126" t="n">
        <v>0</v>
      </c>
      <c r="AG126" t="inlineStr">
        <is>
          <t>No</t>
        </is>
      </c>
      <c r="AH126" t="inlineStr">
        <is>
          <t>Not Mentioned</t>
        </is>
      </c>
      <c r="AI126" t="inlineStr">
        <is>
          <t>No explicit mention of PPO or conversion in the job description snippet.</t>
        </is>
      </c>
      <c r="AK126" t="inlineStr">
        <is>
          <t>Stipend details not specified; Job description is truncated</t>
        </is>
      </c>
      <c r="AL126" t="inlineStr">
        <is>
          <t>Web and Mobile development experience; MERN stack projects; Problem solving and past projects</t>
        </is>
      </c>
    </row>
    <row r="127">
      <c r="A127" t="inlineStr">
        <is>
          <t>ATOM11-260910-81</t>
        </is>
      </c>
      <c r="B127" t="inlineStr">
        <is>
          <t>Atom11</t>
        </is>
      </c>
      <c r="C127" t="inlineStr">
        <is>
          <t>Software Engineer Intern (Django ReactJS)</t>
        </is>
      </c>
      <c r="D127" t="inlineStr">
        <is>
          <t>https://www.adzuna.in/land/ad/5876028419?se=ir4HAvSs8RGLWNueJPgGLw&amp;utm_medium=api&amp;utm_source=5ccdc27f&amp;v=3D8C3BC175D839B7E2DFA06E3AC6FADE325AECE9</t>
        </is>
      </c>
      <c r="E127" t="inlineStr">
        <is>
          <t>AI Analyzer</t>
        </is>
      </c>
      <c r="F127" t="inlineStr">
        <is>
          <t>India</t>
        </is>
      </c>
      <c r="G127" t="inlineStr">
        <is>
          <t>UNKNOWN</t>
        </is>
      </c>
      <c r="H127" t="inlineStr">
        <is>
          <t>Not specified</t>
        </is>
      </c>
      <c r="I127" t="inlineStr">
        <is>
          <t>UNKNOWN</t>
        </is>
      </c>
      <c r="J127" t="inlineStr">
        <is>
          <t>NOT_MENTIONED</t>
        </is>
      </c>
      <c r="K127" t="inlineStr">
        <is>
          <t>Python; Django; JavaScript; ReactJS; HTML; CSS; PostgreSQL; AWS</t>
        </is>
      </c>
      <c r="M127" t="inlineStr">
        <is>
          <t>Atom11 is completely re-imagining how brands manage sales on Amazon. We are using AI to empowers brands with actionable recommendations to help them increase their sales on Amazon. We are looking for a tech intern to help us develop our product. Tech Stack: Programming languages: Python(Django), Javascript (ReactJS), HTML, CSS Databases: PostgreSQL Cloud platforms: AWS Key responsibilities: Workin</t>
        </is>
      </c>
      <c r="N127" t="n">
        <v>52</v>
      </c>
      <c r="O127" t="n">
        <v>20</v>
      </c>
      <c r="P127" t="n">
        <v>15</v>
      </c>
      <c r="Q127" t="n">
        <v>12</v>
      </c>
      <c r="R127" t="n">
        <v>0</v>
      </c>
      <c r="S127" t="n">
        <v>0</v>
      </c>
      <c r="T127" t="n">
        <v>5</v>
      </c>
      <c r="U127" t="inlineStr">
        <is>
          <t>SKIP</t>
        </is>
      </c>
      <c r="V127" t="inlineStr">
        <is>
          <t>SKIP</t>
        </is>
      </c>
      <c r="W127" t="inlineStr">
        <is>
          <t>Django; PostgreSQL; AWS</t>
        </is>
      </c>
      <c r="X127" t="inlineStr">
        <is>
          <t>Amaanuddin_Ahmed_Full_Stack_Resume.pdf</t>
        </is>
      </c>
      <c r="Y127" t="inlineStr">
        <is>
          <t>2026-09-10</t>
        </is>
      </c>
      <c r="Z127" t="inlineStr">
        <is>
          <t>Matches the Full Stack Development and Software Engineering target roles.; Uses React.js and Python which the candidate has worked with.</t>
        </is>
      </c>
      <c r="AA127" t="inlineStr">
        <is>
          <t>Eligible</t>
        </is>
      </c>
      <c r="AB127" t="inlineStr">
        <is>
          <t>No explicit graduation year or degree blockers mentioned in the job description.</t>
        </is>
      </c>
      <c r="AC127" t="inlineStr">
        <is>
          <t>UNKNOWN</t>
        </is>
      </c>
      <c r="AD127" t="inlineStr">
        <is>
          <t>Candidate availability details are not provided in the career brain.</t>
        </is>
      </c>
      <c r="AE127" t="inlineStr">
        <is>
          <t>UNKNOWN</t>
        </is>
      </c>
      <c r="AF127" t="n">
        <v>0</v>
      </c>
      <c r="AG127" t="inlineStr">
        <is>
          <t>No</t>
        </is>
      </c>
      <c r="AH127" t="inlineStr">
        <is>
          <t>NOT_MENTIONED</t>
        </is>
      </c>
      <c r="AI127" t="inlineStr">
        <is>
          <t>No mention of PPO or conversion to full-time role in the job description.</t>
        </is>
      </c>
      <c r="AK127" t="inlineStr">
        <is>
          <t>Stipend is not disclosed; No mention of PPO</t>
        </is>
      </c>
      <c r="AL127" t="inlineStr">
        <is>
          <t>Django ORM and MVT architecture; ReactJS component lifecycle and state management; PostgreSQL indexing and queries; AWS deployment basics (EC2, S3)</t>
        </is>
      </c>
    </row>
    <row r="128">
      <c r="A128" t="inlineStr">
        <is>
          <t>CODERWING-260910-82</t>
        </is>
      </c>
      <c r="B128" t="inlineStr">
        <is>
          <t>Coderwing</t>
        </is>
      </c>
      <c r="C128" t="inlineStr">
        <is>
          <t>Software Engineering Intern</t>
        </is>
      </c>
      <c r="D128" t="inlineStr">
        <is>
          <t>https://www.adzuna.in/details/5845820726?utm_medium=api&amp;utm_source=5ccdc27f</t>
        </is>
      </c>
      <c r="E128" t="inlineStr">
        <is>
          <t>AI Analyzer</t>
        </is>
      </c>
      <c r="F128" t="inlineStr">
        <is>
          <t>Indore, Madhya Pradesh</t>
        </is>
      </c>
      <c r="G128" t="inlineStr">
        <is>
          <t>UNKNOWN</t>
        </is>
      </c>
      <c r="H128" t="inlineStr">
        <is>
          <t>Not specified</t>
        </is>
      </c>
      <c r="I128" t="inlineStr">
        <is>
          <t>UNKNOWN</t>
        </is>
      </c>
      <c r="J128" t="inlineStr">
        <is>
          <t>UNKNOWN</t>
        </is>
      </c>
      <c r="L128" t="inlineStr">
        <is>
          <t>Programming</t>
        </is>
      </c>
      <c r="M128" t="inlineStr">
        <is>
          <t>Software Engineering Intern Type Internship Location Indore Madhya Pradesh CoderWing is looking for enthusiastic and motivated Software Engineering Interns who are passionate about programming and eager to build realworld software development skills This internship is designed for students recent graduates and freshers who want handson experience by working on live projects under the guidance of e</t>
        </is>
      </c>
      <c r="N128" t="n">
        <v>52</v>
      </c>
      <c r="O128" t="n">
        <v>60</v>
      </c>
      <c r="P128" t="n">
        <v>70</v>
      </c>
      <c r="Q128" t="n">
        <v>70</v>
      </c>
      <c r="R128" t="n">
        <v>0</v>
      </c>
      <c r="S128" t="n">
        <v>0</v>
      </c>
      <c r="T128" t="n">
        <v>50</v>
      </c>
      <c r="U128" t="inlineStr">
        <is>
          <t>SKIP</t>
        </is>
      </c>
      <c r="V128" t="inlineStr">
        <is>
          <t>SKIP</t>
        </is>
      </c>
      <c r="X128" t="inlineStr">
        <is>
          <t>Default Full Stack Resume</t>
        </is>
      </c>
      <c r="Y128" t="inlineStr">
        <is>
          <t>2026-09-10</t>
        </is>
      </c>
      <c r="Z128" t="inlineStr">
        <is>
          <t>Good opportunity for students and freshers to get hands-on experience on live projects.</t>
        </is>
      </c>
      <c r="AA128" t="inlineStr">
        <is>
          <t>ELIGIBLE</t>
        </is>
      </c>
      <c r="AB128" t="inlineStr">
        <is>
          <t>Open to students and recent graduates</t>
        </is>
      </c>
      <c r="AC128" t="inlineStr">
        <is>
          <t>UNKNOWN</t>
        </is>
      </c>
      <c r="AD128" t="inlineStr">
        <is>
          <t>Not specified</t>
        </is>
      </c>
      <c r="AE128" t="inlineStr">
        <is>
          <t>UNKNOWN</t>
        </is>
      </c>
      <c r="AF128" t="n">
        <v>0</v>
      </c>
      <c r="AG128" t="inlineStr">
        <is>
          <t>No</t>
        </is>
      </c>
      <c r="AH128" t="inlineStr">
        <is>
          <t>UNKNOWN</t>
        </is>
      </c>
      <c r="AI128" t="inlineStr">
        <is>
          <t>Not mentioned in the job description</t>
        </is>
      </c>
      <c r="AK128" t="inlineStr">
        <is>
          <t>Stipend not disclosed; PPO information not mentioned; Specific required technologies not detailed</t>
        </is>
      </c>
      <c r="AL128" t="inlineStr">
        <is>
          <t>Programming fundamentals; Past projects overview; Problem solving</t>
        </is>
      </c>
    </row>
    <row r="129">
      <c r="A129" t="inlineStr">
        <is>
          <t>QUALCOMM-260910-83</t>
        </is>
      </c>
      <c r="B129" t="inlineStr">
        <is>
          <t>Qualcomm</t>
        </is>
      </c>
      <c r="C129" t="inlineStr">
        <is>
          <t>Software Engineering Intern</t>
        </is>
      </c>
      <c r="D129" t="inlineStr">
        <is>
          <t>https://www.adzuna.in/details/5854847522?utm_medium=api&amp;utm_source=5ccdc27f</t>
        </is>
      </c>
      <c r="E129" t="inlineStr">
        <is>
          <t>AI Analyzer</t>
        </is>
      </c>
      <c r="F129" t="inlineStr">
        <is>
          <t>Chennai, Tamil Nadu</t>
        </is>
      </c>
      <c r="G129" t="inlineStr">
        <is>
          <t>On-site</t>
        </is>
      </c>
      <c r="H129" t="inlineStr">
        <is>
          <t>Not specified</t>
        </is>
      </c>
      <c r="I129" t="inlineStr">
        <is>
          <t>Not specified</t>
        </is>
      </c>
      <c r="J129" t="inlineStr">
        <is>
          <t>Not Mentioned</t>
        </is>
      </c>
      <c r="K129" t="inlineStr">
        <is>
          <t>C; C++; Object-oriented design; Operating Systems; Data Structures; Linux/UNIX; Embedded Software; Device Drivers</t>
        </is>
      </c>
      <c r="L129" t="inlineStr">
        <is>
          <t>Mobile SW development (Windows, Android, Linux); Wireless network standards (CDMA, GSM, UMTS, LTE); Linux Drivers; Linux Kernel Development</t>
        </is>
      </c>
      <c r="M129" t="inlineStr">
        <is>
          <t>Qualcomm is hiring for the role of Software Engineering Intern Requirements Masters Computer Science Engineering Communication Engineering ECE Development of realtime embedded software and device drivers Knowledge of Mobile SW development for Windows Mobile Android or Linux Good understanding of OS concepts Data structures etc Knowledge of C C and object oriented design Knowledge of Wireless netwo</t>
        </is>
      </c>
      <c r="N129" t="n">
        <v>30</v>
      </c>
      <c r="O129" t="n">
        <v>30</v>
      </c>
      <c r="P129" t="n">
        <v>40</v>
      </c>
      <c r="Q129" t="n">
        <v>40</v>
      </c>
      <c r="R129" t="n">
        <v>0</v>
      </c>
      <c r="S129" t="n">
        <v>0</v>
      </c>
      <c r="T129" t="n">
        <v>50</v>
      </c>
      <c r="U129" t="inlineStr">
        <is>
          <t>SKIP</t>
        </is>
      </c>
      <c r="V129" t="inlineStr">
        <is>
          <t>SKIP</t>
        </is>
      </c>
      <c r="W129" t="inlineStr">
        <is>
          <t>C; C++; Embedded Software; Device Drivers; Linux Kernel Development</t>
        </is>
      </c>
      <c r="X129" t="inlineStr">
        <is>
          <t>Amaanuddin_Ahmed_Resume.pdf</t>
        </is>
      </c>
      <c r="Y129" t="inlineStr">
        <is>
          <t>2026-09-10</t>
        </is>
      </c>
      <c r="AA129" t="inlineStr">
        <is>
          <t>Ineligible</t>
        </is>
      </c>
      <c r="AB129" t="inlineStr">
        <is>
          <t>Degree requirement is Masters in Computer Science/Engineering/ECE, but candidate is in MCA.</t>
        </is>
      </c>
      <c r="AC129" t="inlineStr">
        <is>
          <t>Unknown</t>
        </is>
      </c>
      <c r="AD129" t="inlineStr">
        <is>
          <t>Not enough information to determine candidate availability.</t>
        </is>
      </c>
      <c r="AE129" t="inlineStr">
        <is>
          <t>UNKNOWN</t>
        </is>
      </c>
      <c r="AF129" t="n">
        <v>0</v>
      </c>
      <c r="AG129" t="inlineStr">
        <is>
          <t>No</t>
        </is>
      </c>
      <c r="AH129" t="inlineStr">
        <is>
          <t>Not Mentioned</t>
        </is>
      </c>
      <c r="AI129" t="inlineStr">
        <is>
          <t>No mention of PPO or conversion to full-time.</t>
        </is>
      </c>
      <c r="AJ129" t="inlineStr">
        <is>
          <t>Degree mismatch (Masters in CS/Engineering/ECE required, candidate is MCA)</t>
        </is>
      </c>
      <c r="AL129" t="inlineStr">
        <is>
          <t>C and C++ programming; Operating system concepts; Data structures and algorithms; Embedded systems and device drivers</t>
        </is>
      </c>
    </row>
    <row r="130">
      <c r="A130" t="inlineStr">
        <is>
          <t>COINBASE-IND-260910-84</t>
        </is>
      </c>
      <c r="B130" t="inlineStr">
        <is>
          <t>Coinbase India Services</t>
        </is>
      </c>
      <c r="C130" t="inlineStr">
        <is>
          <t>Software Engineer Intern</t>
        </is>
      </c>
      <c r="D130" t="inlineStr">
        <is>
          <t>https://www.adzuna.in/details/5802073705?utm_medium=api&amp;utm_source=5ccdc27f</t>
        </is>
      </c>
      <c r="E130" t="inlineStr">
        <is>
          <t>AI Analyzer</t>
        </is>
      </c>
      <c r="F130" t="inlineStr">
        <is>
          <t>India</t>
        </is>
      </c>
      <c r="G130" t="inlineStr">
        <is>
          <t>Unknown</t>
        </is>
      </c>
      <c r="H130" t="inlineStr">
        <is>
          <t>Not specified</t>
        </is>
      </c>
      <c r="I130" t="inlineStr">
        <is>
          <t>Unknown</t>
        </is>
      </c>
      <c r="J130" t="inlineStr">
        <is>
          <t>Not mentioned</t>
        </is>
      </c>
      <c r="K130" t="inlineStr">
        <is>
          <t>Software Engineering; Large Scale Systems; Web-scale applications; Low latency systems</t>
        </is>
      </c>
      <c r="L130" t="inlineStr">
        <is>
          <t>Blockchain technology; Cryptocurrency systems</t>
        </is>
      </c>
      <c r="M130" t="inlineStr">
        <is>
          <t>Job Description: Coinbase is seeking software engineer interns to join our team to build out the next generation of crypto-forward products and features. You will solve unique, large scale, highly complex technical problems, bridging the constraints posed by web-scale applications and blockchain technology. You will help build the next generation of systems to make cryptocurrency accessible to eve</t>
        </is>
      </c>
      <c r="N130" t="n">
        <v>71</v>
      </c>
      <c r="O130" t="n">
        <v>75</v>
      </c>
      <c r="P130" t="n">
        <v>70</v>
      </c>
      <c r="Q130" t="n">
        <v>80</v>
      </c>
      <c r="R130" t="n">
        <v>50</v>
      </c>
      <c r="S130" t="n">
        <v>50</v>
      </c>
      <c r="T130" t="n">
        <v>85</v>
      </c>
      <c r="U130" t="inlineStr">
        <is>
          <t>CONSIDER</t>
        </is>
      </c>
      <c r="V130" t="inlineStr">
        <is>
          <t>CONSIDER</t>
        </is>
      </c>
      <c r="W130" t="inlineStr">
        <is>
          <t>Blockchain development; Crypto-forward product engineering</t>
        </is>
      </c>
      <c r="X130" t="inlineStr">
        <is>
          <t>Amaanuddin_Ahmed_Software_Engineering_Resume.pdf</t>
        </is>
      </c>
      <c r="Y130" t="inlineStr">
        <is>
          <t>2026-09-10</t>
        </is>
      </c>
      <c r="Z130" t="inlineStr">
        <is>
          <t>Coinbase is a top-tier tech company offering a high-opportunity quality software engineering internship; Aligns well with general software engineering and backend development targets</t>
        </is>
      </c>
      <c r="AA130" t="inlineStr">
        <is>
          <t>Eligible</t>
        </is>
      </c>
      <c r="AB130" t="inlineStr">
        <is>
          <t>Open for students or recent graduates in relevant tech fields; No hard blockers found in the minimal JD text provided</t>
        </is>
      </c>
      <c r="AC130" t="inlineStr">
        <is>
          <t>Unknown</t>
        </is>
      </c>
      <c r="AD130" t="inlineStr">
        <is>
          <t>Not specified in candidate profile</t>
        </is>
      </c>
      <c r="AE130" t="inlineStr">
        <is>
          <t>UNKNOWN</t>
        </is>
      </c>
      <c r="AF130" t="n">
        <v>0</v>
      </c>
      <c r="AG130" t="inlineStr">
        <is>
          <t>No</t>
        </is>
      </c>
      <c r="AH130" t="inlineStr">
        <is>
          <t>Not mentioned</t>
        </is>
      </c>
      <c r="AI130" t="inlineStr">
        <is>
          <t>No explicit mention of PPO or conversion in the job description</t>
        </is>
      </c>
      <c r="AK130" t="inlineStr">
        <is>
          <t>Stipend details not provided; Very brief job description details</t>
        </is>
      </c>
      <c r="AL130" t="inlineStr">
        <is>
          <t>Data Structures and Algorithms; System Design for Low Latency and High Frequency; Web-scale application architecture; Problem solving and background projects</t>
        </is>
      </c>
    </row>
    <row r="131">
      <c r="A131" t="inlineStr">
        <is>
          <t>BLUEBERRY-DI-260910-85</t>
        </is>
      </c>
      <c r="B131" t="inlineStr">
        <is>
          <t>Blueberry Digital Labs</t>
        </is>
      </c>
      <c r="C131" t="inlineStr">
        <is>
          <t>Software Engineer- Intern</t>
        </is>
      </c>
      <c r="D131" t="inlineStr">
        <is>
          <t>https://www.adzuna.in/details/5806704614?utm_medium=api&amp;utm_source=5ccdc27f</t>
        </is>
      </c>
      <c r="E131" t="inlineStr">
        <is>
          <t>AI Analyzer</t>
        </is>
      </c>
      <c r="F131" t="inlineStr">
        <is>
          <t>Hyderabad, Telangana</t>
        </is>
      </c>
      <c r="G131" t="inlineStr">
        <is>
          <t>Unknown</t>
        </is>
      </c>
      <c r="H131" t="inlineStr">
        <is>
          <t>Not specified</t>
        </is>
      </c>
      <c r="I131" t="inlineStr">
        <is>
          <t>Unknown</t>
        </is>
      </c>
      <c r="J131" t="inlineStr">
        <is>
          <t>Not Mentioned</t>
        </is>
      </c>
      <c r="M131" t="inlineStr">
        <is>
          <t>Blueberry Digital Labs is seeking a highly motivated Software Engineer Intern to join our E-commerce Development Team. This is a critical role where you will play a key part in designing and developing an amazing website. You'll be part of an extremely talented, creative, and focused group, gaining invaluable hands-on experience by taking on responsibility for the development, testing, and deploym</t>
        </is>
      </c>
      <c r="N131" t="n">
        <v>42</v>
      </c>
      <c r="O131" t="n">
        <v>50</v>
      </c>
      <c r="P131" t="n">
        <v>60</v>
      </c>
      <c r="Q131" t="n">
        <v>60</v>
      </c>
      <c r="R131" t="n">
        <v>0</v>
      </c>
      <c r="S131" t="n">
        <v>0</v>
      </c>
      <c r="T131" t="n">
        <v>40</v>
      </c>
      <c r="U131" t="inlineStr">
        <is>
          <t>SKIP</t>
        </is>
      </c>
      <c r="V131" t="inlineStr">
        <is>
          <t>SKIP</t>
        </is>
      </c>
      <c r="X131" t="inlineStr">
        <is>
          <t>Amaanuddin_Ahmed_Fullstack_Resume.pdf</t>
        </is>
      </c>
      <c r="Y131" t="inlineStr">
        <is>
          <t>2026-09-10</t>
        </is>
      </c>
      <c r="Z131" t="inlineStr">
        <is>
          <t>Matches the Software Engineer Intern role type</t>
        </is>
      </c>
      <c r="AA131" t="inlineStr">
        <is>
          <t>Eligible</t>
        </is>
      </c>
      <c r="AB131" t="inlineStr">
        <is>
          <t>No hard blockers found in the minimal job description</t>
        </is>
      </c>
      <c r="AC131" t="inlineStr">
        <is>
          <t>Unknown</t>
        </is>
      </c>
      <c r="AD131" t="inlineStr">
        <is>
          <t>Candidate availability details not provided in the profile.</t>
        </is>
      </c>
      <c r="AE131" t="inlineStr">
        <is>
          <t>UNKNOWN</t>
        </is>
      </c>
      <c r="AF131" t="n">
        <v>0</v>
      </c>
      <c r="AG131" t="inlineStr">
        <is>
          <t>No</t>
        </is>
      </c>
      <c r="AH131" t="inlineStr">
        <is>
          <t>Not Mentioned</t>
        </is>
      </c>
      <c r="AI131" t="inlineStr">
        <is>
          <t>No mention of PPO or conversion in the snippet.</t>
        </is>
      </c>
      <c r="AK131" t="inlineStr">
        <is>
          <t>Extremely brief job description text with missing salary, requirements, and tech stack details.</t>
        </is>
      </c>
      <c r="AL131" t="inlineStr">
        <is>
          <t>E-commerce development principles; General software engineering fundamentals; Code deployment and testing lifecycle</t>
        </is>
      </c>
    </row>
    <row r="132">
      <c r="A132" t="inlineStr">
        <is>
          <t>KUTUKAMAI-260910-86</t>
        </is>
      </c>
      <c r="B132" t="inlineStr">
        <is>
          <t>KutukamAI</t>
        </is>
      </c>
      <c r="C132" t="inlineStr">
        <is>
          <t>Software Engineer Intern</t>
        </is>
      </c>
      <c r="D132" t="inlineStr">
        <is>
          <t>https://www.adzuna.in/details/5854847482?utm_medium=api&amp;utm_source=5ccdc27f</t>
        </is>
      </c>
      <c r="E132" t="inlineStr">
        <is>
          <t>AI Analyzer</t>
        </is>
      </c>
      <c r="F132" t="inlineStr">
        <is>
          <t>India</t>
        </is>
      </c>
      <c r="G132" t="inlineStr">
        <is>
          <t>UNKNOWN</t>
        </is>
      </c>
      <c r="H132" t="inlineStr">
        <is>
          <t>Not specified</t>
        </is>
      </c>
      <c r="I132" t="inlineStr">
        <is>
          <t>UNKNOWN</t>
        </is>
      </c>
      <c r="J132" t="inlineStr">
        <is>
          <t>NOT_MENTIONED</t>
        </is>
      </c>
      <c r="L132" t="inlineStr">
        <is>
          <t>AI; Software Architecture</t>
        </is>
      </c>
      <c r="M132" t="inlineStr">
        <is>
          <t>Company Description Kutukam AI is an Information Technology and Artificial Intelligence firm focused on turning complex technology into practical tools for business growth The company designs accessible scalable AI and IT solutions for organizations ranging from small startups to large global enterprises Kutukam AI helps businesses integrate AI into daily operations to automate workflows extract d</t>
        </is>
      </c>
      <c r="N132" t="n">
        <v>40</v>
      </c>
      <c r="O132" t="n">
        <v>50</v>
      </c>
      <c r="P132" t="n">
        <v>50</v>
      </c>
      <c r="Q132" t="n">
        <v>50</v>
      </c>
      <c r="R132" t="n">
        <v>0</v>
      </c>
      <c r="S132" t="n">
        <v>0</v>
      </c>
      <c r="T132" t="n">
        <v>30</v>
      </c>
      <c r="U132" t="inlineStr">
        <is>
          <t>SKIP</t>
        </is>
      </c>
      <c r="V132" t="inlineStr">
        <is>
          <t>SKIP</t>
        </is>
      </c>
      <c r="X132" t="inlineStr">
        <is>
          <t>Amaanuddin_Ahmed_Software_Engineering_Resume.pdf</t>
        </is>
      </c>
      <c r="Y132" t="inlineStr">
        <is>
          <t>2026-09-10</t>
        </is>
      </c>
      <c r="AA132" t="inlineStr">
        <is>
          <t>ELIGIBLE</t>
        </is>
      </c>
      <c r="AB132" t="inlineStr">
        <is>
          <t>No explicit hard blockers mentioned in the minimal description.</t>
        </is>
      </c>
      <c r="AC132" t="inlineStr">
        <is>
          <t>UNKNOWN</t>
        </is>
      </c>
      <c r="AD132" t="inlineStr">
        <is>
          <t>Not specified in the candidate profile.</t>
        </is>
      </c>
      <c r="AE132" t="inlineStr">
        <is>
          <t>UNKNOWN</t>
        </is>
      </c>
      <c r="AF132" t="n">
        <v>0</v>
      </c>
      <c r="AG132" t="inlineStr">
        <is>
          <t>No</t>
        </is>
      </c>
      <c r="AH132" t="inlineStr">
        <is>
          <t>NOT_MENTIONED</t>
        </is>
      </c>
      <c r="AI132" t="inlineStr">
        <is>
          <t>No mention of PPO or conversion in the job description.</t>
        </is>
      </c>
      <c r="AK132" t="inlineStr">
        <is>
          <t>Extremely sparse job description lacking specific technical requirements, duration, and stipend details.</t>
        </is>
      </c>
      <c r="AL132" t="inlineStr">
        <is>
          <t>Software development lifecycle; AI integration concepts; Problem solving and basic algorithms</t>
        </is>
      </c>
    </row>
    <row r="133">
      <c r="A133" t="inlineStr">
        <is>
          <t>GENROBOTICS-260910-87</t>
        </is>
      </c>
      <c r="B133" t="inlineStr">
        <is>
          <t>Genrobotics</t>
        </is>
      </c>
      <c r="C133" t="inlineStr">
        <is>
          <t>Software Engineer Intern</t>
        </is>
      </c>
      <c r="D133" t="inlineStr">
        <is>
          <t>https://www.adzuna.in/details/5845820619?utm_medium=api&amp;utm_source=5ccdc27f</t>
        </is>
      </c>
      <c r="E133" t="inlineStr">
        <is>
          <t>AI Analyzer</t>
        </is>
      </c>
      <c r="F133" t="inlineStr">
        <is>
          <t>Thiruvananthapuram, Kerala</t>
        </is>
      </c>
      <c r="G133" t="inlineStr">
        <is>
          <t>UNKNOWN</t>
        </is>
      </c>
      <c r="H133" t="inlineStr">
        <is>
          <t>Not specified</t>
        </is>
      </c>
      <c r="I133" t="inlineStr">
        <is>
          <t>UNKNOWN</t>
        </is>
      </c>
      <c r="J133" t="inlineStr">
        <is>
          <t>UNKNOWN</t>
        </is>
      </c>
      <c r="K133" t="inlineStr">
        <is>
          <t>Software Development; Coding; Debugging</t>
        </is>
      </c>
      <c r="L133" t="inlineStr">
        <is>
          <t>Modern Technologies</t>
        </is>
      </c>
      <c r="M133" t="inlineStr">
        <is>
          <t>Brief Support the software development team in the design development testing and maintenance of software applications and system features Assist in coding debugging documentation and implementation of software solutions while gaining handson experience in realtime projects and modern technologies Collaborate with crossfunctional teams to ensure timely delivery of highquality software solutions al</t>
        </is>
      </c>
      <c r="N133" t="n">
        <v>51</v>
      </c>
      <c r="O133" t="n">
        <v>60</v>
      </c>
      <c r="P133" t="n">
        <v>70</v>
      </c>
      <c r="Q133" t="n">
        <v>70</v>
      </c>
      <c r="R133" t="n">
        <v>0</v>
      </c>
      <c r="S133" t="n">
        <v>0</v>
      </c>
      <c r="T133" t="n">
        <v>50</v>
      </c>
      <c r="U133" t="inlineStr">
        <is>
          <t>SKIP</t>
        </is>
      </c>
      <c r="V133" t="inlineStr">
        <is>
          <t>SKIP</t>
        </is>
      </c>
      <c r="X133" t="inlineStr">
        <is>
          <t>Amaanuddin_Ahmed_Fullstack_Resume.pdf</t>
        </is>
      </c>
      <c r="Y133" t="inlineStr">
        <is>
          <t>2026-09-10</t>
        </is>
      </c>
      <c r="Z133" t="inlineStr">
        <is>
          <t>Provides hands-on experience in realtime software projects</t>
        </is>
      </c>
      <c r="AA133" t="inlineStr">
        <is>
          <t>ELIGIBLE</t>
        </is>
      </c>
      <c r="AB133" t="inlineStr">
        <is>
          <t>No specific hard blockers mentioned in the minimal job description</t>
        </is>
      </c>
      <c r="AC133" t="inlineStr">
        <is>
          <t>UNKNOWN</t>
        </is>
      </c>
      <c r="AD133" t="inlineStr">
        <is>
          <t>Availability constraints not specified in profile</t>
        </is>
      </c>
      <c r="AE133" t="inlineStr">
        <is>
          <t>UNKNOWN</t>
        </is>
      </c>
      <c r="AF133" t="n">
        <v>0</v>
      </c>
      <c r="AG133" t="inlineStr">
        <is>
          <t>No</t>
        </is>
      </c>
      <c r="AH133" t="inlineStr">
        <is>
          <t>UNKNOWN</t>
        </is>
      </c>
      <c r="AI133" t="inlineStr">
        <is>
          <t>No mention of PPO or conversion in the job description</t>
        </is>
      </c>
      <c r="AK133" t="inlineStr">
        <is>
          <t>Vague job description with no stipend details; No location flexibility details provided</t>
        </is>
      </c>
      <c r="AL133" t="inlineStr">
        <is>
          <t>Software development life cycle; Debugging and troubleshooting; Basic programming concepts; Collaboration and teamwork</t>
        </is>
      </c>
    </row>
    <row r="134">
      <c r="A134" t="inlineStr">
        <is>
          <t>EDZOLA-260910-88</t>
        </is>
      </c>
      <c r="B134" t="inlineStr">
        <is>
          <t>EdZola</t>
        </is>
      </c>
      <c r="C134" t="inlineStr">
        <is>
          <t>Software Engineering Intern</t>
        </is>
      </c>
      <c r="D134" t="inlineStr">
        <is>
          <t>https://www.adzuna.in/details/5845820762?utm_medium=api&amp;utm_source=5ccdc27f</t>
        </is>
      </c>
      <c r="E134" t="inlineStr">
        <is>
          <t>AI Analyzer</t>
        </is>
      </c>
      <c r="F134" t="inlineStr">
        <is>
          <t>Coimbatore, Tamil Nadu</t>
        </is>
      </c>
      <c r="G134" t="inlineStr">
        <is>
          <t>On-site</t>
        </is>
      </c>
      <c r="H134" t="inlineStr">
        <is>
          <t>Not specified</t>
        </is>
      </c>
      <c r="I134" t="inlineStr">
        <is>
          <t>UNKNOWN</t>
        </is>
      </c>
      <c r="J134" t="inlineStr">
        <is>
          <t>UNKNOWN</t>
        </is>
      </c>
      <c r="M134" t="inlineStr">
        <is>
          <t>We are hiring our next batch of fulltime Software Engineering Interns at EdZola for our Coimbatore office This hiring cycle feels particularly important to me Over the last few years I have had the opportunity to see EdZola grow from a small team taking on individual technology projects into an organisation building systems platforms and AIenabled products for nonprofits and missiondriven organisa</t>
        </is>
      </c>
      <c r="N134" t="n">
        <v>41</v>
      </c>
      <c r="O134" t="n">
        <v>50</v>
      </c>
      <c r="P134" t="n">
        <v>50</v>
      </c>
      <c r="Q134" t="n">
        <v>60</v>
      </c>
      <c r="R134" t="n">
        <v>0</v>
      </c>
      <c r="S134" t="n">
        <v>0</v>
      </c>
      <c r="T134" t="n">
        <v>50</v>
      </c>
      <c r="U134" t="inlineStr">
        <is>
          <t>SKIP</t>
        </is>
      </c>
      <c r="V134" t="inlineStr">
        <is>
          <t>SKIP</t>
        </is>
      </c>
      <c r="X134" t="inlineStr">
        <is>
          <t>Default Software Engineering Resume</t>
        </is>
      </c>
      <c r="Y134" t="inlineStr">
        <is>
          <t>2026-09-10</t>
        </is>
      </c>
      <c r="Z134" t="inlineStr">
        <is>
          <t>Aligns with target Software Engineering internship role</t>
        </is>
      </c>
      <c r="AA134" t="inlineStr">
        <is>
          <t>ELIGIBLE</t>
        </is>
      </c>
      <c r="AB134" t="inlineStr">
        <is>
          <t>No specific hard blockers like degree restrictions or excessive experience requirements stated in the snippet</t>
        </is>
      </c>
      <c r="AC134" t="inlineStr">
        <is>
          <t>UNKNOWN</t>
        </is>
      </c>
      <c r="AD134" t="inlineStr">
        <is>
          <t>Availability requirements not specified in the snippet</t>
        </is>
      </c>
      <c r="AE134" t="inlineStr">
        <is>
          <t>UNKNOWN</t>
        </is>
      </c>
      <c r="AF134" t="n">
        <v>0</v>
      </c>
      <c r="AG134" t="inlineStr">
        <is>
          <t>No</t>
        </is>
      </c>
      <c r="AH134" t="inlineStr">
        <is>
          <t>UNKNOWN</t>
        </is>
      </c>
      <c r="AI134" t="inlineStr">
        <is>
          <t>Not mentioned in the provided snippet</t>
        </is>
      </c>
      <c r="AK134" t="inlineStr">
        <is>
          <t>Incomplete job description snippet provided; Stipend details not disclosed</t>
        </is>
      </c>
      <c r="AL134" t="inlineStr">
        <is>
          <t>Full Stack Development; System Design and Architecture; Previous Project Experience</t>
        </is>
      </c>
    </row>
    <row r="135">
      <c r="A135" t="inlineStr">
        <is>
          <t>MICROSOFT-CO-260910-89</t>
        </is>
      </c>
      <c r="B135" t="inlineStr">
        <is>
          <t>Microsoft Corporation</t>
        </is>
      </c>
      <c r="C135" t="inlineStr">
        <is>
          <t>Software Engineering INTERN</t>
        </is>
      </c>
      <c r="D135" t="inlineStr">
        <is>
          <t>https://www.adzuna.in/details/5775777688?utm_medium=api&amp;utm_source=5ccdc27f</t>
        </is>
      </c>
      <c r="E135" t="inlineStr">
        <is>
          <t>AI Analyzer</t>
        </is>
      </c>
      <c r="F135" t="inlineStr">
        <is>
          <t>India</t>
        </is>
      </c>
      <c r="G135" t="inlineStr">
        <is>
          <t>Unknown</t>
        </is>
      </c>
      <c r="H135" t="inlineStr">
        <is>
          <t>Not specified</t>
        </is>
      </c>
      <c r="I135" t="inlineStr">
        <is>
          <t>Unknown</t>
        </is>
      </c>
      <c r="J135" t="inlineStr">
        <is>
          <t>UNKNOWN</t>
        </is>
      </c>
      <c r="K135" t="inlineStr">
        <is>
          <t>Software Engineering; Problem Solving</t>
        </is>
      </c>
      <c r="L135" t="inlineStr">
        <is>
          <t>Product Quality</t>
        </is>
      </c>
      <c r="M135" t="inlineStr">
        <is>
          <t>Overview Come build community, explore your passions and do your best work at Microsoft with thousands of University interns from every corner of the world. This opportunity will allow you to bring your aspirations, talent, potential-and excitement for the journey ahead. As a Software Engineering Intern, you will work with teammates to solve problems and build innovative software solutions. You wi</t>
        </is>
      </c>
      <c r="N135" t="n">
        <v>78</v>
      </c>
      <c r="O135" t="n">
        <v>24</v>
      </c>
      <c r="P135" t="n">
        <v>16</v>
      </c>
      <c r="Q135" t="n">
        <v>14</v>
      </c>
      <c r="R135" t="n">
        <v>10</v>
      </c>
      <c r="S135" t="n">
        <v>5</v>
      </c>
      <c r="T135" t="n">
        <v>9</v>
      </c>
      <c r="U135" t="inlineStr">
        <is>
          <t>CONSIDER</t>
        </is>
      </c>
      <c r="V135" t="inlineStr">
        <is>
          <t>CONSIDER</t>
        </is>
      </c>
      <c r="X135" t="inlineStr">
        <is>
          <t>Standard Software Engineering Resume</t>
        </is>
      </c>
      <c r="Y135" t="inlineStr">
        <is>
          <t>2026-09-10</t>
        </is>
      </c>
      <c r="Z135" t="inlineStr">
        <is>
          <t>Top-tier tech brand offering high opportunity quality.; Matches general software engineering intern profile.</t>
        </is>
      </c>
      <c r="AA135" t="inlineStr">
        <is>
          <t>ELIGIBLE</t>
        </is>
      </c>
      <c r="AB135" t="inlineStr">
        <is>
          <t>Candidate is pursuing an MCA and is a university student eligible for Microsoft internship programs.</t>
        </is>
      </c>
      <c r="AC135" t="inlineStr">
        <is>
          <t>UNKNOWN</t>
        </is>
      </c>
      <c r="AD135" t="inlineStr">
        <is>
          <t>Availability dates are not specified in the candidate profile or job description.</t>
        </is>
      </c>
      <c r="AE135" t="inlineStr">
        <is>
          <t>UNKNOWN</t>
        </is>
      </c>
      <c r="AF135" t="n">
        <v>0</v>
      </c>
      <c r="AG135" t="inlineStr">
        <is>
          <t>No</t>
        </is>
      </c>
      <c r="AH135" t="inlineStr">
        <is>
          <t>UNKNOWN</t>
        </is>
      </c>
      <c r="AI135" t="inlineStr">
        <is>
          <t>Conversion or PPO details are not explicitly mentioned in the snippet.</t>
        </is>
      </c>
      <c r="AK135" t="inlineStr">
        <is>
          <t>Incomplete job description snippet.</t>
        </is>
      </c>
      <c r="AL135" t="inlineStr">
        <is>
          <t>Data Structures and Algorithms; System Design basics; Past project architecture and problem solving; Behavioral and situational questions</t>
        </is>
      </c>
    </row>
    <row r="136">
      <c r="A136" t="inlineStr">
        <is>
          <t>INDIAN-AI-RE-260910-90</t>
        </is>
      </c>
      <c r="B136" t="inlineStr">
        <is>
          <t>Indian AI Research Organisation IAIRO</t>
        </is>
      </c>
      <c r="C136" t="inlineStr">
        <is>
          <t>Software Engineer Intern</t>
        </is>
      </c>
      <c r="D136" t="inlineStr">
        <is>
          <t>https://www.adzuna.in/details/5845820622?utm_medium=api&amp;utm_source=5ccdc27f</t>
        </is>
      </c>
      <c r="E136" t="inlineStr">
        <is>
          <t>AI Analyzer</t>
        </is>
      </c>
      <c r="F136" t="inlineStr">
        <is>
          <t>Gandhinagar, Gujarat</t>
        </is>
      </c>
      <c r="G136" t="inlineStr">
        <is>
          <t>UNKNOWN</t>
        </is>
      </c>
      <c r="H136" t="inlineStr">
        <is>
          <t>Not specified</t>
        </is>
      </c>
      <c r="I136" t="inlineStr">
        <is>
          <t>UNKNOWN</t>
        </is>
      </c>
      <c r="J136" t="inlineStr">
        <is>
          <t>UNKNOWN</t>
        </is>
      </c>
      <c r="K136" t="inlineStr">
        <is>
          <t>Software Engineering; Data Pipelines; AI-enabled Services; MVPs</t>
        </is>
      </c>
      <c r="M136" t="inlineStr">
        <is>
          <t>IAIRO is building foundational AI capability for India in the public interest Our health programme develops responsible AI systems that support clinicians researchers publichealth institutions and individuals seeking personalized daily guidance As a Software Engineer Intern you will help build data pipelines AIenabled services and lightweight MVPs inspired by AI Hospital Agent Hospital Personal He</t>
        </is>
      </c>
      <c r="N136" t="n">
        <v>61</v>
      </c>
      <c r="O136" t="n">
        <v>21</v>
      </c>
      <c r="P136" t="n">
        <v>14</v>
      </c>
      <c r="Q136" t="n">
        <v>12</v>
      </c>
      <c r="R136" t="n">
        <v>7</v>
      </c>
      <c r="S136" t="n">
        <v>0</v>
      </c>
      <c r="T136" t="n">
        <v>7</v>
      </c>
      <c r="U136" t="inlineStr">
        <is>
          <t>STRETCH</t>
        </is>
      </c>
      <c r="V136" t="inlineStr">
        <is>
          <t>STRETCH</t>
        </is>
      </c>
      <c r="X136" t="inlineStr">
        <is>
          <t>Default Full-Stack and Backend Resume</t>
        </is>
      </c>
      <c r="Y136" t="inlineStr">
        <is>
          <t>2026-09-10</t>
        </is>
      </c>
      <c r="Z136" t="inlineStr">
        <is>
          <t>Aligns with AI-adjacent Software Engineering target role; Opportunity to work on impactful health AI systems and MVPs</t>
        </is>
      </c>
      <c r="AA136" t="inlineStr">
        <is>
          <t>UNKNOWN</t>
        </is>
      </c>
      <c r="AB136" t="inlineStr">
        <is>
          <t>Graduation year and degree requirements not explicitly specified in the short snippet</t>
        </is>
      </c>
      <c r="AC136" t="inlineStr">
        <is>
          <t>UNKNOWN</t>
        </is>
      </c>
      <c r="AD136" t="inlineStr">
        <is>
          <t>Candidate availability timeline not provided</t>
        </is>
      </c>
      <c r="AE136" t="inlineStr">
        <is>
          <t>UNKNOWN</t>
        </is>
      </c>
      <c r="AF136" t="n">
        <v>0</v>
      </c>
      <c r="AG136" t="inlineStr">
        <is>
          <t>No</t>
        </is>
      </c>
      <c r="AH136" t="inlineStr">
        <is>
          <t>UNKNOWN</t>
        </is>
      </c>
      <c r="AI136" t="inlineStr">
        <is>
          <t>No explicit mention of PPO or conversion in the job description snippet</t>
        </is>
      </c>
      <c r="AK136" t="inlineStr">
        <is>
          <t>Incomplete job description snippet; Stipend not disclosed</t>
        </is>
      </c>
      <c r="AL136" t="inlineStr">
        <is>
          <t>Data pipelines implementation; Building lightweight MVPs; AI-enabled services integration; Past projects like StaySphere or Contexa</t>
        </is>
      </c>
    </row>
    <row r="137">
      <c r="A137" t="inlineStr">
        <is>
          <t>STRIPE-260910-91</t>
        </is>
      </c>
      <c r="B137" t="inlineStr">
        <is>
          <t>Stripe</t>
        </is>
      </c>
      <c r="C137" t="inlineStr">
        <is>
          <t>Software Engineer, Intern</t>
        </is>
      </c>
      <c r="D137" t="inlineStr">
        <is>
          <t>https://www.adzuna.in/details/5876941757?utm_medium=api&amp;utm_source=5ccdc27f</t>
        </is>
      </c>
      <c r="E137" t="inlineStr">
        <is>
          <t>AI Analyzer</t>
        </is>
      </c>
      <c r="F137" t="inlineStr">
        <is>
          <t>India</t>
        </is>
      </c>
      <c r="G137" t="inlineStr">
        <is>
          <t>UNKNOWN</t>
        </is>
      </c>
      <c r="I137" t="inlineStr">
        <is>
          <t>UNKNOWN</t>
        </is>
      </c>
      <c r="J137" t="inlineStr">
        <is>
          <t>UNKNOWN</t>
        </is>
      </c>
      <c r="K137" t="inlineStr">
        <is>
          <t>Software Engineering</t>
        </is>
      </c>
      <c r="M137" t="inlineStr">
        <is>
          <t>Software Engineer, Intern Who we are About Stripe Stripe is a technology company focused on improving the conditions for economic growth and prosperity. We build programmable financial infrastructure, rethinking from first principles how financial services should work, to make it easier and cheaper for any business to start and scale. More than 10 million businesses build on Stripe, spanning the e</t>
        </is>
      </c>
      <c r="N137" t="n">
        <v>77</v>
      </c>
      <c r="O137" t="n">
        <v>80</v>
      </c>
      <c r="P137" t="n">
        <v>80</v>
      </c>
      <c r="Q137" t="n">
        <v>85</v>
      </c>
      <c r="R137" t="n">
        <v>50</v>
      </c>
      <c r="S137" t="n">
        <v>50</v>
      </c>
      <c r="T137" t="n">
        <v>95</v>
      </c>
      <c r="U137" t="inlineStr">
        <is>
          <t>CONSIDER</t>
        </is>
      </c>
      <c r="V137" t="inlineStr">
        <is>
          <t>CONSIDER</t>
        </is>
      </c>
      <c r="X137" t="inlineStr">
        <is>
          <t>Amaanuddin_Ahmed_Software_Engineer_Resume.pdf</t>
        </is>
      </c>
      <c r="Y137" t="inlineStr">
        <is>
          <t>2026-09-10</t>
        </is>
      </c>
      <c r="Z137" t="inlineStr">
        <is>
          <t>Stripe is a tier-1 technology company with exceptional opportunity quality.; Matches target Software Engineering and Backend/Full Stack roles well.</t>
        </is>
      </c>
      <c r="AA137" t="inlineStr">
        <is>
          <t>ELIGIBLE</t>
        </is>
      </c>
      <c r="AB137" t="inlineStr">
        <is>
          <t>Candidate is pursuing an MCA and fits standard software engineering intern criteria.</t>
        </is>
      </c>
      <c r="AC137" t="inlineStr">
        <is>
          <t>UNKNOWN</t>
        </is>
      </c>
      <c r="AD137" t="inlineStr">
        <is>
          <t>Availability requirements not specified in the snippet.</t>
        </is>
      </c>
      <c r="AE137" t="inlineStr">
        <is>
          <t>UNKNOWN</t>
        </is>
      </c>
      <c r="AF137" t="n">
        <v>0</v>
      </c>
      <c r="AG137" t="inlineStr">
        <is>
          <t>No</t>
        </is>
      </c>
      <c r="AH137" t="inlineStr">
        <is>
          <t>UNKNOWN</t>
        </is>
      </c>
      <c r="AI137" t="inlineStr">
        <is>
          <t>Not explicitly mentioned in the snippet.</t>
        </is>
      </c>
      <c r="AL137" t="inlineStr">
        <is>
          <t>Data Structures and Algorithms; System Design and Scalability; Backend and API Development; Problem Solving</t>
        </is>
      </c>
    </row>
    <row r="138">
      <c r="A138" t="inlineStr">
        <is>
          <t>ZYBISYS-CONS-260910-92</t>
        </is>
      </c>
      <c r="B138" t="inlineStr">
        <is>
          <t>Zybisys Consulting Services Llp</t>
        </is>
      </c>
      <c r="C138" t="inlineStr">
        <is>
          <t>Software Engineer Intern</t>
        </is>
      </c>
      <c r="D138" t="inlineStr">
        <is>
          <t>https://www.adzuna.in/details/5845820644?utm_medium=api&amp;utm_source=5ccdc27f</t>
        </is>
      </c>
      <c r="E138" t="inlineStr">
        <is>
          <t>AI Analyzer</t>
        </is>
      </c>
      <c r="F138" t="inlineStr">
        <is>
          <t>Tiruchirappalli, Tamil Nadu</t>
        </is>
      </c>
      <c r="G138" t="inlineStr">
        <is>
          <t>UNKNOWN</t>
        </is>
      </c>
      <c r="H138" t="inlineStr">
        <is>
          <t>Not specified</t>
        </is>
      </c>
      <c r="I138" t="inlineStr">
        <is>
          <t>UNKNOWN</t>
        </is>
      </c>
      <c r="J138" t="inlineStr">
        <is>
          <t>NOT_MENTIONED</t>
        </is>
      </c>
      <c r="K138" t="inlineStr">
        <is>
          <t>Full Stack Development; AI; ML; Cloud; Automation</t>
        </is>
      </c>
      <c r="L138" t="inlineStr">
        <is>
          <t>Infrastructure Aware Applications</t>
        </is>
      </c>
      <c r="M138" t="inlineStr">
        <is>
          <t>We are looking for passionate and motivated Associate Software Engineers who are eager to work on modern technologies including Full Stack Development AI ML Cloud Automation and InfrastructureAware Applications This role is ideal for fresh graduates who enjoy problemsolving building scalable applications researching emerging technologies and working closely with development and infrastructure team</t>
        </is>
      </c>
      <c r="N138" t="n">
        <v>58</v>
      </c>
      <c r="O138" t="n">
        <v>70</v>
      </c>
      <c r="P138" t="n">
        <v>80</v>
      </c>
      <c r="Q138" t="n">
        <v>80</v>
      </c>
      <c r="R138" t="n">
        <v>0</v>
      </c>
      <c r="S138" t="n">
        <v>0</v>
      </c>
      <c r="T138" t="n">
        <v>50</v>
      </c>
      <c r="U138" t="inlineStr">
        <is>
          <t>SKIP</t>
        </is>
      </c>
      <c r="V138" t="inlineStr">
        <is>
          <t>SKIP</t>
        </is>
      </c>
      <c r="W138" t="inlineStr">
        <is>
          <t>AI; ML; Automation</t>
        </is>
      </c>
      <c r="X138" t="inlineStr">
        <is>
          <t>Amaan_Software_Engineering_Resume.pdf</t>
        </is>
      </c>
      <c r="Y138" t="inlineStr">
        <is>
          <t>2026-09-10</t>
        </is>
      </c>
      <c r="Z138" t="inlineStr">
        <is>
          <t>Aligns with software engineering and full stack interests</t>
        </is>
      </c>
      <c r="AA138" t="inlineStr">
        <is>
          <t>ELIGIBLE</t>
        </is>
      </c>
      <c r="AB138" t="inlineStr">
        <is>
          <t>Open to fresh graduates and MCA background aligns well</t>
        </is>
      </c>
      <c r="AC138" t="inlineStr">
        <is>
          <t>UNKNOWN</t>
        </is>
      </c>
      <c r="AD138" t="inlineStr">
        <is>
          <t>Not provided in the job description or career brain</t>
        </is>
      </c>
      <c r="AE138" t="inlineStr">
        <is>
          <t>UNKNOWN</t>
        </is>
      </c>
      <c r="AF138" t="n">
        <v>0</v>
      </c>
      <c r="AG138" t="inlineStr">
        <is>
          <t>No</t>
        </is>
      </c>
      <c r="AH138" t="inlineStr">
        <is>
          <t>NOT_MENTIONED</t>
        </is>
      </c>
      <c r="AI138" t="inlineStr">
        <is>
          <t>No explicit PPO or conversion mention in the job description</t>
        </is>
      </c>
      <c r="AK138" t="inlineStr">
        <is>
          <t>Stipend is not disclosed; Location is Tiruchirappalli, Tamil Nadu which may require relocation</t>
        </is>
      </c>
      <c r="AL138" t="inlineStr">
        <is>
          <t>Full stack development practices; Cloud technologies and modern software engineering; Problem-solving and scalable applications</t>
        </is>
      </c>
    </row>
    <row r="139">
      <c r="A139" t="inlineStr">
        <is>
          <t>SOLUTIONINN,-260910-93</t>
        </is>
      </c>
      <c r="B139" t="inlineStr">
        <is>
          <t>SolutionInn, US</t>
        </is>
      </c>
      <c r="C139" t="inlineStr">
        <is>
          <t>Software Engineering Intern</t>
        </is>
      </c>
      <c r="D139" t="inlineStr">
        <is>
          <t>https://www.adzuna.in/details/5850377111?utm_medium=api&amp;utm_source=5ccdc27f</t>
        </is>
      </c>
      <c r="E139" t="inlineStr">
        <is>
          <t>AI Analyzer</t>
        </is>
      </c>
      <c r="F139" t="inlineStr">
        <is>
          <t>Ludhiana, Punjab</t>
        </is>
      </c>
      <c r="G139" t="inlineStr">
        <is>
          <t>Unknown</t>
        </is>
      </c>
      <c r="H139" t="inlineStr">
        <is>
          <t>Not specified</t>
        </is>
      </c>
      <c r="I139" t="inlineStr">
        <is>
          <t>Unknown</t>
        </is>
      </c>
      <c r="J139" t="inlineStr">
        <is>
          <t>Not Mentioned</t>
        </is>
      </c>
      <c r="K139" t="inlineStr">
        <is>
          <t>AI/ML tools or frameworks; Cloud platforms (AWS, Azure, or Google Cloud); Agile or Scrum methodologies; HTML; CSS; JavaScript; Python (Django/Flask); Node.js; MySQL</t>
        </is>
      </c>
      <c r="L139" t="inlineStr">
        <is>
          <t>PHP; Django; Flask</t>
        </is>
      </c>
      <c r="M139" t="inlineStr">
        <is>
          <t>Skills Required Experience with AI/ML tools or frameworks. Knowledge of cloud platforms like AWS, Azure, or Google Cloud. Familiarity with Agile or Scrum methodologies. Required Qualifications Currently enrolled in or recently graduated from a degree program in Computer Science, Software Engineering, or a related field. Familiarity with front-end or back-end technologies, such as: Front-End: HTML,</t>
        </is>
      </c>
      <c r="N139" t="n">
        <v>62</v>
      </c>
      <c r="O139" t="n">
        <v>22</v>
      </c>
      <c r="P139" t="n">
        <v>20</v>
      </c>
      <c r="Q139" t="n">
        <v>15</v>
      </c>
      <c r="R139" t="n">
        <v>0</v>
      </c>
      <c r="S139" t="n">
        <v>0</v>
      </c>
      <c r="T139" t="n">
        <v>5</v>
      </c>
      <c r="U139" t="inlineStr">
        <is>
          <t>STRETCH</t>
        </is>
      </c>
      <c r="V139" t="inlineStr">
        <is>
          <t>STRETCH</t>
        </is>
      </c>
      <c r="W139" t="inlineStr">
        <is>
          <t>AI/ML tools or frameworks; Agile or Scrum methodologies; Django/Flask</t>
        </is>
      </c>
      <c r="X139" t="inlineStr">
        <is>
          <t>Full Stack / Software Engineering Resume</t>
        </is>
      </c>
      <c r="Y139" t="inlineStr">
        <is>
          <t>2026-09-10</t>
        </is>
      </c>
      <c r="Z139" t="inlineStr">
        <is>
          <t>Good technical match with JavaScript, Node.js, Python, and SQL; Meets educational requirements as an MCA student</t>
        </is>
      </c>
      <c r="AA139" t="inlineStr">
        <is>
          <t>Eligible</t>
        </is>
      </c>
      <c r="AB139" t="inlineStr">
        <is>
          <t>Currently enrolled in MCA degree program in Computer Science or related field</t>
        </is>
      </c>
      <c r="AC139" t="inlineStr">
        <is>
          <t>Unknown</t>
        </is>
      </c>
      <c r="AD139" t="inlineStr">
        <is>
          <t>Not specified in candidate profile or job description</t>
        </is>
      </c>
      <c r="AE139" t="inlineStr">
        <is>
          <t>UNKNOWN</t>
        </is>
      </c>
      <c r="AF139" t="n">
        <v>0</v>
      </c>
      <c r="AG139" t="inlineStr">
        <is>
          <t>No</t>
        </is>
      </c>
      <c r="AH139" t="inlineStr">
        <is>
          <t>Not Mentioned</t>
        </is>
      </c>
      <c r="AI139" t="inlineStr">
        <is>
          <t>No mention of PPO or conversion in the job description</t>
        </is>
      </c>
      <c r="AK139" t="inlineStr">
        <is>
          <t>Stipend not disclosed; PPO not mentioned</t>
        </is>
      </c>
      <c r="AL139" t="inlineStr">
        <is>
          <t>Node.js and JavaScript fundamentals; Cloud platform experience (Azure/AWS); Python backend concepts; Database management with MySQL</t>
        </is>
      </c>
    </row>
    <row r="140">
      <c r="A140" t="inlineStr">
        <is>
          <t>SOLUTIONINN,-260910-94</t>
        </is>
      </c>
      <c r="B140" t="inlineStr">
        <is>
          <t>SolutionInn, US</t>
        </is>
      </c>
      <c r="C140" t="inlineStr">
        <is>
          <t>Software Engineering Intern</t>
        </is>
      </c>
      <c r="D140" t="inlineStr">
        <is>
          <t>https://www.adzuna.in/details/5850377236?utm_medium=api&amp;utm_source=5ccdc27f</t>
        </is>
      </c>
      <c r="E140" t="inlineStr">
        <is>
          <t>AI Analyzer</t>
        </is>
      </c>
      <c r="F140" t="inlineStr">
        <is>
          <t>Amritsar, Punjab</t>
        </is>
      </c>
      <c r="G140" t="inlineStr">
        <is>
          <t>UNKNOWN</t>
        </is>
      </c>
      <c r="H140" t="inlineStr">
        <is>
          <t>Not specified</t>
        </is>
      </c>
      <c r="I140" t="inlineStr">
        <is>
          <t>UNKNOWN</t>
        </is>
      </c>
      <c r="J140" t="inlineStr">
        <is>
          <t>NONE</t>
        </is>
      </c>
      <c r="K140" t="inlineStr">
        <is>
          <t>AI/ML tools or frameworks; Cloud platforms (AWS, Azure, Google Cloud); Agile or Scrum methodologies; Front-End: HTML, CSS, JavaScript; Back-End: Python (Django/Flask), Node.js, or PHP; Databases: MySQL</t>
        </is>
      </c>
      <c r="M140" t="inlineStr">
        <is>
          <t>Skills Required Experience with AI/ML tools or frameworks. Knowledge of cloud platforms like AWS, Azure, or Google Cloud. Familiarity with Agile or Scrum methodologies. Required Qualifications Currently enrolled in or recently graduated from a degree program in Computer Science, Software Engineering, or a related field. Familiarity with front-end or back-end technologies, such as: Front-End: HTML,</t>
        </is>
      </c>
      <c r="N140" t="n">
        <v>64</v>
      </c>
      <c r="O140" t="n">
        <v>24</v>
      </c>
      <c r="P140" t="n">
        <v>20</v>
      </c>
      <c r="Q140" t="n">
        <v>15</v>
      </c>
      <c r="R140" t="n">
        <v>0</v>
      </c>
      <c r="S140" t="n">
        <v>0</v>
      </c>
      <c r="T140" t="n">
        <v>5</v>
      </c>
      <c r="U140" t="inlineStr">
        <is>
          <t>STRETCH</t>
        </is>
      </c>
      <c r="V140" t="inlineStr">
        <is>
          <t>STRETCH</t>
        </is>
      </c>
      <c r="W140" t="inlineStr">
        <is>
          <t>AI/ML tools or frameworks; Django/Flask; Agile or Scrum methodologies</t>
        </is>
      </c>
      <c r="X140" t="inlineStr">
        <is>
          <t>Amaanuddin_Ahmed_Full_Stack_Resume.pdf</t>
        </is>
      </c>
      <c r="Y140" t="inlineStr">
        <is>
          <t>2026-09-10</t>
        </is>
      </c>
      <c r="Z140" t="inlineStr">
        <is>
          <t>Aligns well with core backend and full-stack capabilities (Node.js, Python, JavaScript, MySQL); Meets general educational eligibility criteria as an MCA student</t>
        </is>
      </c>
      <c r="AA140" t="inlineStr">
        <is>
          <t>ELIGIBLE</t>
        </is>
      </c>
      <c r="AB140" t="inlineStr">
        <is>
          <t>Currently enrolled in or recently graduated from a degree program in Computer Science or related field (MCA at PES University)</t>
        </is>
      </c>
      <c r="AC140" t="inlineStr">
        <is>
          <t>UNKNOWN</t>
        </is>
      </c>
      <c r="AD140" t="inlineStr">
        <is>
          <t>Availability not specified in the job description or candidate profile.</t>
        </is>
      </c>
      <c r="AE140" t="inlineStr">
        <is>
          <t>UNKNOWN</t>
        </is>
      </c>
      <c r="AF140" t="n">
        <v>0</v>
      </c>
      <c r="AG140" t="inlineStr">
        <is>
          <t>No</t>
        </is>
      </c>
      <c r="AH140" t="inlineStr">
        <is>
          <t>NONE</t>
        </is>
      </c>
      <c r="AI140" t="inlineStr">
        <is>
          <t>No mention of PPO or conversion to full-time role in the job description.</t>
        </is>
      </c>
      <c r="AK140" t="inlineStr">
        <is>
          <t>Stipend is not disclosed; No PPO mentioned</t>
        </is>
      </c>
      <c r="AL140" t="inlineStr">
        <is>
          <t>Node.js and Python backend architectures; Cloud deployment experience on Azure; Database management with MySQL and MongoDB; Familiarity with AI/ML tools or frameworks</t>
        </is>
      </c>
    </row>
    <row r="141">
      <c r="A141" t="inlineStr">
        <is>
          <t>AUGLE-AI-260910-95</t>
        </is>
      </c>
      <c r="B141" t="inlineStr">
        <is>
          <t>Augle AI</t>
        </is>
      </c>
      <c r="C141" t="inlineStr">
        <is>
          <t>Software Engineer Intern</t>
        </is>
      </c>
      <c r="D141" t="inlineStr">
        <is>
          <t>https://www.adzuna.in/details/5827200220?utm_medium=api&amp;utm_source=5ccdc27f</t>
        </is>
      </c>
      <c r="E141" t="inlineStr">
        <is>
          <t>AI Analyzer</t>
        </is>
      </c>
      <c r="F141" t="inlineStr">
        <is>
          <t>Mumbai, Maharashtra</t>
        </is>
      </c>
      <c r="G141" t="inlineStr">
        <is>
          <t>Unknown</t>
        </is>
      </c>
      <c r="H141" t="inlineStr">
        <is>
          <t>Not specified</t>
        </is>
      </c>
      <c r="I141" t="inlineStr">
        <is>
          <t>Unknown</t>
        </is>
      </c>
      <c r="J141" t="inlineStr">
        <is>
          <t>UNKNOWN</t>
        </is>
      </c>
      <c r="L141" t="inlineStr">
        <is>
          <t>AI; Robotics; Automation Systems; 3D Vision</t>
        </is>
      </c>
      <c r="M141" t="inlineStr">
        <is>
          <t>Augle AI is a deeptech startup founded by IIT Bombay alumni building AI and 3D Visionpowered Robotics and Automation Systems for manufacturing companies We are developing the next generation of manufacturing technology flexible intelligent and adaptable to rapidly changing consumer demand Our solutions enable manufacturers to achieve new levels of efficiency by automating processes that were previ</t>
        </is>
      </c>
      <c r="N141" t="n">
        <v>50</v>
      </c>
      <c r="O141" t="n">
        <v>40</v>
      </c>
      <c r="P141" t="n">
        <v>50</v>
      </c>
      <c r="Q141" t="n">
        <v>60</v>
      </c>
      <c r="R141" t="n">
        <v>50</v>
      </c>
      <c r="S141" t="n">
        <v>40</v>
      </c>
      <c r="T141" t="n">
        <v>60</v>
      </c>
      <c r="U141" t="inlineStr">
        <is>
          <t>SKIP</t>
        </is>
      </c>
      <c r="V141" t="inlineStr">
        <is>
          <t>SKIP</t>
        </is>
      </c>
      <c r="W141" t="inlineStr">
        <is>
          <t>AI; Robotics; Automation Systems; 3D Vision</t>
        </is>
      </c>
      <c r="X141" t="inlineStr">
        <is>
          <t>Amaanuddin_Ahmed_Software_Engineer_Resume.pdf</t>
        </is>
      </c>
      <c r="Y141" t="inlineStr">
        <is>
          <t>2026-09-10</t>
        </is>
      </c>
      <c r="Z141" t="inlineStr">
        <is>
          <t>Startup founded by IIT Bombay alumni building robotics and automation systems</t>
        </is>
      </c>
      <c r="AA141" t="inlineStr">
        <is>
          <t>ELIGIBLE</t>
        </is>
      </c>
      <c r="AB141" t="inlineStr">
        <is>
          <t>No specific strict degree or graduation year hard blocker found in the short snippet</t>
        </is>
      </c>
      <c r="AC141" t="inlineStr">
        <is>
          <t>UNKNOWN</t>
        </is>
      </c>
      <c r="AD141" t="inlineStr">
        <is>
          <t>Candidate availability is not specified</t>
        </is>
      </c>
      <c r="AE141" t="inlineStr">
        <is>
          <t>UNKNOWN</t>
        </is>
      </c>
      <c r="AF141" t="n">
        <v>0</v>
      </c>
      <c r="AG141" t="inlineStr">
        <is>
          <t>No</t>
        </is>
      </c>
      <c r="AH141" t="inlineStr">
        <is>
          <t>UNKNOWN</t>
        </is>
      </c>
      <c r="AI141" t="inlineStr">
        <is>
          <t>Not mentioned in the job description snippet</t>
        </is>
      </c>
      <c r="AK141" t="inlineStr">
        <is>
          <t>Incomplete job description text; Stipend not disclosed</t>
        </is>
      </c>
      <c r="AL141" t="inlineStr">
        <is>
          <t>General Software Engineering fundamentals; Projects and background in development; Interest in deeptech and robotics</t>
        </is>
      </c>
    </row>
    <row r="142">
      <c r="A142" t="inlineStr">
        <is>
          <t>STRIPE-260910-96</t>
        </is>
      </c>
      <c r="B142" t="inlineStr">
        <is>
          <t>Stripe</t>
        </is>
      </c>
      <c r="C142" t="inlineStr">
        <is>
          <t>Software Engineer, Intern</t>
        </is>
      </c>
      <c r="D142" t="inlineStr">
        <is>
          <t>https://www.adzuna.in/details/5797283415?utm_medium=api&amp;utm_source=5ccdc27f</t>
        </is>
      </c>
      <c r="E142" t="inlineStr">
        <is>
          <t>AI Analyzer</t>
        </is>
      </c>
      <c r="F142" t="inlineStr">
        <is>
          <t>Bangalore, Karnataka</t>
        </is>
      </c>
      <c r="G142" t="inlineStr">
        <is>
          <t>UNKNOWN</t>
        </is>
      </c>
      <c r="H142" t="inlineStr">
        <is>
          <t>Not specified</t>
        </is>
      </c>
      <c r="I142" t="inlineStr">
        <is>
          <t>UNKNOWN</t>
        </is>
      </c>
      <c r="J142" t="inlineStr">
        <is>
          <t>UNKNOWN</t>
        </is>
      </c>
      <c r="M142" t="inlineStr">
        <is>
          <t>Who we are About Stripe Stripe is a technology company focused on improving the conditions for economic growth and prosperity. We build programmable financial infrastructure, rethinking from first principles how financial services should work, to make it easier and cheaper for any business to start and scale. More than 10 million businesses build on Stripe, spanning the economic frontier—from solo</t>
        </is>
      </c>
      <c r="N142" t="n">
        <v>45</v>
      </c>
      <c r="O142" t="n">
        <v>50</v>
      </c>
      <c r="P142" t="n">
        <v>50</v>
      </c>
      <c r="Q142" t="n">
        <v>50</v>
      </c>
      <c r="R142" t="n">
        <v>0</v>
      </c>
      <c r="S142" t="n">
        <v>0</v>
      </c>
      <c r="T142" t="n">
        <v>50</v>
      </c>
      <c r="U142" t="inlineStr">
        <is>
          <t>SKIP</t>
        </is>
      </c>
      <c r="V142" t="inlineStr">
        <is>
          <t>SKIP</t>
        </is>
      </c>
      <c r="X142" t="inlineStr">
        <is>
          <t>Default Full Stack Resume</t>
        </is>
      </c>
      <c r="Y142" t="inlineStr">
        <is>
          <t>2026-09-10</t>
        </is>
      </c>
      <c r="Z142" t="inlineStr">
        <is>
          <t>Stripe is a top-tier technology company for software engineering internships</t>
        </is>
      </c>
      <c r="AA142" t="inlineStr">
        <is>
          <t>UNKNOWN</t>
        </is>
      </c>
      <c r="AB142" t="inlineStr">
        <is>
          <t>Job description is incomplete and does not specify degree, graduation year, or specific tech requirements</t>
        </is>
      </c>
      <c r="AC142" t="inlineStr">
        <is>
          <t>UNKNOWN</t>
        </is>
      </c>
      <c r="AD142" t="inlineStr">
        <is>
          <t>Not provided in Career Brain</t>
        </is>
      </c>
      <c r="AE142" t="inlineStr">
        <is>
          <t>UNKNOWN</t>
        </is>
      </c>
      <c r="AF142" t="n">
        <v>0</v>
      </c>
      <c r="AG142" t="inlineStr">
        <is>
          <t>No</t>
        </is>
      </c>
      <c r="AH142" t="inlineStr">
        <is>
          <t>UNKNOWN</t>
        </is>
      </c>
      <c r="AI142" t="inlineStr">
        <is>
          <t>Not mentioned in the truncated job description</t>
        </is>
      </c>
      <c r="AK142" t="inlineStr">
        <is>
          <t>Incomplete job description provided</t>
        </is>
      </c>
      <c r="AL142" t="inlineStr">
        <is>
          <t>Data Structures and Algorithms; System Design; Core Computer Science Fundamentals</t>
        </is>
      </c>
    </row>
    <row r="143">
      <c r="A143" t="inlineStr">
        <is>
          <t>RITUAL-260910-97</t>
        </is>
      </c>
      <c r="B143" t="inlineStr">
        <is>
          <t>Ritual</t>
        </is>
      </c>
      <c r="C143" t="inlineStr">
        <is>
          <t>Software Engineer Intern</t>
        </is>
      </c>
      <c r="D143" t="inlineStr">
        <is>
          <t>https://www.adzuna.in/details/5876940616?utm_medium=api&amp;utm_source=5ccdc27f</t>
        </is>
      </c>
      <c r="E143" t="inlineStr">
        <is>
          <t>AI Analyzer</t>
        </is>
      </c>
      <c r="F143" t="inlineStr">
        <is>
          <t>India</t>
        </is>
      </c>
      <c r="G143" t="inlineStr">
        <is>
          <t>remote</t>
        </is>
      </c>
      <c r="H143" t="inlineStr">
        <is>
          <t>not specified</t>
        </is>
      </c>
      <c r="I143" t="inlineStr">
        <is>
          <t>unknown</t>
        </is>
      </c>
      <c r="J143" t="inlineStr">
        <is>
          <t>not mentioned</t>
        </is>
      </c>
      <c r="K143" t="inlineStr">
        <is>
          <t>AI-native operations; blockchain; smart contracts</t>
        </is>
      </c>
      <c r="L143" t="inlineStr">
        <is>
          <t>crypto; AI models</t>
        </is>
      </c>
      <c r="M143" t="inlineStr">
        <is>
          <t>About Ritual Ritual is building a sovereign, execution layer for AI, with our private testnet already live and running. The Ritual chain is the first blockchain custom-built to support AI-native operations, designed from the ground up to enable a new class of applications at the intersection of crypto and AI. Our first product, Infernet, is pioneering new ground as the first solution to enable dev</t>
        </is>
      </c>
      <c r="N143" t="n">
        <v>42</v>
      </c>
      <c r="O143" t="n">
        <v>40</v>
      </c>
      <c r="P143" t="n">
        <v>50</v>
      </c>
      <c r="Q143" t="n">
        <v>60</v>
      </c>
      <c r="R143" t="n">
        <v>0</v>
      </c>
      <c r="S143" t="n">
        <v>0</v>
      </c>
      <c r="T143" t="n">
        <v>70</v>
      </c>
      <c r="U143" t="inlineStr">
        <is>
          <t>SKIP</t>
        </is>
      </c>
      <c r="V143" t="inlineStr">
        <is>
          <t>SKIP</t>
        </is>
      </c>
      <c r="W143" t="inlineStr">
        <is>
          <t>blockchain development; smart contracts; AI-native infrastructure</t>
        </is>
      </c>
      <c r="X143" t="inlineStr">
        <is>
          <t>Amaan_Ahmed_Software_Engineer_Resume.pdf</t>
        </is>
      </c>
      <c r="Y143" t="inlineStr">
        <is>
          <t>2026-09-10</t>
        </is>
      </c>
      <c r="Z143" t="inlineStr">
        <is>
          <t>Exciting opportunity in the AI and crypto intersection space.</t>
        </is>
      </c>
      <c r="AA143" t="inlineStr">
        <is>
          <t>eligible</t>
        </is>
      </c>
      <c r="AB143" t="inlineStr">
        <is>
          <t>Candidate is pursuing MCA at PES University and fits general software engineering intern criteria.</t>
        </is>
      </c>
      <c r="AC143" t="inlineStr">
        <is>
          <t>unknown</t>
        </is>
      </c>
      <c r="AD143" t="inlineStr">
        <is>
          <t>Candidate availability details are not explicitly mentioned in the career brain.</t>
        </is>
      </c>
      <c r="AE143" t="inlineStr">
        <is>
          <t>UNKNOWN</t>
        </is>
      </c>
      <c r="AF143" t="n">
        <v>0</v>
      </c>
      <c r="AG143" t="inlineStr">
        <is>
          <t>No</t>
        </is>
      </c>
      <c r="AH143" t="inlineStr">
        <is>
          <t>not mentioned</t>
        </is>
      </c>
      <c r="AI143" t="inlineStr">
        <is>
          <t>No explicit mention of PPO or conversion to full-time in the provided job description snippet.</t>
        </is>
      </c>
      <c r="AK143" t="inlineStr">
        <is>
          <t>Stipend is completely unspecified.; Job description is cut off and lacks detailed requirements.</t>
        </is>
      </c>
      <c r="AL143" t="inlineStr">
        <is>
          <t>Blockchain and AI intersection; Smart contracts; System architecture for decentralized systems</t>
        </is>
      </c>
    </row>
    <row r="144">
      <c r="A144" t="inlineStr">
        <is>
          <t>TALOS-TRADIN-260910-98</t>
        </is>
      </c>
      <c r="B144" t="inlineStr">
        <is>
          <t>Talos Trading</t>
        </is>
      </c>
      <c r="C144" t="inlineStr">
        <is>
          <t>Software Engineer Intern, Dealer</t>
        </is>
      </c>
      <c r="D144" t="inlineStr">
        <is>
          <t>https://www.adzuna.in/details/5876940245?utm_medium=api&amp;utm_source=5ccdc27f</t>
        </is>
      </c>
      <c r="E144" t="inlineStr">
        <is>
          <t>AI Analyzer</t>
        </is>
      </c>
      <c r="F144" t="inlineStr">
        <is>
          <t>India</t>
        </is>
      </c>
      <c r="G144" t="inlineStr">
        <is>
          <t>Unknown</t>
        </is>
      </c>
      <c r="H144" t="inlineStr">
        <is>
          <t>Not specified</t>
        </is>
      </c>
      <c r="I144" t="inlineStr">
        <is>
          <t>Unknown</t>
        </is>
      </c>
      <c r="J144" t="inlineStr">
        <is>
          <t>Not mentioned</t>
        </is>
      </c>
      <c r="K144" t="inlineStr">
        <is>
          <t>Web3; Smart Contract; Blockchain Infrastructure</t>
        </is>
      </c>
      <c r="M144" t="inlineStr">
        <is>
          <t>About Talos Trading: Talos Trading is actively recruiting for the position of Software Engineer Intern, Dealer (Internships). Location &amp; Setup: New York Overview: Contribute directly to Talos Trading's Web3, smart contract, and blockchain infrastructure. Complete candidate qualifications and application instructions are available on Hashtag Web3. View full posting details and apply online on Hasht</t>
        </is>
      </c>
      <c r="N144" t="n">
        <v>20</v>
      </c>
      <c r="O144" t="n">
        <v>20</v>
      </c>
      <c r="P144" t="n">
        <v>30</v>
      </c>
      <c r="Q144" t="n">
        <v>30</v>
      </c>
      <c r="R144" t="n">
        <v>0</v>
      </c>
      <c r="S144" t="n">
        <v>0</v>
      </c>
      <c r="T144" t="n">
        <v>30</v>
      </c>
      <c r="U144" t="inlineStr">
        <is>
          <t>SKIP</t>
        </is>
      </c>
      <c r="V144" t="inlineStr">
        <is>
          <t>SKIP</t>
        </is>
      </c>
      <c r="W144" t="inlineStr">
        <is>
          <t>Web3; Smart Contract; Blockchain Infrastructure</t>
        </is>
      </c>
      <c r="X144" t="inlineStr">
        <is>
          <t>Amaanuddin_Ahmed_Default_Resume</t>
        </is>
      </c>
      <c r="Y144" t="inlineStr">
        <is>
          <t>2026-09-10</t>
        </is>
      </c>
      <c r="AA144" t="inlineStr">
        <is>
          <t>Unknown</t>
        </is>
      </c>
      <c r="AC144" t="inlineStr">
        <is>
          <t>Unknown</t>
        </is>
      </c>
      <c r="AD144" t="inlineStr">
        <is>
          <t>Not specified in the job description</t>
        </is>
      </c>
      <c r="AE144" t="inlineStr">
        <is>
          <t>UNKNOWN</t>
        </is>
      </c>
      <c r="AF144" t="n">
        <v>0</v>
      </c>
      <c r="AG144" t="inlineStr">
        <is>
          <t>No</t>
        </is>
      </c>
      <c r="AH144" t="inlineStr">
        <is>
          <t>Not mentioned</t>
        </is>
      </c>
      <c r="AI144" t="inlineStr">
        <is>
          <t>No mention of PPO or conversion in the job description.</t>
        </is>
      </c>
      <c r="AJ144" t="inlineStr">
        <is>
          <t>Requires specialized Web3, smart contract, and blockchain infrastructure experience which is not present in candidate profile.</t>
        </is>
      </c>
      <c r="AK144" t="inlineStr">
        <is>
          <t>Location discrepancy between job listing (India) and company overview (New York).</t>
        </is>
      </c>
      <c r="AL144" t="inlineStr">
        <is>
          <t>Blockchain fundamentals; Smart contract development; Web3 infrastructure</t>
        </is>
      </c>
    </row>
    <row r="145">
      <c r="A145" t="inlineStr">
        <is>
          <t>TALOS-TRADIN-260910-99</t>
        </is>
      </c>
      <c r="B145" t="inlineStr">
        <is>
          <t>Talos Trading</t>
        </is>
      </c>
      <c r="C145" t="inlineStr">
        <is>
          <t>Software Engineer Intern, RFQ</t>
        </is>
      </c>
      <c r="D145" t="inlineStr">
        <is>
          <t>https://www.adzuna.in/details/5876938609?utm_medium=api&amp;utm_source=5ccdc27f</t>
        </is>
      </c>
      <c r="E145" t="inlineStr">
        <is>
          <t>AI Analyzer</t>
        </is>
      </c>
      <c r="F145" t="inlineStr">
        <is>
          <t>India (New York mentioned in setup)</t>
        </is>
      </c>
      <c r="G145" t="inlineStr">
        <is>
          <t>UNKNOWN</t>
        </is>
      </c>
      <c r="I145" t="inlineStr">
        <is>
          <t>UNKNOWN</t>
        </is>
      </c>
      <c r="J145" t="inlineStr">
        <is>
          <t>NOT_MENTIONED</t>
        </is>
      </c>
      <c r="K145" t="inlineStr">
        <is>
          <t>Web3; smart contract; blockchain infrastructure</t>
        </is>
      </c>
      <c r="M145" t="inlineStr">
        <is>
          <t>About Talos Trading: Talos Trading is actively recruiting for the position of Software Engineer Intern, RFQ (Internships). Location &amp; Setup: New York Overview: Contribute directly to Talos Trading's Web3, smart contract, and blockchain infrastructure. Complete candidate qualifications and application instructions are available on Hashtag Web3. View full posting details and apply online on Hashtag</t>
        </is>
      </c>
      <c r="N145" t="n">
        <v>27</v>
      </c>
      <c r="O145" t="n">
        <v>20</v>
      </c>
      <c r="P145" t="n">
        <v>50</v>
      </c>
      <c r="Q145" t="n">
        <v>40</v>
      </c>
      <c r="R145" t="n">
        <v>0</v>
      </c>
      <c r="S145" t="n">
        <v>0</v>
      </c>
      <c r="T145" t="n">
        <v>40</v>
      </c>
      <c r="U145" t="inlineStr">
        <is>
          <t>SKIP</t>
        </is>
      </c>
      <c r="V145" t="inlineStr">
        <is>
          <t>SKIP</t>
        </is>
      </c>
      <c r="W145" t="inlineStr">
        <is>
          <t>Web3; smart contract; blockchain infrastructure</t>
        </is>
      </c>
      <c r="X145" t="inlineStr">
        <is>
          <t>Amaanuddin_Ahmed_Software_Engineering_Resume.pdf</t>
        </is>
      </c>
      <c r="Y145" t="inlineStr">
        <is>
          <t>2026-09-10</t>
        </is>
      </c>
      <c r="Z145" t="inlineStr">
        <is>
          <t>Software engineering internship opportunity</t>
        </is>
      </c>
      <c r="AA145" t="inlineStr">
        <is>
          <t>ELIGIBLE</t>
        </is>
      </c>
      <c r="AB145" t="inlineStr">
        <is>
          <t>No specific degree or graduation year blockers mentioned in the text.</t>
        </is>
      </c>
      <c r="AC145" t="inlineStr">
        <is>
          <t>UNKNOWN</t>
        </is>
      </c>
      <c r="AD145" t="inlineStr">
        <is>
          <t>Not specified in the job description.</t>
        </is>
      </c>
      <c r="AE145" t="inlineStr">
        <is>
          <t>UNKNOWN</t>
        </is>
      </c>
      <c r="AF145" t="n">
        <v>0</v>
      </c>
      <c r="AG145" t="inlineStr">
        <is>
          <t>No</t>
        </is>
      </c>
      <c r="AH145" t="inlineStr">
        <is>
          <t>NOT_MENTIONED</t>
        </is>
      </c>
      <c r="AI145" t="inlineStr">
        <is>
          <t>No mention of PPO or conversion in the job description.</t>
        </is>
      </c>
      <c r="AK145" t="inlineStr">
        <is>
          <t>Location discrepancy between India and New York; Missing stipend information</t>
        </is>
      </c>
      <c r="AL145" t="inlineStr">
        <is>
          <t>Web3 and Blockchain fundamentals; Smart Contract development; Distributed systems</t>
        </is>
      </c>
    </row>
    <row r="146">
      <c r="A146" t="inlineStr">
        <is>
          <t>NUTRITHY-WEL-260910-100</t>
        </is>
      </c>
      <c r="B146" t="inlineStr">
        <is>
          <t>Nutrithy Wellness</t>
        </is>
      </c>
      <c r="C146" t="inlineStr">
        <is>
          <t>Software Engineer Intern</t>
        </is>
      </c>
      <c r="D146" t="inlineStr">
        <is>
          <t>https://www.adzuna.in/land/ad/5876025620?se=dMU9A_Ss8RGxxJIBlTg-jQ&amp;utm_medium=api&amp;utm_source=5ccdc27f&amp;v=1D0F8F215F44296BA10AFF7D83E711A388FDA935</t>
        </is>
      </c>
      <c r="E146" t="inlineStr">
        <is>
          <t>AI Analyzer</t>
        </is>
      </c>
      <c r="F146" t="inlineStr">
        <is>
          <t>India</t>
        </is>
      </c>
      <c r="G146" t="inlineStr">
        <is>
          <t>Remote</t>
        </is>
      </c>
      <c r="H146" t="inlineStr">
        <is>
          <t>₹20,000- ₹30,000 /month</t>
        </is>
      </c>
      <c r="I146" t="inlineStr">
        <is>
          <t>Upto 3 Months</t>
        </is>
      </c>
      <c r="J146" t="inlineStr">
        <is>
          <t>YES</t>
        </is>
      </c>
      <c r="K146" t="inlineStr">
        <is>
          <t>JavaScript</t>
        </is>
      </c>
      <c r="L146" t="inlineStr">
        <is>
          <t>AI tools for development; API integration</t>
        </is>
      </c>
      <c r="M146" t="inlineStr">
        <is>
          <t>Internship Opportunity | Software Development Engineering | PPO opportunity Nutrithy Wellness is hiring Software Development Interns to join their team! Location: Remote. Duration: Upto 3 Months Stipend: ₹20,000- ₹30,000 /month What you'll be doing: Working on JavaScript-based software development, including understanding requirements, building features, improving existing code, and integrating AP</t>
        </is>
      </c>
      <c r="N146" t="n">
        <v>90</v>
      </c>
      <c r="O146" t="n">
        <v>25</v>
      </c>
      <c r="P146" t="n">
        <v>20</v>
      </c>
      <c r="Q146" t="n">
        <v>15</v>
      </c>
      <c r="R146" t="n">
        <v>15</v>
      </c>
      <c r="S146" t="n">
        <v>7</v>
      </c>
      <c r="T146" t="n">
        <v>8</v>
      </c>
      <c r="U146" t="inlineStr">
        <is>
          <t>APPLY ASAP</t>
        </is>
      </c>
      <c r="V146" t="inlineStr">
        <is>
          <t>APPLY ASAP</t>
        </is>
      </c>
      <c r="X146" t="inlineStr">
        <is>
          <t>Full Stack / MERN Resume</t>
        </is>
      </c>
      <c r="Y146" t="inlineStr">
        <is>
          <t>2026-09-10</t>
        </is>
      </c>
      <c r="Z146" t="inlineStr">
        <is>
          <t>Matches target Software Engineering and Full Stack roles.; Explicit PPO opportunity aligns with candidate high priority.; Remote work mode fits flexible preferences.; Stipend touches target range up to ₹30,000/month.; Leverages core JavaScript and API integration skills demonstrated in MERN projects.</t>
        </is>
      </c>
      <c r="AA146" t="inlineStr">
        <is>
          <t>ELIGIBLE</t>
        </is>
      </c>
      <c r="AB146" t="inlineStr">
        <is>
          <t>No explicit graduation year, degree, or strict experience blockers mentioned in the JD.</t>
        </is>
      </c>
      <c r="AC146" t="inlineStr">
        <is>
          <t>UNKNOWN</t>
        </is>
      </c>
      <c r="AD146" t="inlineStr">
        <is>
          <t>Candidate availability dates are not specified relative to the internship start.</t>
        </is>
      </c>
      <c r="AE146" t="inlineStr">
        <is>
          <t>DISCLOSED</t>
        </is>
      </c>
      <c r="AF146" t="n">
        <v>20000</v>
      </c>
      <c r="AG146" t="inlineStr">
        <is>
          <t>No</t>
        </is>
      </c>
      <c r="AH146" t="inlineStr">
        <is>
          <t>YES</t>
        </is>
      </c>
      <c r="AI146" t="inlineStr">
        <is>
          <t>PPO opportunity explicitly mentioned in the job description.</t>
        </is>
      </c>
      <c r="AL146" t="inlineStr">
        <is>
          <t>JavaScript core concepts; API integration and backend development; Practical usage of AI tools in software engineering workflows; Previous MERN projects like StaySphere or Zenvest</t>
        </is>
      </c>
      <c r="AM146" t="inlineStr">
        <is>
          <t>E:\InternshipHunter\applications\adzuna-e31ed382d941</t>
        </is>
      </c>
      <c r="AN146" t="inlineStr">
        <is>
          <t>Ready for Review</t>
        </is>
      </c>
      <c r="AO146" t="inlineStr">
        <is>
          <t>Generated</t>
        </is>
      </c>
      <c r="AP146" t="inlineStr">
        <is>
          <t>Generated</t>
        </is>
      </c>
      <c r="AQ146" t="inlineStr">
        <is>
          <t>Generated</t>
        </is>
      </c>
      <c r="AR146" t="inlineStr">
        <is>
          <t>Ready to Apply</t>
        </is>
      </c>
    </row>
    <row r="147">
      <c r="A147" t="inlineStr">
        <is>
          <t>MASOTECH-REC-260910-101</t>
        </is>
      </c>
      <c r="B147" t="inlineStr">
        <is>
          <t>MaSotech Recruitment</t>
        </is>
      </c>
      <c r="C147" t="inlineStr">
        <is>
          <t>Software Developer</t>
        </is>
      </c>
      <c r="D147" t="inlineStr">
        <is>
          <t>https://www.adzuna.in/land/ad/5876026911?se=dMU9A_Ss8RGxxJIBlTg-jQ&amp;utm_medium=api&amp;utm_source=5ccdc27f&amp;v=D05A831595C1D87A863951A32A8763278A1DC043</t>
        </is>
      </c>
      <c r="E147" t="inlineStr">
        <is>
          <t>AI Analyzer</t>
        </is>
      </c>
      <c r="F147" t="inlineStr">
        <is>
          <t>Dehradun, Uttarakhand</t>
        </is>
      </c>
      <c r="G147" t="inlineStr">
        <is>
          <t>UNKNOWN</t>
        </is>
      </c>
      <c r="H147" t="inlineStr">
        <is>
          <t>Unpaid</t>
        </is>
      </c>
      <c r="I147" t="inlineStr">
        <is>
          <t>6 months</t>
        </is>
      </c>
      <c r="J147" t="inlineStr">
        <is>
          <t>NOT_MENTIONED</t>
        </is>
      </c>
      <c r="K147" t="inlineStr">
        <is>
          <t>Basic programming knowledge; Problem-solving skills; SQL database</t>
        </is>
      </c>
      <c r="L147" t="inlineStr">
        <is>
          <t>Claude and AI coding tools</t>
        </is>
      </c>
      <c r="M147" t="inlineStr">
        <is>
          <t>Join our team to gain real-time software development experience. Interns will work together on software projects and use Claude and AI coding tools to develop, test, and improve applications. Requirements: Basic programming knowledge, problem-solving skills, teamwork, and willingness to learn. Note: This is a 6-month unpaid internship. Qualifications Bachelor's degree or equivalent experience in C</t>
        </is>
      </c>
      <c r="N147" t="n">
        <v>53</v>
      </c>
      <c r="O147" t="n">
        <v>70</v>
      </c>
      <c r="P147" t="n">
        <v>80</v>
      </c>
      <c r="Q147" t="n">
        <v>70</v>
      </c>
      <c r="R147" t="n">
        <v>0</v>
      </c>
      <c r="S147" t="n">
        <v>0</v>
      </c>
      <c r="T147" t="n">
        <v>40</v>
      </c>
      <c r="U147" t="inlineStr">
        <is>
          <t>SKIP</t>
        </is>
      </c>
      <c r="V147" t="inlineStr">
        <is>
          <t>SKIP</t>
        </is>
      </c>
      <c r="W147" t="inlineStr">
        <is>
          <t>Claude and AI coding tools</t>
        </is>
      </c>
      <c r="X147" t="inlineStr">
        <is>
          <t>Amaanuddin_Ahmed_Software_Engineer_Resume.pdf</t>
        </is>
      </c>
      <c r="Y147" t="inlineStr">
        <is>
          <t>2026-09-10</t>
        </is>
      </c>
      <c r="Z147" t="inlineStr">
        <is>
          <t>Provides real-time software development experience; Gain exposure to AI coding tools</t>
        </is>
      </c>
      <c r="AA147" t="inlineStr">
        <is>
          <t>ELIGIBLE</t>
        </is>
      </c>
      <c r="AB147" t="inlineStr">
        <is>
          <t>Candidate has a background in Computer Science or related field (MCA); Basic programming knowledge matches candidate's demonstrated skills</t>
        </is>
      </c>
      <c r="AC147" t="inlineStr">
        <is>
          <t>UNKNOWN</t>
        </is>
      </c>
      <c r="AD147" t="inlineStr">
        <is>
          <t>Not specified in candidate profile or job description</t>
        </is>
      </c>
      <c r="AE147" t="inlineStr">
        <is>
          <t>UNPAID</t>
        </is>
      </c>
      <c r="AF147" t="n">
        <v>0</v>
      </c>
      <c r="AG147" t="inlineStr">
        <is>
          <t>No</t>
        </is>
      </c>
      <c r="AH147" t="inlineStr">
        <is>
          <t>NOT_MENTIONED</t>
        </is>
      </c>
      <c r="AI147" t="inlineStr">
        <is>
          <t>No mention of PPO or conversion in the job description.</t>
        </is>
      </c>
      <c r="AK147" t="inlineStr">
        <is>
          <t>Unpaid internship; Stipend is below the minimum target of ₹25,000/month</t>
        </is>
      </c>
      <c r="AL147" t="inlineStr">
        <is>
          <t>Basic programming and problem-solving; SQL database management; Teamwork and collaboration experience</t>
        </is>
      </c>
    </row>
    <row r="148">
      <c r="A148" t="inlineStr">
        <is>
          <t>IMPROVA-260910-102</t>
        </is>
      </c>
      <c r="B148" t="inlineStr">
        <is>
          <t>Improva</t>
        </is>
      </c>
      <c r="C148" t="inlineStr">
        <is>
          <t>Software Engineer Intern</t>
        </is>
      </c>
      <c r="D148" t="inlineStr">
        <is>
          <t>https://www.adzuna.in/land/ad/5876025310?se=dMU9A_Ss8RGxxJIBlTg-jQ&amp;utm_medium=api&amp;utm_source=5ccdc27f&amp;v=9B6DB48BD4231C7D4F13C274F55227F8A81D57DB</t>
        </is>
      </c>
      <c r="E148" t="inlineStr">
        <is>
          <t>AI Analyzer</t>
        </is>
      </c>
      <c r="F148" t="inlineStr">
        <is>
          <t>Coimbatore, Tamil Nadu</t>
        </is>
      </c>
      <c r="G148" t="inlineStr">
        <is>
          <t>Remote</t>
        </is>
      </c>
      <c r="H148" t="inlineStr">
        <is>
          <t>₹5,000/month</t>
        </is>
      </c>
      <c r="I148" t="inlineStr">
        <is>
          <t>6 Months</t>
        </is>
      </c>
      <c r="J148" t="inlineStr">
        <is>
          <t>available</t>
        </is>
      </c>
      <c r="K148" t="inlineStr">
        <is>
          <t>Full Stack Development; Web Applications; IT Infrastructure</t>
        </is>
      </c>
      <c r="M148" t="inlineStr">
        <is>
          <t>Software Engineer Intern (Paid Internship) Location: Coimbatore (Remote) Stipend: ₹5,000/month Duration: 6 Months Full-Time Opportunity: Based on performance About the Role: Improva is looking for enthusiastic and motivated interns who are eager to start their careers in software development. This internship offers hands-on experience in Full Stack Development and IT Infrastructure while working o</t>
        </is>
      </c>
      <c r="N148" t="n">
        <v>68</v>
      </c>
      <c r="O148" t="n">
        <v>75</v>
      </c>
      <c r="P148" t="n">
        <v>80</v>
      </c>
      <c r="Q148" t="n">
        <v>80</v>
      </c>
      <c r="R148" t="n">
        <v>85</v>
      </c>
      <c r="S148" t="n">
        <v>20</v>
      </c>
      <c r="T148" t="n">
        <v>60</v>
      </c>
      <c r="U148" t="inlineStr">
        <is>
          <t>SKIP</t>
        </is>
      </c>
      <c r="V148" t="inlineStr">
        <is>
          <t>SKIP</t>
        </is>
      </c>
      <c r="W148" t="inlineStr">
        <is>
          <t>IT Infrastructure</t>
        </is>
      </c>
      <c r="X148" t="inlineStr">
        <is>
          <t>Amaan_Full_Stack_Resume.pdf</t>
        </is>
      </c>
      <c r="Y148" t="inlineStr">
        <is>
          <t>2026-09-10</t>
        </is>
      </c>
      <c r="Z148" t="inlineStr">
        <is>
          <t>Offers potential full-time conversion based on performance; Remote work mode aligns with flexibility</t>
        </is>
      </c>
      <c r="AA148" t="inlineStr">
        <is>
          <t>eligible</t>
        </is>
      </c>
      <c r="AB148" t="inlineStr">
        <is>
          <t>Candidate is an MCA student looking for internships; Matches general software engineering student profile</t>
        </is>
      </c>
      <c r="AC148" t="inlineStr">
        <is>
          <t>unknown</t>
        </is>
      </c>
      <c r="AD148" t="inlineStr">
        <is>
          <t>Availability not explicitly stated in career brain</t>
        </is>
      </c>
      <c r="AE148" t="inlineStr">
        <is>
          <t>below_target</t>
        </is>
      </c>
      <c r="AF148" t="n">
        <v>5000</v>
      </c>
      <c r="AG148" t="inlineStr">
        <is>
          <t>No</t>
        </is>
      </c>
      <c r="AH148" t="inlineStr">
        <is>
          <t>available</t>
        </is>
      </c>
      <c r="AI148" t="inlineStr">
        <is>
          <t>Full-Time Opportunity: Based on performance</t>
        </is>
      </c>
      <c r="AJ148" t="inlineStr">
        <is>
          <t>Stipend is ₹5,000/month which is significantly below the minimum target of ₹25,000/month</t>
        </is>
      </c>
      <c r="AK148" t="inlineStr">
        <is>
          <t>Extremely low stipend compared to candidate expectation</t>
        </is>
      </c>
      <c r="AL148" t="inlineStr">
        <is>
          <t>Full Stack Development projects (StaySphere/Zenvest); Web application architecture; Basic IT infrastructure and deployment</t>
        </is>
      </c>
    </row>
    <row r="149">
      <c r="A149" t="inlineStr">
        <is>
          <t>PALITRONICS--260910-103</t>
        </is>
      </c>
      <c r="B149" t="inlineStr">
        <is>
          <t>PALITRONICS TECH SERVICES PRIVATE LIMITED</t>
        </is>
      </c>
      <c r="C149" t="inlineStr">
        <is>
          <t>Software Development INTERN</t>
        </is>
      </c>
      <c r="D149" t="inlineStr">
        <is>
          <t>https://www.adzuna.in/details/2341052201?utm_medium=api&amp;utm_source=5ccdc27f</t>
        </is>
      </c>
      <c r="E149" t="inlineStr">
        <is>
          <t>AI Analyzer</t>
        </is>
      </c>
      <c r="F149" t="inlineStr">
        <is>
          <t>India</t>
        </is>
      </c>
      <c r="G149" t="inlineStr">
        <is>
          <t>UNKNOWN</t>
        </is>
      </c>
      <c r="H149" t="inlineStr">
        <is>
          <t>Not specified</t>
        </is>
      </c>
      <c r="I149" t="inlineStr">
        <is>
          <t>UNKNOWN</t>
        </is>
      </c>
      <c r="J149" t="inlineStr">
        <is>
          <t>NOT_MENTIONED</t>
        </is>
      </c>
      <c r="K149" t="inlineStr">
        <is>
          <t>Node.js</t>
        </is>
      </c>
      <c r="L149" t="inlineStr">
        <is>
          <t>Socket Programming; React.js; React Native; Software Development</t>
        </is>
      </c>
      <c r="M149" t="inlineStr">
        <is>
          <t>Needed a Software development intern with basic knowledge of node.js. Candidate will be trained on Node, React, Socket.IO Skills:- NodeJS (Node.js), Socket Programming, React.js, React Native and Software Development</t>
        </is>
      </c>
      <c r="N149" t="n">
        <v>65</v>
      </c>
      <c r="O149" t="n">
        <v>80</v>
      </c>
      <c r="P149" t="n">
        <v>90</v>
      </c>
      <c r="Q149" t="n">
        <v>80</v>
      </c>
      <c r="R149" t="n">
        <v>30</v>
      </c>
      <c r="S149" t="n">
        <v>20</v>
      </c>
      <c r="T149" t="n">
        <v>50</v>
      </c>
      <c r="U149" t="inlineStr">
        <is>
          <t>STRETCH</t>
        </is>
      </c>
      <c r="V149" t="inlineStr">
        <is>
          <t>STRETCH</t>
        </is>
      </c>
      <c r="W149" t="inlineStr">
        <is>
          <t>Socket Programming; React Native</t>
        </is>
      </c>
      <c r="X149" t="inlineStr">
        <is>
          <t>Amaanuddin_Ahmed_Full_Stack_Resume.pdf</t>
        </is>
      </c>
      <c r="Y149" t="inlineStr">
        <is>
          <t>2026-09-10</t>
        </is>
      </c>
      <c r="Z149" t="inlineStr">
        <is>
          <t>Matches technical requirements for Node.js and React.js; Good fit for an internship role</t>
        </is>
      </c>
      <c r="AA149" t="inlineStr">
        <is>
          <t>ELIGIBLE</t>
        </is>
      </c>
      <c r="AB149" t="inlineStr">
        <is>
          <t>Candidate has basic Node.js and React knowledge fitting intern criteria.</t>
        </is>
      </c>
      <c r="AC149" t="inlineStr">
        <is>
          <t>UNKNOWN</t>
        </is>
      </c>
      <c r="AD149" t="inlineStr">
        <is>
          <t>Not specified in the job description.</t>
        </is>
      </c>
      <c r="AE149" t="inlineStr">
        <is>
          <t>UNKNOWN</t>
        </is>
      </c>
      <c r="AF149" t="n">
        <v>0</v>
      </c>
      <c r="AG149" t="inlineStr">
        <is>
          <t>No</t>
        </is>
      </c>
      <c r="AH149" t="inlineStr">
        <is>
          <t>NOT_MENTIONED</t>
        </is>
      </c>
      <c r="AI149" t="inlineStr">
        <is>
          <t>No mention of PPO or conversion.</t>
        </is>
      </c>
      <c r="AK149" t="inlineStr">
        <is>
          <t>No stipend information provided; No PPO mention</t>
        </is>
      </c>
      <c r="AL149" t="inlineStr">
        <is>
          <t>Node.js fundamentals; React.js basics; Socket Programming concepts; Project walkthrough of StaySphere or Zenvest</t>
        </is>
      </c>
    </row>
    <row r="150">
      <c r="A150" t="inlineStr">
        <is>
          <t>EASTENCHER-S-260910-104</t>
        </is>
      </c>
      <c r="B150" t="inlineStr">
        <is>
          <t>Eastencher Software Pvt Ltd</t>
        </is>
      </c>
      <c r="C150" t="inlineStr">
        <is>
          <t>Software Developer Intern</t>
        </is>
      </c>
      <c r="D150" t="inlineStr">
        <is>
          <t>https://www.adzuna.in/details/5854847485?utm_medium=api&amp;utm_source=5ccdc27f</t>
        </is>
      </c>
      <c r="E150" t="inlineStr">
        <is>
          <t>AI Analyzer</t>
        </is>
      </c>
      <c r="F150" t="inlineStr">
        <is>
          <t>Bangalore, Karnataka</t>
        </is>
      </c>
      <c r="G150" t="inlineStr">
        <is>
          <t>On-site</t>
        </is>
      </c>
      <c r="H150" t="inlineStr">
        <is>
          <t>9,500 per month Including PF Benefits</t>
        </is>
      </c>
      <c r="I150" t="inlineStr">
        <is>
          <t>8 Months</t>
        </is>
      </c>
      <c r="J150" t="inlineStr">
        <is>
          <t>Not Mentioned</t>
        </is>
      </c>
      <c r="K150" t="inlineStr">
        <is>
          <t>Software Development</t>
        </is>
      </c>
      <c r="M150" t="inlineStr">
        <is>
          <t>Software Developer Intern Duration 8 Months Stipend 9 500 per month Including PF Benefits Location Bangalore Start Date Immediate Joiners Preferred About the Role We are looking for a passionate and enthusiastic Software Developer Intern to join our development team This internship is an excellent opportunity for candidates who are eager to gain handson experience in software development while wor</t>
        </is>
      </c>
      <c r="N150" t="n">
        <v>53</v>
      </c>
      <c r="O150" t="n">
        <v>70</v>
      </c>
      <c r="P150" t="n">
        <v>70</v>
      </c>
      <c r="Q150" t="n">
        <v>70</v>
      </c>
      <c r="R150" t="n">
        <v>0</v>
      </c>
      <c r="S150" t="n">
        <v>20</v>
      </c>
      <c r="T150" t="n">
        <v>50</v>
      </c>
      <c r="U150" t="inlineStr">
        <is>
          <t>SKIP</t>
        </is>
      </c>
      <c r="V150" t="inlineStr">
        <is>
          <t>SKIP</t>
        </is>
      </c>
      <c r="X150" t="inlineStr">
        <is>
          <t>Amaanuddin_Ahmed_Fullstack_Resume.pdf</t>
        </is>
      </c>
      <c r="Y150" t="inlineStr">
        <is>
          <t>2026-09-10</t>
        </is>
      </c>
      <c r="Z150" t="inlineStr">
        <is>
          <t>Provides hands-on experience in software development; Located in Bangalore</t>
        </is>
      </c>
      <c r="AA150" t="inlineStr">
        <is>
          <t>Eligible</t>
        </is>
      </c>
      <c r="AB150" t="inlineStr">
        <is>
          <t>Location matches preferred region; MCA student profile aligns with internship</t>
        </is>
      </c>
      <c r="AC150" t="inlineStr">
        <is>
          <t>Unknown</t>
        </is>
      </c>
      <c r="AD150" t="inlineStr">
        <is>
          <t>Not specified in candidate profile whether immediate joining is possible</t>
        </is>
      </c>
      <c r="AE150" t="inlineStr">
        <is>
          <t>Below Target</t>
        </is>
      </c>
      <c r="AF150" t="n">
        <v>9500</v>
      </c>
      <c r="AG150" t="inlineStr">
        <is>
          <t>No</t>
        </is>
      </c>
      <c r="AH150" t="inlineStr">
        <is>
          <t>Not Mentioned</t>
        </is>
      </c>
      <c r="AI150" t="inlineStr">
        <is>
          <t>No mention of PPO or conversion in the job description</t>
        </is>
      </c>
      <c r="AJ150" t="inlineStr">
        <is>
          <t>Stipend of INR 9,500 per month is significantly below the minimum target of INR 25,000 per month</t>
        </is>
      </c>
      <c r="AK150" t="inlineStr">
        <is>
          <t>Low stipend relative to market rate and candidate target</t>
        </is>
      </c>
      <c r="AL150" t="inlineStr">
        <is>
          <t>General Software Development Concepts; Past Projects and Practical Experience; Problem Solving and Basic Coding</t>
        </is>
      </c>
    </row>
    <row r="151">
      <c r="A151" t="inlineStr">
        <is>
          <t>CLARION-TECH-260910-105</t>
        </is>
      </c>
      <c r="B151" t="inlineStr">
        <is>
          <t>Clarion Technologies</t>
        </is>
      </c>
      <c r="C151" t="inlineStr">
        <is>
          <t>Software Developer Intern</t>
        </is>
      </c>
      <c r="D151" t="inlineStr">
        <is>
          <t>https://www.adzuna.in/details/5794908334?utm_medium=api&amp;utm_source=5ccdc27f</t>
        </is>
      </c>
      <c r="E151" t="inlineStr">
        <is>
          <t>AI Analyzer</t>
        </is>
      </c>
      <c r="F151" t="inlineStr">
        <is>
          <t>Pune, Maharashtra</t>
        </is>
      </c>
      <c r="G151" t="inlineStr">
        <is>
          <t>UNKNOWN</t>
        </is>
      </c>
      <c r="H151" t="inlineStr">
        <is>
          <t>UNKNOWN</t>
        </is>
      </c>
      <c r="I151" t="inlineStr">
        <is>
          <t>UNKNOWN</t>
        </is>
      </c>
      <c r="J151" t="inlineStr">
        <is>
          <t>POSSIBLE</t>
        </is>
      </c>
      <c r="M151" t="inlineStr">
        <is>
          <t>As a Software Developer Intern at Clarion Technologies based in Punes Hadapsar IT hub you will have the opportunity to kickstart your career in the tech industry You will be exposed to modern stacks participate in code reviews and contribute to agile delivery processes Additionally there will be a clear path for you to grow within the organization This internship is specifically tailored for stude</t>
        </is>
      </c>
      <c r="N151" t="n">
        <v>58</v>
      </c>
      <c r="O151" t="n">
        <v>60</v>
      </c>
      <c r="P151" t="n">
        <v>70</v>
      </c>
      <c r="Q151" t="n">
        <v>70</v>
      </c>
      <c r="R151" t="n">
        <v>60</v>
      </c>
      <c r="S151" t="n">
        <v>0</v>
      </c>
      <c r="T151" t="n">
        <v>60</v>
      </c>
      <c r="U151" t="inlineStr">
        <is>
          <t>SKIP</t>
        </is>
      </c>
      <c r="V151" t="inlineStr">
        <is>
          <t>SKIP</t>
        </is>
      </c>
      <c r="X151" t="inlineStr">
        <is>
          <t>Default Full Stack / Software Engineering Resume</t>
        </is>
      </c>
      <c r="Y151" t="inlineStr">
        <is>
          <t>2026-09-10</t>
        </is>
      </c>
      <c r="Z151" t="inlineStr">
        <is>
          <t>Good opportunity for students and recent graduates in Pune; Mentions a clear path for growth</t>
        </is>
      </c>
      <c r="AA151" t="inlineStr">
        <is>
          <t>ELIGIBLE</t>
        </is>
      </c>
      <c r="AB151" t="inlineStr">
        <is>
          <t>Targeted at students and recent graduates</t>
        </is>
      </c>
      <c r="AC151" t="inlineStr">
        <is>
          <t>UNKNOWN</t>
        </is>
      </c>
      <c r="AD151" t="inlineStr">
        <is>
          <t>Availability not specified in the job description</t>
        </is>
      </c>
      <c r="AE151" t="inlineStr">
        <is>
          <t>UNKNOWN</t>
        </is>
      </c>
      <c r="AF151" t="n">
        <v>0</v>
      </c>
      <c r="AG151" t="inlineStr">
        <is>
          <t>No</t>
        </is>
      </c>
      <c r="AH151" t="inlineStr">
        <is>
          <t>POSSIBLE</t>
        </is>
      </c>
      <c r="AI151" t="inlineStr">
        <is>
          <t>Clear path for you to grow within the organization</t>
        </is>
      </c>
      <c r="AK151" t="inlineStr">
        <is>
          <t>Stipend details not disclosed; Specific tech stack requirements not mentioned in the excerpt</t>
        </is>
      </c>
      <c r="AL151" t="inlineStr">
        <is>
          <t>Basic programming concepts; Agile delivery processes; Problem-solving and adaptability</t>
        </is>
      </c>
    </row>
    <row r="152">
      <c r="A152" t="inlineStr">
        <is>
          <t>SAFFRONBIZZ--260910-106</t>
        </is>
      </c>
      <c r="B152" t="inlineStr">
        <is>
          <t>Saffronbizz Solutions</t>
        </is>
      </c>
      <c r="C152" t="inlineStr">
        <is>
          <t>Software Developer Intern</t>
        </is>
      </c>
      <c r="D152" t="inlineStr">
        <is>
          <t>https://www.adzuna.in/details/5869822114?utm_medium=api&amp;utm_source=5ccdc27f</t>
        </is>
      </c>
      <c r="E152" t="inlineStr">
        <is>
          <t>AI Analyzer</t>
        </is>
      </c>
      <c r="F152" t="inlineStr">
        <is>
          <t>Bangalore, Karnataka</t>
        </is>
      </c>
      <c r="G152" t="inlineStr">
        <is>
          <t>Unknown</t>
        </is>
      </c>
      <c r="H152" t="inlineStr">
        <is>
          <t>Not specified</t>
        </is>
      </c>
      <c r="I152" t="inlineStr">
        <is>
          <t>Unknown</t>
        </is>
      </c>
      <c r="J152" t="inlineStr">
        <is>
          <t>Not Mentioned</t>
        </is>
      </c>
      <c r="K152" t="inlineStr">
        <is>
          <t>Software Development; Problem Solving; Debugging</t>
        </is>
      </c>
      <c r="L152" t="inlineStr">
        <is>
          <t>Agile</t>
        </is>
      </c>
      <c r="M152" t="inlineStr">
        <is>
          <t>Job description As a Software Developer Intern, you will: Work alongside our experienced software developers on one of our small, energetic development teams. Learn the process of software development using modern languages like Agile to help full-time work in designing, coding, testing, documenting, and supporting our software products. You may enjoy this if: You have a passion for creating softw</t>
        </is>
      </c>
      <c r="N152" t="n">
        <v>62</v>
      </c>
      <c r="O152" t="n">
        <v>24</v>
      </c>
      <c r="P152" t="n">
        <v>16</v>
      </c>
      <c r="Q152" t="n">
        <v>12</v>
      </c>
      <c r="R152" t="n">
        <v>5</v>
      </c>
      <c r="S152" t="n">
        <v>0</v>
      </c>
      <c r="T152" t="n">
        <v>5</v>
      </c>
      <c r="U152" t="inlineStr">
        <is>
          <t>STRETCH</t>
        </is>
      </c>
      <c r="V152" t="inlineStr">
        <is>
          <t>STRETCH</t>
        </is>
      </c>
      <c r="X152" t="inlineStr">
        <is>
          <t>Default Full Stack / Software Engineering Resume</t>
        </is>
      </c>
      <c r="Y152" t="inlineStr">
        <is>
          <t>2026-09-10</t>
        </is>
      </c>
      <c r="Z152" t="inlineStr">
        <is>
          <t>Matches target role of Software Engineering / Developer Intern; Located in Bangalore; No rigid experience blockers</t>
        </is>
      </c>
      <c r="AA152" t="inlineStr">
        <is>
          <t>Eligible</t>
        </is>
      </c>
      <c r="AB152" t="inlineStr">
        <is>
          <t>No explicit degree, graduation year, or hard blockers found in the job description.</t>
        </is>
      </c>
      <c r="AC152" t="inlineStr">
        <is>
          <t>Unknown</t>
        </is>
      </c>
      <c r="AD152" t="inlineStr">
        <is>
          <t>Candidate availability is not specified in the career brain.</t>
        </is>
      </c>
      <c r="AE152" t="inlineStr">
        <is>
          <t>UNKNOWN</t>
        </is>
      </c>
      <c r="AF152" t="n">
        <v>0</v>
      </c>
      <c r="AG152" t="inlineStr">
        <is>
          <t>No</t>
        </is>
      </c>
      <c r="AH152" t="inlineStr">
        <is>
          <t>Not Mentioned</t>
        </is>
      </c>
      <c r="AI152" t="inlineStr">
        <is>
          <t>No mention of conversion to full-time or PPO in the provided job description.</t>
        </is>
      </c>
      <c r="AK152" t="inlineStr">
        <is>
          <t>Stipend is not disclosed; PPO is not mentioned</t>
        </is>
      </c>
      <c r="AL152" t="inlineStr">
        <is>
          <t>Problem-solving and debugging exercises; Understanding of software development life cycle (SDLC); Agile methodology experience</t>
        </is>
      </c>
    </row>
    <row r="153">
      <c r="A153" t="inlineStr">
        <is>
          <t>TRIDIAGONAL--260910-107</t>
        </is>
      </c>
      <c r="B153" t="inlineStr">
        <is>
          <t>Tridiagonal Solutions</t>
        </is>
      </c>
      <c r="C153" t="inlineStr">
        <is>
          <t>Software Development Intern</t>
        </is>
      </c>
      <c r="D153" t="inlineStr">
        <is>
          <t>https://www.adzuna.in/details/5854847471?utm_medium=api&amp;utm_source=5ccdc27f</t>
        </is>
      </c>
      <c r="E153" t="inlineStr">
        <is>
          <t>AI Analyzer</t>
        </is>
      </c>
      <c r="F153" t="inlineStr">
        <is>
          <t>Pune, India</t>
        </is>
      </c>
      <c r="G153" t="inlineStr">
        <is>
          <t>Unknown</t>
        </is>
      </c>
      <c r="H153" t="inlineStr">
        <is>
          <t>Not specified</t>
        </is>
      </c>
      <c r="I153" t="inlineStr">
        <is>
          <t>Unknown</t>
        </is>
      </c>
      <c r="J153" t="inlineStr">
        <is>
          <t>Not Mentioned</t>
        </is>
      </c>
      <c r="K153" t="inlineStr">
        <is>
          <t>Web Development</t>
        </is>
      </c>
      <c r="M153" t="inlineStr">
        <is>
          <t>We are looking for a motivated and enthusiastic Software Development Intern to join our development team This internship provides an excellent opportunity to gain handson experience in web development work on realworld projects and learn modern software development practices Department Software Development Location Pune India Experience Education Key ResponsibilitiesCollaborate with team members t</t>
        </is>
      </c>
      <c r="N153" t="n">
        <v>57</v>
      </c>
      <c r="O153" t="n">
        <v>24</v>
      </c>
      <c r="P153" t="n">
        <v>16</v>
      </c>
      <c r="Q153" t="n">
        <v>12</v>
      </c>
      <c r="R153" t="n">
        <v>0</v>
      </c>
      <c r="S153" t="n">
        <v>0</v>
      </c>
      <c r="T153" t="n">
        <v>5</v>
      </c>
      <c r="U153" t="inlineStr">
        <is>
          <t>SKIP</t>
        </is>
      </c>
      <c r="V153" t="inlineStr">
        <is>
          <t>SKIP</t>
        </is>
      </c>
      <c r="X153" t="inlineStr">
        <is>
          <t>Full Stack Development Resume</t>
        </is>
      </c>
      <c r="Y153" t="inlineStr">
        <is>
          <t>2026-09-10</t>
        </is>
      </c>
      <c r="Z153" t="inlineStr">
        <is>
          <t>Aligns well with Software Engineering and Full Stack target roles.; Good opportunity to gain hands-on web development experience.</t>
        </is>
      </c>
      <c r="AA153" t="inlineStr">
        <is>
          <t>Eligible</t>
        </is>
      </c>
      <c r="AC153" t="inlineStr">
        <is>
          <t>Unknown</t>
        </is>
      </c>
      <c r="AD153" t="inlineStr">
        <is>
          <t>Availability not specified in the candidate profile.</t>
        </is>
      </c>
      <c r="AE153" t="inlineStr">
        <is>
          <t>UNKNOWN</t>
        </is>
      </c>
      <c r="AF153" t="n">
        <v>0</v>
      </c>
      <c r="AG153" t="inlineStr">
        <is>
          <t>No</t>
        </is>
      </c>
      <c r="AH153" t="inlineStr">
        <is>
          <t>Not Mentioned</t>
        </is>
      </c>
      <c r="AI153" t="inlineStr">
        <is>
          <t>No mention of PPO or conversion to full-time role in the job description.</t>
        </is>
      </c>
      <c r="AK153" t="inlineStr">
        <is>
          <t>Location discrepancy between metadata (Mumbai, Maharashtra) and job description (Pune, India).</t>
        </is>
      </c>
      <c r="AL153" t="inlineStr">
        <is>
          <t>Web development fundamentals; Debugging and troubleshooting experience; Collaboration and teamwork in software projects</t>
        </is>
      </c>
    </row>
    <row r="154">
      <c r="A154" t="inlineStr">
        <is>
          <t>PODTECH-260910-108</t>
        </is>
      </c>
      <c r="B154" t="inlineStr">
        <is>
          <t>PODTECH</t>
        </is>
      </c>
      <c r="C154" t="inlineStr">
        <is>
          <t>Software Developer - Intern</t>
        </is>
      </c>
      <c r="D154" t="inlineStr">
        <is>
          <t>https://www.adzuna.in/details/4309750168?utm_medium=api&amp;utm_source=5ccdc27f</t>
        </is>
      </c>
      <c r="E154" t="inlineStr">
        <is>
          <t>AI Analyzer</t>
        </is>
      </c>
      <c r="F154" t="inlineStr">
        <is>
          <t>CyberCity, Gurugram</t>
        </is>
      </c>
      <c r="G154" t="inlineStr">
        <is>
          <t>Office-Based</t>
        </is>
      </c>
      <c r="H154" t="inlineStr">
        <is>
          <t>Not specified</t>
        </is>
      </c>
      <c r="I154" t="inlineStr">
        <is>
          <t>Unknown</t>
        </is>
      </c>
      <c r="J154" t="inlineStr">
        <is>
          <t>Not Mentioned</t>
        </is>
      </c>
      <c r="K154" t="inlineStr">
        <is>
          <t>Computer Science fundamentals</t>
        </is>
      </c>
      <c r="M154" t="inlineStr">
        <is>
          <t>Location: CyberCity, Gurugram Position Type: Full-time, Office-Based Shortlisted candidates will undergo 3 rounds of interview, x2 technical rounds and x1 final management interview. The final two of these interviews will be face-to-face interviews at our Gurugram office. Please do not apply if you cannot attend. PodTech is seeking a proactive Software Developer Intern to join our dynamic team in</t>
        </is>
      </c>
      <c r="N154" t="n">
        <v>45</v>
      </c>
      <c r="O154" t="n">
        <v>60</v>
      </c>
      <c r="P154" t="n">
        <v>70</v>
      </c>
      <c r="Q154" t="n">
        <v>70</v>
      </c>
      <c r="R154" t="n">
        <v>0</v>
      </c>
      <c r="S154" t="n">
        <v>0</v>
      </c>
      <c r="T154" t="n">
        <v>50</v>
      </c>
      <c r="U154" t="inlineStr">
        <is>
          <t>SKIP</t>
        </is>
      </c>
      <c r="V154" t="inlineStr">
        <is>
          <t>SKIP</t>
        </is>
      </c>
      <c r="X154" t="inlineStr">
        <is>
          <t>Amaanuddin_Ahmed_Resume_General.pdf</t>
        </is>
      </c>
      <c r="Y154" t="inlineStr">
        <is>
          <t>2026-09-10</t>
        </is>
      </c>
      <c r="Z154" t="inlineStr">
        <is>
          <t>Matches general software engineering intern profile.</t>
        </is>
      </c>
      <c r="AA154" t="inlineStr">
        <is>
          <t>Eligible</t>
        </is>
      </c>
      <c r="AB154" t="inlineStr">
        <is>
          <t>Candidate is pursuing an MCA degree which aligns with pursuing a degree in Computer Science or related fields.; Can attend face-to-face interviews in Gurugram if required.</t>
        </is>
      </c>
      <c r="AC154" t="inlineStr">
        <is>
          <t>Unknown</t>
        </is>
      </c>
      <c r="AD154" t="inlineStr">
        <is>
          <t>Exact availability timeline is not specified in the candidate profile.</t>
        </is>
      </c>
      <c r="AE154" t="inlineStr">
        <is>
          <t>UNKNOWN</t>
        </is>
      </c>
      <c r="AF154" t="n">
        <v>0</v>
      </c>
      <c r="AG154" t="inlineStr">
        <is>
          <t>No</t>
        </is>
      </c>
      <c r="AH154" t="inlineStr">
        <is>
          <t>Not Mentioned</t>
        </is>
      </c>
      <c r="AI154" t="inlineStr">
        <is>
          <t>No explicit mention of PPO or conversion to full-time in the job description snippet.</t>
        </is>
      </c>
      <c r="AK154" t="inlineStr">
        <is>
          <t>Stipend is not disclosed.</t>
        </is>
      </c>
      <c r="AL154" t="inlineStr">
        <is>
          <t>Core Computer Science fundamentals; Problem solving and coding; General software development concepts</t>
        </is>
      </c>
    </row>
    <row r="155">
      <c r="A155" t="inlineStr">
        <is>
          <t>LENSKART-260910-109</t>
        </is>
      </c>
      <c r="B155" t="inlineStr">
        <is>
          <t>Lenskart</t>
        </is>
      </c>
      <c r="C155" t="inlineStr">
        <is>
          <t>Software Development Intern</t>
        </is>
      </c>
      <c r="D155" t="inlineStr">
        <is>
          <t>https://www.adzuna.in/details/5845820634?utm_medium=api&amp;utm_source=5ccdc27f</t>
        </is>
      </c>
      <c r="E155" t="inlineStr">
        <is>
          <t>AI Analyzer</t>
        </is>
      </c>
      <c r="F155" t="inlineStr">
        <is>
          <t>Krishnagiri, Tamil Nadu</t>
        </is>
      </c>
      <c r="G155" t="inlineStr">
        <is>
          <t>On-site</t>
        </is>
      </c>
      <c r="H155" t="inlineStr">
        <is>
          <t>UNKNOWN</t>
        </is>
      </c>
      <c r="I155" t="inlineStr">
        <is>
          <t>UNKNOWN</t>
        </is>
      </c>
      <c r="J155" t="inlineStr">
        <is>
          <t>UNKNOWN</t>
        </is>
      </c>
      <c r="K155" t="inlineStr">
        <is>
          <t>Software Engineering; Coding; Testing; Product Feature Development</t>
        </is>
      </c>
      <c r="M155" t="inlineStr">
        <is>
          <t>Start your career in software engineering with Lenskart as a Software Development Intern in Hosur You will sit with a working team use the same tools and systems they do and own a defined piece of work from day one About the role As a Software Development Intern at Lenskart your core focus will be building testing and shipping product features with the engineering team You are attached to a named</t>
        </is>
      </c>
      <c r="N155" t="n">
        <v>61</v>
      </c>
      <c r="O155" t="n">
        <v>22</v>
      </c>
      <c r="P155" t="n">
        <v>15</v>
      </c>
      <c r="Q155" t="n">
        <v>12</v>
      </c>
      <c r="R155" t="n">
        <v>5</v>
      </c>
      <c r="S155" t="n">
        <v>0</v>
      </c>
      <c r="T155" t="n">
        <v>7</v>
      </c>
      <c r="U155" t="inlineStr">
        <is>
          <t>STRETCH</t>
        </is>
      </c>
      <c r="V155" t="inlineStr">
        <is>
          <t>STRETCH</t>
        </is>
      </c>
      <c r="X155" t="inlineStr">
        <is>
          <t>Standard Software Engineering Resume</t>
        </is>
      </c>
      <c r="Y155" t="inlineStr">
        <is>
          <t>2026-09-10</t>
        </is>
      </c>
      <c r="Z155" t="inlineStr">
        <is>
          <t>Good opportunity to work with a reputed product company like Lenskart.; Involves hands-on feature building and mentorship.</t>
        </is>
      </c>
      <c r="AA155" t="inlineStr">
        <is>
          <t>ELIGIBLE</t>
        </is>
      </c>
      <c r="AB155" t="inlineStr">
        <is>
          <t>No strict degree or graduation year blockers mentioned in the description.</t>
        </is>
      </c>
      <c r="AC155" t="inlineStr">
        <is>
          <t>UNKNOWN</t>
        </is>
      </c>
      <c r="AD155" t="inlineStr">
        <is>
          <t>Not specified in the job description.</t>
        </is>
      </c>
      <c r="AE155" t="inlineStr">
        <is>
          <t>UNKNOWN</t>
        </is>
      </c>
      <c r="AF155" t="n">
        <v>0</v>
      </c>
      <c r="AG155" t="inlineStr">
        <is>
          <t>No</t>
        </is>
      </c>
      <c r="AH155" t="inlineStr">
        <is>
          <t>UNKNOWN</t>
        </is>
      </c>
      <c r="AI155" t="inlineStr">
        <is>
          <t>No mention of PPO or conversion in the job description.</t>
        </is>
      </c>
      <c r="AK155" t="inlineStr">
        <is>
          <t>Location is Krishnagiri/Hosur, Tamil Nadu which may require relocation or long commute.</t>
        </is>
      </c>
      <c r="AL155" t="inlineStr">
        <is>
          <t>Core programming concepts; Data Structures and Algorithms; Past projects and hands-on development experience; Problem-solving and teamwork</t>
        </is>
      </c>
    </row>
    <row r="156">
      <c r="A156" t="inlineStr">
        <is>
          <t>LAKSHAGATH-E-260910-110</t>
        </is>
      </c>
      <c r="B156" t="inlineStr">
        <is>
          <t>Lakshagath Enterprises</t>
        </is>
      </c>
      <c r="C156" t="inlineStr">
        <is>
          <t>Software Developer Intern</t>
        </is>
      </c>
      <c r="D156" t="inlineStr">
        <is>
          <t>https://www.adzuna.in/details/5854847469?utm_medium=api&amp;utm_source=5ccdc27f</t>
        </is>
      </c>
      <c r="E156" t="inlineStr">
        <is>
          <t>AI Analyzer</t>
        </is>
      </c>
      <c r="F156" t="inlineStr">
        <is>
          <t>Kanchipuram, Tamil Nadu</t>
        </is>
      </c>
      <c r="G156" t="inlineStr">
        <is>
          <t>Unknown</t>
        </is>
      </c>
      <c r="H156" t="inlineStr">
        <is>
          <t>Not specified</t>
        </is>
      </c>
      <c r="I156" t="inlineStr">
        <is>
          <t>Unknown</t>
        </is>
      </c>
      <c r="J156" t="inlineStr">
        <is>
          <t>UNKNOWN</t>
        </is>
      </c>
      <c r="K156" t="inlineStr">
        <is>
          <t>Software Engineering Fundamentals; Problem Solving</t>
        </is>
      </c>
      <c r="L156" t="inlineStr">
        <is>
          <t>Web Development; Mobile Development; Desktop Development; AI; Automation; Cloud; Media Platforms</t>
        </is>
      </c>
      <c r="M156" t="inlineStr">
        <is>
          <t>Software Engineer Intern AIAssisted Product Development We are looking for Software Engineers Freshers Interns who enjoy building products solving realworld problems and continuously learning new technologies At Lakshagath Enterprises we build multiple software products across web mobile desktop AI automation cloud and media platforms We believe strong engineering fundamentals are more important t</t>
        </is>
      </c>
      <c r="N156" t="n">
        <v>72</v>
      </c>
      <c r="O156" t="n">
        <v>80</v>
      </c>
      <c r="P156" t="n">
        <v>90</v>
      </c>
      <c r="Q156" t="n">
        <v>85</v>
      </c>
      <c r="R156" t="n">
        <v>50</v>
      </c>
      <c r="S156" t="n">
        <v>40</v>
      </c>
      <c r="T156" t="n">
        <v>60</v>
      </c>
      <c r="U156" t="inlineStr">
        <is>
          <t>CONSIDER</t>
        </is>
      </c>
      <c r="V156" t="inlineStr">
        <is>
          <t>CONSIDER</t>
        </is>
      </c>
      <c r="X156" t="inlineStr">
        <is>
          <t>Default Full Stack / Software Engineering Resume</t>
        </is>
      </c>
      <c r="Y156" t="inlineStr">
        <is>
          <t>2026-09-10</t>
        </is>
      </c>
      <c r="Z156" t="inlineStr">
        <is>
          <t>Open to freshers and interns matching the MCA profile; Broad tech exposure aligns with full-stack and software engineering background</t>
        </is>
      </c>
      <c r="AA156" t="inlineStr">
        <is>
          <t>ELIGIBLE</t>
        </is>
      </c>
      <c r="AB156" t="inlineStr">
        <is>
          <t>Open to freshers and interns; Matches profile as an MCA student</t>
        </is>
      </c>
      <c r="AC156" t="inlineStr">
        <is>
          <t>UNKNOWN</t>
        </is>
      </c>
      <c r="AD156" t="inlineStr">
        <is>
          <t>Candidate availability details not provided in the career brain.</t>
        </is>
      </c>
      <c r="AE156" t="inlineStr">
        <is>
          <t>UNKNOWN</t>
        </is>
      </c>
      <c r="AF156" t="n">
        <v>0</v>
      </c>
      <c r="AG156" t="inlineStr">
        <is>
          <t>No</t>
        </is>
      </c>
      <c r="AH156" t="inlineStr">
        <is>
          <t>UNKNOWN</t>
        </is>
      </c>
      <c r="AI156" t="inlineStr">
        <is>
          <t>No mention of PPO or conversion in the job description.</t>
        </is>
      </c>
      <c r="AK156" t="inlineStr">
        <is>
          <t>Stipend is not specified; Location is remote or requires relocation to Kanchipuram, Tamil Nadu</t>
        </is>
      </c>
      <c r="AL156" t="inlineStr">
        <is>
          <t>Engineering Fundamentals; Problem Solving Approach; Past Projects (StaySphere, Zenvest); Adaptability to New Technologies</t>
        </is>
      </c>
    </row>
    <row r="157">
      <c r="A157" t="inlineStr">
        <is>
          <t>SYNQCLOUD,-I-260910-111</t>
        </is>
      </c>
      <c r="B157" t="inlineStr">
        <is>
          <t>SynqCloud, Inc</t>
        </is>
      </c>
      <c r="C157" t="inlineStr">
        <is>
          <t>Software Developer Intern</t>
        </is>
      </c>
      <c r="D157" t="inlineStr">
        <is>
          <t>https://www.adzuna.in/details/1155089572?utm_medium=api&amp;utm_source=5ccdc27f</t>
        </is>
      </c>
      <c r="E157" t="inlineStr">
        <is>
          <t>AI Analyzer</t>
        </is>
      </c>
      <c r="F157" t="inlineStr">
        <is>
          <t>Chennai, Tamil Nadu</t>
        </is>
      </c>
      <c r="G157" t="inlineStr">
        <is>
          <t>On-site</t>
        </is>
      </c>
      <c r="H157" t="inlineStr">
        <is>
          <t>Not specified</t>
        </is>
      </c>
      <c r="I157" t="inlineStr">
        <is>
          <t>UNKNOWN</t>
        </is>
      </c>
      <c r="J157" t="inlineStr">
        <is>
          <t>NOT_MENTIONED</t>
        </is>
      </c>
      <c r="K157" t="inlineStr">
        <is>
          <t>Object Oriented Programming (OOPs); Programming; Software Development</t>
        </is>
      </c>
      <c r="M157" t="inlineStr">
        <is>
          <t>We are hiring Intern for massmailer.io which is a Salesforce appexchange app company. Location: Chennai Skills: Object Oriented Programming (OOPs), Programming and Software Development</t>
        </is>
      </c>
      <c r="N157" t="n">
        <v>45</v>
      </c>
      <c r="O157" t="n">
        <v>50</v>
      </c>
      <c r="P157" t="n">
        <v>60</v>
      </c>
      <c r="Q157" t="n">
        <v>70</v>
      </c>
      <c r="R157" t="n">
        <v>0</v>
      </c>
      <c r="S157" t="n">
        <v>0</v>
      </c>
      <c r="T157" t="n">
        <v>40</v>
      </c>
      <c r="U157" t="inlineStr">
        <is>
          <t>SKIP</t>
        </is>
      </c>
      <c r="V157" t="inlineStr">
        <is>
          <t>SKIP</t>
        </is>
      </c>
      <c r="X157" t="inlineStr">
        <is>
          <t>Amaanuddin_Ahmed_Software_Engineering_Resume.pdf</t>
        </is>
      </c>
      <c r="Y157" t="inlineStr">
        <is>
          <t>2026-09-10</t>
        </is>
      </c>
      <c r="Z157" t="inlineStr">
        <is>
          <t>Matches general software developer intern profile.</t>
        </is>
      </c>
      <c r="AA157" t="inlineStr">
        <is>
          <t>ELIGIBLE</t>
        </is>
      </c>
      <c r="AB157" t="inlineStr">
        <is>
          <t>Candidate has general programming and software development background fitting software developer intern role.</t>
        </is>
      </c>
      <c r="AC157" t="inlineStr">
        <is>
          <t>UNKNOWN</t>
        </is>
      </c>
      <c r="AD157" t="inlineStr">
        <is>
          <t>Not mentioned in career brain or job description</t>
        </is>
      </c>
      <c r="AE157" t="inlineStr">
        <is>
          <t>UNKNOWN</t>
        </is>
      </c>
      <c r="AF157" t="n">
        <v>0</v>
      </c>
      <c r="AG157" t="inlineStr">
        <is>
          <t>No</t>
        </is>
      </c>
      <c r="AH157" t="inlineStr">
        <is>
          <t>NOT_MENTIONED</t>
        </is>
      </c>
      <c r="AI157" t="inlineStr">
        <is>
          <t>No mention of PPO or conversion in the job description.</t>
        </is>
      </c>
      <c r="AK157" t="inlineStr">
        <is>
          <t>Stipend is completely unspecified; No PPO details mentioned; Relocation or on-site requirement in Chennai might conflict with preferences</t>
        </is>
      </c>
      <c r="AL157" t="inlineStr">
        <is>
          <t>Object-Oriented Programming principles; Basic software development lifecycle; Problem solving and coding fundamentals</t>
        </is>
      </c>
    </row>
    <row r="158">
      <c r="A158" t="inlineStr">
        <is>
          <t>ALLSOFT-CONS-260910-112</t>
        </is>
      </c>
      <c r="B158" t="inlineStr">
        <is>
          <t>AllSoft Consulting Private Limited</t>
        </is>
      </c>
      <c r="C158" t="inlineStr">
        <is>
          <t>Software Development Intern</t>
        </is>
      </c>
      <c r="D158" t="inlineStr">
        <is>
          <t>https://www.adzuna.in/details/4947384279?utm_medium=api&amp;utm_source=5ccdc27f</t>
        </is>
      </c>
      <c r="E158" t="inlineStr">
        <is>
          <t>AI Analyzer</t>
        </is>
      </c>
      <c r="F158" t="inlineStr">
        <is>
          <t>Raipur, Chhattisgarh</t>
        </is>
      </c>
      <c r="G158" t="inlineStr">
        <is>
          <t>On-site</t>
        </is>
      </c>
      <c r="H158" t="inlineStr">
        <is>
          <t>Not specified</t>
        </is>
      </c>
      <c r="I158" t="inlineStr">
        <is>
          <t>UNKNOWN</t>
        </is>
      </c>
      <c r="J158" t="inlineStr">
        <is>
          <t>NOT_MENTIONED</t>
        </is>
      </c>
      <c r="K158" t="inlineStr">
        <is>
          <t>Javascript; PHP; Python; Ruby on Rails (ROR); NodeJS (Node.js); NOSQL Databases</t>
        </is>
      </c>
      <c r="L158" t="inlineStr">
        <is>
          <t>Mobile Application development (Android, iOS, Nativescript); Web Application development</t>
        </is>
      </c>
      <c r="M158" t="inlineStr">
        <is>
          <t>AllSoft seeks to employ Engineering Interns (Computer Science discipline) to perform several software development tasks. Tasks may include development of Web Application, Mobile Application (Android, iOS, Nativescript). Skills:- Javascript, PHP, Python, Ruby on Rails (ROR), NodeJS (Node.js), NOSQL Databases and Web</t>
        </is>
      </c>
      <c r="N158" t="n">
        <v>59</v>
      </c>
      <c r="O158" t="n">
        <v>22</v>
      </c>
      <c r="P158" t="n">
        <v>15</v>
      </c>
      <c r="Q158" t="n">
        <v>12</v>
      </c>
      <c r="R158" t="n">
        <v>0</v>
      </c>
      <c r="S158" t="n">
        <v>5</v>
      </c>
      <c r="T158" t="n">
        <v>5</v>
      </c>
      <c r="U158" t="inlineStr">
        <is>
          <t>SKIP</t>
        </is>
      </c>
      <c r="V158" t="inlineStr">
        <is>
          <t>SKIP</t>
        </is>
      </c>
      <c r="W158" t="inlineStr">
        <is>
          <t>PHP; Ruby on Rails (ROR); NativeScript</t>
        </is>
      </c>
      <c r="X158" t="inlineStr">
        <is>
          <t>Default Full Stack / Software Engineering Resume</t>
        </is>
      </c>
      <c r="Y158" t="inlineStr">
        <is>
          <t>2026-09-10</t>
        </is>
      </c>
      <c r="Z158" t="inlineStr">
        <is>
          <t>Matches core tech stack including JavaScript, Node.js, and Python.; Good opportunity for software engineering internship experience.</t>
        </is>
      </c>
      <c r="AA158" t="inlineStr">
        <is>
          <t>ELIGIBLE</t>
        </is>
      </c>
      <c r="AB158" t="inlineStr">
        <is>
          <t>Open to Computer Science discipline and software development tasks matching MCA background.</t>
        </is>
      </c>
      <c r="AC158" t="inlineStr">
        <is>
          <t>UNKNOWN</t>
        </is>
      </c>
      <c r="AD158" t="inlineStr">
        <is>
          <t>Not specified in candidate profile.</t>
        </is>
      </c>
      <c r="AE158" t="inlineStr">
        <is>
          <t>UNKNOWN</t>
        </is>
      </c>
      <c r="AF158" t="n">
        <v>0</v>
      </c>
      <c r="AG158" t="inlineStr">
        <is>
          <t>No</t>
        </is>
      </c>
      <c r="AH158" t="inlineStr">
        <is>
          <t>NOT_MENTIONED</t>
        </is>
      </c>
      <c r="AI158" t="inlineStr">
        <is>
          <t>No mention of PPO or conversion in the job description.</t>
        </is>
      </c>
      <c r="AK158" t="inlineStr">
        <is>
          <t>Location is Raipur, Chhattisgarh, which requires relocation or remote status if not local.; Stipend is completely undisclosed.</t>
        </is>
      </c>
      <c r="AL158" t="inlineStr">
        <is>
          <t>JavaScript and NodeJS concepts; Python development experience; NoSQL database design; Web application architecture</t>
        </is>
      </c>
    </row>
    <row r="159">
      <c r="A159" t="inlineStr">
        <is>
          <t>EASTENCHER-S-260910-113</t>
        </is>
      </c>
      <c r="B159" t="inlineStr">
        <is>
          <t>Eastencher software</t>
        </is>
      </c>
      <c r="C159" t="inlineStr">
        <is>
          <t>Software Developer Intern</t>
        </is>
      </c>
      <c r="D159" t="inlineStr">
        <is>
          <t>https://www.adzuna.in/details/5845821068?utm_medium=api&amp;utm_source=5ccdc27f</t>
        </is>
      </c>
      <c r="E159" t="inlineStr">
        <is>
          <t>AI Analyzer</t>
        </is>
      </c>
      <c r="F159" t="inlineStr">
        <is>
          <t>Bangalore Rural, Karnataka</t>
        </is>
      </c>
      <c r="G159" t="inlineStr">
        <is>
          <t>Unknown</t>
        </is>
      </c>
      <c r="H159" t="inlineStr">
        <is>
          <t>9,500 per month Including PF Benefits</t>
        </is>
      </c>
      <c r="I159" t="inlineStr">
        <is>
          <t>8 Months</t>
        </is>
      </c>
      <c r="J159" t="inlineStr">
        <is>
          <t>Not Mentioned</t>
        </is>
      </c>
      <c r="M159" t="inlineStr">
        <is>
          <t>Software Developer Intern Duration 8 Months Stipend 9 500 per month Including PF Benefits Location Bangalore Start Date Immediate Joiners Preferred About the Role We are looking for a passionate and enthusiastic Software Developer Intern to join our development team This internship is an excellent opportunity for candidates who are eager to gain handson experience in software development while wor</t>
        </is>
      </c>
      <c r="N159" t="n">
        <v>42</v>
      </c>
      <c r="O159" t="n">
        <v>50</v>
      </c>
      <c r="P159" t="n">
        <v>70</v>
      </c>
      <c r="Q159" t="n">
        <v>60</v>
      </c>
      <c r="R159" t="n">
        <v>0</v>
      </c>
      <c r="S159" t="n">
        <v>0</v>
      </c>
      <c r="T159" t="n">
        <v>40</v>
      </c>
      <c r="U159" t="inlineStr">
        <is>
          <t>SKIP</t>
        </is>
      </c>
      <c r="V159" t="inlineStr">
        <is>
          <t>SKIP</t>
        </is>
      </c>
      <c r="X159" t="inlineStr">
        <is>
          <t>Amaanuddin_Ahmed_General_Resume.pdf</t>
        </is>
      </c>
      <c r="Y159" t="inlineStr">
        <is>
          <t>2026-09-10</t>
        </is>
      </c>
      <c r="Z159" t="inlineStr">
        <is>
          <t>Located in Bangalore</t>
        </is>
      </c>
      <c r="AA159" t="inlineStr">
        <is>
          <t>Eligible</t>
        </is>
      </c>
      <c r="AC159" t="inlineStr">
        <is>
          <t>Unknown</t>
        </is>
      </c>
      <c r="AD159" t="inlineStr">
        <is>
          <t>Start date is immediate, candidate availability details are not provided.</t>
        </is>
      </c>
      <c r="AE159" t="inlineStr">
        <is>
          <t>Below Target</t>
        </is>
      </c>
      <c r="AF159" t="n">
        <v>9500</v>
      </c>
      <c r="AG159" t="inlineStr">
        <is>
          <t>No</t>
        </is>
      </c>
      <c r="AH159" t="inlineStr">
        <is>
          <t>Not Mentioned</t>
        </is>
      </c>
      <c r="AI159" t="inlineStr">
        <is>
          <t>No PPO or conversion mention in the job description.</t>
        </is>
      </c>
      <c r="AK159" t="inlineStr">
        <is>
          <t>Stipend of ₹9,500 is significantly below the minimum target of ₹25,000/month; No PPO mentioned; No specific technologies listed in the JD to evaluate technical fit properly</t>
        </is>
      </c>
      <c r="AL159" t="inlineStr">
        <is>
          <t>Basic software development concepts; Previous projects and practical exposure; Availability and internship duration commitment</t>
        </is>
      </c>
    </row>
    <row r="160">
      <c r="A160" t="inlineStr">
        <is>
          <t>MIND-MERGE-S-260910-114</t>
        </is>
      </c>
      <c r="B160" t="inlineStr">
        <is>
          <t>Mind Merge Soft Tech Private Limited</t>
        </is>
      </c>
      <c r="C160" t="inlineStr">
        <is>
          <t>Software Developer Intern</t>
        </is>
      </c>
      <c r="D160" t="inlineStr">
        <is>
          <t>https://www.adzuna.in/details/5827200255?utm_medium=api&amp;utm_source=5ccdc27f</t>
        </is>
      </c>
      <c r="E160" t="inlineStr">
        <is>
          <t>AI Analyzer</t>
        </is>
      </c>
      <c r="F160" t="inlineStr">
        <is>
          <t>Hyderabad, Telangana</t>
        </is>
      </c>
      <c r="G160" t="inlineStr">
        <is>
          <t>UNKNOWN</t>
        </is>
      </c>
      <c r="H160" t="inlineStr">
        <is>
          <t>Not specified</t>
        </is>
      </c>
      <c r="I160" t="inlineStr">
        <is>
          <t>UNKNOWN</t>
        </is>
      </c>
      <c r="J160" t="inlineStr">
        <is>
          <t>UNKNOWN</t>
        </is>
      </c>
      <c r="L160" t="inlineStr">
        <is>
          <t>Web Development; Mobile App Development; Cloud Technologies; AI-powered Systems</t>
        </is>
      </c>
      <c r="M160" t="inlineStr">
        <is>
          <t>Company Description Mind Merge Soft Tech Private Limited is a technologydriven company that delivers innovative scalable and resultoriented digital solutions to businesses startups institutions and enterprises The organization specializes in custom software development enterprise applications AIpowered systems cloud technologies and automation solutions that improve efficiency and support growth I</t>
        </is>
      </c>
      <c r="N160" t="n">
        <v>42</v>
      </c>
      <c r="O160" t="n">
        <v>50</v>
      </c>
      <c r="P160" t="n">
        <v>50</v>
      </c>
      <c r="Q160" t="n">
        <v>60</v>
      </c>
      <c r="R160" t="n">
        <v>0</v>
      </c>
      <c r="S160" t="n">
        <v>0</v>
      </c>
      <c r="T160" t="n">
        <v>30</v>
      </c>
      <c r="U160" t="inlineStr">
        <is>
          <t>SKIP</t>
        </is>
      </c>
      <c r="V160" t="inlineStr">
        <is>
          <t>SKIP</t>
        </is>
      </c>
      <c r="X160" t="inlineStr">
        <is>
          <t>Default Full Stack Resume</t>
        </is>
      </c>
      <c r="Y160" t="inlineStr">
        <is>
          <t>2026-09-10</t>
        </is>
      </c>
      <c r="Z160" t="inlineStr">
        <is>
          <t>Matches general software developer internship profile.</t>
        </is>
      </c>
      <c r="AA160" t="inlineStr">
        <is>
          <t>ELIGIBLE</t>
        </is>
      </c>
      <c r="AB160" t="inlineStr">
        <is>
          <t>No specific degree, graduation year, or experience blockers mentioned in the limited job description.</t>
        </is>
      </c>
      <c r="AC160" t="inlineStr">
        <is>
          <t>UNKNOWN</t>
        </is>
      </c>
      <c r="AD160" t="inlineStr">
        <is>
          <t>Candidate availability details are not provided in the prompt.</t>
        </is>
      </c>
      <c r="AE160" t="inlineStr">
        <is>
          <t>UNKNOWN</t>
        </is>
      </c>
      <c r="AF160" t="n">
        <v>0</v>
      </c>
      <c r="AG160" t="inlineStr">
        <is>
          <t>No</t>
        </is>
      </c>
      <c r="AH160" t="inlineStr">
        <is>
          <t>UNKNOWN</t>
        </is>
      </c>
      <c r="AI160" t="inlineStr">
        <is>
          <t>Job description snippet does not mention PPO or conversion.</t>
        </is>
      </c>
      <c r="AK160" t="inlineStr">
        <is>
          <t>Extremely brief and generic job description lacking required technical skills, stipend, and duration details.</t>
        </is>
      </c>
      <c r="AL160" t="inlineStr">
        <is>
          <t>General Software Engineering principles; Web and Mobile App Development experience; Past projects review</t>
        </is>
      </c>
    </row>
    <row r="161">
      <c r="A161" t="inlineStr">
        <is>
          <t>KPMG-INDIA-S-260910-115</t>
        </is>
      </c>
      <c r="B161" t="inlineStr">
        <is>
          <t>KPMG India Services LLP</t>
        </is>
      </c>
      <c r="C161" t="inlineStr">
        <is>
          <t>Software Developer Intern to Analyst</t>
        </is>
      </c>
      <c r="D161" t="inlineStr">
        <is>
          <t>https://www.adzuna.in/details/5808698575?utm_medium=api&amp;utm_source=5ccdc27f</t>
        </is>
      </c>
      <c r="E161" t="inlineStr">
        <is>
          <t>AI Analyzer</t>
        </is>
      </c>
      <c r="F161" t="inlineStr">
        <is>
          <t>Bangalore, Karnataka</t>
        </is>
      </c>
      <c r="G161" t="inlineStr">
        <is>
          <t>Unknown</t>
        </is>
      </c>
      <c r="H161" t="inlineStr">
        <is>
          <t>Not Specified</t>
        </is>
      </c>
      <c r="I161" t="inlineStr">
        <is>
          <t>Unknown</t>
        </is>
      </c>
      <c r="J161" t="inlineStr">
        <is>
          <t>HIGH</t>
        </is>
      </c>
      <c r="K161" t="inlineStr">
        <is>
          <t>Java; Spring Boot; Python; FastAPI; API Development</t>
        </is>
      </c>
      <c r="L161" t="inlineStr">
        <is>
          <t>Communication; Teamwork</t>
        </is>
      </c>
      <c r="M161" t="inlineStr">
        <is>
          <t>Interns to Analyst Mandatory Skills Bachelors or higher degree in Computer Science or a related discipline Experience in Developing APIs using Java Language and Spring Boot framework or Python with Fast API Flexible and proactive selfmotivated working style with strong personal ownership of problem resolution Excellent communicator written and verbal formal and informal Must be a team player and e</t>
        </is>
      </c>
      <c r="N161" t="n">
        <v>67</v>
      </c>
      <c r="O161" t="n">
        <v>60</v>
      </c>
      <c r="P161" t="n">
        <v>70</v>
      </c>
      <c r="Q161" t="n">
        <v>75</v>
      </c>
      <c r="R161" t="n">
        <v>80</v>
      </c>
      <c r="S161" t="n">
        <v>40</v>
      </c>
      <c r="T161" t="n">
        <v>80</v>
      </c>
      <c r="U161" t="inlineStr">
        <is>
          <t>STRETCH</t>
        </is>
      </c>
      <c r="V161" t="inlineStr">
        <is>
          <t>STRETCH</t>
        </is>
      </c>
      <c r="W161" t="inlineStr">
        <is>
          <t>Spring Boot; FastAPI</t>
        </is>
      </c>
      <c r="X161" t="inlineStr">
        <is>
          <t>Default Full Stack / Backend Resume</t>
        </is>
      </c>
      <c r="Y161" t="inlineStr">
        <is>
          <t>2026-09-10</t>
        </is>
      </c>
      <c r="Z161" t="inlineStr">
        <is>
          <t>Role offers an internship-to-analyst conversion track; Matches general software engineering and backend interests; Located in Bangalore</t>
        </is>
      </c>
      <c r="AA161" t="inlineStr">
        <is>
          <t>ELIGIBLE</t>
        </is>
      </c>
      <c r="AB161" t="inlineStr">
        <is>
          <t>Candidate is pursuing MCA which is a related discipline to Computer Science</t>
        </is>
      </c>
      <c r="AC161" t="inlineStr">
        <is>
          <t>UNKNOWN</t>
        </is>
      </c>
      <c r="AD161" t="inlineStr">
        <is>
          <t>Availability constraints not mentioned in career brain</t>
        </is>
      </c>
      <c r="AE161" t="inlineStr">
        <is>
          <t>UNKNOWN</t>
        </is>
      </c>
      <c r="AF161" t="n">
        <v>0</v>
      </c>
      <c r="AG161" t="inlineStr">
        <is>
          <t>No</t>
        </is>
      </c>
      <c r="AH161" t="inlineStr">
        <is>
          <t>HIGH</t>
        </is>
      </c>
      <c r="AI161" t="inlineStr">
        <is>
          <t>Intern to Analyst transition trajectory indicates potential conversion to full-time role</t>
        </is>
      </c>
      <c r="AK161" t="inlineStr">
        <is>
          <t>Stipend not disclosed</t>
        </is>
      </c>
      <c r="AL161" t="inlineStr">
        <is>
          <t>Java and API Development; Python fundamentals; Object-Oriented Programming; Problem solving and debugging</t>
        </is>
      </c>
    </row>
    <row r="162">
      <c r="A162" t="inlineStr">
        <is>
          <t>TECHAVIDUS-260910-116</t>
        </is>
      </c>
      <c r="B162" t="inlineStr">
        <is>
          <t>Techavidus</t>
        </is>
      </c>
      <c r="C162" t="inlineStr">
        <is>
          <t>Software Developer Intern Trainee</t>
        </is>
      </c>
      <c r="D162" t="inlineStr">
        <is>
          <t>https://www.adzuna.in/details/5827200227?utm_medium=api&amp;utm_source=5ccdc27f</t>
        </is>
      </c>
      <c r="E162" t="inlineStr">
        <is>
          <t>AI Analyzer</t>
        </is>
      </c>
      <c r="F162" t="inlineStr">
        <is>
          <t>Gandhinagar, Gujarat</t>
        </is>
      </c>
      <c r="G162" t="inlineStr">
        <is>
          <t>UNKNOWN</t>
        </is>
      </c>
      <c r="H162" t="inlineStr">
        <is>
          <t>Not specified</t>
        </is>
      </c>
      <c r="I162" t="inlineStr">
        <is>
          <t>UNKNOWN</t>
        </is>
      </c>
      <c r="J162" t="inlineStr">
        <is>
          <t>NOT_MENTIONED</t>
        </is>
      </c>
      <c r="K162" t="inlineStr">
        <is>
          <t>Asp Net MVC Core; Node JS; Java; Angular; React JS; Web Designing</t>
        </is>
      </c>
      <c r="M162" t="inlineStr">
        <is>
          <t>Education Graduation or Post Graduation in IT Job Summary Intern Requirements A final year Student or Recent Graduate in Computer Science Software Engineering or related area Knowledge of various programming languages Selfmotivated and resultsoriented Ability to interact with crossfunctional teams Strong problemsolving abilities Ability to work in a fastpaced environment Interns Required for the T</t>
        </is>
      </c>
      <c r="N162" t="n">
        <v>65</v>
      </c>
      <c r="O162" t="n">
        <v>22</v>
      </c>
      <c r="P162" t="n">
        <v>20</v>
      </c>
      <c r="Q162" t="n">
        <v>12</v>
      </c>
      <c r="R162" t="n">
        <v>5</v>
      </c>
      <c r="S162" t="n">
        <v>0</v>
      </c>
      <c r="T162" t="n">
        <v>6</v>
      </c>
      <c r="U162" t="inlineStr">
        <is>
          <t>STRETCH</t>
        </is>
      </c>
      <c r="V162" t="inlineStr">
        <is>
          <t>STRETCH</t>
        </is>
      </c>
      <c r="W162" t="inlineStr">
        <is>
          <t>Asp Net MVC Core</t>
        </is>
      </c>
      <c r="X162" t="inlineStr">
        <is>
          <t>Default Full Stack / MERN / Java Resume</t>
        </is>
      </c>
      <c r="Y162" t="inlineStr">
        <is>
          <t>2026-09-10</t>
        </is>
      </c>
      <c r="Z162" t="inlineStr">
        <is>
          <t>Matches target Software Engineering / Development role.; Requires several demonstrated technologies like Node.js, Java, React, and Angular.</t>
        </is>
      </c>
      <c r="AA162" t="inlineStr">
        <is>
          <t>ELIGIBLE</t>
        </is>
      </c>
      <c r="AB162" t="inlineStr">
        <is>
          <t>Amaan is an MCA student, which qualifies under Post Graduation in IT or related area.</t>
        </is>
      </c>
      <c r="AC162" t="inlineStr">
        <is>
          <t>UNKNOWN</t>
        </is>
      </c>
      <c r="AD162" t="inlineStr">
        <is>
          <t>Availability not explicitly specified in the job description or career brain.</t>
        </is>
      </c>
      <c r="AE162" t="inlineStr">
        <is>
          <t>UNKNOWN</t>
        </is>
      </c>
      <c r="AF162" t="n">
        <v>0</v>
      </c>
      <c r="AG162" t="inlineStr">
        <is>
          <t>No</t>
        </is>
      </c>
      <c r="AH162" t="inlineStr">
        <is>
          <t>NOT_MENTIONED</t>
        </is>
      </c>
      <c r="AI162" t="inlineStr">
        <is>
          <t>No mention of PPO or conversion to full-time in the job description.</t>
        </is>
      </c>
      <c r="AK162" t="inlineStr">
        <is>
          <t>Stipend information is completely missing; No mention of PPO</t>
        </is>
      </c>
      <c r="AL162" t="inlineStr">
        <is>
          <t>Node.js and Express architecture; React.js state management and hooks; Java basics and Object-Oriented Programming; Angular fundamentals</t>
        </is>
      </c>
    </row>
    <row r="163">
      <c r="A163" t="inlineStr">
        <is>
          <t>RADICAL-TECH-260910-117</t>
        </is>
      </c>
      <c r="B163" t="inlineStr">
        <is>
          <t>Radical Technologies</t>
        </is>
      </c>
      <c r="C163" t="inlineStr">
        <is>
          <t>Software Developer Intern</t>
        </is>
      </c>
      <c r="D163" t="inlineStr">
        <is>
          <t>https://www.adzuna.in/details/5827200307?utm_medium=api&amp;utm_source=5ccdc27f</t>
        </is>
      </c>
      <c r="E163" t="inlineStr">
        <is>
          <t>AI Analyzer</t>
        </is>
      </c>
      <c r="F163" t="inlineStr">
        <is>
          <t>Pune, Maharashtra</t>
        </is>
      </c>
      <c r="G163" t="inlineStr">
        <is>
          <t>Onsite</t>
        </is>
      </c>
      <c r="H163" t="inlineStr">
        <is>
          <t>₹5000 per month</t>
        </is>
      </c>
      <c r="I163" t="inlineStr">
        <is>
          <t>6 Months</t>
        </is>
      </c>
      <c r="J163" t="inlineStr">
        <is>
          <t>NOT_MENTIONED</t>
        </is>
      </c>
      <c r="K163" t="inlineStr">
        <is>
          <t>React.js; Next.js; Node.js; React Native</t>
        </is>
      </c>
      <c r="M163" t="inlineStr">
        <is>
          <t>Apply before Job Title Software Developer Intern Backend Mobile Openings React js Next js Node js React Native Employment Type Internship Onsite Duration 6 Months Stipend 5000 per month Location Pune About the Chance We are hiring Software Developer Interns for multiple roles across Frontend Backend and Mobile Application Development This 6month fulltime onsite internship offers handson experience</t>
        </is>
      </c>
      <c r="N163" t="n">
        <v>48</v>
      </c>
      <c r="O163" t="n">
        <v>60</v>
      </c>
      <c r="P163" t="n">
        <v>70</v>
      </c>
      <c r="Q163" t="n">
        <v>70</v>
      </c>
      <c r="R163" t="n">
        <v>0</v>
      </c>
      <c r="S163" t="n">
        <v>0</v>
      </c>
      <c r="T163" t="n">
        <v>40</v>
      </c>
      <c r="U163" t="inlineStr">
        <is>
          <t>SKIP</t>
        </is>
      </c>
      <c r="V163" t="inlineStr">
        <is>
          <t>SKIP</t>
        </is>
      </c>
      <c r="W163" t="inlineStr">
        <is>
          <t>Next.js; React Native</t>
        </is>
      </c>
      <c r="X163" t="inlineStr">
        <is>
          <t>Amaanuddin_Ahmed_Full_Stack_Resume.pdf</t>
        </is>
      </c>
      <c r="Y163" t="inlineStr">
        <is>
          <t>2026-09-10</t>
        </is>
      </c>
      <c r="Z163" t="inlineStr">
        <is>
          <t>Provides hands-on backend and frontend experience matching some demonstrated MERN skills.</t>
        </is>
      </c>
      <c r="AA163" t="inlineStr">
        <is>
          <t>ELIGIBLE</t>
        </is>
      </c>
      <c r="AC163" t="inlineStr">
        <is>
          <t>UNKNOWN</t>
        </is>
      </c>
      <c r="AD163" t="inlineStr">
        <is>
          <t>Not specified in candidate profile</t>
        </is>
      </c>
      <c r="AE163" t="inlineStr">
        <is>
          <t>BELOW_MINIMUM</t>
        </is>
      </c>
      <c r="AF163" t="n">
        <v>5000</v>
      </c>
      <c r="AG163" t="inlineStr">
        <is>
          <t>No</t>
        </is>
      </c>
      <c r="AH163" t="inlineStr">
        <is>
          <t>NOT_MENTIONED</t>
        </is>
      </c>
      <c r="AI163" t="inlineStr">
        <is>
          <t>No mention of PPO or conversion in the job description.</t>
        </is>
      </c>
      <c r="AK163" t="inlineStr">
        <is>
          <t>Very low stipend (₹5,000 per month) which is significantly below target (₹25,000/month)</t>
        </is>
      </c>
      <c r="AL163" t="inlineStr">
        <is>
          <t>React.js core concepts and state management; Node.js asynchronous programming and API development; Project walkthrough of StaySphere and Zenvest</t>
        </is>
      </c>
    </row>
    <row r="164">
      <c r="A164" t="inlineStr">
        <is>
          <t>47CYBER-INTE-260910-118</t>
        </is>
      </c>
      <c r="B164" t="inlineStr">
        <is>
          <t>47cyber Intelligence Private Limited</t>
        </is>
      </c>
      <c r="C164" t="inlineStr">
        <is>
          <t>Software Developer Intern</t>
        </is>
      </c>
      <c r="D164" t="inlineStr">
        <is>
          <t>https://www.adzuna.in/details/5827200202?utm_medium=api&amp;utm_source=5ccdc27f</t>
        </is>
      </c>
      <c r="E164" t="inlineStr">
        <is>
          <t>AI Analyzer</t>
        </is>
      </c>
      <c r="F164" t="inlineStr">
        <is>
          <t>Bhopal, Madhya Pradesh</t>
        </is>
      </c>
      <c r="G164" t="inlineStr">
        <is>
          <t>UNKNOWN</t>
        </is>
      </c>
      <c r="H164" t="inlineStr">
        <is>
          <t>Not specified</t>
        </is>
      </c>
      <c r="I164" t="inlineStr">
        <is>
          <t>UNKNOWN</t>
        </is>
      </c>
      <c r="J164" t="inlineStr">
        <is>
          <t>UNKNOWN</t>
        </is>
      </c>
      <c r="K164" t="inlineStr">
        <is>
          <t>Python; Django; REST APIs; Databases</t>
        </is>
      </c>
      <c r="L164" t="inlineStr">
        <is>
          <t>Automation tools; Secure web applications</t>
        </is>
      </c>
      <c r="M164" t="inlineStr">
        <is>
          <t>47CYBER Intelligence Private Limited is looking for a passionate and motivated Software Developer Intern to join our development team This internship is designed for students and recent graduates who are eager to gain handson experience by working on realworld software projects using modern technologies As a Software Developer Intern you will contribute to live projects involving Python Django RES</t>
        </is>
      </c>
      <c r="N164" t="n">
        <v>63</v>
      </c>
      <c r="O164" t="n">
        <v>21</v>
      </c>
      <c r="P164" t="n">
        <v>20</v>
      </c>
      <c r="Q164" t="n">
        <v>12</v>
      </c>
      <c r="R164" t="n">
        <v>0</v>
      </c>
      <c r="S164" t="n">
        <v>5</v>
      </c>
      <c r="T164" t="n">
        <v>5</v>
      </c>
      <c r="U164" t="inlineStr">
        <is>
          <t>STRETCH</t>
        </is>
      </c>
      <c r="V164" t="inlineStr">
        <is>
          <t>STRETCH</t>
        </is>
      </c>
      <c r="W164" t="inlineStr">
        <is>
          <t>Django</t>
        </is>
      </c>
      <c r="X164" t="inlineStr">
        <is>
          <t>Amaanuddin_Ahmed_Software_Engineering_Resume.pdf</t>
        </is>
      </c>
      <c r="Y164" t="inlineStr">
        <is>
          <t>2026-09-10</t>
        </is>
      </c>
      <c r="Z164" t="inlineStr">
        <is>
          <t>Matches Python and REST API development skill set; Good opportunity for students and recent graduates to gain hands-on experience</t>
        </is>
      </c>
      <c r="AA164" t="inlineStr">
        <is>
          <t>ELIGIBLE</t>
        </is>
      </c>
      <c r="AB164" t="inlineStr">
        <is>
          <t>Open to students and recent graduates</t>
        </is>
      </c>
      <c r="AC164" t="inlineStr">
        <is>
          <t>UNKNOWN</t>
        </is>
      </c>
      <c r="AD164" t="inlineStr">
        <is>
          <t>Not specified in candidate profile or job description</t>
        </is>
      </c>
      <c r="AE164" t="inlineStr">
        <is>
          <t>UNKNOWN</t>
        </is>
      </c>
      <c r="AF164" t="n">
        <v>0</v>
      </c>
      <c r="AG164" t="inlineStr">
        <is>
          <t>No</t>
        </is>
      </c>
      <c r="AH164" t="inlineStr">
        <is>
          <t>UNKNOWN</t>
        </is>
      </c>
      <c r="AI164" t="inlineStr">
        <is>
          <t>No mention of PPO or conversion in the job description</t>
        </is>
      </c>
      <c r="AK164" t="inlineStr">
        <is>
          <t>Location is Bhopal, Madhya Pradesh (relocation or remote status unclear); Stipend is not disclosed</t>
        </is>
      </c>
      <c r="AL164" t="inlineStr">
        <is>
          <t>Python fundamentals and OOP; Django framework and ORM; REST API design and implementation; Database management and SQL/NoSQL</t>
        </is>
      </c>
    </row>
    <row r="165">
      <c r="A165" t="inlineStr">
        <is>
          <t>IXG-INC-260910-119</t>
        </is>
      </c>
      <c r="B165" t="inlineStr">
        <is>
          <t>IXG Inc</t>
        </is>
      </c>
      <c r="C165" t="inlineStr">
        <is>
          <t>AI-native Software Developer Intern</t>
        </is>
      </c>
      <c r="D165" t="inlineStr">
        <is>
          <t>https://www.adzuna.in/details/5605916596?utm_medium=api&amp;utm_source=5ccdc27f</t>
        </is>
      </c>
      <c r="E165" t="inlineStr">
        <is>
          <t>AI Analyzer</t>
        </is>
      </c>
      <c r="F165" t="inlineStr">
        <is>
          <t>Hyderabad, Telangana</t>
        </is>
      </c>
      <c r="G165" t="inlineStr">
        <is>
          <t>UNKNOWN</t>
        </is>
      </c>
      <c r="H165" t="inlineStr">
        <is>
          <t>Not specified</t>
        </is>
      </c>
      <c r="I165" t="inlineStr">
        <is>
          <t>UNKNOWN</t>
        </is>
      </c>
      <c r="J165" t="inlineStr">
        <is>
          <t>NOT_MENTIONED</t>
        </is>
      </c>
      <c r="K165" t="inlineStr">
        <is>
          <t>Software Development; AI agents building</t>
        </is>
      </c>
      <c r="L165" t="inlineStr">
        <is>
          <t>High-agency mindset</t>
        </is>
      </c>
      <c r="M165" t="inlineStr">
        <is>
          <t>AI-Native Software Developer Intern Build real AI agents used daily across the company We’re looking for a high-agency, AI-native software developer intern to help us build internal AI agents that improve productivity across our entire company (80–100 people using them daily). You will ship real systems , used by real teams, with real impact. If you’ve never built anything outside coursework, this</t>
        </is>
      </c>
      <c r="N165" t="n">
        <v>64</v>
      </c>
      <c r="O165" t="n">
        <v>70</v>
      </c>
      <c r="P165" t="n">
        <v>75</v>
      </c>
      <c r="Q165" t="n">
        <v>75</v>
      </c>
      <c r="R165" t="n">
        <v>0</v>
      </c>
      <c r="S165" t="n">
        <v>50</v>
      </c>
      <c r="T165" t="n">
        <v>70</v>
      </c>
      <c r="U165" t="inlineStr">
        <is>
          <t>STRETCH</t>
        </is>
      </c>
      <c r="V165" t="inlineStr">
        <is>
          <t>STRETCH</t>
        </is>
      </c>
      <c r="W165" t="inlineStr">
        <is>
          <t>AI agent building frameworks (e.g., LangChain, LlamaIndex)</t>
        </is>
      </c>
      <c r="X165" t="inlineStr">
        <is>
          <t>Amaanuddin_Ahmed_Software_Engineering_Resume.pdf</t>
        </is>
      </c>
      <c r="Y165" t="inlineStr">
        <is>
          <t>2026-09-10</t>
        </is>
      </c>
      <c r="Z165" t="inlineStr">
        <is>
          <t>Aligns with AI-adjacent software engineering interest; Opportunity to build real-world systems used by a team</t>
        </is>
      </c>
      <c r="AA165" t="inlineStr">
        <is>
          <t>ELIGIBLE</t>
        </is>
      </c>
      <c r="AB165" t="inlineStr">
        <is>
          <t>No explicit hard degree or graduation year blockers found in the snippet; Matches general software engineering profile</t>
        </is>
      </c>
      <c r="AC165" t="inlineStr">
        <is>
          <t>UNKNOWN</t>
        </is>
      </c>
      <c r="AD165" t="inlineStr">
        <is>
          <t>Candidate availability relative to start date is not specified in the career brain.</t>
        </is>
      </c>
      <c r="AE165" t="inlineStr">
        <is>
          <t>UNKNOWN</t>
        </is>
      </c>
      <c r="AF165" t="n">
        <v>0</v>
      </c>
      <c r="AG165" t="inlineStr">
        <is>
          <t>No</t>
        </is>
      </c>
      <c r="AH165" t="inlineStr">
        <is>
          <t>NOT_MENTIONED</t>
        </is>
      </c>
      <c r="AI165" t="inlineStr">
        <is>
          <t>No mention of conversion or PPO in the provided job description snippet.</t>
        </is>
      </c>
      <c r="AK165" t="inlineStr">
        <is>
          <t>Truncated job description snippet; Unspecified stipend</t>
        </is>
      </c>
      <c r="AL165" t="inlineStr">
        <is>
          <t>Past software projects built outside of coursework; Experience with AI models or agentic workflows; System design and deployment experience</t>
        </is>
      </c>
    </row>
    <row r="166">
      <c r="A166" t="inlineStr">
        <is>
          <t>MXPERTZ-INFO-260910-120</t>
        </is>
      </c>
      <c r="B166" t="inlineStr">
        <is>
          <t>Mxpertz Infolabs</t>
        </is>
      </c>
      <c r="C166" t="inlineStr">
        <is>
          <t>Junior Software Development Intern</t>
        </is>
      </c>
      <c r="D166" t="inlineStr">
        <is>
          <t>https://www.adzuna.in/details/5808698567?utm_medium=api&amp;utm_source=5ccdc27f</t>
        </is>
      </c>
      <c r="E166" t="inlineStr">
        <is>
          <t>AI Analyzer</t>
        </is>
      </c>
      <c r="F166" t="inlineStr">
        <is>
          <t>Indore, India</t>
        </is>
      </c>
      <c r="G166" t="inlineStr">
        <is>
          <t>In-office</t>
        </is>
      </c>
      <c r="H166" t="inlineStr">
        <is>
          <t>Not specified</t>
        </is>
      </c>
      <c r="I166" t="inlineStr">
        <is>
          <t>UNKNOWN</t>
        </is>
      </c>
      <c r="J166" t="inlineStr">
        <is>
          <t>UNKNOWN</t>
        </is>
      </c>
      <c r="K166" t="inlineStr">
        <is>
          <t>Android Development; iOS Development</t>
        </is>
      </c>
      <c r="M166" t="inlineStr">
        <is>
          <t>Responsibilities Developing Mobile apps for android and Ios Coordinating with the project management team to understand clients requirements and fulfilling it Keeping yourself updated with recent developments in the field so as to add more value to the company Coordinating with the testing team to remove all the bugs and issues in the application Who Can Apply Are available for full time inoffice</t>
        </is>
      </c>
      <c r="N166" t="n">
        <v>26</v>
      </c>
      <c r="O166" t="n">
        <v>20</v>
      </c>
      <c r="P166" t="n">
        <v>50</v>
      </c>
      <c r="Q166" t="n">
        <v>40</v>
      </c>
      <c r="R166" t="n">
        <v>0</v>
      </c>
      <c r="S166" t="n">
        <v>0</v>
      </c>
      <c r="T166" t="n">
        <v>30</v>
      </c>
      <c r="U166" t="inlineStr">
        <is>
          <t>SKIP</t>
        </is>
      </c>
      <c r="V166" t="inlineStr">
        <is>
          <t>SKIP</t>
        </is>
      </c>
      <c r="W166" t="inlineStr">
        <is>
          <t>Android Development; iOS Development</t>
        </is>
      </c>
      <c r="X166" t="inlineStr">
        <is>
          <t>Default Full Stack Resume</t>
        </is>
      </c>
      <c r="Y166" t="inlineStr">
        <is>
          <t>2026-09-10</t>
        </is>
      </c>
      <c r="Z166" t="inlineStr">
        <is>
          <t>Graduates and post-graduates are eligible</t>
        </is>
      </c>
      <c r="AA166" t="inlineStr">
        <is>
          <t>PASS</t>
        </is>
      </c>
      <c r="AB166" t="inlineStr">
        <is>
          <t>Open to graduates and post graduates</t>
        </is>
      </c>
      <c r="AC166" t="inlineStr">
        <is>
          <t>UNKNOWN</t>
        </is>
      </c>
      <c r="AD166" t="inlineStr">
        <is>
          <t>Availability requirement for full-time in-office internship cannot be definitively confirmed from career brain</t>
        </is>
      </c>
      <c r="AE166" t="inlineStr">
        <is>
          <t>UNKNOWN</t>
        </is>
      </c>
      <c r="AF166" t="n">
        <v>0</v>
      </c>
      <c r="AG166" t="inlineStr">
        <is>
          <t>No</t>
        </is>
      </c>
      <c r="AH166" t="inlineStr">
        <is>
          <t>UNKNOWN</t>
        </is>
      </c>
      <c r="AI166" t="inlineStr">
        <is>
          <t>No mention of PPO or conversion in the job description</t>
        </is>
      </c>
      <c r="AK166" t="inlineStr">
        <is>
          <t>Unspecified stipend; Mobile app development (Android/iOS) does not align well with candidate primary web/backend/full-stack skill set</t>
        </is>
      </c>
      <c r="AL166" t="inlineStr">
        <is>
          <t>Mobile Application Development; Android and iOS Frameworks; Debugging and Bug Fixing Process</t>
        </is>
      </c>
    </row>
    <row r="167">
      <c r="A167" t="inlineStr">
        <is>
          <t>MIKO-GROUP-260910-121</t>
        </is>
      </c>
      <c r="B167" t="inlineStr">
        <is>
          <t>Miko Group</t>
        </is>
      </c>
      <c r="C167" t="inlineStr">
        <is>
          <t>Software Development Intern Backend Mumbai</t>
        </is>
      </c>
      <c r="D167" t="inlineStr">
        <is>
          <t>https://www.adzuna.in/details/5827200415?utm_medium=api&amp;utm_source=5ccdc27f</t>
        </is>
      </c>
      <c r="E167" t="inlineStr">
        <is>
          <t>AI Analyzer</t>
        </is>
      </c>
      <c r="F167" t="inlineStr">
        <is>
          <t>Mumbai, Maharashtra</t>
        </is>
      </c>
      <c r="G167" t="inlineStr">
        <is>
          <t>Onsite</t>
        </is>
      </c>
      <c r="H167" t="inlineStr">
        <is>
          <t>Not specified</t>
        </is>
      </c>
      <c r="I167" t="inlineStr">
        <is>
          <t>Not specified</t>
        </is>
      </c>
      <c r="J167" t="inlineStr">
        <is>
          <t>NOT_MENTIONED</t>
        </is>
      </c>
      <c r="K167" t="inlineStr">
        <is>
          <t>Backend Development; Software Development</t>
        </is>
      </c>
      <c r="M167" t="inlineStr">
        <is>
          <t>Location Dadar Mumbai Onsite Remote Experience 6 Months 1 Year About Miko Miko is an advanced consumer robotics innovation lab focused on bringing Robotics and AI to every consumer home Founded by entrepreneurs from IIT Bombay Miko is a global deeptech company with offices in the US UK and India serving customers across 140 countries Our flagship product Miko 3 is an AIpowered learning robot desig</t>
        </is>
      </c>
      <c r="N167" t="n">
        <v>63</v>
      </c>
      <c r="O167" t="n">
        <v>70</v>
      </c>
      <c r="P167" t="n">
        <v>60</v>
      </c>
      <c r="Q167" t="n">
        <v>70</v>
      </c>
      <c r="R167" t="n">
        <v>50</v>
      </c>
      <c r="S167" t="n">
        <v>40</v>
      </c>
      <c r="T167" t="n">
        <v>70</v>
      </c>
      <c r="U167" t="inlineStr">
        <is>
          <t>STRETCH</t>
        </is>
      </c>
      <c r="V167" t="inlineStr">
        <is>
          <t>STRETCH</t>
        </is>
      </c>
      <c r="X167" t="inlineStr">
        <is>
          <t>Default Full Stack / Backend Resume</t>
        </is>
      </c>
      <c r="Y167" t="inlineStr">
        <is>
          <t>2026-09-10</t>
        </is>
      </c>
      <c r="Z167" t="inlineStr">
        <is>
          <t>Aligns with backend development target role; Exciting robotics and AI domain startup founded by IIT Bombay alumni</t>
        </is>
      </c>
      <c r="AA167" t="inlineStr">
        <is>
          <t>ELIGIBLE</t>
        </is>
      </c>
      <c r="AB167" t="inlineStr">
        <is>
          <t>No strict degree or graduation year blockers mentioned in the text</t>
        </is>
      </c>
      <c r="AC167" t="inlineStr">
        <is>
          <t>UNKNOWN</t>
        </is>
      </c>
      <c r="AD167" t="inlineStr">
        <is>
          <t>Candidate availability relative to start date not specified</t>
        </is>
      </c>
      <c r="AE167" t="inlineStr">
        <is>
          <t>UNKNOWN</t>
        </is>
      </c>
      <c r="AF167" t="n">
        <v>0</v>
      </c>
      <c r="AG167" t="inlineStr">
        <is>
          <t>No</t>
        </is>
      </c>
      <c r="AH167" t="inlineStr">
        <is>
          <t>NOT_MENTIONED</t>
        </is>
      </c>
      <c r="AI167" t="inlineStr">
        <is>
          <t>Job description does not explicitly mention PPO or conversion opportunities</t>
        </is>
      </c>
      <c r="AK167" t="inlineStr">
        <is>
          <t>Stipend details not disclosed; Experience requirement of 6 months to 1 year specified</t>
        </is>
      </c>
      <c r="AL167" t="inlineStr">
        <is>
          <t>Backend systems architecture; API design and development; Previous project implementation details</t>
        </is>
      </c>
    </row>
    <row r="168">
      <c r="A168" t="inlineStr">
        <is>
          <t>ALGEBRA-SOFT-260910-122</t>
        </is>
      </c>
      <c r="B168" t="inlineStr">
        <is>
          <t>Algebra Softech</t>
        </is>
      </c>
      <c r="C168" t="inlineStr">
        <is>
          <t>Full Stack Developer Intern</t>
        </is>
      </c>
      <c r="D168" t="inlineStr">
        <is>
          <t>https://www.adzuna.in/details/5680028572?utm_medium=api&amp;utm_source=5ccdc27f</t>
        </is>
      </c>
      <c r="E168" t="inlineStr">
        <is>
          <t>AI Analyzer</t>
        </is>
      </c>
      <c r="F168" t="inlineStr">
        <is>
          <t>Indore, Madhya Pradesh</t>
        </is>
      </c>
      <c r="G168" t="inlineStr">
        <is>
          <t>On-site</t>
        </is>
      </c>
      <c r="H168" t="inlineStr">
        <is>
          <t>Unpaid Internship</t>
        </is>
      </c>
      <c r="I168" t="inlineStr">
        <is>
          <t>3-6 Months</t>
        </is>
      </c>
      <c r="J168" t="inlineStr">
        <is>
          <t>Not Mentioned</t>
        </is>
      </c>
      <c r="K168" t="inlineStr">
        <is>
          <t>React.js; Node.js; MongoDB; Express.js</t>
        </is>
      </c>
      <c r="M168" t="inlineStr">
        <is>
          <t>Location: Indore Position: Full Stack Developer Intern Type: Unpaid Internship Duration: 3–6 Months Role Overview We are looking for enthusiastic and passionate Full Stack Developer Interns who are eager to learn, build real-world projects, and gain hands-on experience in a professional environment. ✅ Key Responsibilities Assist in developing web applications (Frontend Backend) Work with technolog</t>
        </is>
      </c>
      <c r="N168" t="n">
        <v>68</v>
      </c>
      <c r="O168" t="n">
        <v>30</v>
      </c>
      <c r="P168" t="n">
        <v>20</v>
      </c>
      <c r="Q168" t="n">
        <v>15</v>
      </c>
      <c r="R168" t="n">
        <v>0</v>
      </c>
      <c r="S168" t="n">
        <v>0</v>
      </c>
      <c r="T168" t="n">
        <v>3</v>
      </c>
      <c r="U168" t="inlineStr">
        <is>
          <t>STRETCH</t>
        </is>
      </c>
      <c r="V168" t="inlineStr">
        <is>
          <t>STRETCH</t>
        </is>
      </c>
      <c r="X168" t="inlineStr">
        <is>
          <t>Amaanuddin_Ahmed_Fullstack_Resume.pdf</t>
        </is>
      </c>
      <c r="Y168" t="inlineStr">
        <is>
          <t>2026-09-10</t>
        </is>
      </c>
      <c r="Z168" t="inlineStr">
        <is>
          <t>Strong technical fit matching the MERN stack requirements; Good opportunity to gain hands-on professional experience</t>
        </is>
      </c>
      <c r="AA168" t="inlineStr">
        <is>
          <t>Eligible</t>
        </is>
      </c>
      <c r="AB168" t="inlineStr">
        <is>
          <t>Candidate is pursuing MCA; No specific degree or experience blockers mentioned in the description</t>
        </is>
      </c>
      <c r="AC168" t="inlineStr">
        <is>
          <t>Unknown</t>
        </is>
      </c>
      <c r="AD168" t="inlineStr">
        <is>
          <t>Availability not explicitly specified in candidate profile or job description constraints</t>
        </is>
      </c>
      <c r="AE168" t="inlineStr">
        <is>
          <t>Unpaid</t>
        </is>
      </c>
      <c r="AF168" t="n">
        <v>0</v>
      </c>
      <c r="AG168" t="inlineStr">
        <is>
          <t>No</t>
        </is>
      </c>
      <c r="AH168" t="inlineStr">
        <is>
          <t>Not Mentioned</t>
        </is>
      </c>
      <c r="AI168" t="inlineStr">
        <is>
          <t>No mention of conversion or PPO in the job description</t>
        </is>
      </c>
      <c r="AK168" t="inlineStr">
        <is>
          <t>Unpaid internship; Stipend is below minimum target of 25,000 INR/month</t>
        </is>
      </c>
      <c r="AL168" t="inlineStr">
        <is>
          <t>MERN stack architecture; REST API development; Debugging and testing methodologies; Project walkthrough of StaySphere or Zenvest</t>
        </is>
      </c>
    </row>
    <row r="169">
      <c r="A169" t="inlineStr">
        <is>
          <t>PLETRA-TECHN-260910-123</t>
        </is>
      </c>
      <c r="B169" t="inlineStr">
        <is>
          <t>Pletra technologies Ind. Pvt. Ltd.</t>
        </is>
      </c>
      <c r="C169" t="inlineStr">
        <is>
          <t>FULL STACK DEVELOPER (INTERNS)</t>
        </is>
      </c>
      <c r="D169" t="inlineStr">
        <is>
          <t>https://www.adzuna.in/details/4686704239?utm_medium=api&amp;utm_source=5ccdc27f</t>
        </is>
      </c>
      <c r="E169" t="inlineStr">
        <is>
          <t>AI Analyzer</t>
        </is>
      </c>
      <c r="F169" t="inlineStr">
        <is>
          <t>Pune, Maharashtra</t>
        </is>
      </c>
      <c r="G169" t="inlineStr">
        <is>
          <t>On-site</t>
        </is>
      </c>
      <c r="H169" t="inlineStr">
        <is>
          <t>6 to 8 K PM</t>
        </is>
      </c>
      <c r="I169" t="inlineStr">
        <is>
          <t>Not specified</t>
        </is>
      </c>
      <c r="J169" t="inlineStr">
        <is>
          <t>Not mentioned</t>
        </is>
      </c>
      <c r="K169" t="inlineStr">
        <is>
          <t>React JS; React Native; Spring-Boot; Spring Cloud; Docker; Kubernetes; Java</t>
        </is>
      </c>
      <c r="L169" t="inlineStr">
        <is>
          <t>UI/UX</t>
        </is>
      </c>
      <c r="M169" t="inlineStr">
        <is>
          <t>FULL STACK DEVELOPER (INTERNS) Skill- React JS/React Native/Spring-Boot/ Spring Cloud, Docker, Kubernetes, Java Experience Range: Fresher’s Location: Clover Hills Plaza, NIBM Road, Pune Education: BCA , BE , BSc(IT/CS) , BTech , MCA , MSc(IT/CS) , MTech. Stipend – 6 to 8 K PM Job Description: We are hiring Fresher trained resources in FULL Stack Technologies &amp; UI/UX (React JS / Native) developer t</t>
        </is>
      </c>
      <c r="N169" t="n">
        <v>53</v>
      </c>
      <c r="O169" t="n">
        <v>50</v>
      </c>
      <c r="P169" t="n">
        <v>100</v>
      </c>
      <c r="Q169" t="n">
        <v>70</v>
      </c>
      <c r="R169" t="n">
        <v>0</v>
      </c>
      <c r="S169" t="n">
        <v>10</v>
      </c>
      <c r="T169" t="n">
        <v>40</v>
      </c>
      <c r="U169" t="inlineStr">
        <is>
          <t>SKIP</t>
        </is>
      </c>
      <c r="V169" t="inlineStr">
        <is>
          <t>SKIP</t>
        </is>
      </c>
      <c r="W169" t="inlineStr">
        <is>
          <t>React Native; Spring-Boot; Spring Cloud; Kubernetes</t>
        </is>
      </c>
      <c r="X169" t="inlineStr">
        <is>
          <t>Amaanuddin_Ahmed_Full_Stack_Resume.pdf</t>
        </is>
      </c>
      <c r="Y169" t="inlineStr">
        <is>
          <t>2026-09-10</t>
        </is>
      </c>
      <c r="Z169" t="inlineStr">
        <is>
          <t>Matches education requirements for MCA; Open to freshers</t>
        </is>
      </c>
      <c r="AA169" t="inlineStr">
        <is>
          <t>Eligible</t>
        </is>
      </c>
      <c r="AB169" t="inlineStr">
        <is>
          <t>Candidate is pursuing MCA which is listed as an eligible degree; Fresher applicants are accepted</t>
        </is>
      </c>
      <c r="AC169" t="inlineStr">
        <is>
          <t>Unknown</t>
        </is>
      </c>
      <c r="AD169" t="inlineStr">
        <is>
          <t>Not specified in candidate profile</t>
        </is>
      </c>
      <c r="AE169" t="inlineStr">
        <is>
          <t>Below target</t>
        </is>
      </c>
      <c r="AF169" t="n">
        <v>6000</v>
      </c>
      <c r="AG169" t="inlineStr">
        <is>
          <t>No</t>
        </is>
      </c>
      <c r="AH169" t="inlineStr">
        <is>
          <t>Not mentioned</t>
        </is>
      </c>
      <c r="AI169" t="inlineStr">
        <is>
          <t>No mention of conversion to full-time or PPO in the job description</t>
        </is>
      </c>
      <c r="AK169" t="inlineStr">
        <is>
          <t>Stipend (6-8K INR/month) is significantly below the minimum target of 25,000 INR/month</t>
        </is>
      </c>
      <c r="AL169" t="inlineStr">
        <is>
          <t>React JS fundamentals; Java and Spring Boot basics; Docker containerization; Previous project architecture</t>
        </is>
      </c>
    </row>
    <row r="170">
      <c r="A170" t="inlineStr">
        <is>
          <t>PITCHLINE-260910-124</t>
        </is>
      </c>
      <c r="B170" t="inlineStr">
        <is>
          <t>Pitchline</t>
        </is>
      </c>
      <c r="C170" t="inlineStr">
        <is>
          <t>Full Stack Developer Intern</t>
        </is>
      </c>
      <c r="D170" t="inlineStr">
        <is>
          <t>https://www.adzuna.in/details/5420122532?utm_medium=api&amp;utm_source=5ccdc27f</t>
        </is>
      </c>
      <c r="E170" t="inlineStr">
        <is>
          <t>AI Analyzer</t>
        </is>
      </c>
      <c r="F170" t="inlineStr">
        <is>
          <t>India</t>
        </is>
      </c>
      <c r="G170" t="inlineStr">
        <is>
          <t>Remote</t>
        </is>
      </c>
      <c r="H170" t="inlineStr">
        <is>
          <t>₹20,000 - ₹30,000/month</t>
        </is>
      </c>
      <c r="I170" t="inlineStr">
        <is>
          <t>3 months</t>
        </is>
      </c>
      <c r="J170" t="inlineStr">
        <is>
          <t>UNKNOWN</t>
        </is>
      </c>
      <c r="K170" t="inlineStr">
        <is>
          <t>Full Stack Development; Web Application Development</t>
        </is>
      </c>
      <c r="L170" t="inlineStr">
        <is>
          <t>AI-powered applications; Conversational AI</t>
        </is>
      </c>
      <c r="M170" t="inlineStr">
        <is>
          <t>Full Stack Developer Internship – (Remote) Pay: ₹20,000 - ₹30,000/month | Duration: 3 months We’re building Pitchline - a voice based conversational sales AI agent, an ambitious AI-powered web app aimed at solving meaningful problems in the B2B space. It’s currently in MVP stage and has strong early demand. I’m looking for a hands-on an Full Stack Developer Intern who can work closely with me to b</t>
        </is>
      </c>
      <c r="N170" t="n">
        <v>80</v>
      </c>
      <c r="O170" t="n">
        <v>24</v>
      </c>
      <c r="P170" t="n">
        <v>18</v>
      </c>
      <c r="Q170" t="n">
        <v>14</v>
      </c>
      <c r="R170" t="n">
        <v>8</v>
      </c>
      <c r="S170" t="n">
        <v>8</v>
      </c>
      <c r="T170" t="n">
        <v>8</v>
      </c>
      <c r="U170" t="inlineStr">
        <is>
          <t>APPLY</t>
        </is>
      </c>
      <c r="V170" t="inlineStr">
        <is>
          <t>APPLY</t>
        </is>
      </c>
      <c r="W170" t="inlineStr">
        <is>
          <t>Voice-based conversational AI integration</t>
        </is>
      </c>
      <c r="X170" t="inlineStr">
        <is>
          <t>Amaanuddin_Ahmed_Fullstack_Resume.pdf</t>
        </is>
      </c>
      <c r="Y170" t="inlineStr">
        <is>
          <t>2026-09-10</t>
        </is>
      </c>
      <c r="Z170" t="inlineStr">
        <is>
          <t>Strong alignment with target Full Stack Development and startup/MVP environment; Remote work mode matches flexibility needs; Stipend falls within an acceptable range close to minimum target</t>
        </is>
      </c>
      <c r="AA170" t="inlineStr">
        <is>
          <t>ELIGIBLE</t>
        </is>
      </c>
      <c r="AB170" t="inlineStr">
        <is>
          <t>Candidate is pursuing MCA; No specific degree or experience blockers mentioned in the JD</t>
        </is>
      </c>
      <c r="AC170" t="inlineStr">
        <is>
          <t>UNKNOWN</t>
        </is>
      </c>
      <c r="AD170" t="inlineStr">
        <is>
          <t>Not specified in candidate profile or job description</t>
        </is>
      </c>
      <c r="AE170" t="inlineStr">
        <is>
          <t>PAID</t>
        </is>
      </c>
      <c r="AF170" t="n">
        <v>20000</v>
      </c>
      <c r="AG170" t="inlineStr">
        <is>
          <t>No</t>
        </is>
      </c>
      <c r="AH170" t="inlineStr">
        <is>
          <t>UNKNOWN</t>
        </is>
      </c>
      <c r="AI170" t="inlineStr">
        <is>
          <t>No explicit PPO or conversion mention found in the job description</t>
        </is>
      </c>
      <c r="AL170" t="inlineStr">
        <is>
          <t>MERN stack architecture and state management; API design and third-party integrations; Early stage MVP development and codebase scaling; Experience with conversational or AI-driven web apps</t>
        </is>
      </c>
      <c r="AM170" t="inlineStr">
        <is>
          <t>E:\InternshipHunter\applications\adzuna-4fd638d3d3c7</t>
        </is>
      </c>
      <c r="AN170" t="inlineStr">
        <is>
          <t>Ready for Review</t>
        </is>
      </c>
      <c r="AO170" t="inlineStr">
        <is>
          <t>Generated</t>
        </is>
      </c>
      <c r="AP170" t="inlineStr">
        <is>
          <t>Generated</t>
        </is>
      </c>
      <c r="AQ170" t="inlineStr">
        <is>
          <t>Generated</t>
        </is>
      </c>
      <c r="AR170" t="inlineStr">
        <is>
          <t>Ready to Apply</t>
        </is>
      </c>
    </row>
    <row r="171">
      <c r="A171" t="inlineStr">
        <is>
          <t>FLICKIT-260910-125</t>
        </is>
      </c>
      <c r="B171" t="inlineStr">
        <is>
          <t>Flickit</t>
        </is>
      </c>
      <c r="C171" t="inlineStr">
        <is>
          <t>Full Stack Development-Intern</t>
        </is>
      </c>
      <c r="D171" t="inlineStr">
        <is>
          <t>https://www.adzuna.in/details/4971284468?utm_medium=api&amp;utm_source=5ccdc27f</t>
        </is>
      </c>
      <c r="E171" t="inlineStr">
        <is>
          <t>AI Analyzer</t>
        </is>
      </c>
      <c r="F171" t="inlineStr">
        <is>
          <t>Bangalore, Karnataka</t>
        </is>
      </c>
      <c r="G171" t="inlineStr">
        <is>
          <t>On-site / Unspecified</t>
        </is>
      </c>
      <c r="H171" t="inlineStr">
        <is>
          <t>Not specified</t>
        </is>
      </c>
      <c r="I171" t="inlineStr">
        <is>
          <t>Unspecified</t>
        </is>
      </c>
      <c r="J171" t="inlineStr">
        <is>
          <t>UNKNOWN</t>
        </is>
      </c>
      <c r="K171" t="inlineStr">
        <is>
          <t>Flutter; React; Full Stack Development</t>
        </is>
      </c>
      <c r="L171" t="inlineStr">
        <is>
          <t>Mobile App Development; Web App Development</t>
        </is>
      </c>
      <c r="M171" t="inlineStr">
        <is>
          <t>Job Description: We are looking for a talented and motivated Full Stack Development Intern to join our team. This internship offers an exciting opportunity to work on real-world project, enhance your skills, and gain hands-on experience in full-stack development using Flutter for mobile applications and React for web development. Key Responsibilities: Mobile App Development: Collaborate on buildin</t>
        </is>
      </c>
      <c r="N171" t="n">
        <v>64</v>
      </c>
      <c r="O171" t="n">
        <v>20</v>
      </c>
      <c r="P171" t="n">
        <v>18</v>
      </c>
      <c r="Q171" t="n">
        <v>15</v>
      </c>
      <c r="R171" t="n">
        <v>0</v>
      </c>
      <c r="S171" t="n">
        <v>5</v>
      </c>
      <c r="T171" t="n">
        <v>6</v>
      </c>
      <c r="U171" t="inlineStr">
        <is>
          <t>STRETCH</t>
        </is>
      </c>
      <c r="V171" t="inlineStr">
        <is>
          <t>STRETCH</t>
        </is>
      </c>
      <c r="W171" t="inlineStr">
        <is>
          <t>Flutter</t>
        </is>
      </c>
      <c r="X171" t="inlineStr">
        <is>
          <t>Default Full Stack / MERN Resume</t>
        </is>
      </c>
      <c r="Y171" t="inlineStr">
        <is>
          <t>2026-09-10</t>
        </is>
      </c>
      <c r="Z171" t="inlineStr">
        <is>
          <t>Matches target Full Stack Development role.; Located in Bangalore.; Uses React for web development, aligning with candidate's MERN stack experience.</t>
        </is>
      </c>
      <c r="AA171" t="inlineStr">
        <is>
          <t>ELIGIBLE</t>
        </is>
      </c>
      <c r="AB171" t="inlineStr">
        <is>
          <t>Candidate is pursuing MCA at PES University and matches full stack intern profile.; No explicit degree or hard graduation-year blockers found in the snippet.</t>
        </is>
      </c>
      <c r="AC171" t="inlineStr">
        <is>
          <t>UNKNOWN</t>
        </is>
      </c>
      <c r="AD171" t="inlineStr">
        <is>
          <t>Candidate availability relative to company timeline is not specified.</t>
        </is>
      </c>
      <c r="AE171" t="inlineStr">
        <is>
          <t>UNKNOWN</t>
        </is>
      </c>
      <c r="AF171" t="n">
        <v>0</v>
      </c>
      <c r="AG171" t="inlineStr">
        <is>
          <t>No</t>
        </is>
      </c>
      <c r="AH171" t="inlineStr">
        <is>
          <t>UNKNOWN</t>
        </is>
      </c>
      <c r="AI171" t="inlineStr">
        <is>
          <t>No mention of PPO or conversion in the job description snippet.</t>
        </is>
      </c>
      <c r="AK171" t="inlineStr">
        <is>
          <t>Incomplete job description snippet; Stipend not disclosed</t>
        </is>
      </c>
      <c r="AL171" t="inlineStr">
        <is>
          <t>React.js state management and web development; Flutter fundamentals for cross-platform mobile apps; REST API integration; Previous full stack projects like StaySphere and Zenvest</t>
        </is>
      </c>
    </row>
    <row r="172">
      <c r="A172" t="inlineStr">
        <is>
          <t>SPACENOS-260910-126</t>
        </is>
      </c>
      <c r="B172" t="inlineStr">
        <is>
          <t>Spacenos</t>
        </is>
      </c>
      <c r="C172" t="inlineStr">
        <is>
          <t>Full Stack Developer Intern</t>
        </is>
      </c>
      <c r="D172" t="inlineStr">
        <is>
          <t>https://www.adzuna.in/details/3095392880?utm_medium=api&amp;utm_source=5ccdc27f</t>
        </is>
      </c>
      <c r="E172" t="inlineStr">
        <is>
          <t>AI Analyzer</t>
        </is>
      </c>
      <c r="F172" t="inlineStr">
        <is>
          <t>India</t>
        </is>
      </c>
      <c r="G172" t="inlineStr">
        <is>
          <t>UNKNOWN</t>
        </is>
      </c>
      <c r="H172" t="inlineStr">
        <is>
          <t>INR. 5,000 to INR. 15,000 per month</t>
        </is>
      </c>
      <c r="I172" t="inlineStr">
        <is>
          <t>UNKNOWN</t>
        </is>
      </c>
      <c r="J172" t="inlineStr">
        <is>
          <t>NOT_MENTIONED</t>
        </is>
      </c>
      <c r="K172" t="inlineStr">
        <is>
          <t>JavaScript; ReactJs; NodeJs; Firebase; Firestore Functions; Git</t>
        </is>
      </c>
      <c r="L172" t="inlineStr">
        <is>
          <t>Code versioning tools</t>
        </is>
      </c>
      <c r="M172" t="inlineStr">
        <is>
          <t>Stipend: INR. 5,000 to INR. 15,000 per month Performance Bonus Goodies for Elites We are looking for skilled Full Stack Developer interns who can oversee the complete software development road cycle at Spacenos and work on building amazing products. Skills Required Experience with JavaScript and ReactJs framework. Experience with NodeJs, Firebase and Firestore Functions. Candidates should have the</t>
        </is>
      </c>
      <c r="N172" t="n">
        <v>53</v>
      </c>
      <c r="O172" t="n">
        <v>70</v>
      </c>
      <c r="P172" t="n">
        <v>70</v>
      </c>
      <c r="Q172" t="n">
        <v>80</v>
      </c>
      <c r="R172" t="n">
        <v>0</v>
      </c>
      <c r="S172" t="n">
        <v>20</v>
      </c>
      <c r="T172" t="n">
        <v>50</v>
      </c>
      <c r="U172" t="inlineStr">
        <is>
          <t>SKIP</t>
        </is>
      </c>
      <c r="V172" t="inlineStr">
        <is>
          <t>SKIP</t>
        </is>
      </c>
      <c r="W172" t="inlineStr">
        <is>
          <t>Firebase; Firestore Functions</t>
        </is>
      </c>
      <c r="X172" t="inlineStr">
        <is>
          <t>Amaan_MERN_Resume.pdf</t>
        </is>
      </c>
      <c r="Y172" t="inlineStr">
        <is>
          <t>2026-09-10</t>
        </is>
      </c>
      <c r="Z172" t="inlineStr">
        <is>
          <t>Matches target Full Stack Developer role; Requires MERN stack technologies like React and Node</t>
        </is>
      </c>
      <c r="AA172" t="inlineStr">
        <is>
          <t>ELIGIBLE</t>
        </is>
      </c>
      <c r="AC172" t="inlineStr">
        <is>
          <t>UNKNOWN</t>
        </is>
      </c>
      <c r="AD172" t="inlineStr">
        <is>
          <t>Candidate availability is not specified in the career brain.</t>
        </is>
      </c>
      <c r="AE172" t="inlineStr">
        <is>
          <t>PAID</t>
        </is>
      </c>
      <c r="AF172" t="n">
        <v>5000</v>
      </c>
      <c r="AG172" t="inlineStr">
        <is>
          <t>No</t>
        </is>
      </c>
      <c r="AH172" t="inlineStr">
        <is>
          <t>NOT_MENTIONED</t>
        </is>
      </c>
      <c r="AI172" t="inlineStr">
        <is>
          <t>No mention of PPO or conversion in the job description.</t>
        </is>
      </c>
      <c r="AK172" t="inlineStr">
        <is>
          <t>Stipend is below the minimum target of ₹25,000/month</t>
        </is>
      </c>
      <c r="AL172" t="inlineStr">
        <is>
          <t>JavaScript ES6+; React.js state management and hooks; Node.js event loop and asynchronous programming; Firebase and Firestore functions experience; Git workflow</t>
        </is>
      </c>
    </row>
    <row r="173">
      <c r="A173" t="inlineStr">
        <is>
          <t>INSTAWEB-LAB-260910-127</t>
        </is>
      </c>
      <c r="B173" t="inlineStr">
        <is>
          <t>InstaWeb Labs Pvt Ltd</t>
        </is>
      </c>
      <c r="C173" t="inlineStr">
        <is>
          <t>Full Stack Development Intern</t>
        </is>
      </c>
      <c r="D173" t="inlineStr">
        <is>
          <t>https://www.adzuna.in/details/5625720116?utm_medium=api&amp;utm_source=5ccdc27f</t>
        </is>
      </c>
      <c r="E173" t="inlineStr">
        <is>
          <t>AI Analyzer</t>
        </is>
      </c>
      <c r="F173" t="inlineStr">
        <is>
          <t>Mumbai or Remote</t>
        </is>
      </c>
      <c r="G173" t="inlineStr">
        <is>
          <t>Remote / Hybrid</t>
        </is>
      </c>
      <c r="H173" t="inlineStr">
        <is>
          <t>Not specified</t>
        </is>
      </c>
      <c r="I173" t="inlineStr">
        <is>
          <t>3 to 6 months</t>
        </is>
      </c>
      <c r="J173" t="inlineStr">
        <is>
          <t>NOT_MENTIONED</t>
        </is>
      </c>
      <c r="K173" t="inlineStr">
        <is>
          <t>Frontend Development; Backend Development</t>
        </is>
      </c>
      <c r="L173" t="inlineStr">
        <is>
          <t>Full Stack Development</t>
        </is>
      </c>
      <c r="M173" t="inlineStr">
        <is>
          <t>Location: Mumbai or Remote Duration: 3 to 6 months About the Role Websites.co.in is looking for a Full Stack Developer Intern to support our engineering team across backend and frontend development. You will work on real product features and fixes across our website builder platform used by small businesses globally. This role is designed for learners who want practical full stack exposure. You wi</t>
        </is>
      </c>
      <c r="N173" t="n">
        <v>79</v>
      </c>
      <c r="O173" t="n">
        <v>27</v>
      </c>
      <c r="P173" t="n">
        <v>18</v>
      </c>
      <c r="Q173" t="n">
        <v>14</v>
      </c>
      <c r="R173" t="n">
        <v>7</v>
      </c>
      <c r="S173" t="n">
        <v>5</v>
      </c>
      <c r="T173" t="n">
        <v>8</v>
      </c>
      <c r="U173" t="inlineStr">
        <is>
          <t>CONSIDER</t>
        </is>
      </c>
      <c r="V173" t="inlineStr">
        <is>
          <t>CONSIDER</t>
        </is>
      </c>
      <c r="X173" t="inlineStr">
        <is>
          <t>Amaanuddin_Ahmed_Full_Stack_Resume.pdf</t>
        </is>
      </c>
      <c r="Y173" t="inlineStr">
        <is>
          <t>2026-09-10</t>
        </is>
      </c>
      <c r="Z173" t="inlineStr">
        <is>
          <t>Strong alignment with target Full Stack Development role; Great match with candidate's MERN stack experience (StaySphere, Zenvest); Offers practical exposure across backend and frontend engineering</t>
        </is>
      </c>
      <c r="AA173" t="inlineStr">
        <is>
          <t>ELIGIBLE</t>
        </is>
      </c>
      <c r="AB173" t="inlineStr">
        <is>
          <t>No specific degree or experience blockers mentioned in the short JD</t>
        </is>
      </c>
      <c r="AC173" t="inlineStr">
        <is>
          <t>UNKNOWN</t>
        </is>
      </c>
      <c r="AD173" t="inlineStr">
        <is>
          <t>Candidate availability constraints are not provided</t>
        </is>
      </c>
      <c r="AE173" t="inlineStr">
        <is>
          <t>UNKNOWN</t>
        </is>
      </c>
      <c r="AF173" t="n">
        <v>0</v>
      </c>
      <c r="AG173" t="inlineStr">
        <is>
          <t>No</t>
        </is>
      </c>
      <c r="AH173" t="inlineStr">
        <is>
          <t>NOT_MENTIONED</t>
        </is>
      </c>
      <c r="AI173" t="inlineStr">
        <is>
          <t>No explicit PPO or conversion mention found in the truncated JD</t>
        </is>
      </c>
      <c r="AK173" t="inlineStr">
        <is>
          <t>Stipend information is missing</t>
        </is>
      </c>
      <c r="AL173" t="inlineStr">
        <is>
          <t>MERN stack architecture; REST API design and debugging; Frontend state management in React; Previous full stack projects like StaySphere or Zenvest</t>
        </is>
      </c>
    </row>
    <row r="174">
      <c r="A174" t="inlineStr">
        <is>
          <t>CYPHEROCK-260910-128</t>
        </is>
      </c>
      <c r="B174" t="inlineStr">
        <is>
          <t>Cypherock</t>
        </is>
      </c>
      <c r="C174" t="inlineStr">
        <is>
          <t>Full Stack Developer Intern</t>
        </is>
      </c>
      <c r="D174" t="inlineStr">
        <is>
          <t>https://www.adzuna.in/details/2883808203?utm_medium=api&amp;utm_source=5ccdc27f</t>
        </is>
      </c>
      <c r="E174" t="inlineStr">
        <is>
          <t>AI Analyzer</t>
        </is>
      </c>
      <c r="F174" t="inlineStr">
        <is>
          <t>Delhi, India</t>
        </is>
      </c>
      <c r="G174" t="inlineStr">
        <is>
          <t>On-site</t>
        </is>
      </c>
      <c r="H174" t="inlineStr">
        <is>
          <t>Not specified</t>
        </is>
      </c>
      <c r="I174" t="inlineStr">
        <is>
          <t>UNKNOWN</t>
        </is>
      </c>
      <c r="J174" t="inlineStr">
        <is>
          <t>NOT_MENTIONED</t>
        </is>
      </c>
      <c r="K174" t="inlineStr">
        <is>
          <t>Full Stack Development</t>
        </is>
      </c>
      <c r="L174" t="inlineStr">
        <is>
          <t>Blockchain; Security; Embedded Hardware; Cryptography</t>
        </is>
      </c>
      <c r="M174" t="inlineStr">
        <is>
          <t>At Cypherock, We are disrupting the current financial system by increasing the adoption of Blockchain-based digital assets through better key management solutions. We build "Worlds' first products" from India, work at the intersection of Blockchain, Security, Embedded Hardware and Cryptography, and have worked with companies like Google, Blockgeeks, Samsung, Lockheed Martin, Apollo Munich, Bank of</t>
        </is>
      </c>
      <c r="N174" t="n">
        <v>48</v>
      </c>
      <c r="O174" t="n">
        <v>60</v>
      </c>
      <c r="P174" t="n">
        <v>70</v>
      </c>
      <c r="Q174" t="n">
        <v>70</v>
      </c>
      <c r="R174" t="n">
        <v>0</v>
      </c>
      <c r="S174" t="n">
        <v>0</v>
      </c>
      <c r="T174" t="n">
        <v>60</v>
      </c>
      <c r="U174" t="inlineStr">
        <is>
          <t>SKIP</t>
        </is>
      </c>
      <c r="V174" t="inlineStr">
        <is>
          <t>SKIP</t>
        </is>
      </c>
      <c r="W174" t="inlineStr">
        <is>
          <t>Blockchain; Cryptography; Embedded Hardware</t>
        </is>
      </c>
      <c r="X174" t="inlineStr">
        <is>
          <t>Amaanuddin_Ahmed_Full_Stack_Resume.pdf</t>
        </is>
      </c>
      <c r="Y174" t="inlineStr">
        <is>
          <t>2026-09-10</t>
        </is>
      </c>
      <c r="Z174" t="inlineStr">
        <is>
          <t>Matches target Full Stack Developer role.</t>
        </is>
      </c>
      <c r="AA174" t="inlineStr">
        <is>
          <t>ELIGIBLE</t>
        </is>
      </c>
      <c r="AB174" t="inlineStr">
        <is>
          <t>No specific degree or experience blockers mentioned in the snippet.</t>
        </is>
      </c>
      <c r="AC174" t="inlineStr">
        <is>
          <t>UNKNOWN</t>
        </is>
      </c>
      <c r="AD174" t="inlineStr">
        <is>
          <t>Candidate availability timeline not specified in career brain.</t>
        </is>
      </c>
      <c r="AE174" t="inlineStr">
        <is>
          <t>UNKNOWN</t>
        </is>
      </c>
      <c r="AF174" t="n">
        <v>0</v>
      </c>
      <c r="AG174" t="inlineStr">
        <is>
          <t>No</t>
        </is>
      </c>
      <c r="AH174" t="inlineStr">
        <is>
          <t>NOT_MENTIONED</t>
        </is>
      </c>
      <c r="AI174" t="inlineStr">
        <is>
          <t>No mention of PPO or conversion in the provided snippet.</t>
        </is>
      </c>
      <c r="AK174" t="inlineStr">
        <is>
          <t>Incomplete job description provided</t>
        </is>
      </c>
      <c r="AL174" t="inlineStr">
        <is>
          <t>Full Stack Architecture; JavaScript Fundamentals; Web Security Concepts</t>
        </is>
      </c>
    </row>
    <row r="175">
      <c r="A175" t="inlineStr">
        <is>
          <t>TRANSFI-260910-129</t>
        </is>
      </c>
      <c r="B175" t="inlineStr">
        <is>
          <t>TransFi</t>
        </is>
      </c>
      <c r="C175" t="inlineStr">
        <is>
          <t>MERN Full Stack Developer Intern</t>
        </is>
      </c>
      <c r="D175" t="inlineStr">
        <is>
          <t>https://www.adzuna.in/details/4476844222?utm_medium=api&amp;utm_source=5ccdc27f</t>
        </is>
      </c>
      <c r="E175" t="inlineStr">
        <is>
          <t>AI Analyzer</t>
        </is>
      </c>
      <c r="F175" t="inlineStr">
        <is>
          <t>Mysore, Karnataka</t>
        </is>
      </c>
      <c r="G175" t="inlineStr">
        <is>
          <t>UNKNOWN</t>
        </is>
      </c>
      <c r="H175" t="inlineStr">
        <is>
          <t>Not specified</t>
        </is>
      </c>
      <c r="I175" t="inlineStr">
        <is>
          <t>UNKNOWN</t>
        </is>
      </c>
      <c r="J175" t="inlineStr">
        <is>
          <t>UNKNOWN</t>
        </is>
      </c>
      <c r="K175" t="inlineStr">
        <is>
          <t>JavaScript; Node.js; Express.js; React.js; MongoDB; RESTful services; Unit and Integration tests</t>
        </is>
      </c>
      <c r="L175" t="inlineStr">
        <is>
          <t>Cross-functional teamwork</t>
        </is>
      </c>
      <c r="M175" t="inlineStr">
        <is>
          <t>Binding of UI elements to JavaScript object models Creating RESTful services with Node.js MERN stack developer must have proven experience in front &amp; back-end development Work in a cross-functional team to deliver a complete user experience Developer must expertise into MongoDB, Express, Node.js, &amp; React. Create Unit and Integration tests to ensure the quality of code MERN full stack developer mus</t>
        </is>
      </c>
      <c r="N175" t="n">
        <v>74</v>
      </c>
      <c r="O175" t="n">
        <v>27</v>
      </c>
      <c r="P175" t="n">
        <v>16</v>
      </c>
      <c r="Q175" t="n">
        <v>14</v>
      </c>
      <c r="R175" t="n">
        <v>5</v>
      </c>
      <c r="S175" t="n">
        <v>5</v>
      </c>
      <c r="T175" t="n">
        <v>7</v>
      </c>
      <c r="U175" t="inlineStr">
        <is>
          <t>CONSIDER</t>
        </is>
      </c>
      <c r="V175" t="inlineStr">
        <is>
          <t>CONSIDER</t>
        </is>
      </c>
      <c r="W175" t="inlineStr">
        <is>
          <t>Unit and Integration testsing in production context</t>
        </is>
      </c>
      <c r="X175" t="inlineStr">
        <is>
          <t>Amaanuddin_Ahmed_Fullstack_Resume.pdf</t>
        </is>
      </c>
      <c r="Y175" t="inlineStr">
        <is>
          <t>2026-09-10</t>
        </is>
      </c>
      <c r="Z175" t="inlineStr">
        <is>
          <t>Direct match with Amaan's core MERN stack skill set (MongoDB, Express, React, Node).; Great opportunity to build full stack engineering experience.</t>
        </is>
      </c>
      <c r="AA175" t="inlineStr">
        <is>
          <t>ELIGIBLE</t>
        </is>
      </c>
      <c r="AB175" t="inlineStr">
        <is>
          <t>Candidate is pursuing MCA at PES University and aligns with software/full-stack internship roles.; No explicit graduation year or strict degree blockers specified in the snippet.</t>
        </is>
      </c>
      <c r="AC175" t="inlineStr">
        <is>
          <t>UNKNOWN</t>
        </is>
      </c>
      <c r="AD175" t="inlineStr">
        <is>
          <t>Availability not explicitly specified in the job description or career brain.</t>
        </is>
      </c>
      <c r="AE175" t="inlineStr">
        <is>
          <t>UNKNOWN</t>
        </is>
      </c>
      <c r="AF175" t="n">
        <v>0</v>
      </c>
      <c r="AG175" t="inlineStr">
        <is>
          <t>No</t>
        </is>
      </c>
      <c r="AH175" t="inlineStr">
        <is>
          <t>UNKNOWN</t>
        </is>
      </c>
      <c r="AI175" t="inlineStr">
        <is>
          <t>No explicit mention of PPO or conversion in the job description.</t>
        </is>
      </c>
      <c r="AK175" t="inlineStr">
        <is>
          <t>Stipend is not disclosed.</t>
        </is>
      </c>
      <c r="AL175" t="inlineStr">
        <is>
          <t>MERN stack architecture and state management; RESTful API design and implementation in Node.js; MongoDB schema design and aggregation; Unit and integration testing practices</t>
        </is>
      </c>
    </row>
    <row r="176">
      <c r="A176" t="inlineStr">
        <is>
          <t>KEYSHADE-260910-130</t>
        </is>
      </c>
      <c r="B176" t="inlineStr">
        <is>
          <t>keyshade</t>
        </is>
      </c>
      <c r="C176" t="inlineStr">
        <is>
          <t>Full-Stack Developer Intern</t>
        </is>
      </c>
      <c r="D176" t="inlineStr">
        <is>
          <t>https://www.adzuna.in/details/5006488241?utm_medium=api&amp;utm_source=5ccdc27f</t>
        </is>
      </c>
      <c r="E176" t="inlineStr">
        <is>
          <t>AI Analyzer</t>
        </is>
      </c>
      <c r="F176" t="inlineStr">
        <is>
          <t>India</t>
        </is>
      </c>
      <c r="G176" t="inlineStr">
        <is>
          <t>Remote / Unspecified</t>
        </is>
      </c>
      <c r="H176" t="inlineStr">
        <is>
          <t>Not Specified</t>
        </is>
      </c>
      <c r="I176" t="inlineStr">
        <is>
          <t>Not Specified</t>
        </is>
      </c>
      <c r="J176" t="inlineStr">
        <is>
          <t>UNKNOWN</t>
        </is>
      </c>
      <c r="K176" t="inlineStr">
        <is>
          <t>Full Stack Development; GitHub contribution</t>
        </is>
      </c>
      <c r="L176" t="inlineStr">
        <is>
          <t>Collaborative skills</t>
        </is>
      </c>
      <c r="M176" t="inlineStr">
        <is>
          <t>Due to the high volume of applicants, we are only able to interview candidates who have actively contributed to Keyshade by attempting at least one of our GitHub (https://git.new/keyshade) issues. It’s okay if your PR doesn’t get merged—we are looking for genuine effort. Please include your GitHub username in the question section of this job post. We’re looking for a talented Full Stack Intern who</t>
        </is>
      </c>
      <c r="N176" t="n">
        <v>70</v>
      </c>
      <c r="O176" t="n">
        <v>25</v>
      </c>
      <c r="P176" t="n">
        <v>20</v>
      </c>
      <c r="Q176" t="n">
        <v>15</v>
      </c>
      <c r="R176" t="n">
        <v>5</v>
      </c>
      <c r="S176" t="n">
        <v>0</v>
      </c>
      <c r="T176" t="n">
        <v>5</v>
      </c>
      <c r="U176" t="inlineStr">
        <is>
          <t>CONSIDER</t>
        </is>
      </c>
      <c r="V176" t="inlineStr">
        <is>
          <t>CONSIDER</t>
        </is>
      </c>
      <c r="X176" t="inlineStr">
        <is>
          <t>Amaanuddin_Ahmed_FullStack_Resume.pdf</t>
        </is>
      </c>
      <c r="Y176" t="inlineStr">
        <is>
          <t>2026-09-10</t>
        </is>
      </c>
      <c r="Z176" t="inlineStr">
        <is>
          <t>Aligns with target Full Stack Development role.; Allows showcasing practical open-source contribution.</t>
        </is>
      </c>
      <c r="AA176" t="inlineStr">
        <is>
          <t>Eligible with conditions</t>
        </is>
      </c>
      <c r="AB176" t="inlineStr">
        <is>
          <t>Requires active contribution to Keyshade GitHub repository by attempting at least one issue prior to interview.</t>
        </is>
      </c>
      <c r="AC176" t="inlineStr">
        <is>
          <t>UNKNOWN</t>
        </is>
      </c>
      <c r="AD176" t="inlineStr">
        <is>
          <t>Candidate availability details are not provided in the career brain.</t>
        </is>
      </c>
      <c r="AE176" t="inlineStr">
        <is>
          <t>UNKNOWN</t>
        </is>
      </c>
      <c r="AF176" t="n">
        <v>0</v>
      </c>
      <c r="AG176" t="inlineStr">
        <is>
          <t>No</t>
        </is>
      </c>
      <c r="AH176" t="inlineStr">
        <is>
          <t>UNKNOWN</t>
        </is>
      </c>
      <c r="AI176" t="inlineStr">
        <is>
          <t>No explicit PPO or conversion mention found in the job description snippet.</t>
        </is>
      </c>
      <c r="AJ176" t="inlineStr">
        <is>
          <t>Must attempt at least one GitHub issue on Keyshade repo to be considered for interview.</t>
        </is>
      </c>
      <c r="AK176" t="inlineStr">
        <is>
          <t>High volume of applicants and strict prerequisite GitHub contribution requirement.</t>
        </is>
      </c>
      <c r="AL176" t="inlineStr">
        <is>
          <t>GitHub PR contribution discussion; Full stack development projects; Problem solving approach</t>
        </is>
      </c>
    </row>
    <row r="177">
      <c r="A177" t="inlineStr">
        <is>
          <t>GETA-AI-LABS-260910-131</t>
        </is>
      </c>
      <c r="B177" t="inlineStr">
        <is>
          <t>Geta AI Labs Pvt Ltd</t>
        </is>
      </c>
      <c r="C177" t="inlineStr">
        <is>
          <t>Full Stack Development Intern (MERN Python)</t>
        </is>
      </c>
      <c r="D177" t="inlineStr">
        <is>
          <t>https://www.adzuna.in/details/5876449427?utm_medium=api&amp;utm_source=5ccdc27f</t>
        </is>
      </c>
      <c r="E177" t="inlineStr">
        <is>
          <t>AI Analyzer</t>
        </is>
      </c>
      <c r="F177" t="inlineStr">
        <is>
          <t>Pune, Maharashtra</t>
        </is>
      </c>
      <c r="G177" t="inlineStr">
        <is>
          <t>unknown</t>
        </is>
      </c>
      <c r="H177" t="inlineStr">
        <is>
          <t>unknown</t>
        </is>
      </c>
      <c r="I177" t="inlineStr">
        <is>
          <t>unknown</t>
        </is>
      </c>
      <c r="J177" t="inlineStr">
        <is>
          <t>not mentioned</t>
        </is>
      </c>
      <c r="K177" t="inlineStr">
        <is>
          <t>MERN stack; Python; Full Stack Development</t>
        </is>
      </c>
      <c r="M177" t="inlineStr">
        <is>
          <t>We are looking for a highly motivated and curious Full Stack Development Intern to join our engineering team. In this role, you will gain hands-on experience building scalable web applications and backend services. You will work across the entire stack, utilizing MERN technologies alongside Python to solve real-world problems. This is an excellent opportunity to learn from experienced developers,</t>
        </is>
      </c>
      <c r="N177" t="n">
        <v>71</v>
      </c>
      <c r="O177" t="n">
        <v>27</v>
      </c>
      <c r="P177" t="n">
        <v>18</v>
      </c>
      <c r="Q177" t="n">
        <v>15</v>
      </c>
      <c r="R177" t="n">
        <v>5</v>
      </c>
      <c r="S177" t="n">
        <v>0</v>
      </c>
      <c r="T177" t="n">
        <v>6</v>
      </c>
      <c r="U177" t="inlineStr">
        <is>
          <t>CONSIDER</t>
        </is>
      </c>
      <c r="V177" t="inlineStr">
        <is>
          <t>CONSIDER</t>
        </is>
      </c>
      <c r="X177" t="inlineStr">
        <is>
          <t>Amaanuddin_Ahmed_Full_Stack_Resume.pdf</t>
        </is>
      </c>
      <c r="Y177" t="inlineStr">
        <is>
          <t>2026-09-10</t>
        </is>
      </c>
      <c r="Z177" t="inlineStr">
        <is>
          <t>Strong overlap with candidate's MERN stack and Python skill set; Great opportunity for practical full stack engineering experience</t>
        </is>
      </c>
      <c r="AA177" t="inlineStr">
        <is>
          <t>eligible</t>
        </is>
      </c>
      <c r="AB177" t="inlineStr">
        <is>
          <t>Role aligns with candidate target domain (Full Stack Development); No explicit degree or graduation-year blockers mentioned in the snippet</t>
        </is>
      </c>
      <c r="AC177" t="inlineStr">
        <is>
          <t>unknown</t>
        </is>
      </c>
      <c r="AD177" t="inlineStr">
        <is>
          <t>Candidate availability details are not provided in the career brain or job description</t>
        </is>
      </c>
      <c r="AE177" t="inlineStr">
        <is>
          <t>UNKNOWN</t>
        </is>
      </c>
      <c r="AF177" t="n">
        <v>0</v>
      </c>
      <c r="AG177" t="inlineStr">
        <is>
          <t>No</t>
        </is>
      </c>
      <c r="AH177" t="inlineStr">
        <is>
          <t>not mentioned</t>
        </is>
      </c>
      <c r="AI177" t="inlineStr">
        <is>
          <t>No explicit PPO or conversion mention found in the truncated job description</t>
        </is>
      </c>
      <c r="AK177" t="inlineStr">
        <is>
          <t>Stipend information is missing; PPO availability is not mentioned</t>
        </is>
      </c>
      <c r="AL177" t="inlineStr">
        <is>
          <t>MERN architecture and state management; Python integration with Node.js/Express backends; RESTful API design and implementation; Database modeling with MongoDB</t>
        </is>
      </c>
    </row>
    <row r="178">
      <c r="A178" t="inlineStr">
        <is>
          <t>WORQL-260910-132</t>
        </is>
      </c>
      <c r="B178" t="inlineStr">
        <is>
          <t>Worql</t>
        </is>
      </c>
      <c r="C178" t="inlineStr">
        <is>
          <t>Full-Stack Developer Intern — Next.js/TypeScript</t>
        </is>
      </c>
      <c r="D178" t="inlineStr">
        <is>
          <t>https://www.adzuna.in/details/5795401527?utm_medium=api&amp;utm_source=5ccdc27f</t>
        </is>
      </c>
      <c r="E178" t="inlineStr">
        <is>
          <t>AI Analyzer</t>
        </is>
      </c>
      <c r="F178" t="inlineStr">
        <is>
          <t>India</t>
        </is>
      </c>
      <c r="G178" t="inlineStr">
        <is>
          <t>Remote</t>
        </is>
      </c>
      <c r="H178" t="inlineStr">
        <is>
          <t>Not specified</t>
        </is>
      </c>
      <c r="I178" t="inlineStr">
        <is>
          <t>Not specified</t>
        </is>
      </c>
      <c r="J178" t="inlineStr">
        <is>
          <t>UNKNOWN</t>
        </is>
      </c>
      <c r="K178" t="inlineStr">
        <is>
          <t>Next.js; TypeScript</t>
        </is>
      </c>
      <c r="L178" t="inlineStr">
        <is>
          <t>LLM pipeline; GitHub integration</t>
        </is>
      </c>
      <c r="M178" t="inlineStr">
        <is>
          <t>Worql is building the contract and delivery infrastructure for the US-India engineering corridor. This is a founding-level engineering role. The bar is high, the ownership is real, and you'll work directly with the founder. What you'll do: ship the core product end to end. Our Next.js app assembles US-India contracts from a vetted clause library, runs a multi-pass LLM pipeline, and verifies delive</t>
        </is>
      </c>
      <c r="N178" t="n">
        <v>60</v>
      </c>
      <c r="O178" t="n">
        <v>60</v>
      </c>
      <c r="P178" t="n">
        <v>70</v>
      </c>
      <c r="Q178" t="n">
        <v>80</v>
      </c>
      <c r="R178" t="n">
        <v>50</v>
      </c>
      <c r="S178" t="n">
        <v>0</v>
      </c>
      <c r="T178" t="n">
        <v>70</v>
      </c>
      <c r="U178" t="inlineStr">
        <is>
          <t>STRETCH</t>
        </is>
      </c>
      <c r="V178" t="inlineStr">
        <is>
          <t>STRETCH</t>
        </is>
      </c>
      <c r="W178" t="inlineStr">
        <is>
          <t>Next.js; TypeScript</t>
        </is>
      </c>
      <c r="X178" t="inlineStr">
        <is>
          <t>Amaanuddin_Ahmed_Fullstack_Resume.pdf</t>
        </is>
      </c>
      <c r="Y178" t="inlineStr">
        <is>
          <t>2026-09-10</t>
        </is>
      </c>
      <c r="Z178" t="inlineStr">
        <is>
          <t>Founding-level engineering role working directly with the founder.; Aligns well with Full Stack Development target roles.</t>
        </is>
      </c>
      <c r="AA178" t="inlineStr">
        <is>
          <t>ELIGIBLE</t>
        </is>
      </c>
      <c r="AB178" t="inlineStr">
        <is>
          <t>Remote work mode aligns with candidate preferences.; Full Stack Development role matches candidate target roles.</t>
        </is>
      </c>
      <c r="AC178" t="inlineStr">
        <is>
          <t>UNKNOWN</t>
        </is>
      </c>
      <c r="AD178" t="inlineStr">
        <is>
          <t>Candidate availability details are not provided in the career brain.</t>
        </is>
      </c>
      <c r="AE178" t="inlineStr">
        <is>
          <t>UNKNOWN</t>
        </is>
      </c>
      <c r="AF178" t="n">
        <v>0</v>
      </c>
      <c r="AG178" t="inlineStr">
        <is>
          <t>No</t>
        </is>
      </c>
      <c r="AH178" t="inlineStr">
        <is>
          <t>UNKNOWN</t>
        </is>
      </c>
      <c r="AI178" t="inlineStr">
        <is>
          <t>No explicit PPO or conversion mention in the job description snippet.</t>
        </is>
      </c>
      <c r="AK178" t="inlineStr">
        <is>
          <t>Unspecified stipend</t>
        </is>
      </c>
      <c r="AL178" t="inlineStr">
        <is>
          <t>Next.js app architecture and routing; TypeScript advanced types and usage; Multi-pass LLM pipeline integration; GitHub API and webhook integration</t>
        </is>
      </c>
    </row>
    <row r="179">
      <c r="A179" t="inlineStr">
        <is>
          <t>FCC-260910-133</t>
        </is>
      </c>
      <c r="B179" t="inlineStr">
        <is>
          <t>FcC</t>
        </is>
      </c>
      <c r="C179" t="inlineStr">
        <is>
          <t>Full Stack Software Developer Intern</t>
        </is>
      </c>
      <c r="D179" t="inlineStr">
        <is>
          <t>https://www.adzuna.in/details/5845820612?utm_medium=api&amp;utm_source=5ccdc27f</t>
        </is>
      </c>
      <c r="E179" t="inlineStr">
        <is>
          <t>AI Analyzer</t>
        </is>
      </c>
      <c r="F179" t="inlineStr">
        <is>
          <t>Delhi, India</t>
        </is>
      </c>
      <c r="G179" t="inlineStr">
        <is>
          <t>Remote</t>
        </is>
      </c>
      <c r="H179" t="inlineStr">
        <is>
          <t>Unpaid</t>
        </is>
      </c>
      <c r="I179" t="inlineStr">
        <is>
          <t>6 Months</t>
        </is>
      </c>
      <c r="J179" t="inlineStr">
        <is>
          <t>NOT_MENTIONED</t>
        </is>
      </c>
      <c r="K179" t="inlineStr">
        <is>
          <t>frontend; backend; databases; APIs; authentication; deployment</t>
        </is>
      </c>
      <c r="M179" t="inlineStr">
        <is>
          <t>Full Stack Software Developer Intern FcC Fluency Convenience Consistency Remote India About the Job Internship Type Unpaid Internship Duration 6 Months Mode Remote Joining Immediate Stipend unpaid Working Hours 4045 hours per week About the Role FcC is looking for a passionate and motivated Full Stack Software Developer Intern to join our technology team and help build and improve our EdTech platf</t>
        </is>
      </c>
      <c r="N179" t="n">
        <v>54</v>
      </c>
      <c r="O179" t="n">
        <v>25</v>
      </c>
      <c r="P179" t="n">
        <v>15</v>
      </c>
      <c r="Q179" t="n">
        <v>12</v>
      </c>
      <c r="R179" t="n">
        <v>0</v>
      </c>
      <c r="S179" t="n">
        <v>0</v>
      </c>
      <c r="T179" t="n">
        <v>2</v>
      </c>
      <c r="U179" t="inlineStr">
        <is>
          <t>SKIP</t>
        </is>
      </c>
      <c r="V179" t="inlineStr">
        <is>
          <t>SKIP</t>
        </is>
      </c>
      <c r="X179" t="inlineStr">
        <is>
          <t>Amaanuddin_Ahmed_Full_Stack_Resume.pdf</t>
        </is>
      </c>
      <c r="Y179" t="inlineStr">
        <is>
          <t>2026-09-10</t>
        </is>
      </c>
      <c r="Z179" t="inlineStr">
        <is>
          <t>Matches target role in Full Stack Development; Remote work mode</t>
        </is>
      </c>
      <c r="AA179" t="inlineStr">
        <is>
          <t>ELIGIBLE</t>
        </is>
      </c>
      <c r="AC179" t="inlineStr">
        <is>
          <t>UNKNOWN</t>
        </is>
      </c>
      <c r="AD179" t="inlineStr">
        <is>
          <t>Joining is immediate, but specific candidate availability dates are not provided in the career brain.</t>
        </is>
      </c>
      <c r="AE179" t="inlineStr">
        <is>
          <t>UNPAID</t>
        </is>
      </c>
      <c r="AF179" t="n">
        <v>0</v>
      </c>
      <c r="AG179" t="inlineStr">
        <is>
          <t>No</t>
        </is>
      </c>
      <c r="AH179" t="inlineStr">
        <is>
          <t>NOT_MENTIONED</t>
        </is>
      </c>
      <c r="AI179" t="inlineStr">
        <is>
          <t>No mention of Pre-Placement Offer (PPO) or conversion in the job description.</t>
        </is>
      </c>
      <c r="AK179" t="inlineStr">
        <is>
          <t>Unpaid internship; High working hours (40-45 hours per week) for zero compensation</t>
        </is>
      </c>
      <c r="AL179" t="inlineStr">
        <is>
          <t>MERN stack architecture; API design and authentication; Deployment and cloud basics</t>
        </is>
      </c>
    </row>
    <row r="180">
      <c r="A180" t="inlineStr">
        <is>
          <t>BIZDATEUP-TE-260910-134</t>
        </is>
      </c>
      <c r="B180" t="inlineStr">
        <is>
          <t>Bizdateup Technologies Pvt Ltd</t>
        </is>
      </c>
      <c r="C180" t="inlineStr">
        <is>
          <t>Fullstack Intern</t>
        </is>
      </c>
      <c r="D180" t="inlineStr">
        <is>
          <t>https://www.adzuna.in/details/5416883965?utm_medium=api&amp;utm_source=5ccdc27f</t>
        </is>
      </c>
      <c r="E180" t="inlineStr">
        <is>
          <t>AI Analyzer</t>
        </is>
      </c>
      <c r="F180" t="inlineStr">
        <is>
          <t>Mumbai, Maharashtra</t>
        </is>
      </c>
      <c r="G180" t="inlineStr">
        <is>
          <t>On-site</t>
        </is>
      </c>
      <c r="H180" t="inlineStr">
        <is>
          <t>As per company standards</t>
        </is>
      </c>
      <c r="I180" t="inlineStr">
        <is>
          <t>Not Specified</t>
        </is>
      </c>
      <c r="J180" t="inlineStr">
        <is>
          <t>NOT_MENTIONED</t>
        </is>
      </c>
      <c r="K180" t="inlineStr">
        <is>
          <t>Full Stack Development</t>
        </is>
      </c>
      <c r="M180" t="inlineStr">
        <is>
          <t>Full Stack Developer Intern Company: BizDateUp Pvt Ltd Location : Charni Road, Mumbai Employment Type : Internship (Immediate Joining Preferred) Experience Level: Entry / Mid-Level(0 – 1 year experience) Stipend : As per company standards About BizDateUp Pvt Ltd BizDateUp Pvt Ltd is a dynamic and fast-paced technology startup committed to building innovative solutions. We believe in fostering a co</t>
        </is>
      </c>
      <c r="N180" t="n">
        <v>65</v>
      </c>
      <c r="O180" t="n">
        <v>24</v>
      </c>
      <c r="P180" t="n">
        <v>18</v>
      </c>
      <c r="Q180" t="n">
        <v>14</v>
      </c>
      <c r="R180" t="n">
        <v>0</v>
      </c>
      <c r="S180" t="n">
        <v>3</v>
      </c>
      <c r="T180" t="n">
        <v>6</v>
      </c>
      <c r="U180" t="inlineStr">
        <is>
          <t>STRETCH</t>
        </is>
      </c>
      <c r="V180" t="inlineStr">
        <is>
          <t>STRETCH</t>
        </is>
      </c>
      <c r="X180" t="inlineStr">
        <is>
          <t>Amaanuddin_Ahmed_Full_Stack_Resume.pdf</t>
        </is>
      </c>
      <c r="Y180" t="inlineStr">
        <is>
          <t>2026-09-10</t>
        </is>
      </c>
      <c r="Z180" t="inlineStr">
        <is>
          <t>Aligns well with target Full Stack Development role; Entry-level requirement fits student profile</t>
        </is>
      </c>
      <c r="AA180" t="inlineStr">
        <is>
          <t>ELIGIBLE</t>
        </is>
      </c>
      <c r="AB180" t="inlineStr">
        <is>
          <t>Entry-level internship suitable for MCA student; Matches candidate's target Full Stack Development role</t>
        </is>
      </c>
      <c r="AC180" t="inlineStr">
        <is>
          <t>UNKNOWN</t>
        </is>
      </c>
      <c r="AD180" t="inlineStr">
        <is>
          <t>Availability not explicitly detailed in career brain</t>
        </is>
      </c>
      <c r="AE180" t="inlineStr">
        <is>
          <t>UNKNOWN</t>
        </is>
      </c>
      <c r="AF180" t="n">
        <v>0</v>
      </c>
      <c r="AG180" t="inlineStr">
        <is>
          <t>No</t>
        </is>
      </c>
      <c r="AH180" t="inlineStr">
        <is>
          <t>NOT_MENTIONED</t>
        </is>
      </c>
      <c r="AI180" t="inlineStr">
        <is>
          <t>No mention of PPO or conversion in the job description</t>
        </is>
      </c>
      <c r="AK180" t="inlineStr">
        <is>
          <t>Stipend is undisclosed ('As per company standards')</t>
        </is>
      </c>
      <c r="AL180" t="inlineStr">
        <is>
          <t>Full stack web development architecture; MERN stack projects discussion; API development and integration; Problem-solving and debugging</t>
        </is>
      </c>
    </row>
    <row r="181">
      <c r="A181" t="inlineStr">
        <is>
          <t>MERIDA-TECH--260910-135</t>
        </is>
      </c>
      <c r="B181" t="inlineStr">
        <is>
          <t>Merida Tech Minds Pvt Ltd</t>
        </is>
      </c>
      <c r="C181" t="inlineStr">
        <is>
          <t>Python Full Stack Developer Intern</t>
        </is>
      </c>
      <c r="D181" t="inlineStr">
        <is>
          <t>https://www.adzuna.in/details/5006723441?utm_medium=api&amp;utm_source=5ccdc27f</t>
        </is>
      </c>
      <c r="E181" t="inlineStr">
        <is>
          <t>AI Analyzer</t>
        </is>
      </c>
      <c r="F181" t="inlineStr">
        <is>
          <t>Bangalore, Karnataka</t>
        </is>
      </c>
      <c r="G181" t="inlineStr">
        <is>
          <t>Unknown</t>
        </is>
      </c>
      <c r="I181" t="inlineStr">
        <is>
          <t>Unknown</t>
        </is>
      </c>
      <c r="J181" t="inlineStr">
        <is>
          <t>Not Mentioned</t>
        </is>
      </c>
      <c r="K181" t="inlineStr">
        <is>
          <t>Python; Django; Flask; HTML; CSS; JavaScript</t>
        </is>
      </c>
      <c r="L181" t="inlineStr">
        <is>
          <t>React; Angular</t>
        </is>
      </c>
      <c r="M181" t="inlineStr">
        <is>
          <t>We are seeking a Python Full Stack Developer Intern with a passion for coding and learning to join our team. This role offers an excellent opportunity to work on both backend and frontend technologies in real-world projects. Responsibilities: Develop and maintain web applications using Python and relevant frameworks (e.g., Django, Flask). Build responsive front-end interfaces using HTML, CSS, and</t>
        </is>
      </c>
      <c r="N181" t="n">
        <v>63</v>
      </c>
      <c r="O181" t="n">
        <v>22</v>
      </c>
      <c r="P181" t="n">
        <v>18</v>
      </c>
      <c r="Q181" t="n">
        <v>12</v>
      </c>
      <c r="R181" t="n">
        <v>5</v>
      </c>
      <c r="S181" t="n">
        <v>0</v>
      </c>
      <c r="T181" t="n">
        <v>6</v>
      </c>
      <c r="U181" t="inlineStr">
        <is>
          <t>STRETCH</t>
        </is>
      </c>
      <c r="V181" t="inlineStr">
        <is>
          <t>STRETCH</t>
        </is>
      </c>
      <c r="W181" t="inlineStr">
        <is>
          <t>Django; Flask</t>
        </is>
      </c>
      <c r="X181" t="inlineStr">
        <is>
          <t>Default Full Stack / MERN / Python Resume</t>
        </is>
      </c>
      <c r="Y181" t="inlineStr">
        <is>
          <t>2026-09-10</t>
        </is>
      </c>
      <c r="Z181" t="inlineStr">
        <is>
          <t>Matches target role in Full Stack Development; Located in Bangalore; Uses Python and frontend technologies which align with candidate skills</t>
        </is>
      </c>
      <c r="AA181" t="inlineStr">
        <is>
          <t>Eligible</t>
        </is>
      </c>
      <c r="AB181" t="inlineStr">
        <is>
          <t>Candidate is pursuing MCA; Location matches target city Bangalore</t>
        </is>
      </c>
      <c r="AC181" t="inlineStr">
        <is>
          <t>UNKNOWN</t>
        </is>
      </c>
      <c r="AD181" t="inlineStr">
        <is>
          <t>Not specified in the candidate profile.</t>
        </is>
      </c>
      <c r="AE181" t="inlineStr">
        <is>
          <t>UNKNOWN</t>
        </is>
      </c>
      <c r="AF181" t="n">
        <v>0</v>
      </c>
      <c r="AG181" t="inlineStr">
        <is>
          <t>No</t>
        </is>
      </c>
      <c r="AH181" t="inlineStr">
        <is>
          <t>Not Mentioned</t>
        </is>
      </c>
      <c r="AI181" t="inlineStr">
        <is>
          <t>No mention of PPO or conversion in the job description.</t>
        </is>
      </c>
      <c r="AK181" t="inlineStr">
        <is>
          <t>Stipend information is missing</t>
        </is>
      </c>
      <c r="AL181" t="inlineStr">
        <is>
          <t>Python fundamentals and OOPs; Django or Flask framework basic concepts; JavaScript and React.js experience; REST API development</t>
        </is>
      </c>
    </row>
    <row r="182">
      <c r="A182" t="inlineStr">
        <is>
          <t>CROSSML-PRIV-260910-136</t>
        </is>
      </c>
      <c r="B182" t="inlineStr">
        <is>
          <t>CrossML Private Limited</t>
        </is>
      </c>
      <c r="C182" t="inlineStr">
        <is>
          <t>Intern AI Full Stack Developer</t>
        </is>
      </c>
      <c r="D182" t="inlineStr">
        <is>
          <t>https://www.adzuna.in/details/5855696631?utm_medium=api&amp;utm_source=5ccdc27f</t>
        </is>
      </c>
      <c r="E182" t="inlineStr">
        <is>
          <t>AI Analyzer</t>
        </is>
      </c>
      <c r="F182" t="inlineStr">
        <is>
          <t>Chandigarh, India</t>
        </is>
      </c>
      <c r="G182" t="inlineStr">
        <is>
          <t>unknown</t>
        </is>
      </c>
      <c r="H182" t="inlineStr">
        <is>
          <t>Not specified</t>
        </is>
      </c>
      <c r="I182" t="inlineStr">
        <is>
          <t>unknown</t>
        </is>
      </c>
      <c r="J182" t="inlineStr">
        <is>
          <t>NOT_MENTIONED</t>
        </is>
      </c>
      <c r="K182" t="inlineStr">
        <is>
          <t>Full Stack Development; AI / Machine Learning integration</t>
        </is>
      </c>
      <c r="L182" t="inlineStr">
        <is>
          <t>AI tech landscape familiarity</t>
        </is>
      </c>
      <c r="M182" t="inlineStr">
        <is>
          <t>Job Description: AI Full Stack Developer Intern About CrossML CrossML is a cutting-edge software development firm specializing in AI and machine learning solutions. We deliver innovative technologies to empower businesses and enhance operational efficiency. Join us to work on impactful projects and gain hands-on experience in the evolving AI tech landscape. Position Overview We are looking for an</t>
        </is>
      </c>
      <c r="N182" t="n">
        <v>57</v>
      </c>
      <c r="O182" t="n">
        <v>21</v>
      </c>
      <c r="P182" t="n">
        <v>14</v>
      </c>
      <c r="Q182" t="n">
        <v>11</v>
      </c>
      <c r="R182" t="n">
        <v>5</v>
      </c>
      <c r="S182" t="n">
        <v>0</v>
      </c>
      <c r="T182" t="n">
        <v>6</v>
      </c>
      <c r="U182" t="inlineStr">
        <is>
          <t>SKIP</t>
        </is>
      </c>
      <c r="V182" t="inlineStr">
        <is>
          <t>SKIP</t>
        </is>
      </c>
      <c r="W182" t="inlineStr">
        <is>
          <t>Dedicated AI/ML framework experience</t>
        </is>
      </c>
      <c r="X182" t="inlineStr">
        <is>
          <t>Amaanuddin_Ahmed_Full_Stack_Resume.pdf</t>
        </is>
      </c>
      <c r="Y182" t="inlineStr">
        <is>
          <t>2026-09-10</t>
        </is>
      </c>
      <c r="Z182" t="inlineStr">
        <is>
          <t>Aligns with Full Stack Developer and AI-adjacent software engineering targets.</t>
        </is>
      </c>
      <c r="AA182" t="inlineStr">
        <is>
          <t>ELIGIBLE</t>
        </is>
      </c>
      <c r="AB182" t="inlineStr">
        <is>
          <t>No hard degree or experience blockers mentioned in the snippet.</t>
        </is>
      </c>
      <c r="AC182" t="inlineStr">
        <is>
          <t>UNKNOWN</t>
        </is>
      </c>
      <c r="AD182" t="inlineStr">
        <is>
          <t>Availability not explicitly specified in candidate profile or job description.</t>
        </is>
      </c>
      <c r="AE182" t="inlineStr">
        <is>
          <t>UNKNOWN</t>
        </is>
      </c>
      <c r="AF182" t="n">
        <v>0</v>
      </c>
      <c r="AG182" t="inlineStr">
        <is>
          <t>No</t>
        </is>
      </c>
      <c r="AH182" t="inlineStr">
        <is>
          <t>NOT_MENTIONED</t>
        </is>
      </c>
      <c r="AI182" t="inlineStr">
        <is>
          <t>No mention of PPO or conversion to full-time in the available snippet.</t>
        </is>
      </c>
      <c r="AK182" t="inlineStr">
        <is>
          <t>Incomplete job description snippet; Undisclosed stipend</t>
        </is>
      </c>
      <c r="AL182" t="inlineStr">
        <is>
          <t>Full stack system design; AI model integration into web applications; MERN stack projects architecture</t>
        </is>
      </c>
    </row>
    <row r="183">
      <c r="A183" t="inlineStr">
        <is>
          <t>JABSA-260910-137</t>
        </is>
      </c>
      <c r="B183" t="inlineStr">
        <is>
          <t>Jabsa</t>
        </is>
      </c>
      <c r="C183" t="inlineStr">
        <is>
          <t>Internship Full stack development</t>
        </is>
      </c>
      <c r="D183" t="inlineStr">
        <is>
          <t>https://www.adzuna.in/details/5862885288?utm_medium=api&amp;utm_source=5ccdc27f</t>
        </is>
      </c>
      <c r="E183" t="inlineStr">
        <is>
          <t>AI Analyzer</t>
        </is>
      </c>
      <c r="F183" t="inlineStr">
        <is>
          <t>Belgaum, Karnataka</t>
        </is>
      </c>
      <c r="G183" t="inlineStr">
        <is>
          <t>UNKNOWN</t>
        </is>
      </c>
      <c r="I183" t="inlineStr">
        <is>
          <t>3-month</t>
        </is>
      </c>
      <c r="J183" t="inlineStr">
        <is>
          <t>NOT_MENTIONED</t>
        </is>
      </c>
      <c r="K183" t="inlineStr">
        <is>
          <t>React; Tailwind CSS; Laravel</t>
        </is>
      </c>
      <c r="M183" t="inlineStr">
        <is>
          <t>Full-Stack Development Internship This internship is a holistic opportunity for individuals eager to explore the realms of full-stack web development. Over the 3-month duration, participants will immerse themselves in three key technologies: React for dynamic user interfaces, Tailwind CSS for modern and responsive designs, and Laravel for robust backend development. Internship Highlights Hands-on</t>
        </is>
      </c>
      <c r="N183" t="n">
        <v>40</v>
      </c>
      <c r="O183" t="n">
        <v>40</v>
      </c>
      <c r="P183" t="n">
        <v>50</v>
      </c>
      <c r="Q183" t="n">
        <v>70</v>
      </c>
      <c r="R183" t="n">
        <v>0</v>
      </c>
      <c r="S183" t="n">
        <v>0</v>
      </c>
      <c r="T183" t="n">
        <v>50</v>
      </c>
      <c r="U183" t="inlineStr">
        <is>
          <t>SKIP</t>
        </is>
      </c>
      <c r="V183" t="inlineStr">
        <is>
          <t>SKIP</t>
        </is>
      </c>
      <c r="W183" t="inlineStr">
        <is>
          <t>Laravel; Tailwind CSS</t>
        </is>
      </c>
      <c r="X183" t="inlineStr">
        <is>
          <t>Amaanuddin_Ahmed_Fullstack_Resume.pdf</t>
        </is>
      </c>
      <c r="Y183" t="inlineStr">
        <is>
          <t>2026-09-10</t>
        </is>
      </c>
      <c r="Z183" t="inlineStr">
        <is>
          <t>Aligns with Full Stack Development target roles.</t>
        </is>
      </c>
      <c r="AA183" t="inlineStr">
        <is>
          <t>ELIGIBLE</t>
        </is>
      </c>
      <c r="AB183" t="inlineStr">
        <is>
          <t>No degree or graduation year hard blockers mentioned in the JD.</t>
        </is>
      </c>
      <c r="AC183" t="inlineStr">
        <is>
          <t>UNKNOWN</t>
        </is>
      </c>
      <c r="AD183" t="inlineStr">
        <is>
          <t>Not specified in candidate profile.</t>
        </is>
      </c>
      <c r="AE183" t="inlineStr">
        <is>
          <t>UNKNOWN</t>
        </is>
      </c>
      <c r="AF183" t="n">
        <v>0</v>
      </c>
      <c r="AG183" t="inlineStr">
        <is>
          <t>No</t>
        </is>
      </c>
      <c r="AH183" t="inlineStr">
        <is>
          <t>NOT_MENTIONED</t>
        </is>
      </c>
      <c r="AI183" t="inlineStr">
        <is>
          <t>No mention of PPO or conversion in the job description.</t>
        </is>
      </c>
      <c r="AK183" t="inlineStr">
        <is>
          <t>Stipend is completely unspecified.; No mention of PPO or conversion.</t>
        </is>
      </c>
      <c r="AL183" t="inlineStr">
        <is>
          <t>React component lifecycle and state management; Tailwind CSS styling and responsive design; Laravel MVC architecture and backend routing</t>
        </is>
      </c>
    </row>
    <row r="184">
      <c r="A184" t="inlineStr">
        <is>
          <t>SPACENOS-260910-138</t>
        </is>
      </c>
      <c r="B184" t="inlineStr">
        <is>
          <t>Spacenos</t>
        </is>
      </c>
      <c r="C184" t="inlineStr">
        <is>
          <t>Full Stack Developer</t>
        </is>
      </c>
      <c r="D184" t="inlineStr">
        <is>
          <t>https://www.adzuna.in/details/3095392882?utm_medium=api&amp;utm_source=5ccdc27f</t>
        </is>
      </c>
      <c r="E184" t="inlineStr">
        <is>
          <t>AI Analyzer</t>
        </is>
      </c>
      <c r="F184" t="inlineStr">
        <is>
          <t>India</t>
        </is>
      </c>
      <c r="G184" t="inlineStr">
        <is>
          <t>UNKNOWN</t>
        </is>
      </c>
      <c r="I184" t="inlineStr">
        <is>
          <t>UNKNOWN</t>
        </is>
      </c>
      <c r="J184" t="inlineStr">
        <is>
          <t>NOT_MENTIONED</t>
        </is>
      </c>
      <c r="K184" t="inlineStr">
        <is>
          <t>JavaScript; React.js; Node.js; Firebase; Firestore Functions; Git</t>
        </is>
      </c>
      <c r="L184" t="inlineStr">
        <is>
          <t>Mercurial; SVN</t>
        </is>
      </c>
      <c r="M184" t="inlineStr">
        <is>
          <t>We are looking for skilled Full Stack Developer interns who can oversee the complete software development road cycle at Spacenos and work on building amazing products. Skills Required Experience with JavaScript and ReactJs framework. Experience with NodeJs, Firebase and Firestore Functions. Candidates should have the ability to pick up new technologies quickly Knowledge of code versioning tools (s</t>
        </is>
      </c>
      <c r="N184" t="n">
        <v>59</v>
      </c>
      <c r="O184" t="n">
        <v>22</v>
      </c>
      <c r="P184" t="n">
        <v>15</v>
      </c>
      <c r="Q184" t="n">
        <v>12</v>
      </c>
      <c r="R184" t="n">
        <v>5</v>
      </c>
      <c r="S184" t="n">
        <v>0</v>
      </c>
      <c r="T184" t="n">
        <v>5</v>
      </c>
      <c r="U184" t="inlineStr">
        <is>
          <t>SKIP</t>
        </is>
      </c>
      <c r="V184" t="inlineStr">
        <is>
          <t>SKIP</t>
        </is>
      </c>
      <c r="W184" t="inlineStr">
        <is>
          <t>Firebase; Firestore Functions</t>
        </is>
      </c>
      <c r="X184" t="inlineStr">
        <is>
          <t>Amaanuddin_Ahmed_Full_Stack_Resume.pdf</t>
        </is>
      </c>
      <c r="Y184" t="inlineStr">
        <is>
          <t>2026-09-10</t>
        </is>
      </c>
      <c r="Z184" t="inlineStr">
        <is>
          <t>Aligns with Full Stack Development target role; Matches core tech stack including JavaScript, React.js, and Node.js</t>
        </is>
      </c>
      <c r="AA184" t="inlineStr">
        <is>
          <t>ELIGIBLE</t>
        </is>
      </c>
      <c r="AB184" t="inlineStr">
        <is>
          <t>Candidate has MCA background with Full Stack Development skills; No explicit degree or hard blockers mentioned in the short JD</t>
        </is>
      </c>
      <c r="AC184" t="inlineStr">
        <is>
          <t>UNKNOWN</t>
        </is>
      </c>
      <c r="AD184" t="inlineStr">
        <is>
          <t>Not specified in candidate profile or job description</t>
        </is>
      </c>
      <c r="AE184" t="inlineStr">
        <is>
          <t>UNKNOWN</t>
        </is>
      </c>
      <c r="AF184" t="n">
        <v>0</v>
      </c>
      <c r="AG184" t="inlineStr">
        <is>
          <t>No</t>
        </is>
      </c>
      <c r="AH184" t="inlineStr">
        <is>
          <t>NOT_MENTIONED</t>
        </is>
      </c>
      <c r="AI184" t="inlineStr">
        <is>
          <t>No mention of PPO or conversion in the job description</t>
        </is>
      </c>
      <c r="AK184" t="inlineStr">
        <is>
          <t>Stipend is not disclosed; PPO is not mentioned</t>
        </is>
      </c>
      <c r="AL184" t="inlineStr">
        <is>
          <t>JavaScript asynchronous programming and closures; React.js state management and lifecycle hooks; Node.js and Express backend architecture; Firebase and Firestore Functions experience; Git version control workflows</t>
        </is>
      </c>
    </row>
    <row r="185">
      <c r="A185" t="inlineStr">
        <is>
          <t>9VBYTE-260910-139</t>
        </is>
      </c>
      <c r="B185" t="inlineStr">
        <is>
          <t>9vbyte</t>
        </is>
      </c>
      <c r="C185" t="inlineStr">
        <is>
          <t>Full Stack Developer</t>
        </is>
      </c>
      <c r="D185" t="inlineStr">
        <is>
          <t>https://www.adzuna.in/details/5781956016?utm_medium=api&amp;utm_source=5ccdc27f</t>
        </is>
      </c>
      <c r="E185" t="inlineStr">
        <is>
          <t>AI Analyzer</t>
        </is>
      </c>
      <c r="F185" t="inlineStr">
        <is>
          <t>Telangana, India</t>
        </is>
      </c>
      <c r="G185" t="inlineStr">
        <is>
          <t>Unknown</t>
        </is>
      </c>
      <c r="H185" t="inlineStr">
        <is>
          <t>Not specified</t>
        </is>
      </c>
      <c r="I185" t="inlineStr">
        <is>
          <t>Unknown</t>
        </is>
      </c>
      <c r="J185" t="inlineStr">
        <is>
          <t>Not Mentioned</t>
        </is>
      </c>
      <c r="K185" t="inlineStr">
        <is>
          <t>JavaScript; Node; React; HTML/CSS; SQL; Unix; Python</t>
        </is>
      </c>
      <c r="M185" t="inlineStr">
        <is>
          <t>Education B.S. Computer Science, University of Pittsburgh, Pittsburgh, PA, 2015-2019 Skills JavaScript (Node, React) HTML/CSS SQL, Unix, Python Relevant Courses Data Structures Algorithm Design Database Computer Vision Software Design Methodology Work Experience Full Stack Developer Intern at Book of the Month (April 2019 - March 2020) Developed an in-house web app using Node, React, HTML/CSS that</t>
        </is>
      </c>
      <c r="N185" t="n">
        <v>53</v>
      </c>
      <c r="O185" t="n">
        <v>75</v>
      </c>
      <c r="P185" t="n">
        <v>70</v>
      </c>
      <c r="Q185" t="n">
        <v>80</v>
      </c>
      <c r="R185" t="n">
        <v>0</v>
      </c>
      <c r="S185" t="n">
        <v>0</v>
      </c>
      <c r="T185" t="n">
        <v>50</v>
      </c>
      <c r="U185" t="inlineStr">
        <is>
          <t>SKIP</t>
        </is>
      </c>
      <c r="V185" t="inlineStr">
        <is>
          <t>SKIP</t>
        </is>
      </c>
      <c r="W185" t="inlineStr">
        <is>
          <t>Unix</t>
        </is>
      </c>
      <c r="X185" t="inlineStr">
        <is>
          <t>Amaanuddin_Ahmed_MCA_Resume.pdf</t>
        </is>
      </c>
      <c r="Y185" t="inlineStr">
        <is>
          <t>2026-09-10</t>
        </is>
      </c>
      <c r="Z185" t="inlineStr">
        <is>
          <t>Matches core tech stack including JavaScript, Node, React, and Python</t>
        </is>
      </c>
      <c r="AA185" t="inlineStr">
        <is>
          <t>Eligible</t>
        </is>
      </c>
      <c r="AC185" t="inlineStr">
        <is>
          <t>Unknown</t>
        </is>
      </c>
      <c r="AD185" t="inlineStr">
        <is>
          <t>Not specified in candidate profile or job description</t>
        </is>
      </c>
      <c r="AE185" t="inlineStr">
        <is>
          <t>UNKNOWN</t>
        </is>
      </c>
      <c r="AF185" t="n">
        <v>0</v>
      </c>
      <c r="AG185" t="inlineStr">
        <is>
          <t>No</t>
        </is>
      </c>
      <c r="AH185" t="inlineStr">
        <is>
          <t>Not Mentioned</t>
        </is>
      </c>
      <c r="AI185" t="inlineStr">
        <is>
          <t>No mention of PPO or conversion in the job description.</t>
        </is>
      </c>
      <c r="AK185" t="inlineStr">
        <is>
          <t>Vague job description containing sample or irrelevant candidate profile snippet; Stipend not disclosed</t>
        </is>
      </c>
      <c r="AL185" t="inlineStr">
        <is>
          <t>Node.js and React architecture; SQL database design; Python scripting; Unix fundamentals</t>
        </is>
      </c>
    </row>
    <row r="186">
      <c r="A186" t="inlineStr">
        <is>
          <t>ZIPLR-TECHNO-260910-140</t>
        </is>
      </c>
      <c r="B186" t="inlineStr">
        <is>
          <t>Ziplr Technology</t>
        </is>
      </c>
      <c r="C186" t="inlineStr">
        <is>
          <t>Internship - Full Stack Developer</t>
        </is>
      </c>
      <c r="D186" t="inlineStr">
        <is>
          <t>https://www.adzuna.in/details/4801482006?utm_medium=api&amp;utm_source=5ccdc27f</t>
        </is>
      </c>
      <c r="E186" t="inlineStr">
        <is>
          <t>AI Analyzer</t>
        </is>
      </c>
      <c r="F186" t="inlineStr">
        <is>
          <t>Bhubaneswar</t>
        </is>
      </c>
      <c r="G186" t="inlineStr">
        <is>
          <t>On-site</t>
        </is>
      </c>
      <c r="H186" t="inlineStr">
        <is>
          <t>Not specified</t>
        </is>
      </c>
      <c r="I186" t="inlineStr">
        <is>
          <t>UNKNOWN</t>
        </is>
      </c>
      <c r="J186" t="inlineStr">
        <is>
          <t>Not Mentioned</t>
        </is>
      </c>
      <c r="K186" t="inlineStr">
        <is>
          <t>PHP</t>
        </is>
      </c>
      <c r="M186" t="inlineStr">
        <is>
          <t>Internship - Full Stack Developer Ziplr is looking for techies in PHP to join our development team. Are you the best programmer in your batch or office? Do you lose your sleep till you have solved a technical problem? Can you stay up the whole night just to write a beautiful piece of code which runs flawlessly? Note - If you answered yes to all above asked questions only then, read the below text.</t>
        </is>
      </c>
      <c r="N186" t="n">
        <v>30</v>
      </c>
      <c r="O186" t="n">
        <v>20</v>
      </c>
      <c r="P186" t="n">
        <v>50</v>
      </c>
      <c r="Q186" t="n">
        <v>50</v>
      </c>
      <c r="R186" t="n">
        <v>0</v>
      </c>
      <c r="S186" t="n">
        <v>0</v>
      </c>
      <c r="T186" t="n">
        <v>30</v>
      </c>
      <c r="U186" t="inlineStr">
        <is>
          <t>SKIP</t>
        </is>
      </c>
      <c r="V186" t="inlineStr">
        <is>
          <t>SKIP</t>
        </is>
      </c>
      <c r="W186" t="inlineStr">
        <is>
          <t>PHP</t>
        </is>
      </c>
      <c r="X186" t="inlineStr">
        <is>
          <t>Amaan_Ahmed_Full_Stack_Resume</t>
        </is>
      </c>
      <c r="Y186" t="inlineStr">
        <is>
          <t>2026-09-10</t>
        </is>
      </c>
      <c r="AA186" t="inlineStr">
        <is>
          <t>Eligible</t>
        </is>
      </c>
      <c r="AC186" t="inlineStr">
        <is>
          <t>UNKNOWN</t>
        </is>
      </c>
      <c r="AD186" t="inlineStr">
        <is>
          <t>Candidate availability status is not specified in the career brain.</t>
        </is>
      </c>
      <c r="AE186" t="inlineStr">
        <is>
          <t>UNKNOWN</t>
        </is>
      </c>
      <c r="AF186" t="n">
        <v>0</v>
      </c>
      <c r="AG186" t="inlineStr">
        <is>
          <t>No</t>
        </is>
      </c>
      <c r="AH186" t="inlineStr">
        <is>
          <t>Not Mentioned</t>
        </is>
      </c>
      <c r="AI186" t="inlineStr">
        <is>
          <t>No mention of PPO or conversion in the job description.</t>
        </is>
      </c>
      <c r="AJ186" t="inlineStr">
        <is>
          <t>PHP is a mandatory requirement, but the candidate's core stack is MERN/Java/Python without demonstrated PHP expertise.</t>
        </is>
      </c>
      <c r="AK186" t="inlineStr">
        <is>
          <t>Vague job description focusing on subjective questions rather than clear technical stack.</t>
        </is>
      </c>
      <c r="AL186" t="inlineStr">
        <is>
          <t>PHP fundamentals; Object-oriented programming in PHP; Enterprise web application development</t>
        </is>
      </c>
    </row>
    <row r="187">
      <c r="A187" t="inlineStr">
        <is>
          <t>HANCOD-DIGIT-260910-141</t>
        </is>
      </c>
      <c r="B187" t="inlineStr">
        <is>
          <t>Hancod Digital</t>
        </is>
      </c>
      <c r="C187" t="inlineStr">
        <is>
          <t>Backend developer Intern</t>
        </is>
      </c>
      <c r="D187" t="inlineStr">
        <is>
          <t>https://www.adzuna.in/details/5826246933?utm_medium=api&amp;utm_source=5ccdc27f</t>
        </is>
      </c>
      <c r="E187" t="inlineStr">
        <is>
          <t>AI Analyzer</t>
        </is>
      </c>
      <c r="F187" t="inlineStr">
        <is>
          <t>India</t>
        </is>
      </c>
      <c r="G187" t="inlineStr">
        <is>
          <t>unknown</t>
        </is>
      </c>
      <c r="H187" t="inlineStr">
        <is>
          <t>not specified</t>
        </is>
      </c>
      <c r="I187" t="inlineStr">
        <is>
          <t>unknown</t>
        </is>
      </c>
      <c r="J187" t="inlineStr">
        <is>
          <t>unknown</t>
        </is>
      </c>
      <c r="M187" t="inlineStr">
        <is>
          <t>About Us We’re Hancod — a fast-moving, innovation-driven startup building Duxbe, an AI-powered Point of Sale (POS) and ERP solution. Our mission is to empower businesses across India and beyond with powerful and intuitive software. At Hancod, we care about clean code, great design, and getting things DONE. We believe the best work happens when there’s a balance of focus and fun. From Jenga battles</t>
        </is>
      </c>
      <c r="N187" t="n">
        <v>50</v>
      </c>
      <c r="O187" t="n">
        <v>50</v>
      </c>
      <c r="P187" t="n">
        <v>70</v>
      </c>
      <c r="Q187" t="n">
        <v>70</v>
      </c>
      <c r="R187" t="n">
        <v>0</v>
      </c>
      <c r="S187" t="n">
        <v>0</v>
      </c>
      <c r="T187" t="n">
        <v>50</v>
      </c>
      <c r="U187" t="inlineStr">
        <is>
          <t>SKIP</t>
        </is>
      </c>
      <c r="V187" t="inlineStr">
        <is>
          <t>SKIP</t>
        </is>
      </c>
      <c r="X187" t="inlineStr">
        <is>
          <t>Default Full Stack / Backend Resume</t>
        </is>
      </c>
      <c r="Y187" t="inlineStr">
        <is>
          <t>2026-09-10</t>
        </is>
      </c>
      <c r="Z187" t="inlineStr">
        <is>
          <t>Startup environment building an AI-powered product (Duxbe).</t>
        </is>
      </c>
      <c r="AA187" t="inlineStr">
        <is>
          <t>eligible</t>
        </is>
      </c>
      <c r="AB187" t="inlineStr">
        <is>
          <t>No explicit degree or hard experience blockers specified in the snippet.</t>
        </is>
      </c>
      <c r="AC187" t="inlineStr">
        <is>
          <t>unknown</t>
        </is>
      </c>
      <c r="AD187" t="inlineStr">
        <is>
          <t>Not specified in the job description.</t>
        </is>
      </c>
      <c r="AE187" t="inlineStr">
        <is>
          <t>UNKNOWN</t>
        </is>
      </c>
      <c r="AF187" t="n">
        <v>0</v>
      </c>
      <c r="AG187" t="inlineStr">
        <is>
          <t>No</t>
        </is>
      </c>
      <c r="AH187" t="inlineStr">
        <is>
          <t>unknown</t>
        </is>
      </c>
      <c r="AI187" t="inlineStr">
        <is>
          <t>Not mentioned in the truncated job description snippet.</t>
        </is>
      </c>
      <c r="AK187" t="inlineStr">
        <is>
          <t>Incomplete job description snippet.</t>
        </is>
      </c>
      <c r="AL187" t="inlineStr">
        <is>
          <t>Backend fundamentals; API design; Node.js or relevant backend tech stack</t>
        </is>
      </c>
    </row>
    <row r="188">
      <c r="A188" t="inlineStr">
        <is>
          <t>WEB-DIGITAL--260910-142</t>
        </is>
      </c>
      <c r="B188" t="inlineStr">
        <is>
          <t>Web Digital Mantra IT Services Pvt Ltd</t>
        </is>
      </c>
      <c r="C188" t="inlineStr">
        <is>
          <t>Backend Developer Intern</t>
        </is>
      </c>
      <c r="D188" t="inlineStr">
        <is>
          <t>https://www.adzuna.in/details/5775994272?utm_medium=api&amp;utm_source=5ccdc27f</t>
        </is>
      </c>
      <c r="E188" t="inlineStr">
        <is>
          <t>AI Analyzer</t>
        </is>
      </c>
      <c r="F188" t="inlineStr">
        <is>
          <t>Bangalore, Karnataka</t>
        </is>
      </c>
      <c r="G188" t="inlineStr">
        <is>
          <t>On-site</t>
        </is>
      </c>
      <c r="H188" t="inlineStr">
        <is>
          <t>Paid Internship</t>
        </is>
      </c>
      <c r="I188" t="inlineStr">
        <is>
          <t>6 Months</t>
        </is>
      </c>
      <c r="J188" t="inlineStr">
        <is>
          <t>NOT_MENTIONED</t>
        </is>
      </c>
      <c r="K188" t="inlineStr">
        <is>
          <t>Node.js; Python; PHP; Laravel; React.js; JSON; MySQL; MongoDB; PostgreSQL</t>
        </is>
      </c>
      <c r="L188" t="inlineStr">
        <is>
          <t>Kannada-speaking; AI-powered development tools</t>
        </is>
      </c>
      <c r="M188" t="inlineStr">
        <is>
          <t>We are looking for a passionate Backend Developer Intern (Paid Internship - 6 Months) with proficiency in Node.js, Python, PHP, and Laravel, along with working knowledge of React.js. Candidates should have prior internship experience, familiarity with AI-powered development tools, and strong problem-solving skills. Kannada-speaking candidates will be preferred. Skills:- React.js, NodeJS (Node.js),</t>
        </is>
      </c>
      <c r="N188" t="n">
        <v>66</v>
      </c>
      <c r="O188" t="n">
        <v>21</v>
      </c>
      <c r="P188" t="n">
        <v>14</v>
      </c>
      <c r="Q188" t="n">
        <v>15</v>
      </c>
      <c r="R188" t="n">
        <v>5</v>
      </c>
      <c r="S188" t="n">
        <v>5</v>
      </c>
      <c r="T188" t="n">
        <v>6</v>
      </c>
      <c r="U188" t="inlineStr">
        <is>
          <t>STRETCH</t>
        </is>
      </c>
      <c r="V188" t="inlineStr">
        <is>
          <t>STRETCH</t>
        </is>
      </c>
      <c r="W188" t="inlineStr">
        <is>
          <t>PHP; Laravel; PostgreSQL</t>
        </is>
      </c>
      <c r="X188" t="inlineStr">
        <is>
          <t>Amaanuddin_Ahmed_FullStack_Resume.pdf</t>
        </is>
      </c>
      <c r="Y188" t="inlineStr">
        <is>
          <t>2026-09-10</t>
        </is>
      </c>
      <c r="Z188" t="inlineStr">
        <is>
          <t>Role matches Backend Development target; Located in Bangalore; Tech stack overlaps with Node.js, Python, MongoDB, and MySQL</t>
        </is>
      </c>
      <c r="AA188" t="inlineStr">
        <is>
          <t>ELIGIBLE</t>
        </is>
      </c>
      <c r="AB188" t="inlineStr">
        <is>
          <t>Location is Bangalore, matches candidate preference; Role aligns with Backend Development</t>
        </is>
      </c>
      <c r="AC188" t="inlineStr">
        <is>
          <t>UNKNOWN</t>
        </is>
      </c>
      <c r="AD188" t="inlineStr">
        <is>
          <t>Not specified in candidate profile</t>
        </is>
      </c>
      <c r="AE188" t="inlineStr">
        <is>
          <t>UNKNOWN</t>
        </is>
      </c>
      <c r="AF188" t="n">
        <v>0</v>
      </c>
      <c r="AG188" t="inlineStr">
        <is>
          <t>No</t>
        </is>
      </c>
      <c r="AH188" t="inlineStr">
        <is>
          <t>NOT_MENTIONED</t>
        </is>
      </c>
      <c r="AI188" t="inlineStr">
        <is>
          <t>Job description does not explicitly mention PPO or conversion.</t>
        </is>
      </c>
      <c r="AL188" t="inlineStr">
        <is>
          <t>Node.js and Express.js architecture; Python backend concepts; MongoDB and MySQL database design; REST APIs and JSON handling</t>
        </is>
      </c>
    </row>
    <row r="189">
      <c r="A189" t="inlineStr">
        <is>
          <t>GARNISH-COMP-260910-143</t>
        </is>
      </c>
      <c r="B189" t="inlineStr">
        <is>
          <t>Garnish Company</t>
        </is>
      </c>
      <c r="C189" t="inlineStr">
        <is>
          <t>Backend Developer intern</t>
        </is>
      </c>
      <c r="D189" t="inlineStr">
        <is>
          <t>https://www.adzuna.in/details/2087142658?utm_medium=api&amp;utm_source=5ccdc27f</t>
        </is>
      </c>
      <c r="E189" t="inlineStr">
        <is>
          <t>AI Analyzer</t>
        </is>
      </c>
      <c r="F189" t="inlineStr">
        <is>
          <t>Hyderabad, Telangana</t>
        </is>
      </c>
      <c r="G189" t="inlineStr">
        <is>
          <t>Unknown</t>
        </is>
      </c>
      <c r="H189" t="inlineStr">
        <is>
          <t>Not specified</t>
        </is>
      </c>
      <c r="I189" t="inlineStr">
        <is>
          <t>Unknown</t>
        </is>
      </c>
      <c r="J189" t="inlineStr">
        <is>
          <t>Not Mentioned</t>
        </is>
      </c>
      <c r="K189" t="inlineStr">
        <is>
          <t>NodeJS; Express JS; API Design; Test-driven development</t>
        </is>
      </c>
      <c r="M189" t="inlineStr">
        <is>
          <t>Responsibilities: In this role, the individual will be part of the engineering team and will be responsible for Participating and collaborating with Product Owner/ Cross-functional teams in the organization to understand the business requirements and to deliver solutions that can scale. Design and Develop API in NodeJS using Express JS framework with relevant middleware integrations. Designing and</t>
        </is>
      </c>
      <c r="N189" t="n">
        <v>62</v>
      </c>
      <c r="O189" t="n">
        <v>24</v>
      </c>
      <c r="P189" t="n">
        <v>16</v>
      </c>
      <c r="Q189" t="n">
        <v>12</v>
      </c>
      <c r="R189" t="n">
        <v>0</v>
      </c>
      <c r="S189" t="n">
        <v>5</v>
      </c>
      <c r="T189" t="n">
        <v>5</v>
      </c>
      <c r="U189" t="inlineStr">
        <is>
          <t>STRETCH</t>
        </is>
      </c>
      <c r="V189" t="inlineStr">
        <is>
          <t>STRETCH</t>
        </is>
      </c>
      <c r="W189" t="inlineStr">
        <is>
          <t>Test-driven development</t>
        </is>
      </c>
      <c r="X189" t="inlineStr">
        <is>
          <t>Amaanuddin_Ahmed_Software_Engineering_Resume.pdf</t>
        </is>
      </c>
      <c r="Y189" t="inlineStr">
        <is>
          <t>2026-09-10</t>
        </is>
      </c>
      <c r="Z189" t="inlineStr">
        <is>
          <t>Role matches backend development target; Demonstrated Node.js and Express.js skills directly map to requirements</t>
        </is>
      </c>
      <c r="AA189" t="inlineStr">
        <is>
          <t>Eligible</t>
        </is>
      </c>
      <c r="AB189" t="inlineStr">
        <is>
          <t>No explicit graduation year or degree blockers mentioned in the snippet.</t>
        </is>
      </c>
      <c r="AC189" t="inlineStr">
        <is>
          <t>Unknown</t>
        </is>
      </c>
      <c r="AD189" t="inlineStr">
        <is>
          <t>Candidate availability details are not provided in the career brain.</t>
        </is>
      </c>
      <c r="AE189" t="inlineStr">
        <is>
          <t>UNKNOWN</t>
        </is>
      </c>
      <c r="AF189" t="n">
        <v>0</v>
      </c>
      <c r="AG189" t="inlineStr">
        <is>
          <t>No</t>
        </is>
      </c>
      <c r="AH189" t="inlineStr">
        <is>
          <t>Not Mentioned</t>
        </is>
      </c>
      <c r="AI189" t="inlineStr">
        <is>
          <t>No mention of PPO or conversion in the job description.</t>
        </is>
      </c>
      <c r="AK189" t="inlineStr">
        <is>
          <t>Stipend is completely unspecified</t>
        </is>
      </c>
      <c r="AL189" t="inlineStr">
        <is>
          <t>Node.js and Express.js middleware; REST API design principles; Test-driven development practices</t>
        </is>
      </c>
    </row>
    <row r="190">
      <c r="A190" t="inlineStr">
        <is>
          <t>APPSCRIP-260910-144</t>
        </is>
      </c>
      <c r="B190" t="inlineStr">
        <is>
          <t>Appscrip</t>
        </is>
      </c>
      <c r="C190" t="inlineStr">
        <is>
          <t>Python Backend Developer Intern (FastAPI)</t>
        </is>
      </c>
      <c r="D190" t="inlineStr">
        <is>
          <t>https://www.adzuna.in/details/5812187923?utm_medium=api&amp;utm_source=5ccdc27f</t>
        </is>
      </c>
      <c r="E190" t="inlineStr">
        <is>
          <t>AI Analyzer</t>
        </is>
      </c>
      <c r="F190" t="inlineStr">
        <is>
          <t>Bangalore, Karnataka</t>
        </is>
      </c>
      <c r="G190" t="inlineStr">
        <is>
          <t>On-site</t>
        </is>
      </c>
      <c r="H190" t="inlineStr">
        <is>
          <t>Not specified</t>
        </is>
      </c>
      <c r="I190" t="inlineStr">
        <is>
          <t>Not specified</t>
        </is>
      </c>
      <c r="J190" t="inlineStr">
        <is>
          <t>UNKNOWN</t>
        </is>
      </c>
      <c r="K190" t="inlineStr">
        <is>
          <t>Python; FastAPI</t>
        </is>
      </c>
      <c r="L190" t="inlineStr">
        <is>
          <t>AI; LLMs; Cloud infrastructure; Scalable backend systems</t>
        </is>
      </c>
      <c r="M190" t="inlineStr">
        <is>
          <t>Python Backend Developer Intern (FastAPI) Location: Bangalore (On-site) Company: Appscrip About Appscrip At Appscrip, we build products that solve real business problems using modern technologies like AI, cloud infrastructure, and scalable backend systems. We're looking for developers who enjoy building things, learning quickly, and aren't afraid to dive into new technologies. If you've built proj</t>
        </is>
      </c>
      <c r="N190" t="n">
        <v>66</v>
      </c>
      <c r="O190" t="n">
        <v>20</v>
      </c>
      <c r="P190" t="n">
        <v>20</v>
      </c>
      <c r="Q190" t="n">
        <v>15</v>
      </c>
      <c r="R190" t="n">
        <v>5</v>
      </c>
      <c r="S190" t="n">
        <v>0</v>
      </c>
      <c r="T190" t="n">
        <v>6</v>
      </c>
      <c r="U190" t="inlineStr">
        <is>
          <t>STRETCH</t>
        </is>
      </c>
      <c r="V190" t="inlineStr">
        <is>
          <t>STRETCH</t>
        </is>
      </c>
      <c r="W190" t="inlineStr">
        <is>
          <t>FastAPI</t>
        </is>
      </c>
      <c r="X190" t="inlineStr">
        <is>
          <t>Amaanuddin_Ahmed_Software_Engineering_Resume.pdf</t>
        </is>
      </c>
      <c r="Y190" t="inlineStr">
        <is>
          <t>2026-09-10</t>
        </is>
      </c>
      <c r="Z190" t="inlineStr">
        <is>
          <t>Matches target role for backend development.; Candidate has Python experience.; Located in Bangalore with an on-site setup that aligns with regional preference.</t>
        </is>
      </c>
      <c r="AA190" t="inlineStr">
        <is>
          <t>ELIGIBLE</t>
        </is>
      </c>
      <c r="AB190" t="inlineStr">
        <is>
          <t>Candidate is pursuing MCA at PES University.; No specific graduation year, degree, or experience blockers are mentioned in the snippet.</t>
        </is>
      </c>
      <c r="AC190" t="inlineStr">
        <is>
          <t>UNKNOWN</t>
        </is>
      </c>
      <c r="AD190" t="inlineStr">
        <is>
          <t>Availability not specified in career brain.</t>
        </is>
      </c>
      <c r="AE190" t="inlineStr">
        <is>
          <t>UNKNOWN</t>
        </is>
      </c>
      <c r="AF190" t="n">
        <v>0</v>
      </c>
      <c r="AG190" t="inlineStr">
        <is>
          <t>No</t>
        </is>
      </c>
      <c r="AH190" t="inlineStr">
        <is>
          <t>UNKNOWN</t>
        </is>
      </c>
      <c r="AI190" t="inlineStr">
        <is>
          <t>PPO or conversion is not explicitly mentioned in the snippet.</t>
        </is>
      </c>
      <c r="AK190" t="inlineStr">
        <is>
          <t>Stipend is not disclosed.</t>
        </is>
      </c>
      <c r="AL190" t="inlineStr">
        <is>
          <t>Python fundamentals; FastAPI framework and asynchronous programming; Scalable backend design and API development; Experience with AI and LLM integrations</t>
        </is>
      </c>
    </row>
    <row r="191">
      <c r="A191" t="inlineStr">
        <is>
          <t>JUMPINGMINDS-260910-145</t>
        </is>
      </c>
      <c r="B191" t="inlineStr">
        <is>
          <t>JumpingMinds</t>
        </is>
      </c>
      <c r="C191" t="inlineStr">
        <is>
          <t>Backend Developer Intern - Python/Django</t>
        </is>
      </c>
      <c r="D191" t="inlineStr">
        <is>
          <t>https://www.adzuna.in/details/4149351967?utm_medium=api&amp;utm_source=5ccdc27f</t>
        </is>
      </c>
      <c r="E191" t="inlineStr">
        <is>
          <t>AI Analyzer</t>
        </is>
      </c>
      <c r="F191" t="inlineStr">
        <is>
          <t>India</t>
        </is>
      </c>
      <c r="G191" t="inlineStr">
        <is>
          <t>remote</t>
        </is>
      </c>
      <c r="H191" t="inlineStr">
        <is>
          <t>not specified</t>
        </is>
      </c>
      <c r="I191" t="inlineStr">
        <is>
          <t>unknown</t>
        </is>
      </c>
      <c r="J191" t="inlineStr">
        <is>
          <t>unknown</t>
        </is>
      </c>
      <c r="K191" t="inlineStr">
        <is>
          <t>Python; Django; Backend development</t>
        </is>
      </c>
      <c r="L191" t="inlineStr">
        <is>
          <t>Startup experience; Communication skills</t>
        </is>
      </c>
      <c r="M191" t="inlineStr">
        <is>
          <t>We're looking for an experienced Backend Engineer Interns to join our growing team of engineers to help build and maintain our products. You should have prior internship experience as Backend intern using PythonDjango Requirements/Skills At least prior internship experience -on Backend development experience especially in Python &amp; Django stack is must Prior experience in tech and product startups</t>
        </is>
      </c>
      <c r="N191" t="n">
        <v>30</v>
      </c>
      <c r="O191" t="n">
        <v>40</v>
      </c>
      <c r="P191" t="n">
        <v>30</v>
      </c>
      <c r="Q191" t="n">
        <v>50</v>
      </c>
      <c r="R191" t="n">
        <v>0</v>
      </c>
      <c r="S191" t="n">
        <v>0</v>
      </c>
      <c r="T191" t="n">
        <v>40</v>
      </c>
      <c r="U191" t="inlineStr">
        <is>
          <t>SKIP</t>
        </is>
      </c>
      <c r="V191" t="inlineStr">
        <is>
          <t>SKIP</t>
        </is>
      </c>
      <c r="W191" t="inlineStr">
        <is>
          <t>Django</t>
        </is>
      </c>
      <c r="X191" t="inlineStr">
        <is>
          <t>Amaanuddin_Ahmed_Software_Engineer_Resume.pdf</t>
        </is>
      </c>
      <c r="Y191" t="inlineStr">
        <is>
          <t>2026-09-10</t>
        </is>
      </c>
      <c r="AA191" t="inlineStr">
        <is>
          <t>ineligible</t>
        </is>
      </c>
      <c r="AB191" t="inlineStr">
        <is>
          <t>Passed out year required: 2022 &amp; 2023. Amaan is in MCA at PES University (expected graduation later).; Requires prior internship experience specifically in Python &amp; Django stack.</t>
        </is>
      </c>
      <c r="AC191" t="inlineStr">
        <is>
          <t>unknown</t>
        </is>
      </c>
      <c r="AD191" t="inlineStr">
        <is>
          <t>Not specified in candidate profile or job description.</t>
        </is>
      </c>
      <c r="AE191" t="inlineStr">
        <is>
          <t>UNKNOWN</t>
        </is>
      </c>
      <c r="AF191" t="n">
        <v>0</v>
      </c>
      <c r="AG191" t="inlineStr">
        <is>
          <t>No</t>
        </is>
      </c>
      <c r="AH191" t="inlineStr">
        <is>
          <t>unknown</t>
        </is>
      </c>
      <c r="AI191" t="inlineStr">
        <is>
          <t>No mention of PPO or conversion in the job description.</t>
        </is>
      </c>
      <c r="AJ191" t="inlineStr">
        <is>
          <t>Passed out year - 2022 &amp; 2023 requirement does not match candidate status.; Mandatory prior internship experience in Python &amp; Django stack missing.</t>
        </is>
      </c>
      <c r="AK191" t="inlineStr">
        <is>
          <t>Strict graduation year criteria (2022 &amp; 2023).</t>
        </is>
      </c>
      <c r="AL191" t="inlineStr">
        <is>
          <t>Python fundamentals; Django framework architecture; Past backend internship projects</t>
        </is>
      </c>
    </row>
    <row r="192">
      <c r="A192" t="inlineStr">
        <is>
          <t>MOGI-IO-260910-146</t>
        </is>
      </c>
      <c r="B192" t="inlineStr">
        <is>
          <t>Mogi IO</t>
        </is>
      </c>
      <c r="C192" t="inlineStr">
        <is>
          <t>Backend Developer Intern (Converts to full-time)</t>
        </is>
      </c>
      <c r="D192" t="inlineStr">
        <is>
          <t>https://www.adzuna.in/details/3066949136?utm_medium=api&amp;utm_source=5ccdc27f</t>
        </is>
      </c>
      <c r="E192" t="inlineStr">
        <is>
          <t>AI Analyzer</t>
        </is>
      </c>
      <c r="F192" t="inlineStr">
        <is>
          <t>Delhi, India</t>
        </is>
      </c>
      <c r="G192" t="inlineStr">
        <is>
          <t>On-site</t>
        </is>
      </c>
      <c r="H192" t="inlineStr">
        <is>
          <t>Not specified</t>
        </is>
      </c>
      <c r="I192" t="inlineStr">
        <is>
          <t>Not specified</t>
        </is>
      </c>
      <c r="J192" t="inlineStr">
        <is>
          <t>Yes</t>
        </is>
      </c>
      <c r="K192" t="inlineStr">
        <is>
          <t>Node.js; MongoDB</t>
        </is>
      </c>
      <c r="L192" t="inlineStr">
        <is>
          <t>Full-stack development; MEAN stack; MERN stack</t>
        </is>
      </c>
      <c r="M192" t="inlineStr">
        <is>
          <t>Mogi I/O (www.mogiio.com), a Delhi based video delivery SaaS venture, is looking for a Full-stack /mean stack developer, both for an internship role. A candidate should be high performance, high energy. He would work on core video and image tech. Should be a hands-on Full Stack or mean stack coder. Experience – Any experience in Back end working on NodeJs and MongoDB. Some core requirements - Shou</t>
        </is>
      </c>
      <c r="N192" t="n">
        <v>87</v>
      </c>
      <c r="O192" t="n">
        <v>27</v>
      </c>
      <c r="P192" t="n">
        <v>18</v>
      </c>
      <c r="Q192" t="n">
        <v>14</v>
      </c>
      <c r="R192" t="n">
        <v>15</v>
      </c>
      <c r="S192" t="n">
        <v>5</v>
      </c>
      <c r="T192" t="n">
        <v>8</v>
      </c>
      <c r="U192" t="inlineStr">
        <is>
          <t>APPLY</t>
        </is>
      </c>
      <c r="V192" t="inlineStr">
        <is>
          <t>APPLY</t>
        </is>
      </c>
      <c r="X192" t="inlineStr">
        <is>
          <t>Amaanuddin_Ahmed_Fullstack_Resume.pdf</t>
        </is>
      </c>
      <c r="Y192" t="inlineStr">
        <is>
          <t>2026-09-10</t>
        </is>
      </c>
      <c r="Z192" t="inlineStr">
        <is>
          <t>Direct match with required skills: Node.js and MongoDB.; Explicit PPO (full-time conversion) opportunity aligning with high priority target.; Matches target role for Backend and Full Stack development.</t>
        </is>
      </c>
      <c r="AA192" t="inlineStr">
        <is>
          <t>Eligible</t>
        </is>
      </c>
      <c r="AB192" t="inlineStr">
        <is>
          <t>Candidate has backend experience in Node.js and MongoDB matching the core requirements.</t>
        </is>
      </c>
      <c r="AC192" t="inlineStr">
        <is>
          <t>UNKNOWN</t>
        </is>
      </c>
      <c r="AD192" t="inlineStr">
        <is>
          <t>Candidate availability details are not provided.</t>
        </is>
      </c>
      <c r="AE192" t="inlineStr">
        <is>
          <t>UNKNOWN</t>
        </is>
      </c>
      <c r="AF192" t="n">
        <v>0</v>
      </c>
      <c r="AG192" t="inlineStr">
        <is>
          <t>No</t>
        </is>
      </c>
      <c r="AH192" t="inlineStr">
        <is>
          <t>Yes</t>
        </is>
      </c>
      <c r="AI192" t="inlineStr">
        <is>
          <t>Role explicitly mentions (Converts to full-time).</t>
        </is>
      </c>
      <c r="AK192" t="inlineStr">
        <is>
          <t>Stipend is not disclosed.</t>
        </is>
      </c>
      <c r="AL192" t="inlineStr">
        <is>
          <t>Node.js asynchronous programming and event loop; MongoDB schema design and indexing; RESTful API development and authentication; Real-world application architecture and scaling</t>
        </is>
      </c>
      <c r="AM192" t="inlineStr">
        <is>
          <t>E:\InternshipHunter\applications\adzuna-59fe15a9ae76</t>
        </is>
      </c>
      <c r="AN192" t="inlineStr">
        <is>
          <t>Ready for Review</t>
        </is>
      </c>
      <c r="AO192" t="inlineStr">
        <is>
          <t>Generated</t>
        </is>
      </c>
      <c r="AP192" t="inlineStr">
        <is>
          <t>Generated</t>
        </is>
      </c>
      <c r="AQ192" t="inlineStr">
        <is>
          <t>Generated</t>
        </is>
      </c>
      <c r="AR192" t="inlineStr">
        <is>
          <t>Ready to Apply</t>
        </is>
      </c>
    </row>
    <row r="193">
      <c r="A193" t="inlineStr">
        <is>
          <t>FINHENCE-260910-147</t>
        </is>
      </c>
      <c r="B193" t="inlineStr">
        <is>
          <t>finhence</t>
        </is>
      </c>
      <c r="C193" t="inlineStr">
        <is>
          <t>Backend Web Development Intern</t>
        </is>
      </c>
      <c r="D193" t="inlineStr">
        <is>
          <t>https://www.adzuna.in/details/3126297326?utm_medium=api&amp;utm_source=5ccdc27f</t>
        </is>
      </c>
      <c r="E193" t="inlineStr">
        <is>
          <t>AI Analyzer</t>
        </is>
      </c>
      <c r="F193" t="inlineStr">
        <is>
          <t>Delhi, India</t>
        </is>
      </c>
      <c r="G193" t="inlineStr">
        <is>
          <t>Unknown</t>
        </is>
      </c>
      <c r="H193" t="inlineStr">
        <is>
          <t>Not specified</t>
        </is>
      </c>
      <c r="I193" t="inlineStr">
        <is>
          <t>4 months</t>
        </is>
      </c>
      <c r="J193" t="inlineStr">
        <is>
          <t>Not Mentioned</t>
        </is>
      </c>
      <c r="K193" t="inlineStr">
        <is>
          <t>Node.js; API; PHP</t>
        </is>
      </c>
      <c r="M193" t="inlineStr">
        <is>
          <t>finhence is hiring for the role of back-end web developement intern. duration- 4 months skills required - node.js, API , PHP etc experience- freshers/ undergraduates can apply Skills:- API, PHP and NodeJS (Node.js)</t>
        </is>
      </c>
      <c r="N193" t="n">
        <v>52</v>
      </c>
      <c r="O193" t="n">
        <v>60</v>
      </c>
      <c r="P193" t="n">
        <v>90</v>
      </c>
      <c r="Q193" t="n">
        <v>80</v>
      </c>
      <c r="R193" t="n">
        <v>0</v>
      </c>
      <c r="S193" t="n">
        <v>0</v>
      </c>
      <c r="T193" t="n">
        <v>50</v>
      </c>
      <c r="U193" t="inlineStr">
        <is>
          <t>SKIP</t>
        </is>
      </c>
      <c r="V193" t="inlineStr">
        <is>
          <t>SKIP</t>
        </is>
      </c>
      <c r="W193" t="inlineStr">
        <is>
          <t>PHP</t>
        </is>
      </c>
      <c r="X193" t="inlineStr">
        <is>
          <t>Default Full Stack / Backend Resume</t>
        </is>
      </c>
      <c r="Y193" t="inlineStr">
        <is>
          <t>2026-09-10</t>
        </is>
      </c>
      <c r="Z193" t="inlineStr">
        <is>
          <t>Matches backend role and Node.js requirement</t>
        </is>
      </c>
      <c r="AA193" t="inlineStr">
        <is>
          <t>Eligible</t>
        </is>
      </c>
      <c r="AB193" t="inlineStr">
        <is>
          <t>Freshers/undergraduates can apply; MCA student fits undergraduate/fresher criteria</t>
        </is>
      </c>
      <c r="AC193" t="inlineStr">
        <is>
          <t>Unknown</t>
        </is>
      </c>
      <c r="AD193" t="inlineStr">
        <is>
          <t>Not provided in candidate profile</t>
        </is>
      </c>
      <c r="AE193" t="inlineStr">
        <is>
          <t>UNKNOWN</t>
        </is>
      </c>
      <c r="AF193" t="n">
        <v>0</v>
      </c>
      <c r="AG193" t="inlineStr">
        <is>
          <t>No</t>
        </is>
      </c>
      <c r="AH193" t="inlineStr">
        <is>
          <t>Not Mentioned</t>
        </is>
      </c>
      <c r="AI193" t="inlineStr">
        <is>
          <t>No mention of PPO or conversion in the job description.</t>
        </is>
      </c>
      <c r="AK193" t="inlineStr">
        <is>
          <t>Stipend not disclosed; PPO not mentioned; Requires PHP which is not in candidate demonstrated skill set</t>
        </is>
      </c>
      <c r="AL193" t="inlineStr">
        <is>
          <t>Node.js event loop and asynchronous programming; RESTful API design and implementation; Basic PHP familiarity and willingness to learn</t>
        </is>
      </c>
    </row>
    <row r="194">
      <c r="A194" t="inlineStr">
        <is>
          <t>SHIRYAM-260910-148</t>
        </is>
      </c>
      <c r="B194" t="inlineStr">
        <is>
          <t>shiryam</t>
        </is>
      </c>
      <c r="C194" t="inlineStr">
        <is>
          <t>Backend Developer (Python Intern)</t>
        </is>
      </c>
      <c r="D194" t="inlineStr">
        <is>
          <t>https://www.adzuna.in/details/3447826016?utm_medium=api&amp;utm_source=5ccdc27f</t>
        </is>
      </c>
      <c r="E194" t="inlineStr">
        <is>
          <t>AI Analyzer</t>
        </is>
      </c>
      <c r="F194" t="inlineStr">
        <is>
          <t>India</t>
        </is>
      </c>
      <c r="G194" t="inlineStr">
        <is>
          <t>Remote</t>
        </is>
      </c>
      <c r="H194" t="inlineStr">
        <is>
          <t>Competitive stipend</t>
        </is>
      </c>
      <c r="I194" t="inlineStr">
        <is>
          <t>Not specified</t>
        </is>
      </c>
      <c r="J194" t="inlineStr">
        <is>
          <t>YES</t>
        </is>
      </c>
      <c r="K194" t="inlineStr">
        <is>
          <t>Python; Python Web Development; Server-side logic</t>
        </is>
      </c>
      <c r="L194" t="inlineStr">
        <is>
          <t>REST APIs</t>
        </is>
      </c>
      <c r="M194" t="inlineStr">
        <is>
          <t>We are looking for a Python Web Developer Intern responsible for managing the interchange of data between the server and the users. Your primary focus will be the development of all server-side logic, ensuring high performance and responsiveness to requests from the front-end. Perks of working with us: Competitive stipend Remote option available Certificate and Letter of recommendation Slack/Asana</t>
        </is>
      </c>
      <c r="N194" t="n">
        <v>73</v>
      </c>
      <c r="O194" t="n">
        <v>60</v>
      </c>
      <c r="P194" t="n">
        <v>80</v>
      </c>
      <c r="Q194" t="n">
        <v>80</v>
      </c>
      <c r="R194" t="n">
        <v>100</v>
      </c>
      <c r="S194" t="n">
        <v>50</v>
      </c>
      <c r="T194" t="n">
        <v>70</v>
      </c>
      <c r="U194" t="inlineStr">
        <is>
          <t>CONSIDER</t>
        </is>
      </c>
      <c r="V194" t="inlineStr">
        <is>
          <t>CONSIDER</t>
        </is>
      </c>
      <c r="W194" t="inlineStr">
        <is>
          <t>Python Web Frameworks (Django/Flask)</t>
        </is>
      </c>
      <c r="X194" t="inlineStr">
        <is>
          <t>Amaanuddin_Ahmed_Backend_Resume.pdf</t>
        </is>
      </c>
      <c r="Y194" t="inlineStr">
        <is>
          <t>2026-09-10</t>
        </is>
      </c>
      <c r="Z194" t="inlineStr">
        <is>
          <t>Python intern role aligns with backend development goals; Explicit mention of PPO conversion opportunity; Remote work option available</t>
        </is>
      </c>
      <c r="AA194" t="inlineStr">
        <is>
          <t>ELIGIBLE</t>
        </is>
      </c>
      <c r="AB194" t="inlineStr">
        <is>
          <t>No hard degree or graduation year blockers mentioned in the description; Remote option aligns with flexible work modes</t>
        </is>
      </c>
      <c r="AC194" t="inlineStr">
        <is>
          <t>UNKNOWN</t>
        </is>
      </c>
      <c r="AD194" t="inlineStr">
        <is>
          <t>Candidate availability dates were not provided in the career brain.</t>
        </is>
      </c>
      <c r="AE194" t="inlineStr">
        <is>
          <t>UNKNOWN</t>
        </is>
      </c>
      <c r="AF194" t="n">
        <v>0</v>
      </c>
      <c r="AG194" t="inlineStr">
        <is>
          <t>No</t>
        </is>
      </c>
      <c r="AH194" t="inlineStr">
        <is>
          <t>YES</t>
        </is>
      </c>
      <c r="AI194" t="inlineStr">
        <is>
          <t>Opportunity to convert to work full…</t>
        </is>
      </c>
      <c r="AK194" t="inlineStr">
        <is>
          <t>Stipend is listed as 'Competitive' without specific numerical amounts; Job description is truncated at the end</t>
        </is>
      </c>
      <c r="AL194" t="inlineStr">
        <is>
          <t>Python fundamentals and OOP; Server-side logic and database integration; RESTful API design; Previous MERN/Python projects</t>
        </is>
      </c>
    </row>
    <row r="195">
      <c r="A195" t="inlineStr">
        <is>
          <t>PARKSMART-260910-149</t>
        </is>
      </c>
      <c r="B195" t="inlineStr">
        <is>
          <t>Parksmart</t>
        </is>
      </c>
      <c r="C195" t="inlineStr">
        <is>
          <t>Node Js Backend Intern</t>
        </is>
      </c>
      <c r="D195" t="inlineStr">
        <is>
          <t>https://www.adzuna.in/details/5241945722?utm_medium=api&amp;utm_source=5ccdc27f</t>
        </is>
      </c>
      <c r="E195" t="inlineStr">
        <is>
          <t>AI Analyzer</t>
        </is>
      </c>
      <c r="F195" t="inlineStr">
        <is>
          <t>Noida, Ghaziabad</t>
        </is>
      </c>
      <c r="G195" t="inlineStr">
        <is>
          <t>Remote / Onsite</t>
        </is>
      </c>
      <c r="H195" t="inlineStr">
        <is>
          <t>Not specified</t>
        </is>
      </c>
      <c r="I195" t="inlineStr">
        <is>
          <t>2 Months</t>
        </is>
      </c>
      <c r="J195" t="inlineStr">
        <is>
          <t>NOT_MENTIONED</t>
        </is>
      </c>
      <c r="K195" t="inlineStr">
        <is>
          <t>Node.js; Firebase; AWS; SQL; NoSQL; RESTful API integration; MongoDB; MVC Framework; React.js</t>
        </is>
      </c>
      <c r="M195" t="inlineStr">
        <is>
          <t>We're Urgently Hiring – Node.js Backend Development Intern Join our backend team as an intern and get hands-on experience building scalable, real-world applications with Node.js, Firebase, and AWS. Remote / Onsite Duration: 2 Months What You’ll Work On: Backend development using Node.js Firebase, SQL &amp; NoSQL database management RESTful API integration Deployment on AWS infrastructure Skills:- Node</t>
        </is>
      </c>
      <c r="N195" t="n">
        <v>58</v>
      </c>
      <c r="O195" t="n">
        <v>22</v>
      </c>
      <c r="P195" t="n">
        <v>15</v>
      </c>
      <c r="Q195" t="n">
        <v>12</v>
      </c>
      <c r="R195" t="n">
        <v>0</v>
      </c>
      <c r="S195" t="n">
        <v>3</v>
      </c>
      <c r="T195" t="n">
        <v>6</v>
      </c>
      <c r="U195" t="inlineStr">
        <is>
          <t>SKIP</t>
        </is>
      </c>
      <c r="V195" t="inlineStr">
        <is>
          <t>SKIP</t>
        </is>
      </c>
      <c r="W195" t="inlineStr">
        <is>
          <t>Firebase; AWS; MVC Framework</t>
        </is>
      </c>
      <c r="X195" t="inlineStr">
        <is>
          <t>Amaanuddin_Ahmed_Fullstack_Resume.pdf</t>
        </is>
      </c>
      <c r="Y195" t="inlineStr">
        <is>
          <t>2026-09-10</t>
        </is>
      </c>
      <c r="Z195" t="inlineStr">
        <is>
          <t>Strong tech stack match with Node.js, MongoDB, SQL, and REST APIs.</t>
        </is>
      </c>
      <c r="AA195" t="inlineStr">
        <is>
          <t>ELIGIBLE</t>
        </is>
      </c>
      <c r="AB195" t="inlineStr">
        <is>
          <t>No explicit graduation year or degree blockers mentioned in the JD.</t>
        </is>
      </c>
      <c r="AC195" t="inlineStr">
        <is>
          <t>UNKNOWN</t>
        </is>
      </c>
      <c r="AD195" t="inlineStr">
        <is>
          <t>Candidate availability dates not evaluated against the 2-month duration.</t>
        </is>
      </c>
      <c r="AE195" t="inlineStr">
        <is>
          <t>UNKNOWN</t>
        </is>
      </c>
      <c r="AF195" t="n">
        <v>0</v>
      </c>
      <c r="AG195" t="inlineStr">
        <is>
          <t>No</t>
        </is>
      </c>
      <c r="AH195" t="inlineStr">
        <is>
          <t>NOT_MENTIONED</t>
        </is>
      </c>
      <c r="AI195" t="inlineStr">
        <is>
          <t>No mention of PPO or conversion to full-time employment in the JD.</t>
        </is>
      </c>
      <c r="AK195" t="inlineStr">
        <is>
          <t>Short duration of 2 months; Stipend details not disclosed</t>
        </is>
      </c>
      <c r="AL195" t="inlineStr">
        <is>
          <t>Node.js event loop and asynchronous programming; RESTful API design and database management with SQL and MongoDB; Cloud deployment fundamentals (AWS)</t>
        </is>
      </c>
    </row>
    <row r="196">
      <c r="A196" t="inlineStr">
        <is>
          <t>YLYTIC-260910-150</t>
        </is>
      </c>
      <c r="B196" t="inlineStr">
        <is>
          <t>Ylytic</t>
        </is>
      </c>
      <c r="C196" t="inlineStr">
        <is>
          <t>Backend Developer</t>
        </is>
      </c>
      <c r="D196" t="inlineStr">
        <is>
          <t>https://www.adzuna.in/details/3148437412?utm_medium=api&amp;utm_source=5ccdc27f</t>
        </is>
      </c>
      <c r="E196" t="inlineStr">
        <is>
          <t>AI Analyzer</t>
        </is>
      </c>
      <c r="F196" t="inlineStr">
        <is>
          <t>India</t>
        </is>
      </c>
      <c r="G196" t="inlineStr">
        <is>
          <t>UNKNOWN</t>
        </is>
      </c>
      <c r="H196" t="inlineStr">
        <is>
          <t>Not specified</t>
        </is>
      </c>
      <c r="I196" t="inlineStr">
        <is>
          <t>UNKNOWN</t>
        </is>
      </c>
      <c r="J196" t="inlineStr">
        <is>
          <t>YES</t>
        </is>
      </c>
      <c r="K196" t="inlineStr">
        <is>
          <t>Backend Development; Product scaling</t>
        </is>
      </c>
      <c r="L196" t="inlineStr">
        <is>
          <t>Analytics; Scalable product development</t>
        </is>
      </c>
      <c r="M196" t="inlineStr">
        <is>
          <t>Backend Development - Intern Converts into a full time position based on performance A Backend Developer, for an early-stage Analytics startup who can help us translate Product specs into a high-performing and scalable product across platforms. Also help in improving functionality of product. End goal is to achieve product-market objectives The candidate will have rich learning into what goes into</t>
        </is>
      </c>
      <c r="N196" t="n">
        <v>71</v>
      </c>
      <c r="O196" t="n">
        <v>22</v>
      </c>
      <c r="P196" t="n">
        <v>15</v>
      </c>
      <c r="Q196" t="n">
        <v>12</v>
      </c>
      <c r="R196" t="n">
        <v>15</v>
      </c>
      <c r="S196" t="n">
        <v>0</v>
      </c>
      <c r="T196" t="n">
        <v>7</v>
      </c>
      <c r="U196" t="inlineStr">
        <is>
          <t>CONSIDER</t>
        </is>
      </c>
      <c r="V196" t="inlineStr">
        <is>
          <t>CONSIDER</t>
        </is>
      </c>
      <c r="X196" t="inlineStr">
        <is>
          <t>Default Full-Stack/Backend Resume</t>
        </is>
      </c>
      <c r="Y196" t="inlineStr">
        <is>
          <t>2026-09-10</t>
        </is>
      </c>
      <c r="Z196" t="inlineStr">
        <is>
          <t>Explicit PPO (conversion to full-time) available based on performance; Early-stage startup providing rich learning experience in scaling products from scratch; Aligns well with backend and software engineering targets</t>
        </is>
      </c>
      <c r="AA196" t="inlineStr">
        <is>
          <t>ELIGIBLE</t>
        </is>
      </c>
      <c r="AB196" t="inlineStr">
        <is>
          <t>No hard blockers found in the description.</t>
        </is>
      </c>
      <c r="AC196" t="inlineStr">
        <is>
          <t>UNKNOWN</t>
        </is>
      </c>
      <c r="AD196" t="inlineStr">
        <is>
          <t>Not enough details regarding start date or availability requirements.</t>
        </is>
      </c>
      <c r="AE196" t="inlineStr">
        <is>
          <t>UNKNOWN</t>
        </is>
      </c>
      <c r="AF196" t="n">
        <v>0</v>
      </c>
      <c r="AG196" t="inlineStr">
        <is>
          <t>No</t>
        </is>
      </c>
      <c r="AH196" t="inlineStr">
        <is>
          <t>YES</t>
        </is>
      </c>
      <c r="AI196" t="inlineStr">
        <is>
          <t>Converts into a full time position based on performance</t>
        </is>
      </c>
      <c r="AK196" t="inlineStr">
        <is>
          <t>Stipend details not disclosed</t>
        </is>
      </c>
      <c r="AL196" t="inlineStr">
        <is>
          <t>Backend scalability and architecture; API design and development; Previous full-stack or backend projects (StaySphere/Zenvest)</t>
        </is>
      </c>
    </row>
    <row r="197">
      <c r="A197" t="inlineStr">
        <is>
          <t>JUSPAY-TECHN-260910-151</t>
        </is>
      </c>
      <c r="B197" t="inlineStr">
        <is>
          <t>Juspay Technologies</t>
        </is>
      </c>
      <c r="C197" t="inlineStr">
        <is>
          <t>Software Development Engineer Backend Intern</t>
        </is>
      </c>
      <c r="D197" t="inlineStr">
        <is>
          <t>https://www.adzuna.in/details/5854847430?utm_medium=api&amp;utm_source=5ccdc27f</t>
        </is>
      </c>
      <c r="E197" t="inlineStr">
        <is>
          <t>AI Analyzer</t>
        </is>
      </c>
      <c r="F197" t="inlineStr">
        <is>
          <t>Bangalore, Karnataka</t>
        </is>
      </c>
      <c r="G197" t="inlineStr">
        <is>
          <t>UNKNOWN</t>
        </is>
      </c>
      <c r="H197" t="inlineStr">
        <is>
          <t>Not specified</t>
        </is>
      </c>
      <c r="I197" t="inlineStr">
        <is>
          <t>UNKNOWN</t>
        </is>
      </c>
      <c r="J197" t="inlineStr">
        <is>
          <t>UNKNOWN</t>
        </is>
      </c>
      <c r="K197" t="inlineStr">
        <is>
          <t>Functional Programming; Backend Development</t>
        </is>
      </c>
      <c r="L197" t="inlineStr">
        <is>
          <t>Distributed Systems</t>
        </is>
      </c>
      <c r="M197" t="inlineStr">
        <is>
          <t>Software Development Engineer Backend Intern at Juspay is a genuinely different kind of internship listing most companies bury their tech stack in a generic modern technologies line but Juspay states directly that its built its entire core business logic in functional programming and describes itself as the largest company in the world doing so at this scale Understanding Juspays actual scale befo</t>
        </is>
      </c>
      <c r="N197" t="n">
        <v>63</v>
      </c>
      <c r="O197" t="n">
        <v>20</v>
      </c>
      <c r="P197" t="n">
        <v>15</v>
      </c>
      <c r="Q197" t="n">
        <v>15</v>
      </c>
      <c r="R197" t="n">
        <v>5</v>
      </c>
      <c r="S197" t="n">
        <v>0</v>
      </c>
      <c r="T197" t="n">
        <v>8</v>
      </c>
      <c r="U197" t="inlineStr">
        <is>
          <t>STRETCH</t>
        </is>
      </c>
      <c r="V197" t="inlineStr">
        <is>
          <t>STRETCH</t>
        </is>
      </c>
      <c r="W197" t="inlineStr">
        <is>
          <t>Functional Programming</t>
        </is>
      </c>
      <c r="X197" t="inlineStr">
        <is>
          <t>Default Full Stack / Backend Resume</t>
        </is>
      </c>
      <c r="Y197" t="inlineStr">
        <is>
          <t>2026-09-10</t>
        </is>
      </c>
      <c r="Z197" t="inlineStr">
        <is>
          <t>Juspay is a top-tier fintech company offering deep backend engineering scale.; Matches target backend and software engineering roles.</t>
        </is>
      </c>
      <c r="AA197" t="inlineStr">
        <is>
          <t>ELIGIBLE</t>
        </is>
      </c>
      <c r="AB197" t="inlineStr">
        <is>
          <t>Candidate is an MCA student matching software engineering profile</t>
        </is>
      </c>
      <c r="AC197" t="inlineStr">
        <is>
          <t>UNKNOWN</t>
        </is>
      </c>
      <c r="AD197" t="inlineStr">
        <is>
          <t>Availability not explicitly stated in Career Brain</t>
        </is>
      </c>
      <c r="AE197" t="inlineStr">
        <is>
          <t>UNKNOWN</t>
        </is>
      </c>
      <c r="AF197" t="n">
        <v>0</v>
      </c>
      <c r="AG197" t="inlineStr">
        <is>
          <t>No</t>
        </is>
      </c>
      <c r="AH197" t="inlineStr">
        <is>
          <t>UNKNOWN</t>
        </is>
      </c>
      <c r="AI197" t="inlineStr">
        <is>
          <t>Not explicitly mentioned in the provided snippet</t>
        </is>
      </c>
      <c r="AL197" t="inlineStr">
        <is>
          <t>Functional Programming Concepts; Backend System Design; Distributed Systems at Scale; Data Structures and Algorithms</t>
        </is>
      </c>
    </row>
    <row r="198">
      <c r="A198" t="inlineStr">
        <is>
          <t>SPRINGER-CAP-260910-152</t>
        </is>
      </c>
      <c r="B198" t="inlineStr">
        <is>
          <t>Springer Capital</t>
        </is>
      </c>
      <c r="C198" t="inlineStr">
        <is>
          <t>Backend Engineering Intern (Infrastructure Software)</t>
        </is>
      </c>
      <c r="D198" t="inlineStr">
        <is>
          <t>https://www.adzuna.in/details/5600695068?utm_medium=api&amp;utm_source=5ccdc27f</t>
        </is>
      </c>
      <c r="E198" t="inlineStr">
        <is>
          <t>AI Analyzer</t>
        </is>
      </c>
      <c r="F198" t="inlineStr">
        <is>
          <t>India</t>
        </is>
      </c>
      <c r="G198" t="inlineStr">
        <is>
          <t>Remote</t>
        </is>
      </c>
      <c r="H198" t="inlineStr">
        <is>
          <t>Unpaid (3000 INR is just a placeholder)</t>
        </is>
      </c>
      <c r="I198" t="inlineStr">
        <is>
          <t>12 weeks</t>
        </is>
      </c>
      <c r="J198" t="inlineStr">
        <is>
          <t>not mentioned</t>
        </is>
      </c>
      <c r="K198" t="inlineStr">
        <is>
          <t>Backend Development; API Development; Database Management; Backend Architecture</t>
        </is>
      </c>
      <c r="M198" t="inlineStr">
        <is>
          <t>Backend Engineering Intern (Infrastructure Software) – Remote Position Type: Internship (Full-Time or Part-Time) Location: Remote Duration: 12 weeks Compensation: Unpaid (3000 INR is just a placeholder) About the Role We are seeking a motivated Backend Developer Intern to join our engineering team and contribute to building scalable, efficient, and secure backend services. This internship offers h</t>
        </is>
      </c>
      <c r="N198" t="n">
        <v>53</v>
      </c>
      <c r="O198" t="n">
        <v>22</v>
      </c>
      <c r="P198" t="n">
        <v>15</v>
      </c>
      <c r="Q198" t="n">
        <v>12</v>
      </c>
      <c r="R198" t="n">
        <v>0</v>
      </c>
      <c r="S198" t="n">
        <v>0</v>
      </c>
      <c r="T198" t="n">
        <v>4</v>
      </c>
      <c r="U198" t="inlineStr">
        <is>
          <t>SKIP</t>
        </is>
      </c>
      <c r="V198" t="inlineStr">
        <is>
          <t>SKIP</t>
        </is>
      </c>
      <c r="W198" t="inlineStr">
        <is>
          <t>Infrastructure Software Engineering specifics</t>
        </is>
      </c>
      <c r="X198" t="inlineStr">
        <is>
          <t>Amaanuddin_Ahmed_Fullstack_Resume.pdf</t>
        </is>
      </c>
      <c r="Y198" t="inlineStr">
        <is>
          <t>2026-09-10</t>
        </is>
      </c>
      <c r="Z198" t="inlineStr">
        <is>
          <t>Remote backend engineering internship aligning with backend development interests</t>
        </is>
      </c>
      <c r="AA198" t="inlineStr">
        <is>
          <t>eligible</t>
        </is>
      </c>
      <c r="AB198" t="inlineStr">
        <is>
          <t>Remote work mode matches candidate preferences; No strict degree or experience blockers mentioned in the short JD snippet</t>
        </is>
      </c>
      <c r="AC198" t="inlineStr">
        <is>
          <t>unknown</t>
        </is>
      </c>
      <c r="AD198" t="inlineStr">
        <is>
          <t>Not specified in candidate profile</t>
        </is>
      </c>
      <c r="AE198" t="inlineStr">
        <is>
          <t>unpaid</t>
        </is>
      </c>
      <c r="AF198" t="n">
        <v>0</v>
      </c>
      <c r="AG198" t="inlineStr">
        <is>
          <t>No</t>
        </is>
      </c>
      <c r="AH198" t="inlineStr">
        <is>
          <t>not mentioned</t>
        </is>
      </c>
      <c r="AI198" t="inlineStr">
        <is>
          <t>No explicit mention of PPO or conversion in the job description.</t>
        </is>
      </c>
      <c r="AK198" t="inlineStr">
        <is>
          <t>Unpaid internship (3000 INR placeholder)</t>
        </is>
      </c>
      <c r="AL198" t="inlineStr">
        <is>
          <t>API development best practices; Database management and schema design; Backend scalability and architecture principles</t>
        </is>
      </c>
    </row>
    <row r="199">
      <c r="A199" t="inlineStr">
        <is>
          <t>QUHU-260910-153</t>
        </is>
      </c>
      <c r="B199" t="inlineStr">
        <is>
          <t>QuHu</t>
        </is>
      </c>
      <c r="C199" t="inlineStr">
        <is>
          <t>Backend Engineer</t>
        </is>
      </c>
      <c r="D199" t="inlineStr">
        <is>
          <t>https://www.adzuna.in/details/2297738733?utm_medium=api&amp;utm_source=5ccdc27f</t>
        </is>
      </c>
      <c r="E199" t="inlineStr">
        <is>
          <t>AI Analyzer</t>
        </is>
      </c>
      <c r="F199" t="inlineStr">
        <is>
          <t>Delhi, India</t>
        </is>
      </c>
      <c r="G199" t="inlineStr">
        <is>
          <t>unknown</t>
        </is>
      </c>
      <c r="H199" t="inlineStr">
        <is>
          <t>unknown</t>
        </is>
      </c>
      <c r="I199" t="inlineStr">
        <is>
          <t>unknown</t>
        </is>
      </c>
      <c r="J199" t="inlineStr">
        <is>
          <t>unknown</t>
        </is>
      </c>
      <c r="K199" t="inlineStr">
        <is>
          <t>Efficient software development background; design patterns; problem solving</t>
        </is>
      </c>
      <c r="L199" t="inlineStr">
        <is>
          <t>AI; ML; Mobile; Commerce</t>
        </is>
      </c>
      <c r="M199" t="inlineStr">
        <is>
          <t>Job Description : We are currently building a next generation consumer tech product at the intersection of AI ML through Mobile and Commerce. The product requires building proprietary frameworks using latest technologies. We have an urgent requirement of a Backend Developer/ Fresher/ Intern, who would become core member of our Product Team, is a great problem solver, can learn quickly, and communi</t>
        </is>
      </c>
      <c r="N199" t="n">
        <v>56</v>
      </c>
      <c r="O199" t="n">
        <v>21</v>
      </c>
      <c r="P199" t="n">
        <v>14</v>
      </c>
      <c r="Q199" t="n">
        <v>11</v>
      </c>
      <c r="R199" t="n">
        <v>5</v>
      </c>
      <c r="S199" t="n">
        <v>0</v>
      </c>
      <c r="T199" t="n">
        <v>5</v>
      </c>
      <c r="U199" t="inlineStr">
        <is>
          <t>SKIP</t>
        </is>
      </c>
      <c r="V199" t="inlineStr">
        <is>
          <t>SKIP</t>
        </is>
      </c>
      <c r="X199" t="inlineStr">
        <is>
          <t>Amaanuddin_Ahmed_Software_Engineering_Resume.pdf</t>
        </is>
      </c>
      <c r="Y199" t="inlineStr">
        <is>
          <t>2026-09-10</t>
        </is>
      </c>
      <c r="Z199" t="inlineStr">
        <is>
          <t>Matches fresher/intern profile for Backend Developer; Aligns with backend development target role</t>
        </is>
      </c>
      <c r="AA199" t="inlineStr">
        <is>
          <t>eligible</t>
        </is>
      </c>
      <c r="AB199" t="inlineStr">
        <is>
          <t>Open to freshers and interns, fits MCA student profile</t>
        </is>
      </c>
      <c r="AC199" t="inlineStr">
        <is>
          <t>unknown</t>
        </is>
      </c>
      <c r="AD199" t="inlineStr">
        <is>
          <t>Candidate availability details are not provided in the career brain.</t>
        </is>
      </c>
      <c r="AE199" t="inlineStr">
        <is>
          <t>UNKNOWN</t>
        </is>
      </c>
      <c r="AF199" t="n">
        <v>0</v>
      </c>
      <c r="AG199" t="inlineStr">
        <is>
          <t>No</t>
        </is>
      </c>
      <c r="AH199" t="inlineStr">
        <is>
          <t>unknown</t>
        </is>
      </c>
      <c r="AI199" t="inlineStr">
        <is>
          <t>No mention of PPO or conversion in the job description.</t>
        </is>
      </c>
      <c r="AK199" t="inlineStr">
        <is>
          <t>Stipend/Salary details are completely missing; Job description is heavily truncated</t>
        </is>
      </c>
      <c r="AL199" t="inlineStr">
        <is>
          <t>Design patterns; Problem-solving and algorithmic thinking; Backend architecture fundamentals</t>
        </is>
      </c>
    </row>
    <row r="200">
      <c r="A200" t="inlineStr">
        <is>
          <t>THE-ALTER-OF-260910-154</t>
        </is>
      </c>
      <c r="B200" t="inlineStr">
        <is>
          <t>The Alter Office</t>
        </is>
      </c>
      <c r="C200" t="inlineStr">
        <is>
          <t>Associate Backend Engineer</t>
        </is>
      </c>
      <c r="D200" t="inlineStr">
        <is>
          <t>https://www.adzuna.in/details/5421428933?utm_medium=api&amp;utm_source=5ccdc27f</t>
        </is>
      </c>
      <c r="E200" t="inlineStr">
        <is>
          <t>AI Analyzer</t>
        </is>
      </c>
      <c r="F200" t="inlineStr">
        <is>
          <t>Bangalore, Karnataka</t>
        </is>
      </c>
      <c r="G200" t="inlineStr">
        <is>
          <t>unknown</t>
        </is>
      </c>
      <c r="H200" t="inlineStr">
        <is>
          <t>not specified</t>
        </is>
      </c>
      <c r="I200" t="inlineStr">
        <is>
          <t>unknown</t>
        </is>
      </c>
      <c r="J200" t="inlineStr">
        <is>
          <t>unknown</t>
        </is>
      </c>
      <c r="K200" t="inlineStr">
        <is>
          <t>Backend Development</t>
        </is>
      </c>
      <c r="L200" t="inlineStr">
        <is>
          <t>Scalable backend systems design; API development</t>
        </is>
      </c>
      <c r="M200" t="inlineStr">
        <is>
          <t>Job Title: Associate Backend Engineer Job Summary: We are looking for an enthusiastic and motivated Associate Backend Engineer with 1 to 2 years of experience to join our growing engineering team. Whether you're a recent graduate or have some industry experience, this role offers a strong foundation to grow your skills in real-world backend development. You’ll work closely with experienced enginee</t>
        </is>
      </c>
      <c r="N200" t="n">
        <v>68</v>
      </c>
      <c r="O200" t="n">
        <v>75</v>
      </c>
      <c r="P200" t="n">
        <v>70</v>
      </c>
      <c r="Q200" t="n">
        <v>80</v>
      </c>
      <c r="R200" t="n">
        <v>50</v>
      </c>
      <c r="S200" t="n">
        <v>50</v>
      </c>
      <c r="T200" t="n">
        <v>60</v>
      </c>
      <c r="U200" t="inlineStr">
        <is>
          <t>STRETCH</t>
        </is>
      </c>
      <c r="V200" t="inlineStr">
        <is>
          <t>STRETCH</t>
        </is>
      </c>
      <c r="X200" t="inlineStr">
        <is>
          <t>Amaanuddin_Ahmed_Backend_Resume.pdf</t>
        </is>
      </c>
      <c r="Y200" t="inlineStr">
        <is>
          <t>2026-09-10</t>
        </is>
      </c>
      <c r="Z200" t="inlineStr">
        <is>
          <t>The role aligns well with backend development targets; Candidate possesses foundational backend tech stack including Node.js, Express, and databases</t>
        </is>
      </c>
      <c r="AA200" t="inlineStr">
        <is>
          <t>eligible</t>
        </is>
      </c>
      <c r="AB200" t="inlineStr">
        <is>
          <t>Role matches target backend development domains; Location is Bangalore, matching feasible options</t>
        </is>
      </c>
      <c r="AC200" t="inlineStr">
        <is>
          <t>unknown</t>
        </is>
      </c>
      <c r="AD200" t="inlineStr">
        <is>
          <t>Candidate availability date is not specified in the career brain</t>
        </is>
      </c>
      <c r="AE200" t="inlineStr">
        <is>
          <t>unknown</t>
        </is>
      </c>
      <c r="AF200" t="n">
        <v>0</v>
      </c>
      <c r="AG200" t="inlineStr">
        <is>
          <t>No</t>
        </is>
      </c>
      <c r="AH200" t="inlineStr">
        <is>
          <t>unknown</t>
        </is>
      </c>
      <c r="AI200" t="inlineStr">
        <is>
          <t>No mention of PPO or conversion in the job description snippet</t>
        </is>
      </c>
      <c r="AK200" t="inlineStr">
        <is>
          <t>Incomplete job description text</t>
        </is>
      </c>
      <c r="AL200" t="inlineStr">
        <is>
          <t>Backend systems architecture; RESTful API design and implementation; Database management (SQL and NoSQL); Scalability and performance optimization</t>
        </is>
      </c>
    </row>
    <row r="201">
      <c r="A201" t="inlineStr">
        <is>
          <t>REPOWISE-260910-155</t>
        </is>
      </c>
      <c r="B201" t="inlineStr">
        <is>
          <t>Repowise</t>
        </is>
      </c>
      <c r="C201" t="inlineStr">
        <is>
          <t>SDE Intern (Founding Team)</t>
        </is>
      </c>
      <c r="D201" t="inlineStr">
        <is>
          <t>https://www.adzuna.in/land/ad/5876028129?se=aGDsBvSs8RGnuL6Fc8YS3w&amp;utm_medium=api&amp;utm_source=5ccdc27f&amp;v=9C6639071968F5DBDF8783AE5B809F0623FFACFC</t>
        </is>
      </c>
      <c r="E201" t="inlineStr">
        <is>
          <t>AI Analyzer</t>
        </is>
      </c>
      <c r="F201" t="inlineStr">
        <is>
          <t>Bangalore, Karnataka</t>
        </is>
      </c>
      <c r="G201" t="inlineStr">
        <is>
          <t>Remote</t>
        </is>
      </c>
      <c r="H201" t="inlineStr">
        <is>
          <t>Not specified</t>
        </is>
      </c>
      <c r="I201" t="inlineStr">
        <is>
          <t>UNKNOWN</t>
        </is>
      </c>
      <c r="J201" t="inlineStr">
        <is>
          <t>UNKNOWN</t>
        </is>
      </c>
      <c r="K201" t="inlineStr">
        <is>
          <t>AI; Developer Tools</t>
        </is>
      </c>
      <c r="L201" t="inlineStr">
        <is>
          <t>Git; Dependency Graph</t>
        </is>
      </c>
      <c r="M201" t="inlineStr">
        <is>
          <t>Company Description Repowise is a codebase intelligence platform that makes AI coding agents actually understand the code they work on. It scores every file in a repo for how likely it is to cause bugs, locates where the risk concentrates through a real dependency graph and git history, and generates the exact fix, all from one local index with zero LLM calls. With 2,500 GitHub stars and enterpris</t>
        </is>
      </c>
      <c r="N201" t="n">
        <v>63</v>
      </c>
      <c r="O201" t="n">
        <v>60</v>
      </c>
      <c r="P201" t="n">
        <v>70</v>
      </c>
      <c r="Q201" t="n">
        <v>70</v>
      </c>
      <c r="R201" t="n">
        <v>50</v>
      </c>
      <c r="S201" t="n">
        <v>40</v>
      </c>
      <c r="T201" t="n">
        <v>80</v>
      </c>
      <c r="U201" t="inlineStr">
        <is>
          <t>STRETCH</t>
        </is>
      </c>
      <c r="V201" t="inlineStr">
        <is>
          <t>STRETCH</t>
        </is>
      </c>
      <c r="W201" t="inlineStr">
        <is>
          <t>AI coding agents architecture; Codebase intelligence platforms</t>
        </is>
      </c>
      <c r="X201" t="inlineStr">
        <is>
          <t>Default Full Stack / Software Engineering Resume</t>
        </is>
      </c>
      <c r="Y201" t="inlineStr">
        <is>
          <t>2026-09-10</t>
        </is>
      </c>
      <c r="Z201" t="inlineStr">
        <is>
          <t>High opportunity quality with 2,500 GitHub stars and enterprise users.; Aligns with AI-adjacent software engineering and developer tools interest.</t>
        </is>
      </c>
      <c r="AA201" t="inlineStr">
        <is>
          <t>ELIGIBLE</t>
        </is>
      </c>
      <c r="AB201" t="inlineStr">
        <is>
          <t>No explicit graduation year, degree, or experience blockers mentioned in the snippet.</t>
        </is>
      </c>
      <c r="AC201" t="inlineStr">
        <is>
          <t>UNKNOWN</t>
        </is>
      </c>
      <c r="AD201" t="inlineStr">
        <is>
          <t>Candidate availability details are not provided in the career brain.</t>
        </is>
      </c>
      <c r="AE201" t="inlineStr">
        <is>
          <t>UNKNOWN</t>
        </is>
      </c>
      <c r="AF201" t="n">
        <v>0</v>
      </c>
      <c r="AG201" t="inlineStr">
        <is>
          <t>No</t>
        </is>
      </c>
      <c r="AH201" t="inlineStr">
        <is>
          <t>UNKNOWN</t>
        </is>
      </c>
      <c r="AI201" t="inlineStr">
        <is>
          <t>No explicit PPO or conversion mention found in the truncated JD snippet.</t>
        </is>
      </c>
      <c r="AK201" t="inlineStr">
        <is>
          <t>Truncated job description lacks clear salary, duration, and specific technical requirements.</t>
        </is>
      </c>
      <c r="AL201" t="inlineStr">
        <is>
          <t>Git history analysis and dependency graphs; AI developer tools and codebase intelligence; Local indexing and zero-LLM call architectures</t>
        </is>
      </c>
    </row>
    <row r="202">
      <c r="A202" t="inlineStr">
        <is>
          <t>AFFWORLD-TEC-260910-156</t>
        </is>
      </c>
      <c r="B202" t="inlineStr">
        <is>
          <t>Affworld Technologies</t>
        </is>
      </c>
      <c r="C202" t="inlineStr">
        <is>
          <t>SDE Intern</t>
        </is>
      </c>
      <c r="D202" t="inlineStr">
        <is>
          <t>https://www.adzuna.in/details/4801660754?utm_medium=api&amp;utm_source=5ccdc27f</t>
        </is>
      </c>
      <c r="E202" t="inlineStr">
        <is>
          <t>AI Analyzer</t>
        </is>
      </c>
      <c r="F202" t="inlineStr">
        <is>
          <t>Jaipur, Rajasthan</t>
        </is>
      </c>
      <c r="G202" t="inlineStr">
        <is>
          <t>Unknown</t>
        </is>
      </c>
      <c r="H202" t="inlineStr">
        <is>
          <t>Not specified</t>
        </is>
      </c>
      <c r="I202" t="inlineStr">
        <is>
          <t>Unknown</t>
        </is>
      </c>
      <c r="J202" t="inlineStr">
        <is>
          <t>Not Mentioned</t>
        </is>
      </c>
      <c r="K202" t="inlineStr">
        <is>
          <t>MERN stack; JavaScript; Node.js; Express.js; React.js; MongoDB</t>
        </is>
      </c>
      <c r="L202" t="inlineStr">
        <is>
          <t>REST APIs; Git; Testing and debugging</t>
        </is>
      </c>
      <c r="M202" t="inlineStr">
        <is>
          <t>Develop web applications using the MERN stack, ensuring high performance and responsiveness. Collaborate with cross-functional teams to define, design, and ship new features. Build reusable code and libraries for future use. Optimize applications for maximum speed and scalability. Implement security and data protection measures. Conduct thorough testing and debugging to ensure the application's st</t>
        </is>
      </c>
      <c r="N202" t="n">
        <v>70</v>
      </c>
      <c r="O202" t="n">
        <v>30</v>
      </c>
      <c r="P202" t="n">
        <v>20</v>
      </c>
      <c r="Q202" t="n">
        <v>15</v>
      </c>
      <c r="R202" t="n">
        <v>0</v>
      </c>
      <c r="S202" t="n">
        <v>0</v>
      </c>
      <c r="T202" t="n">
        <v>5</v>
      </c>
      <c r="U202" t="inlineStr">
        <is>
          <t>CONSIDER</t>
        </is>
      </c>
      <c r="V202" t="inlineStr">
        <is>
          <t>CONSIDER</t>
        </is>
      </c>
      <c r="X202" t="inlineStr">
        <is>
          <t>Amaanuddin_Ahmed_Full_Stack_Resume.pdf</t>
        </is>
      </c>
      <c r="Y202" t="inlineStr">
        <is>
          <t>2026-09-10</t>
        </is>
      </c>
      <c r="Z202" t="inlineStr">
        <is>
          <t>Strong technical match for MERN stack development; Aligns well with target roles in Software Engineering and Full Stack Development</t>
        </is>
      </c>
      <c r="AA202" t="inlineStr">
        <is>
          <t>Eligible</t>
        </is>
      </c>
      <c r="AB202" t="inlineStr">
        <is>
          <t>Candidate is pursuing MCA; MERN stack fits profile</t>
        </is>
      </c>
      <c r="AC202" t="inlineStr">
        <is>
          <t>Unknown</t>
        </is>
      </c>
      <c r="AD202" t="inlineStr">
        <is>
          <t>Not provided in career brain or job description</t>
        </is>
      </c>
      <c r="AE202" t="inlineStr">
        <is>
          <t>UNKNOWN</t>
        </is>
      </c>
      <c r="AF202" t="n">
        <v>0</v>
      </c>
      <c r="AG202" t="inlineStr">
        <is>
          <t>No</t>
        </is>
      </c>
      <c r="AH202" t="inlineStr">
        <is>
          <t>Not Mentioned</t>
        </is>
      </c>
      <c r="AI202" t="inlineStr">
        <is>
          <t>No mention of PPO or conversion in the job description.</t>
        </is>
      </c>
      <c r="AK202" t="inlineStr">
        <is>
          <t>Stipend not disclosed; PPO not mentioned</t>
        </is>
      </c>
      <c r="AL202" t="inlineStr">
        <is>
          <t>MERN Stack Architecture; State Management in React; API Security and Authentication; Database Indexing in MongoDB</t>
        </is>
      </c>
    </row>
    <row r="203">
      <c r="A203" t="inlineStr">
        <is>
          <t>LIVE-YOUR-BE-260910-157</t>
        </is>
      </c>
      <c r="B203" t="inlineStr">
        <is>
          <t>Live Your Best Life</t>
        </is>
      </c>
      <c r="C203" t="inlineStr">
        <is>
          <t>Backend SDE Intern</t>
        </is>
      </c>
      <c r="D203" t="inlineStr">
        <is>
          <t>https://www.adzuna.in/details/5781559683?utm_medium=api&amp;utm_source=5ccdc27f</t>
        </is>
      </c>
      <c r="E203" t="inlineStr">
        <is>
          <t>AI Analyzer</t>
        </is>
      </c>
      <c r="F203" t="inlineStr">
        <is>
          <t>India</t>
        </is>
      </c>
      <c r="G203" t="inlineStr">
        <is>
          <t>UNKNOWN</t>
        </is>
      </c>
      <c r="H203" t="inlineStr">
        <is>
          <t>Not specified</t>
        </is>
      </c>
      <c r="I203" t="inlineStr">
        <is>
          <t>UNKNOWN</t>
        </is>
      </c>
      <c r="J203" t="inlineStr">
        <is>
          <t>UNKNOWN</t>
        </is>
      </c>
      <c r="K203" t="inlineStr">
        <is>
          <t>Backend Development</t>
        </is>
      </c>
      <c r="L203" t="inlineStr">
        <is>
          <t>AI/ML</t>
        </is>
      </c>
      <c r="M203" t="inlineStr">
        <is>
          <t>About the Company: Live Your Best Life (LYBL) is a health tech company redefining how chronic conditions are treated. We combine time-honored Ayurvedic traditions with the precision of modern science, AI/ML powered technology, advanced supplement delivery systems, and personalized care to address root-cause health issues like anxiety, diabetes, gut health, and women’s wellness. Backed by a cross-f</t>
        </is>
      </c>
      <c r="N203" t="n">
        <v>42</v>
      </c>
      <c r="O203" t="n">
        <v>50</v>
      </c>
      <c r="P203" t="n">
        <v>50</v>
      </c>
      <c r="Q203" t="n">
        <v>50</v>
      </c>
      <c r="R203" t="n">
        <v>0</v>
      </c>
      <c r="S203" t="n">
        <v>0</v>
      </c>
      <c r="T203" t="n">
        <v>50</v>
      </c>
      <c r="U203" t="inlineStr">
        <is>
          <t>SKIP</t>
        </is>
      </c>
      <c r="V203" t="inlineStr">
        <is>
          <t>SKIP</t>
        </is>
      </c>
      <c r="X203" t="inlineStr">
        <is>
          <t>Default Full Stack / Backend Resume</t>
        </is>
      </c>
      <c r="Y203" t="inlineStr">
        <is>
          <t>2026-09-10</t>
        </is>
      </c>
      <c r="Z203" t="inlineStr">
        <is>
          <t>Aligns with backend software engineering interest in a health tech domain.</t>
        </is>
      </c>
      <c r="AA203" t="inlineStr">
        <is>
          <t>ELIGIBLE</t>
        </is>
      </c>
      <c r="AB203" t="inlineStr">
        <is>
          <t>No explicit graduation year or strict degree blockers mentioned in the snippet.</t>
        </is>
      </c>
      <c r="AC203" t="inlineStr">
        <is>
          <t>UNKNOWN</t>
        </is>
      </c>
      <c r="AD203" t="inlineStr">
        <is>
          <t>Availability not specified in the job description.</t>
        </is>
      </c>
      <c r="AE203" t="inlineStr">
        <is>
          <t>UNKNOWN</t>
        </is>
      </c>
      <c r="AF203" t="n">
        <v>0</v>
      </c>
      <c r="AG203" t="inlineStr">
        <is>
          <t>No</t>
        </is>
      </c>
      <c r="AH203" t="inlineStr">
        <is>
          <t>UNKNOWN</t>
        </is>
      </c>
      <c r="AI203" t="inlineStr">
        <is>
          <t>Not mentioned in the truncated JD snippet.</t>
        </is>
      </c>
      <c r="AK203" t="inlineStr">
        <is>
          <t>Incomplete job description provided</t>
        </is>
      </c>
      <c r="AL203" t="inlineStr">
        <is>
          <t>Backend system design; API development; Database management</t>
        </is>
      </c>
    </row>
    <row r="204">
      <c r="A204" t="inlineStr">
        <is>
          <t>BRIGHT-MONEY-260910-158</t>
        </is>
      </c>
      <c r="B204" t="inlineStr">
        <is>
          <t>Bright Money</t>
        </is>
      </c>
      <c r="C204" t="inlineStr">
        <is>
          <t>SDE Intern - Backend</t>
        </is>
      </c>
      <c r="D204" t="inlineStr">
        <is>
          <t>https://www.adzuna.in/details/5776745237?utm_medium=api&amp;utm_source=5ccdc27f</t>
        </is>
      </c>
      <c r="E204" t="inlineStr">
        <is>
          <t>AI Analyzer</t>
        </is>
      </c>
      <c r="F204" t="inlineStr">
        <is>
          <t>India</t>
        </is>
      </c>
      <c r="G204" t="inlineStr">
        <is>
          <t>UNKNOWN</t>
        </is>
      </c>
      <c r="H204" t="inlineStr">
        <is>
          <t>Not specified</t>
        </is>
      </c>
      <c r="I204" t="inlineStr">
        <is>
          <t>UNKNOWN</t>
        </is>
      </c>
      <c r="J204" t="inlineStr">
        <is>
          <t>UNKNOWN</t>
        </is>
      </c>
      <c r="K204" t="inlineStr">
        <is>
          <t>Backend Development; Software Engineering</t>
        </is>
      </c>
      <c r="L204" t="inlineStr">
        <is>
          <t>Consumer FinTech domain knowledge</t>
        </is>
      </c>
      <c r="M204" t="inlineStr">
        <is>
          <t>About Bright Money Bright Money is a Consumer FinTech for middle-income consumers. It brings together SaaS products to help consumers build credit, manage their debt, and get access to suitable loans and credit cards. These are the major financial needs of middle-income consumers living paycheck-to-paycheck. Bright is a profitable, India-built, U.S.-market Consumer FinTech, with revenue trajectory</t>
        </is>
      </c>
      <c r="N204" t="n">
        <v>64</v>
      </c>
      <c r="O204" t="n">
        <v>60</v>
      </c>
      <c r="P204" t="n">
        <v>70</v>
      </c>
      <c r="Q204" t="n">
        <v>70</v>
      </c>
      <c r="R204" t="n">
        <v>50</v>
      </c>
      <c r="S204" t="n">
        <v>50</v>
      </c>
      <c r="T204" t="n">
        <v>80</v>
      </c>
      <c r="U204" t="inlineStr">
        <is>
          <t>STRETCH</t>
        </is>
      </c>
      <c r="V204" t="inlineStr">
        <is>
          <t>STRETCH</t>
        </is>
      </c>
      <c r="X204" t="inlineStr">
        <is>
          <t>Default Full Stack / Backend Resume</t>
        </is>
      </c>
      <c r="Y204" t="inlineStr">
        <is>
          <t>2026-09-10</t>
        </is>
      </c>
      <c r="Z204" t="inlineStr">
        <is>
          <t>Bright Money is a profitable, fast-growing consumer fintech company with strong scaling metrics.; Matches target role for Backend Development / Software Engineering.</t>
        </is>
      </c>
      <c r="AA204" t="inlineStr">
        <is>
          <t>ELIGIBLE</t>
        </is>
      </c>
      <c r="AB204" t="inlineStr">
        <is>
          <t>No explicit graduation year or degree restrictions mentioned in the snippet.</t>
        </is>
      </c>
      <c r="AC204" t="inlineStr">
        <is>
          <t>UNKNOWN</t>
        </is>
      </c>
      <c r="AD204" t="inlineStr">
        <is>
          <t>Not specified in the candidate profile or job description.</t>
        </is>
      </c>
      <c r="AE204" t="inlineStr">
        <is>
          <t>UNKNOWN</t>
        </is>
      </c>
      <c r="AF204" t="n">
        <v>0</v>
      </c>
      <c r="AG204" t="inlineStr">
        <is>
          <t>No</t>
        </is>
      </c>
      <c r="AH204" t="inlineStr">
        <is>
          <t>UNKNOWN</t>
        </is>
      </c>
      <c r="AI204" t="inlineStr">
        <is>
          <t>Not explicitly mentioned in the provided snippet.</t>
        </is>
      </c>
      <c r="AK204" t="inlineStr">
        <is>
          <t>Truncated job description snippet provides very limited information about specific tech stack requirements.</t>
        </is>
      </c>
      <c r="AL204" t="inlineStr">
        <is>
          <t>Backend system architecture; Data structures and algorithms; API design and development; Fintech domain understanding</t>
        </is>
      </c>
    </row>
    <row r="205">
      <c r="A205" t="inlineStr">
        <is>
          <t>PGAGI-260910-159</t>
        </is>
      </c>
      <c r="B205" t="inlineStr">
        <is>
          <t>PGAGI</t>
        </is>
      </c>
      <c r="C205" t="inlineStr">
        <is>
          <t>SDE Intern - React Native</t>
        </is>
      </c>
      <c r="D205" t="inlineStr">
        <is>
          <t>https://www.adzuna.in/details/5804688462?utm_medium=api&amp;utm_source=5ccdc27f</t>
        </is>
      </c>
      <c r="E205" t="inlineStr">
        <is>
          <t>AI Analyzer</t>
        </is>
      </c>
      <c r="F205" t="inlineStr">
        <is>
          <t>India</t>
        </is>
      </c>
      <c r="G205" t="inlineStr">
        <is>
          <t>Remote</t>
        </is>
      </c>
      <c r="I205" t="inlineStr">
        <is>
          <t>6 months</t>
        </is>
      </c>
      <c r="J205" t="inlineStr">
        <is>
          <t>POSSIBLE</t>
        </is>
      </c>
      <c r="K205" t="inlineStr">
        <is>
          <t>React Native; Mobile Application Development</t>
        </is>
      </c>
      <c r="M205" t="inlineStr">
        <is>
          <t>Position Title: SDE Intern – Mobile Application Location: Remote Duration: 6 months (with potential for full-time conversion based on performance) About PGAGI: At PGAGI, we believe in a future where AI and human intelligence coexist in harmony, creating a world that is smarter, faster, and better. We are not just building AI; we are shaping a future where AI is a fundamental and positive force for</t>
        </is>
      </c>
      <c r="N205" t="n">
        <v>62</v>
      </c>
      <c r="O205" t="n">
        <v>18</v>
      </c>
      <c r="P205" t="n">
        <v>15</v>
      </c>
      <c r="Q205" t="n">
        <v>10</v>
      </c>
      <c r="R205" t="n">
        <v>12</v>
      </c>
      <c r="S205" t="n">
        <v>0</v>
      </c>
      <c r="T205" t="n">
        <v>7</v>
      </c>
      <c r="U205" t="inlineStr">
        <is>
          <t>STRETCH</t>
        </is>
      </c>
      <c r="V205" t="inlineStr">
        <is>
          <t>STRETCH</t>
        </is>
      </c>
      <c r="W205" t="inlineStr">
        <is>
          <t>React Native</t>
        </is>
      </c>
      <c r="X205" t="inlineStr">
        <is>
          <t>Default Full Stack / MERN resume</t>
        </is>
      </c>
      <c r="Y205" t="inlineStr">
        <is>
          <t>2026-09-10</t>
        </is>
      </c>
      <c r="Z205" t="inlineStr">
        <is>
          <t>Offers remote work mode.; Mentions potential for full-time conversion which aligns with PPO priority.; 6-month duration fits standard internship timelines.</t>
        </is>
      </c>
      <c r="AA205" t="inlineStr">
        <is>
          <t>ELIGIBLE</t>
        </is>
      </c>
      <c r="AB205" t="inlineStr">
        <is>
          <t>No explicit hard blockers mentioned in the short description.</t>
        </is>
      </c>
      <c r="AC205" t="inlineStr">
        <is>
          <t>UNKNOWN</t>
        </is>
      </c>
      <c r="AD205" t="inlineStr">
        <is>
          <t>Candidate availability details are not specified.</t>
        </is>
      </c>
      <c r="AE205" t="inlineStr">
        <is>
          <t>UNKNOWN</t>
        </is>
      </c>
      <c r="AF205" t="n">
        <v>0</v>
      </c>
      <c r="AG205" t="inlineStr">
        <is>
          <t>No</t>
        </is>
      </c>
      <c r="AH205" t="inlineStr">
        <is>
          <t>POSSIBLE</t>
        </is>
      </c>
      <c r="AI205" t="inlineStr">
        <is>
          <t>with potential for full-time conversion based on performance</t>
        </is>
      </c>
      <c r="AK205" t="inlineStr">
        <is>
          <t>Stipend not disclosed</t>
        </is>
      </c>
      <c r="AL205" t="inlineStr">
        <is>
          <t>React Native fundamentals and cross-platform mobile development; Bridge between React.js and React Native; State management in mobile apps; REST API integration and mobile performance</t>
        </is>
      </c>
    </row>
    <row r="206">
      <c r="A206" t="inlineStr">
        <is>
          <t>PGAGI-260910-160</t>
        </is>
      </c>
      <c r="B206" t="inlineStr">
        <is>
          <t>PGAGI</t>
        </is>
      </c>
      <c r="C206" t="inlineStr">
        <is>
          <t>SDE Internship (Next Js)</t>
        </is>
      </c>
      <c r="D206" t="inlineStr">
        <is>
          <t>https://www.adzuna.in/details/5804689141?utm_medium=api&amp;utm_source=5ccdc27f</t>
        </is>
      </c>
      <c r="E206" t="inlineStr">
        <is>
          <t>AI Analyzer</t>
        </is>
      </c>
      <c r="F206" t="inlineStr">
        <is>
          <t>India</t>
        </is>
      </c>
      <c r="G206" t="inlineStr">
        <is>
          <t>UNKNOWN</t>
        </is>
      </c>
      <c r="H206" t="inlineStr">
        <is>
          <t>Not specified</t>
        </is>
      </c>
      <c r="I206" t="inlineStr">
        <is>
          <t>6 months</t>
        </is>
      </c>
      <c r="J206" t="inlineStr">
        <is>
          <t>UNKNOWN</t>
        </is>
      </c>
      <c r="K206" t="inlineStr">
        <is>
          <t>Next.js</t>
        </is>
      </c>
      <c r="L206" t="inlineStr">
        <is>
          <t>AI systems; Autonomous agents</t>
        </is>
      </c>
      <c r="M206" t="inlineStr">
        <is>
          <t>We're at the forefront of creating advanced AI systems, from fully autonomous agents that provide intelligent customer interaction to data analysis tools that offer insightful business solutions. We are seeking enthusiastic interns who are passionate about AI and ready to tackle real-world problems using the latest technologies. Duration: 6 months Perks: - Hands-on experience with real AI projects</t>
        </is>
      </c>
      <c r="N206" t="n">
        <v>51</v>
      </c>
      <c r="O206" t="n">
        <v>60</v>
      </c>
      <c r="P206" t="n">
        <v>70</v>
      </c>
      <c r="Q206" t="n">
        <v>75</v>
      </c>
      <c r="R206" t="n">
        <v>0</v>
      </c>
      <c r="S206" t="n">
        <v>0</v>
      </c>
      <c r="T206" t="n">
        <v>60</v>
      </c>
      <c r="U206" t="inlineStr">
        <is>
          <t>SKIP</t>
        </is>
      </c>
      <c r="V206" t="inlineStr">
        <is>
          <t>SKIP</t>
        </is>
      </c>
      <c r="W206" t="inlineStr">
        <is>
          <t>Next.js</t>
        </is>
      </c>
      <c r="X206" t="inlineStr">
        <is>
          <t>Amaanuddin_Ahmed_Fullstack_Resume.pdf</t>
        </is>
      </c>
      <c r="Y206" t="inlineStr">
        <is>
          <t>2026-09-10</t>
        </is>
      </c>
      <c r="Z206" t="inlineStr">
        <is>
          <t>Provides hands-on experience with AI projects and mentoring.; Matches general software engineering and internship criteria.</t>
        </is>
      </c>
      <c r="AA206" t="inlineStr">
        <is>
          <t>ELIGIBLE</t>
        </is>
      </c>
      <c r="AB206" t="inlineStr">
        <is>
          <t>No explicit graduation year or degree blockers mentioned in the description.</t>
        </is>
      </c>
      <c r="AC206" t="inlineStr">
        <is>
          <t>UNKNOWN</t>
        </is>
      </c>
      <c r="AD206" t="inlineStr">
        <is>
          <t>Availability not specified in the profile or JD.</t>
        </is>
      </c>
      <c r="AE206" t="inlineStr">
        <is>
          <t>UNKNOWN</t>
        </is>
      </c>
      <c r="AF206" t="n">
        <v>0</v>
      </c>
      <c r="AG206" t="inlineStr">
        <is>
          <t>No</t>
        </is>
      </c>
      <c r="AH206" t="inlineStr">
        <is>
          <t>UNKNOWN</t>
        </is>
      </c>
      <c r="AI206" t="inlineStr">
        <is>
          <t>No mention of PPO or conversion in the job description.</t>
        </is>
      </c>
      <c r="AK206" t="inlineStr">
        <is>
          <t>Stipend is not disclosed; PPO information is missing</t>
        </is>
      </c>
      <c r="AL206" t="inlineStr">
        <is>
          <t>Next.js and React concepts; Experience with AI systems or autonomous agents; Past full stack projects like StaySphere or Zenvest</t>
        </is>
      </c>
    </row>
    <row r="207">
      <c r="A207" t="inlineStr">
        <is>
          <t>PGAGI-260910-161</t>
        </is>
      </c>
      <c r="B207" t="inlineStr">
        <is>
          <t>PGAGI</t>
        </is>
      </c>
      <c r="C207" t="inlineStr">
        <is>
          <t>SDE Intern – Mobile Application</t>
        </is>
      </c>
      <c r="D207" t="inlineStr">
        <is>
          <t>https://www.adzuna.in/details/5722653710?utm_medium=api&amp;utm_source=5ccdc27f</t>
        </is>
      </c>
      <c r="E207" t="inlineStr">
        <is>
          <t>AI Analyzer</t>
        </is>
      </c>
      <c r="F207" t="inlineStr">
        <is>
          <t>Remote</t>
        </is>
      </c>
      <c r="G207" t="inlineStr">
        <is>
          <t>Remote</t>
        </is>
      </c>
      <c r="H207" t="inlineStr">
        <is>
          <t>Not specified</t>
        </is>
      </c>
      <c r="I207" t="inlineStr">
        <is>
          <t>6 months</t>
        </is>
      </c>
      <c r="J207" t="inlineStr">
        <is>
          <t>Yes</t>
        </is>
      </c>
      <c r="K207" t="inlineStr">
        <is>
          <t>React Native; Mobile Application Development; Cross-platform Development</t>
        </is>
      </c>
      <c r="L207" t="inlineStr">
        <is>
          <t>JavaScript; TypeScript</t>
        </is>
      </c>
      <c r="M207" t="inlineStr">
        <is>
          <t>Position Title: SDE Intern – Mobile Application Location: Remote Duration: 6 months (with potential for full-time conversion based on performance) About PGAGI: At PGAGI, we believe in a future where AI and human intelligence coexist in harmony, creating a world that is smarter, faster, and better. We are not just building AI; we are shaping a future where AI is a fundamental and positive force for</t>
        </is>
      </c>
      <c r="N207" t="n">
        <v>55</v>
      </c>
      <c r="O207" t="n">
        <v>40</v>
      </c>
      <c r="P207" t="n">
        <v>70</v>
      </c>
      <c r="Q207" t="n">
        <v>60</v>
      </c>
      <c r="R207" t="n">
        <v>100</v>
      </c>
      <c r="S207" t="n">
        <v>0</v>
      </c>
      <c r="T207" t="n">
        <v>70</v>
      </c>
      <c r="U207" t="inlineStr">
        <is>
          <t>SKIP</t>
        </is>
      </c>
      <c r="V207" t="inlineStr">
        <is>
          <t>SKIP</t>
        </is>
      </c>
      <c r="W207" t="inlineStr">
        <is>
          <t>React Native</t>
        </is>
      </c>
      <c r="X207" t="inlineStr">
        <is>
          <t>Default Full Stack / Software Engineering Resume</t>
        </is>
      </c>
      <c r="Y207" t="inlineStr">
        <is>
          <t>2026-09-10</t>
        </is>
      </c>
      <c r="Z207" t="inlineStr">
        <is>
          <t>Includes potential for full-time conversion (PPO); Remote work flexibility; Exciting AI-focused company mission</t>
        </is>
      </c>
      <c r="AA207" t="inlineStr">
        <is>
          <t>Eligible</t>
        </is>
      </c>
      <c r="AB207" t="inlineStr">
        <is>
          <t>Open to internship applicants; Remote work mode aligns with flexibility</t>
        </is>
      </c>
      <c r="AC207" t="inlineStr">
        <is>
          <t>UNKNOWN</t>
        </is>
      </c>
      <c r="AD207" t="inlineStr">
        <is>
          <t>Candidate availability timeline not explicitly provided in career brain.</t>
        </is>
      </c>
      <c r="AE207" t="inlineStr">
        <is>
          <t>UNKNOWN</t>
        </is>
      </c>
      <c r="AF207" t="n">
        <v>0</v>
      </c>
      <c r="AG207" t="inlineStr">
        <is>
          <t>No</t>
        </is>
      </c>
      <c r="AH207" t="inlineStr">
        <is>
          <t>Yes</t>
        </is>
      </c>
      <c r="AI207" t="inlineStr">
        <is>
          <t>with potential for full-time conversion based on performance</t>
        </is>
      </c>
      <c r="AK207" t="inlineStr">
        <is>
          <t>Stipend is not disclosed; Requires React Native which is not explicitly demonstrated in core skill set</t>
        </is>
      </c>
      <c r="AL207" t="inlineStr">
        <is>
          <t>React Native fundamentals and bridge architecture; State management in mobile applications; Cross-platform development challenges; Previous MERN projects and transition to mobile</t>
        </is>
      </c>
    </row>
    <row r="208">
      <c r="A208" t="inlineStr">
        <is>
          <t>LOGICAL-SOFT-260910-162</t>
        </is>
      </c>
      <c r="B208" t="inlineStr">
        <is>
          <t>LOGICAL Soft Tech</t>
        </is>
      </c>
      <c r="C208" t="inlineStr">
        <is>
          <t>Node.js Intern</t>
        </is>
      </c>
      <c r="D208" t="inlineStr">
        <is>
          <t>https://www.adzuna.in/details/5032506906?utm_medium=api&amp;utm_source=5ccdc27f</t>
        </is>
      </c>
      <c r="E208" t="inlineStr">
        <is>
          <t>AI Analyzer</t>
        </is>
      </c>
      <c r="F208" t="inlineStr">
        <is>
          <t>Indore, Madhya Pradesh</t>
        </is>
      </c>
      <c r="G208" t="inlineStr">
        <is>
          <t>Work from office</t>
        </is>
      </c>
      <c r="H208" t="inlineStr">
        <is>
          <t>Not specified</t>
        </is>
      </c>
      <c r="I208" t="inlineStr">
        <is>
          <t>Not specified</t>
        </is>
      </c>
      <c r="J208" t="inlineStr">
        <is>
          <t>NOT_MENTIONED</t>
        </is>
      </c>
      <c r="K208" t="inlineStr">
        <is>
          <t>Node.js; MongoDB; Backend Development; REST APIs</t>
        </is>
      </c>
      <c r="L208" t="inlineStr">
        <is>
          <t>Database Management; Admin Panel Development</t>
        </is>
      </c>
      <c r="M208" t="inlineStr">
        <is>
          <t>We are looking for Complete Fresher candidate for Intern Position Node js who want to make career in IT company and want to learn Live Project working. Location : Indore, M.P( Work from office only) Responsibilities :- 1) He or she will be doing backend Development ( database, admin panel and Rest api) 2) He or she will be learning backend logics with node js and Mongo db databse 3) He or she will</t>
        </is>
      </c>
      <c r="N208" t="n">
        <v>71</v>
      </c>
      <c r="O208" t="n">
        <v>27</v>
      </c>
      <c r="P208" t="n">
        <v>20</v>
      </c>
      <c r="Q208" t="n">
        <v>14</v>
      </c>
      <c r="R208" t="n">
        <v>5</v>
      </c>
      <c r="S208" t="n">
        <v>0</v>
      </c>
      <c r="T208" t="n">
        <v>5</v>
      </c>
      <c r="U208" t="inlineStr">
        <is>
          <t>CONSIDER</t>
        </is>
      </c>
      <c r="V208" t="inlineStr">
        <is>
          <t>CONSIDER</t>
        </is>
      </c>
      <c r="X208" t="inlineStr">
        <is>
          <t>Amaanuddin_Ahmed_FullStack_Resume.pdf</t>
        </is>
      </c>
      <c r="Y208" t="inlineStr">
        <is>
          <t>2026-09-10</t>
        </is>
      </c>
      <c r="Z208" t="inlineStr">
        <is>
          <t>Strong technical fit with Node.js and MongoDB requirements; Good learning opportunity for backend development working under senior guidance</t>
        </is>
      </c>
      <c r="AA208" t="inlineStr">
        <is>
          <t>ELIGIBLE</t>
        </is>
      </c>
      <c r="AB208" t="inlineStr">
        <is>
          <t>Open to complete freshers; Matches candidate background</t>
        </is>
      </c>
      <c r="AC208" t="inlineStr">
        <is>
          <t>UNKNOWN</t>
        </is>
      </c>
      <c r="AD208" t="inlineStr">
        <is>
          <t>Availability not specified in the profile or JD</t>
        </is>
      </c>
      <c r="AE208" t="inlineStr">
        <is>
          <t>UNKNOWN</t>
        </is>
      </c>
      <c r="AF208" t="n">
        <v>0</v>
      </c>
      <c r="AG208" t="inlineStr">
        <is>
          <t>No</t>
        </is>
      </c>
      <c r="AH208" t="inlineStr">
        <is>
          <t>NOT_MENTIONED</t>
        </is>
      </c>
      <c r="AI208" t="inlineStr">
        <is>
          <t>No mention of PPO or conversion in the job description</t>
        </is>
      </c>
      <c r="AJ208" t="inlineStr">
        <is>
          <t>Location is Indore, M.P. (Work from office only), which may require relocation or daily commute if candidate is not in Indore.</t>
        </is>
      </c>
      <c r="AK208" t="inlineStr">
        <is>
          <t>No stipend amount disclosed; No PPO information provided</t>
        </is>
      </c>
      <c r="AL208" t="inlineStr">
        <is>
          <t>Node.js event loop and asynchronous programming; MongoDB schema design and queries; REST API development best practices; Previous projects involving MERN stack</t>
        </is>
      </c>
    </row>
    <row r="209">
      <c r="A209" t="inlineStr">
        <is>
          <t>NORYN-TECH-P-260910-163</t>
        </is>
      </c>
      <c r="B209" t="inlineStr">
        <is>
          <t>Noryn Tech Private Limited</t>
        </is>
      </c>
      <c r="C209" t="inlineStr">
        <is>
          <t>Node Js Intern</t>
        </is>
      </c>
      <c r="D209" t="inlineStr">
        <is>
          <t>https://www.adzuna.in/details/5698481869?utm_medium=api&amp;utm_source=5ccdc27f</t>
        </is>
      </c>
      <c r="E209" t="inlineStr">
        <is>
          <t>AI Analyzer</t>
        </is>
      </c>
      <c r="F209" t="inlineStr">
        <is>
          <t>Indore, Madhya Pradesh</t>
        </is>
      </c>
      <c r="G209" t="inlineStr">
        <is>
          <t>On-site</t>
        </is>
      </c>
      <c r="H209" t="inlineStr">
        <is>
          <t>Not specified</t>
        </is>
      </c>
      <c r="I209" t="inlineStr">
        <is>
          <t>Not specified</t>
        </is>
      </c>
      <c r="J209" t="inlineStr">
        <is>
          <t>Not Mentioned</t>
        </is>
      </c>
      <c r="K209" t="inlineStr">
        <is>
          <t>Node.js</t>
        </is>
      </c>
      <c r="M209" t="inlineStr">
        <is>
          <t>Description Noryn Tech Private Limited is excited to announce an opening for a Node.js Developer in our Indore office. This full-time, on-site position is perfect for those looking to kickstart their career in software development within the Business Supplies and Equipment industry. As a Node.js Developer, you will play a crucial role in building and maintaining server-side applications that enhan</t>
        </is>
      </c>
      <c r="N209" t="n">
        <v>57</v>
      </c>
      <c r="O209" t="n">
        <v>25</v>
      </c>
      <c r="P209" t="n">
        <v>15</v>
      </c>
      <c r="Q209" t="n">
        <v>12</v>
      </c>
      <c r="R209" t="n">
        <v>0</v>
      </c>
      <c r="S209" t="n">
        <v>0</v>
      </c>
      <c r="T209" t="n">
        <v>5</v>
      </c>
      <c r="U209" t="inlineStr">
        <is>
          <t>SKIP</t>
        </is>
      </c>
      <c r="V209" t="inlineStr">
        <is>
          <t>SKIP</t>
        </is>
      </c>
      <c r="X209" t="inlineStr">
        <is>
          <t>Amaanuddin_Ahmed_Full_Stack_Resume.pdf</t>
        </is>
      </c>
      <c r="Y209" t="inlineStr">
        <is>
          <t>2026-09-10</t>
        </is>
      </c>
      <c r="Z209" t="inlineStr">
        <is>
          <t>Aligns with Node.js backend development interest.</t>
        </is>
      </c>
      <c r="AA209" t="inlineStr">
        <is>
          <t>Eligible</t>
        </is>
      </c>
      <c r="AC209" t="inlineStr">
        <is>
          <t>Unknown</t>
        </is>
      </c>
      <c r="AD209" t="inlineStr">
        <is>
          <t>Availability requirements are not specified in the job description.</t>
        </is>
      </c>
      <c r="AE209" t="inlineStr">
        <is>
          <t>UNKNOWN</t>
        </is>
      </c>
      <c r="AF209" t="n">
        <v>0</v>
      </c>
      <c r="AG209" t="inlineStr">
        <is>
          <t>No</t>
        </is>
      </c>
      <c r="AH209" t="inlineStr">
        <is>
          <t>Not Mentioned</t>
        </is>
      </c>
      <c r="AI209" t="inlineStr">
        <is>
          <t>No mention of PPO or conversion in the job description.</t>
        </is>
      </c>
      <c r="AK209" t="inlineStr">
        <is>
          <t>Unspecified stipend; On-site requirement in Indore (Amaan is in Bangalore at PES University)</t>
        </is>
      </c>
      <c r="AL209" t="inlineStr">
        <is>
          <t>Node.js event loop and asynchronous programming; RESTful API design and implementation; Database integration with Node.js</t>
        </is>
      </c>
    </row>
    <row r="210">
      <c r="A210" t="inlineStr">
        <is>
          <t>VENTURA-SECU-260910-164</t>
        </is>
      </c>
      <c r="B210" t="inlineStr">
        <is>
          <t>ventura securities ltd</t>
        </is>
      </c>
      <c r="C210" t="inlineStr">
        <is>
          <t>NodeJS Developer</t>
        </is>
      </c>
      <c r="D210" t="inlineStr">
        <is>
          <t>https://www.adzuna.in/details/4176492451?utm_medium=api&amp;utm_source=5ccdc27f</t>
        </is>
      </c>
      <c r="E210" t="inlineStr">
        <is>
          <t>AI Analyzer</t>
        </is>
      </c>
      <c r="F210" t="inlineStr">
        <is>
          <t>India</t>
        </is>
      </c>
      <c r="G210" t="inlineStr">
        <is>
          <t>remote</t>
        </is>
      </c>
      <c r="H210" t="inlineStr">
        <is>
          <t>Not specified</t>
        </is>
      </c>
      <c r="I210" t="inlineStr">
        <is>
          <t>6 Months</t>
        </is>
      </c>
      <c r="J210" t="inlineStr">
        <is>
          <t>EXPLICITLY_OFFERED</t>
        </is>
      </c>
      <c r="K210" t="inlineStr">
        <is>
          <t>Node.js; JavaScript; AWS</t>
        </is>
      </c>
      <c r="L210" t="inlineStr">
        <is>
          <t>Fintech domain knowledge</t>
        </is>
      </c>
      <c r="M210" t="inlineStr">
        <is>
          <t>JD-Backend Intern (NodeJs) Internship Span – 6 Months (Fulltime) Ventura Securities is establishing its fintech team - a remote-first, work from anywhere team with highly talented individuals who come from diverse backgrounds and looking to solve real client problems at scale. Ventura has been in the stockbroking business for 20 years and it is a robust and profitable franchise with 1000 employees</t>
        </is>
      </c>
      <c r="N210" t="n">
        <v>84</v>
      </c>
      <c r="O210" t="n">
        <v>24</v>
      </c>
      <c r="P210" t="n">
        <v>18</v>
      </c>
      <c r="Q210" t="n">
        <v>14</v>
      </c>
      <c r="R210" t="n">
        <v>15</v>
      </c>
      <c r="S210" t="n">
        <v>5</v>
      </c>
      <c r="T210" t="n">
        <v>8</v>
      </c>
      <c r="U210" t="inlineStr">
        <is>
          <t>APPLY</t>
        </is>
      </c>
      <c r="V210" t="inlineStr">
        <is>
          <t>APPLY</t>
        </is>
      </c>
      <c r="W210" t="inlineStr">
        <is>
          <t>AWS</t>
        </is>
      </c>
      <c r="X210" t="inlineStr">
        <is>
          <t>Amaanuddin_Ahmed_Fullstack_Resume.pdf</t>
        </is>
      </c>
      <c r="Y210" t="inlineStr">
        <is>
          <t>2026-09-10</t>
        </is>
      </c>
      <c r="Z210" t="inlineStr">
        <is>
          <t>Matches core Node.js and backend expertise; Remote-first fintech environment offers high learning opportunity; Clear pathway from internship to full-time role</t>
        </is>
      </c>
      <c r="AA210" t="inlineStr">
        <is>
          <t>ELIGIBLE</t>
        </is>
      </c>
      <c r="AB210" t="inlineStr">
        <is>
          <t>Role matches Node.js / Backend skill set; Remote work-mode aligns with flexibility; Internship converts to full-time</t>
        </is>
      </c>
      <c r="AC210" t="inlineStr">
        <is>
          <t>UNKNOWN</t>
        </is>
      </c>
      <c r="AD210" t="inlineStr">
        <is>
          <t>Candidate availability timeline not provided in career brain.</t>
        </is>
      </c>
      <c r="AE210" t="inlineStr">
        <is>
          <t>UNKNOWN</t>
        </is>
      </c>
      <c r="AF210" t="n">
        <v>0</v>
      </c>
      <c r="AG210" t="inlineStr">
        <is>
          <t>No</t>
        </is>
      </c>
      <c r="AH210" t="inlineStr">
        <is>
          <t>EXPLICITLY_OFFERED</t>
        </is>
      </c>
      <c r="AI210" t="inlineStr">
        <is>
          <t>Internship Span – 6 Months (Fulltime)</t>
        </is>
      </c>
      <c r="AL210" t="inlineStr">
        <is>
          <t>Node.js event loop and asynchronous programming; RESTful API design and authentication; AWS cloud services and deployment basics; Database integration with Node.js</t>
        </is>
      </c>
      <c r="AM210" t="inlineStr">
        <is>
          <t>E:\InternshipHunter\applications\adzuna-5581d926b09b</t>
        </is>
      </c>
      <c r="AN210" t="inlineStr">
        <is>
          <t>Ready for Review</t>
        </is>
      </c>
      <c r="AO210" t="inlineStr">
        <is>
          <t>Generated</t>
        </is>
      </c>
      <c r="AP210" t="inlineStr">
        <is>
          <t>Generated</t>
        </is>
      </c>
      <c r="AQ210" t="inlineStr">
        <is>
          <t>Generated</t>
        </is>
      </c>
      <c r="AR210" t="inlineStr">
        <is>
          <t>Ready to Apply</t>
        </is>
      </c>
    </row>
    <row r="211">
      <c r="A211" t="inlineStr">
        <is>
          <t>SOFTKNACK-260910-165</t>
        </is>
      </c>
      <c r="B211" t="inlineStr">
        <is>
          <t>Softknack</t>
        </is>
      </c>
      <c r="C211" t="inlineStr">
        <is>
          <t>Full Stack Engineering Intern</t>
        </is>
      </c>
      <c r="D211" t="inlineStr">
        <is>
          <t>https://www.adzuna.in/details/5845820630?utm_medium=api&amp;utm_source=5ccdc27f</t>
        </is>
      </c>
      <c r="E211" t="inlineStr">
        <is>
          <t>AI Analyzer</t>
        </is>
      </c>
      <c r="F211" t="inlineStr">
        <is>
          <t>Chennai, Tamil Nadu</t>
        </is>
      </c>
      <c r="G211" t="inlineStr">
        <is>
          <t>Unknown</t>
        </is>
      </c>
      <c r="H211" t="inlineStr">
        <is>
          <t>Not specified</t>
        </is>
      </c>
      <c r="I211" t="inlineStr">
        <is>
          <t>Unknown</t>
        </is>
      </c>
      <c r="J211" t="inlineStr">
        <is>
          <t>Unknown</t>
        </is>
      </c>
      <c r="K211" t="inlineStr">
        <is>
          <t>Node.js; React Native</t>
        </is>
      </c>
      <c r="M211" t="inlineStr">
        <is>
          <t>Were an earlystage startup building software products that real businesses depend on to run their day Every bug is a business that cant operate Every good decision you make now gets built into the foundation as we scale Were hiring 10 interns for our next builder cohort This isnt busywork or a toy side project Youll own real features end to end ship to production and see your code used by real cli</t>
        </is>
      </c>
      <c r="N211" t="n">
        <v>60</v>
      </c>
      <c r="O211" t="n">
        <v>60</v>
      </c>
      <c r="P211" t="n">
        <v>70</v>
      </c>
      <c r="Q211" t="n">
        <v>75</v>
      </c>
      <c r="R211" t="n">
        <v>50</v>
      </c>
      <c r="S211" t="n">
        <v>30</v>
      </c>
      <c r="T211" t="n">
        <v>60</v>
      </c>
      <c r="U211" t="inlineStr">
        <is>
          <t>STRETCH</t>
        </is>
      </c>
      <c r="V211" t="inlineStr">
        <is>
          <t>STRETCH</t>
        </is>
      </c>
      <c r="W211" t="inlineStr">
        <is>
          <t>React Native</t>
        </is>
      </c>
      <c r="X211" t="inlineStr">
        <is>
          <t>Amaanuddin_Ahmed_Fullstack_Resume.pdf</t>
        </is>
      </c>
      <c r="Y211" t="inlineStr">
        <is>
          <t>2026-09-10</t>
        </is>
      </c>
      <c r="Z211" t="inlineStr">
        <is>
          <t>Aligns with target Full Stack Engineering role.; Early-stage startup offering ownership of real features.</t>
        </is>
      </c>
      <c r="AA211" t="inlineStr">
        <is>
          <t>Eligible</t>
        </is>
      </c>
      <c r="AB211" t="inlineStr">
        <is>
          <t>Candidate is an MCA student looking for software engineering and full stack roles.</t>
        </is>
      </c>
      <c r="AC211" t="inlineStr">
        <is>
          <t>Unknown</t>
        </is>
      </c>
      <c r="AD211" t="inlineStr">
        <is>
          <t>Not specified in the job description or career brain.</t>
        </is>
      </c>
      <c r="AE211" t="inlineStr">
        <is>
          <t>UNKNOWN</t>
        </is>
      </c>
      <c r="AF211" t="n">
        <v>0</v>
      </c>
      <c r="AG211" t="inlineStr">
        <is>
          <t>No</t>
        </is>
      </c>
      <c r="AH211" t="inlineStr">
        <is>
          <t>Unknown</t>
        </is>
      </c>
      <c r="AI211" t="inlineStr">
        <is>
          <t>No explicit mention of PPO or conversion in the provided text.</t>
        </is>
      </c>
      <c r="AK211" t="inlineStr">
        <is>
          <t>Stipend is not disclosed; Work mode and duration are not specified</t>
        </is>
      </c>
      <c r="AL211" t="inlineStr">
        <is>
          <t>Node.js backend development; React Native mobile development experience; Building and shipping end-to-end features; Past MERN projects like StaySphere and Zenvest</t>
        </is>
      </c>
    </row>
    <row r="212">
      <c r="A212" t="inlineStr">
        <is>
          <t>CONAXWEB-SOL-260910-166</t>
        </is>
      </c>
      <c r="B212" t="inlineStr">
        <is>
          <t>ConaXweb Solutions</t>
        </is>
      </c>
      <c r="C212" t="inlineStr">
        <is>
          <t>MERN Stack Intern</t>
        </is>
      </c>
      <c r="D212" t="inlineStr">
        <is>
          <t>https://www.adzuna.in/details/4366939888?utm_medium=api&amp;utm_source=5ccdc27f</t>
        </is>
      </c>
      <c r="E212" t="inlineStr">
        <is>
          <t>AI Analyzer</t>
        </is>
      </c>
      <c r="F212" t="inlineStr">
        <is>
          <t>Allahabad, Uttar Pradesh</t>
        </is>
      </c>
      <c r="G212" t="inlineStr">
        <is>
          <t>On-site</t>
        </is>
      </c>
      <c r="H212" t="inlineStr">
        <is>
          <t>Not specified</t>
        </is>
      </c>
      <c r="I212" t="inlineStr">
        <is>
          <t>Not specified</t>
        </is>
      </c>
      <c r="J212" t="inlineStr">
        <is>
          <t>NOT_MENTIONED</t>
        </is>
      </c>
      <c r="K212" t="inlineStr">
        <is>
          <t>MongoDB; Express; React; Node.js</t>
        </is>
      </c>
      <c r="M212" t="inlineStr">
        <is>
          <t>Job description We are looking for MERN Stack Interns to join our team and help us build and maintain high-performance web applications. As a MERN stack developer, you will be responsible for designing, developing, and deploying web applications using the MERN stack (MongoDB, Express, React, and Node.js). Key Responsibilities: Design and develop web applications using the MERN stack Write clean, m</t>
        </is>
      </c>
      <c r="N212" t="n">
        <v>74</v>
      </c>
      <c r="O212" t="n">
        <v>30</v>
      </c>
      <c r="P212" t="n">
        <v>18</v>
      </c>
      <c r="Q212" t="n">
        <v>15</v>
      </c>
      <c r="R212" t="n">
        <v>5</v>
      </c>
      <c r="S212" t="n">
        <v>0</v>
      </c>
      <c r="T212" t="n">
        <v>6</v>
      </c>
      <c r="U212" t="inlineStr">
        <is>
          <t>CONSIDER</t>
        </is>
      </c>
      <c r="V212" t="inlineStr">
        <is>
          <t>CONSIDER</t>
        </is>
      </c>
      <c r="X212" t="inlineStr">
        <is>
          <t>Standard Full Stack / MERN Resume</t>
        </is>
      </c>
      <c r="Y212" t="inlineStr">
        <is>
          <t>2026-09-10</t>
        </is>
      </c>
      <c r="Z212" t="inlineStr">
        <is>
          <t>Direct technical match for MERN stack development.; Aligns with target roles in Full Stack Development.</t>
        </is>
      </c>
      <c r="AA212" t="inlineStr">
        <is>
          <t>Eligible</t>
        </is>
      </c>
      <c r="AB212" t="inlineStr">
        <is>
          <t>Candidate's MERN stack background aligns with the core requirements.</t>
        </is>
      </c>
      <c r="AC212" t="inlineStr">
        <is>
          <t>UNKNOWN</t>
        </is>
      </c>
      <c r="AD212" t="inlineStr">
        <is>
          <t>Availability not explicitly specified in the job description or career brain.</t>
        </is>
      </c>
      <c r="AE212" t="inlineStr">
        <is>
          <t>UNKNOWN</t>
        </is>
      </c>
      <c r="AF212" t="n">
        <v>0</v>
      </c>
      <c r="AG212" t="inlineStr">
        <is>
          <t>No</t>
        </is>
      </c>
      <c r="AH212" t="inlineStr">
        <is>
          <t>NOT_MENTIONED</t>
        </is>
      </c>
      <c r="AI212" t="inlineStr">
        <is>
          <t>No mention of PPO or conversion in the job description.</t>
        </is>
      </c>
      <c r="AK212" t="inlineStr">
        <is>
          <t>Stipend is not disclosed.; Location requires relocation or being based in Allahabad, Uttar Pradesh.</t>
        </is>
      </c>
      <c r="AL212" t="inlineStr">
        <is>
          <t>MERN stack architecture and data flow; RESTful API design and implementation; State management in React; MongoDB indexing and schema design; Debugging and clean code practices</t>
        </is>
      </c>
    </row>
    <row r="213">
      <c r="A213" t="inlineStr">
        <is>
          <t>MAXGEN-TECHN-260910-167</t>
        </is>
      </c>
      <c r="B213" t="inlineStr">
        <is>
          <t>MAXGEN TECHNOLOGIES PRIVATE LIMITED</t>
        </is>
      </c>
      <c r="C213" t="inlineStr">
        <is>
          <t>Mern Stack Internship</t>
        </is>
      </c>
      <c r="D213" t="inlineStr">
        <is>
          <t>https://www.adzuna.in/details/5842547711?utm_medium=api&amp;utm_source=5ccdc27f</t>
        </is>
      </c>
      <c r="E213" t="inlineStr">
        <is>
          <t>AI Analyzer</t>
        </is>
      </c>
      <c r="F213" t="inlineStr">
        <is>
          <t>Pune, India</t>
        </is>
      </c>
      <c r="G213" t="inlineStr">
        <is>
          <t>Hybrid / Online or Offline</t>
        </is>
      </c>
      <c r="H213" t="inlineStr">
        <is>
          <t>UNKNOWN</t>
        </is>
      </c>
      <c r="I213" t="inlineStr">
        <is>
          <t>UNKNOWN</t>
        </is>
      </c>
      <c r="J213" t="inlineStr">
        <is>
          <t>NO</t>
        </is>
      </c>
      <c r="K213" t="inlineStr">
        <is>
          <t>MERN Stack; Frontend Development; Backend Development</t>
        </is>
      </c>
      <c r="L213" t="inlineStr">
        <is>
          <t>Web Development</t>
        </is>
      </c>
      <c r="M213" t="inlineStr">
        <is>
          <t>Maxgen Technologies Pvt Ltd offering Web development program inpune we are offeringmernstackinternshipwith frontend and backend learning program Why seeking our program Online or Offline internships experienced staff Attractive locations Skills development services Live projects internships call at hidden mobile visit us www maxgentechnologies com Address 601 Konark Icon MagarpattaPune</t>
        </is>
      </c>
      <c r="N213" t="n">
        <v>58</v>
      </c>
      <c r="O213" t="n">
        <v>100</v>
      </c>
      <c r="P213" t="n">
        <v>80</v>
      </c>
      <c r="Q213" t="n">
        <v>90</v>
      </c>
      <c r="R213" t="n">
        <v>0</v>
      </c>
      <c r="S213" t="n">
        <v>0</v>
      </c>
      <c r="T213" t="n">
        <v>40</v>
      </c>
      <c r="U213" t="inlineStr">
        <is>
          <t>SKIP</t>
        </is>
      </c>
      <c r="V213" t="inlineStr">
        <is>
          <t>SKIP</t>
        </is>
      </c>
      <c r="X213" t="inlineStr">
        <is>
          <t>Default Full Stack Resume</t>
        </is>
      </c>
      <c r="Y213" t="inlineStr">
        <is>
          <t>2026-09-10</t>
        </is>
      </c>
      <c r="Z213" t="inlineStr">
        <is>
          <t>Matches MERN stack skill set</t>
        </is>
      </c>
      <c r="AA213" t="inlineStr">
        <is>
          <t>ELIGIBLE</t>
        </is>
      </c>
      <c r="AB213" t="inlineStr">
        <is>
          <t>Open program for MERN stack learning</t>
        </is>
      </c>
      <c r="AC213" t="inlineStr">
        <is>
          <t>UNKNOWN</t>
        </is>
      </c>
      <c r="AD213" t="inlineStr">
        <is>
          <t>Not specified in profile</t>
        </is>
      </c>
      <c r="AE213" t="inlineStr">
        <is>
          <t>UNKNOWN</t>
        </is>
      </c>
      <c r="AF213" t="n">
        <v>0</v>
      </c>
      <c r="AG213" t="inlineStr">
        <is>
          <t>No</t>
        </is>
      </c>
      <c r="AH213" t="inlineStr">
        <is>
          <t>NO</t>
        </is>
      </c>
      <c r="AI213" t="inlineStr">
        <is>
          <t>No mention of PPO or job conversion in the job description.</t>
        </is>
      </c>
      <c r="AK213" t="inlineStr">
        <is>
          <t>Unpaid or paid program status is unclear (training program style); No mention of stipend; No PPO guaranteed</t>
        </is>
      </c>
      <c r="AL213" t="inlineStr">
        <is>
          <t>MERN stack fundamentals; Live project experience; Internship terms</t>
        </is>
      </c>
    </row>
    <row r="214">
      <c r="A214" t="inlineStr">
        <is>
          <t>MAXGEN-TECHN-260910-168</t>
        </is>
      </c>
      <c r="B214" t="inlineStr">
        <is>
          <t>MAXGEN TECHNOLOGIES PRIVATE LIMITED</t>
        </is>
      </c>
      <c r="C214" t="inlineStr">
        <is>
          <t>MERN Stack Internship</t>
        </is>
      </c>
      <c r="D214" t="inlineStr">
        <is>
          <t>https://www.adzuna.in/details/5854846598?utm_medium=api&amp;utm_source=5ccdc27f</t>
        </is>
      </c>
      <c r="E214" t="inlineStr">
        <is>
          <t>AI Analyzer</t>
        </is>
      </c>
      <c r="F214" t="inlineStr">
        <is>
          <t>Ahmedabad</t>
        </is>
      </c>
      <c r="G214" t="inlineStr">
        <is>
          <t>Hybrid</t>
        </is>
      </c>
      <c r="H214" t="inlineStr">
        <is>
          <t>Not specified</t>
        </is>
      </c>
      <c r="I214" t="inlineStr">
        <is>
          <t>UNKNOWN</t>
        </is>
      </c>
      <c r="J214" t="inlineStr">
        <is>
          <t>UNKNOWN</t>
        </is>
      </c>
      <c r="K214" t="inlineStr">
        <is>
          <t>MERN Stack; Web Development</t>
        </is>
      </c>
      <c r="M214" t="inlineStr">
        <is>
          <t>Maxgen Technologies Pvt ltd is an it company based in Ahmedabad Diploma and iT can join ourmernstcakinternshipand web development program Why looking for us Advance leanring Program hybridinternshipwe offer flexible hours duringinternship job placement assistant visit us at www maxgentechnologies com contact us hidden mobile address Abhijeet 3 603 Netaji Rd near Pantaloons Mithakhali Ellisbridge A</t>
        </is>
      </c>
      <c r="N214" t="n">
        <v>75</v>
      </c>
      <c r="O214" t="n">
        <v>30</v>
      </c>
      <c r="P214" t="n">
        <v>20</v>
      </c>
      <c r="Q214" t="n">
        <v>15</v>
      </c>
      <c r="R214" t="n">
        <v>5</v>
      </c>
      <c r="S214" t="n">
        <v>0</v>
      </c>
      <c r="T214" t="n">
        <v>5</v>
      </c>
      <c r="U214" t="inlineStr">
        <is>
          <t>CONSIDER</t>
        </is>
      </c>
      <c r="V214" t="inlineStr">
        <is>
          <t>CONSIDER</t>
        </is>
      </c>
      <c r="X214" t="inlineStr">
        <is>
          <t>Default Full Stack / MERN Resume</t>
        </is>
      </c>
      <c r="Y214" t="inlineStr">
        <is>
          <t>2026-09-10</t>
        </is>
      </c>
      <c r="Z214" t="inlineStr">
        <is>
          <t>Strong match with MERN stack required skills and candidate's StaySphere project; Flexible hours and hybrid work mode offered</t>
        </is>
      </c>
      <c r="AA214" t="inlineStr">
        <is>
          <t>ELIGIBLE</t>
        </is>
      </c>
      <c r="AB214" t="inlineStr">
        <is>
          <t>Open to Diploma and IT candidates, MCA background qualifies.</t>
        </is>
      </c>
      <c r="AC214" t="inlineStr">
        <is>
          <t>UNKNOWN</t>
        </is>
      </c>
      <c r="AD214" t="inlineStr">
        <is>
          <t>Candidate availability timeline not specified in Career Brain.</t>
        </is>
      </c>
      <c r="AE214" t="inlineStr">
        <is>
          <t>UNKNOWN</t>
        </is>
      </c>
      <c r="AF214" t="n">
        <v>0</v>
      </c>
      <c r="AG214" t="inlineStr">
        <is>
          <t>No</t>
        </is>
      </c>
      <c r="AH214" t="inlineStr">
        <is>
          <t>UNKNOWN</t>
        </is>
      </c>
      <c r="AI214" t="inlineStr">
        <is>
          <t>Job description mentions job placement assistance, but no explicit PPO guarantee.</t>
        </is>
      </c>
      <c r="AK214" t="inlineStr">
        <is>
          <t>Unclear stipend details; Placement assistance instead of explicit PPO</t>
        </is>
      </c>
      <c r="AL214" t="inlineStr">
        <is>
          <t>MERN stack project architecture (StaySphere or Zenvest); REST API design and implementation; Database management with MongoDB</t>
        </is>
      </c>
    </row>
    <row r="215">
      <c r="A215" t="inlineStr">
        <is>
          <t>ZECSER-BUSIN-260910-169</t>
        </is>
      </c>
      <c r="B215" t="inlineStr">
        <is>
          <t>Zecser Business LLP</t>
        </is>
      </c>
      <c r="C215" t="inlineStr">
        <is>
          <t>MERN Stack Developer Internship</t>
        </is>
      </c>
      <c r="D215" t="inlineStr">
        <is>
          <t>https://www.adzuna.in/details/5565364089?utm_medium=api&amp;utm_source=5ccdc27f</t>
        </is>
      </c>
      <c r="E215" t="inlineStr">
        <is>
          <t>AI Analyzer</t>
        </is>
      </c>
      <c r="F215" t="inlineStr">
        <is>
          <t>Kochi, Ernakulam</t>
        </is>
      </c>
      <c r="G215" t="inlineStr">
        <is>
          <t>UNKNOWN</t>
        </is>
      </c>
      <c r="H215" t="inlineStr">
        <is>
          <t>Not specified</t>
        </is>
      </c>
      <c r="I215" t="inlineStr">
        <is>
          <t>UNKNOWN</t>
        </is>
      </c>
      <c r="J215" t="inlineStr">
        <is>
          <t>UNKNOWN</t>
        </is>
      </c>
      <c r="K215" t="inlineStr">
        <is>
          <t>MongoDB; Express.js; React.js; Node.js</t>
        </is>
      </c>
      <c r="M215" t="inlineStr">
        <is>
          <t>MERN Stack Developer Internship in Kerala Are you a passionate and motivated individual looking to kickstart your career as a MERN Stack Developer? This internship opportunity in Kerala offers you the chance to work with cutting-edge technologies while gaining real-world experience. As a MERN Stack Developer Intern, you will be part of a dynamic team dedicated to developing innovative web applicat</t>
        </is>
      </c>
      <c r="N215" t="n">
        <v>75</v>
      </c>
      <c r="O215" t="n">
        <v>30</v>
      </c>
      <c r="P215" t="n">
        <v>20</v>
      </c>
      <c r="Q215" t="n">
        <v>15</v>
      </c>
      <c r="R215" t="n">
        <v>5</v>
      </c>
      <c r="S215" t="n">
        <v>0</v>
      </c>
      <c r="T215" t="n">
        <v>5</v>
      </c>
      <c r="U215" t="inlineStr">
        <is>
          <t>CONSIDER</t>
        </is>
      </c>
      <c r="V215" t="inlineStr">
        <is>
          <t>CONSIDER</t>
        </is>
      </c>
      <c r="X215" t="inlineStr">
        <is>
          <t>Default Full Stack / MERN Resume</t>
        </is>
      </c>
      <c r="Y215" t="inlineStr">
        <is>
          <t>2026-09-10</t>
        </is>
      </c>
      <c r="Z215" t="inlineStr">
        <is>
          <t>Direct technical match for MERN stack development using MongoDB, Express.js, React.js, and Node.js.; Aligns well with Amaan's target roles and demonstrated StaySphere project.</t>
        </is>
      </c>
      <c r="AA215" t="inlineStr">
        <is>
          <t>ELIGIBLE</t>
        </is>
      </c>
      <c r="AB215" t="inlineStr">
        <is>
          <t>Candidate is pursuing MCA at PES University.; No explicit hard blockers such as mandatory graduation year or experience requirements found in the snippet.</t>
        </is>
      </c>
      <c r="AC215" t="inlineStr">
        <is>
          <t>UNKNOWN</t>
        </is>
      </c>
      <c r="AD215" t="inlineStr">
        <is>
          <t>Not specified in candidate profile or job description</t>
        </is>
      </c>
      <c r="AE215" t="inlineStr">
        <is>
          <t>UNKNOWN</t>
        </is>
      </c>
      <c r="AF215" t="n">
        <v>0</v>
      </c>
      <c r="AG215" t="inlineStr">
        <is>
          <t>No</t>
        </is>
      </c>
      <c r="AH215" t="inlineStr">
        <is>
          <t>UNKNOWN</t>
        </is>
      </c>
      <c r="AI215" t="inlineStr">
        <is>
          <t>No explicit mention of PPO or conversion in the provided snippet.</t>
        </is>
      </c>
      <c r="AK215" t="inlineStr">
        <is>
          <t>Stipend is not disclosed.</t>
        </is>
      </c>
      <c r="AL215" t="inlineStr">
        <is>
          <t>MongoDB schema design and aggregation pipelines; Express.js routing and middleware; React.js state management and hooks; Node.js event loop and asynchronous programming; RESTful API design and authentication implementation</t>
        </is>
      </c>
    </row>
    <row r="216">
      <c r="A216" t="inlineStr">
        <is>
          <t>PAATHZ-260910-170</t>
        </is>
      </c>
      <c r="B216" t="inlineStr">
        <is>
          <t>Paathz</t>
        </is>
      </c>
      <c r="C216" t="inlineStr">
        <is>
          <t>Software Engineer Intern MERN</t>
        </is>
      </c>
      <c r="D216" t="inlineStr">
        <is>
          <t>https://www.adzuna.in/details/5827200226?utm_medium=api&amp;utm_source=5ccdc27f</t>
        </is>
      </c>
      <c r="E216" t="inlineStr">
        <is>
          <t>AI Analyzer</t>
        </is>
      </c>
      <c r="F216" t="inlineStr">
        <is>
          <t>Hyderabad, Telangana</t>
        </is>
      </c>
      <c r="G216" t="inlineStr">
        <is>
          <t>Unknown</t>
        </is>
      </c>
      <c r="H216" t="inlineStr">
        <is>
          <t>Not specified</t>
        </is>
      </c>
      <c r="I216" t="inlineStr">
        <is>
          <t>Unknown</t>
        </is>
      </c>
      <c r="J216" t="inlineStr">
        <is>
          <t>Not Mentioned</t>
        </is>
      </c>
      <c r="K216" t="inlineStr">
        <is>
          <t>MERN; JavaScript; React.js; Node.js; Express.js; MongoDB</t>
        </is>
      </c>
      <c r="M216" t="inlineStr">
        <is>
          <t>About Paathz Paathz is an AInative hospitality workforce platform connecting prevetted professionals with hotels and restaurants across Southeast Asia Europe and the Middle East We believe hospitality has a visibility problem not a labour shortage Our mission is to become the definitive crossborder talent corridor for the global hospitality industry The Role We are looking for a passionate Softwar</t>
        </is>
      </c>
      <c r="N216" t="n">
        <v>77</v>
      </c>
      <c r="O216" t="n">
        <v>30</v>
      </c>
      <c r="P216" t="n">
        <v>20</v>
      </c>
      <c r="Q216" t="n">
        <v>15</v>
      </c>
      <c r="R216" t="n">
        <v>5</v>
      </c>
      <c r="S216" t="n">
        <v>0</v>
      </c>
      <c r="T216" t="n">
        <v>7</v>
      </c>
      <c r="U216" t="inlineStr">
        <is>
          <t>CONSIDER</t>
        </is>
      </c>
      <c r="V216" t="inlineStr">
        <is>
          <t>CONSIDER</t>
        </is>
      </c>
      <c r="X216" t="inlineStr">
        <is>
          <t>MERN / Full Stack Developer Resume</t>
        </is>
      </c>
      <c r="Y216" t="inlineStr">
        <is>
          <t>2026-09-10</t>
        </is>
      </c>
      <c r="Z216" t="inlineStr">
        <is>
          <t>Direct technical match for MERN stack capabilities demonstrated in projects like StaySphere; AI-native startup in the hospitality domain offering good product engineering exposure</t>
        </is>
      </c>
      <c r="AA216" t="inlineStr">
        <is>
          <t>Eligible</t>
        </is>
      </c>
      <c r="AB216" t="inlineStr">
        <is>
          <t>Role aligns with MCA student profile; No strict graduation year or experience blockers mentioned in snippet</t>
        </is>
      </c>
      <c r="AC216" t="inlineStr">
        <is>
          <t>Unknown</t>
        </is>
      </c>
      <c r="AD216" t="inlineStr">
        <is>
          <t>Candidate availability details not provided in career brain</t>
        </is>
      </c>
      <c r="AE216" t="inlineStr">
        <is>
          <t>UNKNOWN</t>
        </is>
      </c>
      <c r="AF216" t="n">
        <v>0</v>
      </c>
      <c r="AG216" t="inlineStr">
        <is>
          <t>No</t>
        </is>
      </c>
      <c r="AH216" t="inlineStr">
        <is>
          <t>Not Mentioned</t>
        </is>
      </c>
      <c r="AI216" t="inlineStr">
        <is>
          <t>Job description snippet does not mention PPO or conversion opportunities</t>
        </is>
      </c>
      <c r="AK216" t="inlineStr">
        <is>
          <t>Stipend is not disclosed; PPO is not mentioned</t>
        </is>
      </c>
      <c r="AL216" t="inlineStr">
        <is>
          <t>MERN stack architecture and state management; RESTful API design and database modeling with MongoDB; StaySphere project implementation details; Handling asynchronous operations in Node.js</t>
        </is>
      </c>
    </row>
    <row r="217">
      <c r="A217" t="inlineStr">
        <is>
          <t>IDLI-TECHNOL-260910-171</t>
        </is>
      </c>
      <c r="B217" t="inlineStr">
        <is>
          <t>Idli Technologies Pvt Ltd</t>
        </is>
      </c>
      <c r="C217" t="inlineStr">
        <is>
          <t>MERN Stack Developer Internship</t>
        </is>
      </c>
      <c r="D217" t="inlineStr">
        <is>
          <t>https://www.adzuna.in/details/5811667426?utm_medium=api&amp;utm_source=5ccdc27f</t>
        </is>
      </c>
      <c r="E217" t="inlineStr">
        <is>
          <t>AI Analyzer</t>
        </is>
      </c>
      <c r="F217" t="inlineStr">
        <is>
          <t>Raipur, Chhattisgarh</t>
        </is>
      </c>
      <c r="G217" t="inlineStr">
        <is>
          <t>UNKNOWN</t>
        </is>
      </c>
      <c r="H217" t="inlineStr">
        <is>
          <t>Not specified</t>
        </is>
      </c>
      <c r="I217" t="inlineStr">
        <is>
          <t>UNKNOWN</t>
        </is>
      </c>
      <c r="J217" t="inlineStr">
        <is>
          <t>UNKNOWN</t>
        </is>
      </c>
      <c r="K217" t="inlineStr">
        <is>
          <t>MongoDB; Express.js; React.js; Node.js</t>
        </is>
      </c>
      <c r="M217" t="inlineStr">
        <is>
          <t>Responsibilities Develop and maintain web applications using the MERN stack MongoDB Express js React js Node js Collaborate with the frontend and backend teams to integrate userfacing elements with serverside logic Write clean maintainable and efficient code Participate in code reviews and contribute to team discussions Assist in troubleshooting debugging and upgrading existing software Learn and</t>
        </is>
      </c>
      <c r="N217" t="n">
        <v>75</v>
      </c>
      <c r="O217" t="n">
        <v>30</v>
      </c>
      <c r="P217" t="n">
        <v>20</v>
      </c>
      <c r="Q217" t="n">
        <v>15</v>
      </c>
      <c r="R217" t="n">
        <v>5</v>
      </c>
      <c r="S217" t="n">
        <v>0</v>
      </c>
      <c r="T217" t="n">
        <v>5</v>
      </c>
      <c r="U217" t="inlineStr">
        <is>
          <t>CONSIDER</t>
        </is>
      </c>
      <c r="V217" t="inlineStr">
        <is>
          <t>CONSIDER</t>
        </is>
      </c>
      <c r="X217" t="inlineStr">
        <is>
          <t>Amaanuddin_Ahmed_Fullstack_Resume.pdf</t>
        </is>
      </c>
      <c r="Y217" t="inlineStr">
        <is>
          <t>2026-09-10</t>
        </is>
      </c>
      <c r="Z217" t="inlineStr">
        <is>
          <t>Direct technical match for MERN stack development.; Good opportunity to apply full-stack project experience from StaySphere and Zenvest.</t>
        </is>
      </c>
      <c r="AA217" t="inlineStr">
        <is>
          <t>ELIGIBLE</t>
        </is>
      </c>
      <c r="AB217" t="inlineStr">
        <is>
          <t>Candidate has demonstrated MERN stack experience matching the requirements.</t>
        </is>
      </c>
      <c r="AC217" t="inlineStr">
        <is>
          <t>UNKNOWN</t>
        </is>
      </c>
      <c r="AD217" t="inlineStr">
        <is>
          <t>Availability not specified in career brain or job description.</t>
        </is>
      </c>
      <c r="AE217" t="inlineStr">
        <is>
          <t>UNKNOWN</t>
        </is>
      </c>
      <c r="AF217" t="n">
        <v>0</v>
      </c>
      <c r="AG217" t="inlineStr">
        <is>
          <t>No</t>
        </is>
      </c>
      <c r="AH217" t="inlineStr">
        <is>
          <t>UNKNOWN</t>
        </is>
      </c>
      <c r="AI217" t="inlineStr">
        <is>
          <t>No explicit mention of PPO or conversion in the job description.</t>
        </is>
      </c>
      <c r="AK217" t="inlineStr">
        <is>
          <t>Stipend is not disclosed.</t>
        </is>
      </c>
      <c r="AL217" t="inlineStr">
        <is>
          <t>MERN stack architecture; REST API integration; Debugging and code maintenance; State management in React</t>
        </is>
      </c>
    </row>
    <row r="218">
      <c r="A218" t="inlineStr">
        <is>
          <t>SPARKS-TO-ID-260910-172</t>
        </is>
      </c>
      <c r="B218" t="inlineStr">
        <is>
          <t>Sparks To Ideas</t>
        </is>
      </c>
      <c r="C218" t="inlineStr">
        <is>
          <t>MERN Stack Developer Internship</t>
        </is>
      </c>
      <c r="D218" t="inlineStr">
        <is>
          <t>https://www.adzuna.in/details/5856165557?utm_medium=api&amp;utm_source=5ccdc27f</t>
        </is>
      </c>
      <c r="E218" t="inlineStr">
        <is>
          <t>AI Analyzer</t>
        </is>
      </c>
      <c r="F218" t="inlineStr">
        <is>
          <t>Ahmedabad</t>
        </is>
      </c>
      <c r="G218" t="inlineStr">
        <is>
          <t>On-site</t>
        </is>
      </c>
      <c r="H218" t="inlineStr">
        <is>
          <t>Not Specified</t>
        </is>
      </c>
      <c r="I218" t="inlineStr">
        <is>
          <t>UNKNOWN</t>
        </is>
      </c>
      <c r="J218" t="inlineStr">
        <is>
          <t>UNKNOWN</t>
        </is>
      </c>
      <c r="K218" t="inlineStr">
        <is>
          <t>MongoDB; Express.js; React.js; Node.js</t>
        </is>
      </c>
      <c r="L218" t="inlineStr">
        <is>
          <t>Frontend development; Backend development</t>
        </is>
      </c>
      <c r="M218" t="inlineStr">
        <is>
          <t>Sparks to Ideas IT Company is a growing IT solutions provider specializing in modern web technologies We focus on handson training live project exposure and helping students build strong careers in full stack development We are looking for passionate MERN Stack Interns in Ahmedabad who are eager to learn and work on realtime web applications This internship provides complete exposure to frontend a</t>
        </is>
      </c>
      <c r="N218" t="n">
        <v>73</v>
      </c>
      <c r="O218" t="n">
        <v>30</v>
      </c>
      <c r="P218" t="n">
        <v>18</v>
      </c>
      <c r="Q218" t="n">
        <v>15</v>
      </c>
      <c r="R218" t="n">
        <v>5</v>
      </c>
      <c r="S218" t="n">
        <v>0</v>
      </c>
      <c r="T218" t="n">
        <v>5</v>
      </c>
      <c r="U218" t="inlineStr">
        <is>
          <t>CONSIDER</t>
        </is>
      </c>
      <c r="V218" t="inlineStr">
        <is>
          <t>CONSIDER</t>
        </is>
      </c>
      <c r="X218" t="inlineStr">
        <is>
          <t>Amaanuddin_Ahmed_Full_Stack_Resume.pdf</t>
        </is>
      </c>
      <c r="Y218" t="inlineStr">
        <is>
          <t>2026-09-10</t>
        </is>
      </c>
      <c r="Z218" t="inlineStr">
        <is>
          <t>Strong technical alignment with the MERN stack requirements.; Good opportunity to work on real-time web applications.</t>
        </is>
      </c>
      <c r="AA218" t="inlineStr">
        <is>
          <t>eligible</t>
        </is>
      </c>
      <c r="AB218" t="inlineStr">
        <is>
          <t>Candidate is pursuing MCA and seeking full stack development roles.; No explicit degree or graduation-year blockers mentioned.</t>
        </is>
      </c>
      <c r="AC218" t="inlineStr">
        <is>
          <t>UNKNOWN</t>
        </is>
      </c>
      <c r="AD218" t="inlineStr">
        <is>
          <t>Candidate availability details are not provided in the career brain.</t>
        </is>
      </c>
      <c r="AE218" t="inlineStr">
        <is>
          <t>UNKNOWN</t>
        </is>
      </c>
      <c r="AF218" t="n">
        <v>0</v>
      </c>
      <c r="AG218" t="inlineStr">
        <is>
          <t>No</t>
        </is>
      </c>
      <c r="AH218" t="inlineStr">
        <is>
          <t>UNKNOWN</t>
        </is>
      </c>
      <c r="AI218" t="inlineStr">
        <is>
          <t>No explicit mention of PPO or conversion to full-time employment in the job description.</t>
        </is>
      </c>
      <c r="AK218" t="inlineStr">
        <is>
          <t>Location is Ahmedabad (On-site required), which may require relocation since candidate is at PES University.; Stipend details are not specified.</t>
        </is>
      </c>
      <c r="AL218" t="inlineStr">
        <is>
          <t>MERN stack architecture (MongoDB, Express.js, React.js, Node.js); RESTful API design and implementation; State management in React; Database schema design in MongoDB; Past projects like StaySphere and Zenvest</t>
        </is>
      </c>
    </row>
    <row r="219">
      <c r="A219" t="inlineStr">
        <is>
          <t>LOGICAL-SOFT-260910-173</t>
        </is>
      </c>
      <c r="B219" t="inlineStr">
        <is>
          <t>LOGICAL Soft Tech</t>
        </is>
      </c>
      <c r="C219" t="inlineStr">
        <is>
          <t>web development Interns</t>
        </is>
      </c>
      <c r="D219" t="inlineStr">
        <is>
          <t>https://www.adzuna.in/details/5032506958?utm_medium=api&amp;utm_source=5ccdc27f</t>
        </is>
      </c>
      <c r="E219" t="inlineStr">
        <is>
          <t>AI Analyzer</t>
        </is>
      </c>
      <c r="F219" t="inlineStr">
        <is>
          <t>Indore, Madhya Pradesh</t>
        </is>
      </c>
      <c r="G219" t="inlineStr">
        <is>
          <t>Work from office</t>
        </is>
      </c>
      <c r="H219" t="inlineStr">
        <is>
          <t>Not mentioned</t>
        </is>
      </c>
      <c r="I219" t="inlineStr">
        <is>
          <t>UNKNOWN</t>
        </is>
      </c>
      <c r="J219" t="inlineStr">
        <is>
          <t>UNKNOWN</t>
        </is>
      </c>
      <c r="K219" t="inlineStr">
        <is>
          <t>MERN Stack; React.js; Node.js; HTML; CSS; JavaScript</t>
        </is>
      </c>
      <c r="M219" t="inlineStr">
        <is>
          <t>We are looking for Complete Freshers on Web MERN Stack Internship candidates who want to make career in IT company Software fields and want to learn Live Project working and want to become Software professionals. Location : Indore, M.P( Work from office only) Roles and Responsibilities :- 1) He or She will be working on both frontend design and backend Development on MERN Stack React js and Node j</t>
        </is>
      </c>
      <c r="N219" t="n">
        <v>72</v>
      </c>
      <c r="O219" t="n">
        <v>28</v>
      </c>
      <c r="P219" t="n">
        <v>20</v>
      </c>
      <c r="Q219" t="n">
        <v>14</v>
      </c>
      <c r="R219" t="n">
        <v>5</v>
      </c>
      <c r="S219" t="n">
        <v>0</v>
      </c>
      <c r="T219" t="n">
        <v>5</v>
      </c>
      <c r="U219" t="inlineStr">
        <is>
          <t>CONSIDER</t>
        </is>
      </c>
      <c r="V219" t="inlineStr">
        <is>
          <t>CONSIDER</t>
        </is>
      </c>
      <c r="X219" t="inlineStr">
        <is>
          <t>Amaanuddin_Ahmed_Full_Stack_Resume.pdf</t>
        </is>
      </c>
      <c r="Y219" t="inlineStr">
        <is>
          <t>2026-09-10</t>
        </is>
      </c>
      <c r="Z219" t="inlineStr">
        <is>
          <t>Strong technical fit for the MERN stack requirement; Open to freshers aligning with candidate profile</t>
        </is>
      </c>
      <c r="AA219" t="inlineStr">
        <is>
          <t>ELIGIBLE</t>
        </is>
      </c>
      <c r="AB219" t="inlineStr">
        <is>
          <t>Open to complete freshers; Matches MERN stack profile</t>
        </is>
      </c>
      <c r="AC219" t="inlineStr">
        <is>
          <t>UNKNOWN</t>
        </is>
      </c>
      <c r="AD219" t="inlineStr">
        <is>
          <t>Availability not specified in candidate profile</t>
        </is>
      </c>
      <c r="AE219" t="inlineStr">
        <is>
          <t>UNKNOWN</t>
        </is>
      </c>
      <c r="AF219" t="n">
        <v>0</v>
      </c>
      <c r="AG219" t="inlineStr">
        <is>
          <t>No</t>
        </is>
      </c>
      <c r="AH219" t="inlineStr">
        <is>
          <t>UNKNOWN</t>
        </is>
      </c>
      <c r="AI219" t="inlineStr">
        <is>
          <t>No mention of PPO or conversion in the job description</t>
        </is>
      </c>
      <c r="AJ219" t="inlineStr">
        <is>
          <t>Work from office in Indore, M.P.</t>
        </is>
      </c>
      <c r="AK219" t="inlineStr">
        <is>
          <t>Stipend is not disclosed; Work from office only location constraint</t>
        </is>
      </c>
      <c r="AL219" t="inlineStr">
        <is>
          <t>React.js state management and hooks; Node.js and Express backend architecture; HTML/CSS custom design implementation; MERN stack project walkthrough (StaySphere or Zenvest)</t>
        </is>
      </c>
    </row>
    <row r="220">
      <c r="A220" t="inlineStr">
        <is>
          <t>TACHE-TECHNO-260910-174</t>
        </is>
      </c>
      <c r="B220" t="inlineStr">
        <is>
          <t>Tache Technologies Pvt Ltd</t>
        </is>
      </c>
      <c r="C220" t="inlineStr">
        <is>
          <t>Java Developer: Intern</t>
        </is>
      </c>
      <c r="D220" t="inlineStr">
        <is>
          <t>https://www.adzuna.in/details/1171506730?utm_medium=api&amp;utm_source=5ccdc27f</t>
        </is>
      </c>
      <c r="E220" t="inlineStr">
        <is>
          <t>AI Analyzer</t>
        </is>
      </c>
      <c r="F220" t="inlineStr">
        <is>
          <t>Delhi, India</t>
        </is>
      </c>
      <c r="G220" t="inlineStr">
        <is>
          <t>UNKNOWN</t>
        </is>
      </c>
      <c r="H220" t="inlineStr">
        <is>
          <t>Not specified</t>
        </is>
      </c>
      <c r="I220" t="inlineStr">
        <is>
          <t>UNKNOWN</t>
        </is>
      </c>
      <c r="J220" t="inlineStr">
        <is>
          <t>UNKNOWN</t>
        </is>
      </c>
      <c r="K220" t="inlineStr">
        <is>
          <t>Java</t>
        </is>
      </c>
      <c r="M220" t="inlineStr">
        <is>
          <t>About Tache Technologies Private Limited (http://www.tache.in): Tache Technologies Private Limited was founded by renowned market research professionals in India. It is an independent market research agency offering high-quality marketing research, analysis, and consulting services across India. Tache works exclusively with companies looking for a personal guide through the varied cultures in Indi</t>
        </is>
      </c>
      <c r="N220" t="n">
        <v>56</v>
      </c>
      <c r="O220" t="n">
        <v>24</v>
      </c>
      <c r="P220" t="n">
        <v>16</v>
      </c>
      <c r="Q220" t="n">
        <v>12</v>
      </c>
      <c r="R220" t="n">
        <v>0</v>
      </c>
      <c r="S220" t="n">
        <v>0</v>
      </c>
      <c r="T220" t="n">
        <v>4</v>
      </c>
      <c r="U220" t="inlineStr">
        <is>
          <t>SKIP</t>
        </is>
      </c>
      <c r="V220" t="inlineStr">
        <is>
          <t>SKIP</t>
        </is>
      </c>
      <c r="X220" t="inlineStr">
        <is>
          <t>Amaanuddin_Ahmed_Resume_Software_Engineering.pdf</t>
        </is>
      </c>
      <c r="Y220" t="inlineStr">
        <is>
          <t>2026-09-10</t>
        </is>
      </c>
      <c r="Z220" t="inlineStr">
        <is>
          <t>Matches the candidate's Java skill set.</t>
        </is>
      </c>
      <c r="AA220" t="inlineStr">
        <is>
          <t>ELIGIBLE</t>
        </is>
      </c>
      <c r="AB220" t="inlineStr">
        <is>
          <t>No specific restrictive eligibility criteria mentioned in the short description.</t>
        </is>
      </c>
      <c r="AC220" t="inlineStr">
        <is>
          <t>UNKNOWN</t>
        </is>
      </c>
      <c r="AD220" t="inlineStr">
        <is>
          <t>Not enough details provided regarding start date and availability.</t>
        </is>
      </c>
      <c r="AE220" t="inlineStr">
        <is>
          <t>UNKNOWN</t>
        </is>
      </c>
      <c r="AF220" t="n">
        <v>0</v>
      </c>
      <c r="AG220" t="inlineStr">
        <is>
          <t>No</t>
        </is>
      </c>
      <c r="AH220" t="inlineStr">
        <is>
          <t>UNKNOWN</t>
        </is>
      </c>
      <c r="AI220" t="inlineStr">
        <is>
          <t>No mention of PPO or conversion to full-time in the description.</t>
        </is>
      </c>
      <c r="AK220" t="inlineStr">
        <is>
          <t>Very sparse job description with no details on stipend, duration, or PPO.</t>
        </is>
      </c>
      <c r="AL220" t="inlineStr">
        <is>
          <t>Core Java concepts; Object-oriented programming; Data structures and algorithms in Java</t>
        </is>
      </c>
    </row>
    <row r="221">
      <c r="A221" t="inlineStr">
        <is>
          <t>TECHVOLT-SOF-260910-175</t>
        </is>
      </c>
      <c r="B221" t="inlineStr">
        <is>
          <t>Techvolt Software Private Limited</t>
        </is>
      </c>
      <c r="C221" t="inlineStr">
        <is>
          <t>Java Developer</t>
        </is>
      </c>
      <c r="D221" t="inlineStr">
        <is>
          <t>https://www.adzuna.in/details/4686703728?utm_medium=api&amp;utm_source=5ccdc27f</t>
        </is>
      </c>
      <c r="E221" t="inlineStr">
        <is>
          <t>AI Analyzer</t>
        </is>
      </c>
      <c r="F221" t="inlineStr">
        <is>
          <t>Coimbatore, Tamil Nadu</t>
        </is>
      </c>
      <c r="G221" t="inlineStr">
        <is>
          <t>On-site</t>
        </is>
      </c>
      <c r="H221" t="inlineStr">
        <is>
          <t>UNKNOWN</t>
        </is>
      </c>
      <c r="I221" t="inlineStr">
        <is>
          <t>UNKNOWN</t>
        </is>
      </c>
      <c r="J221" t="inlineStr">
        <is>
          <t>UNKNOWN</t>
        </is>
      </c>
      <c r="K221" t="inlineStr">
        <is>
          <t>Java</t>
        </is>
      </c>
      <c r="M221" t="inlineStr">
        <is>
          <t>Java Developer||Coimbatore||Techvolt SoftwareDear Candidates, Greetings from Techvolt Software Private Limited.Techvolt Software,a Software Development company located in Saibaba Colony, Coimbatore.Techvolt Software involves in various business entity like Software Development, Web Development, Android Applications, Embedded Systems, IoT, Digital Marketing Services in Coimbatore.Job Profile:Techvo</t>
        </is>
      </c>
      <c r="N221" t="n">
        <v>57</v>
      </c>
      <c r="O221" t="n">
        <v>20</v>
      </c>
      <c r="P221" t="n">
        <v>15</v>
      </c>
      <c r="Q221" t="n">
        <v>12</v>
      </c>
      <c r="R221" t="n">
        <v>5</v>
      </c>
      <c r="S221" t="n">
        <v>0</v>
      </c>
      <c r="T221" t="n">
        <v>5</v>
      </c>
      <c r="U221" t="inlineStr">
        <is>
          <t>SKIP</t>
        </is>
      </c>
      <c r="V221" t="inlineStr">
        <is>
          <t>SKIP</t>
        </is>
      </c>
      <c r="X221" t="inlineStr">
        <is>
          <t>Default Software Engineering Resume</t>
        </is>
      </c>
      <c r="Y221" t="inlineStr">
        <is>
          <t>2026-09-10</t>
        </is>
      </c>
      <c r="Z221" t="inlineStr">
        <is>
          <t>Aligns with Java development skill set</t>
        </is>
      </c>
      <c r="AA221" t="inlineStr">
        <is>
          <t>ELIGIBLE</t>
        </is>
      </c>
      <c r="AB221" t="inlineStr">
        <is>
          <t>Degree requirement mentions B.Tech which is aligned with technical education paths, though candidate is MCA</t>
        </is>
      </c>
      <c r="AC221" t="inlineStr">
        <is>
          <t>UNKNOWN</t>
        </is>
      </c>
      <c r="AD221" t="inlineStr">
        <is>
          <t>Not specified in JD</t>
        </is>
      </c>
      <c r="AE221" t="inlineStr">
        <is>
          <t>UNKNOWN</t>
        </is>
      </c>
      <c r="AF221" t="n">
        <v>0</v>
      </c>
      <c r="AG221" t="inlineStr">
        <is>
          <t>No</t>
        </is>
      </c>
      <c r="AH221" t="inlineStr">
        <is>
          <t>UNKNOWN</t>
        </is>
      </c>
      <c r="AI221" t="inlineStr">
        <is>
          <t>Not mentioned in JD</t>
        </is>
      </c>
      <c r="AK221" t="inlineStr">
        <is>
          <t>Stipend is not disclosed; PPO is not mentioned</t>
        </is>
      </c>
      <c r="AL221" t="inlineStr">
        <is>
          <t>Java Fundamentals; Object-Oriented Programming; Data Structures and Algorithms</t>
        </is>
      </c>
    </row>
    <row r="222">
      <c r="A222" t="inlineStr">
        <is>
          <t>MAXGEN-TECHN-260910-176</t>
        </is>
      </c>
      <c r="B222" t="inlineStr">
        <is>
          <t>MAXGEN TECHNOLOGIES PRIVATE LIMITED</t>
        </is>
      </c>
      <c r="C222" t="inlineStr">
        <is>
          <t>Java Developer Internship</t>
        </is>
      </c>
      <c r="D222" t="inlineStr">
        <is>
          <t>https://www.adzuna.in/details/5842547719?utm_medium=api&amp;utm_source=5ccdc27f</t>
        </is>
      </c>
      <c r="E222" t="inlineStr">
        <is>
          <t>AI Analyzer</t>
        </is>
      </c>
      <c r="F222" t="inlineStr">
        <is>
          <t>Pune, India</t>
        </is>
      </c>
      <c r="G222" t="inlineStr">
        <is>
          <t>Unknown</t>
        </is>
      </c>
      <c r="H222" t="inlineStr">
        <is>
          <t>Not specified</t>
        </is>
      </c>
      <c r="I222" t="inlineStr">
        <is>
          <t>Unknown</t>
        </is>
      </c>
      <c r="J222" t="inlineStr">
        <is>
          <t>None Mentioned</t>
        </is>
      </c>
      <c r="K222" t="inlineStr">
        <is>
          <t>Java; Advance Java; Hibernate</t>
        </is>
      </c>
      <c r="M222" t="inlineStr">
        <is>
          <t>Maxgen technologies is an it company based in Pune We are offering injava internshipwith advance java and hibernate program to fresher candidates in Maharashtra Benefit to Choosing us Advance skill program inspiring work culture live project during internship advance practical skills flexible working us contact us hidden mobile visit us www maxgentechnologies com Address 601 Konark Icon Magarpatta</t>
        </is>
      </c>
      <c r="N222" t="n">
        <v>41</v>
      </c>
      <c r="O222" t="n">
        <v>50</v>
      </c>
      <c r="P222" t="n">
        <v>70</v>
      </c>
      <c r="Q222" t="n">
        <v>60</v>
      </c>
      <c r="R222" t="n">
        <v>0</v>
      </c>
      <c r="S222" t="n">
        <v>0</v>
      </c>
      <c r="T222" t="n">
        <v>30</v>
      </c>
      <c r="U222" t="inlineStr">
        <is>
          <t>SKIP</t>
        </is>
      </c>
      <c r="V222" t="inlineStr">
        <is>
          <t>SKIP</t>
        </is>
      </c>
      <c r="W222" t="inlineStr">
        <is>
          <t>Hibernate; Advance Java framework specifics beyond core Java</t>
        </is>
      </c>
      <c r="X222" t="inlineStr">
        <is>
          <t>Default</t>
        </is>
      </c>
      <c r="Y222" t="inlineStr">
        <is>
          <t>2026-09-10</t>
        </is>
      </c>
      <c r="Z222" t="inlineStr">
        <is>
          <t>Open to freshers which matches candidate profile.</t>
        </is>
      </c>
      <c r="AA222" t="inlineStr">
        <is>
          <t>Eligible</t>
        </is>
      </c>
      <c r="AB222" t="inlineStr">
        <is>
          <t>Open to fresher candidates.</t>
        </is>
      </c>
      <c r="AC222" t="inlineStr">
        <is>
          <t>Unknown</t>
        </is>
      </c>
      <c r="AD222" t="inlineStr">
        <is>
          <t>Availability not explicitly specified in candidate profile against job timing.</t>
        </is>
      </c>
      <c r="AE222" t="inlineStr">
        <is>
          <t>UNKNOWN</t>
        </is>
      </c>
      <c r="AF222" t="n">
        <v>0</v>
      </c>
      <c r="AG222" t="inlineStr">
        <is>
          <t>No</t>
        </is>
      </c>
      <c r="AH222" t="inlineStr">
        <is>
          <t>None Mentioned</t>
        </is>
      </c>
      <c r="AI222" t="inlineStr">
        <is>
          <t>No mention of PPO or conversion in the job description.</t>
        </is>
      </c>
      <c r="AK222" t="inlineStr">
        <is>
          <t>No stipend mentioned; No PPO mentioned; Vague internship structure</t>
        </is>
      </c>
      <c r="AL222" t="inlineStr">
        <is>
          <t>Core Java concepts; Advance Java and Hibernate basics; Live project handling</t>
        </is>
      </c>
    </row>
    <row r="223">
      <c r="A223" t="inlineStr">
        <is>
          <t>7S-IQ-PRIVAT-260910-177</t>
        </is>
      </c>
      <c r="B223" t="inlineStr">
        <is>
          <t>7S IQ Private limited</t>
        </is>
      </c>
      <c r="C223" t="inlineStr">
        <is>
          <t>Python Developer Internship</t>
        </is>
      </c>
      <c r="D223" t="inlineStr">
        <is>
          <t>https://www.adzuna.in/details/5574696213?utm_medium=api&amp;utm_source=5ccdc27f</t>
        </is>
      </c>
      <c r="E223" t="inlineStr">
        <is>
          <t>AI Analyzer</t>
        </is>
      </c>
      <c r="F223" t="inlineStr">
        <is>
          <t>Chennai, Tamil Nadu</t>
        </is>
      </c>
      <c r="G223" t="inlineStr">
        <is>
          <t>Hybrid / Work From Home</t>
        </is>
      </c>
      <c r="H223" t="inlineStr">
        <is>
          <t>Not specified</t>
        </is>
      </c>
      <c r="I223" t="inlineStr">
        <is>
          <t>UNKNOWN</t>
        </is>
      </c>
      <c r="J223" t="inlineStr">
        <is>
          <t>NOT MENTIONED</t>
        </is>
      </c>
      <c r="K223" t="inlineStr">
        <is>
          <t>Python; Python frameworks; Backend systems; Automation solutions</t>
        </is>
      </c>
      <c r="M223" t="inlineStr">
        <is>
          <t>Python Developer – Job Description Company: 7S IQ Pvt Ltd Location: Chennai / Work From Home Job Type: Internship About the Role We are looking for a talented and detail-oriented Python Developer to join our development team. The ideal candidate should have strong problem-solving skills, experience with Python frameworks, and the ability to build efficient backend systems and automation solutions.</t>
        </is>
      </c>
      <c r="N223" t="n">
        <v>52</v>
      </c>
      <c r="O223" t="n">
        <v>20</v>
      </c>
      <c r="P223" t="n">
        <v>15</v>
      </c>
      <c r="Q223" t="n">
        <v>12</v>
      </c>
      <c r="R223" t="n">
        <v>0</v>
      </c>
      <c r="S223" t="n">
        <v>0</v>
      </c>
      <c r="T223" t="n">
        <v>5</v>
      </c>
      <c r="U223" t="inlineStr">
        <is>
          <t>SKIP</t>
        </is>
      </c>
      <c r="V223" t="inlineStr">
        <is>
          <t>SKIP</t>
        </is>
      </c>
      <c r="W223" t="inlineStr">
        <is>
          <t>Python frameworks</t>
        </is>
      </c>
      <c r="X223" t="inlineStr">
        <is>
          <t>Default Full Stack / Backend Resume</t>
        </is>
      </c>
      <c r="Y223" t="inlineStr">
        <is>
          <t>2026-09-10</t>
        </is>
      </c>
      <c r="Z223" t="inlineStr">
        <is>
          <t>Aligns with Python and backend development interest.</t>
        </is>
      </c>
      <c r="AA223" t="inlineStr">
        <is>
          <t>ELIGIBLE</t>
        </is>
      </c>
      <c r="AB223" t="inlineStr">
        <is>
          <t>Candidate possesses Python skills which align with the Python Developer role.</t>
        </is>
      </c>
      <c r="AC223" t="inlineStr">
        <is>
          <t>UNKNOWN</t>
        </is>
      </c>
      <c r="AD223" t="inlineStr">
        <is>
          <t>Not specified in the candidate profile or job description.</t>
        </is>
      </c>
      <c r="AE223" t="inlineStr">
        <is>
          <t>UNKNOWN</t>
        </is>
      </c>
      <c r="AF223" t="n">
        <v>0</v>
      </c>
      <c r="AG223" t="inlineStr">
        <is>
          <t>No</t>
        </is>
      </c>
      <c r="AH223" t="inlineStr">
        <is>
          <t>NOT MENTIONED</t>
        </is>
      </c>
      <c r="AI223" t="inlineStr">
        <is>
          <t>No mention of PPO or conversion in the job description.</t>
        </is>
      </c>
      <c r="AK223" t="inlineStr">
        <is>
          <t>Stipend is completely unspecified</t>
        </is>
      </c>
      <c r="AL223" t="inlineStr">
        <is>
          <t>Python fundamentals and scripting; Python backend frameworks; Automation solutions built previously</t>
        </is>
      </c>
    </row>
    <row r="224">
      <c r="A224" t="inlineStr">
        <is>
          <t>PRAXINFO-260910-178</t>
        </is>
      </c>
      <c r="B224" t="inlineStr">
        <is>
          <t>PRAXINFO</t>
        </is>
      </c>
      <c r="C224" t="inlineStr">
        <is>
          <t>Python Developer Intern</t>
        </is>
      </c>
      <c r="D224" t="inlineStr">
        <is>
          <t>https://www.adzuna.in/details/1455831792?utm_medium=api&amp;utm_source=5ccdc27f</t>
        </is>
      </c>
      <c r="E224" t="inlineStr">
        <is>
          <t>AI Analyzer</t>
        </is>
      </c>
      <c r="F224" t="inlineStr">
        <is>
          <t>Ahmedabad, Gujarat</t>
        </is>
      </c>
      <c r="G224" t="inlineStr">
        <is>
          <t>On-site</t>
        </is>
      </c>
      <c r="H224" t="inlineStr">
        <is>
          <t>Not Disclosed</t>
        </is>
      </c>
      <c r="I224" t="inlineStr">
        <is>
          <t>UNKNOWN</t>
        </is>
      </c>
      <c r="J224" t="inlineStr">
        <is>
          <t>NOT_MENTIONED</t>
        </is>
      </c>
      <c r="K224" t="inlineStr">
        <is>
          <t>Python; SQL; HTML; Linux; AJAX; JavaScript; Django</t>
        </is>
      </c>
      <c r="M224" t="inlineStr">
        <is>
          <t>Should have knowledge of:: Python SQL HTML Linux AJAX/ JSSkills Excellent Communication Skills Have to be a quick learner Complete project on time Skills:- Python, Django and Javascript</t>
        </is>
      </c>
      <c r="N224" t="n">
        <v>50</v>
      </c>
      <c r="O224" t="n">
        <v>60</v>
      </c>
      <c r="P224" t="n">
        <v>70</v>
      </c>
      <c r="Q224" t="n">
        <v>70</v>
      </c>
      <c r="R224" t="n">
        <v>0</v>
      </c>
      <c r="S224" t="n">
        <v>0</v>
      </c>
      <c r="T224" t="n">
        <v>40</v>
      </c>
      <c r="U224" t="inlineStr">
        <is>
          <t>SKIP</t>
        </is>
      </c>
      <c r="V224" t="inlineStr">
        <is>
          <t>SKIP</t>
        </is>
      </c>
      <c r="W224" t="inlineStr">
        <is>
          <t>Linux; AJAX; Django</t>
        </is>
      </c>
      <c r="X224" t="inlineStr">
        <is>
          <t>Default Full Stack/Python Resume</t>
        </is>
      </c>
      <c r="Y224" t="inlineStr">
        <is>
          <t>2026-09-10</t>
        </is>
      </c>
      <c r="Z224" t="inlineStr">
        <is>
          <t>Matches basic Python and backend skill requirements</t>
        </is>
      </c>
      <c r="AA224" t="inlineStr">
        <is>
          <t>ELIGIBLE</t>
        </is>
      </c>
      <c r="AB224" t="inlineStr">
        <is>
          <t>Candidate has Python skills; No strict degree blockers stated</t>
        </is>
      </c>
      <c r="AC224" t="inlineStr">
        <is>
          <t>UNKNOWN</t>
        </is>
      </c>
      <c r="AD224" t="inlineStr">
        <is>
          <t>Not specified in candidate profile</t>
        </is>
      </c>
      <c r="AE224" t="inlineStr">
        <is>
          <t>UNKNOWN</t>
        </is>
      </c>
      <c r="AF224" t="n">
        <v>0</v>
      </c>
      <c r="AG224" t="inlineStr">
        <is>
          <t>No</t>
        </is>
      </c>
      <c r="AH224" t="inlineStr">
        <is>
          <t>NOT_MENTIONED</t>
        </is>
      </c>
      <c r="AI224" t="inlineStr">
        <is>
          <t>No mention of PPO or conversion in the job description</t>
        </is>
      </c>
      <c r="AK224" t="inlineStr">
        <is>
          <t>No stipend disclosed; Old posting date reference or lack of modern stack clarity</t>
        </is>
      </c>
      <c r="AL224" t="inlineStr">
        <is>
          <t>Python fundamentals and OOP; SQL queries and database management; Basic JavaScript and HTML; Linux commands and environment basics</t>
        </is>
      </c>
    </row>
    <row r="225">
      <c r="A225" t="inlineStr">
        <is>
          <t>VENTURA-SECU-260910-179</t>
        </is>
      </c>
      <c r="B225" t="inlineStr">
        <is>
          <t>ventura securities ltd</t>
        </is>
      </c>
      <c r="C225" t="inlineStr">
        <is>
          <t>Python Developer Intern</t>
        </is>
      </c>
      <c r="D225" t="inlineStr">
        <is>
          <t>https://www.adzuna.in/details/4176492504?utm_medium=api&amp;utm_source=5ccdc27f</t>
        </is>
      </c>
      <c r="E225" t="inlineStr">
        <is>
          <t>AI Analyzer</t>
        </is>
      </c>
      <c r="F225" t="inlineStr">
        <is>
          <t>India</t>
        </is>
      </c>
      <c r="G225" t="inlineStr">
        <is>
          <t>Remote</t>
        </is>
      </c>
      <c r="H225" t="inlineStr">
        <is>
          <t>Not Specified</t>
        </is>
      </c>
      <c r="I225" t="inlineStr">
        <is>
          <t>Not Specified</t>
        </is>
      </c>
      <c r="J225" t="inlineStr">
        <is>
          <t>UNKNOWN</t>
        </is>
      </c>
      <c r="K225" t="inlineStr">
        <is>
          <t>Python; AWS</t>
        </is>
      </c>
      <c r="M225" t="inlineStr">
        <is>
          <t>Ventura Securities is establishing its fintech team - a remote-first, work from anywhere team with highly talented individuals who come from diverse backgrounds and looking to solve real client problems at scale. Ventura has been in the stockbroking business for 20 years and it is a robust and profitable franchise with 1000 employees currently. We are looking for passionate techies with skills pri</t>
        </is>
      </c>
      <c r="N225" t="n">
        <v>57</v>
      </c>
      <c r="O225" t="n">
        <v>20</v>
      </c>
      <c r="P225" t="n">
        <v>15</v>
      </c>
      <c r="Q225" t="n">
        <v>12</v>
      </c>
      <c r="R225" t="n">
        <v>5</v>
      </c>
      <c r="S225" t="n">
        <v>0</v>
      </c>
      <c r="T225" t="n">
        <v>5</v>
      </c>
      <c r="U225" t="inlineStr">
        <is>
          <t>SKIP</t>
        </is>
      </c>
      <c r="V225" t="inlineStr">
        <is>
          <t>SKIP</t>
        </is>
      </c>
      <c r="W225" t="inlineStr">
        <is>
          <t>AWS</t>
        </is>
      </c>
      <c r="X225" t="inlineStr">
        <is>
          <t>Amaanuddin_Ahmed_Software_Engineering_Resume.pdf</t>
        </is>
      </c>
      <c r="Y225" t="inlineStr">
        <is>
          <t>2026-09-10</t>
        </is>
      </c>
      <c r="Z225" t="inlineStr">
        <is>
          <t>Remote-first fintech opportunity matching Python background.</t>
        </is>
      </c>
      <c r="AA225" t="inlineStr">
        <is>
          <t>ELIGIBLE</t>
        </is>
      </c>
      <c r="AB225" t="inlineStr">
        <is>
          <t>Candidate has Python experience.; Work mode is remote, matching candidate preferences.</t>
        </is>
      </c>
      <c r="AC225" t="inlineStr">
        <is>
          <t>UNKNOWN</t>
        </is>
      </c>
      <c r="AD225" t="inlineStr">
        <is>
          <t>Availability not explicitly stated in candidate profile.</t>
        </is>
      </c>
      <c r="AE225" t="inlineStr">
        <is>
          <t>UNKNOWN</t>
        </is>
      </c>
      <c r="AF225" t="n">
        <v>0</v>
      </c>
      <c r="AG225" t="inlineStr">
        <is>
          <t>No</t>
        </is>
      </c>
      <c r="AH225" t="inlineStr">
        <is>
          <t>UNKNOWN</t>
        </is>
      </c>
      <c r="AI225" t="inlineStr">
        <is>
          <t>Job description mentions fast-track career but does not explicitly guarantee PPO conversion.</t>
        </is>
      </c>
      <c r="AK225" t="inlineStr">
        <is>
          <t>Incomplete job description snippet provided</t>
        </is>
      </c>
      <c r="AL225" t="inlineStr">
        <is>
          <t>Python programming and best practices; AWS cloud services and serverless architecture; API development and backend systems</t>
        </is>
      </c>
    </row>
    <row r="226">
      <c r="A226" t="inlineStr">
        <is>
          <t>MAXGEN-TECHN-260910-180</t>
        </is>
      </c>
      <c r="B226" t="inlineStr">
        <is>
          <t>MAXGEN TECHNOLOGIES PRIVATE LIMITED</t>
        </is>
      </c>
      <c r="C226" t="inlineStr">
        <is>
          <t>Python Developer Internship</t>
        </is>
      </c>
      <c r="D226" t="inlineStr">
        <is>
          <t>https://www.adzuna.in/details/5863635745?utm_medium=api&amp;utm_source=5ccdc27f</t>
        </is>
      </c>
      <c r="E226" t="inlineStr">
        <is>
          <t>AI Analyzer</t>
        </is>
      </c>
      <c r="F226" t="inlineStr">
        <is>
          <t>Ahmedabad</t>
        </is>
      </c>
      <c r="G226" t="inlineStr">
        <is>
          <t>online or offline</t>
        </is>
      </c>
      <c r="H226" t="inlineStr">
        <is>
          <t>UNKNOWN</t>
        </is>
      </c>
      <c r="I226" t="inlineStr">
        <is>
          <t>UNKNOWN</t>
        </is>
      </c>
      <c r="J226" t="inlineStr">
        <is>
          <t>EXPLICIT</t>
        </is>
      </c>
      <c r="K226" t="inlineStr">
        <is>
          <t>Python</t>
        </is>
      </c>
      <c r="L226" t="inlineStr">
        <is>
          <t>Machine Learning</t>
        </is>
      </c>
      <c r="M226" t="inlineStr">
        <is>
          <t>Maxgen Technologies Pvt ltd offering internships in Ahmedabad the interns will get live project pythoninternshipand machine learning program with job placement Why interns seeking us Career oriented Program professional work culture advance technology online or offline options supportive management call us hidden mobile visit us www maxgentechnologies com Address 6th Floor 603 Abhijeet 3 Near Law</t>
        </is>
      </c>
      <c r="N226" t="n">
        <v>62</v>
      </c>
      <c r="O226" t="n">
        <v>70</v>
      </c>
      <c r="P226" t="n">
        <v>80</v>
      </c>
      <c r="Q226" t="n">
        <v>75</v>
      </c>
      <c r="R226" t="n">
        <v>80</v>
      </c>
      <c r="S226" t="n">
        <v>0</v>
      </c>
      <c r="T226" t="n">
        <v>50</v>
      </c>
      <c r="U226" t="inlineStr">
        <is>
          <t>STRETCH</t>
        </is>
      </c>
      <c r="V226" t="inlineStr">
        <is>
          <t>STRETCH</t>
        </is>
      </c>
      <c r="X226" t="inlineStr">
        <is>
          <t>Software Engineering Resume</t>
        </is>
      </c>
      <c r="Y226" t="inlineStr">
        <is>
          <t>2026-09-10</t>
        </is>
      </c>
      <c r="Z226" t="inlineStr">
        <is>
          <t>Matches the Python skill and offers placement assistance.</t>
        </is>
      </c>
      <c r="AA226" t="inlineStr">
        <is>
          <t>ELIGIBLE</t>
        </is>
      </c>
      <c r="AB226" t="inlineStr">
        <is>
          <t>No strict degree or graduation-year blockers specified.; Matches candidate's Python skill.</t>
        </is>
      </c>
      <c r="AC226" t="inlineStr">
        <is>
          <t>UNKNOWN</t>
        </is>
      </c>
      <c r="AD226" t="inlineStr">
        <is>
          <t>Candidate availability dates are not specified in the career brain.</t>
        </is>
      </c>
      <c r="AE226" t="inlineStr">
        <is>
          <t>UNKNOWN</t>
        </is>
      </c>
      <c r="AF226" t="n">
        <v>0</v>
      </c>
      <c r="AG226" t="inlineStr">
        <is>
          <t>No</t>
        </is>
      </c>
      <c r="AH226" t="inlineStr">
        <is>
          <t>EXPLICIT</t>
        </is>
      </c>
      <c r="AI226" t="inlineStr">
        <is>
          <t>Mention of job placement upon internship completion.</t>
        </is>
      </c>
      <c r="AK226" t="inlineStr">
        <is>
          <t>Unpaid or unstated stipend; Vague placement guarantees</t>
        </is>
      </c>
      <c r="AL226" t="inlineStr">
        <is>
          <t>Python fundamentals; Basic Machine Learning concepts; Live project workflow at Maxgen</t>
        </is>
      </c>
    </row>
    <row r="227">
      <c r="A227" t="inlineStr">
        <is>
          <t>PEERXP-260910-181</t>
        </is>
      </c>
      <c r="B227" t="inlineStr">
        <is>
          <t>PeerXP</t>
        </is>
      </c>
      <c r="C227" t="inlineStr">
        <is>
          <t>Python Django Developer Internship</t>
        </is>
      </c>
      <c r="D227" t="inlineStr">
        <is>
          <t>https://www.adzuna.in/details/4795892724?utm_medium=api&amp;utm_source=5ccdc27f</t>
        </is>
      </c>
      <c r="E227" t="inlineStr">
        <is>
          <t>AI Analyzer</t>
        </is>
      </c>
      <c r="F227" t="inlineStr">
        <is>
          <t>Bangalore, Karnataka</t>
        </is>
      </c>
      <c r="G227" t="inlineStr">
        <is>
          <t>UNKNOWN</t>
        </is>
      </c>
      <c r="H227" t="inlineStr">
        <is>
          <t>Not specified</t>
        </is>
      </c>
      <c r="I227" t="inlineStr">
        <is>
          <t>UNKNOWN</t>
        </is>
      </c>
      <c r="J227" t="inlineStr">
        <is>
          <t>UNKNOWN</t>
        </is>
      </c>
      <c r="K227" t="inlineStr">
        <is>
          <t>Python; Django; ReactJS; RESTful APIs; JavaScript; HTML5; CSS3; SQL; Non-relational databases; Django ORM</t>
        </is>
      </c>
      <c r="M227" t="inlineStr">
        <is>
          <t>Requirements Design and implement a full-stack web application using Python Django framework and ReactJS. 1 years of experience in building and deploying web applications. Experience in designing and using RESTful APIs. Basic knowledge in front-end technologies such as JavaScript, , ReactJS, HTML5, and CSS3. Understanding of fundamental design principles behind a scalable application. Understandin</t>
        </is>
      </c>
      <c r="N227" t="n">
        <v>40</v>
      </c>
      <c r="O227" t="n">
        <v>60</v>
      </c>
      <c r="P227" t="n">
        <v>20</v>
      </c>
      <c r="Q227" t="n">
        <v>50</v>
      </c>
      <c r="R227" t="n">
        <v>0</v>
      </c>
      <c r="S227" t="n">
        <v>0</v>
      </c>
      <c r="T227" t="n">
        <v>40</v>
      </c>
      <c r="U227" t="inlineStr">
        <is>
          <t>SKIP</t>
        </is>
      </c>
      <c r="V227" t="inlineStr">
        <is>
          <t>SKIP</t>
        </is>
      </c>
      <c r="W227" t="inlineStr">
        <is>
          <t>Django; Django ORM</t>
        </is>
      </c>
      <c r="X227" t="inlineStr">
        <is>
          <t>Default Resume</t>
        </is>
      </c>
      <c r="Y227" t="inlineStr">
        <is>
          <t>2026-09-10</t>
        </is>
      </c>
      <c r="AA227" t="inlineStr">
        <is>
          <t>NOT ELIGIBLE</t>
        </is>
      </c>
      <c r="AB227" t="inlineStr">
        <is>
          <t>Requires 1 years of experience in building and deploying web applications, which exceeds student/fresher status.</t>
        </is>
      </c>
      <c r="AC227" t="inlineStr">
        <is>
          <t>UNKNOWN</t>
        </is>
      </c>
      <c r="AD227" t="inlineStr">
        <is>
          <t>Availability not specified in the career brain or job description.</t>
        </is>
      </c>
      <c r="AE227" t="inlineStr">
        <is>
          <t>UNKNOWN</t>
        </is>
      </c>
      <c r="AF227" t="n">
        <v>0</v>
      </c>
      <c r="AG227" t="inlineStr">
        <is>
          <t>No</t>
        </is>
      </c>
      <c r="AH227" t="inlineStr">
        <is>
          <t>UNKNOWN</t>
        </is>
      </c>
      <c r="AI227" t="inlineStr">
        <is>
          <t>No explicit PPO or conversion mention found in the job description.</t>
        </is>
      </c>
      <c r="AJ227" t="inlineStr">
        <is>
          <t>Requires 1 years of experience in building and deploying web applications</t>
        </is>
      </c>
      <c r="AK227" t="inlineStr">
        <is>
          <t>Stipend not disclosed</t>
        </is>
      </c>
      <c r="AL227" t="inlineStr">
        <is>
          <t>Python Django framework and Django ORM; ReactJS state management and component lifecycle; RESTful API design principles; Database optimization in SQL and NoSQL</t>
        </is>
      </c>
    </row>
    <row r="228">
      <c r="A228" t="inlineStr">
        <is>
          <t>MAXGEN-TECHN-260910-182</t>
        </is>
      </c>
      <c r="B228" t="inlineStr">
        <is>
          <t>MAXGEN TECHNOLOGIES PRIVATE LIMITED</t>
        </is>
      </c>
      <c r="C228" t="inlineStr">
        <is>
          <t>Python Web Development Internship</t>
        </is>
      </c>
      <c r="D228" t="inlineStr">
        <is>
          <t>https://www.adzuna.in/details/5875071090?utm_medium=api&amp;utm_source=5ccdc27f</t>
        </is>
      </c>
      <c r="E228" t="inlineStr">
        <is>
          <t>AI Analyzer</t>
        </is>
      </c>
      <c r="F228" t="inlineStr">
        <is>
          <t>Ahmedabad, India</t>
        </is>
      </c>
      <c r="G228" t="inlineStr">
        <is>
          <t>On-site</t>
        </is>
      </c>
      <c r="H228" t="inlineStr">
        <is>
          <t>Not specified</t>
        </is>
      </c>
      <c r="I228" t="inlineStr">
        <is>
          <t>UNKNOWN</t>
        </is>
      </c>
      <c r="J228" t="inlineStr">
        <is>
          <t>NOT MENTIONED</t>
        </is>
      </c>
      <c r="K228" t="inlineStr">
        <is>
          <t>Python; Django</t>
        </is>
      </c>
      <c r="L228" t="inlineStr">
        <is>
          <t>Machine Learning</t>
        </is>
      </c>
      <c r="M228" t="inlineStr">
        <is>
          <t>Maxgen Technologies Pvt ltd offeringinternshipin Ahmedabad Diploma and Engineering freshers will get live projectpythoninternshipwith Django machine learning program Why we first option Flexible working hours College project Program job placement after program live projects during program professional working environment call us at hidden mobile visit us www amxgentechnologies com Address Abhijeet</t>
        </is>
      </c>
      <c r="N228" t="n">
        <v>53</v>
      </c>
      <c r="O228" t="n">
        <v>60</v>
      </c>
      <c r="P228" t="n">
        <v>80</v>
      </c>
      <c r="Q228" t="n">
        <v>70</v>
      </c>
      <c r="R228" t="n">
        <v>40</v>
      </c>
      <c r="S228" t="n">
        <v>0</v>
      </c>
      <c r="T228" t="n">
        <v>40</v>
      </c>
      <c r="U228" t="inlineStr">
        <is>
          <t>SKIP</t>
        </is>
      </c>
      <c r="V228" t="inlineStr">
        <is>
          <t>SKIP</t>
        </is>
      </c>
      <c r="W228" t="inlineStr">
        <is>
          <t>Django</t>
        </is>
      </c>
      <c r="X228" t="inlineStr">
        <is>
          <t>Amaanuddin_Ahmed_Software_Engineering_Resume.pdf</t>
        </is>
      </c>
      <c r="Y228" t="inlineStr">
        <is>
          <t>2026-09-10</t>
        </is>
      </c>
      <c r="Z228" t="inlineStr">
        <is>
          <t>Matches Python interest for software engineering.</t>
        </is>
      </c>
      <c r="AA228" t="inlineStr">
        <is>
          <t>ELIGIBLE</t>
        </is>
      </c>
      <c r="AB228" t="inlineStr">
        <is>
          <t>Open to Diploma and Engineering freshers</t>
        </is>
      </c>
      <c r="AC228" t="inlineStr">
        <is>
          <t>UNKNOWN</t>
        </is>
      </c>
      <c r="AD228" t="inlineStr">
        <is>
          <t>Availability not specified</t>
        </is>
      </c>
      <c r="AE228" t="inlineStr">
        <is>
          <t>UNKNOWN</t>
        </is>
      </c>
      <c r="AF228" t="n">
        <v>0</v>
      </c>
      <c r="AG228" t="inlineStr">
        <is>
          <t>No</t>
        </is>
      </c>
      <c r="AH228" t="inlineStr">
        <is>
          <t>NOT MENTIONED</t>
        </is>
      </c>
      <c r="AI228" t="inlineStr">
        <is>
          <t>Job description mentions job placement after program, but no explicit PPO guarantee.</t>
        </is>
      </c>
      <c r="AK228" t="inlineStr">
        <is>
          <t>Unpaid or unspecified stipend; Potential training/consultancy placement model</t>
        </is>
      </c>
      <c r="AL228" t="inlineStr">
        <is>
          <t>Python Basics; Django Framework; Live Projects experience</t>
        </is>
      </c>
    </row>
    <row r="229">
      <c r="A229" t="inlineStr">
        <is>
          <t>ZIPLR-TECHNO-260910-183</t>
        </is>
      </c>
      <c r="B229" t="inlineStr">
        <is>
          <t>Ziplr Technology</t>
        </is>
      </c>
      <c r="C229" t="inlineStr">
        <is>
          <t>Internship - Python Developer</t>
        </is>
      </c>
      <c r="D229" t="inlineStr">
        <is>
          <t>https://www.adzuna.in/details/4801618879?utm_medium=api&amp;utm_source=5ccdc27f</t>
        </is>
      </c>
      <c r="E229" t="inlineStr">
        <is>
          <t>AI Analyzer</t>
        </is>
      </c>
      <c r="F229" t="inlineStr">
        <is>
          <t>Bhubaneswar</t>
        </is>
      </c>
      <c r="G229" t="inlineStr">
        <is>
          <t>On-site</t>
        </is>
      </c>
      <c r="H229" t="inlineStr">
        <is>
          <t>Not specified</t>
        </is>
      </c>
      <c r="I229" t="inlineStr">
        <is>
          <t>Unknown</t>
        </is>
      </c>
      <c r="J229" t="inlineStr">
        <is>
          <t>Not Mentioned</t>
        </is>
      </c>
      <c r="K229" t="inlineStr">
        <is>
          <t>Python</t>
        </is>
      </c>
      <c r="M229" t="inlineStr">
        <is>
          <t>Internship - Python Developer Ziplr is looking for techies in python to join our development team. Are you the best programmer in your batch or office? Do you lose your sleep till you have solved a technical problem? Can you stay up the whole night just to write a beautiful piece of code which runs flawlessly? Note - If you answered yes to all above asked questions only then, read the below text.</t>
        </is>
      </c>
      <c r="N229" t="n">
        <v>61</v>
      </c>
      <c r="O229" t="n">
        <v>24</v>
      </c>
      <c r="P229" t="n">
        <v>16</v>
      </c>
      <c r="Q229" t="n">
        <v>12</v>
      </c>
      <c r="R229" t="n">
        <v>0</v>
      </c>
      <c r="S229" t="n">
        <v>5</v>
      </c>
      <c r="T229" t="n">
        <v>4</v>
      </c>
      <c r="U229" t="inlineStr">
        <is>
          <t>STRETCH</t>
        </is>
      </c>
      <c r="V229" t="inlineStr">
        <is>
          <t>STRETCH</t>
        </is>
      </c>
      <c r="X229" t="inlineStr">
        <is>
          <t>Amaanuddin_Ahmed_Software_Engineer_Resume.pdf</t>
        </is>
      </c>
      <c r="Y229" t="inlineStr">
        <is>
          <t>2026-09-10</t>
        </is>
      </c>
      <c r="Z229" t="inlineStr">
        <is>
          <t>Matches the Python skill requirement</t>
        </is>
      </c>
      <c r="AA229" t="inlineStr">
        <is>
          <t>ELIGIBLE</t>
        </is>
      </c>
      <c r="AB229" t="inlineStr">
        <is>
          <t>Candidate has Python skills and fits the general profile</t>
        </is>
      </c>
      <c r="AC229" t="inlineStr">
        <is>
          <t>UNKNOWN</t>
        </is>
      </c>
      <c r="AD229" t="inlineStr">
        <is>
          <t>Not specified in candidate profile or job description</t>
        </is>
      </c>
      <c r="AE229" t="inlineStr">
        <is>
          <t>UNKNOWN</t>
        </is>
      </c>
      <c r="AF229" t="n">
        <v>0</v>
      </c>
      <c r="AG229" t="inlineStr">
        <is>
          <t>No</t>
        </is>
      </c>
      <c r="AH229" t="inlineStr">
        <is>
          <t>Not Mentioned</t>
        </is>
      </c>
      <c r="AI229" t="inlineStr">
        <is>
          <t>No mention of PPO or conversion in the job description.</t>
        </is>
      </c>
      <c r="AK229" t="inlineStr">
        <is>
          <t>Unrealistic and overly intense phrasing in JD; Unspecified stipend</t>
        </is>
      </c>
      <c r="AL229" t="inlineStr">
        <is>
          <t>Python programming fundamentals; Enterprise application development; Problem-solving capabilities</t>
        </is>
      </c>
    </row>
    <row r="230">
      <c r="A230" t="inlineStr">
        <is>
          <t>TRUECONNECT--260910-184</t>
        </is>
      </c>
      <c r="B230" t="inlineStr">
        <is>
          <t>TrueConnect Strategic Services</t>
        </is>
      </c>
      <c r="C230" t="inlineStr">
        <is>
          <t>Python Freshers</t>
        </is>
      </c>
      <c r="D230" t="inlineStr">
        <is>
          <t>https://www.adzuna.in/details/5146499472?utm_medium=api&amp;utm_source=5ccdc27f</t>
        </is>
      </c>
      <c r="E230" t="inlineStr">
        <is>
          <t>AI Analyzer</t>
        </is>
      </c>
      <c r="F230" t="inlineStr">
        <is>
          <t>Erode, Tamil Nadu</t>
        </is>
      </c>
      <c r="G230" t="inlineStr">
        <is>
          <t>WFH</t>
        </is>
      </c>
      <c r="H230" t="inlineStr">
        <is>
          <t>Not specified</t>
        </is>
      </c>
      <c r="I230" t="inlineStr">
        <is>
          <t>6 Months (with 3 Months Training)</t>
        </is>
      </c>
      <c r="J230" t="inlineStr">
        <is>
          <t>Not Mentioned</t>
        </is>
      </c>
      <c r="K230" t="inlineStr">
        <is>
          <t>Python; CS Background</t>
        </is>
      </c>
      <c r="M230" t="inlineStr">
        <is>
          <t>Looking for Python Interns @ Erode | WFH 3 Months Training | 6 Month Internship Job Summary: We are looking for highly promising fresh talents, inspiring them to become python developers or data engineers. Position: Internship Location: Erode Contact : 9025222061 Skill Set - Python - CS Background</t>
        </is>
      </c>
      <c r="N230" t="n">
        <v>62</v>
      </c>
      <c r="O230" t="n">
        <v>25</v>
      </c>
      <c r="P230" t="n">
        <v>20</v>
      </c>
      <c r="Q230" t="n">
        <v>12</v>
      </c>
      <c r="R230" t="n">
        <v>0</v>
      </c>
      <c r="S230" t="n">
        <v>0</v>
      </c>
      <c r="T230" t="n">
        <v>5</v>
      </c>
      <c r="U230" t="inlineStr">
        <is>
          <t>STRETCH</t>
        </is>
      </c>
      <c r="V230" t="inlineStr">
        <is>
          <t>STRETCH</t>
        </is>
      </c>
      <c r="X230" t="inlineStr">
        <is>
          <t>Default Full Stack / Backend Resume</t>
        </is>
      </c>
      <c r="Y230" t="inlineStr">
        <is>
          <t>2026-09-10</t>
        </is>
      </c>
      <c r="Z230" t="inlineStr">
        <is>
          <t>Matches Python skill and WFH requirement; Good opportunity for a fresher looking for internship experience</t>
        </is>
      </c>
      <c r="AA230" t="inlineStr">
        <is>
          <t>Eligible</t>
        </is>
      </c>
      <c r="AB230" t="inlineStr">
        <is>
          <t>CS background requirement met by MCA program; Python skill matches candidate profile</t>
        </is>
      </c>
      <c r="AC230" t="inlineStr">
        <is>
          <t>UNKNOWN</t>
        </is>
      </c>
      <c r="AD230" t="inlineStr">
        <is>
          <t>Candidate availability details are not provided in the career brain.</t>
        </is>
      </c>
      <c r="AE230" t="inlineStr">
        <is>
          <t>UNKNOWN</t>
        </is>
      </c>
      <c r="AF230" t="n">
        <v>0</v>
      </c>
      <c r="AG230" t="inlineStr">
        <is>
          <t>No</t>
        </is>
      </c>
      <c r="AH230" t="inlineStr">
        <is>
          <t>Not Mentioned</t>
        </is>
      </c>
      <c r="AI230" t="inlineStr">
        <is>
          <t>No explicit mention of PPO or conversion in the job description.</t>
        </is>
      </c>
      <c r="AK230" t="inlineStr">
        <is>
          <t>Stipend is completely undisclosed; No mention of PPO or conversion</t>
        </is>
      </c>
      <c r="AL230" t="inlineStr">
        <is>
          <t>Python Basics; Data Structures and Algorithms; Object-Oriented Programming in Python; Basic Database Concepts</t>
        </is>
      </c>
    </row>
    <row r="231">
      <c r="A231" t="inlineStr">
        <is>
          <t>SOFTWAREBRIO-260910-185</t>
        </is>
      </c>
      <c r="B231" t="inlineStr">
        <is>
          <t>SoftwareBrio</t>
        </is>
      </c>
      <c r="C231" t="inlineStr">
        <is>
          <t>AI Engineer Internship (Paid)</t>
        </is>
      </c>
      <c r="D231" t="inlineStr">
        <is>
          <t>https://www.adzuna.in/land/ad/5876027340?se=oOJADPSs8RGLWNueJPgGLw&amp;utm_medium=api&amp;utm_source=5ccdc27f&amp;v=C60838C4C09FF57C8FF570F707CE2F6BC1591EB6</t>
        </is>
      </c>
      <c r="E231" t="inlineStr">
        <is>
          <t>AI Analyzer</t>
        </is>
      </c>
      <c r="F231" t="inlineStr">
        <is>
          <t>India</t>
        </is>
      </c>
      <c r="G231" t="inlineStr">
        <is>
          <t>remote/unknown</t>
        </is>
      </c>
      <c r="H231" t="inlineStr">
        <is>
          <t>Paid</t>
        </is>
      </c>
      <c r="I231" t="inlineStr">
        <is>
          <t>unknown</t>
        </is>
      </c>
      <c r="J231" t="inlineStr">
        <is>
          <t>NOT_MENTIONED</t>
        </is>
      </c>
      <c r="K231" t="inlineStr">
        <is>
          <t>AI Engineering; Software Engineering</t>
        </is>
      </c>
      <c r="L231" t="inlineStr">
        <is>
          <t>Web Applications; Cloud-based Solutions</t>
        </is>
      </c>
      <c r="M231" t="inlineStr">
        <is>
          <t>Company Description SoftwareBrio empowers businesses with software solutions driven by Artificial Intelligence. The team’s experience from organizations such as Google, Meta, and Amazon informs the design of high-impact, scalable products. The company focuses on creating innovative web applications, mobile apps, user interfaces, financial consultancy tools, and cloud-based solutions. Joining Softw</t>
        </is>
      </c>
      <c r="N231" t="n">
        <v>44</v>
      </c>
      <c r="O231" t="n">
        <v>50</v>
      </c>
      <c r="P231" t="n">
        <v>60</v>
      </c>
      <c r="Q231" t="n">
        <v>60</v>
      </c>
      <c r="R231" t="n">
        <v>0</v>
      </c>
      <c r="S231" t="n">
        <v>0</v>
      </c>
      <c r="T231" t="n">
        <v>50</v>
      </c>
      <c r="U231" t="inlineStr">
        <is>
          <t>SKIP</t>
        </is>
      </c>
      <c r="V231" t="inlineStr">
        <is>
          <t>SKIP</t>
        </is>
      </c>
      <c r="W231" t="inlineStr">
        <is>
          <t>Dedicated AI/ML engineering tools and frameworks (not explicitly detailed in core skills beyond general AI-adjacent software)</t>
        </is>
      </c>
      <c r="X231" t="inlineStr">
        <is>
          <t>Amaanuddin_Ahmed_AI_Software_Resume.pdf</t>
        </is>
      </c>
      <c r="Y231" t="inlineStr">
        <is>
          <t>2026-09-10</t>
        </is>
      </c>
      <c r="Z231" t="inlineStr">
        <is>
          <t>Exposure to AI applications and modern engineering practices.</t>
        </is>
      </c>
      <c r="AA231" t="inlineStr">
        <is>
          <t>ELIGIBLE</t>
        </is>
      </c>
      <c r="AB231" t="inlineStr">
        <is>
          <t>No explicit degree or hard experience blockers mentioned in the brief snippet.</t>
        </is>
      </c>
      <c r="AC231" t="inlineStr">
        <is>
          <t>UNKNOWN</t>
        </is>
      </c>
      <c r="AD231" t="inlineStr">
        <is>
          <t>Candidate availability details are not specified in the career brain.</t>
        </is>
      </c>
      <c r="AE231" t="inlineStr">
        <is>
          <t>UNKNOWN</t>
        </is>
      </c>
      <c r="AF231" t="n">
        <v>0</v>
      </c>
      <c r="AG231" t="inlineStr">
        <is>
          <t>No</t>
        </is>
      </c>
      <c r="AH231" t="inlineStr">
        <is>
          <t>NOT_MENTIONED</t>
        </is>
      </c>
      <c r="AI231" t="inlineStr">
        <is>
          <t>No mention of PPO or conversion in the provided text snippet.</t>
        </is>
      </c>
      <c r="AK231" t="inlineStr">
        <is>
          <t>Incomplete job description snippet lacking specific technical requirements and stipend amount.</t>
        </is>
      </c>
      <c r="AL231" t="inlineStr">
        <is>
          <t>AI/ML engineering fundamentals; Python programming; Real-world AI applications and integration</t>
        </is>
      </c>
    </row>
    <row r="232">
      <c r="A232" t="inlineStr">
        <is>
          <t>NUVAMA-GROUP-260910-186</t>
        </is>
      </c>
      <c r="B232" t="inlineStr">
        <is>
          <t>Nuvama Group</t>
        </is>
      </c>
      <c r="C232" t="inlineStr">
        <is>
          <t>Intern - AI Engineering</t>
        </is>
      </c>
      <c r="D232" t="inlineStr">
        <is>
          <t>https://www.adzuna.in/land/ad/5876026832?se=oOJADPSs8RGLWNueJPgGLw&amp;utm_medium=api&amp;utm_source=5ccdc27f&amp;v=9BD5DB58919C90FB705E3ED3F14A7D72B4DF85C2</t>
        </is>
      </c>
      <c r="E232" t="inlineStr">
        <is>
          <t>AI Analyzer</t>
        </is>
      </c>
      <c r="F232" t="inlineStr">
        <is>
          <t>Mumbai, Maharashtra</t>
        </is>
      </c>
      <c r="G232" t="inlineStr">
        <is>
          <t>Unknown</t>
        </is>
      </c>
      <c r="H232" t="inlineStr">
        <is>
          <t>Not specified</t>
        </is>
      </c>
      <c r="I232" t="inlineStr">
        <is>
          <t>Unknown</t>
        </is>
      </c>
      <c r="J232" t="inlineStr">
        <is>
          <t>Not Mentioned</t>
        </is>
      </c>
      <c r="K232" t="inlineStr">
        <is>
          <t>AI-enabled coding platforms; Software Development</t>
        </is>
      </c>
      <c r="L232" t="inlineStr">
        <is>
          <t>AI Proof-of-Concepts; Production Handoff</t>
        </is>
      </c>
      <c r="M232" t="inlineStr">
        <is>
          <t>Role Purpose Support the Digital &amp; AI Centre of Excellence by helping convert business requirements into practical AI proof-of-concepts and delivery-ready solution components. The role is intended for a fresher or early-career engineer who can learn quickly, use AI-enabled coding platforms responsibly, and work with focus and discipline from experiment to production handoff. This is a hands-on bui</t>
        </is>
      </c>
      <c r="N232" t="n">
        <v>68</v>
      </c>
      <c r="O232" t="n">
        <v>70</v>
      </c>
      <c r="P232" t="n">
        <v>80</v>
      </c>
      <c r="Q232" t="n">
        <v>75</v>
      </c>
      <c r="R232" t="n">
        <v>40</v>
      </c>
      <c r="S232" t="n">
        <v>50</v>
      </c>
      <c r="T232" t="n">
        <v>70</v>
      </c>
      <c r="U232" t="inlineStr">
        <is>
          <t>STRETCH</t>
        </is>
      </c>
      <c r="V232" t="inlineStr">
        <is>
          <t>STRETCH</t>
        </is>
      </c>
      <c r="W232" t="inlineStr">
        <is>
          <t>Dedicated AI/ML engineering experience</t>
        </is>
      </c>
      <c r="X232" t="inlineStr">
        <is>
          <t>Amaanuddin_Ahmed_AI_Software_Resume.pdf</t>
        </is>
      </c>
      <c r="Y232" t="inlineStr">
        <is>
          <t>2026-09-10</t>
        </is>
      </c>
      <c r="Z232" t="inlineStr">
        <is>
          <t>Aligns with AI-adjacent software engineering targets; Good learning opportunity in a Digital &amp; AI Centre of Excellence</t>
        </is>
      </c>
      <c r="AA232" t="inlineStr">
        <is>
          <t>Eligible</t>
        </is>
      </c>
      <c r="AB232" t="inlineStr">
        <is>
          <t>Open for freshers and early-career engineers</t>
        </is>
      </c>
      <c r="AC232" t="inlineStr">
        <is>
          <t>Unknown</t>
        </is>
      </c>
      <c r="AD232" t="inlineStr">
        <is>
          <t>Availability not specified in career brain or job description</t>
        </is>
      </c>
      <c r="AE232" t="inlineStr">
        <is>
          <t>UNKNOWN</t>
        </is>
      </c>
      <c r="AF232" t="n">
        <v>0</v>
      </c>
      <c r="AG232" t="inlineStr">
        <is>
          <t>No</t>
        </is>
      </c>
      <c r="AH232" t="inlineStr">
        <is>
          <t>Not Mentioned</t>
        </is>
      </c>
      <c r="AI232" t="inlineStr">
        <is>
          <t>No explicit mention of PPO or conversion in the provided text</t>
        </is>
      </c>
      <c r="AK232" t="inlineStr">
        <is>
          <t>Stipend not disclosed</t>
        </is>
      </c>
      <c r="AL232" t="inlineStr">
        <is>
          <t>AI-enabled coding tools and productivity; Basic Python / Software Engineering concepts; Proof-of-concept development lifecycle</t>
        </is>
      </c>
    </row>
    <row r="233">
      <c r="A233" t="inlineStr">
        <is>
          <t>TC-CONSULTIN-260910-187</t>
        </is>
      </c>
      <c r="B233" t="inlineStr">
        <is>
          <t>TC CONSULTING SERVICES</t>
        </is>
      </c>
      <c r="C233" t="inlineStr">
        <is>
          <t>AI Stock Video &amp; Prompt Engineering Intern</t>
        </is>
      </c>
      <c r="D233" t="inlineStr">
        <is>
          <t>https://www.adzuna.in/land/ad/5876028270?se=oOJADPSs8RGLWNueJPgGLw&amp;utm_medium=api&amp;utm_source=5ccdc27f&amp;v=97A5B265B2B6743AFD05E8F0A29EFCF3E0424133</t>
        </is>
      </c>
      <c r="E233" t="inlineStr">
        <is>
          <t>AI Analyzer</t>
        </is>
      </c>
      <c r="F233" t="inlineStr">
        <is>
          <t>India</t>
        </is>
      </c>
      <c r="G233" t="inlineStr">
        <is>
          <t>UNKNOWN</t>
        </is>
      </c>
      <c r="H233" t="inlineStr">
        <is>
          <t>Not specified</t>
        </is>
      </c>
      <c r="I233" t="inlineStr">
        <is>
          <t>UNKNOWN</t>
        </is>
      </c>
      <c r="J233" t="inlineStr">
        <is>
          <t>UNKNOWN</t>
        </is>
      </c>
      <c r="K233" t="inlineStr">
        <is>
          <t>AI video tools (Runway, Pika, Synthesia); Prompt Engineering</t>
        </is>
      </c>
      <c r="M233" t="inlineStr">
        <is>
          <t>Internship Opportunity: AI Stock Video &amp; Prompt Engineering We’re an IT Staffing, Consulting, Outsourcing, and Software Development company on the lookout for a creative intern to help us build AI-generated stock videos and content for branding and marketing. If you love experimenting with AI tools and have a knack for writing effective prompts, this is your chance to turn creativity into real-wor</t>
        </is>
      </c>
      <c r="N233" t="n">
        <v>21</v>
      </c>
      <c r="O233" t="n">
        <v>20</v>
      </c>
      <c r="P233" t="n">
        <v>40</v>
      </c>
      <c r="Q233" t="n">
        <v>20</v>
      </c>
      <c r="R233" t="n">
        <v>0</v>
      </c>
      <c r="S233" t="n">
        <v>0</v>
      </c>
      <c r="T233" t="n">
        <v>30</v>
      </c>
      <c r="U233" t="inlineStr">
        <is>
          <t>SKIP</t>
        </is>
      </c>
      <c r="V233" t="inlineStr">
        <is>
          <t>SKIP</t>
        </is>
      </c>
      <c r="W233" t="inlineStr">
        <is>
          <t>Runway; Pika; Synthesia; Prompt engineering for video generation</t>
        </is>
      </c>
      <c r="X233" t="inlineStr">
        <is>
          <t>Default MCA Resume</t>
        </is>
      </c>
      <c r="Y233" t="inlineStr">
        <is>
          <t>2026-09-10</t>
        </is>
      </c>
      <c r="AA233" t="inlineStr">
        <is>
          <t>ELIGIBLE</t>
        </is>
      </c>
      <c r="AB233" t="inlineStr">
        <is>
          <t>No explicit degree or hard blockers mentioned in the short JD snippet.</t>
        </is>
      </c>
      <c r="AC233" t="inlineStr">
        <is>
          <t>UNKNOWN</t>
        </is>
      </c>
      <c r="AD233" t="inlineStr">
        <is>
          <t>Not specified in candidate profile.</t>
        </is>
      </c>
      <c r="AE233" t="inlineStr">
        <is>
          <t>UNKNOWN</t>
        </is>
      </c>
      <c r="AF233" t="n">
        <v>0</v>
      </c>
      <c r="AG233" t="inlineStr">
        <is>
          <t>No</t>
        </is>
      </c>
      <c r="AH233" t="inlineStr">
        <is>
          <t>UNKNOWN</t>
        </is>
      </c>
      <c r="AI233" t="inlineStr">
        <is>
          <t>No mention of PPO or conversion in the job description.</t>
        </is>
      </c>
      <c r="AK233" t="inlineStr">
        <is>
          <t>Role focuses heavily on video generation/prompt engineering rather than core software engineering, backend, or full-stack development.; Unknown stipend.</t>
        </is>
      </c>
      <c r="AL233" t="inlineStr">
        <is>
          <t>Experience with generative AI tools like Runway, Pika, and Synthesia; Prompt engineering techniques for video content creation; Portfolio of AI-generated media</t>
        </is>
      </c>
    </row>
    <row r="234">
      <c r="A234" t="inlineStr">
        <is>
          <t>BRIDGE-IT-260910-188</t>
        </is>
      </c>
      <c r="B234" t="inlineStr">
        <is>
          <t>Bridge-it</t>
        </is>
      </c>
      <c r="C234" t="inlineStr">
        <is>
          <t>AI Engineer Intern</t>
        </is>
      </c>
      <c r="D234" t="inlineStr">
        <is>
          <t>https://www.adzuna.in/details/5873854630?utm_medium=api&amp;utm_source=5ccdc27f</t>
        </is>
      </c>
      <c r="E234" t="inlineStr">
        <is>
          <t>AI Analyzer</t>
        </is>
      </c>
      <c r="F234" t="inlineStr">
        <is>
          <t>Delhi, India</t>
        </is>
      </c>
      <c r="G234" t="inlineStr">
        <is>
          <t>UNKNOWN</t>
        </is>
      </c>
      <c r="H234" t="inlineStr">
        <is>
          <t>UNKNOWN</t>
        </is>
      </c>
      <c r="I234" t="inlineStr">
        <is>
          <t>UNKNOWN</t>
        </is>
      </c>
      <c r="J234" t="inlineStr">
        <is>
          <t>UNKNOWN</t>
        </is>
      </c>
      <c r="K234" t="inlineStr">
        <is>
          <t>Generative AI; Prompt Engineering; RAG; Python; REST APIs; LangGraph</t>
        </is>
      </c>
      <c r="L234" t="inlineStr">
        <is>
          <t>Knowledge Graphs; Agentic Frameworks; Dataset Creation</t>
        </is>
      </c>
      <c r="M234" t="inlineStr">
        <is>
          <t>AI Engineer Internship at Bridge-it Key Responsibilities: Use Generative AI models for real-world applications. Identify and create datasets to build a domain specific knowledge base Work on Prompt Engineering and create advanced Retrieval-Augmented Generation (RAG) systems. Build and optimize scalable REST APIs using Python. Utilize frameworks like LangGraph for complex AI workflows. Collaborate</t>
        </is>
      </c>
      <c r="N234" t="n">
        <v>45</v>
      </c>
      <c r="O234" t="n">
        <v>45</v>
      </c>
      <c r="P234" t="n">
        <v>70</v>
      </c>
      <c r="Q234" t="n">
        <v>60</v>
      </c>
      <c r="R234" t="n">
        <v>0</v>
      </c>
      <c r="S234" t="n">
        <v>0</v>
      </c>
      <c r="T234" t="n">
        <v>50</v>
      </c>
      <c r="U234" t="inlineStr">
        <is>
          <t>SKIP</t>
        </is>
      </c>
      <c r="V234" t="inlineStr">
        <is>
          <t>SKIP</t>
        </is>
      </c>
      <c r="W234" t="inlineStr">
        <is>
          <t>Generative AI; Prompt Engineering; RAG; LangGraph; Knowledge Graphs; Agentic Frameworks</t>
        </is>
      </c>
      <c r="X234" t="inlineStr">
        <is>
          <t>Amaan_Ahmed_General_Software_Resume.pdf</t>
        </is>
      </c>
      <c r="Y234" t="inlineStr">
        <is>
          <t>2026-09-10</t>
        </is>
      </c>
      <c r="Z234" t="inlineStr">
        <is>
          <t>Aligns with AI-adjacent software engineering interest.</t>
        </is>
      </c>
      <c r="AA234" t="inlineStr">
        <is>
          <t>PASS</t>
        </is>
      </c>
      <c r="AB234" t="inlineStr">
        <is>
          <t>No explicit degree or graduation year blockers mentioned in the snippet.</t>
        </is>
      </c>
      <c r="AC234" t="inlineStr">
        <is>
          <t>UNKNOWN</t>
        </is>
      </c>
      <c r="AD234" t="inlineStr">
        <is>
          <t>Candidate availability constraints are not provided.</t>
        </is>
      </c>
      <c r="AE234" t="inlineStr">
        <is>
          <t>UNKNOWN</t>
        </is>
      </c>
      <c r="AF234" t="n">
        <v>0</v>
      </c>
      <c r="AG234" t="inlineStr">
        <is>
          <t>No</t>
        </is>
      </c>
      <c r="AH234" t="inlineStr">
        <is>
          <t>UNKNOWN</t>
        </is>
      </c>
      <c r="AI234" t="inlineStr">
        <is>
          <t>No mention of PPO or conversion in the job description snippet.</t>
        </is>
      </c>
      <c r="AK234" t="inlineStr">
        <is>
          <t>Stipend is not disclosed.</t>
        </is>
      </c>
      <c r="AL234" t="inlineStr">
        <is>
          <t>Python backend and REST APIs; Generative AI and RAG architecture; LangGraph and Agentic workflows</t>
        </is>
      </c>
    </row>
    <row r="235">
      <c r="A235" t="inlineStr">
        <is>
          <t>BEYOND-TECHN-260910-189</t>
        </is>
      </c>
      <c r="B235" t="inlineStr">
        <is>
          <t>Beyond Technologies Private Limited</t>
        </is>
      </c>
      <c r="C235" t="inlineStr">
        <is>
          <t>AI Engineer Intern</t>
        </is>
      </c>
      <c r="D235" t="inlineStr">
        <is>
          <t>https://www.adzuna.in/details/5853546345?utm_medium=api&amp;utm_source=5ccdc27f</t>
        </is>
      </c>
      <c r="E235" t="inlineStr">
        <is>
          <t>AI Analyzer</t>
        </is>
      </c>
      <c r="F235" t="inlineStr">
        <is>
          <t>Bangalore, Karnataka</t>
        </is>
      </c>
      <c r="G235" t="inlineStr">
        <is>
          <t>Onsite</t>
        </is>
      </c>
      <c r="H235" t="inlineStr">
        <is>
          <t>25K/month</t>
        </is>
      </c>
      <c r="I235" t="inlineStr">
        <is>
          <t>Not specified</t>
        </is>
      </c>
      <c r="J235" t="inlineStr">
        <is>
          <t>not_mentioned</t>
        </is>
      </c>
      <c r="K235" t="inlineStr">
        <is>
          <t>Python; AI agents; Backend engineering</t>
        </is>
      </c>
      <c r="L235" t="inlineStr">
        <is>
          <t>Agent systems; Platform building</t>
        </is>
      </c>
      <c r="M235" t="inlineStr">
        <is>
          <t>Job Title: AI Engineer Intern Location: Bangalore(Onsite) Experience Level: Recent Graduates. Salary Range: 25K/month Application Link:https://beyond.ciltriq.com/apply/fit Description: Join an early-stage, high-velocity team building AI agents that automate end-to-end compliance investigations for banks. The product is already live, and you'll work directly on the core platform-building and evalua</t>
        </is>
      </c>
      <c r="N235" t="n">
        <v>75</v>
      </c>
      <c r="O235" t="n">
        <v>22</v>
      </c>
      <c r="P235" t="n">
        <v>18</v>
      </c>
      <c r="Q235" t="n">
        <v>12</v>
      </c>
      <c r="R235" t="n">
        <v>5</v>
      </c>
      <c r="S235" t="n">
        <v>10</v>
      </c>
      <c r="T235" t="n">
        <v>8</v>
      </c>
      <c r="U235" t="inlineStr">
        <is>
          <t>CONSIDER</t>
        </is>
      </c>
      <c r="V235" t="inlineStr">
        <is>
          <t>CONSIDER</t>
        </is>
      </c>
      <c r="W235" t="inlineStr">
        <is>
          <t>AI agents; LLM orchestration</t>
        </is>
      </c>
      <c r="X235" t="inlineStr">
        <is>
          <t>Amaanuddin_Ahmed_Software_Engineer_Resume.pdf</t>
        </is>
      </c>
      <c r="Y235" t="inlineStr">
        <is>
          <t>2026-09-10</t>
        </is>
      </c>
      <c r="Z235" t="inlineStr">
        <is>
          <t>Meets minimum stipend requirement of 25K/month; Matches target location (Bangalore) and work mode; Aligned with AI-adjacent software engineering goals</t>
        </is>
      </c>
      <c r="AA235" t="inlineStr">
        <is>
          <t>eligible</t>
        </is>
      </c>
      <c r="AB235" t="inlineStr">
        <is>
          <t>Recent Graduates eligibility aligns with MCA background</t>
        </is>
      </c>
      <c r="AC235" t="inlineStr">
        <is>
          <t>unknown</t>
        </is>
      </c>
      <c r="AD235" t="inlineStr">
        <is>
          <t>Candidate availability details are not provided in the career brain</t>
        </is>
      </c>
      <c r="AE235" t="inlineStr">
        <is>
          <t>exact</t>
        </is>
      </c>
      <c r="AF235" t="n">
        <v>25000</v>
      </c>
      <c r="AG235" t="inlineStr">
        <is>
          <t>No</t>
        </is>
      </c>
      <c r="AH235" t="inlineStr">
        <is>
          <t>not_mentioned</t>
        </is>
      </c>
      <c r="AI235" t="inlineStr">
        <is>
          <t>No explicit PPO or conversion mention in the short description snippet</t>
        </is>
      </c>
      <c r="AL235" t="inlineStr">
        <is>
          <t>Python backend development; AI agents and automation; System architecture for compliance workflows</t>
        </is>
      </c>
    </row>
    <row r="236">
      <c r="A236" t="inlineStr">
        <is>
          <t>ABSTRABIT-TE-260910-190</t>
        </is>
      </c>
      <c r="B236" t="inlineStr">
        <is>
          <t>Abstrabit Technologies Pvt Ltd</t>
        </is>
      </c>
      <c r="C236" t="inlineStr">
        <is>
          <t>AI Engineer Intern</t>
        </is>
      </c>
      <c r="D236" t="inlineStr">
        <is>
          <t>https://www.adzuna.in/details/5843923559?utm_medium=api&amp;utm_source=5ccdc27f</t>
        </is>
      </c>
      <c r="E236" t="inlineStr">
        <is>
          <t>AI Analyzer</t>
        </is>
      </c>
      <c r="F236" t="inlineStr">
        <is>
          <t>Naduvathi, Bangalore</t>
        </is>
      </c>
      <c r="G236" t="inlineStr">
        <is>
          <t>On-site</t>
        </is>
      </c>
      <c r="H236" t="inlineStr">
        <is>
          <t>Not specified</t>
        </is>
      </c>
      <c r="I236" t="inlineStr">
        <is>
          <t>Not specified</t>
        </is>
      </c>
      <c r="J236" t="inlineStr">
        <is>
          <t>UNKNOWN</t>
        </is>
      </c>
      <c r="K236" t="inlineStr">
        <is>
          <t>AI; LLMs; RAG; Fine-tuning; AI agents</t>
        </is>
      </c>
      <c r="L236" t="inlineStr">
        <is>
          <t>Self-hosted infrastructure</t>
        </is>
      </c>
      <c r="M236" t="inlineStr">
        <is>
          <t>AI Engineer Intern Location : Bengaluru, Interviews for this position will be conducted in person at our Bengaluru office. Type : Internship Experience : 0 - 1 year About Us Abstrabit is a private AI company based in Bengaluru. We help businesses run AI entirely on their own infrastructure: self-hosted LLMs, secure enterprise RAG, fine-tuned models, and AI agents that never send data outside the n</t>
        </is>
      </c>
      <c r="N236" t="n">
        <v>53</v>
      </c>
      <c r="O236" t="n">
        <v>50</v>
      </c>
      <c r="P236" t="n">
        <v>100</v>
      </c>
      <c r="Q236" t="n">
        <v>60</v>
      </c>
      <c r="R236" t="n">
        <v>0</v>
      </c>
      <c r="S236" t="n">
        <v>0</v>
      </c>
      <c r="T236" t="n">
        <v>70</v>
      </c>
      <c r="U236" t="inlineStr">
        <is>
          <t>SKIP</t>
        </is>
      </c>
      <c r="V236" t="inlineStr">
        <is>
          <t>SKIP</t>
        </is>
      </c>
      <c r="W236" t="inlineStr">
        <is>
          <t>LLM fine-tuning; Enterprise RAG; AI agents development</t>
        </is>
      </c>
      <c r="X236" t="inlineStr">
        <is>
          <t>Amaanuddin_Ahmed_Software_Engineering_Resume.pdf</t>
        </is>
      </c>
      <c r="Y236" t="inlineStr">
        <is>
          <t>2026-09-10</t>
        </is>
      </c>
      <c r="Z236" t="inlineStr">
        <is>
          <t>Aligns with AI-adjacent software engineering interest.; Good location match in Bengaluru.</t>
        </is>
      </c>
      <c r="AA236" t="inlineStr">
        <is>
          <t>Eligible</t>
        </is>
      </c>
      <c r="AB236" t="inlineStr">
        <is>
          <t>Experience requirement of 0-1 years matches candidate profile.</t>
        </is>
      </c>
      <c r="AC236" t="inlineStr">
        <is>
          <t>UNKNOWN</t>
        </is>
      </c>
      <c r="AD236" t="inlineStr">
        <is>
          <t>Candidate availability relative to the start date has not been provided.</t>
        </is>
      </c>
      <c r="AE236" t="inlineStr">
        <is>
          <t>UNKNOWN</t>
        </is>
      </c>
      <c r="AF236" t="n">
        <v>0</v>
      </c>
      <c r="AG236" t="inlineStr">
        <is>
          <t>No</t>
        </is>
      </c>
      <c r="AH236" t="inlineStr">
        <is>
          <t>UNKNOWN</t>
        </is>
      </c>
      <c r="AI236" t="inlineStr">
        <is>
          <t>No explicit PPO or conversion mention found in the truncated JD snippet.</t>
        </is>
      </c>
      <c r="AK236" t="inlineStr">
        <is>
          <t>Stipend is not disclosed; In-person interview required in Bengaluru office</t>
        </is>
      </c>
      <c r="AL236" t="inlineStr">
        <is>
          <t>Large Language Models and Architecture; Retrieval-Augmented Generation (RAG); Model Fine-Tuning Techniques; AI Agents</t>
        </is>
      </c>
    </row>
    <row r="237">
      <c r="A237" t="inlineStr">
        <is>
          <t>SYNORUS-260910-191</t>
        </is>
      </c>
      <c r="B237" t="inlineStr">
        <is>
          <t>Synorus</t>
        </is>
      </c>
      <c r="C237" t="inlineStr">
        <is>
          <t>AI engineer Intern</t>
        </is>
      </c>
      <c r="D237" t="inlineStr">
        <is>
          <t>https://www.adzuna.in/details/5476465881?utm_medium=api&amp;utm_source=5ccdc27f</t>
        </is>
      </c>
      <c r="E237" t="inlineStr">
        <is>
          <t>AI Analyzer</t>
        </is>
      </c>
      <c r="F237" t="inlineStr">
        <is>
          <t>India</t>
        </is>
      </c>
      <c r="G237" t="inlineStr">
        <is>
          <t>UNKNOWN</t>
        </is>
      </c>
      <c r="H237" t="inlineStr">
        <is>
          <t>Not specified</t>
        </is>
      </c>
      <c r="I237" t="inlineStr">
        <is>
          <t>UNKNOWN</t>
        </is>
      </c>
      <c r="J237" t="inlineStr">
        <is>
          <t>UNKNOWN</t>
        </is>
      </c>
      <c r="K237" t="inlineStr">
        <is>
          <t>AI; LLMs; Python</t>
        </is>
      </c>
      <c r="L237" t="inlineStr">
        <is>
          <t>RAG pipelines; Legaltech domain knowledge</t>
        </is>
      </c>
      <c r="M237" t="inlineStr">
        <is>
          <t>About Synorus Synorus is building a next-generation ecosystem of AI-first products. Our flagship legal-AI platform LexVault is redefining legal research, drafting, knowledge retrieval, and case intelligence using domain-tuned LLMs, private RAG pipelines, and secure reasoning systems. If you are passionate about AI, legaltech, and training high-performance models — this internship will put you on t</t>
        </is>
      </c>
      <c r="N237" t="n">
        <v>58</v>
      </c>
      <c r="O237" t="n">
        <v>50</v>
      </c>
      <c r="P237" t="n">
        <v>60</v>
      </c>
      <c r="Q237" t="n">
        <v>60</v>
      </c>
      <c r="R237" t="n">
        <v>50</v>
      </c>
      <c r="S237" t="n">
        <v>50</v>
      </c>
      <c r="T237" t="n">
        <v>70</v>
      </c>
      <c r="U237" t="inlineStr">
        <is>
          <t>SKIP</t>
        </is>
      </c>
      <c r="V237" t="inlineStr">
        <is>
          <t>SKIP</t>
        </is>
      </c>
      <c r="W237" t="inlineStr">
        <is>
          <t>LLM fine-tuning; RAG pipelines; Domain-tuned LLMs</t>
        </is>
      </c>
      <c r="X237" t="inlineStr">
        <is>
          <t>Amaanuddin_Ahmed_Software_Engineering_Resume.pdf</t>
        </is>
      </c>
      <c r="Y237" t="inlineStr">
        <is>
          <t>2026-09-10</t>
        </is>
      </c>
      <c r="Z237" t="inlineStr">
        <is>
          <t>Matches interest in AI-adjacent software engineering; Opportunity to work on cutting-edge LLM and RAG pipelines</t>
        </is>
      </c>
      <c r="AA237" t="inlineStr">
        <is>
          <t>ELIGIBLE</t>
        </is>
      </c>
      <c r="AB237" t="inlineStr">
        <is>
          <t>No explicit degree or hard experience blockers mentioned in the snippet</t>
        </is>
      </c>
      <c r="AC237" t="inlineStr">
        <is>
          <t>AVAILABLE</t>
        </is>
      </c>
      <c r="AD237" t="inlineStr">
        <is>
          <t>Amaan is actively seeking internships matching his profile.</t>
        </is>
      </c>
      <c r="AE237" t="inlineStr">
        <is>
          <t>UNKNOWN</t>
        </is>
      </c>
      <c r="AF237" t="n">
        <v>0</v>
      </c>
      <c r="AG237" t="inlineStr">
        <is>
          <t>No</t>
        </is>
      </c>
      <c r="AH237" t="inlineStr">
        <is>
          <t>UNKNOWN</t>
        </is>
      </c>
      <c r="AI237" t="inlineStr">
        <is>
          <t>No explicit PPO or conversion mention found in the truncated description.</t>
        </is>
      </c>
      <c r="AK237" t="inlineStr">
        <is>
          <t>Truncated job description lacks full details on requirements and compensation</t>
        </is>
      </c>
      <c r="AL237" t="inlineStr">
        <is>
          <t>Python for AI; Retrieval-Augmented Generation (RAG); Working with LLMs</t>
        </is>
      </c>
    </row>
    <row r="238">
      <c r="A238" t="inlineStr">
        <is>
          <t>LETSINTERN-260910-192</t>
        </is>
      </c>
      <c r="B238" t="inlineStr">
        <is>
          <t>LetsIntern</t>
        </is>
      </c>
      <c r="C238" t="inlineStr">
        <is>
          <t>AI Engineer (Intern)</t>
        </is>
      </c>
      <c r="D238" t="inlineStr">
        <is>
          <t>https://www.adzuna.in/details/5649491294?utm_medium=api&amp;utm_source=5ccdc27f</t>
        </is>
      </c>
      <c r="E238" t="inlineStr">
        <is>
          <t>AI Analyzer</t>
        </is>
      </c>
      <c r="F238" t="inlineStr">
        <is>
          <t>India</t>
        </is>
      </c>
      <c r="G238" t="inlineStr">
        <is>
          <t>UNKNOWN</t>
        </is>
      </c>
      <c r="H238" t="inlineStr">
        <is>
          <t>Not specified</t>
        </is>
      </c>
      <c r="I238" t="inlineStr">
        <is>
          <t>UNKNOWN</t>
        </is>
      </c>
      <c r="J238" t="inlineStr">
        <is>
          <t>UNKNOWN</t>
        </is>
      </c>
      <c r="K238" t="inlineStr">
        <is>
          <t>Artificial Intelligence; Machine Learning</t>
        </is>
      </c>
      <c r="M238" t="inlineStr">
        <is>
          <t>About the Job : We are looking for a passionate and driven AI Intern to join our dynamic team. As an intern, you will have the opportunity to work on real-world projects, develop AI models, and collaborate with experienced professionals in the field. This internship is designed to provide hands-on experience in AI and machine learning, offering you the chance to contribute to impactful projects wh</t>
        </is>
      </c>
      <c r="N238" t="n">
        <v>44</v>
      </c>
      <c r="O238" t="n">
        <v>50</v>
      </c>
      <c r="P238" t="n">
        <v>70</v>
      </c>
      <c r="Q238" t="n">
        <v>60</v>
      </c>
      <c r="R238" t="n">
        <v>0</v>
      </c>
      <c r="S238" t="n">
        <v>0</v>
      </c>
      <c r="T238" t="n">
        <v>50</v>
      </c>
      <c r="U238" t="inlineStr">
        <is>
          <t>SKIP</t>
        </is>
      </c>
      <c r="V238" t="inlineStr">
        <is>
          <t>SKIP</t>
        </is>
      </c>
      <c r="W238" t="inlineStr">
        <is>
          <t>Dedicated AI model development experience</t>
        </is>
      </c>
      <c r="X238" t="inlineStr">
        <is>
          <t>Default Full Stack / Software Engineering Resume</t>
        </is>
      </c>
      <c r="Y238" t="inlineStr">
        <is>
          <t>2026-09-10</t>
        </is>
      </c>
      <c r="Z238" t="inlineStr">
        <is>
          <t>Provides hands-on experience in AI and machine learning.</t>
        </is>
      </c>
      <c r="AA238" t="inlineStr">
        <is>
          <t>ELIGIBLE</t>
        </is>
      </c>
      <c r="AB238" t="inlineStr">
        <is>
          <t>No explicit hard degree or experience blockers mentioned in the short description.</t>
        </is>
      </c>
      <c r="AC238" t="inlineStr">
        <is>
          <t>UNKNOWN</t>
        </is>
      </c>
      <c r="AD238" t="inlineStr">
        <is>
          <t>Availability not specified in the profile or JD.</t>
        </is>
      </c>
      <c r="AE238" t="inlineStr">
        <is>
          <t>UNKNOWN</t>
        </is>
      </c>
      <c r="AF238" t="n">
        <v>0</v>
      </c>
      <c r="AG238" t="inlineStr">
        <is>
          <t>No</t>
        </is>
      </c>
      <c r="AH238" t="inlineStr">
        <is>
          <t>UNKNOWN</t>
        </is>
      </c>
      <c r="AI238" t="inlineStr">
        <is>
          <t>No explicit mention of PPO or conversion.</t>
        </is>
      </c>
      <c r="AK238" t="inlineStr">
        <is>
          <t>Stipend is completely undisclosed</t>
        </is>
      </c>
      <c r="AL238" t="inlineStr">
        <is>
          <t>Machine Learning fundamentals; Python programming; AI model building experience</t>
        </is>
      </c>
    </row>
    <row r="239">
      <c r="A239" t="inlineStr">
        <is>
          <t>RECRUIT-SQUA-260910-193</t>
        </is>
      </c>
      <c r="B239" t="inlineStr">
        <is>
          <t>Recruit Square</t>
        </is>
      </c>
      <c r="C239" t="inlineStr">
        <is>
          <t>AI Engineer - Intern</t>
        </is>
      </c>
      <c r="D239" t="inlineStr">
        <is>
          <t>https://www.adzuna.in/details/5506162409?utm_medium=api&amp;utm_source=5ccdc27f</t>
        </is>
      </c>
      <c r="E239" t="inlineStr">
        <is>
          <t>AI Analyzer</t>
        </is>
      </c>
      <c r="F239" t="inlineStr">
        <is>
          <t>India</t>
        </is>
      </c>
      <c r="G239" t="inlineStr">
        <is>
          <t>UNKNOWN</t>
        </is>
      </c>
      <c r="H239" t="inlineStr">
        <is>
          <t>UNKNOWN</t>
        </is>
      </c>
      <c r="I239" t="inlineStr">
        <is>
          <t>UNKNOWN</t>
        </is>
      </c>
      <c r="J239" t="inlineStr">
        <is>
          <t>UNKNOWN</t>
        </is>
      </c>
      <c r="K239" t="inlineStr">
        <is>
          <t>Artificial Intelligence (AI); AI Agents; Large Language Models (LLM) tuning</t>
        </is>
      </c>
      <c r="M239" t="inlineStr">
        <is>
          <t>We are looking for AI Interns from IIT and Top Colleges of India who have worked on AI Based projects during their tenure or have any experience in AI. Skills:- Artificial Intelligence (AI), AI Agents and Large Language Models (LLM) tuning</t>
        </is>
      </c>
      <c r="N239" t="n">
        <v>19</v>
      </c>
      <c r="O239" t="n">
        <v>20</v>
      </c>
      <c r="P239" t="n">
        <v>20</v>
      </c>
      <c r="Q239" t="n">
        <v>30</v>
      </c>
      <c r="R239" t="n">
        <v>0</v>
      </c>
      <c r="S239" t="n">
        <v>0</v>
      </c>
      <c r="T239" t="n">
        <v>40</v>
      </c>
      <c r="U239" t="inlineStr">
        <is>
          <t>SKIP</t>
        </is>
      </c>
      <c r="V239" t="inlineStr">
        <is>
          <t>SKIP</t>
        </is>
      </c>
      <c r="W239" t="inlineStr">
        <is>
          <t>AI Agents; Large Language Models (LLM) tuning</t>
        </is>
      </c>
      <c r="X239" t="inlineStr">
        <is>
          <t>Amaanuddin_Ahmed_Resume_General.pdf</t>
        </is>
      </c>
      <c r="Y239" t="inlineStr">
        <is>
          <t>2026-09-10</t>
        </is>
      </c>
      <c r="AA239" t="inlineStr">
        <is>
          <t>NOT_ELIGIBLE</t>
        </is>
      </c>
      <c r="AB239" t="inlineStr">
        <is>
          <t>Targeted candidates strictly from IIT and Top Colleges of India, whereas candidate studies at PES University.</t>
        </is>
      </c>
      <c r="AC239" t="inlineStr">
        <is>
          <t>UNKNOWN</t>
        </is>
      </c>
      <c r="AD239" t="inlineStr">
        <is>
          <t>Availability not specified in the job description.</t>
        </is>
      </c>
      <c r="AE239" t="inlineStr">
        <is>
          <t>UNKNOWN</t>
        </is>
      </c>
      <c r="AF239" t="n">
        <v>0</v>
      </c>
      <c r="AG239" t="inlineStr">
        <is>
          <t>No</t>
        </is>
      </c>
      <c r="AH239" t="inlineStr">
        <is>
          <t>UNKNOWN</t>
        </is>
      </c>
      <c r="AI239" t="inlineStr">
        <is>
          <t>No mention of PPO or conversion in the job description.</t>
        </is>
      </c>
      <c r="AJ239" t="inlineStr">
        <is>
          <t>College tier restriction (IIT and Top Colleges of India only)</t>
        </is>
      </c>
      <c r="AK239" t="inlineStr">
        <is>
          <t>Exclusive college tier requirement</t>
        </is>
      </c>
      <c r="AL239" t="inlineStr">
        <is>
          <t>AI Agents architecture; LLM tuning and fine-tuning techniques; Past AI projects and implementation details</t>
        </is>
      </c>
    </row>
    <row r="240">
      <c r="A240" t="inlineStr">
        <is>
          <t>MACTORES-260910-194</t>
        </is>
      </c>
      <c r="B240" t="inlineStr">
        <is>
          <t>Mactores</t>
        </is>
      </c>
      <c r="C240" t="inlineStr">
        <is>
          <t>Generative AI Engineer (Intern)</t>
        </is>
      </c>
      <c r="D240" t="inlineStr">
        <is>
          <t>https://www.adzuna.in/details/5867239730?utm_medium=api&amp;utm_source=5ccdc27f</t>
        </is>
      </c>
      <c r="E240" t="inlineStr">
        <is>
          <t>AI Analyzer</t>
        </is>
      </c>
      <c r="F240" t="inlineStr">
        <is>
          <t>India</t>
        </is>
      </c>
      <c r="G240" t="inlineStr">
        <is>
          <t>UNKNOWN</t>
        </is>
      </c>
      <c r="H240" t="inlineStr">
        <is>
          <t>Not specified</t>
        </is>
      </c>
      <c r="I240" t="inlineStr">
        <is>
          <t>UNKNOWN</t>
        </is>
      </c>
      <c r="J240" t="inlineStr">
        <is>
          <t>UNKNOWN</t>
        </is>
      </c>
      <c r="K240" t="inlineStr">
        <is>
          <t>Generative AI; AI Agent development</t>
        </is>
      </c>
      <c r="L240" t="inlineStr">
        <is>
          <t>AWS; Cloud Modernization</t>
        </is>
      </c>
      <c r="M240" t="inlineStr">
        <is>
          <t>Mactores is the agent-native AWS modernization firm. Most modernization work doesn't ship, it stalls in pilots, slips a year, or lands at three times the budget. We exist to ship it: production systems running, legacy retired, outcomes measured. Our delivery is built on Aedeon, the agent platform built by Mactores' founders' sister company, which absorbs the repetitive 60–70% of engagement work, d</t>
        </is>
      </c>
      <c r="N240" t="n">
        <v>45</v>
      </c>
      <c r="O240" t="n">
        <v>40</v>
      </c>
      <c r="P240" t="n">
        <v>50</v>
      </c>
      <c r="Q240" t="n">
        <v>50</v>
      </c>
      <c r="R240" t="n">
        <v>50</v>
      </c>
      <c r="S240" t="n">
        <v>0</v>
      </c>
      <c r="T240" t="n">
        <v>60</v>
      </c>
      <c r="U240" t="inlineStr">
        <is>
          <t>SKIP</t>
        </is>
      </c>
      <c r="V240" t="inlineStr">
        <is>
          <t>SKIP</t>
        </is>
      </c>
      <c r="W240" t="inlineStr">
        <is>
          <t>Generative AI; Agent-native platforms</t>
        </is>
      </c>
      <c r="X240" t="inlineStr">
        <is>
          <t>Amaanuddin_Ahmed_Software_Engineering_Resume.pdf</t>
        </is>
      </c>
      <c r="Y240" t="inlineStr">
        <is>
          <t>2026-09-10</t>
        </is>
      </c>
      <c r="Z240" t="inlineStr">
        <is>
          <t>Opportunity to work on cutting-edge Generative AI and agent-native platforms.</t>
        </is>
      </c>
      <c r="AA240" t="inlineStr">
        <is>
          <t>ELIGIBLE</t>
        </is>
      </c>
      <c r="AB240" t="inlineStr">
        <is>
          <t>No explicit graduation year, degree, or strict experience blockers mentioned in the provided text.</t>
        </is>
      </c>
      <c r="AC240" t="inlineStr">
        <is>
          <t>UNKNOWN</t>
        </is>
      </c>
      <c r="AD240" t="inlineStr">
        <is>
          <t>Availability not specified in the job description.</t>
        </is>
      </c>
      <c r="AE240" t="inlineStr">
        <is>
          <t>UNKNOWN</t>
        </is>
      </c>
      <c r="AF240" t="n">
        <v>0</v>
      </c>
      <c r="AG240" t="inlineStr">
        <is>
          <t>No</t>
        </is>
      </c>
      <c r="AH240" t="inlineStr">
        <is>
          <t>UNKNOWN</t>
        </is>
      </c>
      <c r="AI240" t="inlineStr">
        <is>
          <t>No explicit mention of PPO or conversion opportunities in the snippet.</t>
        </is>
      </c>
      <c r="AK240" t="inlineStr">
        <is>
          <t>Snippet is incomplete and cuts off mid-sentence.</t>
        </is>
      </c>
      <c r="AL240" t="inlineStr">
        <is>
          <t>Generative AI fundamentals; LLM application development; AWS cloud services; Agentic workflows</t>
        </is>
      </c>
    </row>
    <row r="241">
      <c r="A241" t="inlineStr">
        <is>
          <t>TESTHIRING-260910-195</t>
        </is>
      </c>
      <c r="B241" t="inlineStr">
        <is>
          <t>TestHiring</t>
        </is>
      </c>
      <c r="C241" t="inlineStr">
        <is>
          <t>AI Engineer - Intern</t>
        </is>
      </c>
      <c r="D241" t="inlineStr">
        <is>
          <t>https://www.adzuna.in/details/5837548662?utm_medium=api&amp;utm_source=5ccdc27f</t>
        </is>
      </c>
      <c r="E241" t="inlineStr">
        <is>
          <t>AI Analyzer</t>
        </is>
      </c>
      <c r="F241" t="inlineStr">
        <is>
          <t>Richmond Town, Bangalore</t>
        </is>
      </c>
      <c r="G241" t="inlineStr">
        <is>
          <t>UNKNOWN</t>
        </is>
      </c>
      <c r="H241" t="inlineStr">
        <is>
          <t>Not specified</t>
        </is>
      </c>
      <c r="I241" t="inlineStr">
        <is>
          <t>UNKNOWN</t>
        </is>
      </c>
      <c r="J241" t="inlineStr">
        <is>
          <t>NOT_MENTIONED</t>
        </is>
      </c>
      <c r="K241" t="inlineStr">
        <is>
          <t>Python; Low-code tools; Notebooks</t>
        </is>
      </c>
      <c r="M241" t="inlineStr">
        <is>
          <t>Key Responsibilities Process Discovery &amp; Opportunity Mapping Assist in identifying inefficiencies and friction points across support, implementation, and customer success workflows. Contribute to maintaining a backlog of AI/automation ideas. Rapid Prototyping &amp; Experimentation Support the development of small-scale prototypes (e.g., chatbots, workflow automations, dashboards) using low-code tools,</t>
        </is>
      </c>
      <c r="N241" t="n">
        <v>50</v>
      </c>
      <c r="O241" t="n">
        <v>60</v>
      </c>
      <c r="P241" t="n">
        <v>70</v>
      </c>
      <c r="Q241" t="n">
        <v>65</v>
      </c>
      <c r="R241" t="n">
        <v>0</v>
      </c>
      <c r="S241" t="n">
        <v>0</v>
      </c>
      <c r="T241" t="n">
        <v>50</v>
      </c>
      <c r="U241" t="inlineStr">
        <is>
          <t>SKIP</t>
        </is>
      </c>
      <c r="V241" t="inlineStr">
        <is>
          <t>SKIP</t>
        </is>
      </c>
      <c r="W241" t="inlineStr">
        <is>
          <t>Low-code tools</t>
        </is>
      </c>
      <c r="X241" t="inlineStr">
        <is>
          <t>Amaanuddin_Ahmed_Software_Engineer_Resume.pdf</t>
        </is>
      </c>
      <c r="Y241" t="inlineStr">
        <is>
          <t>2026-09-10</t>
        </is>
      </c>
      <c r="Z241" t="inlineStr">
        <is>
          <t>Matches Python skill and aligns with AI-adjacent software engineering interest.</t>
        </is>
      </c>
      <c r="AA241" t="inlineStr">
        <is>
          <t>ELIGIBLE</t>
        </is>
      </c>
      <c r="AB241" t="inlineStr">
        <is>
          <t>No explicit graduation year, degree, or experience blockers mentioned in the description.</t>
        </is>
      </c>
      <c r="AC241" t="inlineStr">
        <is>
          <t>UNKNOWN</t>
        </is>
      </c>
      <c r="AD241" t="inlineStr">
        <is>
          <t>Availability not specified in the job description.</t>
        </is>
      </c>
      <c r="AE241" t="inlineStr">
        <is>
          <t>UNKNOWN</t>
        </is>
      </c>
      <c r="AF241" t="n">
        <v>0</v>
      </c>
      <c r="AG241" t="inlineStr">
        <is>
          <t>No</t>
        </is>
      </c>
      <c r="AH241" t="inlineStr">
        <is>
          <t>NOT_MENTIONED</t>
        </is>
      </c>
      <c r="AI241" t="inlineStr">
        <is>
          <t>No mention of conversion to full-time or PPO in the description.</t>
        </is>
      </c>
      <c r="AK241" t="inlineStr">
        <is>
          <t>Stipend is completely unspecified.; Duration and work mode are missing.</t>
        </is>
      </c>
      <c r="AL241" t="inlineStr">
        <is>
          <t>Python scripting and notebooks; Experience with process automation or chatbots; Workflow optimization and low-code tools</t>
        </is>
      </c>
    </row>
    <row r="242">
      <c r="A242" t="inlineStr">
        <is>
          <t>PGAGI-260910-196</t>
        </is>
      </c>
      <c r="B242" t="inlineStr">
        <is>
          <t>PGAGI</t>
        </is>
      </c>
      <c r="C242" t="inlineStr">
        <is>
          <t>AI Backend engineering Intern</t>
        </is>
      </c>
      <c r="D242" t="inlineStr">
        <is>
          <t>https://www.adzuna.in/details/5747224186?utm_medium=api&amp;utm_source=5ccdc27f</t>
        </is>
      </c>
      <c r="E242" t="inlineStr">
        <is>
          <t>AI Analyzer</t>
        </is>
      </c>
      <c r="F242" t="inlineStr">
        <is>
          <t>Bangalore, Karnataka</t>
        </is>
      </c>
      <c r="G242" t="inlineStr">
        <is>
          <t>unknown</t>
        </is>
      </c>
      <c r="H242" t="inlineStr">
        <is>
          <t>unknown</t>
        </is>
      </c>
      <c r="I242" t="inlineStr">
        <is>
          <t>unknown</t>
        </is>
      </c>
      <c r="J242" t="inlineStr">
        <is>
          <t>unknown</t>
        </is>
      </c>
      <c r="K242" t="inlineStr">
        <is>
          <t>AI Systems; Backend Engineering</t>
        </is>
      </c>
      <c r="L242" t="inlineStr">
        <is>
          <t>Autonomous Agents; Data Analysis Tools</t>
        </is>
      </c>
      <c r="M242" t="inlineStr">
        <is>
          <t>About PGAGI: We're at the forefront of creating advanced AI systems, from fully autonomous agents that provide intelligent customer interaction to data analysis tools that offer insightful business solutions. We are seeking enthusiastic interns who are passionate about AI and ready to tackle real-world problems using the latest technologies. About the Role We are at the forefront of building advan</t>
        </is>
      </c>
      <c r="N242" t="n">
        <v>52</v>
      </c>
      <c r="O242" t="n">
        <v>20</v>
      </c>
      <c r="P242" t="n">
        <v>15</v>
      </c>
      <c r="Q242" t="n">
        <v>12</v>
      </c>
      <c r="R242" t="n">
        <v>0</v>
      </c>
      <c r="S242" t="n">
        <v>0</v>
      </c>
      <c r="T242" t="n">
        <v>5</v>
      </c>
      <c r="U242" t="inlineStr">
        <is>
          <t>SKIP</t>
        </is>
      </c>
      <c r="V242" t="inlineStr">
        <is>
          <t>SKIP</t>
        </is>
      </c>
      <c r="W242" t="inlineStr">
        <is>
          <t>Autonomous Agent Development Frameworks</t>
        </is>
      </c>
      <c r="X242" t="inlineStr">
        <is>
          <t>Amaanuddin_Ahmed_Software_Engineer_Resume.pdf</t>
        </is>
      </c>
      <c r="Y242" t="inlineStr">
        <is>
          <t>2026-09-10</t>
        </is>
      </c>
      <c r="Z242" t="inlineStr">
        <is>
          <t>Aligns with AI-adjacent software engineering and backend roles; Located in Bangalore</t>
        </is>
      </c>
      <c r="AA242" t="inlineStr">
        <is>
          <t>eligible</t>
        </is>
      </c>
      <c r="AB242" t="inlineStr">
        <is>
          <t>Location matches Bangalore preference; Matches backend engineering and AI-adjacent software engineering target roles</t>
        </is>
      </c>
      <c r="AC242" t="inlineStr">
        <is>
          <t>unknown</t>
        </is>
      </c>
      <c r="AD242" t="inlineStr">
        <is>
          <t>Availability start date not specified in the job description</t>
        </is>
      </c>
      <c r="AE242" t="inlineStr">
        <is>
          <t>unknown</t>
        </is>
      </c>
      <c r="AF242" t="n">
        <v>0</v>
      </c>
      <c r="AG242" t="inlineStr">
        <is>
          <t>No</t>
        </is>
      </c>
      <c r="AH242" t="inlineStr">
        <is>
          <t>unknown</t>
        </is>
      </c>
      <c r="AI242" t="inlineStr">
        <is>
          <t>PPO or conversion details are not explicitly mentioned in the job description snippet</t>
        </is>
      </c>
      <c r="AK242" t="inlineStr">
        <is>
          <t>Job description snippet is incomplete</t>
        </is>
      </c>
      <c r="AL242" t="inlineStr">
        <is>
          <t>Backend engineering principles; AI autonomous agents and workflows; API design and database management</t>
        </is>
      </c>
    </row>
    <row r="243">
      <c r="A243" t="inlineStr">
        <is>
          <t>CORESTRATAI--260910-197</t>
        </is>
      </c>
      <c r="B243" t="inlineStr">
        <is>
          <t>CorestratAI Solutions</t>
        </is>
      </c>
      <c r="C243" t="inlineStr">
        <is>
          <t>AI ML Engineering Intern</t>
        </is>
      </c>
      <c r="D243" t="inlineStr">
        <is>
          <t>https://www.adzuna.in/details/5845820660?utm_medium=api&amp;utm_source=5ccdc27f</t>
        </is>
      </c>
      <c r="E243" t="inlineStr">
        <is>
          <t>AI Analyzer</t>
        </is>
      </c>
      <c r="F243" t="inlineStr">
        <is>
          <t>Chennai, Tamil Nadu</t>
        </is>
      </c>
      <c r="G243" t="inlineStr">
        <is>
          <t>UNKNOWN</t>
        </is>
      </c>
      <c r="H243" t="inlineStr">
        <is>
          <t>Not specified</t>
        </is>
      </c>
      <c r="I243" t="inlineStr">
        <is>
          <t>3-6 months</t>
        </is>
      </c>
      <c r="J243" t="inlineStr">
        <is>
          <t>POSSIBLE</t>
        </is>
      </c>
      <c r="K243" t="inlineStr">
        <is>
          <t>Python; Generative AI; Machine Learning</t>
        </is>
      </c>
      <c r="M243" t="inlineStr">
        <is>
          <t>Company Description CorestratAI Solutions is a technology company focused on delivering innovative AIdriven solutions to businesses across diverse industries The organization pioneers advanced artificial intelligence applications that help clients solve complex problems and unlock new opportunities Location Chennai Tamil Nadu Job Type Internship FullTime Experience Students Education B E B Tech 3r</t>
        </is>
      </c>
      <c r="N243" t="n">
        <v>44</v>
      </c>
      <c r="O243" t="n">
        <v>40</v>
      </c>
      <c r="P243" t="n">
        <v>50</v>
      </c>
      <c r="Q243" t="n">
        <v>50</v>
      </c>
      <c r="R243" t="n">
        <v>70</v>
      </c>
      <c r="S243" t="n">
        <v>0</v>
      </c>
      <c r="T243" t="n">
        <v>50</v>
      </c>
      <c r="U243" t="inlineStr">
        <is>
          <t>SKIP</t>
        </is>
      </c>
      <c r="V243" t="inlineStr">
        <is>
          <t>SKIP</t>
        </is>
      </c>
      <c r="W243" t="inlineStr">
        <is>
          <t>Generative AI; Machine Learning</t>
        </is>
      </c>
      <c r="X243" t="inlineStr">
        <is>
          <t>Default Resume</t>
        </is>
      </c>
      <c r="Y243" t="inlineStr">
        <is>
          <t>2026-09-10</t>
        </is>
      </c>
      <c r="Z243" t="inlineStr">
        <is>
          <t>Mentions conversion to Full-Time.</t>
        </is>
      </c>
      <c r="AA243" t="inlineStr">
        <is>
          <t>FAIL</t>
        </is>
      </c>
      <c r="AB243" t="inlineStr">
        <is>
          <t>Degree requirement specifies B.E./B.Tech 3rd or 4th Year students, but candidate is in MCA program.</t>
        </is>
      </c>
      <c r="AC243" t="inlineStr">
        <is>
          <t>UNKNOWN</t>
        </is>
      </c>
      <c r="AD243" t="inlineStr">
        <is>
          <t>Candidate availability for 3-6 month internship in Chennai is not specified in the career brain.</t>
        </is>
      </c>
      <c r="AE243" t="inlineStr">
        <is>
          <t>UNKNOWN</t>
        </is>
      </c>
      <c r="AF243" t="n">
        <v>0</v>
      </c>
      <c r="AG243" t="inlineStr">
        <is>
          <t>No</t>
        </is>
      </c>
      <c r="AH243" t="inlineStr">
        <is>
          <t>POSSIBLE</t>
        </is>
      </c>
      <c r="AI243" t="inlineStr">
        <is>
          <t>Internship to FullTime mentioned in role title.</t>
        </is>
      </c>
      <c r="AJ243" t="inlineStr">
        <is>
          <t>Degree requirement specifies B.E./B.Tech 3rd or 4th Year students, but candidate is in MCA program.</t>
        </is>
      </c>
      <c r="AK243" t="inlineStr">
        <is>
          <t>Stipend details not disclosed.</t>
        </is>
      </c>
      <c r="AL243" t="inlineStr">
        <is>
          <t>Python programming; Machine learning fundamentals; Generative AI concepts; Past software projects</t>
        </is>
      </c>
    </row>
    <row r="244">
      <c r="A244" t="inlineStr">
        <is>
          <t>CORESTRATAI--260910-198</t>
        </is>
      </c>
      <c r="B244" t="inlineStr">
        <is>
          <t>CorestratAI Solutions</t>
        </is>
      </c>
      <c r="C244" t="inlineStr">
        <is>
          <t>AI ML Engineering Intern</t>
        </is>
      </c>
      <c r="D244" t="inlineStr">
        <is>
          <t>https://www.adzuna.in/details/5854847488?utm_medium=api&amp;utm_source=5ccdc27f</t>
        </is>
      </c>
      <c r="E244" t="inlineStr">
        <is>
          <t>AI Analyzer</t>
        </is>
      </c>
      <c r="F244" t="inlineStr">
        <is>
          <t>Chennai, Tamil Nadu</t>
        </is>
      </c>
      <c r="G244" t="inlineStr">
        <is>
          <t>Unknown</t>
        </is>
      </c>
      <c r="H244" t="inlineStr">
        <is>
          <t>Not specified</t>
        </is>
      </c>
      <c r="I244" t="inlineStr">
        <is>
          <t>3-6 months</t>
        </is>
      </c>
      <c r="J244" t="inlineStr">
        <is>
          <t>Yes</t>
        </is>
      </c>
      <c r="K244" t="inlineStr">
        <is>
          <t>Generative AI; Python</t>
        </is>
      </c>
      <c r="M244" t="inlineStr">
        <is>
          <t>Company Description CorestratAI Solutions is a technology company focused on delivering innovative AIdriven solutions to businesses across diverse industries The organization pioneers advanced artificial intelligence applications that help clients solve complex problems and unlock new opportunitiesLocation Chennai Tamil Nadu Job Type Internship FullTime Experience Students Education B E B Tech 3rd</t>
        </is>
      </c>
      <c r="N244" t="n">
        <v>53</v>
      </c>
      <c r="O244" t="n">
        <v>50</v>
      </c>
      <c r="P244" t="n">
        <v>40</v>
      </c>
      <c r="Q244" t="n">
        <v>60</v>
      </c>
      <c r="R244" t="n">
        <v>90</v>
      </c>
      <c r="S244" t="n">
        <v>0</v>
      </c>
      <c r="T244" t="n">
        <v>60</v>
      </c>
      <c r="U244" t="inlineStr">
        <is>
          <t>SKIP</t>
        </is>
      </c>
      <c r="V244" t="inlineStr">
        <is>
          <t>SKIP</t>
        </is>
      </c>
      <c r="W244" t="inlineStr">
        <is>
          <t>Generative AI</t>
        </is>
      </c>
      <c r="X244" t="inlineStr">
        <is>
          <t>Amaanuddin_Ahmed_Software_Engineer_Resume.pdf</t>
        </is>
      </c>
      <c r="Y244" t="inlineStr">
        <is>
          <t>2026-09-10</t>
        </is>
      </c>
      <c r="Z244" t="inlineStr">
        <is>
          <t>Includes conversion to full-time employment (PPO opportunity); Aligns with AI-adjacent software engineering interest</t>
        </is>
      </c>
      <c r="AA244" t="inlineStr">
        <is>
          <t>Eligible with blockers</t>
        </is>
      </c>
      <c r="AB244" t="inlineStr">
        <is>
          <t>Degree requirement specifies B.E / B.Tech 3rd or 4th Year, while candidate is in MCA at PES University.</t>
        </is>
      </c>
      <c r="AC244" t="inlineStr">
        <is>
          <t>Unknown</t>
        </is>
      </c>
      <c r="AD244" t="inlineStr">
        <is>
          <t>Candidate availability dates are not specified in the career brain.</t>
        </is>
      </c>
      <c r="AE244" t="inlineStr">
        <is>
          <t>UNKNOWN</t>
        </is>
      </c>
      <c r="AF244" t="n">
        <v>0</v>
      </c>
      <c r="AG244" t="inlineStr">
        <is>
          <t>No</t>
        </is>
      </c>
      <c r="AH244" t="inlineStr">
        <is>
          <t>Yes</t>
        </is>
      </c>
      <c r="AI244" t="inlineStr">
        <is>
          <t>Internship to FullTime</t>
        </is>
      </c>
      <c r="AJ244" t="inlineStr">
        <is>
          <t>Degree requirement specifies B.E / B.Tech 3rd or 4th Year</t>
        </is>
      </c>
      <c r="AK244" t="inlineStr">
        <is>
          <t>Stipend not disclosed</t>
        </is>
      </c>
      <c r="AL244" t="inlineStr">
        <is>
          <t>Python programming and backend development; Generative AI concepts and APIs; Machine learning foundations; Previous projects and problem-solving experience</t>
        </is>
      </c>
    </row>
    <row r="245">
      <c r="A245" t="inlineStr">
        <is>
          <t>QRVANTIS-260910-199</t>
        </is>
      </c>
      <c r="B245" t="inlineStr">
        <is>
          <t>Qrvantis</t>
        </is>
      </c>
      <c r="C245" t="inlineStr">
        <is>
          <t>Software Engineering Internship – AI &amp; Quantum Computing</t>
        </is>
      </c>
      <c r="D245" t="inlineStr">
        <is>
          <t>https://www.adzuna.in/details/5781955911?utm_medium=api&amp;utm_source=5ccdc27f</t>
        </is>
      </c>
      <c r="E245" t="inlineStr">
        <is>
          <t>AI Analyzer</t>
        </is>
      </c>
      <c r="F245" t="inlineStr">
        <is>
          <t>Haryana, India</t>
        </is>
      </c>
      <c r="G245" t="inlineStr">
        <is>
          <t>UNKNOWN</t>
        </is>
      </c>
      <c r="H245" t="inlineStr">
        <is>
          <t>Not specified</t>
        </is>
      </c>
      <c r="I245" t="inlineStr">
        <is>
          <t>UNKNOWN</t>
        </is>
      </c>
      <c r="J245" t="inlineStr">
        <is>
          <t>UNKNOWN</t>
        </is>
      </c>
      <c r="K245" t="inlineStr">
        <is>
          <t>Artificial Intelligence; Quantum Computing; Software Engineering</t>
        </is>
      </c>
      <c r="L245" t="inlineStr">
        <is>
          <t>Automation; Next-Generation Software Systems</t>
        </is>
      </c>
      <c r="M245" t="inlineStr">
        <is>
          <t>About QRVANTIS QRVANTIS is developing innovative solutions at the intersection of Artificial Intelligence, Quantum Computing, Automation, and Next-Generation Software Systems. We are seeking highly motivated interns who desire real industry exposure and the opportunity to work on impactful projects from day one. Why Join QRVANTIS? Unlike traditional internships where interns spend months learning</t>
        </is>
      </c>
      <c r="N245" t="n">
        <v>38</v>
      </c>
      <c r="O245" t="n">
        <v>40</v>
      </c>
      <c r="P245" t="n">
        <v>50</v>
      </c>
      <c r="Q245" t="n">
        <v>50</v>
      </c>
      <c r="R245" t="n">
        <v>0</v>
      </c>
      <c r="S245" t="n">
        <v>0</v>
      </c>
      <c r="T245" t="n">
        <v>50</v>
      </c>
      <c r="U245" t="inlineStr">
        <is>
          <t>SKIP</t>
        </is>
      </c>
      <c r="V245" t="inlineStr">
        <is>
          <t>SKIP</t>
        </is>
      </c>
      <c r="W245" t="inlineStr">
        <is>
          <t>Artificial Intelligence; Quantum Computing</t>
        </is>
      </c>
      <c r="X245" t="inlineStr">
        <is>
          <t>Amaanuddin_Ahmed_Fullstack_Resume.pdf</t>
        </is>
      </c>
      <c r="Y245" t="inlineStr">
        <is>
          <t>2026-09-10</t>
        </is>
      </c>
      <c r="Z245" t="inlineStr">
        <is>
          <t>Opportunity to work on next-generation software systems.</t>
        </is>
      </c>
      <c r="AA245" t="inlineStr">
        <is>
          <t>ELIGIBLE</t>
        </is>
      </c>
      <c r="AB245" t="inlineStr">
        <is>
          <t>No strict blockers identified in the partial job description.</t>
        </is>
      </c>
      <c r="AC245" t="inlineStr">
        <is>
          <t>UNKNOWN</t>
        </is>
      </c>
      <c r="AD245" t="inlineStr">
        <is>
          <t>Candidate availability details not provided in career brain.</t>
        </is>
      </c>
      <c r="AE245" t="inlineStr">
        <is>
          <t>UNKNOWN</t>
        </is>
      </c>
      <c r="AF245" t="n">
        <v>0</v>
      </c>
      <c r="AG245" t="inlineStr">
        <is>
          <t>No</t>
        </is>
      </c>
      <c r="AH245" t="inlineStr">
        <is>
          <t>UNKNOWN</t>
        </is>
      </c>
      <c r="AI245" t="inlineStr">
        <is>
          <t>No explicit PPO mention in the provided JD snippet.</t>
        </is>
      </c>
      <c r="AK245" t="inlineStr">
        <is>
          <t>Incomplete job description text; Unknown stipend; Niche quantum computing requirements</t>
        </is>
      </c>
      <c r="AL245" t="inlineStr">
        <is>
          <t>Software Engineering fundamentals; Basic AI concepts; Interest and exposure to Quantum Computing</t>
        </is>
      </c>
    </row>
    <row r="246">
      <c r="A246" t="inlineStr">
        <is>
          <t>ECOMINE-260910-200</t>
        </is>
      </c>
      <c r="B246" t="inlineStr">
        <is>
          <t>Ecomine</t>
        </is>
      </c>
      <c r="C246" t="inlineStr">
        <is>
          <t>Internship AI ML Engineer unpaid</t>
        </is>
      </c>
      <c r="D246" t="inlineStr">
        <is>
          <t>https://www.adzuna.in/details/5850339029?utm_medium=api&amp;utm_source=5ccdc27f</t>
        </is>
      </c>
      <c r="E246" t="inlineStr">
        <is>
          <t>AI Analyzer</t>
        </is>
      </c>
      <c r="F246" t="inlineStr">
        <is>
          <t>Mangalore, Dakshin Kannada</t>
        </is>
      </c>
      <c r="G246" t="inlineStr">
        <is>
          <t>UNKNOWN</t>
        </is>
      </c>
      <c r="H246" t="inlineStr">
        <is>
          <t>Unpaid</t>
        </is>
      </c>
      <c r="I246" t="inlineStr">
        <is>
          <t>UNKNOWN</t>
        </is>
      </c>
      <c r="J246" t="inlineStr">
        <is>
          <t>NOT_MENTIONED</t>
        </is>
      </c>
      <c r="K246" t="inlineStr">
        <is>
          <t>AI; ML</t>
        </is>
      </c>
      <c r="L246" t="inlineStr">
        <is>
          <t>Deep Learning; Geospatial Analysis</t>
        </is>
      </c>
      <c r="M246" t="inlineStr">
        <is>
          <t>Company Description Ecomine is a DPIITrecognized deeptech startup transforming mineral exploration in India through advanced AI and ML technologies Its flagship platform Spectropy is a proprietary prediction engine that integrates hyperspectral satellite imagery drillcore analysis and multiple geophysical datasets into a unified subsurface intelligence layer Using spectral unmixing geophysical inv</t>
        </is>
      </c>
      <c r="N246" t="n">
        <v>34</v>
      </c>
      <c r="O246" t="n">
        <v>40</v>
      </c>
      <c r="P246" t="n">
        <v>50</v>
      </c>
      <c r="Q246" t="n">
        <v>40</v>
      </c>
      <c r="R246" t="n">
        <v>0</v>
      </c>
      <c r="S246" t="n">
        <v>0</v>
      </c>
      <c r="T246" t="n">
        <v>30</v>
      </c>
      <c r="U246" t="inlineStr">
        <is>
          <t>SKIP</t>
        </is>
      </c>
      <c r="V246" t="inlineStr">
        <is>
          <t>SKIP</t>
        </is>
      </c>
      <c r="W246" t="inlineStr">
        <is>
          <t>Machine Learning engineering; Deep Learning models; AI pipelines</t>
        </is>
      </c>
      <c r="X246" t="inlineStr">
        <is>
          <t>Amaanuddin_Ahmed_Software_Engineering_Resume.pdf</t>
        </is>
      </c>
      <c r="Y246" t="inlineStr">
        <is>
          <t>2026-09-10</t>
        </is>
      </c>
      <c r="AA246" t="inlineStr">
        <is>
          <t>UNKNOWN</t>
        </is>
      </c>
      <c r="AC246" t="inlineStr">
        <is>
          <t>UNKNOWN</t>
        </is>
      </c>
      <c r="AD246" t="inlineStr">
        <is>
          <t>Not specified</t>
        </is>
      </c>
      <c r="AE246" t="inlineStr">
        <is>
          <t>UNPAID</t>
        </is>
      </c>
      <c r="AF246" t="n">
        <v>0</v>
      </c>
      <c r="AG246" t="inlineStr">
        <is>
          <t>No</t>
        </is>
      </c>
      <c r="AH246" t="inlineStr">
        <is>
          <t>NOT_MENTIONED</t>
        </is>
      </c>
      <c r="AI246" t="inlineStr">
        <is>
          <t>No mention of PPO or conversion.</t>
        </is>
      </c>
      <c r="AJ246" t="inlineStr">
        <is>
          <t>Unpaid internship below minimum stipend target of ₹25,000/month</t>
        </is>
      </c>
      <c r="AK246" t="inlineStr">
        <is>
          <t>Unpaid internship; Stipend is completely missing/zero</t>
        </is>
      </c>
      <c r="AL246" t="inlineStr">
        <is>
          <t>Python fundamentals; Machine learning basics; Deep learning frameworks</t>
        </is>
      </c>
    </row>
    <row r="247">
      <c r="A247" t="inlineStr">
        <is>
          <t>WAY2AGRIBUSI-260910-201</t>
        </is>
      </c>
      <c r="B247" t="inlineStr">
        <is>
          <t>Way2agribusines</t>
        </is>
      </c>
      <c r="C247" t="inlineStr">
        <is>
          <t>Intern Ai Software Engineer</t>
        </is>
      </c>
      <c r="D247" t="inlineStr">
        <is>
          <t>https://www.adzuna.in/details/5827200174?utm_medium=api&amp;utm_source=5ccdc27f</t>
        </is>
      </c>
      <c r="E247" t="inlineStr">
        <is>
          <t>AI Analyzer</t>
        </is>
      </c>
      <c r="F247" t="inlineStr">
        <is>
          <t>Bangalore, Karnataka</t>
        </is>
      </c>
      <c r="G247" t="inlineStr">
        <is>
          <t>On-site</t>
        </is>
      </c>
      <c r="H247" t="inlineStr">
        <is>
          <t>Rs 10000 for the first 3 months to Rs 12000 for the remaining period per month</t>
        </is>
      </c>
      <c r="I247" t="inlineStr">
        <is>
          <t>Not Specified</t>
        </is>
      </c>
      <c r="J247" t="inlineStr">
        <is>
          <t>YES</t>
        </is>
      </c>
      <c r="K247" t="inlineStr">
        <is>
          <t>AI ML models building; Next js; Django; Rest API; FastAPI; Mob App Dev; React Native; Flutter; DevOps; SEO Onpage Digital Mktg</t>
        </is>
      </c>
      <c r="M247" t="inlineStr">
        <is>
          <t>Qualification Dip BE B Tech B Sc M Tech M Sc in CS IT IS ECE BCA MCA Required Skills AI ML models building Next js Django Rest API FastAPI Mob App Dev React Native Flutter DevOps SEO Onpage Digital Mktg Salary Rs 10000 for the first 3 months to Rs 12000 for the remaining period per month Scope of Learning and Growth Full stack developer covering advanced AI ML Python Java Script tech stack enhance</t>
        </is>
      </c>
      <c r="N247" t="n">
        <v>53</v>
      </c>
      <c r="O247" t="n">
        <v>40</v>
      </c>
      <c r="P247" t="n">
        <v>70</v>
      </c>
      <c r="Q247" t="n">
        <v>50</v>
      </c>
      <c r="R247" t="n">
        <v>90</v>
      </c>
      <c r="S247" t="n">
        <v>20</v>
      </c>
      <c r="T247" t="n">
        <v>40</v>
      </c>
      <c r="U247" t="inlineStr">
        <is>
          <t>SKIP</t>
        </is>
      </c>
      <c r="V247" t="inlineStr">
        <is>
          <t>SKIP</t>
        </is>
      </c>
      <c r="W247" t="inlineStr">
        <is>
          <t>AI ML models building; Next js; Django; FastAPI; Mob App Dev; React Native; Flutter; DevOps; SEO Onpage Digital Mktg</t>
        </is>
      </c>
      <c r="X247" t="inlineStr">
        <is>
          <t>Amaanuddin_Ahmed_Software_Engineering_Resume.pdf</t>
        </is>
      </c>
      <c r="Y247" t="inlineStr">
        <is>
          <t>2026-09-10</t>
        </is>
      </c>
      <c r="Z247" t="inlineStr">
        <is>
          <t>Matches degree eligibility criteria for MCA; Offers an assured job conversion path based on performance</t>
        </is>
      </c>
      <c r="AA247" t="inlineStr">
        <is>
          <t>ELIGIBLE</t>
        </is>
      </c>
      <c r="AB247" t="inlineStr">
        <is>
          <t>Candidate is pursuing MCA which matches the degree criteria (Dip BE B Tech B Sc M Tech M Sc in CS IT IS ECE BCA MCA).</t>
        </is>
      </c>
      <c r="AC247" t="inlineStr">
        <is>
          <t>UNKNOWN</t>
        </is>
      </c>
      <c r="AD247" t="inlineStr">
        <is>
          <t>Availability was not specified in the career brain or job description.</t>
        </is>
      </c>
      <c r="AE247" t="inlineStr">
        <is>
          <t>KNOWN</t>
        </is>
      </c>
      <c r="AF247" t="n">
        <v>10000</v>
      </c>
      <c r="AG247" t="inlineStr">
        <is>
          <t>No</t>
        </is>
      </c>
      <c r="AH247" t="inlineStr">
        <is>
          <t>YES</t>
        </is>
      </c>
      <c r="AI247" t="inlineStr">
        <is>
          <t>Assured job after internship based on the performance</t>
        </is>
      </c>
      <c r="AK247" t="inlineStr">
        <is>
          <t>Stipend is below the minimum target of ₹25,000/month; Extremely broad and unrealistic tech stack requirements for a single role (AI/ML, Next.js, Django, FastAPI, Mobile App Development, DevOps, and Digital Marketing)</t>
        </is>
      </c>
      <c r="AL247" t="inlineStr">
        <is>
          <t>Python and REST API development; AI/ML model integration experience; Internship performance evaluation metrics for full-time conversion</t>
        </is>
      </c>
    </row>
    <row r="248">
      <c r="A248" t="inlineStr">
        <is>
          <t>SPRINGER-CAP-260910-202</t>
        </is>
      </c>
      <c r="B248" t="inlineStr">
        <is>
          <t>Springer Capital</t>
        </is>
      </c>
      <c r="C248" t="inlineStr">
        <is>
          <t>Backend Developer Internship</t>
        </is>
      </c>
      <c r="D248" t="inlineStr">
        <is>
          <t>https://www.adzuna.com/details/5639252991?utm_medium=api&amp;utm_source=5ccdc27f</t>
        </is>
      </c>
      <c r="E248" t="inlineStr">
        <is>
          <t>AI Analyzer</t>
        </is>
      </c>
      <c r="F248" t="inlineStr">
        <is>
          <t>Chicago, Cook County</t>
        </is>
      </c>
      <c r="G248" t="inlineStr">
        <is>
          <t>Remote</t>
        </is>
      </c>
      <c r="H248" t="inlineStr">
        <is>
          <t>Not specified</t>
        </is>
      </c>
      <c r="I248" t="inlineStr">
        <is>
          <t>3-month</t>
        </is>
      </c>
      <c r="J248" t="inlineStr">
        <is>
          <t>NOT_MENTIONED</t>
        </is>
      </c>
      <c r="K248" t="inlineStr">
        <is>
          <t>Backend development; Databases (SQL/NoSQL); APIs</t>
        </is>
      </c>
      <c r="M248" t="inlineStr">
        <is>
          <t>About the Role We are looking for enthusiastic Backend Developer Interns to join our team remotely for a 3-month internship . This is an excellent opportunity to gain hands-on experience in backend development, work on real projects, and expand your technical skills. Responsibilities Assist in developing and maintaining backend services and APIs. Work with databases (SQL/NoSQL) for data storage an</t>
        </is>
      </c>
      <c r="N248" t="n">
        <v>63</v>
      </c>
      <c r="O248" t="n">
        <v>90</v>
      </c>
      <c r="P248" t="n">
        <v>80</v>
      </c>
      <c r="Q248" t="n">
        <v>85</v>
      </c>
      <c r="R248" t="n">
        <v>0</v>
      </c>
      <c r="S248" t="n">
        <v>0</v>
      </c>
      <c r="T248" t="n">
        <v>60</v>
      </c>
      <c r="U248" t="inlineStr">
        <is>
          <t>STRETCH</t>
        </is>
      </c>
      <c r="V248" t="inlineStr">
        <is>
          <t>STRETCH</t>
        </is>
      </c>
      <c r="X248" t="inlineStr">
        <is>
          <t>Amaanuddin_Ahmed_Fullstack_Resume.pdf</t>
        </is>
      </c>
      <c r="Y248" t="inlineStr">
        <is>
          <t>2026-09-10</t>
        </is>
      </c>
      <c r="Z248" t="inlineStr">
        <is>
          <t>Remote work mode aligns well with flexibility preferences.; Strong technical alignment with backend requirements using Node.js, Express, and SQL/NoSQL databases.</t>
        </is>
      </c>
      <c r="AA248" t="inlineStr">
        <is>
          <t>UNKNOWN</t>
        </is>
      </c>
      <c r="AB248" t="inlineStr">
        <is>
          <t>No explicit degree or graduation year eligibility criteria specified in the snippet.</t>
        </is>
      </c>
      <c r="AC248" t="inlineStr">
        <is>
          <t>UNKNOWN</t>
        </is>
      </c>
      <c r="AD248" t="inlineStr">
        <is>
          <t>Candidate availability for a 3-month duration is not specified in the career brain.</t>
        </is>
      </c>
      <c r="AE248" t="inlineStr">
        <is>
          <t>UNKNOWN</t>
        </is>
      </c>
      <c r="AF248" t="n">
        <v>0</v>
      </c>
      <c r="AG248" t="inlineStr">
        <is>
          <t>No</t>
        </is>
      </c>
      <c r="AH248" t="inlineStr">
        <is>
          <t>NOT_MENTIONED</t>
        </is>
      </c>
      <c r="AI248" t="inlineStr">
        <is>
          <t>No mention of conversion or PPO in the provided job description.</t>
        </is>
      </c>
      <c r="AK248" t="inlineStr">
        <is>
          <t>Stipend is not disclosed; PPO is not mentioned</t>
        </is>
      </c>
      <c r="AL248" t="inlineStr">
        <is>
          <t>Backend architecture and REST API design; Database operations using SQL and NoSQL; Previous project experience with MERN/Node.js</t>
        </is>
      </c>
    </row>
    <row r="249">
      <c r="A249" t="inlineStr">
        <is>
          <t>SPRINGER-CAP-260910-203</t>
        </is>
      </c>
      <c r="B249" t="inlineStr">
        <is>
          <t>Springer Capital</t>
        </is>
      </c>
      <c r="C249" t="inlineStr">
        <is>
          <t>Backend Developer Internship</t>
        </is>
      </c>
      <c r="D249" t="inlineStr">
        <is>
          <t>https://www.adzuna.com/details/5639252974?utm_medium=api&amp;utm_source=5ccdc27f</t>
        </is>
      </c>
      <c r="E249" t="inlineStr">
        <is>
          <t>AI Analyzer</t>
        </is>
      </c>
      <c r="F249" t="inlineStr">
        <is>
          <t>Chicago, Cook County</t>
        </is>
      </c>
      <c r="G249" t="inlineStr">
        <is>
          <t>Remote</t>
        </is>
      </c>
      <c r="H249" t="inlineStr">
        <is>
          <t>Unpaid</t>
        </is>
      </c>
      <c r="I249" t="inlineStr">
        <is>
          <t>3 months</t>
        </is>
      </c>
      <c r="J249" t="inlineStr">
        <is>
          <t>None</t>
        </is>
      </c>
      <c r="K249" t="inlineStr">
        <is>
          <t>Backend development</t>
        </is>
      </c>
      <c r="M249" t="inlineStr">
        <is>
          <t>About the Role We are looking for enthusiastic Backend Developer Interns to join our team remotely for a 3-month internship . This is an excellent opportunity to gain hands-on experience in backend development, work on real projects, and expand your technical skills. While this is an unpaid internship , interns who successfully complete the program will receive a Completion Certificate and a Lette</t>
        </is>
      </c>
      <c r="N249" t="n">
        <v>50</v>
      </c>
      <c r="O249" t="n">
        <v>70</v>
      </c>
      <c r="P249" t="n">
        <v>70</v>
      </c>
      <c r="Q249" t="n">
        <v>80</v>
      </c>
      <c r="R249" t="n">
        <v>0</v>
      </c>
      <c r="S249" t="n">
        <v>0</v>
      </c>
      <c r="T249" t="n">
        <v>30</v>
      </c>
      <c r="U249" t="inlineStr">
        <is>
          <t>SKIP</t>
        </is>
      </c>
      <c r="V249" t="inlineStr">
        <is>
          <t>SKIP</t>
        </is>
      </c>
      <c r="X249" t="inlineStr">
        <is>
          <t>Amaanuddin_Ahmed_Software_Engineering_Resume.pdf</t>
        </is>
      </c>
      <c r="Y249" t="inlineStr">
        <is>
          <t>2026-09-10</t>
        </is>
      </c>
      <c r="Z249" t="inlineStr">
        <is>
          <t>Remote backend internship opportunity; Good for hands-on experience</t>
        </is>
      </c>
      <c r="AA249" t="inlineStr">
        <is>
          <t>Eligible</t>
        </is>
      </c>
      <c r="AB249" t="inlineStr">
        <is>
          <t>Remote work mode aligns with availability; Backend focus aligns with target roles</t>
        </is>
      </c>
      <c r="AC249" t="inlineStr">
        <is>
          <t>Unknown</t>
        </is>
      </c>
      <c r="AD249" t="inlineStr">
        <is>
          <t>Not specified in candidate profile</t>
        </is>
      </c>
      <c r="AE249" t="inlineStr">
        <is>
          <t>Unpaid</t>
        </is>
      </c>
      <c r="AF249" t="n">
        <v>0</v>
      </c>
      <c r="AG249" t="inlineStr">
        <is>
          <t>No</t>
        </is>
      </c>
      <c r="AH249" t="inlineStr">
        <is>
          <t>None</t>
        </is>
      </c>
      <c r="AI249" t="inlineStr">
        <is>
          <t>Mentioned Completion Certificate and a Letter of Recommendation, no PPO mentioned</t>
        </is>
      </c>
      <c r="AJ249" t="inlineStr">
        <is>
          <t>Unpaid internship does not meet minimum stipend target of 25000 INR; No PPO offered (PPO is high priority)</t>
        </is>
      </c>
      <c r="AK249" t="inlineStr">
        <is>
          <t>Unpaid internship</t>
        </is>
      </c>
      <c r="AL249" t="inlineStr">
        <is>
          <t>Backend development fundamentals; REST API design; Database management</t>
        </is>
      </c>
    </row>
    <row r="250">
      <c r="A250" t="inlineStr">
        <is>
          <t>M3USA-260910-204</t>
        </is>
      </c>
      <c r="B250" t="inlineStr">
        <is>
          <t>M3USA</t>
        </is>
      </c>
      <c r="C250" t="inlineStr">
        <is>
          <t>AI Engineering Intern</t>
        </is>
      </c>
      <c r="D250" t="inlineStr">
        <is>
          <t>https://www.adzuna.com/details/5876286450?utm_medium=api&amp;utm_source=5ccdc27f</t>
        </is>
      </c>
      <c r="E250" t="inlineStr">
        <is>
          <t>AI Analyzer</t>
        </is>
      </c>
      <c r="F250" t="inlineStr">
        <is>
          <t>Fort Washington, Montgomery County</t>
        </is>
      </c>
      <c r="G250" t="inlineStr">
        <is>
          <t>Remote</t>
        </is>
      </c>
      <c r="H250" t="inlineStr">
        <is>
          <t>Not specified</t>
        </is>
      </c>
      <c r="I250" t="inlineStr">
        <is>
          <t>UNKNOWN</t>
        </is>
      </c>
      <c r="J250" t="inlineStr">
        <is>
          <t>UNKNOWN</t>
        </is>
      </c>
      <c r="K250" t="inlineStr">
        <is>
          <t>Software Engineering; Coding</t>
        </is>
      </c>
      <c r="L250" t="inlineStr">
        <is>
          <t>AI tools; Product Demonstration</t>
        </is>
      </c>
      <c r="M250" t="inlineStr">
        <is>
          <t>Job Description Build and ship Own a project end to end: understand the problem, build a working version, get it in front of users, improve it based on what they say. Write code that other people can read and maintain. AI-generated or not, it carries your name. Demo your work regularly to the product and engineering team, as well as to the business teams who requested it. Work with the businesses</t>
        </is>
      </c>
      <c r="N250" t="n">
        <v>62</v>
      </c>
      <c r="O250" t="n">
        <v>70</v>
      </c>
      <c r="P250" t="n">
        <v>75</v>
      </c>
      <c r="Q250" t="n">
        <v>75</v>
      </c>
      <c r="R250" t="n">
        <v>50</v>
      </c>
      <c r="S250" t="n">
        <v>0</v>
      </c>
      <c r="T250" t="n">
        <v>60</v>
      </c>
      <c r="U250" t="inlineStr">
        <is>
          <t>STRETCH</t>
        </is>
      </c>
      <c r="V250" t="inlineStr">
        <is>
          <t>STRETCH</t>
        </is>
      </c>
      <c r="W250" t="inlineStr">
        <is>
          <t>Specific AI/ML framework details missing from JD snippet</t>
        </is>
      </c>
      <c r="X250" t="inlineStr">
        <is>
          <t>Amaanuddin_Ahmed_Software_Engineering_Resume.pdf</t>
        </is>
      </c>
      <c r="Y250" t="inlineStr">
        <is>
          <t>2026-09-10</t>
        </is>
      </c>
      <c r="Z250" t="inlineStr">
        <is>
          <t>Aligns with software engineering and AI-adjacent internship interests.; Remote work mode fits well.</t>
        </is>
      </c>
      <c r="AA250" t="inlineStr">
        <is>
          <t>ELIGIBLE</t>
        </is>
      </c>
      <c r="AB250" t="inlineStr">
        <is>
          <t>No hard degree or graduation year blockers found in the partial job description.</t>
        </is>
      </c>
      <c r="AC250" t="inlineStr">
        <is>
          <t>UNKNOWN</t>
        </is>
      </c>
      <c r="AD250" t="inlineStr">
        <is>
          <t>Candidate availability relative to start date is not specified in the profile.</t>
        </is>
      </c>
      <c r="AE250" t="inlineStr">
        <is>
          <t>UNKNOWN</t>
        </is>
      </c>
      <c r="AF250" t="n">
        <v>0</v>
      </c>
      <c r="AG250" t="inlineStr">
        <is>
          <t>No</t>
        </is>
      </c>
      <c r="AH250" t="inlineStr">
        <is>
          <t>UNKNOWN</t>
        </is>
      </c>
      <c r="AI250" t="inlineStr">
        <is>
          <t>No explicit mention of PPO or conversion in the job description.</t>
        </is>
      </c>
      <c r="AK250" t="inlineStr">
        <is>
          <t>Incomplete job description text provided</t>
        </is>
      </c>
      <c r="AL250" t="inlineStr">
        <is>
          <t>End-to-end project ownership and deployment; User feedback integration and iterative development; Collaboration with cross-functional business and product teams</t>
        </is>
      </c>
    </row>
    <row r="251">
      <c r="A251" t="inlineStr">
        <is>
          <t>DATADOG-260910-205</t>
        </is>
      </c>
      <c r="B251" t="inlineStr">
        <is>
          <t>Datadog</t>
        </is>
      </c>
      <c r="C251" t="inlineStr">
        <is>
          <t>Software Engineering Intern</t>
        </is>
      </c>
      <c r="D251" t="inlineStr">
        <is>
          <t>https://www.arbeitnow.fr/jobs/companies/datadog/software-engineering-intern-paris-74277</t>
        </is>
      </c>
      <c r="E251" t="inlineStr">
        <is>
          <t>AI Analyzer</t>
        </is>
      </c>
      <c r="F251" t="inlineStr">
        <is>
          <t>Paris</t>
        </is>
      </c>
      <c r="G251" t="inlineStr">
        <is>
          <t>Hybrid</t>
        </is>
      </c>
      <c r="I251" t="inlineStr">
        <is>
          <t>6 months</t>
        </is>
      </c>
      <c r="J251" t="inlineStr">
        <is>
          <t>Not Mentioned</t>
        </is>
      </c>
      <c r="K251" t="inlineStr">
        <is>
          <t>Computer science fundamentals; Data structures; Algorithms; Software design; Programming languages</t>
        </is>
      </c>
      <c r="L251" t="inlineStr">
        <is>
          <t>Kubernetes; Distributed systems; Cloud-native infrastructure; AI-assisted tools</t>
        </is>
      </c>
      <c r="M251" t="inlineStr">
        <is>
          <t>&lt;p&gt;We’re looking for Software Engineering Interns to help build and scale the systems that power Datadog’s observability and security platform. Interns contribute directly to real-world engineering challenges across backend, frontend, infrastructure, data engineering, and developer tooling while working alongside experienced engineers and mentors. You’ll help design, build, and improve systems tha</t>
        </is>
      </c>
      <c r="N251" t="n">
        <v>45</v>
      </c>
      <c r="O251" t="n">
        <v>70</v>
      </c>
      <c r="P251" t="n">
        <v>50</v>
      </c>
      <c r="Q251" t="n">
        <v>60</v>
      </c>
      <c r="R251" t="n">
        <v>0</v>
      </c>
      <c r="S251" t="n">
        <v>0</v>
      </c>
      <c r="T251" t="n">
        <v>80</v>
      </c>
      <c r="U251" t="inlineStr">
        <is>
          <t>SKIP</t>
        </is>
      </c>
      <c r="V251" t="inlineStr">
        <is>
          <t>SKIP</t>
        </is>
      </c>
      <c r="W251" t="inlineStr">
        <is>
          <t>Kubernetes; Distributed systems at scale</t>
        </is>
      </c>
      <c r="X251" t="inlineStr">
        <is>
          <t>Amaanuddin_Ahmed_Software_Engineer_Resume.pdf</t>
        </is>
      </c>
      <c r="Y251" t="inlineStr">
        <is>
          <t>2026-09-10</t>
        </is>
      </c>
      <c r="Z251" t="inlineStr">
        <is>
          <t>Exciting opportunity at a leading observability and security platform company.</t>
        </is>
      </c>
      <c r="AA251" t="inlineStr">
        <is>
          <t>Ineligible</t>
        </is>
      </c>
      <c r="AB251" t="inlineStr">
        <is>
          <t>Targeting a 2027 full-time start date (Candidate is in MCA program currently); Location is Paris, France (Candidate is based in India)</t>
        </is>
      </c>
      <c r="AC251" t="inlineStr">
        <is>
          <t>Unknown</t>
        </is>
      </c>
      <c r="AD251" t="inlineStr">
        <is>
          <t>Candidate availability for a 6-month internship in Paris starting in 2027 is not explicitly defined in the career brain.</t>
        </is>
      </c>
      <c r="AE251" t="inlineStr">
        <is>
          <t>UNKNOWN</t>
        </is>
      </c>
      <c r="AF251" t="n">
        <v>0</v>
      </c>
      <c r="AG251" t="inlineStr">
        <is>
          <t>No</t>
        </is>
      </c>
      <c r="AH251" t="inlineStr">
        <is>
          <t>Not Mentioned</t>
        </is>
      </c>
      <c r="AJ251" t="inlineStr">
        <is>
          <t>Geographic location (Paris vs India); Graduation/Start timeline (Targeting 2027 full-time start date)</t>
        </is>
      </c>
      <c r="AL251" t="inlineStr">
        <is>
          <t>Data structures and algorithms; Distributed systems concepts; Cloud-native tools and Kubernetes basics; Problem-solving and coding proficiency</t>
        </is>
      </c>
    </row>
    <row r="252">
      <c r="A252" t="inlineStr">
        <is>
          <t>STARK-260910-206</t>
        </is>
      </c>
      <c r="B252" t="inlineStr">
        <is>
          <t>Stark</t>
        </is>
      </c>
      <c r="C252" t="inlineStr">
        <is>
          <t>Working Student – Flight Software Engineering (PX4 / Autopilot)</t>
        </is>
      </c>
      <c r="D252" t="inlineStr">
        <is>
          <t>https://www.arbeitnow.com/jobs/companies/stark/working-student-flight-software-engineering-px4-autopilot-all-genders-berlin-103577</t>
        </is>
      </c>
      <c r="E252" t="inlineStr">
        <is>
          <t>AI Analyzer</t>
        </is>
      </c>
      <c r="F252" t="inlineStr">
        <is>
          <t>Berlin</t>
        </is>
      </c>
      <c r="G252" t="inlineStr">
        <is>
          <t>On-site</t>
        </is>
      </c>
      <c r="H252" t="inlineStr">
        <is>
          <t>Not specified</t>
        </is>
      </c>
      <c r="I252" t="inlineStr">
        <is>
          <t>Not specified</t>
        </is>
      </c>
      <c r="J252" t="inlineStr">
        <is>
          <t>Not Mentioned</t>
        </is>
      </c>
      <c r="K252" t="inlineStr">
        <is>
          <t>Python; PX4 or ArduPilot or flight control systems</t>
        </is>
      </c>
      <c r="L252" t="inlineStr">
        <is>
          <t>German</t>
        </is>
      </c>
      <c r="M252" t="inlineStr">
        <is>
          <t>About Us STARK is a European defence technology company building the next generation of unmanned systems. We design, develop and manufacture software-defined, mass-scalable and cost-effective platforms that give NATO operators a decisive edge in highly contested environments. We are focused on delivering deployable, high-performance capability — not future promises. In a time of rising threats, ou</t>
        </is>
      </c>
      <c r="N252" t="n">
        <v>30</v>
      </c>
      <c r="O252" t="n">
        <v>40</v>
      </c>
      <c r="P252" t="n">
        <v>30</v>
      </c>
      <c r="Q252" t="n">
        <v>40</v>
      </c>
      <c r="R252" t="n">
        <v>0</v>
      </c>
      <c r="S252" t="n">
        <v>0</v>
      </c>
      <c r="T252" t="n">
        <v>50</v>
      </c>
      <c r="U252" t="inlineStr">
        <is>
          <t>SKIP</t>
        </is>
      </c>
      <c r="V252" t="inlineStr">
        <is>
          <t>SKIP</t>
        </is>
      </c>
      <c r="W252" t="inlineStr">
        <is>
          <t>PX4; ArduPilot; Flight control systems</t>
        </is>
      </c>
      <c r="X252" t="inlineStr">
        <is>
          <t>Default Software Engineering Resume</t>
        </is>
      </c>
      <c r="Y252" t="inlineStr">
        <is>
          <t>2026-09-10</t>
        </is>
      </c>
      <c r="AA252" t="inlineStr">
        <is>
          <t>Ineligible</t>
        </is>
      </c>
      <c r="AB252" t="inlineStr">
        <is>
          <t>Must be a citizen of a NATO member state (hard blocker); Location is Berlin, Germany while candidate is in India/PES University; Requires enrolled degree in Computer Science, Software Engineering, Aerospace, etc., while candidate is in MCA (eligible degree field, but geographic/citizenship constraints apply)</t>
        </is>
      </c>
      <c r="AC252" t="inlineStr">
        <is>
          <t>Unknown</t>
        </is>
      </c>
      <c r="AD252" t="inlineStr">
        <is>
          <t>Availability for Berlin working student schedule not specified.</t>
        </is>
      </c>
      <c r="AE252" t="inlineStr">
        <is>
          <t>UNKNOWN</t>
        </is>
      </c>
      <c r="AF252" t="n">
        <v>0</v>
      </c>
      <c r="AG252" t="inlineStr">
        <is>
          <t>No</t>
        </is>
      </c>
      <c r="AH252" t="inlineStr">
        <is>
          <t>Not Mentioned</t>
        </is>
      </c>
      <c r="AI252" t="inlineStr">
        <is>
          <t>No mention of PPO or conversion in the job description.</t>
        </is>
      </c>
      <c r="AJ252" t="inlineStr">
        <is>
          <t>Must be a citizen of a NATO member state; Location in Berlin, Germany</t>
        </is>
      </c>
      <c r="AL252" t="inlineStr">
        <is>
          <t>Python data processing and automation; Flight software and autopilot concepts</t>
        </is>
      </c>
    </row>
    <row r="253">
      <c r="A253" t="inlineStr">
        <is>
          <t>TIKTOK-260910-207</t>
        </is>
      </c>
      <c r="B253" t="inlineStr">
        <is>
          <t>TikTok</t>
        </is>
      </c>
      <c r="C253" t="inlineStr">
        <is>
          <t>Machine Learning Ops Engineer Intern (Ads Infra)</t>
        </is>
      </c>
      <c r="D253" t="inlineStr">
        <is>
          <t>https://www.themuse.com/jobs/tiktok/machine-learning-ops-engineer-intern-ads-infra-2027-start</t>
        </is>
      </c>
      <c r="E253" t="inlineStr">
        <is>
          <t>AI Analyzer</t>
        </is>
      </c>
      <c r="F253" t="inlineStr">
        <is>
          <t>Singapore</t>
        </is>
      </c>
      <c r="G253" t="inlineStr">
        <is>
          <t>On-site</t>
        </is>
      </c>
      <c r="H253" t="inlineStr">
        <is>
          <t>Not specified</t>
        </is>
      </c>
      <c r="I253" t="inlineStr">
        <is>
          <t>Not specified</t>
        </is>
      </c>
      <c r="J253" t="inlineStr">
        <is>
          <t>No</t>
        </is>
      </c>
      <c r="K253" t="inlineStr">
        <is>
          <t>Linux; Networking; Storage; Python; Go; C; C++; Java; Troubleshooting; Production operations</t>
        </is>
      </c>
      <c r="L253" t="inlineStr">
        <is>
          <t>SRE internship of machine learning systems; SRE internship of ads/recommendation/search systems</t>
        </is>
      </c>
      <c r="M253" t="inlineStr">
        <is>
          <t>Responsibilities Team Introduction MLOps - Global SRE team is responsible for the reliability of the machine learning infrastructure powering ByteDance's global advertising systems. We ensure the stability, scalability, and operational efficiency of the entire machine learning lifecycle, including data pipelines, model development, training, deployment, inference, monitoring, and continuous optimi</t>
        </is>
      </c>
      <c r="N253" t="n">
        <v>35</v>
      </c>
      <c r="O253" t="n">
        <v>40</v>
      </c>
      <c r="P253" t="n">
        <v>30</v>
      </c>
      <c r="Q253" t="n">
        <v>40</v>
      </c>
      <c r="R253" t="n">
        <v>0</v>
      </c>
      <c r="S253" t="n">
        <v>0</v>
      </c>
      <c r="T253" t="n">
        <v>80</v>
      </c>
      <c r="U253" t="inlineStr">
        <is>
          <t>SKIP</t>
        </is>
      </c>
      <c r="V253" t="inlineStr">
        <is>
          <t>SKIP</t>
        </is>
      </c>
      <c r="W253" t="inlineStr">
        <is>
          <t>Linux system administration at scale; Go; C/C++; MLOps infrastructure experience; SRE experience</t>
        </is>
      </c>
      <c r="X253" t="inlineStr">
        <is>
          <t>Amaanuddin_Ahmed_Software_Engineer_Resume.pdf</t>
        </is>
      </c>
      <c r="Y253" t="inlineStr">
        <is>
          <t>2026-09-10</t>
        </is>
      </c>
      <c r="AA253" t="inlineStr">
        <is>
          <t>Ineligible</t>
        </is>
      </c>
      <c r="AB253" t="inlineStr">
        <is>
          <t>Job location is Singapore while candidate is based in India; Requires relocation/international student eligibility not confirmed; Degree requirement specifies Undergraduate or Master's in Computer Science/Software Engineering, whereas candidate is pursuing MCA</t>
        </is>
      </c>
      <c r="AC253" t="inlineStr">
        <is>
          <t>unknown</t>
        </is>
      </c>
      <c r="AD253" t="inlineStr">
        <is>
          <t>Candidate availability dates for an international relocation internship are not specified in the career brain.</t>
        </is>
      </c>
      <c r="AE253" t="inlineStr">
        <is>
          <t>UNKNOWN</t>
        </is>
      </c>
      <c r="AF253" t="n">
        <v>0</v>
      </c>
      <c r="AG253" t="inlineStr">
        <is>
          <t>No</t>
        </is>
      </c>
      <c r="AH253" t="inlineStr">
        <is>
          <t>No</t>
        </is>
      </c>
      <c r="AI253" t="inlineStr">
        <is>
          <t>No mention of conversion or PPO in the job description.</t>
        </is>
      </c>
      <c r="AJ253" t="inlineStr">
        <is>
          <t>International location (Singapore); Degree mismatch (MCA vs Bachelor's/Master's in CS/SE)</t>
        </is>
      </c>
      <c r="AK253" t="inlineStr">
        <is>
          <t>Relocation to Singapore required for international applicants without visa sponsorship clarity</t>
        </is>
      </c>
      <c r="AL253" t="inlineStr">
        <is>
          <t>Linux internals and troubleshooting; Distributed systems and ML infrastructure; Python/Java systems programming; SRE principles and SLO management</t>
        </is>
      </c>
    </row>
    <row r="254">
      <c r="A254" t="inlineStr">
        <is>
          <t>TIKTOK-260910-208</t>
        </is>
      </c>
      <c r="B254" t="inlineStr">
        <is>
          <t>TikTok</t>
        </is>
      </c>
      <c r="C254" t="inlineStr">
        <is>
          <t>Software Engineer Intern (Ads Infrastructure) - 2026 Summer (BS/MS)</t>
        </is>
      </c>
      <c r="D254" t="inlineStr">
        <is>
          <t>https://www.themuse.com/jobs/tiktok/software-engineer-intern-ads-infrastructure-2026-summer-bsms</t>
        </is>
      </c>
      <c r="E254" t="inlineStr">
        <is>
          <t>AI Analyzer</t>
        </is>
      </c>
      <c r="F254" t="inlineStr">
        <is>
          <t>San Jose, CA</t>
        </is>
      </c>
      <c r="G254" t="inlineStr">
        <is>
          <t>On-site</t>
        </is>
      </c>
      <c r="I254" t="inlineStr">
        <is>
          <t>12 weeks</t>
        </is>
      </c>
      <c r="J254" t="inlineStr">
        <is>
          <t>Not Mentioned</t>
        </is>
      </c>
      <c r="K254" t="inlineStr">
        <is>
          <t>Programming, debugging, and optimization skills in Go, C/C++, Python, or Java; Computer architectures, data structures, and algorithms</t>
        </is>
      </c>
      <c r="L254" t="inlineStr">
        <is>
          <t>Experience in advertising, e-commerce, or gaming industry</t>
        </is>
      </c>
      <c r="M254" t="inlineStr">
        <is>
          <t>Responsibilities Global Monetization Product and Technology teams are building the next-generation monetization platforms to help millions of customers grow their businesses, utilizing our products like TikTok. Our team develops a wide variety of advertisements for numerous uses including feeds, live streaming, branding, measurement, targeting, search, vertical solutions, creative solutions, and b</t>
        </is>
      </c>
      <c r="N254" t="n">
        <v>45</v>
      </c>
      <c r="O254" t="n">
        <v>60</v>
      </c>
      <c r="P254" t="n">
        <v>50</v>
      </c>
      <c r="Q254" t="n">
        <v>70</v>
      </c>
      <c r="R254" t="n">
        <v>0</v>
      </c>
      <c r="S254" t="n">
        <v>0</v>
      </c>
      <c r="T254" t="n">
        <v>80</v>
      </c>
      <c r="U254" t="inlineStr">
        <is>
          <t>SKIP</t>
        </is>
      </c>
      <c r="V254" t="inlineStr">
        <is>
          <t>SKIP</t>
        </is>
      </c>
      <c r="W254" t="inlineStr">
        <is>
          <t>Go; C/C++</t>
        </is>
      </c>
      <c r="X254" t="inlineStr">
        <is>
          <t>Amaan_Ahmed_Software_Engineer_Resume.pdf</t>
        </is>
      </c>
      <c r="Y254" t="inlineStr">
        <is>
          <t>2026-09-10</t>
        </is>
      </c>
      <c r="Z254" t="inlineStr">
        <is>
          <t>Great brand name and large-scale infrastructure learning opportunity.</t>
        </is>
      </c>
      <c r="AA254" t="inlineStr">
        <is>
          <t>Ineligible</t>
        </is>
      </c>
      <c r="AB254" t="inlineStr">
        <is>
          <t>Location is San Jose, CA, requiring international relocation or US work authorization which is not specified for international applicants.; Requires current enrollment in a BS or MS program in Computer Science or related discipline (Amaan is in MCA in India, though Master's, the location and visa sponsorship rules usually restrict international remote/relocation for US undergrad/grad internships).</t>
        </is>
      </c>
      <c r="AC254" t="inlineStr">
        <is>
          <t>Unknown</t>
        </is>
      </c>
      <c r="AD254" t="inlineStr">
        <is>
          <t>Specific start and end dates for 2026 summer must be clearly stated in the resume.</t>
        </is>
      </c>
      <c r="AE254" t="inlineStr">
        <is>
          <t>UNKNOWN</t>
        </is>
      </c>
      <c r="AF254" t="n">
        <v>0</v>
      </c>
      <c r="AG254" t="inlineStr">
        <is>
          <t>No</t>
        </is>
      </c>
      <c r="AH254" t="inlineStr">
        <is>
          <t>Not Mentioned</t>
        </is>
      </c>
      <c r="AI254" t="inlineStr">
        <is>
          <t>No explicit PPO or conversion mention in the JD.</t>
        </is>
      </c>
      <c r="AJ254" t="inlineStr">
        <is>
          <t>US location (San Jose, CA) internship typically requires US work authorization or local student status.</t>
        </is>
      </c>
      <c r="AK254" t="inlineStr">
        <is>
          <t>Unspecified stipend amount; Strict limit of maximum 2 applications globally across TikTok and its affiliates</t>
        </is>
      </c>
      <c r="AL254" t="inlineStr">
        <is>
          <t>Data structures and algorithms; System design and large-scale ads systems; Python/Java development and debugging</t>
        </is>
      </c>
    </row>
    <row r="255">
      <c r="A255" t="inlineStr">
        <is>
          <t>ANSYS-260910-209</t>
        </is>
      </c>
      <c r="B255" t="inlineStr">
        <is>
          <t>Ansys</t>
        </is>
      </c>
      <c r="C255" t="inlineStr">
        <is>
          <t>Frontend Software Developer Intern - Fall 2026</t>
        </is>
      </c>
      <c r="D255" t="inlineStr">
        <is>
          <t>https://www.themuse.com/jobs/ansys/frontend-software-developer-intern-fall-2026</t>
        </is>
      </c>
      <c r="E255" t="inlineStr">
        <is>
          <t>AI Analyzer</t>
        </is>
      </c>
      <c r="F255" t="inlineStr">
        <is>
          <t>Reedley, CA</t>
        </is>
      </c>
      <c r="G255" t="inlineStr">
        <is>
          <t>Remote Eligible</t>
        </is>
      </c>
      <c r="H255" t="inlineStr">
        <is>
          <t>$0-$0</t>
        </is>
      </c>
      <c r="I255" t="inlineStr">
        <is>
          <t>4 months</t>
        </is>
      </c>
      <c r="J255" t="inlineStr">
        <is>
          <t>Not Mentioned</t>
        </is>
      </c>
      <c r="K255" t="inlineStr">
        <is>
          <t>Python; JavaScript; Git</t>
        </is>
      </c>
      <c r="L255" t="inlineStr">
        <is>
          <t>3D visualization; VTK technology</t>
        </is>
      </c>
      <c r="M255" t="inlineStr">
        <is>
          <t>Date posted 04/09/2026 Category Interns/Temp Hire Type Intern Job ID 16893 Base Salary Range $0-$0 Remote Eligible Yes Date Posted 04/09/2026 Introduction: We Are: Drive technology innovations that shape the way we live and connect. Our technology drives the Era of Pervasive Intelligence, where smart tech and AI are seamlessly woven into daily life. From self-driving cars and health-monitoring sma</t>
        </is>
      </c>
      <c r="N255" t="n">
        <v>67</v>
      </c>
      <c r="O255" t="n">
        <v>25</v>
      </c>
      <c r="P255" t="n">
        <v>18</v>
      </c>
      <c r="Q255" t="n">
        <v>12</v>
      </c>
      <c r="R255" t="n">
        <v>5</v>
      </c>
      <c r="S255" t="n">
        <v>0</v>
      </c>
      <c r="T255" t="n">
        <v>7</v>
      </c>
      <c r="U255" t="inlineStr">
        <is>
          <t>STRETCH</t>
        </is>
      </c>
      <c r="V255" t="inlineStr">
        <is>
          <t>STRETCH</t>
        </is>
      </c>
      <c r="W255" t="inlineStr">
        <is>
          <t>3D visualization; VTK technology</t>
        </is>
      </c>
      <c r="X255" t="inlineStr">
        <is>
          <t>Amaanuddin_Ahmed_Software_Engineering_Resume.pdf</t>
        </is>
      </c>
      <c r="Y255" t="inlineStr">
        <is>
          <t>2026-09-10</t>
        </is>
      </c>
      <c r="Z255" t="inlineStr">
        <is>
          <t>Candidate meets all required technical skills including Python, JavaScript, and Git.; Matches the education level (MCA student pursuing master's degree).; Remote flexibility aligns with candidate preferences.</t>
        </is>
      </c>
      <c r="AA255" t="inlineStr">
        <is>
          <t>Eligible</t>
        </is>
      </c>
      <c r="AB255" t="inlineStr">
        <is>
          <t>Currently pursuing a master's degree in Computer Science or related field; Matches Python and JavaScript requirements; Matches Git version control requirement</t>
        </is>
      </c>
      <c r="AC255" t="inlineStr">
        <is>
          <t>Available</t>
        </is>
      </c>
      <c r="AD255" t="inlineStr">
        <is>
          <t>Matches the Fall 2026 internship timeline and is available for remote work</t>
        </is>
      </c>
      <c r="AE255" t="inlineStr">
        <is>
          <t>UNKNOWN</t>
        </is>
      </c>
      <c r="AF255" t="n">
        <v>0</v>
      </c>
      <c r="AG255" t="inlineStr">
        <is>
          <t>No</t>
        </is>
      </c>
      <c r="AH255" t="inlineStr">
        <is>
          <t>Not Mentioned</t>
        </is>
      </c>
      <c r="AI255" t="inlineStr">
        <is>
          <t>No explicit mention of PPO or conversion to full-time employment in the description.</t>
        </is>
      </c>
      <c r="AK255" t="inlineStr">
        <is>
          <t>Base salary range listed as $0-$0 in the text</t>
        </is>
      </c>
      <c r="AL255" t="inlineStr">
        <is>
          <t>JavaScript and Python fundamentals; Version control workflows with Git; Previous full-stack or frontend projects (React/Node); Interest and conceptual understanding of 3D visualization or graphics</t>
        </is>
      </c>
    </row>
    <row r="256">
      <c r="A256" t="inlineStr">
        <is>
          <t>TIKTOK-260910-210</t>
        </is>
      </c>
      <c r="B256" t="inlineStr">
        <is>
          <t>TikTok</t>
        </is>
      </c>
      <c r="C256" t="inlineStr">
        <is>
          <t>Software Development Engineer Intern (Global E-Commerce-Quality Platform &amp; AI Test Automation) - 2027 Summer</t>
        </is>
      </c>
      <c r="D256" t="inlineStr">
        <is>
          <t>https://www.themuse.com/jobs/tiktok/software-development-engineer-intern-global-ecommercequality-platform-ai-test-automation-2027-summer</t>
        </is>
      </c>
      <c r="E256" t="inlineStr">
        <is>
          <t>AI Analyzer</t>
        </is>
      </c>
      <c r="F256" t="inlineStr">
        <is>
          <t>Seattle, WA</t>
        </is>
      </c>
      <c r="G256" t="inlineStr">
        <is>
          <t>Unknown</t>
        </is>
      </c>
      <c r="I256" t="inlineStr">
        <is>
          <t>Summer 2027</t>
        </is>
      </c>
      <c r="J256" t="inlineStr">
        <is>
          <t>Not Mentioned</t>
        </is>
      </c>
      <c r="K256" t="inlineStr">
        <is>
          <t>Software testing fundamentals; Networking; Databases; Algorithms; System design; Coding ability; Debugging workflows</t>
        </is>
      </c>
      <c r="L256" t="inlineStr">
        <is>
          <t>Test automation; Quality engineering; AI testing; Intelligent automation; Python; Java</t>
        </is>
      </c>
      <c r="M256" t="inlineStr">
        <is>
          <t>Responsibilities Global E-Commerce Team is a content E-commerce business with international short video products as the carrier. It is committed to becoming the first choice for users to discover and purchase good products at affordable prices. The global E-commerce business team hopes to provide users with a more tailored and efficient consumption experience, enabling merchants to receive reliabl</t>
        </is>
      </c>
      <c r="N256" t="n">
        <v>35</v>
      </c>
      <c r="O256" t="n">
        <v>40</v>
      </c>
      <c r="P256" t="n">
        <v>50</v>
      </c>
      <c r="Q256" t="n">
        <v>40</v>
      </c>
      <c r="R256" t="n">
        <v>0</v>
      </c>
      <c r="S256" t="n">
        <v>0</v>
      </c>
      <c r="T256" t="n">
        <v>80</v>
      </c>
      <c r="U256" t="inlineStr">
        <is>
          <t>SKIP</t>
        </is>
      </c>
      <c r="V256" t="inlineStr">
        <is>
          <t>SKIP</t>
        </is>
      </c>
      <c r="W256" t="inlineStr">
        <is>
          <t>Software testing fundamentals; Test automation frameworks; AI-driven product testing</t>
        </is>
      </c>
      <c r="X256" t="inlineStr">
        <is>
          <t>Amaanuddin_Ahmed_Software_Engineering_Resume.pdf</t>
        </is>
      </c>
      <c r="Y256" t="inlineStr">
        <is>
          <t>2026-09-10</t>
        </is>
      </c>
      <c r="Z256" t="inlineStr">
        <is>
          <t>TikTok is a premier global tech company providing strong resume brand value.</t>
        </is>
      </c>
      <c r="AA256" t="inlineStr">
        <is>
          <t>Ineligible</t>
        </is>
      </c>
      <c r="AB256" t="inlineStr">
        <is>
          <t>Candidate is pursuing an MCA degree, whereas the minimum qualification specifies currently pursuing a Bachelor's degree in Computer Science or a related discipline.; Location is Seattle, WA (US), and no relocation or visa sponsorship details are provided for international students.</t>
        </is>
      </c>
      <c r="AC256" t="inlineStr">
        <is>
          <t>Unknown</t>
        </is>
      </c>
      <c r="AD256" t="inlineStr">
        <is>
          <t>Availability dates not specified in candidate profile.</t>
        </is>
      </c>
      <c r="AE256" t="inlineStr">
        <is>
          <t>UNKNOWN</t>
        </is>
      </c>
      <c r="AF256" t="n">
        <v>0</v>
      </c>
      <c r="AG256" t="inlineStr">
        <is>
          <t>No</t>
        </is>
      </c>
      <c r="AH256" t="inlineStr">
        <is>
          <t>Not Mentioned</t>
        </is>
      </c>
      <c r="AI256" t="inlineStr">
        <is>
          <t>No explicit conversion to full-time or PPO mention found in the job description.</t>
        </is>
      </c>
      <c r="AJ256" t="inlineStr">
        <is>
          <t>Degree mismatch: Candidate is in MCA, but minimum qualification requires a Bachelor's degree.</t>
        </is>
      </c>
      <c r="AL256" t="inlineStr">
        <is>
          <t>Software testing fundamentals and test automation; Algorithms and data structures; System design and networking basics; Debugging and troubleshooting workflows</t>
        </is>
      </c>
    </row>
    <row r="257">
      <c r="A257" t="inlineStr">
        <is>
          <t>WHISTLE-ROBO-260910-211</t>
        </is>
      </c>
      <c r="B257" t="inlineStr">
        <is>
          <t>Whistle Robotics</t>
        </is>
      </c>
      <c r="C257" t="inlineStr">
        <is>
          <t>Founding Geometry Engineer</t>
        </is>
      </c>
      <c r="D257" t="inlineStr">
        <is>
          <t>https://news.ycombinator.com/item?id=49611044</t>
        </is>
      </c>
      <c r="E257" t="inlineStr">
        <is>
          <t>AI Analyzer</t>
        </is>
      </c>
      <c r="F257" t="inlineStr">
        <is>
          <t>London, UK</t>
        </is>
      </c>
      <c r="G257" t="inlineStr">
        <is>
          <t>Onsite</t>
        </is>
      </c>
      <c r="H257" t="inlineStr">
        <is>
          <t>Not specified</t>
        </is>
      </c>
      <c r="I257" t="inlineStr">
        <is>
          <t>Unknown</t>
        </is>
      </c>
      <c r="J257" t="inlineStr">
        <is>
          <t>No</t>
        </is>
      </c>
      <c r="K257" t="inlineStr">
        <is>
          <t>3D CAD analysis engine; grasp planning; generative design; computational geometry libraries; game engine internals; meshes; SDFs; NURBS; point clouds</t>
        </is>
      </c>
      <c r="M257" t="inlineStr">
        <is>
          <t>Whistle Robotics | Founding Geometry Engineer | Full-time | Onsite (London, UK) | https://whistlerobotics.com/ I'm Gio, CTO at Whistle Robotics. We're building task-specific robots that make automation more accessible to small and medium manufacturers. We're looking for a Founding Geometry Software Engineer to build our 3D CAD analysis engine, handling grasp planning, and generative design of part</t>
        </is>
      </c>
      <c r="N257" t="n">
        <v>5</v>
      </c>
      <c r="O257" t="n">
        <v>0</v>
      </c>
      <c r="P257" t="n">
        <v>0</v>
      </c>
      <c r="Q257" t="n">
        <v>0</v>
      </c>
      <c r="R257" t="n">
        <v>0</v>
      </c>
      <c r="S257" t="n">
        <v>0</v>
      </c>
      <c r="T257" t="n">
        <v>50</v>
      </c>
      <c r="U257" t="inlineStr">
        <is>
          <t>SKIP</t>
        </is>
      </c>
      <c r="V257" t="inlineStr">
        <is>
          <t>SKIP</t>
        </is>
      </c>
      <c r="W257" t="inlineStr">
        <is>
          <t>3D CAD analysis; Computational geometry; NURBS/SDFs/Meshes; Game engine internals</t>
        </is>
      </c>
      <c r="X257" t="inlineStr">
        <is>
          <t>Amaanuddin_Ahmed_Software_Engineer_Resume.pdf</t>
        </is>
      </c>
      <c r="Y257" t="inlineStr">
        <is>
          <t>2026-09-10</t>
        </is>
      </c>
      <c r="AA257" t="inlineStr">
        <is>
          <t>Not Eligible</t>
        </is>
      </c>
      <c r="AB257" t="inlineStr">
        <is>
          <t>Job is onsite in London, UK, which conflicts with candidate's current location/status.; Requires specialized computational geometry, CAD analysis, mesh, SDF, NURBS, and point cloud experience which is missing from candidate profile.</t>
        </is>
      </c>
      <c r="AC257" t="inlineStr">
        <is>
          <t>UNKNOWN</t>
        </is>
      </c>
      <c r="AD257" t="inlineStr">
        <is>
          <t>Availability not specified in career brain.</t>
        </is>
      </c>
      <c r="AE257" t="inlineStr">
        <is>
          <t>UNKNOWN</t>
        </is>
      </c>
      <c r="AF257" t="n">
        <v>0</v>
      </c>
      <c r="AG257" t="inlineStr">
        <is>
          <t>No</t>
        </is>
      </c>
      <c r="AH257" t="inlineStr">
        <is>
          <t>No</t>
        </is>
      </c>
      <c r="AI257" t="inlineStr">
        <is>
          <t>No mention of PPO or conversion to full-time.</t>
        </is>
      </c>
      <c r="AJ257" t="inlineStr">
        <is>
          <t>Onsite location in London, UK; Lack of domain-specific computational geometry and CAD analysis experience</t>
        </is>
      </c>
      <c r="AL257" t="inlineStr">
        <is>
          <t>Computational geometry algorithms; CAD analysis and mesh processing; Robotics hardware control</t>
        </is>
      </c>
    </row>
    <row r="258">
      <c r="A258" t="inlineStr">
        <is>
          <t>HN-WHO-IS-HI-260910-212</t>
        </is>
      </c>
      <c r="B258" t="inlineStr">
        <is>
          <t>HN Who Is Hiring (Supero)</t>
        </is>
      </c>
      <c r="C258" t="inlineStr">
        <is>
          <t>Software Engineer Intern</t>
        </is>
      </c>
      <c r="D258" t="inlineStr">
        <is>
          <t>https://www.supero.dev/careers/software-engineer-intern/</t>
        </is>
      </c>
      <c r="E258" t="inlineStr">
        <is>
          <t>AI Analyzer</t>
        </is>
      </c>
      <c r="F258" t="inlineStr">
        <is>
          <t>Bengaluru, KA, India</t>
        </is>
      </c>
      <c r="G258" t="inlineStr">
        <is>
          <t>Remote</t>
        </is>
      </c>
      <c r="I258" t="inlineStr">
        <is>
          <t>Not Specified</t>
        </is>
      </c>
      <c r="J258" t="inlineStr">
        <is>
          <t>Not Mentioned</t>
        </is>
      </c>
      <c r="K258" t="inlineStr">
        <is>
          <t>Software Engineering; Cloud; Infrastructure</t>
        </is>
      </c>
      <c r="L258" t="inlineStr">
        <is>
          <t>Kubernetes; AWS; GCP; CI/CD</t>
        </is>
      </c>
      <c r="M258" t="inlineStr">
        <is>
          <t>Supero | Cloud / Platform Engineer | REMOTE (SF Bay Area, CA, US · Bengaluru, KA, India) | Full-time | https://www.supero.dev/careers/cloud-platform-engineer/ We generate full-stack apps and deploy them — a generated app becomes a live URL, on our infrastructure or in the customer's own AWS or GCP account. It's in production and it has more shell script in it than it should. You'd own it, and the</t>
        </is>
      </c>
      <c r="N258" t="n">
        <v>50</v>
      </c>
      <c r="O258" t="n">
        <v>60</v>
      </c>
      <c r="P258" t="n">
        <v>50</v>
      </c>
      <c r="Q258" t="n">
        <v>70</v>
      </c>
      <c r="R258" t="n">
        <v>0</v>
      </c>
      <c r="S258" t="n">
        <v>0</v>
      </c>
      <c r="T258" t="n">
        <v>60</v>
      </c>
      <c r="U258" t="inlineStr">
        <is>
          <t>SKIP</t>
        </is>
      </c>
      <c r="V258" t="inlineStr">
        <is>
          <t>SKIP</t>
        </is>
      </c>
      <c r="W258" t="inlineStr">
        <is>
          <t>Kubernetes past the tutorial; AWS and/or GCP at depth; Production infra experience</t>
        </is>
      </c>
      <c r="X258" t="inlineStr">
        <is>
          <t>Amaanuddin_Ahmed_DevOps_Cloud_Resume.pdf</t>
        </is>
      </c>
      <c r="Y258" t="inlineStr">
        <is>
          <t>2026-09-10</t>
        </is>
      </c>
      <c r="Z258" t="inlineStr">
        <is>
          <t>Remote work mode aligns well; Provides exposure to cloud and platform engineering</t>
        </is>
      </c>
      <c r="AA258" t="inlineStr">
        <is>
          <t>Eligible</t>
        </is>
      </c>
      <c r="AB258" t="inlineStr">
        <is>
          <t>Location matches Bengaluru/Remote preference; Internship role matches availability</t>
        </is>
      </c>
      <c r="AC258" t="inlineStr">
        <is>
          <t>Available</t>
        </is>
      </c>
      <c r="AD258" t="inlineStr">
        <is>
          <t>Seeking internships matching MCA student status</t>
        </is>
      </c>
      <c r="AE258" t="inlineStr">
        <is>
          <t>UNKNOWN</t>
        </is>
      </c>
      <c r="AF258" t="n">
        <v>0</v>
      </c>
      <c r="AG258" t="inlineStr">
        <is>
          <t>No</t>
        </is>
      </c>
      <c r="AH258" t="inlineStr">
        <is>
          <t>Not Mentioned</t>
        </is>
      </c>
      <c r="AI258" t="inlineStr">
        <is>
          <t>No explicit PPO or conversion mention found in the job description snippet.</t>
        </is>
      </c>
      <c r="AK258" t="inlineStr">
        <is>
          <t>Full-time description mentions 4+ years production infra which may apply to the general cloud role, though an intern position is linked separately.</t>
        </is>
      </c>
      <c r="AL258" t="inlineStr">
        <is>
          <t>Cloud infrastructure and deployment pipelines; Kubernetes basics and containerization; CI/CD setup and observability</t>
        </is>
      </c>
    </row>
    <row r="259">
      <c r="A259" t="inlineStr">
        <is>
          <t>HN-WHO-IS-HI-260910-213</t>
        </is>
      </c>
      <c r="B259" t="inlineStr">
        <is>
          <t>HN Who Is Hiring (vCluster Labs)</t>
        </is>
      </c>
      <c r="C259" t="inlineStr">
        <is>
          <t>Multiple Engineering Roles (Senior/Staff Backend, Senior Inference, Senior AppSec, vNode Tech Lead)</t>
        </is>
      </c>
      <c r="D259" t="inlineStr">
        <is>
          <t>https://news.ycombinator.com/item?id=49555567</t>
        </is>
      </c>
      <c r="E259" t="inlineStr">
        <is>
          <t>AI Analyzer</t>
        </is>
      </c>
      <c r="F259" t="inlineStr">
        <is>
          <t>REMOTE (US, Canada, Europe)</t>
        </is>
      </c>
      <c r="G259" t="inlineStr">
        <is>
          <t>Remote</t>
        </is>
      </c>
      <c r="H259" t="inlineStr">
        <is>
          <t>Full-time salary mentioned ($140k-$220k USD / CAD, €80K-€145K), no internship stipend listed</t>
        </is>
      </c>
      <c r="I259" t="inlineStr">
        <is>
          <t>Not specified</t>
        </is>
      </c>
      <c r="J259" t="inlineStr">
        <is>
          <t>not_applicable</t>
        </is>
      </c>
      <c r="K259" t="inlineStr">
        <is>
          <t>Kubernetes controllers; kubebuilder; controller-runtime; client-go; Python; Go; vLLM; SGLang; TensorRT-LLM; Container runtimes; Linux isolation primitives</t>
        </is>
      </c>
      <c r="L259" t="inlineStr">
        <is>
          <t>Container security; Threat modeling; Inference optimization</t>
        </is>
      </c>
      <c r="M259" t="inlineStr">
        <is>
          <t>vCluster Labs | Multiple Engineering Roles | REMOTE (US, Canada, Europe) | Full-time | $140k-$220k USD | $140k-220k CAD | €80K – €145K + Equity vCluster Labs builds the software layer that turns hardware into a cloud. One platform to turn raw compute into every kind of cluster, for the teams building AI infrastructure and the customers they serve. We're a VC-backed startup in hyper-growth and full</t>
        </is>
      </c>
      <c r="N259" t="n">
        <v>20</v>
      </c>
      <c r="O259" t="n">
        <v>20</v>
      </c>
      <c r="P259" t="n">
        <v>10</v>
      </c>
      <c r="Q259" t="n">
        <v>20</v>
      </c>
      <c r="R259" t="n">
        <v>0</v>
      </c>
      <c r="S259" t="n">
        <v>0</v>
      </c>
      <c r="T259" t="n">
        <v>80</v>
      </c>
      <c r="U259" t="inlineStr">
        <is>
          <t>SKIP</t>
        </is>
      </c>
      <c r="V259" t="inlineStr">
        <is>
          <t>SKIP</t>
        </is>
      </c>
      <c r="W259" t="inlineStr">
        <is>
          <t>Kubernetes controllers from scratch; Go programming; Production LLM serving/inference optimization; Container runtime internals</t>
        </is>
      </c>
      <c r="X259" t="inlineStr">
        <is>
          <t>Default Resume</t>
        </is>
      </c>
      <c r="Y259" t="inlineStr">
        <is>
          <t>2026-09-10</t>
        </is>
      </c>
      <c r="AA259" t="inlineStr">
        <is>
          <t>ineligible</t>
        </is>
      </c>
      <c r="AB259" t="inlineStr">
        <is>
          <t>Roles are senior/staff level requiring advanced production infrastructure experience (Kubernetes controllers, container runtimes, deep systems programming), whereas candidate is an MCA student.; Geographic restriction to US, Canada, and Europe.</t>
        </is>
      </c>
      <c r="AC259" t="inlineStr">
        <is>
          <t>unknown</t>
        </is>
      </c>
      <c r="AD259" t="inlineStr">
        <is>
          <t>Candidate availability details are not specified.</t>
        </is>
      </c>
      <c r="AE259" t="inlineStr">
        <is>
          <t>unknown</t>
        </is>
      </c>
      <c r="AF259" t="n">
        <v>0</v>
      </c>
      <c r="AG259" t="inlineStr">
        <is>
          <t>No</t>
        </is>
      </c>
      <c r="AH259" t="inlineStr">
        <is>
          <t>not_applicable</t>
        </is>
      </c>
      <c r="AI259" t="inlineStr">
        <is>
          <t>These are full-time permanent positions, not internships with PPO tracks.</t>
        </is>
      </c>
      <c r="AJ259" t="inlineStr">
        <is>
          <t>Senior/Staff experience level required; Geographic restriction (US, Canada, Europe); Full-time experienced roles requiring deep systems/infrastructure expertise</t>
        </is>
      </c>
      <c r="AL259" t="inlineStr">
        <is>
          <t>Kubernetes architecture and controllers; Container runtimes and Linux namespaces; LLM serving and optimization</t>
        </is>
      </c>
    </row>
    <row r="260">
      <c r="A260" t="inlineStr">
        <is>
          <t>HN-WHO-IS-HI-260910-214</t>
        </is>
      </c>
      <c r="B260" t="inlineStr">
        <is>
          <t>HN Who Is Hiring</t>
        </is>
      </c>
      <c r="C260" t="inlineStr">
        <is>
          <t>Junior / Early-Career Backend or Systems Engineer</t>
        </is>
      </c>
      <c r="D260" t="inlineStr">
        <is>
          <t>https://news.ycombinator.com/item?id=49549688</t>
        </is>
      </c>
      <c r="E260" t="inlineStr">
        <is>
          <t>AI Analyzer</t>
        </is>
      </c>
      <c r="F260" t="inlineStr">
        <is>
          <t>Remote (EMEA)</t>
        </is>
      </c>
      <c r="G260" t="inlineStr">
        <is>
          <t>Remote</t>
        </is>
      </c>
      <c r="H260" t="inlineStr">
        <is>
          <t>Not specified</t>
        </is>
      </c>
      <c r="I260" t="inlineStr">
        <is>
          <t>UNKNOWN</t>
        </is>
      </c>
      <c r="J260" t="inlineStr">
        <is>
          <t>UNKNOWN</t>
        </is>
      </c>
      <c r="K260" t="inlineStr">
        <is>
          <t>Backend Engineering; Systems Engineering; Go; Distributed Systems; Databases; Infrastructure</t>
        </is>
      </c>
      <c r="L260" t="inlineStr">
        <is>
          <t>PostgreSQL; Raft; Distributed File Systems</t>
        </is>
      </c>
      <c r="M260" t="inlineStr">
        <is>
          <t>Hi! Are you also considering junior/early-career backend or systems engineers I'm a recent Computer Engineering graduate interested in systems, distributed systems, databases, and infrastructure. I've been contributing to the PostgreSQL ecosystem (9 merged PRs) and have worked on distributed systems in Go, including Raft, a fault-tolerant sharded KV store, and a distributed file system. VictoriaMe</t>
        </is>
      </c>
      <c r="N260" t="n">
        <v>18</v>
      </c>
      <c r="O260" t="n">
        <v>20</v>
      </c>
      <c r="P260" t="n">
        <v>20</v>
      </c>
      <c r="Q260" t="n">
        <v>30</v>
      </c>
      <c r="R260" t="n">
        <v>0</v>
      </c>
      <c r="S260" t="n">
        <v>0</v>
      </c>
      <c r="T260" t="n">
        <v>30</v>
      </c>
      <c r="U260" t="inlineStr">
        <is>
          <t>SKIP</t>
        </is>
      </c>
      <c r="V260" t="inlineStr">
        <is>
          <t>SKIP</t>
        </is>
      </c>
      <c r="W260" t="inlineStr">
        <is>
          <t>Go; Systems Engineering; Distributed Systems</t>
        </is>
      </c>
      <c r="X260" t="inlineStr">
        <is>
          <t>Amaan_Ahmed_General_Resume.pdf</t>
        </is>
      </c>
      <c r="Y260" t="inlineStr">
        <is>
          <t>2026-09-10</t>
        </is>
      </c>
      <c r="AA260" t="inlineStr">
        <is>
          <t>Ineligible</t>
        </is>
      </c>
      <c r="AB260" t="inlineStr">
        <is>
          <t>Location requirement specifies EMEA / Egypt remote, whereas candidate is based in India.; Requires heavy systems engineering background with Go, Raft, distributed file systems, and PostgreSQL ecosystem contributions (9 merged PRs).</t>
        </is>
      </c>
      <c r="AC260" t="inlineStr">
        <is>
          <t>UNKNOWN</t>
        </is>
      </c>
      <c r="AD260" t="inlineStr">
        <is>
          <t>Availability timeline not specified in candidate profile.</t>
        </is>
      </c>
      <c r="AE260" t="inlineStr">
        <is>
          <t>UNKNOWN</t>
        </is>
      </c>
      <c r="AF260" t="n">
        <v>0</v>
      </c>
      <c r="AG260" t="inlineStr">
        <is>
          <t>No</t>
        </is>
      </c>
      <c r="AH260" t="inlineStr">
        <is>
          <t>UNKNOWN</t>
        </is>
      </c>
      <c r="AI260" t="inlineStr">
        <is>
          <t>No mention of PPO or conversion in the job text.</t>
        </is>
      </c>
      <c r="AJ260" t="inlineStr">
        <is>
          <t>Location / Region mismatch (EMEA / Egypt remote); Core tech stack mismatch (Go, deep systems/database internals)</t>
        </is>
      </c>
      <c r="AK260" t="inlineStr">
        <is>
          <t>Job description appears to be a candidate introduction post on Hacker News rather than an actual employer posting, or a niche systems role requiring heavy Go and distributed systems background.</t>
        </is>
      </c>
      <c r="AL260" t="inlineStr">
        <is>
          <t>Distributed Systems; Go programming; Database internals</t>
        </is>
      </c>
    </row>
    <row r="261">
      <c r="A261" t="inlineStr">
        <is>
          <t>UNKNOWN-260910-215</t>
        </is>
      </c>
      <c r="B261" t="inlineStr">
        <is>
          <t>Unknown</t>
        </is>
      </c>
      <c r="C261" t="inlineStr">
        <is>
          <t>Staff Software Engineer</t>
        </is>
      </c>
      <c r="D261" t="inlineStr">
        <is>
          <t>https://wellfound.com/jobs/3614360-staff-software-engineer</t>
        </is>
      </c>
      <c r="E261" t="inlineStr">
        <is>
          <t>AI Analyzer</t>
        </is>
      </c>
      <c r="F261" t="inlineStr">
        <is>
          <t>Global / Remote</t>
        </is>
      </c>
      <c r="G261" t="inlineStr">
        <is>
          <t>Remote</t>
        </is>
      </c>
      <c r="H261" t="inlineStr">
        <is>
          <t>Not specified</t>
        </is>
      </c>
      <c r="I261" t="inlineStr">
        <is>
          <t>UNKNOWN</t>
        </is>
      </c>
      <c r="J261" t="inlineStr">
        <is>
          <t>Not Mentioned</t>
        </is>
      </c>
      <c r="M261" t="inlineStr">
        <is>
          <t>Staff Software Engineer</t>
        </is>
      </c>
      <c r="N261" t="n">
        <v>0</v>
      </c>
      <c r="O261" t="n">
        <v>0</v>
      </c>
      <c r="P261" t="n">
        <v>0</v>
      </c>
      <c r="Q261" t="n">
        <v>0</v>
      </c>
      <c r="R261" t="n">
        <v>0</v>
      </c>
      <c r="S261" t="n">
        <v>0</v>
      </c>
      <c r="T261" t="n">
        <v>0</v>
      </c>
      <c r="U261" t="inlineStr">
        <is>
          <t>SKIP</t>
        </is>
      </c>
      <c r="V261" t="inlineStr">
        <is>
          <t>SKIP</t>
        </is>
      </c>
      <c r="W261" t="inlineStr">
        <is>
          <t>Staff-level engineering experience; Leadership and architectural responsibilities</t>
        </is>
      </c>
      <c r="X261" t="inlineStr">
        <is>
          <t>Amaanuddin_Ahmed_Default_Resume.pdf</t>
        </is>
      </c>
      <c r="Y261" t="inlineStr">
        <is>
          <t>2026-09-10</t>
        </is>
      </c>
      <c r="AA261" t="inlineStr">
        <is>
          <t>Blocker</t>
        </is>
      </c>
      <c r="AB261" t="inlineStr">
        <is>
          <t>Staff Software Engineer role typically requires extensive industry experience (8+ years) which exceeds candidate's profile as an MCA student.</t>
        </is>
      </c>
      <c r="AC261" t="inlineStr">
        <is>
          <t>UNKNOWN</t>
        </is>
      </c>
      <c r="AD261" t="inlineStr">
        <is>
          <t>Not specified in the job description.</t>
        </is>
      </c>
      <c r="AE261" t="inlineStr">
        <is>
          <t>UNKNOWN</t>
        </is>
      </c>
      <c r="AF261" t="n">
        <v>0</v>
      </c>
      <c r="AG261" t="inlineStr">
        <is>
          <t>No</t>
        </is>
      </c>
      <c r="AH261" t="inlineStr">
        <is>
          <t>Not Mentioned</t>
        </is>
      </c>
      <c r="AI261" t="inlineStr">
        <is>
          <t>No mention of PPO or conversion in the description.</t>
        </is>
      </c>
      <c r="AJ261" t="inlineStr">
        <is>
          <t>Experience level mismatch: Staff Software Engineer requires senior leadership and extensive industry experience, whereas the candidate is an MCA student.</t>
        </is>
      </c>
      <c r="AK261" t="inlineStr">
        <is>
          <t>Extremely sparse job description lacking any details about responsibilities, tech stack, or compensation.</t>
        </is>
      </c>
    </row>
  </sheetData>
  <autoFilter ref="A1:Z1"/>
  <dataValidations count="3">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 sqref="AR2:AR10000" showDropDown="0" showInputMessage="0" showErrorMessage="0" allowBlank="1" errorTitle="Invalid Apply Status" error="Choose a status from the dropdown." promptTitle="Application Status" prompt="Select the current application status." type="list">
      <formula1>"NOT APPLIED,APPLIED,REJECTED,WITHDRAWN"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00"/>
  <sheetViews>
    <sheetView workbookViewId="0">
      <pane ySplit="1" topLeftCell="A2" activePane="bottomLeft" state="frozen"/>
      <selection pane="bottomLeft" activeCell="A1" sqref="A1"/>
    </sheetView>
  </sheetViews>
  <sheetFormatPr baseColWidth="8" defaultRowHeight="15"/>
  <cols>
    <col width="16" customWidth="1" style="15" min="1" max="1"/>
    <col width="12" customWidth="1" style="15" min="2" max="5"/>
    <col width="16" customWidth="1" style="15" min="6" max="6"/>
    <col width="14" customWidth="1" style="15" min="7" max="7"/>
    <col width="12" customWidth="1" style="15" min="8" max="8"/>
    <col width="13" customWidth="1" style="15" min="9" max="9"/>
    <col width="16" customWidth="1" style="15" min="10" max="10"/>
    <col width="40" customWidth="1" style="15" min="11" max="12"/>
    <col width="16" customWidth="1" style="15" min="13" max="13"/>
    <col width="40" customWidth="1" style="15" min="14" max="15"/>
    <col width="12" customWidth="1" style="15" min="16" max="16"/>
    <col width="30" customWidth="1" style="15" min="17" max="17"/>
  </cols>
  <sheetData>
    <row r="1">
      <c r="A1" s="1" t="inlineStr">
        <is>
          <t>Application ID</t>
        </is>
      </c>
      <c r="B1" s="1" t="inlineStr">
        <is>
          <t>Job ID</t>
        </is>
      </c>
      <c r="C1" s="1" t="inlineStr">
        <is>
          <t>Company</t>
        </is>
      </c>
      <c r="D1" s="1" t="inlineStr">
        <is>
          <t>Role</t>
        </is>
      </c>
      <c r="E1" s="1" t="inlineStr">
        <is>
          <t>Job URL</t>
        </is>
      </c>
      <c r="F1" s="1" t="inlineStr">
        <is>
          <t>Resume Version</t>
        </is>
      </c>
      <c r="G1" s="1" t="inlineStr">
        <is>
          <t>Applied Date</t>
        </is>
      </c>
      <c r="H1" s="1" t="inlineStr">
        <is>
          <t>Status</t>
        </is>
      </c>
      <c r="I1" s="1" t="inlineStr">
        <is>
          <t>Next Action</t>
        </is>
      </c>
      <c r="J1" s="1" t="inlineStr">
        <is>
          <t>Follow-up Date</t>
        </is>
      </c>
      <c r="K1" s="1" t="inlineStr">
        <is>
          <t>Application Notes</t>
        </is>
      </c>
      <c r="L1" s="1" t="inlineStr">
        <is>
          <t>OA Date</t>
        </is>
      </c>
      <c r="M1" s="1" t="inlineStr">
        <is>
          <t>Interview Date</t>
        </is>
      </c>
      <c r="N1" s="1" t="inlineStr">
        <is>
          <t>Outcome</t>
        </is>
      </c>
      <c r="O1" s="1" t="inlineStr">
        <is>
          <t>Stipend</t>
        </is>
      </c>
      <c r="P1" s="1" t="inlineStr">
        <is>
          <t>PPO</t>
        </is>
      </c>
      <c r="Q1" s="1" t="inlineStr">
        <is>
          <t>Days Since Applied</t>
        </is>
      </c>
    </row>
    <row r="2">
      <c r="A2" s="2" t="n"/>
      <c r="B2" s="2" t="n"/>
      <c r="C2" s="2" t="n"/>
      <c r="D2" s="2" t="n"/>
      <c r="E2" s="2" t="n"/>
      <c r="F2" s="2" t="n"/>
      <c r="G2" s="2" t="n"/>
      <c r="H2" s="2" t="n"/>
      <c r="I2" s="2" t="n"/>
      <c r="J2" s="2" t="n"/>
      <c r="K2" s="2" t="n"/>
      <c r="L2" s="2" t="n"/>
      <c r="M2" s="2" t="n"/>
      <c r="N2" s="2" t="n"/>
      <c r="O2" s="2" t="n"/>
      <c r="P2" s="2" t="n"/>
      <c r="Q2" s="2">
        <f>IF(G2="","",TODAY()-G2)</f>
        <v/>
      </c>
    </row>
    <row r="3">
      <c r="A3" s="2" t="n"/>
      <c r="B3" s="2" t="n"/>
      <c r="C3" s="2" t="n"/>
      <c r="D3" s="2" t="n"/>
      <c r="E3" s="2" t="n"/>
      <c r="F3" s="2" t="n"/>
      <c r="G3" s="2" t="n"/>
      <c r="H3" s="2" t="n"/>
      <c r="I3" s="2" t="n"/>
      <c r="J3" s="2" t="n"/>
      <c r="K3" s="2" t="n"/>
      <c r="L3" s="2" t="n"/>
      <c r="M3" s="2" t="n"/>
      <c r="N3" s="2" t="n"/>
      <c r="O3" s="2" t="n"/>
      <c r="P3" s="2" t="n"/>
      <c r="Q3" s="2">
        <f>IF(G3="","",TODAY()-G3)</f>
        <v/>
      </c>
    </row>
    <row r="4">
      <c r="A4" s="2" t="n"/>
      <c r="B4" s="2" t="n"/>
      <c r="C4" s="2" t="n"/>
      <c r="D4" s="2" t="n"/>
      <c r="E4" s="2" t="n"/>
      <c r="F4" s="2" t="n"/>
      <c r="G4" s="2" t="n"/>
      <c r="H4" s="2" t="n"/>
      <c r="I4" s="2" t="n"/>
      <c r="J4" s="2" t="n"/>
      <c r="K4" s="2" t="n"/>
      <c r="L4" s="2" t="n"/>
      <c r="M4" s="2" t="n"/>
      <c r="N4" s="2" t="n"/>
      <c r="O4" s="2" t="n"/>
      <c r="P4" s="2" t="n"/>
      <c r="Q4" s="2">
        <f>IF(G4="","",TODAY()-G4)</f>
        <v/>
      </c>
    </row>
    <row r="5">
      <c r="A5" s="2" t="n"/>
      <c r="B5" s="2" t="n"/>
      <c r="C5" s="2" t="n"/>
      <c r="D5" s="2" t="n"/>
      <c r="E5" s="2" t="n"/>
      <c r="F5" s="2" t="n"/>
      <c r="G5" s="2" t="n"/>
      <c r="H5" s="2" t="n"/>
      <c r="I5" s="2" t="n"/>
      <c r="J5" s="2" t="n"/>
      <c r="K5" s="2" t="n"/>
      <c r="L5" s="2" t="n"/>
      <c r="M5" s="2" t="n"/>
      <c r="N5" s="2" t="n"/>
      <c r="O5" s="2" t="n"/>
      <c r="P5" s="2" t="n"/>
      <c r="Q5" s="2">
        <f>IF(G5="","",TODAY()-G5)</f>
        <v/>
      </c>
    </row>
    <row r="6">
      <c r="A6" s="2" t="n"/>
      <c r="B6" s="2" t="n"/>
      <c r="C6" s="2" t="n"/>
      <c r="D6" s="2" t="n"/>
      <c r="E6" s="2" t="n"/>
      <c r="F6" s="2" t="n"/>
      <c r="G6" s="2" t="n"/>
      <c r="H6" s="2" t="n"/>
      <c r="I6" s="2" t="n"/>
      <c r="J6" s="2" t="n"/>
      <c r="K6" s="2" t="n"/>
      <c r="L6" s="2" t="n"/>
      <c r="M6" s="2" t="n"/>
      <c r="N6" s="2" t="n"/>
      <c r="O6" s="2" t="n"/>
      <c r="P6" s="2" t="n"/>
      <c r="Q6" s="2">
        <f>IF(G6="","",TODAY()-G6)</f>
        <v/>
      </c>
    </row>
    <row r="7">
      <c r="A7" s="2" t="n"/>
      <c r="B7" s="2" t="n"/>
      <c r="C7" s="2" t="n"/>
      <c r="D7" s="2" t="n"/>
      <c r="E7" s="2" t="n"/>
      <c r="F7" s="2" t="n"/>
      <c r="G7" s="2" t="n"/>
      <c r="H7" s="2" t="n"/>
      <c r="I7" s="2" t="n"/>
      <c r="J7" s="2" t="n"/>
      <c r="K7" s="2" t="n"/>
      <c r="L7" s="2" t="n"/>
      <c r="M7" s="2" t="n"/>
      <c r="N7" s="2" t="n"/>
      <c r="O7" s="2" t="n"/>
      <c r="P7" s="2" t="n"/>
      <c r="Q7" s="2">
        <f>IF(G7="","",TODAY()-G7)</f>
        <v/>
      </c>
    </row>
    <row r="8">
      <c r="A8" s="2" t="n"/>
      <c r="B8" s="2" t="n"/>
      <c r="C8" s="2" t="n"/>
      <c r="D8" s="2" t="n"/>
      <c r="E8" s="2" t="n"/>
      <c r="F8" s="2" t="n"/>
      <c r="G8" s="2" t="n"/>
      <c r="H8" s="2" t="n"/>
      <c r="I8" s="2" t="n"/>
      <c r="J8" s="2" t="n"/>
      <c r="K8" s="2" t="n"/>
      <c r="L8" s="2" t="n"/>
      <c r="M8" s="2" t="n"/>
      <c r="N8" s="2" t="n"/>
      <c r="O8" s="2" t="n"/>
      <c r="P8" s="2" t="n"/>
      <c r="Q8" s="2">
        <f>IF(G8="","",TODAY()-G8)</f>
        <v/>
      </c>
    </row>
    <row r="9">
      <c r="A9" s="2" t="n"/>
      <c r="B9" s="2" t="n"/>
      <c r="C9" s="2" t="n"/>
      <c r="D9" s="2" t="n"/>
      <c r="E9" s="2" t="n"/>
      <c r="F9" s="2" t="n"/>
      <c r="G9" s="2" t="n"/>
      <c r="H9" s="2" t="n"/>
      <c r="I9" s="2" t="n"/>
      <c r="J9" s="2" t="n"/>
      <c r="K9" s="2" t="n"/>
      <c r="L9" s="2" t="n"/>
      <c r="M9" s="2" t="n"/>
      <c r="N9" s="2" t="n"/>
      <c r="O9" s="2" t="n"/>
      <c r="P9" s="2" t="n"/>
      <c r="Q9" s="2">
        <f>IF(G9="","",TODAY()-G9)</f>
        <v/>
      </c>
    </row>
    <row r="10">
      <c r="A10" s="2" t="n"/>
      <c r="B10" s="2" t="n"/>
      <c r="C10" s="2" t="n"/>
      <c r="D10" s="2" t="n"/>
      <c r="E10" s="2" t="n"/>
      <c r="F10" s="2" t="n"/>
      <c r="G10" s="2" t="n"/>
      <c r="H10" s="2" t="n"/>
      <c r="I10" s="2" t="n"/>
      <c r="J10" s="2" t="n"/>
      <c r="K10" s="2" t="n"/>
      <c r="L10" s="2" t="n"/>
      <c r="M10" s="2" t="n"/>
      <c r="N10" s="2" t="n"/>
      <c r="O10" s="2" t="n"/>
      <c r="P10" s="2" t="n"/>
      <c r="Q10" s="2">
        <f>IF(G10="","",TODAY()-G10)</f>
        <v/>
      </c>
    </row>
    <row r="11">
      <c r="A11" s="2" t="n"/>
      <c r="B11" s="2" t="n"/>
      <c r="C11" s="2" t="n"/>
      <c r="D11" s="2" t="n"/>
      <c r="E11" s="2" t="n"/>
      <c r="F11" s="2" t="n"/>
      <c r="G11" s="2" t="n"/>
      <c r="H11" s="2" t="n"/>
      <c r="I11" s="2" t="n"/>
      <c r="J11" s="2" t="n"/>
      <c r="K11" s="2" t="n"/>
      <c r="L11" s="2" t="n"/>
      <c r="M11" s="2" t="n"/>
      <c r="N11" s="2" t="n"/>
      <c r="O11" s="2" t="n"/>
      <c r="P11" s="2" t="n"/>
      <c r="Q11" s="2">
        <f>IF(G11="","",TODAY()-G11)</f>
        <v/>
      </c>
    </row>
    <row r="12">
      <c r="A12" s="2" t="n"/>
      <c r="B12" s="2" t="n"/>
      <c r="C12" s="2" t="n"/>
      <c r="D12" s="2" t="n"/>
      <c r="E12" s="2" t="n"/>
      <c r="F12" s="2" t="n"/>
      <c r="G12" s="2" t="n"/>
      <c r="H12" s="2" t="n"/>
      <c r="I12" s="2" t="n"/>
      <c r="J12" s="2" t="n"/>
      <c r="K12" s="2" t="n"/>
      <c r="L12" s="2" t="n"/>
      <c r="M12" s="2" t="n"/>
      <c r="N12" s="2" t="n"/>
      <c r="O12" s="2" t="n"/>
      <c r="P12" s="2" t="n"/>
      <c r="Q12" s="2">
        <f>IF(G12="","",TODAY()-G12)</f>
        <v/>
      </c>
    </row>
    <row r="13">
      <c r="A13" s="2" t="n"/>
      <c r="B13" s="2" t="n"/>
      <c r="C13" s="2" t="n"/>
      <c r="D13" s="2" t="n"/>
      <c r="E13" s="2" t="n"/>
      <c r="F13" s="2" t="n"/>
      <c r="G13" s="2" t="n"/>
      <c r="H13" s="2" t="n"/>
      <c r="I13" s="2" t="n"/>
      <c r="J13" s="2" t="n"/>
      <c r="K13" s="2" t="n"/>
      <c r="L13" s="2" t="n"/>
      <c r="M13" s="2" t="n"/>
      <c r="N13" s="2" t="n"/>
      <c r="O13" s="2" t="n"/>
      <c r="P13" s="2" t="n"/>
      <c r="Q13" s="2">
        <f>IF(G13="","",TODAY()-G13)</f>
        <v/>
      </c>
    </row>
    <row r="14">
      <c r="A14" s="2" t="n"/>
      <c r="B14" s="2" t="n"/>
      <c r="C14" s="2" t="n"/>
      <c r="D14" s="2" t="n"/>
      <c r="E14" s="2" t="n"/>
      <c r="F14" s="2" t="n"/>
      <c r="G14" s="2" t="n"/>
      <c r="H14" s="2" t="n"/>
      <c r="I14" s="2" t="n"/>
      <c r="J14" s="2" t="n"/>
      <c r="K14" s="2" t="n"/>
      <c r="L14" s="2" t="n"/>
      <c r="M14" s="2" t="n"/>
      <c r="N14" s="2" t="n"/>
      <c r="O14" s="2" t="n"/>
      <c r="P14" s="2" t="n"/>
      <c r="Q14" s="2">
        <f>IF(G14="","",TODAY()-G14)</f>
        <v/>
      </c>
    </row>
    <row r="15">
      <c r="A15" s="2" t="n"/>
      <c r="B15" s="2" t="n"/>
      <c r="C15" s="2" t="n"/>
      <c r="D15" s="2" t="n"/>
      <c r="E15" s="2" t="n"/>
      <c r="F15" s="2" t="n"/>
      <c r="G15" s="2" t="n"/>
      <c r="H15" s="2" t="n"/>
      <c r="I15" s="2" t="n"/>
      <c r="J15" s="2" t="n"/>
      <c r="K15" s="2" t="n"/>
      <c r="L15" s="2" t="n"/>
      <c r="M15" s="2" t="n"/>
      <c r="N15" s="2" t="n"/>
      <c r="O15" s="2" t="n"/>
      <c r="P15" s="2" t="n"/>
      <c r="Q15" s="2">
        <f>IF(G15="","",TODAY()-G15)</f>
        <v/>
      </c>
    </row>
    <row r="16">
      <c r="A16" s="2" t="n"/>
      <c r="B16" s="2" t="n"/>
      <c r="C16" s="2" t="n"/>
      <c r="D16" s="2" t="n"/>
      <c r="E16" s="2" t="n"/>
      <c r="F16" s="2" t="n"/>
      <c r="G16" s="2" t="n"/>
      <c r="H16" s="2" t="n"/>
      <c r="I16" s="2" t="n"/>
      <c r="J16" s="2" t="n"/>
      <c r="K16" s="2" t="n"/>
      <c r="L16" s="2" t="n"/>
      <c r="M16" s="2" t="n"/>
      <c r="N16" s="2" t="n"/>
      <c r="O16" s="2" t="n"/>
      <c r="P16" s="2" t="n"/>
      <c r="Q16" s="2">
        <f>IF(G16="","",TODAY()-G16)</f>
        <v/>
      </c>
    </row>
    <row r="17">
      <c r="A17" s="2" t="n"/>
      <c r="B17" s="2" t="n"/>
      <c r="C17" s="2" t="n"/>
      <c r="D17" s="2" t="n"/>
      <c r="E17" s="2" t="n"/>
      <c r="F17" s="2" t="n"/>
      <c r="G17" s="2" t="n"/>
      <c r="H17" s="2" t="n"/>
      <c r="I17" s="2" t="n"/>
      <c r="J17" s="2" t="n"/>
      <c r="K17" s="2" t="n"/>
      <c r="L17" s="2" t="n"/>
      <c r="M17" s="2" t="n"/>
      <c r="N17" s="2" t="n"/>
      <c r="O17" s="2" t="n"/>
      <c r="P17" s="2" t="n"/>
      <c r="Q17" s="2">
        <f>IF(G17="","",TODAY()-G17)</f>
        <v/>
      </c>
    </row>
    <row r="18">
      <c r="A18" s="2" t="n"/>
      <c r="B18" s="2" t="n"/>
      <c r="C18" s="2" t="n"/>
      <c r="D18" s="2" t="n"/>
      <c r="E18" s="2" t="n"/>
      <c r="F18" s="2" t="n"/>
      <c r="G18" s="2" t="n"/>
      <c r="H18" s="2" t="n"/>
      <c r="I18" s="2" t="n"/>
      <c r="J18" s="2" t="n"/>
      <c r="K18" s="2" t="n"/>
      <c r="L18" s="2" t="n"/>
      <c r="M18" s="2" t="n"/>
      <c r="N18" s="2" t="n"/>
      <c r="O18" s="2" t="n"/>
      <c r="P18" s="2" t="n"/>
      <c r="Q18" s="2">
        <f>IF(G18="","",TODAY()-G18)</f>
        <v/>
      </c>
    </row>
    <row r="19">
      <c r="A19" s="2" t="n"/>
      <c r="B19" s="2" t="n"/>
      <c r="C19" s="2" t="n"/>
      <c r="D19" s="2" t="n"/>
      <c r="E19" s="2" t="n"/>
      <c r="F19" s="2" t="n"/>
      <c r="G19" s="2" t="n"/>
      <c r="H19" s="2" t="n"/>
      <c r="I19" s="2" t="n"/>
      <c r="J19" s="2" t="n"/>
      <c r="K19" s="2" t="n"/>
      <c r="L19" s="2" t="n"/>
      <c r="M19" s="2" t="n"/>
      <c r="N19" s="2" t="n"/>
      <c r="O19" s="2" t="n"/>
      <c r="P19" s="2" t="n"/>
      <c r="Q19" s="2">
        <f>IF(G19="","",TODAY()-G19)</f>
        <v/>
      </c>
    </row>
    <row r="20">
      <c r="A20" s="2" t="n"/>
      <c r="B20" s="2" t="n"/>
      <c r="C20" s="2" t="n"/>
      <c r="D20" s="2" t="n"/>
      <c r="E20" s="2" t="n"/>
      <c r="F20" s="2" t="n"/>
      <c r="G20" s="2" t="n"/>
      <c r="H20" s="2" t="n"/>
      <c r="I20" s="2" t="n"/>
      <c r="J20" s="2" t="n"/>
      <c r="K20" s="2" t="n"/>
      <c r="L20" s="2" t="n"/>
      <c r="M20" s="2" t="n"/>
      <c r="N20" s="2" t="n"/>
      <c r="O20" s="2" t="n"/>
      <c r="P20" s="2" t="n"/>
      <c r="Q20" s="2">
        <f>IF(G20="","",TODAY()-G20)</f>
        <v/>
      </c>
    </row>
    <row r="21">
      <c r="A21" s="2" t="n"/>
      <c r="B21" s="2" t="n"/>
      <c r="C21" s="2" t="n"/>
      <c r="D21" s="2" t="n"/>
      <c r="E21" s="2" t="n"/>
      <c r="F21" s="2" t="n"/>
      <c r="G21" s="2" t="n"/>
      <c r="H21" s="2" t="n"/>
      <c r="I21" s="2" t="n"/>
      <c r="J21" s="2" t="n"/>
      <c r="K21" s="2" t="n"/>
      <c r="L21" s="2" t="n"/>
      <c r="M21" s="2" t="n"/>
      <c r="N21" s="2" t="n"/>
      <c r="O21" s="2" t="n"/>
      <c r="P21" s="2" t="n"/>
      <c r="Q21" s="2">
        <f>IF(G21="","",TODAY()-G21)</f>
        <v/>
      </c>
    </row>
    <row r="22">
      <c r="A22" s="2" t="n"/>
      <c r="B22" s="2" t="n"/>
      <c r="C22" s="2" t="n"/>
      <c r="D22" s="2" t="n"/>
      <c r="E22" s="2" t="n"/>
      <c r="F22" s="2" t="n"/>
      <c r="G22" s="2" t="n"/>
      <c r="H22" s="2" t="n"/>
      <c r="I22" s="2" t="n"/>
      <c r="J22" s="2" t="n"/>
      <c r="K22" s="2" t="n"/>
      <c r="L22" s="2" t="n"/>
      <c r="M22" s="2" t="n"/>
      <c r="N22" s="2" t="n"/>
      <c r="O22" s="2" t="n"/>
      <c r="P22" s="2" t="n"/>
      <c r="Q22" s="2">
        <f>IF(G22="","",TODAY()-G22)</f>
        <v/>
      </c>
    </row>
    <row r="23">
      <c r="A23" s="2" t="n"/>
      <c r="B23" s="2" t="n"/>
      <c r="C23" s="2" t="n"/>
      <c r="D23" s="2" t="n"/>
      <c r="E23" s="2" t="n"/>
      <c r="F23" s="2" t="n"/>
      <c r="G23" s="2" t="n"/>
      <c r="H23" s="2" t="n"/>
      <c r="I23" s="2" t="n"/>
      <c r="J23" s="2" t="n"/>
      <c r="K23" s="2" t="n"/>
      <c r="L23" s="2" t="n"/>
      <c r="M23" s="2" t="n"/>
      <c r="N23" s="2" t="n"/>
      <c r="O23" s="2" t="n"/>
      <c r="P23" s="2" t="n"/>
      <c r="Q23" s="2">
        <f>IF(G23="","",TODAY()-G23)</f>
        <v/>
      </c>
    </row>
    <row r="24">
      <c r="A24" s="2" t="n"/>
      <c r="B24" s="2" t="n"/>
      <c r="C24" s="2" t="n"/>
      <c r="D24" s="2" t="n"/>
      <c r="E24" s="2" t="n"/>
      <c r="F24" s="2" t="n"/>
      <c r="G24" s="2" t="n"/>
      <c r="H24" s="2" t="n"/>
      <c r="I24" s="2" t="n"/>
      <c r="J24" s="2" t="n"/>
      <c r="K24" s="2" t="n"/>
      <c r="L24" s="2" t="n"/>
      <c r="M24" s="2" t="n"/>
      <c r="N24" s="2" t="n"/>
      <c r="O24" s="2" t="n"/>
      <c r="P24" s="2" t="n"/>
      <c r="Q24" s="2">
        <f>IF(G24="","",TODAY()-G24)</f>
        <v/>
      </c>
    </row>
    <row r="25">
      <c r="A25" s="2" t="n"/>
      <c r="B25" s="2" t="n"/>
      <c r="C25" s="2" t="n"/>
      <c r="D25" s="2" t="n"/>
      <c r="E25" s="2" t="n"/>
      <c r="F25" s="2" t="n"/>
      <c r="G25" s="2" t="n"/>
      <c r="H25" s="2" t="n"/>
      <c r="I25" s="2" t="n"/>
      <c r="J25" s="2" t="n"/>
      <c r="K25" s="2" t="n"/>
      <c r="L25" s="2" t="n"/>
      <c r="M25" s="2" t="n"/>
      <c r="N25" s="2" t="n"/>
      <c r="O25" s="2" t="n"/>
      <c r="P25" s="2" t="n"/>
      <c r="Q25" s="2">
        <f>IF(G25="","",TODAY()-G25)</f>
        <v/>
      </c>
    </row>
    <row r="26">
      <c r="A26" s="2" t="n"/>
      <c r="B26" s="2" t="n"/>
      <c r="C26" s="2" t="n"/>
      <c r="D26" s="2" t="n"/>
      <c r="E26" s="2" t="n"/>
      <c r="F26" s="2" t="n"/>
      <c r="G26" s="2" t="n"/>
      <c r="H26" s="2" t="n"/>
      <c r="I26" s="2" t="n"/>
      <c r="J26" s="2" t="n"/>
      <c r="K26" s="2" t="n"/>
      <c r="L26" s="2" t="n"/>
      <c r="M26" s="2" t="n"/>
      <c r="N26" s="2" t="n"/>
      <c r="O26" s="2" t="n"/>
      <c r="P26" s="2" t="n"/>
      <c r="Q26" s="2">
        <f>IF(G26="","",TODAY()-G26)</f>
        <v/>
      </c>
    </row>
    <row r="27">
      <c r="A27" s="2" t="n"/>
      <c r="B27" s="2" t="n"/>
      <c r="C27" s="2" t="n"/>
      <c r="D27" s="2" t="n"/>
      <c r="E27" s="2" t="n"/>
      <c r="F27" s="2" t="n"/>
      <c r="G27" s="2" t="n"/>
      <c r="H27" s="2" t="n"/>
      <c r="I27" s="2" t="n"/>
      <c r="J27" s="2" t="n"/>
      <c r="K27" s="2" t="n"/>
      <c r="L27" s="2" t="n"/>
      <c r="M27" s="2" t="n"/>
      <c r="N27" s="2" t="n"/>
      <c r="O27" s="2" t="n"/>
      <c r="P27" s="2" t="n"/>
      <c r="Q27" s="2">
        <f>IF(G27="","",TODAY()-G27)</f>
        <v/>
      </c>
    </row>
    <row r="28">
      <c r="A28" s="2" t="n"/>
      <c r="B28" s="2" t="n"/>
      <c r="C28" s="2" t="n"/>
      <c r="D28" s="2" t="n"/>
      <c r="E28" s="2" t="n"/>
      <c r="F28" s="2" t="n"/>
      <c r="G28" s="2" t="n"/>
      <c r="H28" s="2" t="n"/>
      <c r="I28" s="2" t="n"/>
      <c r="J28" s="2" t="n"/>
      <c r="K28" s="2" t="n"/>
      <c r="L28" s="2" t="n"/>
      <c r="M28" s="2" t="n"/>
      <c r="N28" s="2" t="n"/>
      <c r="O28" s="2" t="n"/>
      <c r="P28" s="2" t="n"/>
      <c r="Q28" s="2">
        <f>IF(G28="","",TODAY()-G28)</f>
        <v/>
      </c>
    </row>
    <row r="29">
      <c r="A29" s="2" t="n"/>
      <c r="B29" s="2" t="n"/>
      <c r="C29" s="2" t="n"/>
      <c r="D29" s="2" t="n"/>
      <c r="E29" s="2" t="n"/>
      <c r="F29" s="2" t="n"/>
      <c r="G29" s="2" t="n"/>
      <c r="H29" s="2" t="n"/>
      <c r="I29" s="2" t="n"/>
      <c r="J29" s="2" t="n"/>
      <c r="K29" s="2" t="n"/>
      <c r="L29" s="2" t="n"/>
      <c r="M29" s="2" t="n"/>
      <c r="N29" s="2" t="n"/>
      <c r="O29" s="2" t="n"/>
      <c r="P29" s="2" t="n"/>
      <c r="Q29" s="2">
        <f>IF(G29="","",TODAY()-G29)</f>
        <v/>
      </c>
    </row>
    <row r="30">
      <c r="A30" s="2" t="n"/>
      <c r="B30" s="2" t="n"/>
      <c r="C30" s="2" t="n"/>
      <c r="D30" s="2" t="n"/>
      <c r="E30" s="2" t="n"/>
      <c r="F30" s="2" t="n"/>
      <c r="G30" s="2" t="n"/>
      <c r="H30" s="2" t="n"/>
      <c r="I30" s="2" t="n"/>
      <c r="J30" s="2" t="n"/>
      <c r="K30" s="2" t="n"/>
      <c r="L30" s="2" t="n"/>
      <c r="M30" s="2" t="n"/>
      <c r="N30" s="2" t="n"/>
      <c r="O30" s="2" t="n"/>
      <c r="P30" s="2" t="n"/>
      <c r="Q30" s="2">
        <f>IF(G30="","",TODAY()-G30)</f>
        <v/>
      </c>
    </row>
    <row r="31">
      <c r="A31" s="2" t="n"/>
      <c r="B31" s="2" t="n"/>
      <c r="C31" s="2" t="n"/>
      <c r="D31" s="2" t="n"/>
      <c r="E31" s="2" t="n"/>
      <c r="F31" s="2" t="n"/>
      <c r="G31" s="2" t="n"/>
      <c r="H31" s="2" t="n"/>
      <c r="I31" s="2" t="n"/>
      <c r="J31" s="2" t="n"/>
      <c r="K31" s="2" t="n"/>
      <c r="L31" s="2" t="n"/>
      <c r="M31" s="2" t="n"/>
      <c r="N31" s="2" t="n"/>
      <c r="O31" s="2" t="n"/>
      <c r="P31" s="2" t="n"/>
      <c r="Q31" s="2">
        <f>IF(G31="","",TODAY()-G31)</f>
        <v/>
      </c>
    </row>
    <row r="32">
      <c r="A32" s="2" t="n"/>
      <c r="B32" s="2" t="n"/>
      <c r="C32" s="2" t="n"/>
      <c r="D32" s="2" t="n"/>
      <c r="E32" s="2" t="n"/>
      <c r="F32" s="2" t="n"/>
      <c r="G32" s="2" t="n"/>
      <c r="H32" s="2" t="n"/>
      <c r="I32" s="2" t="n"/>
      <c r="J32" s="2" t="n"/>
      <c r="K32" s="2" t="n"/>
      <c r="L32" s="2" t="n"/>
      <c r="M32" s="2" t="n"/>
      <c r="N32" s="2" t="n"/>
      <c r="O32" s="2" t="n"/>
      <c r="P32" s="2" t="n"/>
      <c r="Q32" s="2">
        <f>IF(G32="","",TODAY()-G32)</f>
        <v/>
      </c>
    </row>
    <row r="33">
      <c r="A33" s="2" t="n"/>
      <c r="B33" s="2" t="n"/>
      <c r="C33" s="2" t="n"/>
      <c r="D33" s="2" t="n"/>
      <c r="E33" s="2" t="n"/>
      <c r="F33" s="2" t="n"/>
      <c r="G33" s="2" t="n"/>
      <c r="H33" s="2" t="n"/>
      <c r="I33" s="2" t="n"/>
      <c r="J33" s="2" t="n"/>
      <c r="K33" s="2" t="n"/>
      <c r="L33" s="2" t="n"/>
      <c r="M33" s="2" t="n"/>
      <c r="N33" s="2" t="n"/>
      <c r="O33" s="2" t="n"/>
      <c r="P33" s="2" t="n"/>
      <c r="Q33" s="2">
        <f>IF(G33="","",TODAY()-G33)</f>
        <v/>
      </c>
    </row>
    <row r="34">
      <c r="A34" s="2" t="n"/>
      <c r="B34" s="2" t="n"/>
      <c r="C34" s="2" t="n"/>
      <c r="D34" s="2" t="n"/>
      <c r="E34" s="2" t="n"/>
      <c r="F34" s="2" t="n"/>
      <c r="G34" s="2" t="n"/>
      <c r="H34" s="2" t="n"/>
      <c r="I34" s="2" t="n"/>
      <c r="J34" s="2" t="n"/>
      <c r="K34" s="2" t="n"/>
      <c r="L34" s="2" t="n"/>
      <c r="M34" s="2" t="n"/>
      <c r="N34" s="2" t="n"/>
      <c r="O34" s="2" t="n"/>
      <c r="P34" s="2" t="n"/>
      <c r="Q34" s="2">
        <f>IF(G34="","",TODAY()-G34)</f>
        <v/>
      </c>
    </row>
    <row r="35">
      <c r="A35" s="2" t="n"/>
      <c r="B35" s="2" t="n"/>
      <c r="C35" s="2" t="n"/>
      <c r="D35" s="2" t="n"/>
      <c r="E35" s="2" t="n"/>
      <c r="F35" s="2" t="n"/>
      <c r="G35" s="2" t="n"/>
      <c r="H35" s="2" t="n"/>
      <c r="I35" s="2" t="n"/>
      <c r="J35" s="2" t="n"/>
      <c r="K35" s="2" t="n"/>
      <c r="L35" s="2" t="n"/>
      <c r="M35" s="2" t="n"/>
      <c r="N35" s="2" t="n"/>
      <c r="O35" s="2" t="n"/>
      <c r="P35" s="2" t="n"/>
      <c r="Q35" s="2">
        <f>IF(G35="","",TODAY()-G35)</f>
        <v/>
      </c>
    </row>
    <row r="36">
      <c r="A36" s="2" t="n"/>
      <c r="B36" s="2" t="n"/>
      <c r="C36" s="2" t="n"/>
      <c r="D36" s="2" t="n"/>
      <c r="E36" s="2" t="n"/>
      <c r="F36" s="2" t="n"/>
      <c r="G36" s="2" t="n"/>
      <c r="H36" s="2" t="n"/>
      <c r="I36" s="2" t="n"/>
      <c r="J36" s="2" t="n"/>
      <c r="K36" s="2" t="n"/>
      <c r="L36" s="2" t="n"/>
      <c r="M36" s="2" t="n"/>
      <c r="N36" s="2" t="n"/>
      <c r="O36" s="2" t="n"/>
      <c r="P36" s="2" t="n"/>
      <c r="Q36" s="2">
        <f>IF(G36="","",TODAY()-G36)</f>
        <v/>
      </c>
    </row>
    <row r="37">
      <c r="A37" s="2" t="n"/>
      <c r="B37" s="2" t="n"/>
      <c r="C37" s="2" t="n"/>
      <c r="D37" s="2" t="n"/>
      <c r="E37" s="2" t="n"/>
      <c r="F37" s="2" t="n"/>
      <c r="G37" s="2" t="n"/>
      <c r="H37" s="2" t="n"/>
      <c r="I37" s="2" t="n"/>
      <c r="J37" s="2" t="n"/>
      <c r="K37" s="2" t="n"/>
      <c r="L37" s="2" t="n"/>
      <c r="M37" s="2" t="n"/>
      <c r="N37" s="2" t="n"/>
      <c r="O37" s="2" t="n"/>
      <c r="P37" s="2" t="n"/>
      <c r="Q37" s="2">
        <f>IF(G37="","",TODAY()-G37)</f>
        <v/>
      </c>
    </row>
    <row r="38">
      <c r="A38" s="2" t="n"/>
      <c r="B38" s="2" t="n"/>
      <c r="C38" s="2" t="n"/>
      <c r="D38" s="2" t="n"/>
      <c r="E38" s="2" t="n"/>
      <c r="F38" s="2" t="n"/>
      <c r="G38" s="2" t="n"/>
      <c r="H38" s="2" t="n"/>
      <c r="I38" s="2" t="n"/>
      <c r="J38" s="2" t="n"/>
      <c r="K38" s="2" t="n"/>
      <c r="L38" s="2" t="n"/>
      <c r="M38" s="2" t="n"/>
      <c r="N38" s="2" t="n"/>
      <c r="O38" s="2" t="n"/>
      <c r="P38" s="2" t="n"/>
      <c r="Q38" s="2">
        <f>IF(G38="","",TODAY()-G38)</f>
        <v/>
      </c>
    </row>
    <row r="39">
      <c r="A39" s="2" t="n"/>
      <c r="B39" s="2" t="n"/>
      <c r="C39" s="2" t="n"/>
      <c r="D39" s="2" t="n"/>
      <c r="E39" s="2" t="n"/>
      <c r="F39" s="2" t="n"/>
      <c r="G39" s="2" t="n"/>
      <c r="H39" s="2" t="n"/>
      <c r="I39" s="2" t="n"/>
      <c r="J39" s="2" t="n"/>
      <c r="K39" s="2" t="n"/>
      <c r="L39" s="2" t="n"/>
      <c r="M39" s="2" t="n"/>
      <c r="N39" s="2" t="n"/>
      <c r="O39" s="2" t="n"/>
      <c r="P39" s="2" t="n"/>
      <c r="Q39" s="2">
        <f>IF(G39="","",TODAY()-G39)</f>
        <v/>
      </c>
    </row>
    <row r="40">
      <c r="A40" s="2" t="n"/>
      <c r="B40" s="2" t="n"/>
      <c r="C40" s="2" t="n"/>
      <c r="D40" s="2" t="n"/>
      <c r="E40" s="2" t="n"/>
      <c r="F40" s="2" t="n"/>
      <c r="G40" s="2" t="n"/>
      <c r="H40" s="2" t="n"/>
      <c r="I40" s="2" t="n"/>
      <c r="J40" s="2" t="n"/>
      <c r="K40" s="2" t="n"/>
      <c r="L40" s="2" t="n"/>
      <c r="M40" s="2" t="n"/>
      <c r="N40" s="2" t="n"/>
      <c r="O40" s="2" t="n"/>
      <c r="P40" s="2" t="n"/>
      <c r="Q40" s="2">
        <f>IF(G40="","",TODAY()-G40)</f>
        <v/>
      </c>
    </row>
    <row r="41">
      <c r="A41" s="2" t="n"/>
      <c r="B41" s="2" t="n"/>
      <c r="C41" s="2" t="n"/>
      <c r="D41" s="2" t="n"/>
      <c r="E41" s="2" t="n"/>
      <c r="F41" s="2" t="n"/>
      <c r="G41" s="2" t="n"/>
      <c r="H41" s="2" t="n"/>
      <c r="I41" s="2" t="n"/>
      <c r="J41" s="2" t="n"/>
      <c r="K41" s="2" t="n"/>
      <c r="L41" s="2" t="n"/>
      <c r="M41" s="2" t="n"/>
      <c r="N41" s="2" t="n"/>
      <c r="O41" s="2" t="n"/>
      <c r="P41" s="2" t="n"/>
      <c r="Q41" s="2">
        <f>IF(G41="","",TODAY()-G41)</f>
        <v/>
      </c>
    </row>
    <row r="42">
      <c r="A42" s="2" t="n"/>
      <c r="B42" s="2" t="n"/>
      <c r="C42" s="2" t="n"/>
      <c r="D42" s="2" t="n"/>
      <c r="E42" s="2" t="n"/>
      <c r="F42" s="2" t="n"/>
      <c r="G42" s="2" t="n"/>
      <c r="H42" s="2" t="n"/>
      <c r="I42" s="2" t="n"/>
      <c r="J42" s="2" t="n"/>
      <c r="K42" s="2" t="n"/>
      <c r="L42" s="2" t="n"/>
      <c r="M42" s="2" t="n"/>
      <c r="N42" s="2" t="n"/>
      <c r="O42" s="2" t="n"/>
      <c r="P42" s="2" t="n"/>
      <c r="Q42" s="2">
        <f>IF(G42="","",TODAY()-G42)</f>
        <v/>
      </c>
    </row>
    <row r="43">
      <c r="A43" s="2" t="n"/>
      <c r="B43" s="2" t="n"/>
      <c r="C43" s="2" t="n"/>
      <c r="D43" s="2" t="n"/>
      <c r="E43" s="2" t="n"/>
      <c r="F43" s="2" t="n"/>
      <c r="G43" s="2" t="n"/>
      <c r="H43" s="2" t="n"/>
      <c r="I43" s="2" t="n"/>
      <c r="J43" s="2" t="n"/>
      <c r="K43" s="2" t="n"/>
      <c r="L43" s="2" t="n"/>
      <c r="M43" s="2" t="n"/>
      <c r="N43" s="2" t="n"/>
      <c r="O43" s="2" t="n"/>
      <c r="P43" s="2" t="n"/>
      <c r="Q43" s="2">
        <f>IF(G43="","",TODAY()-G43)</f>
        <v/>
      </c>
    </row>
    <row r="44">
      <c r="A44" s="2" t="n"/>
      <c r="B44" s="2" t="n"/>
      <c r="C44" s="2" t="n"/>
      <c r="D44" s="2" t="n"/>
      <c r="E44" s="2" t="n"/>
      <c r="F44" s="2" t="n"/>
      <c r="G44" s="2" t="n"/>
      <c r="H44" s="2" t="n"/>
      <c r="I44" s="2" t="n"/>
      <c r="J44" s="2" t="n"/>
      <c r="K44" s="2" t="n"/>
      <c r="L44" s="2" t="n"/>
      <c r="M44" s="2" t="n"/>
      <c r="N44" s="2" t="n"/>
      <c r="O44" s="2" t="n"/>
      <c r="P44" s="2" t="n"/>
      <c r="Q44" s="2">
        <f>IF(G44="","",TODAY()-G44)</f>
        <v/>
      </c>
    </row>
    <row r="45">
      <c r="A45" s="2" t="n"/>
      <c r="B45" s="2" t="n"/>
      <c r="C45" s="2" t="n"/>
      <c r="D45" s="2" t="n"/>
      <c r="E45" s="2" t="n"/>
      <c r="F45" s="2" t="n"/>
      <c r="G45" s="2" t="n"/>
      <c r="H45" s="2" t="n"/>
      <c r="I45" s="2" t="n"/>
      <c r="J45" s="2" t="n"/>
      <c r="K45" s="2" t="n"/>
      <c r="L45" s="2" t="n"/>
      <c r="M45" s="2" t="n"/>
      <c r="N45" s="2" t="n"/>
      <c r="O45" s="2" t="n"/>
      <c r="P45" s="2" t="n"/>
      <c r="Q45" s="2">
        <f>IF(G45="","",TODAY()-G45)</f>
        <v/>
      </c>
    </row>
    <row r="46">
      <c r="A46" s="2" t="n"/>
      <c r="B46" s="2" t="n"/>
      <c r="C46" s="2" t="n"/>
      <c r="D46" s="2" t="n"/>
      <c r="E46" s="2" t="n"/>
      <c r="F46" s="2" t="n"/>
      <c r="G46" s="2" t="n"/>
      <c r="H46" s="2" t="n"/>
      <c r="I46" s="2" t="n"/>
      <c r="J46" s="2" t="n"/>
      <c r="K46" s="2" t="n"/>
      <c r="L46" s="2" t="n"/>
      <c r="M46" s="2" t="n"/>
      <c r="N46" s="2" t="n"/>
      <c r="O46" s="2" t="n"/>
      <c r="P46" s="2" t="n"/>
      <c r="Q46" s="2">
        <f>IF(G46="","",TODAY()-G46)</f>
        <v/>
      </c>
    </row>
    <row r="47">
      <c r="A47" s="2" t="n"/>
      <c r="B47" s="2" t="n"/>
      <c r="C47" s="2" t="n"/>
      <c r="D47" s="2" t="n"/>
      <c r="E47" s="2" t="n"/>
      <c r="F47" s="2" t="n"/>
      <c r="G47" s="2" t="n"/>
      <c r="H47" s="2" t="n"/>
      <c r="I47" s="2" t="n"/>
      <c r="J47" s="2" t="n"/>
      <c r="K47" s="2" t="n"/>
      <c r="L47" s="2" t="n"/>
      <c r="M47" s="2" t="n"/>
      <c r="N47" s="2" t="n"/>
      <c r="O47" s="2" t="n"/>
      <c r="P47" s="2" t="n"/>
      <c r="Q47" s="2">
        <f>IF(G47="","",TODAY()-G47)</f>
        <v/>
      </c>
    </row>
    <row r="48">
      <c r="A48" s="2" t="n"/>
      <c r="B48" s="2" t="n"/>
      <c r="C48" s="2" t="n"/>
      <c r="D48" s="2" t="n"/>
      <c r="E48" s="2" t="n"/>
      <c r="F48" s="2" t="n"/>
      <c r="G48" s="2" t="n"/>
      <c r="H48" s="2" t="n"/>
      <c r="I48" s="2" t="n"/>
      <c r="J48" s="2" t="n"/>
      <c r="K48" s="2" t="n"/>
      <c r="L48" s="2" t="n"/>
      <c r="M48" s="2" t="n"/>
      <c r="N48" s="2" t="n"/>
      <c r="O48" s="2" t="n"/>
      <c r="P48" s="2" t="n"/>
      <c r="Q48" s="2">
        <f>IF(G48="","",TODAY()-G48)</f>
        <v/>
      </c>
    </row>
    <row r="49">
      <c r="A49" s="2" t="n"/>
      <c r="B49" s="2" t="n"/>
      <c r="C49" s="2" t="n"/>
      <c r="D49" s="2" t="n"/>
      <c r="E49" s="2" t="n"/>
      <c r="F49" s="2" t="n"/>
      <c r="G49" s="2" t="n"/>
      <c r="H49" s="2" t="n"/>
      <c r="I49" s="2" t="n"/>
      <c r="J49" s="2" t="n"/>
      <c r="K49" s="2" t="n"/>
      <c r="L49" s="2" t="n"/>
      <c r="M49" s="2" t="n"/>
      <c r="N49" s="2" t="n"/>
      <c r="O49" s="2" t="n"/>
      <c r="P49" s="2" t="n"/>
      <c r="Q49" s="2">
        <f>IF(G49="","",TODAY()-G49)</f>
        <v/>
      </c>
    </row>
    <row r="50">
      <c r="A50" s="2" t="n"/>
      <c r="B50" s="2" t="n"/>
      <c r="C50" s="2" t="n"/>
      <c r="D50" s="2" t="n"/>
      <c r="E50" s="2" t="n"/>
      <c r="F50" s="2" t="n"/>
      <c r="G50" s="2" t="n"/>
      <c r="H50" s="2" t="n"/>
      <c r="I50" s="2" t="n"/>
      <c r="J50" s="2" t="n"/>
      <c r="K50" s="2" t="n"/>
      <c r="L50" s="2" t="n"/>
      <c r="M50" s="2" t="n"/>
      <c r="N50" s="2" t="n"/>
      <c r="O50" s="2" t="n"/>
      <c r="P50" s="2" t="n"/>
      <c r="Q50" s="2">
        <f>IF(G50="","",TODAY()-G50)</f>
        <v/>
      </c>
    </row>
    <row r="51">
      <c r="A51" s="2" t="n"/>
      <c r="B51" s="2" t="n"/>
      <c r="C51" s="2" t="n"/>
      <c r="D51" s="2" t="n"/>
      <c r="E51" s="2" t="n"/>
      <c r="F51" s="2" t="n"/>
      <c r="G51" s="2" t="n"/>
      <c r="H51" s="2" t="n"/>
      <c r="I51" s="2" t="n"/>
      <c r="J51" s="2" t="n"/>
      <c r="K51" s="2" t="n"/>
      <c r="L51" s="2" t="n"/>
      <c r="M51" s="2" t="n"/>
      <c r="N51" s="2" t="n"/>
      <c r="O51" s="2" t="n"/>
      <c r="P51" s="2" t="n"/>
      <c r="Q51" s="2">
        <f>IF(G51="","",TODAY()-G51)</f>
        <v/>
      </c>
    </row>
    <row r="52">
      <c r="A52" s="2" t="n"/>
      <c r="B52" s="2" t="n"/>
      <c r="C52" s="2" t="n"/>
      <c r="D52" s="2" t="n"/>
      <c r="E52" s="2" t="n"/>
      <c r="F52" s="2" t="n"/>
      <c r="G52" s="2" t="n"/>
      <c r="H52" s="2" t="n"/>
      <c r="I52" s="2" t="n"/>
      <c r="J52" s="2" t="n"/>
      <c r="K52" s="2" t="n"/>
      <c r="L52" s="2" t="n"/>
      <c r="M52" s="2" t="n"/>
      <c r="N52" s="2" t="n"/>
      <c r="O52" s="2" t="n"/>
      <c r="P52" s="2" t="n"/>
      <c r="Q52" s="2">
        <f>IF(G52="","",TODAY()-G52)</f>
        <v/>
      </c>
    </row>
    <row r="53">
      <c r="A53" s="2" t="n"/>
      <c r="B53" s="2" t="n"/>
      <c r="C53" s="2" t="n"/>
      <c r="D53" s="2" t="n"/>
      <c r="E53" s="2" t="n"/>
      <c r="F53" s="2" t="n"/>
      <c r="G53" s="2" t="n"/>
      <c r="H53" s="2" t="n"/>
      <c r="I53" s="2" t="n"/>
      <c r="J53" s="2" t="n"/>
      <c r="K53" s="2" t="n"/>
      <c r="L53" s="2" t="n"/>
      <c r="M53" s="2" t="n"/>
      <c r="N53" s="2" t="n"/>
      <c r="O53" s="2" t="n"/>
      <c r="P53" s="2" t="n"/>
      <c r="Q53" s="2">
        <f>IF(G53="","",TODAY()-G53)</f>
        <v/>
      </c>
    </row>
    <row r="54">
      <c r="A54" s="2" t="n"/>
      <c r="B54" s="2" t="n"/>
      <c r="C54" s="2" t="n"/>
      <c r="D54" s="2" t="n"/>
      <c r="E54" s="2" t="n"/>
      <c r="F54" s="2" t="n"/>
      <c r="G54" s="2" t="n"/>
      <c r="H54" s="2" t="n"/>
      <c r="I54" s="2" t="n"/>
      <c r="J54" s="2" t="n"/>
      <c r="K54" s="2" t="n"/>
      <c r="L54" s="2" t="n"/>
      <c r="M54" s="2" t="n"/>
      <c r="N54" s="2" t="n"/>
      <c r="O54" s="2" t="n"/>
      <c r="P54" s="2" t="n"/>
      <c r="Q54" s="2">
        <f>IF(G54="","",TODAY()-G54)</f>
        <v/>
      </c>
    </row>
    <row r="55">
      <c r="A55" s="2" t="n"/>
      <c r="B55" s="2" t="n"/>
      <c r="C55" s="2" t="n"/>
      <c r="D55" s="2" t="n"/>
      <c r="E55" s="2" t="n"/>
      <c r="F55" s="2" t="n"/>
      <c r="G55" s="2" t="n"/>
      <c r="H55" s="2" t="n"/>
      <c r="I55" s="2" t="n"/>
      <c r="J55" s="2" t="n"/>
      <c r="K55" s="2" t="n"/>
      <c r="L55" s="2" t="n"/>
      <c r="M55" s="2" t="n"/>
      <c r="N55" s="2" t="n"/>
      <c r="O55" s="2" t="n"/>
      <c r="P55" s="2" t="n"/>
      <c r="Q55" s="2">
        <f>IF(G55="","",TODAY()-G55)</f>
        <v/>
      </c>
    </row>
    <row r="56">
      <c r="A56" s="2" t="n"/>
      <c r="B56" s="2" t="n"/>
      <c r="C56" s="2" t="n"/>
      <c r="D56" s="2" t="n"/>
      <c r="E56" s="2" t="n"/>
      <c r="F56" s="2" t="n"/>
      <c r="G56" s="2" t="n"/>
      <c r="H56" s="2" t="n"/>
      <c r="I56" s="2" t="n"/>
      <c r="J56" s="2" t="n"/>
      <c r="K56" s="2" t="n"/>
      <c r="L56" s="2" t="n"/>
      <c r="M56" s="2" t="n"/>
      <c r="N56" s="2" t="n"/>
      <c r="O56" s="2" t="n"/>
      <c r="P56" s="2" t="n"/>
      <c r="Q56" s="2">
        <f>IF(G56="","",TODAY()-G56)</f>
        <v/>
      </c>
    </row>
    <row r="57">
      <c r="A57" s="2" t="n"/>
      <c r="B57" s="2" t="n"/>
      <c r="C57" s="2" t="n"/>
      <c r="D57" s="2" t="n"/>
      <c r="E57" s="2" t="n"/>
      <c r="F57" s="2" t="n"/>
      <c r="G57" s="2" t="n"/>
      <c r="H57" s="2" t="n"/>
      <c r="I57" s="2" t="n"/>
      <c r="J57" s="2" t="n"/>
      <c r="K57" s="2" t="n"/>
      <c r="L57" s="2" t="n"/>
      <c r="M57" s="2" t="n"/>
      <c r="N57" s="2" t="n"/>
      <c r="O57" s="2" t="n"/>
      <c r="P57" s="2" t="n"/>
      <c r="Q57" s="2">
        <f>IF(G57="","",TODAY()-G57)</f>
        <v/>
      </c>
    </row>
    <row r="58">
      <c r="A58" s="2" t="n"/>
      <c r="B58" s="2" t="n"/>
      <c r="C58" s="2" t="n"/>
      <c r="D58" s="2" t="n"/>
      <c r="E58" s="2" t="n"/>
      <c r="F58" s="2" t="n"/>
      <c r="G58" s="2" t="n"/>
      <c r="H58" s="2" t="n"/>
      <c r="I58" s="2" t="n"/>
      <c r="J58" s="2" t="n"/>
      <c r="K58" s="2" t="n"/>
      <c r="L58" s="2" t="n"/>
      <c r="M58" s="2" t="n"/>
      <c r="N58" s="2" t="n"/>
      <c r="O58" s="2" t="n"/>
      <c r="P58" s="2" t="n"/>
      <c r="Q58" s="2">
        <f>IF(G58="","",TODAY()-G58)</f>
        <v/>
      </c>
    </row>
    <row r="59">
      <c r="A59" s="2" t="n"/>
      <c r="B59" s="2" t="n"/>
      <c r="C59" s="2" t="n"/>
      <c r="D59" s="2" t="n"/>
      <c r="E59" s="2" t="n"/>
      <c r="F59" s="2" t="n"/>
      <c r="G59" s="2" t="n"/>
      <c r="H59" s="2" t="n"/>
      <c r="I59" s="2" t="n"/>
      <c r="J59" s="2" t="n"/>
      <c r="K59" s="2" t="n"/>
      <c r="L59" s="2" t="n"/>
      <c r="M59" s="2" t="n"/>
      <c r="N59" s="2" t="n"/>
      <c r="O59" s="2" t="n"/>
      <c r="P59" s="2" t="n"/>
      <c r="Q59" s="2">
        <f>IF(G59="","",TODAY()-G59)</f>
        <v/>
      </c>
    </row>
    <row r="60">
      <c r="A60" s="2" t="n"/>
      <c r="B60" s="2" t="n"/>
      <c r="C60" s="2" t="n"/>
      <c r="D60" s="2" t="n"/>
      <c r="E60" s="2" t="n"/>
      <c r="F60" s="2" t="n"/>
      <c r="G60" s="2" t="n"/>
      <c r="H60" s="2" t="n"/>
      <c r="I60" s="2" t="n"/>
      <c r="J60" s="2" t="n"/>
      <c r="K60" s="2" t="n"/>
      <c r="L60" s="2" t="n"/>
      <c r="M60" s="2" t="n"/>
      <c r="N60" s="2" t="n"/>
      <c r="O60" s="2" t="n"/>
      <c r="P60" s="2" t="n"/>
      <c r="Q60" s="2">
        <f>IF(G60="","",TODAY()-G60)</f>
        <v/>
      </c>
    </row>
    <row r="61">
      <c r="A61" s="2" t="n"/>
      <c r="B61" s="2" t="n"/>
      <c r="C61" s="2" t="n"/>
      <c r="D61" s="2" t="n"/>
      <c r="E61" s="2" t="n"/>
      <c r="F61" s="2" t="n"/>
      <c r="G61" s="2" t="n"/>
      <c r="H61" s="2" t="n"/>
      <c r="I61" s="2" t="n"/>
      <c r="J61" s="2" t="n"/>
      <c r="K61" s="2" t="n"/>
      <c r="L61" s="2" t="n"/>
      <c r="M61" s="2" t="n"/>
      <c r="N61" s="2" t="n"/>
      <c r="O61" s="2" t="n"/>
      <c r="P61" s="2" t="n"/>
      <c r="Q61" s="2">
        <f>IF(G61="","",TODAY()-G61)</f>
        <v/>
      </c>
    </row>
    <row r="62">
      <c r="A62" s="2" t="n"/>
      <c r="B62" s="2" t="n"/>
      <c r="C62" s="2" t="n"/>
      <c r="D62" s="2" t="n"/>
      <c r="E62" s="2" t="n"/>
      <c r="F62" s="2" t="n"/>
      <c r="G62" s="2" t="n"/>
      <c r="H62" s="2" t="n"/>
      <c r="I62" s="2" t="n"/>
      <c r="J62" s="2" t="n"/>
      <c r="K62" s="2" t="n"/>
      <c r="L62" s="2" t="n"/>
      <c r="M62" s="2" t="n"/>
      <c r="N62" s="2" t="n"/>
      <c r="O62" s="2" t="n"/>
      <c r="P62" s="2" t="n"/>
      <c r="Q62" s="2">
        <f>IF(G62="","",TODAY()-G62)</f>
        <v/>
      </c>
    </row>
    <row r="63">
      <c r="A63" s="2" t="n"/>
      <c r="B63" s="2" t="n"/>
      <c r="C63" s="2" t="n"/>
      <c r="D63" s="2" t="n"/>
      <c r="E63" s="2" t="n"/>
      <c r="F63" s="2" t="n"/>
      <c r="G63" s="2" t="n"/>
      <c r="H63" s="2" t="n"/>
      <c r="I63" s="2" t="n"/>
      <c r="J63" s="2" t="n"/>
      <c r="K63" s="2" t="n"/>
      <c r="L63" s="2" t="n"/>
      <c r="M63" s="2" t="n"/>
      <c r="N63" s="2" t="n"/>
      <c r="O63" s="2" t="n"/>
      <c r="P63" s="2" t="n"/>
      <c r="Q63" s="2">
        <f>IF(G63="","",TODAY()-G63)</f>
        <v/>
      </c>
    </row>
    <row r="64">
      <c r="A64" s="2" t="n"/>
      <c r="B64" s="2" t="n"/>
      <c r="C64" s="2" t="n"/>
      <c r="D64" s="2" t="n"/>
      <c r="E64" s="2" t="n"/>
      <c r="F64" s="2" t="n"/>
      <c r="G64" s="2" t="n"/>
      <c r="H64" s="2" t="n"/>
      <c r="I64" s="2" t="n"/>
      <c r="J64" s="2" t="n"/>
      <c r="K64" s="2" t="n"/>
      <c r="L64" s="2" t="n"/>
      <c r="M64" s="2" t="n"/>
      <c r="N64" s="2" t="n"/>
      <c r="O64" s="2" t="n"/>
      <c r="P64" s="2" t="n"/>
      <c r="Q64" s="2">
        <f>IF(G64="","",TODAY()-G64)</f>
        <v/>
      </c>
    </row>
    <row r="65">
      <c r="A65" s="2" t="n"/>
      <c r="B65" s="2" t="n"/>
      <c r="C65" s="2" t="n"/>
      <c r="D65" s="2" t="n"/>
      <c r="E65" s="2" t="n"/>
      <c r="F65" s="2" t="n"/>
      <c r="G65" s="2" t="n"/>
      <c r="H65" s="2" t="n"/>
      <c r="I65" s="2" t="n"/>
      <c r="J65" s="2" t="n"/>
      <c r="K65" s="2" t="n"/>
      <c r="L65" s="2" t="n"/>
      <c r="M65" s="2" t="n"/>
      <c r="N65" s="2" t="n"/>
      <c r="O65" s="2" t="n"/>
      <c r="P65" s="2" t="n"/>
      <c r="Q65" s="2">
        <f>IF(G65="","",TODAY()-G65)</f>
        <v/>
      </c>
    </row>
    <row r="66">
      <c r="A66" s="2" t="n"/>
      <c r="B66" s="2" t="n"/>
      <c r="C66" s="2" t="n"/>
      <c r="D66" s="2" t="n"/>
      <c r="E66" s="2" t="n"/>
      <c r="F66" s="2" t="n"/>
      <c r="G66" s="2" t="n"/>
      <c r="H66" s="2" t="n"/>
      <c r="I66" s="2" t="n"/>
      <c r="J66" s="2" t="n"/>
      <c r="K66" s="2" t="n"/>
      <c r="L66" s="2" t="n"/>
      <c r="M66" s="2" t="n"/>
      <c r="N66" s="2" t="n"/>
      <c r="O66" s="2" t="n"/>
      <c r="P66" s="2" t="n"/>
      <c r="Q66" s="2">
        <f>IF(G66="","",TODAY()-G66)</f>
        <v/>
      </c>
    </row>
    <row r="67">
      <c r="A67" s="2" t="n"/>
      <c r="B67" s="2" t="n"/>
      <c r="C67" s="2" t="n"/>
      <c r="D67" s="2" t="n"/>
      <c r="E67" s="2" t="n"/>
      <c r="F67" s="2" t="n"/>
      <c r="G67" s="2" t="n"/>
      <c r="H67" s="2" t="n"/>
      <c r="I67" s="2" t="n"/>
      <c r="J67" s="2" t="n"/>
      <c r="K67" s="2" t="n"/>
      <c r="L67" s="2" t="n"/>
      <c r="M67" s="2" t="n"/>
      <c r="N67" s="2" t="n"/>
      <c r="O67" s="2" t="n"/>
      <c r="P67" s="2" t="n"/>
      <c r="Q67" s="2">
        <f>IF(G67="","",TODAY()-G67)</f>
        <v/>
      </c>
    </row>
    <row r="68">
      <c r="A68" s="2" t="n"/>
      <c r="B68" s="2" t="n"/>
      <c r="C68" s="2" t="n"/>
      <c r="D68" s="2" t="n"/>
      <c r="E68" s="2" t="n"/>
      <c r="F68" s="2" t="n"/>
      <c r="G68" s="2" t="n"/>
      <c r="H68" s="2" t="n"/>
      <c r="I68" s="2" t="n"/>
      <c r="J68" s="2" t="n"/>
      <c r="K68" s="2" t="n"/>
      <c r="L68" s="2" t="n"/>
      <c r="M68" s="2" t="n"/>
      <c r="N68" s="2" t="n"/>
      <c r="O68" s="2" t="n"/>
      <c r="P68" s="2" t="n"/>
      <c r="Q68" s="2">
        <f>IF(G68="","",TODAY()-G68)</f>
        <v/>
      </c>
    </row>
    <row r="69">
      <c r="A69" s="2" t="n"/>
      <c r="B69" s="2" t="n"/>
      <c r="C69" s="2" t="n"/>
      <c r="D69" s="2" t="n"/>
      <c r="E69" s="2" t="n"/>
      <c r="F69" s="2" t="n"/>
      <c r="G69" s="2" t="n"/>
      <c r="H69" s="2" t="n"/>
      <c r="I69" s="2" t="n"/>
      <c r="J69" s="2" t="n"/>
      <c r="K69" s="2" t="n"/>
      <c r="L69" s="2" t="n"/>
      <c r="M69" s="2" t="n"/>
      <c r="N69" s="2" t="n"/>
      <c r="O69" s="2" t="n"/>
      <c r="P69" s="2" t="n"/>
      <c r="Q69" s="2">
        <f>IF(G69="","",TODAY()-G69)</f>
        <v/>
      </c>
    </row>
    <row r="70">
      <c r="A70" s="2" t="n"/>
      <c r="B70" s="2" t="n"/>
      <c r="C70" s="2" t="n"/>
      <c r="D70" s="2" t="n"/>
      <c r="E70" s="2" t="n"/>
      <c r="F70" s="2" t="n"/>
      <c r="G70" s="2" t="n"/>
      <c r="H70" s="2" t="n"/>
      <c r="I70" s="2" t="n"/>
      <c r="J70" s="2" t="n"/>
      <c r="K70" s="2" t="n"/>
      <c r="L70" s="2" t="n"/>
      <c r="M70" s="2" t="n"/>
      <c r="N70" s="2" t="n"/>
      <c r="O70" s="2" t="n"/>
      <c r="P70" s="2" t="n"/>
      <c r="Q70" s="2">
        <f>IF(G70="","",TODAY()-G70)</f>
        <v/>
      </c>
    </row>
    <row r="71">
      <c r="A71" s="2" t="n"/>
      <c r="B71" s="2" t="n"/>
      <c r="C71" s="2" t="n"/>
      <c r="D71" s="2" t="n"/>
      <c r="E71" s="2" t="n"/>
      <c r="F71" s="2" t="n"/>
      <c r="G71" s="2" t="n"/>
      <c r="H71" s="2" t="n"/>
      <c r="I71" s="2" t="n"/>
      <c r="J71" s="2" t="n"/>
      <c r="K71" s="2" t="n"/>
      <c r="L71" s="2" t="n"/>
      <c r="M71" s="2" t="n"/>
      <c r="N71" s="2" t="n"/>
      <c r="O71" s="2" t="n"/>
      <c r="P71" s="2" t="n"/>
      <c r="Q71" s="2">
        <f>IF(G71="","",TODAY()-G71)</f>
        <v/>
      </c>
    </row>
    <row r="72">
      <c r="A72" s="2" t="n"/>
      <c r="B72" s="2" t="n"/>
      <c r="C72" s="2" t="n"/>
      <c r="D72" s="2" t="n"/>
      <c r="E72" s="2" t="n"/>
      <c r="F72" s="2" t="n"/>
      <c r="G72" s="2" t="n"/>
      <c r="H72" s="2" t="n"/>
      <c r="I72" s="2" t="n"/>
      <c r="J72" s="2" t="n"/>
      <c r="K72" s="2" t="n"/>
      <c r="L72" s="2" t="n"/>
      <c r="M72" s="2" t="n"/>
      <c r="N72" s="2" t="n"/>
      <c r="O72" s="2" t="n"/>
      <c r="P72" s="2" t="n"/>
      <c r="Q72" s="2">
        <f>IF(G72="","",TODAY()-G72)</f>
        <v/>
      </c>
    </row>
    <row r="73">
      <c r="A73" s="2" t="n"/>
      <c r="B73" s="2" t="n"/>
      <c r="C73" s="2" t="n"/>
      <c r="D73" s="2" t="n"/>
      <c r="E73" s="2" t="n"/>
      <c r="F73" s="2" t="n"/>
      <c r="G73" s="2" t="n"/>
      <c r="H73" s="2" t="n"/>
      <c r="I73" s="2" t="n"/>
      <c r="J73" s="2" t="n"/>
      <c r="K73" s="2" t="n"/>
      <c r="L73" s="2" t="n"/>
      <c r="M73" s="2" t="n"/>
      <c r="N73" s="2" t="n"/>
      <c r="O73" s="2" t="n"/>
      <c r="P73" s="2" t="n"/>
      <c r="Q73" s="2">
        <f>IF(G73="","",TODAY()-G73)</f>
        <v/>
      </c>
    </row>
    <row r="74">
      <c r="A74" s="2" t="n"/>
      <c r="B74" s="2" t="n"/>
      <c r="C74" s="2" t="n"/>
      <c r="D74" s="2" t="n"/>
      <c r="E74" s="2" t="n"/>
      <c r="F74" s="2" t="n"/>
      <c r="G74" s="2" t="n"/>
      <c r="H74" s="2" t="n"/>
      <c r="I74" s="2" t="n"/>
      <c r="J74" s="2" t="n"/>
      <c r="K74" s="2" t="n"/>
      <c r="L74" s="2" t="n"/>
      <c r="M74" s="2" t="n"/>
      <c r="N74" s="2" t="n"/>
      <c r="O74" s="2" t="n"/>
      <c r="P74" s="2" t="n"/>
      <c r="Q74" s="2">
        <f>IF(G74="","",TODAY()-G74)</f>
        <v/>
      </c>
    </row>
    <row r="75">
      <c r="A75" s="2" t="n"/>
      <c r="B75" s="2" t="n"/>
      <c r="C75" s="2" t="n"/>
      <c r="D75" s="2" t="n"/>
      <c r="E75" s="2" t="n"/>
      <c r="F75" s="2" t="n"/>
      <c r="G75" s="2" t="n"/>
      <c r="H75" s="2" t="n"/>
      <c r="I75" s="2" t="n"/>
      <c r="J75" s="2" t="n"/>
      <c r="K75" s="2" t="n"/>
      <c r="L75" s="2" t="n"/>
      <c r="M75" s="2" t="n"/>
      <c r="N75" s="2" t="n"/>
      <c r="O75" s="2" t="n"/>
      <c r="P75" s="2" t="n"/>
      <c r="Q75" s="2">
        <f>IF(G75="","",TODAY()-G75)</f>
        <v/>
      </c>
    </row>
    <row r="76">
      <c r="A76" s="2" t="n"/>
      <c r="B76" s="2" t="n"/>
      <c r="C76" s="2" t="n"/>
      <c r="D76" s="2" t="n"/>
      <c r="E76" s="2" t="n"/>
      <c r="F76" s="2" t="n"/>
      <c r="G76" s="2" t="n"/>
      <c r="H76" s="2" t="n"/>
      <c r="I76" s="2" t="n"/>
      <c r="J76" s="2" t="n"/>
      <c r="K76" s="2" t="n"/>
      <c r="L76" s="2" t="n"/>
      <c r="M76" s="2" t="n"/>
      <c r="N76" s="2" t="n"/>
      <c r="O76" s="2" t="n"/>
      <c r="P76" s="2" t="n"/>
      <c r="Q76" s="2">
        <f>IF(G76="","",TODAY()-G76)</f>
        <v/>
      </c>
    </row>
    <row r="77">
      <c r="A77" s="2" t="n"/>
      <c r="B77" s="2" t="n"/>
      <c r="C77" s="2" t="n"/>
      <c r="D77" s="2" t="n"/>
      <c r="E77" s="2" t="n"/>
      <c r="F77" s="2" t="n"/>
      <c r="G77" s="2" t="n"/>
      <c r="H77" s="2" t="n"/>
      <c r="I77" s="2" t="n"/>
      <c r="J77" s="2" t="n"/>
      <c r="K77" s="2" t="n"/>
      <c r="L77" s="2" t="n"/>
      <c r="M77" s="2" t="n"/>
      <c r="N77" s="2" t="n"/>
      <c r="O77" s="2" t="n"/>
      <c r="P77" s="2" t="n"/>
      <c r="Q77" s="2">
        <f>IF(G77="","",TODAY()-G77)</f>
        <v/>
      </c>
    </row>
    <row r="78">
      <c r="A78" s="2" t="n"/>
      <c r="B78" s="2" t="n"/>
      <c r="C78" s="2" t="n"/>
      <c r="D78" s="2" t="n"/>
      <c r="E78" s="2" t="n"/>
      <c r="F78" s="2" t="n"/>
      <c r="G78" s="2" t="n"/>
      <c r="H78" s="2" t="n"/>
      <c r="I78" s="2" t="n"/>
      <c r="J78" s="2" t="n"/>
      <c r="K78" s="2" t="n"/>
      <c r="L78" s="2" t="n"/>
      <c r="M78" s="2" t="n"/>
      <c r="N78" s="2" t="n"/>
      <c r="O78" s="2" t="n"/>
      <c r="P78" s="2" t="n"/>
      <c r="Q78" s="2">
        <f>IF(G78="","",TODAY()-G78)</f>
        <v/>
      </c>
    </row>
    <row r="79">
      <c r="A79" s="2" t="n"/>
      <c r="B79" s="2" t="n"/>
      <c r="C79" s="2" t="n"/>
      <c r="D79" s="2" t="n"/>
      <c r="E79" s="2" t="n"/>
      <c r="F79" s="2" t="n"/>
      <c r="G79" s="2" t="n"/>
      <c r="H79" s="2" t="n"/>
      <c r="I79" s="2" t="n"/>
      <c r="J79" s="2" t="n"/>
      <c r="K79" s="2" t="n"/>
      <c r="L79" s="2" t="n"/>
      <c r="M79" s="2" t="n"/>
      <c r="N79" s="2" t="n"/>
      <c r="O79" s="2" t="n"/>
      <c r="P79" s="2" t="n"/>
      <c r="Q79" s="2">
        <f>IF(G79="","",TODAY()-G79)</f>
        <v/>
      </c>
    </row>
    <row r="80">
      <c r="A80" s="2" t="n"/>
      <c r="B80" s="2" t="n"/>
      <c r="C80" s="2" t="n"/>
      <c r="D80" s="2" t="n"/>
      <c r="E80" s="2" t="n"/>
      <c r="F80" s="2" t="n"/>
      <c r="G80" s="2" t="n"/>
      <c r="H80" s="2" t="n"/>
      <c r="I80" s="2" t="n"/>
      <c r="J80" s="2" t="n"/>
      <c r="K80" s="2" t="n"/>
      <c r="L80" s="2" t="n"/>
      <c r="M80" s="2" t="n"/>
      <c r="N80" s="2" t="n"/>
      <c r="O80" s="2" t="n"/>
      <c r="P80" s="2" t="n"/>
      <c r="Q80" s="2">
        <f>IF(G80="","",TODAY()-G80)</f>
        <v/>
      </c>
    </row>
    <row r="81">
      <c r="A81" s="2" t="n"/>
      <c r="B81" s="2" t="n"/>
      <c r="C81" s="2" t="n"/>
      <c r="D81" s="2" t="n"/>
      <c r="E81" s="2" t="n"/>
      <c r="F81" s="2" t="n"/>
      <c r="G81" s="2" t="n"/>
      <c r="H81" s="2" t="n"/>
      <c r="I81" s="2" t="n"/>
      <c r="J81" s="2" t="n"/>
      <c r="K81" s="2" t="n"/>
      <c r="L81" s="2" t="n"/>
      <c r="M81" s="2" t="n"/>
      <c r="N81" s="2" t="n"/>
      <c r="O81" s="2" t="n"/>
      <c r="P81" s="2" t="n"/>
      <c r="Q81" s="2">
        <f>IF(G81="","",TODAY()-G81)</f>
        <v/>
      </c>
    </row>
    <row r="82">
      <c r="A82" s="2" t="n"/>
      <c r="B82" s="2" t="n"/>
      <c r="C82" s="2" t="n"/>
      <c r="D82" s="2" t="n"/>
      <c r="E82" s="2" t="n"/>
      <c r="F82" s="2" t="n"/>
      <c r="G82" s="2" t="n"/>
      <c r="H82" s="2" t="n"/>
      <c r="I82" s="2" t="n"/>
      <c r="J82" s="2" t="n"/>
      <c r="K82" s="2" t="n"/>
      <c r="L82" s="2" t="n"/>
      <c r="M82" s="2" t="n"/>
      <c r="N82" s="2" t="n"/>
      <c r="O82" s="2" t="n"/>
      <c r="P82" s="2" t="n"/>
      <c r="Q82" s="2">
        <f>IF(G82="","",TODAY()-G82)</f>
        <v/>
      </c>
    </row>
    <row r="83">
      <c r="A83" s="2" t="n"/>
      <c r="B83" s="2" t="n"/>
      <c r="C83" s="2" t="n"/>
      <c r="D83" s="2" t="n"/>
      <c r="E83" s="2" t="n"/>
      <c r="F83" s="2" t="n"/>
      <c r="G83" s="2" t="n"/>
      <c r="H83" s="2" t="n"/>
      <c r="I83" s="2" t="n"/>
      <c r="J83" s="2" t="n"/>
      <c r="K83" s="2" t="n"/>
      <c r="L83" s="2" t="n"/>
      <c r="M83" s="2" t="n"/>
      <c r="N83" s="2" t="n"/>
      <c r="O83" s="2" t="n"/>
      <c r="P83" s="2" t="n"/>
      <c r="Q83" s="2">
        <f>IF(G83="","",TODAY()-G83)</f>
        <v/>
      </c>
    </row>
    <row r="84">
      <c r="A84" s="2" t="n"/>
      <c r="B84" s="2" t="n"/>
      <c r="C84" s="2" t="n"/>
      <c r="D84" s="2" t="n"/>
      <c r="E84" s="2" t="n"/>
      <c r="F84" s="2" t="n"/>
      <c r="G84" s="2" t="n"/>
      <c r="H84" s="2" t="n"/>
      <c r="I84" s="2" t="n"/>
      <c r="J84" s="2" t="n"/>
      <c r="K84" s="2" t="n"/>
      <c r="L84" s="2" t="n"/>
      <c r="M84" s="2" t="n"/>
      <c r="N84" s="2" t="n"/>
      <c r="O84" s="2" t="n"/>
      <c r="P84" s="2" t="n"/>
      <c r="Q84" s="2">
        <f>IF(G84="","",TODAY()-G84)</f>
        <v/>
      </c>
    </row>
    <row r="85">
      <c r="A85" s="2" t="n"/>
      <c r="B85" s="2" t="n"/>
      <c r="C85" s="2" t="n"/>
      <c r="D85" s="2" t="n"/>
      <c r="E85" s="2" t="n"/>
      <c r="F85" s="2" t="n"/>
      <c r="G85" s="2" t="n"/>
      <c r="H85" s="2" t="n"/>
      <c r="I85" s="2" t="n"/>
      <c r="J85" s="2" t="n"/>
      <c r="K85" s="2" t="n"/>
      <c r="L85" s="2" t="n"/>
      <c r="M85" s="2" t="n"/>
      <c r="N85" s="2" t="n"/>
      <c r="O85" s="2" t="n"/>
      <c r="P85" s="2" t="n"/>
      <c r="Q85" s="2">
        <f>IF(G85="","",TODAY()-G85)</f>
        <v/>
      </c>
    </row>
    <row r="86">
      <c r="A86" s="2" t="n"/>
      <c r="B86" s="2" t="n"/>
      <c r="C86" s="2" t="n"/>
      <c r="D86" s="2" t="n"/>
      <c r="E86" s="2" t="n"/>
      <c r="F86" s="2" t="n"/>
      <c r="G86" s="2" t="n"/>
      <c r="H86" s="2" t="n"/>
      <c r="I86" s="2" t="n"/>
      <c r="J86" s="2" t="n"/>
      <c r="K86" s="2" t="n"/>
      <c r="L86" s="2" t="n"/>
      <c r="M86" s="2" t="n"/>
      <c r="N86" s="2" t="n"/>
      <c r="O86" s="2" t="n"/>
      <c r="P86" s="2" t="n"/>
      <c r="Q86" s="2">
        <f>IF(G86="","",TODAY()-G86)</f>
        <v/>
      </c>
    </row>
    <row r="87">
      <c r="A87" s="2" t="n"/>
      <c r="B87" s="2" t="n"/>
      <c r="C87" s="2" t="n"/>
      <c r="D87" s="2" t="n"/>
      <c r="E87" s="2" t="n"/>
      <c r="F87" s="2" t="n"/>
      <c r="G87" s="2" t="n"/>
      <c r="H87" s="2" t="n"/>
      <c r="I87" s="2" t="n"/>
      <c r="J87" s="2" t="n"/>
      <c r="K87" s="2" t="n"/>
      <c r="L87" s="2" t="n"/>
      <c r="M87" s="2" t="n"/>
      <c r="N87" s="2" t="n"/>
      <c r="O87" s="2" t="n"/>
      <c r="P87" s="2" t="n"/>
      <c r="Q87" s="2">
        <f>IF(G87="","",TODAY()-G87)</f>
        <v/>
      </c>
    </row>
    <row r="88">
      <c r="A88" s="2" t="n"/>
      <c r="B88" s="2" t="n"/>
      <c r="C88" s="2" t="n"/>
      <c r="D88" s="2" t="n"/>
      <c r="E88" s="2" t="n"/>
      <c r="F88" s="2" t="n"/>
      <c r="G88" s="2" t="n"/>
      <c r="H88" s="2" t="n"/>
      <c r="I88" s="2" t="n"/>
      <c r="J88" s="2" t="n"/>
      <c r="K88" s="2" t="n"/>
      <c r="L88" s="2" t="n"/>
      <c r="M88" s="2" t="n"/>
      <c r="N88" s="2" t="n"/>
      <c r="O88" s="2" t="n"/>
      <c r="P88" s="2" t="n"/>
      <c r="Q88" s="2">
        <f>IF(G88="","",TODAY()-G88)</f>
        <v/>
      </c>
    </row>
    <row r="89">
      <c r="A89" s="2" t="n"/>
      <c r="B89" s="2" t="n"/>
      <c r="C89" s="2" t="n"/>
      <c r="D89" s="2" t="n"/>
      <c r="E89" s="2" t="n"/>
      <c r="F89" s="2" t="n"/>
      <c r="G89" s="2" t="n"/>
      <c r="H89" s="2" t="n"/>
      <c r="I89" s="2" t="n"/>
      <c r="J89" s="2" t="n"/>
      <c r="K89" s="2" t="n"/>
      <c r="L89" s="2" t="n"/>
      <c r="M89" s="2" t="n"/>
      <c r="N89" s="2" t="n"/>
      <c r="O89" s="2" t="n"/>
      <c r="P89" s="2" t="n"/>
      <c r="Q89" s="2">
        <f>IF(G89="","",TODAY()-G89)</f>
        <v/>
      </c>
    </row>
    <row r="90">
      <c r="A90" s="2" t="n"/>
      <c r="B90" s="2" t="n"/>
      <c r="C90" s="2" t="n"/>
      <c r="D90" s="2" t="n"/>
      <c r="E90" s="2" t="n"/>
      <c r="F90" s="2" t="n"/>
      <c r="G90" s="2" t="n"/>
      <c r="H90" s="2" t="n"/>
      <c r="I90" s="2" t="n"/>
      <c r="J90" s="2" t="n"/>
      <c r="K90" s="2" t="n"/>
      <c r="L90" s="2" t="n"/>
      <c r="M90" s="2" t="n"/>
      <c r="N90" s="2" t="n"/>
      <c r="O90" s="2" t="n"/>
      <c r="P90" s="2" t="n"/>
      <c r="Q90" s="2">
        <f>IF(G90="","",TODAY()-G90)</f>
        <v/>
      </c>
    </row>
    <row r="91">
      <c r="A91" s="2" t="n"/>
      <c r="B91" s="2" t="n"/>
      <c r="C91" s="2" t="n"/>
      <c r="D91" s="2" t="n"/>
      <c r="E91" s="2" t="n"/>
      <c r="F91" s="2" t="n"/>
      <c r="G91" s="2" t="n"/>
      <c r="H91" s="2" t="n"/>
      <c r="I91" s="2" t="n"/>
      <c r="J91" s="2" t="n"/>
      <c r="K91" s="2" t="n"/>
      <c r="L91" s="2" t="n"/>
      <c r="M91" s="2" t="n"/>
      <c r="N91" s="2" t="n"/>
      <c r="O91" s="2" t="n"/>
      <c r="P91" s="2" t="n"/>
      <c r="Q91" s="2">
        <f>IF(G91="","",TODAY()-G91)</f>
        <v/>
      </c>
    </row>
    <row r="92">
      <c r="A92" s="2" t="n"/>
      <c r="B92" s="2" t="n"/>
      <c r="C92" s="2" t="n"/>
      <c r="D92" s="2" t="n"/>
      <c r="E92" s="2" t="n"/>
      <c r="F92" s="2" t="n"/>
      <c r="G92" s="2" t="n"/>
      <c r="H92" s="2" t="n"/>
      <c r="I92" s="2" t="n"/>
      <c r="J92" s="2" t="n"/>
      <c r="K92" s="2" t="n"/>
      <c r="L92" s="2" t="n"/>
      <c r="M92" s="2" t="n"/>
      <c r="N92" s="2" t="n"/>
      <c r="O92" s="2" t="n"/>
      <c r="P92" s="2" t="n"/>
      <c r="Q92" s="2">
        <f>IF(G92="","",TODAY()-G92)</f>
        <v/>
      </c>
    </row>
    <row r="93">
      <c r="A93" s="2" t="n"/>
      <c r="B93" s="2" t="n"/>
      <c r="C93" s="2" t="n"/>
      <c r="D93" s="2" t="n"/>
      <c r="E93" s="2" t="n"/>
      <c r="F93" s="2" t="n"/>
      <c r="G93" s="2" t="n"/>
      <c r="H93" s="2" t="n"/>
      <c r="I93" s="2" t="n"/>
      <c r="J93" s="2" t="n"/>
      <c r="K93" s="2" t="n"/>
      <c r="L93" s="2" t="n"/>
      <c r="M93" s="2" t="n"/>
      <c r="N93" s="2" t="n"/>
      <c r="O93" s="2" t="n"/>
      <c r="P93" s="2" t="n"/>
      <c r="Q93" s="2">
        <f>IF(G93="","",TODAY()-G93)</f>
        <v/>
      </c>
    </row>
    <row r="94">
      <c r="A94" s="2" t="n"/>
      <c r="B94" s="2" t="n"/>
      <c r="C94" s="2" t="n"/>
      <c r="D94" s="2" t="n"/>
      <c r="E94" s="2" t="n"/>
      <c r="F94" s="2" t="n"/>
      <c r="G94" s="2" t="n"/>
      <c r="H94" s="2" t="n"/>
      <c r="I94" s="2" t="n"/>
      <c r="J94" s="2" t="n"/>
      <c r="K94" s="2" t="n"/>
      <c r="L94" s="2" t="n"/>
      <c r="M94" s="2" t="n"/>
      <c r="N94" s="2" t="n"/>
      <c r="O94" s="2" t="n"/>
      <c r="P94" s="2" t="n"/>
      <c r="Q94" s="2">
        <f>IF(G94="","",TODAY()-G94)</f>
        <v/>
      </c>
    </row>
    <row r="95">
      <c r="A95" s="2" t="n"/>
      <c r="B95" s="2" t="n"/>
      <c r="C95" s="2" t="n"/>
      <c r="D95" s="2" t="n"/>
      <c r="E95" s="2" t="n"/>
      <c r="F95" s="2" t="n"/>
      <c r="G95" s="2" t="n"/>
      <c r="H95" s="2" t="n"/>
      <c r="I95" s="2" t="n"/>
      <c r="J95" s="2" t="n"/>
      <c r="K95" s="2" t="n"/>
      <c r="L95" s="2" t="n"/>
      <c r="M95" s="2" t="n"/>
      <c r="N95" s="2" t="n"/>
      <c r="O95" s="2" t="n"/>
      <c r="P95" s="2" t="n"/>
      <c r="Q95" s="2">
        <f>IF(G95="","",TODAY()-G95)</f>
        <v/>
      </c>
    </row>
    <row r="96">
      <c r="A96" s="2" t="n"/>
      <c r="B96" s="2" t="n"/>
      <c r="C96" s="2" t="n"/>
      <c r="D96" s="2" t="n"/>
      <c r="E96" s="2" t="n"/>
      <c r="F96" s="2" t="n"/>
      <c r="G96" s="2" t="n"/>
      <c r="H96" s="2" t="n"/>
      <c r="I96" s="2" t="n"/>
      <c r="J96" s="2" t="n"/>
      <c r="K96" s="2" t="n"/>
      <c r="L96" s="2" t="n"/>
      <c r="M96" s="2" t="n"/>
      <c r="N96" s="2" t="n"/>
      <c r="O96" s="2" t="n"/>
      <c r="P96" s="2" t="n"/>
      <c r="Q96" s="2">
        <f>IF(G96="","",TODAY()-G96)</f>
        <v/>
      </c>
    </row>
    <row r="97">
      <c r="A97" s="2" t="n"/>
      <c r="B97" s="2" t="n"/>
      <c r="C97" s="2" t="n"/>
      <c r="D97" s="2" t="n"/>
      <c r="E97" s="2" t="n"/>
      <c r="F97" s="2" t="n"/>
      <c r="G97" s="2" t="n"/>
      <c r="H97" s="2" t="n"/>
      <c r="I97" s="2" t="n"/>
      <c r="J97" s="2" t="n"/>
      <c r="K97" s="2" t="n"/>
      <c r="L97" s="2" t="n"/>
      <c r="M97" s="2" t="n"/>
      <c r="N97" s="2" t="n"/>
      <c r="O97" s="2" t="n"/>
      <c r="P97" s="2" t="n"/>
      <c r="Q97" s="2">
        <f>IF(G97="","",TODAY()-G97)</f>
        <v/>
      </c>
    </row>
    <row r="98">
      <c r="A98" s="2" t="n"/>
      <c r="B98" s="2" t="n"/>
      <c r="C98" s="2" t="n"/>
      <c r="D98" s="2" t="n"/>
      <c r="E98" s="2" t="n"/>
      <c r="F98" s="2" t="n"/>
      <c r="G98" s="2" t="n"/>
      <c r="H98" s="2" t="n"/>
      <c r="I98" s="2" t="n"/>
      <c r="J98" s="2" t="n"/>
      <c r="K98" s="2" t="n"/>
      <c r="L98" s="2" t="n"/>
      <c r="M98" s="2" t="n"/>
      <c r="N98" s="2" t="n"/>
      <c r="O98" s="2" t="n"/>
      <c r="P98" s="2" t="n"/>
      <c r="Q98" s="2">
        <f>IF(G98="","",TODAY()-G98)</f>
        <v/>
      </c>
    </row>
    <row r="99">
      <c r="A99" s="2" t="n"/>
      <c r="B99" s="2" t="n"/>
      <c r="C99" s="2" t="n"/>
      <c r="D99" s="2" t="n"/>
      <c r="E99" s="2" t="n"/>
      <c r="F99" s="2" t="n"/>
      <c r="G99" s="2" t="n"/>
      <c r="H99" s="2" t="n"/>
      <c r="I99" s="2" t="n"/>
      <c r="J99" s="2" t="n"/>
      <c r="K99" s="2" t="n"/>
      <c r="L99" s="2" t="n"/>
      <c r="M99" s="2" t="n"/>
      <c r="N99" s="2" t="n"/>
      <c r="O99" s="2" t="n"/>
      <c r="P99" s="2" t="n"/>
      <c r="Q99" s="2">
        <f>IF(G99="","",TODAY()-G99)</f>
        <v/>
      </c>
    </row>
    <row r="100">
      <c r="A100" s="2" t="n"/>
      <c r="B100" s="2" t="n"/>
      <c r="C100" s="2" t="n"/>
      <c r="D100" s="2" t="n"/>
      <c r="E100" s="2" t="n"/>
      <c r="F100" s="2" t="n"/>
      <c r="G100" s="2" t="n"/>
      <c r="H100" s="2" t="n"/>
      <c r="I100" s="2" t="n"/>
      <c r="J100" s="2" t="n"/>
      <c r="K100" s="2" t="n"/>
      <c r="L100" s="2" t="n"/>
      <c r="M100" s="2" t="n"/>
      <c r="N100" s="2" t="n"/>
      <c r="O100" s="2" t="n"/>
      <c r="P100" s="2" t="n"/>
      <c r="Q100" s="2">
        <f>IF(G100="","",TODAY()-G100)</f>
        <v/>
      </c>
    </row>
    <row r="101">
      <c r="A101" s="2" t="n"/>
      <c r="B101" s="2" t="n"/>
      <c r="C101" s="2" t="n"/>
      <c r="D101" s="2" t="n"/>
      <c r="E101" s="2" t="n"/>
      <c r="F101" s="2" t="n"/>
      <c r="G101" s="2" t="n"/>
      <c r="H101" s="2" t="n"/>
      <c r="I101" s="2" t="n"/>
      <c r="J101" s="2" t="n"/>
      <c r="K101" s="2" t="n"/>
      <c r="L101" s="2" t="n"/>
      <c r="M101" s="2" t="n"/>
      <c r="N101" s="2" t="n"/>
      <c r="O101" s="2" t="n"/>
      <c r="P101" s="2" t="n"/>
      <c r="Q101" s="2">
        <f>IF(G101="","",TODAY()-G101)</f>
        <v/>
      </c>
    </row>
    <row r="102">
      <c r="A102" s="2" t="n"/>
      <c r="B102" s="2" t="n"/>
      <c r="C102" s="2" t="n"/>
      <c r="D102" s="2" t="n"/>
      <c r="E102" s="2" t="n"/>
      <c r="F102" s="2" t="n"/>
      <c r="G102" s="2" t="n"/>
      <c r="H102" s="2" t="n"/>
      <c r="I102" s="2" t="n"/>
      <c r="J102" s="2" t="n"/>
      <c r="K102" s="2" t="n"/>
      <c r="L102" s="2" t="n"/>
      <c r="M102" s="2" t="n"/>
      <c r="N102" s="2" t="n"/>
      <c r="O102" s="2" t="n"/>
      <c r="P102" s="2" t="n"/>
      <c r="Q102" s="2">
        <f>IF(G102="","",TODAY()-G102)</f>
        <v/>
      </c>
    </row>
    <row r="103">
      <c r="A103" s="2" t="n"/>
      <c r="B103" s="2" t="n"/>
      <c r="C103" s="2" t="n"/>
      <c r="D103" s="2" t="n"/>
      <c r="E103" s="2" t="n"/>
      <c r="F103" s="2" t="n"/>
      <c r="G103" s="2" t="n"/>
      <c r="H103" s="2" t="n"/>
      <c r="I103" s="2" t="n"/>
      <c r="J103" s="2" t="n"/>
      <c r="K103" s="2" t="n"/>
      <c r="L103" s="2" t="n"/>
      <c r="M103" s="2" t="n"/>
      <c r="N103" s="2" t="n"/>
      <c r="O103" s="2" t="n"/>
      <c r="P103" s="2" t="n"/>
      <c r="Q103" s="2">
        <f>IF(G103="","",TODAY()-G103)</f>
        <v/>
      </c>
    </row>
    <row r="104">
      <c r="A104" s="2" t="n"/>
      <c r="B104" s="2" t="n"/>
      <c r="C104" s="2" t="n"/>
      <c r="D104" s="2" t="n"/>
      <c r="E104" s="2" t="n"/>
      <c r="F104" s="2" t="n"/>
      <c r="G104" s="2" t="n"/>
      <c r="H104" s="2" t="n"/>
      <c r="I104" s="2" t="n"/>
      <c r="J104" s="2" t="n"/>
      <c r="K104" s="2" t="n"/>
      <c r="L104" s="2" t="n"/>
      <c r="M104" s="2" t="n"/>
      <c r="N104" s="2" t="n"/>
      <c r="O104" s="2" t="n"/>
      <c r="P104" s="2" t="n"/>
      <c r="Q104" s="2">
        <f>IF(G104="","",TODAY()-G104)</f>
        <v/>
      </c>
    </row>
    <row r="105">
      <c r="A105" s="2" t="n"/>
      <c r="B105" s="2" t="n"/>
      <c r="C105" s="2" t="n"/>
      <c r="D105" s="2" t="n"/>
      <c r="E105" s="2" t="n"/>
      <c r="F105" s="2" t="n"/>
      <c r="G105" s="2" t="n"/>
      <c r="H105" s="2" t="n"/>
      <c r="I105" s="2" t="n"/>
      <c r="J105" s="2" t="n"/>
      <c r="K105" s="2" t="n"/>
      <c r="L105" s="2" t="n"/>
      <c r="M105" s="2" t="n"/>
      <c r="N105" s="2" t="n"/>
      <c r="O105" s="2" t="n"/>
      <c r="P105" s="2" t="n"/>
      <c r="Q105" s="2">
        <f>IF(G105="","",TODAY()-G105)</f>
        <v/>
      </c>
    </row>
    <row r="106">
      <c r="A106" s="2" t="n"/>
      <c r="B106" s="2" t="n"/>
      <c r="C106" s="2" t="n"/>
      <c r="D106" s="2" t="n"/>
      <c r="E106" s="2" t="n"/>
      <c r="F106" s="2" t="n"/>
      <c r="G106" s="2" t="n"/>
      <c r="H106" s="2" t="n"/>
      <c r="I106" s="2" t="n"/>
      <c r="J106" s="2" t="n"/>
      <c r="K106" s="2" t="n"/>
      <c r="L106" s="2" t="n"/>
      <c r="M106" s="2" t="n"/>
      <c r="N106" s="2" t="n"/>
      <c r="O106" s="2" t="n"/>
      <c r="P106" s="2" t="n"/>
      <c r="Q106" s="2">
        <f>IF(G106="","",TODAY()-G106)</f>
        <v/>
      </c>
    </row>
    <row r="107">
      <c r="A107" s="2" t="n"/>
      <c r="B107" s="2" t="n"/>
      <c r="C107" s="2" t="n"/>
      <c r="D107" s="2" t="n"/>
      <c r="E107" s="2" t="n"/>
      <c r="F107" s="2" t="n"/>
      <c r="G107" s="2" t="n"/>
      <c r="H107" s="2" t="n"/>
      <c r="I107" s="2" t="n"/>
      <c r="J107" s="2" t="n"/>
      <c r="K107" s="2" t="n"/>
      <c r="L107" s="2" t="n"/>
      <c r="M107" s="2" t="n"/>
      <c r="N107" s="2" t="n"/>
      <c r="O107" s="2" t="n"/>
      <c r="P107" s="2" t="n"/>
      <c r="Q107" s="2">
        <f>IF(G107="","",TODAY()-G107)</f>
        <v/>
      </c>
    </row>
    <row r="108">
      <c r="A108" s="2" t="n"/>
      <c r="B108" s="2" t="n"/>
      <c r="C108" s="2" t="n"/>
      <c r="D108" s="2" t="n"/>
      <c r="E108" s="2" t="n"/>
      <c r="F108" s="2" t="n"/>
      <c r="G108" s="2" t="n"/>
      <c r="H108" s="2" t="n"/>
      <c r="I108" s="2" t="n"/>
      <c r="J108" s="2" t="n"/>
      <c r="K108" s="2" t="n"/>
      <c r="L108" s="2" t="n"/>
      <c r="M108" s="2" t="n"/>
      <c r="N108" s="2" t="n"/>
      <c r="O108" s="2" t="n"/>
      <c r="P108" s="2" t="n"/>
      <c r="Q108" s="2">
        <f>IF(G108="","",TODAY()-G108)</f>
        <v/>
      </c>
    </row>
    <row r="109">
      <c r="A109" s="2" t="n"/>
      <c r="B109" s="2" t="n"/>
      <c r="C109" s="2" t="n"/>
      <c r="D109" s="2" t="n"/>
      <c r="E109" s="2" t="n"/>
      <c r="F109" s="2" t="n"/>
      <c r="G109" s="2" t="n"/>
      <c r="H109" s="2" t="n"/>
      <c r="I109" s="2" t="n"/>
      <c r="J109" s="2" t="n"/>
      <c r="K109" s="2" t="n"/>
      <c r="L109" s="2" t="n"/>
      <c r="M109" s="2" t="n"/>
      <c r="N109" s="2" t="n"/>
      <c r="O109" s="2" t="n"/>
      <c r="P109" s="2" t="n"/>
      <c r="Q109" s="2">
        <f>IF(G109="","",TODAY()-G109)</f>
        <v/>
      </c>
    </row>
    <row r="110">
      <c r="A110" s="2" t="n"/>
      <c r="B110" s="2" t="n"/>
      <c r="C110" s="2" t="n"/>
      <c r="D110" s="2" t="n"/>
      <c r="E110" s="2" t="n"/>
      <c r="F110" s="2" t="n"/>
      <c r="G110" s="2" t="n"/>
      <c r="H110" s="2" t="n"/>
      <c r="I110" s="2" t="n"/>
      <c r="J110" s="2" t="n"/>
      <c r="K110" s="2" t="n"/>
      <c r="L110" s="2" t="n"/>
      <c r="M110" s="2" t="n"/>
      <c r="N110" s="2" t="n"/>
      <c r="O110" s="2" t="n"/>
      <c r="P110" s="2" t="n"/>
      <c r="Q110" s="2">
        <f>IF(G110="","",TODAY()-G110)</f>
        <v/>
      </c>
    </row>
    <row r="111">
      <c r="A111" s="2" t="n"/>
      <c r="B111" s="2" t="n"/>
      <c r="C111" s="2" t="n"/>
      <c r="D111" s="2" t="n"/>
      <c r="E111" s="2" t="n"/>
      <c r="F111" s="2" t="n"/>
      <c r="G111" s="2" t="n"/>
      <c r="H111" s="2" t="n"/>
      <c r="I111" s="2" t="n"/>
      <c r="J111" s="2" t="n"/>
      <c r="K111" s="2" t="n"/>
      <c r="L111" s="2" t="n"/>
      <c r="M111" s="2" t="n"/>
      <c r="N111" s="2" t="n"/>
      <c r="O111" s="2" t="n"/>
      <c r="P111" s="2" t="n"/>
      <c r="Q111" s="2">
        <f>IF(G111="","",TODAY()-G111)</f>
        <v/>
      </c>
    </row>
    <row r="112">
      <c r="A112" s="2" t="n"/>
      <c r="B112" s="2" t="n"/>
      <c r="C112" s="2" t="n"/>
      <c r="D112" s="2" t="n"/>
      <c r="E112" s="2" t="n"/>
      <c r="F112" s="2" t="n"/>
      <c r="G112" s="2" t="n"/>
      <c r="H112" s="2" t="n"/>
      <c r="I112" s="2" t="n"/>
      <c r="J112" s="2" t="n"/>
      <c r="K112" s="2" t="n"/>
      <c r="L112" s="2" t="n"/>
      <c r="M112" s="2" t="n"/>
      <c r="N112" s="2" t="n"/>
      <c r="O112" s="2" t="n"/>
      <c r="P112" s="2" t="n"/>
      <c r="Q112" s="2">
        <f>IF(G112="","",TODAY()-G112)</f>
        <v/>
      </c>
    </row>
    <row r="113">
      <c r="A113" s="2" t="n"/>
      <c r="B113" s="2" t="n"/>
      <c r="C113" s="2" t="n"/>
      <c r="D113" s="2" t="n"/>
      <c r="E113" s="2" t="n"/>
      <c r="F113" s="2" t="n"/>
      <c r="G113" s="2" t="n"/>
      <c r="H113" s="2" t="n"/>
      <c r="I113" s="2" t="n"/>
      <c r="J113" s="2" t="n"/>
      <c r="K113" s="2" t="n"/>
      <c r="L113" s="2" t="n"/>
      <c r="M113" s="2" t="n"/>
      <c r="N113" s="2" t="n"/>
      <c r="O113" s="2" t="n"/>
      <c r="P113" s="2" t="n"/>
      <c r="Q113" s="2">
        <f>IF(G113="","",TODAY()-G113)</f>
        <v/>
      </c>
    </row>
    <row r="114">
      <c r="A114" s="2" t="n"/>
      <c r="B114" s="2" t="n"/>
      <c r="C114" s="2" t="n"/>
      <c r="D114" s="2" t="n"/>
      <c r="E114" s="2" t="n"/>
      <c r="F114" s="2" t="n"/>
      <c r="G114" s="2" t="n"/>
      <c r="H114" s="2" t="n"/>
      <c r="I114" s="2" t="n"/>
      <c r="J114" s="2" t="n"/>
      <c r="K114" s="2" t="n"/>
      <c r="L114" s="2" t="n"/>
      <c r="M114" s="2" t="n"/>
      <c r="N114" s="2" t="n"/>
      <c r="O114" s="2" t="n"/>
      <c r="P114" s="2" t="n"/>
      <c r="Q114" s="2">
        <f>IF(G114="","",TODAY()-G114)</f>
        <v/>
      </c>
    </row>
    <row r="115">
      <c r="A115" s="2" t="n"/>
      <c r="B115" s="2" t="n"/>
      <c r="C115" s="2" t="n"/>
      <c r="D115" s="2" t="n"/>
      <c r="E115" s="2" t="n"/>
      <c r="F115" s="2" t="n"/>
      <c r="G115" s="2" t="n"/>
      <c r="H115" s="2" t="n"/>
      <c r="I115" s="2" t="n"/>
      <c r="J115" s="2" t="n"/>
      <c r="K115" s="2" t="n"/>
      <c r="L115" s="2" t="n"/>
      <c r="M115" s="2" t="n"/>
      <c r="N115" s="2" t="n"/>
      <c r="O115" s="2" t="n"/>
      <c r="P115" s="2" t="n"/>
      <c r="Q115" s="2">
        <f>IF(G115="","",TODAY()-G115)</f>
        <v/>
      </c>
    </row>
    <row r="116">
      <c r="A116" s="2" t="n"/>
      <c r="B116" s="2" t="n"/>
      <c r="C116" s="2" t="n"/>
      <c r="D116" s="2" t="n"/>
      <c r="E116" s="2" t="n"/>
      <c r="F116" s="2" t="n"/>
      <c r="G116" s="2" t="n"/>
      <c r="H116" s="2" t="n"/>
      <c r="I116" s="2" t="n"/>
      <c r="J116" s="2" t="n"/>
      <c r="K116" s="2" t="n"/>
      <c r="L116" s="2" t="n"/>
      <c r="M116" s="2" t="n"/>
      <c r="N116" s="2" t="n"/>
      <c r="O116" s="2" t="n"/>
      <c r="P116" s="2" t="n"/>
      <c r="Q116" s="2">
        <f>IF(G116="","",TODAY()-G116)</f>
        <v/>
      </c>
    </row>
    <row r="117">
      <c r="A117" s="2" t="n"/>
      <c r="B117" s="2" t="n"/>
      <c r="C117" s="2" t="n"/>
      <c r="D117" s="2" t="n"/>
      <c r="E117" s="2" t="n"/>
      <c r="F117" s="2" t="n"/>
      <c r="G117" s="2" t="n"/>
      <c r="H117" s="2" t="n"/>
      <c r="I117" s="2" t="n"/>
      <c r="J117" s="2" t="n"/>
      <c r="K117" s="2" t="n"/>
      <c r="L117" s="2" t="n"/>
      <c r="M117" s="2" t="n"/>
      <c r="N117" s="2" t="n"/>
      <c r="O117" s="2" t="n"/>
      <c r="P117" s="2" t="n"/>
      <c r="Q117" s="2">
        <f>IF(G117="","",TODAY()-G117)</f>
        <v/>
      </c>
    </row>
    <row r="118">
      <c r="A118" s="2" t="n"/>
      <c r="B118" s="2" t="n"/>
      <c r="C118" s="2" t="n"/>
      <c r="D118" s="2" t="n"/>
      <c r="E118" s="2" t="n"/>
      <c r="F118" s="2" t="n"/>
      <c r="G118" s="2" t="n"/>
      <c r="H118" s="2" t="n"/>
      <c r="I118" s="2" t="n"/>
      <c r="J118" s="2" t="n"/>
      <c r="K118" s="2" t="n"/>
      <c r="L118" s="2" t="n"/>
      <c r="M118" s="2" t="n"/>
      <c r="N118" s="2" t="n"/>
      <c r="O118" s="2" t="n"/>
      <c r="P118" s="2" t="n"/>
      <c r="Q118" s="2">
        <f>IF(G118="","",TODAY()-G118)</f>
        <v/>
      </c>
    </row>
    <row r="119">
      <c r="A119" s="2" t="n"/>
      <c r="B119" s="2" t="n"/>
      <c r="C119" s="2" t="n"/>
      <c r="D119" s="2" t="n"/>
      <c r="E119" s="2" t="n"/>
      <c r="F119" s="2" t="n"/>
      <c r="G119" s="2" t="n"/>
      <c r="H119" s="2" t="n"/>
      <c r="I119" s="2" t="n"/>
      <c r="J119" s="2" t="n"/>
      <c r="K119" s="2" t="n"/>
      <c r="L119" s="2" t="n"/>
      <c r="M119" s="2" t="n"/>
      <c r="N119" s="2" t="n"/>
      <c r="O119" s="2" t="n"/>
      <c r="P119" s="2" t="n"/>
      <c r="Q119" s="2">
        <f>IF(G119="","",TODAY()-G119)</f>
        <v/>
      </c>
    </row>
    <row r="120">
      <c r="A120" s="2" t="n"/>
      <c r="B120" s="2" t="n"/>
      <c r="C120" s="2" t="n"/>
      <c r="D120" s="2" t="n"/>
      <c r="E120" s="2" t="n"/>
      <c r="F120" s="2" t="n"/>
      <c r="G120" s="2" t="n"/>
      <c r="H120" s="2" t="n"/>
      <c r="I120" s="2" t="n"/>
      <c r="J120" s="2" t="n"/>
      <c r="K120" s="2" t="n"/>
      <c r="L120" s="2" t="n"/>
      <c r="M120" s="2" t="n"/>
      <c r="N120" s="2" t="n"/>
      <c r="O120" s="2" t="n"/>
      <c r="P120" s="2" t="n"/>
      <c r="Q120" s="2">
        <f>IF(G120="","",TODAY()-G120)</f>
        <v/>
      </c>
    </row>
    <row r="121">
      <c r="A121" s="2" t="n"/>
      <c r="B121" s="2" t="n"/>
      <c r="C121" s="2" t="n"/>
      <c r="D121" s="2" t="n"/>
      <c r="E121" s="2" t="n"/>
      <c r="F121" s="2" t="n"/>
      <c r="G121" s="2" t="n"/>
      <c r="H121" s="2" t="n"/>
      <c r="I121" s="2" t="n"/>
      <c r="J121" s="2" t="n"/>
      <c r="K121" s="2" t="n"/>
      <c r="L121" s="2" t="n"/>
      <c r="M121" s="2" t="n"/>
      <c r="N121" s="2" t="n"/>
      <c r="O121" s="2" t="n"/>
      <c r="P121" s="2" t="n"/>
      <c r="Q121" s="2">
        <f>IF(G121="","",TODAY()-G121)</f>
        <v/>
      </c>
    </row>
    <row r="122">
      <c r="A122" s="2" t="n"/>
      <c r="B122" s="2" t="n"/>
      <c r="C122" s="2" t="n"/>
      <c r="D122" s="2" t="n"/>
      <c r="E122" s="2" t="n"/>
      <c r="F122" s="2" t="n"/>
      <c r="G122" s="2" t="n"/>
      <c r="H122" s="2" t="n"/>
      <c r="I122" s="2" t="n"/>
      <c r="J122" s="2" t="n"/>
      <c r="K122" s="2" t="n"/>
      <c r="L122" s="2" t="n"/>
      <c r="M122" s="2" t="n"/>
      <c r="N122" s="2" t="n"/>
      <c r="O122" s="2" t="n"/>
      <c r="P122" s="2" t="n"/>
      <c r="Q122" s="2">
        <f>IF(G122="","",TODAY()-G122)</f>
        <v/>
      </c>
    </row>
    <row r="123">
      <c r="A123" s="2" t="n"/>
      <c r="B123" s="2" t="n"/>
      <c r="C123" s="2" t="n"/>
      <c r="D123" s="2" t="n"/>
      <c r="E123" s="2" t="n"/>
      <c r="F123" s="2" t="n"/>
      <c r="G123" s="2" t="n"/>
      <c r="H123" s="2" t="n"/>
      <c r="I123" s="2" t="n"/>
      <c r="J123" s="2" t="n"/>
      <c r="K123" s="2" t="n"/>
      <c r="L123" s="2" t="n"/>
      <c r="M123" s="2" t="n"/>
      <c r="N123" s="2" t="n"/>
      <c r="O123" s="2" t="n"/>
      <c r="P123" s="2" t="n"/>
      <c r="Q123" s="2">
        <f>IF(G123="","",TODAY()-G123)</f>
        <v/>
      </c>
    </row>
    <row r="124">
      <c r="A124" s="2" t="n"/>
      <c r="B124" s="2" t="n"/>
      <c r="C124" s="2" t="n"/>
      <c r="D124" s="2" t="n"/>
      <c r="E124" s="2" t="n"/>
      <c r="F124" s="2" t="n"/>
      <c r="G124" s="2" t="n"/>
      <c r="H124" s="2" t="n"/>
      <c r="I124" s="2" t="n"/>
      <c r="J124" s="2" t="n"/>
      <c r="K124" s="2" t="n"/>
      <c r="L124" s="2" t="n"/>
      <c r="M124" s="2" t="n"/>
      <c r="N124" s="2" t="n"/>
      <c r="O124" s="2" t="n"/>
      <c r="P124" s="2" t="n"/>
      <c r="Q124" s="2">
        <f>IF(G124="","",TODAY()-G124)</f>
        <v/>
      </c>
    </row>
    <row r="125">
      <c r="A125" s="2" t="n"/>
      <c r="B125" s="2" t="n"/>
      <c r="C125" s="2" t="n"/>
      <c r="D125" s="2" t="n"/>
      <c r="E125" s="2" t="n"/>
      <c r="F125" s="2" t="n"/>
      <c r="G125" s="2" t="n"/>
      <c r="H125" s="2" t="n"/>
      <c r="I125" s="2" t="n"/>
      <c r="J125" s="2" t="n"/>
      <c r="K125" s="2" t="n"/>
      <c r="L125" s="2" t="n"/>
      <c r="M125" s="2" t="n"/>
      <c r="N125" s="2" t="n"/>
      <c r="O125" s="2" t="n"/>
      <c r="P125" s="2" t="n"/>
      <c r="Q125" s="2">
        <f>IF(G125="","",TODAY()-G125)</f>
        <v/>
      </c>
    </row>
    <row r="126">
      <c r="A126" s="2" t="n"/>
      <c r="B126" s="2" t="n"/>
      <c r="C126" s="2" t="n"/>
      <c r="D126" s="2" t="n"/>
      <c r="E126" s="2" t="n"/>
      <c r="F126" s="2" t="n"/>
      <c r="G126" s="2" t="n"/>
      <c r="H126" s="2" t="n"/>
      <c r="I126" s="2" t="n"/>
      <c r="J126" s="2" t="n"/>
      <c r="K126" s="2" t="n"/>
      <c r="L126" s="2" t="n"/>
      <c r="M126" s="2" t="n"/>
      <c r="N126" s="2" t="n"/>
      <c r="O126" s="2" t="n"/>
      <c r="P126" s="2" t="n"/>
      <c r="Q126" s="2">
        <f>IF(G126="","",TODAY()-G126)</f>
        <v/>
      </c>
    </row>
    <row r="127">
      <c r="A127" s="2" t="n"/>
      <c r="B127" s="2" t="n"/>
      <c r="C127" s="2" t="n"/>
      <c r="D127" s="2" t="n"/>
      <c r="E127" s="2" t="n"/>
      <c r="F127" s="2" t="n"/>
      <c r="G127" s="2" t="n"/>
      <c r="H127" s="2" t="n"/>
      <c r="I127" s="2" t="n"/>
      <c r="J127" s="2" t="n"/>
      <c r="K127" s="2" t="n"/>
      <c r="L127" s="2" t="n"/>
      <c r="M127" s="2" t="n"/>
      <c r="N127" s="2" t="n"/>
      <c r="O127" s="2" t="n"/>
      <c r="P127" s="2" t="n"/>
      <c r="Q127" s="2">
        <f>IF(G127="","",TODAY()-G127)</f>
        <v/>
      </c>
    </row>
    <row r="128">
      <c r="A128" s="2" t="n"/>
      <c r="B128" s="2" t="n"/>
      <c r="C128" s="2" t="n"/>
      <c r="D128" s="2" t="n"/>
      <c r="E128" s="2" t="n"/>
      <c r="F128" s="2" t="n"/>
      <c r="G128" s="2" t="n"/>
      <c r="H128" s="2" t="n"/>
      <c r="I128" s="2" t="n"/>
      <c r="J128" s="2" t="n"/>
      <c r="K128" s="2" t="n"/>
      <c r="L128" s="2" t="n"/>
      <c r="M128" s="2" t="n"/>
      <c r="N128" s="2" t="n"/>
      <c r="O128" s="2" t="n"/>
      <c r="P128" s="2" t="n"/>
      <c r="Q128" s="2">
        <f>IF(G128="","",TODAY()-G128)</f>
        <v/>
      </c>
    </row>
    <row r="129">
      <c r="A129" s="2" t="n"/>
      <c r="B129" s="2" t="n"/>
      <c r="C129" s="2" t="n"/>
      <c r="D129" s="2" t="n"/>
      <c r="E129" s="2" t="n"/>
      <c r="F129" s="2" t="n"/>
      <c r="G129" s="2" t="n"/>
      <c r="H129" s="2" t="n"/>
      <c r="I129" s="2" t="n"/>
      <c r="J129" s="2" t="n"/>
      <c r="K129" s="2" t="n"/>
      <c r="L129" s="2" t="n"/>
      <c r="M129" s="2" t="n"/>
      <c r="N129" s="2" t="n"/>
      <c r="O129" s="2" t="n"/>
      <c r="P129" s="2" t="n"/>
      <c r="Q129" s="2">
        <f>IF(G129="","",TODAY()-G129)</f>
        <v/>
      </c>
    </row>
    <row r="130">
      <c r="A130" s="2" t="n"/>
      <c r="B130" s="2" t="n"/>
      <c r="C130" s="2" t="n"/>
      <c r="D130" s="2" t="n"/>
      <c r="E130" s="2" t="n"/>
      <c r="F130" s="2" t="n"/>
      <c r="G130" s="2" t="n"/>
      <c r="H130" s="2" t="n"/>
      <c r="I130" s="2" t="n"/>
      <c r="J130" s="2" t="n"/>
      <c r="K130" s="2" t="n"/>
      <c r="L130" s="2" t="n"/>
      <c r="M130" s="2" t="n"/>
      <c r="N130" s="2" t="n"/>
      <c r="O130" s="2" t="n"/>
      <c r="P130" s="2" t="n"/>
      <c r="Q130" s="2">
        <f>IF(G130="","",TODAY()-G130)</f>
        <v/>
      </c>
    </row>
    <row r="131">
      <c r="A131" s="2" t="n"/>
      <c r="B131" s="2" t="n"/>
      <c r="C131" s="2" t="n"/>
      <c r="D131" s="2" t="n"/>
      <c r="E131" s="2" t="n"/>
      <c r="F131" s="2" t="n"/>
      <c r="G131" s="2" t="n"/>
      <c r="H131" s="2" t="n"/>
      <c r="I131" s="2" t="n"/>
      <c r="J131" s="2" t="n"/>
      <c r="K131" s="2" t="n"/>
      <c r="L131" s="2" t="n"/>
      <c r="M131" s="2" t="n"/>
      <c r="N131" s="2" t="n"/>
      <c r="O131" s="2" t="n"/>
      <c r="P131" s="2" t="n"/>
      <c r="Q131" s="2">
        <f>IF(G131="","",TODAY()-G131)</f>
        <v/>
      </c>
    </row>
    <row r="132">
      <c r="A132" s="2" t="n"/>
      <c r="B132" s="2" t="n"/>
      <c r="C132" s="2" t="n"/>
      <c r="D132" s="2" t="n"/>
      <c r="E132" s="2" t="n"/>
      <c r="F132" s="2" t="n"/>
      <c r="G132" s="2" t="n"/>
      <c r="H132" s="2" t="n"/>
      <c r="I132" s="2" t="n"/>
      <c r="J132" s="2" t="n"/>
      <c r="K132" s="2" t="n"/>
      <c r="L132" s="2" t="n"/>
      <c r="M132" s="2" t="n"/>
      <c r="N132" s="2" t="n"/>
      <c r="O132" s="2" t="n"/>
      <c r="P132" s="2" t="n"/>
      <c r="Q132" s="2">
        <f>IF(G132="","",TODAY()-G132)</f>
        <v/>
      </c>
    </row>
    <row r="133">
      <c r="A133" s="2" t="n"/>
      <c r="B133" s="2" t="n"/>
      <c r="C133" s="2" t="n"/>
      <c r="D133" s="2" t="n"/>
      <c r="E133" s="2" t="n"/>
      <c r="F133" s="2" t="n"/>
      <c r="G133" s="2" t="n"/>
      <c r="H133" s="2" t="n"/>
      <c r="I133" s="2" t="n"/>
      <c r="J133" s="2" t="n"/>
      <c r="K133" s="2" t="n"/>
      <c r="L133" s="2" t="n"/>
      <c r="M133" s="2" t="n"/>
      <c r="N133" s="2" t="n"/>
      <c r="O133" s="2" t="n"/>
      <c r="P133" s="2" t="n"/>
      <c r="Q133" s="2">
        <f>IF(G133="","",TODAY()-G133)</f>
        <v/>
      </c>
    </row>
    <row r="134">
      <c r="A134" s="2" t="n"/>
      <c r="B134" s="2" t="n"/>
      <c r="C134" s="2" t="n"/>
      <c r="D134" s="2" t="n"/>
      <c r="E134" s="2" t="n"/>
      <c r="F134" s="2" t="n"/>
      <c r="G134" s="2" t="n"/>
      <c r="H134" s="2" t="n"/>
      <c r="I134" s="2" t="n"/>
      <c r="J134" s="2" t="n"/>
      <c r="K134" s="2" t="n"/>
      <c r="L134" s="2" t="n"/>
      <c r="M134" s="2" t="n"/>
      <c r="N134" s="2" t="n"/>
      <c r="O134" s="2" t="n"/>
      <c r="P134" s="2" t="n"/>
      <c r="Q134" s="2">
        <f>IF(G134="","",TODAY()-G134)</f>
        <v/>
      </c>
    </row>
    <row r="135">
      <c r="A135" s="2" t="n"/>
      <c r="B135" s="2" t="n"/>
      <c r="C135" s="2" t="n"/>
      <c r="D135" s="2" t="n"/>
      <c r="E135" s="2" t="n"/>
      <c r="F135" s="2" t="n"/>
      <c r="G135" s="2" t="n"/>
      <c r="H135" s="2" t="n"/>
      <c r="I135" s="2" t="n"/>
      <c r="J135" s="2" t="n"/>
      <c r="K135" s="2" t="n"/>
      <c r="L135" s="2" t="n"/>
      <c r="M135" s="2" t="n"/>
      <c r="N135" s="2" t="n"/>
      <c r="O135" s="2" t="n"/>
      <c r="P135" s="2" t="n"/>
      <c r="Q135" s="2">
        <f>IF(G135="","",TODAY()-G135)</f>
        <v/>
      </c>
    </row>
    <row r="136">
      <c r="A136" s="2" t="n"/>
      <c r="B136" s="2" t="n"/>
      <c r="C136" s="2" t="n"/>
      <c r="D136" s="2" t="n"/>
      <c r="E136" s="2" t="n"/>
      <c r="F136" s="2" t="n"/>
      <c r="G136" s="2" t="n"/>
      <c r="H136" s="2" t="n"/>
      <c r="I136" s="2" t="n"/>
      <c r="J136" s="2" t="n"/>
      <c r="K136" s="2" t="n"/>
      <c r="L136" s="2" t="n"/>
      <c r="M136" s="2" t="n"/>
      <c r="N136" s="2" t="n"/>
      <c r="O136" s="2" t="n"/>
      <c r="P136" s="2" t="n"/>
      <c r="Q136" s="2">
        <f>IF(G136="","",TODAY()-G136)</f>
        <v/>
      </c>
    </row>
    <row r="137">
      <c r="A137" s="2" t="n"/>
      <c r="B137" s="2" t="n"/>
      <c r="C137" s="2" t="n"/>
      <c r="D137" s="2" t="n"/>
      <c r="E137" s="2" t="n"/>
      <c r="F137" s="2" t="n"/>
      <c r="G137" s="2" t="n"/>
      <c r="H137" s="2" t="n"/>
      <c r="I137" s="2" t="n"/>
      <c r="J137" s="2" t="n"/>
      <c r="K137" s="2" t="n"/>
      <c r="L137" s="2" t="n"/>
      <c r="M137" s="2" t="n"/>
      <c r="N137" s="2" t="n"/>
      <c r="O137" s="2" t="n"/>
      <c r="P137" s="2" t="n"/>
      <c r="Q137" s="2">
        <f>IF(G137="","",TODAY()-G137)</f>
        <v/>
      </c>
    </row>
    <row r="138">
      <c r="A138" s="2" t="n"/>
      <c r="B138" s="2" t="n"/>
      <c r="C138" s="2" t="n"/>
      <c r="D138" s="2" t="n"/>
      <c r="E138" s="2" t="n"/>
      <c r="F138" s="2" t="n"/>
      <c r="G138" s="2" t="n"/>
      <c r="H138" s="2" t="n"/>
      <c r="I138" s="2" t="n"/>
      <c r="J138" s="2" t="n"/>
      <c r="K138" s="2" t="n"/>
      <c r="L138" s="2" t="n"/>
      <c r="M138" s="2" t="n"/>
      <c r="N138" s="2" t="n"/>
      <c r="O138" s="2" t="n"/>
      <c r="P138" s="2" t="n"/>
      <c r="Q138" s="2">
        <f>IF(G138="","",TODAY()-G138)</f>
        <v/>
      </c>
    </row>
    <row r="139">
      <c r="A139" s="2" t="n"/>
      <c r="B139" s="2" t="n"/>
      <c r="C139" s="2" t="n"/>
      <c r="D139" s="2" t="n"/>
      <c r="E139" s="2" t="n"/>
      <c r="F139" s="2" t="n"/>
      <c r="G139" s="2" t="n"/>
      <c r="H139" s="2" t="n"/>
      <c r="I139" s="2" t="n"/>
      <c r="J139" s="2" t="n"/>
      <c r="K139" s="2" t="n"/>
      <c r="L139" s="2" t="n"/>
      <c r="M139" s="2" t="n"/>
      <c r="N139" s="2" t="n"/>
      <c r="O139" s="2" t="n"/>
      <c r="P139" s="2" t="n"/>
      <c r="Q139" s="2">
        <f>IF(G139="","",TODAY()-G139)</f>
        <v/>
      </c>
    </row>
    <row r="140">
      <c r="A140" s="2" t="n"/>
      <c r="B140" s="2" t="n"/>
      <c r="C140" s="2" t="n"/>
      <c r="D140" s="2" t="n"/>
      <c r="E140" s="2" t="n"/>
      <c r="F140" s="2" t="n"/>
      <c r="G140" s="2" t="n"/>
      <c r="H140" s="2" t="n"/>
      <c r="I140" s="2" t="n"/>
      <c r="J140" s="2" t="n"/>
      <c r="K140" s="2" t="n"/>
      <c r="L140" s="2" t="n"/>
      <c r="M140" s="2" t="n"/>
      <c r="N140" s="2" t="n"/>
      <c r="O140" s="2" t="n"/>
      <c r="P140" s="2" t="n"/>
      <c r="Q140" s="2">
        <f>IF(G140="","",TODAY()-G140)</f>
        <v/>
      </c>
    </row>
    <row r="141">
      <c r="A141" s="2" t="n"/>
      <c r="B141" s="2" t="n"/>
      <c r="C141" s="2" t="n"/>
      <c r="D141" s="2" t="n"/>
      <c r="E141" s="2" t="n"/>
      <c r="F141" s="2" t="n"/>
      <c r="G141" s="2" t="n"/>
      <c r="H141" s="2" t="n"/>
      <c r="I141" s="2" t="n"/>
      <c r="J141" s="2" t="n"/>
      <c r="K141" s="2" t="n"/>
      <c r="L141" s="2" t="n"/>
      <c r="M141" s="2" t="n"/>
      <c r="N141" s="2" t="n"/>
      <c r="O141" s="2" t="n"/>
      <c r="P141" s="2" t="n"/>
      <c r="Q141" s="2">
        <f>IF(G141="","",TODAY()-G141)</f>
        <v/>
      </c>
    </row>
    <row r="142">
      <c r="A142" s="2" t="n"/>
      <c r="B142" s="2" t="n"/>
      <c r="C142" s="2" t="n"/>
      <c r="D142" s="2" t="n"/>
      <c r="E142" s="2" t="n"/>
      <c r="F142" s="2" t="n"/>
      <c r="G142" s="2" t="n"/>
      <c r="H142" s="2" t="n"/>
      <c r="I142" s="2" t="n"/>
      <c r="J142" s="2" t="n"/>
      <c r="K142" s="2" t="n"/>
      <c r="L142" s="2" t="n"/>
      <c r="M142" s="2" t="n"/>
      <c r="N142" s="2" t="n"/>
      <c r="O142" s="2" t="n"/>
      <c r="P142" s="2" t="n"/>
      <c r="Q142" s="2">
        <f>IF(G142="","",TODAY()-G142)</f>
        <v/>
      </c>
    </row>
    <row r="143">
      <c r="A143" s="2" t="n"/>
      <c r="B143" s="2" t="n"/>
      <c r="C143" s="2" t="n"/>
      <c r="D143" s="2" t="n"/>
      <c r="E143" s="2" t="n"/>
      <c r="F143" s="2" t="n"/>
      <c r="G143" s="2" t="n"/>
      <c r="H143" s="2" t="n"/>
      <c r="I143" s="2" t="n"/>
      <c r="J143" s="2" t="n"/>
      <c r="K143" s="2" t="n"/>
      <c r="L143" s="2" t="n"/>
      <c r="M143" s="2" t="n"/>
      <c r="N143" s="2" t="n"/>
      <c r="O143" s="2" t="n"/>
      <c r="P143" s="2" t="n"/>
      <c r="Q143" s="2">
        <f>IF(G143="","",TODAY()-G143)</f>
        <v/>
      </c>
    </row>
    <row r="144">
      <c r="A144" s="2" t="n"/>
      <c r="B144" s="2" t="n"/>
      <c r="C144" s="2" t="n"/>
      <c r="D144" s="2" t="n"/>
      <c r="E144" s="2" t="n"/>
      <c r="F144" s="2" t="n"/>
      <c r="G144" s="2" t="n"/>
      <c r="H144" s="2" t="n"/>
      <c r="I144" s="2" t="n"/>
      <c r="J144" s="2" t="n"/>
      <c r="K144" s="2" t="n"/>
      <c r="L144" s="2" t="n"/>
      <c r="M144" s="2" t="n"/>
      <c r="N144" s="2" t="n"/>
      <c r="O144" s="2" t="n"/>
      <c r="P144" s="2" t="n"/>
      <c r="Q144" s="2">
        <f>IF(G144="","",TODAY()-G144)</f>
        <v/>
      </c>
    </row>
    <row r="145">
      <c r="A145" s="2" t="n"/>
      <c r="B145" s="2" t="n"/>
      <c r="C145" s="2" t="n"/>
      <c r="D145" s="2" t="n"/>
      <c r="E145" s="2" t="n"/>
      <c r="F145" s="2" t="n"/>
      <c r="G145" s="2" t="n"/>
      <c r="H145" s="2" t="n"/>
      <c r="I145" s="2" t="n"/>
      <c r="J145" s="2" t="n"/>
      <c r="K145" s="2" t="n"/>
      <c r="L145" s="2" t="n"/>
      <c r="M145" s="2" t="n"/>
      <c r="N145" s="2" t="n"/>
      <c r="O145" s="2" t="n"/>
      <c r="P145" s="2" t="n"/>
      <c r="Q145" s="2">
        <f>IF(G145="","",TODAY()-G145)</f>
        <v/>
      </c>
    </row>
    <row r="146">
      <c r="A146" s="2" t="n"/>
      <c r="B146" s="2" t="n"/>
      <c r="C146" s="2" t="n"/>
      <c r="D146" s="2" t="n"/>
      <c r="E146" s="2" t="n"/>
      <c r="F146" s="2" t="n"/>
      <c r="G146" s="2" t="n"/>
      <c r="H146" s="2" t="n"/>
      <c r="I146" s="2" t="n"/>
      <c r="J146" s="2" t="n"/>
      <c r="K146" s="2" t="n"/>
      <c r="L146" s="2" t="n"/>
      <c r="M146" s="2" t="n"/>
      <c r="N146" s="2" t="n"/>
      <c r="O146" s="2" t="n"/>
      <c r="P146" s="2" t="n"/>
      <c r="Q146" s="2">
        <f>IF(G146="","",TODAY()-G146)</f>
        <v/>
      </c>
    </row>
    <row r="147">
      <c r="A147" s="2" t="n"/>
      <c r="B147" s="2" t="n"/>
      <c r="C147" s="2" t="n"/>
      <c r="D147" s="2" t="n"/>
      <c r="E147" s="2" t="n"/>
      <c r="F147" s="2" t="n"/>
      <c r="G147" s="2" t="n"/>
      <c r="H147" s="2" t="n"/>
      <c r="I147" s="2" t="n"/>
      <c r="J147" s="2" t="n"/>
      <c r="K147" s="2" t="n"/>
      <c r="L147" s="2" t="n"/>
      <c r="M147" s="2" t="n"/>
      <c r="N147" s="2" t="n"/>
      <c r="O147" s="2" t="n"/>
      <c r="P147" s="2" t="n"/>
      <c r="Q147" s="2">
        <f>IF(G147="","",TODAY()-G147)</f>
        <v/>
      </c>
    </row>
    <row r="148">
      <c r="A148" s="2" t="n"/>
      <c r="B148" s="2" t="n"/>
      <c r="C148" s="2" t="n"/>
      <c r="D148" s="2" t="n"/>
      <c r="E148" s="2" t="n"/>
      <c r="F148" s="2" t="n"/>
      <c r="G148" s="2" t="n"/>
      <c r="H148" s="2" t="n"/>
      <c r="I148" s="2" t="n"/>
      <c r="J148" s="2" t="n"/>
      <c r="K148" s="2" t="n"/>
      <c r="L148" s="2" t="n"/>
      <c r="M148" s="2" t="n"/>
      <c r="N148" s="2" t="n"/>
      <c r="O148" s="2" t="n"/>
      <c r="P148" s="2" t="n"/>
      <c r="Q148" s="2">
        <f>IF(G148="","",TODAY()-G148)</f>
        <v/>
      </c>
    </row>
    <row r="149">
      <c r="A149" s="2" t="n"/>
      <c r="B149" s="2" t="n"/>
      <c r="C149" s="2" t="n"/>
      <c r="D149" s="2" t="n"/>
      <c r="E149" s="2" t="n"/>
      <c r="F149" s="2" t="n"/>
      <c r="G149" s="2" t="n"/>
      <c r="H149" s="2" t="n"/>
      <c r="I149" s="2" t="n"/>
      <c r="J149" s="2" t="n"/>
      <c r="K149" s="2" t="n"/>
      <c r="L149" s="2" t="n"/>
      <c r="M149" s="2" t="n"/>
      <c r="N149" s="2" t="n"/>
      <c r="O149" s="2" t="n"/>
      <c r="P149" s="2" t="n"/>
      <c r="Q149" s="2">
        <f>IF(G149="","",TODAY()-G149)</f>
        <v/>
      </c>
    </row>
    <row r="150">
      <c r="A150" s="2" t="n"/>
      <c r="B150" s="2" t="n"/>
      <c r="C150" s="2" t="n"/>
      <c r="D150" s="2" t="n"/>
      <c r="E150" s="2" t="n"/>
      <c r="F150" s="2" t="n"/>
      <c r="G150" s="2" t="n"/>
      <c r="H150" s="2" t="n"/>
      <c r="I150" s="2" t="n"/>
      <c r="J150" s="2" t="n"/>
      <c r="K150" s="2" t="n"/>
      <c r="L150" s="2" t="n"/>
      <c r="M150" s="2" t="n"/>
      <c r="N150" s="2" t="n"/>
      <c r="O150" s="2" t="n"/>
      <c r="P150" s="2" t="n"/>
      <c r="Q150" s="2">
        <f>IF(G150="","",TODAY()-G150)</f>
        <v/>
      </c>
    </row>
    <row r="151">
      <c r="A151" s="2" t="n"/>
      <c r="B151" s="2" t="n"/>
      <c r="C151" s="2" t="n"/>
      <c r="D151" s="2" t="n"/>
      <c r="E151" s="2" t="n"/>
      <c r="F151" s="2" t="n"/>
      <c r="G151" s="2" t="n"/>
      <c r="H151" s="2" t="n"/>
      <c r="I151" s="2" t="n"/>
      <c r="J151" s="2" t="n"/>
      <c r="K151" s="2" t="n"/>
      <c r="L151" s="2" t="n"/>
      <c r="M151" s="2" t="n"/>
      <c r="N151" s="2" t="n"/>
      <c r="O151" s="2" t="n"/>
      <c r="P151" s="2" t="n"/>
      <c r="Q151" s="2">
        <f>IF(G151="","",TODAY()-G151)</f>
        <v/>
      </c>
    </row>
    <row r="152">
      <c r="A152" s="2" t="n"/>
      <c r="B152" s="2" t="n"/>
      <c r="C152" s="2" t="n"/>
      <c r="D152" s="2" t="n"/>
      <c r="E152" s="2" t="n"/>
      <c r="F152" s="2" t="n"/>
      <c r="G152" s="2" t="n"/>
      <c r="H152" s="2" t="n"/>
      <c r="I152" s="2" t="n"/>
      <c r="J152" s="2" t="n"/>
      <c r="K152" s="2" t="n"/>
      <c r="L152" s="2" t="n"/>
      <c r="M152" s="2" t="n"/>
      <c r="N152" s="2" t="n"/>
      <c r="O152" s="2" t="n"/>
      <c r="P152" s="2" t="n"/>
      <c r="Q152" s="2">
        <f>IF(G152="","",TODAY()-G152)</f>
        <v/>
      </c>
    </row>
    <row r="153">
      <c r="A153" s="2" t="n"/>
      <c r="B153" s="2" t="n"/>
      <c r="C153" s="2" t="n"/>
      <c r="D153" s="2" t="n"/>
      <c r="E153" s="2" t="n"/>
      <c r="F153" s="2" t="n"/>
      <c r="G153" s="2" t="n"/>
      <c r="H153" s="2" t="n"/>
      <c r="I153" s="2" t="n"/>
      <c r="J153" s="2" t="n"/>
      <c r="K153" s="2" t="n"/>
      <c r="L153" s="2" t="n"/>
      <c r="M153" s="2" t="n"/>
      <c r="N153" s="2" t="n"/>
      <c r="O153" s="2" t="n"/>
      <c r="P153" s="2" t="n"/>
      <c r="Q153" s="2">
        <f>IF(G153="","",TODAY()-G153)</f>
        <v/>
      </c>
    </row>
    <row r="154">
      <c r="A154" s="2" t="n"/>
      <c r="B154" s="2" t="n"/>
      <c r="C154" s="2" t="n"/>
      <c r="D154" s="2" t="n"/>
      <c r="E154" s="2" t="n"/>
      <c r="F154" s="2" t="n"/>
      <c r="G154" s="2" t="n"/>
      <c r="H154" s="2" t="n"/>
      <c r="I154" s="2" t="n"/>
      <c r="J154" s="2" t="n"/>
      <c r="K154" s="2" t="n"/>
      <c r="L154" s="2" t="n"/>
      <c r="M154" s="2" t="n"/>
      <c r="N154" s="2" t="n"/>
      <c r="O154" s="2" t="n"/>
      <c r="P154" s="2" t="n"/>
      <c r="Q154" s="2">
        <f>IF(G154="","",TODAY()-G154)</f>
        <v/>
      </c>
    </row>
    <row r="155">
      <c r="A155" s="2" t="n"/>
      <c r="B155" s="2" t="n"/>
      <c r="C155" s="2" t="n"/>
      <c r="D155" s="2" t="n"/>
      <c r="E155" s="2" t="n"/>
      <c r="F155" s="2" t="n"/>
      <c r="G155" s="2" t="n"/>
      <c r="H155" s="2" t="n"/>
      <c r="I155" s="2" t="n"/>
      <c r="J155" s="2" t="n"/>
      <c r="K155" s="2" t="n"/>
      <c r="L155" s="2" t="n"/>
      <c r="M155" s="2" t="n"/>
      <c r="N155" s="2" t="n"/>
      <c r="O155" s="2" t="n"/>
      <c r="P155" s="2" t="n"/>
      <c r="Q155" s="2">
        <f>IF(G155="","",TODAY()-G155)</f>
        <v/>
      </c>
    </row>
    <row r="156">
      <c r="A156" s="2" t="n"/>
      <c r="B156" s="2" t="n"/>
      <c r="C156" s="2" t="n"/>
      <c r="D156" s="2" t="n"/>
      <c r="E156" s="2" t="n"/>
      <c r="F156" s="2" t="n"/>
      <c r="G156" s="2" t="n"/>
      <c r="H156" s="2" t="n"/>
      <c r="I156" s="2" t="n"/>
      <c r="J156" s="2" t="n"/>
      <c r="K156" s="2" t="n"/>
      <c r="L156" s="2" t="n"/>
      <c r="M156" s="2" t="n"/>
      <c r="N156" s="2" t="n"/>
      <c r="O156" s="2" t="n"/>
      <c r="P156" s="2" t="n"/>
      <c r="Q156" s="2">
        <f>IF(G156="","",TODAY()-G156)</f>
        <v/>
      </c>
    </row>
    <row r="157">
      <c r="A157" s="2" t="n"/>
      <c r="B157" s="2" t="n"/>
      <c r="C157" s="2" t="n"/>
      <c r="D157" s="2" t="n"/>
      <c r="E157" s="2" t="n"/>
      <c r="F157" s="2" t="n"/>
      <c r="G157" s="2" t="n"/>
      <c r="H157" s="2" t="n"/>
      <c r="I157" s="2" t="n"/>
      <c r="J157" s="2" t="n"/>
      <c r="K157" s="2" t="n"/>
      <c r="L157" s="2" t="n"/>
      <c r="M157" s="2" t="n"/>
      <c r="N157" s="2" t="n"/>
      <c r="O157" s="2" t="n"/>
      <c r="P157" s="2" t="n"/>
      <c r="Q157" s="2">
        <f>IF(G157="","",TODAY()-G157)</f>
        <v/>
      </c>
    </row>
    <row r="158">
      <c r="A158" s="2" t="n"/>
      <c r="B158" s="2" t="n"/>
      <c r="C158" s="2" t="n"/>
      <c r="D158" s="2" t="n"/>
      <c r="E158" s="2" t="n"/>
      <c r="F158" s="2" t="n"/>
      <c r="G158" s="2" t="n"/>
      <c r="H158" s="2" t="n"/>
      <c r="I158" s="2" t="n"/>
      <c r="J158" s="2" t="n"/>
      <c r="K158" s="2" t="n"/>
      <c r="L158" s="2" t="n"/>
      <c r="M158" s="2" t="n"/>
      <c r="N158" s="2" t="n"/>
      <c r="O158" s="2" t="n"/>
      <c r="P158" s="2" t="n"/>
      <c r="Q158" s="2">
        <f>IF(G158="","",TODAY()-G158)</f>
        <v/>
      </c>
    </row>
    <row r="159">
      <c r="A159" s="2" t="n"/>
      <c r="B159" s="2" t="n"/>
      <c r="C159" s="2" t="n"/>
      <c r="D159" s="2" t="n"/>
      <c r="E159" s="2" t="n"/>
      <c r="F159" s="2" t="n"/>
      <c r="G159" s="2" t="n"/>
      <c r="H159" s="2" t="n"/>
      <c r="I159" s="2" t="n"/>
      <c r="J159" s="2" t="n"/>
      <c r="K159" s="2" t="n"/>
      <c r="L159" s="2" t="n"/>
      <c r="M159" s="2" t="n"/>
      <c r="N159" s="2" t="n"/>
      <c r="O159" s="2" t="n"/>
      <c r="P159" s="2" t="n"/>
      <c r="Q159" s="2">
        <f>IF(G159="","",TODAY()-G159)</f>
        <v/>
      </c>
    </row>
    <row r="160">
      <c r="A160" s="2" t="n"/>
      <c r="B160" s="2" t="n"/>
      <c r="C160" s="2" t="n"/>
      <c r="D160" s="2" t="n"/>
      <c r="E160" s="2" t="n"/>
      <c r="F160" s="2" t="n"/>
      <c r="G160" s="2" t="n"/>
      <c r="H160" s="2" t="n"/>
      <c r="I160" s="2" t="n"/>
      <c r="J160" s="2" t="n"/>
      <c r="K160" s="2" t="n"/>
      <c r="L160" s="2" t="n"/>
      <c r="M160" s="2" t="n"/>
      <c r="N160" s="2" t="n"/>
      <c r="O160" s="2" t="n"/>
      <c r="P160" s="2" t="n"/>
      <c r="Q160" s="2">
        <f>IF(G160="","",TODAY()-G160)</f>
        <v/>
      </c>
    </row>
    <row r="161">
      <c r="A161" s="2" t="n"/>
      <c r="B161" s="2" t="n"/>
      <c r="C161" s="2" t="n"/>
      <c r="D161" s="2" t="n"/>
      <c r="E161" s="2" t="n"/>
      <c r="F161" s="2" t="n"/>
      <c r="G161" s="2" t="n"/>
      <c r="H161" s="2" t="n"/>
      <c r="I161" s="2" t="n"/>
      <c r="J161" s="2" t="n"/>
      <c r="K161" s="2" t="n"/>
      <c r="L161" s="2" t="n"/>
      <c r="M161" s="2" t="n"/>
      <c r="N161" s="2" t="n"/>
      <c r="O161" s="2" t="n"/>
      <c r="P161" s="2" t="n"/>
      <c r="Q161" s="2">
        <f>IF(G161="","",TODAY()-G161)</f>
        <v/>
      </c>
    </row>
    <row r="162">
      <c r="A162" s="2" t="n"/>
      <c r="B162" s="2" t="n"/>
      <c r="C162" s="2" t="n"/>
      <c r="D162" s="2" t="n"/>
      <c r="E162" s="2" t="n"/>
      <c r="F162" s="2" t="n"/>
      <c r="G162" s="2" t="n"/>
      <c r="H162" s="2" t="n"/>
      <c r="I162" s="2" t="n"/>
      <c r="J162" s="2" t="n"/>
      <c r="K162" s="2" t="n"/>
      <c r="L162" s="2" t="n"/>
      <c r="M162" s="2" t="n"/>
      <c r="N162" s="2" t="n"/>
      <c r="O162" s="2" t="n"/>
      <c r="P162" s="2" t="n"/>
      <c r="Q162" s="2">
        <f>IF(G162="","",TODAY()-G162)</f>
        <v/>
      </c>
    </row>
    <row r="163">
      <c r="A163" s="2" t="n"/>
      <c r="B163" s="2" t="n"/>
      <c r="C163" s="2" t="n"/>
      <c r="D163" s="2" t="n"/>
      <c r="E163" s="2" t="n"/>
      <c r="F163" s="2" t="n"/>
      <c r="G163" s="2" t="n"/>
      <c r="H163" s="2" t="n"/>
      <c r="I163" s="2" t="n"/>
      <c r="J163" s="2" t="n"/>
      <c r="K163" s="2" t="n"/>
      <c r="L163" s="2" t="n"/>
      <c r="M163" s="2" t="n"/>
      <c r="N163" s="2" t="n"/>
      <c r="O163" s="2" t="n"/>
      <c r="P163" s="2" t="n"/>
      <c r="Q163" s="2">
        <f>IF(G163="","",TODAY()-G163)</f>
        <v/>
      </c>
    </row>
    <row r="164">
      <c r="A164" s="2" t="n"/>
      <c r="B164" s="2" t="n"/>
      <c r="C164" s="2" t="n"/>
      <c r="D164" s="2" t="n"/>
      <c r="E164" s="2" t="n"/>
      <c r="F164" s="2" t="n"/>
      <c r="G164" s="2" t="n"/>
      <c r="H164" s="2" t="n"/>
      <c r="I164" s="2" t="n"/>
      <c r="J164" s="2" t="n"/>
      <c r="K164" s="2" t="n"/>
      <c r="L164" s="2" t="n"/>
      <c r="M164" s="2" t="n"/>
      <c r="N164" s="2" t="n"/>
      <c r="O164" s="2" t="n"/>
      <c r="P164" s="2" t="n"/>
      <c r="Q164" s="2">
        <f>IF(G164="","",TODAY()-G164)</f>
        <v/>
      </c>
    </row>
    <row r="165">
      <c r="A165" s="2" t="n"/>
      <c r="B165" s="2" t="n"/>
      <c r="C165" s="2" t="n"/>
      <c r="D165" s="2" t="n"/>
      <c r="E165" s="2" t="n"/>
      <c r="F165" s="2" t="n"/>
      <c r="G165" s="2" t="n"/>
      <c r="H165" s="2" t="n"/>
      <c r="I165" s="2" t="n"/>
      <c r="J165" s="2" t="n"/>
      <c r="K165" s="2" t="n"/>
      <c r="L165" s="2" t="n"/>
      <c r="M165" s="2" t="n"/>
      <c r="N165" s="2" t="n"/>
      <c r="O165" s="2" t="n"/>
      <c r="P165" s="2" t="n"/>
      <c r="Q165" s="2">
        <f>IF(G165="","",TODAY()-G165)</f>
        <v/>
      </c>
    </row>
    <row r="166">
      <c r="A166" s="2" t="n"/>
      <c r="B166" s="2" t="n"/>
      <c r="C166" s="2" t="n"/>
      <c r="D166" s="2" t="n"/>
      <c r="E166" s="2" t="n"/>
      <c r="F166" s="2" t="n"/>
      <c r="G166" s="2" t="n"/>
      <c r="H166" s="2" t="n"/>
      <c r="I166" s="2" t="n"/>
      <c r="J166" s="2" t="n"/>
      <c r="K166" s="2" t="n"/>
      <c r="L166" s="2" t="n"/>
      <c r="M166" s="2" t="n"/>
      <c r="N166" s="2" t="n"/>
      <c r="O166" s="2" t="n"/>
      <c r="P166" s="2" t="n"/>
      <c r="Q166" s="2">
        <f>IF(G166="","",TODAY()-G166)</f>
        <v/>
      </c>
    </row>
    <row r="167">
      <c r="A167" s="2" t="n"/>
      <c r="B167" s="2" t="n"/>
      <c r="C167" s="2" t="n"/>
      <c r="D167" s="2" t="n"/>
      <c r="E167" s="2" t="n"/>
      <c r="F167" s="2" t="n"/>
      <c r="G167" s="2" t="n"/>
      <c r="H167" s="2" t="n"/>
      <c r="I167" s="2" t="n"/>
      <c r="J167" s="2" t="n"/>
      <c r="K167" s="2" t="n"/>
      <c r="L167" s="2" t="n"/>
      <c r="M167" s="2" t="n"/>
      <c r="N167" s="2" t="n"/>
      <c r="O167" s="2" t="n"/>
      <c r="P167" s="2" t="n"/>
      <c r="Q167" s="2">
        <f>IF(G167="","",TODAY()-G167)</f>
        <v/>
      </c>
    </row>
    <row r="168">
      <c r="A168" s="2" t="n"/>
      <c r="B168" s="2" t="n"/>
      <c r="C168" s="2" t="n"/>
      <c r="D168" s="2" t="n"/>
      <c r="E168" s="2" t="n"/>
      <c r="F168" s="2" t="n"/>
      <c r="G168" s="2" t="n"/>
      <c r="H168" s="2" t="n"/>
      <c r="I168" s="2" t="n"/>
      <c r="J168" s="2" t="n"/>
      <c r="K168" s="2" t="n"/>
      <c r="L168" s="2" t="n"/>
      <c r="M168" s="2" t="n"/>
      <c r="N168" s="2" t="n"/>
      <c r="O168" s="2" t="n"/>
      <c r="P168" s="2" t="n"/>
      <c r="Q168" s="2">
        <f>IF(G168="","",TODAY()-G168)</f>
        <v/>
      </c>
    </row>
    <row r="169">
      <c r="A169" s="2" t="n"/>
      <c r="B169" s="2" t="n"/>
      <c r="C169" s="2" t="n"/>
      <c r="D169" s="2" t="n"/>
      <c r="E169" s="2" t="n"/>
      <c r="F169" s="2" t="n"/>
      <c r="G169" s="2" t="n"/>
      <c r="H169" s="2" t="n"/>
      <c r="I169" s="2" t="n"/>
      <c r="J169" s="2" t="n"/>
      <c r="K169" s="2" t="n"/>
      <c r="L169" s="2" t="n"/>
      <c r="M169" s="2" t="n"/>
      <c r="N169" s="2" t="n"/>
      <c r="O169" s="2" t="n"/>
      <c r="P169" s="2" t="n"/>
      <c r="Q169" s="2">
        <f>IF(G169="","",TODAY()-G169)</f>
        <v/>
      </c>
    </row>
    <row r="170">
      <c r="A170" s="2" t="n"/>
      <c r="B170" s="2" t="n"/>
      <c r="C170" s="2" t="n"/>
      <c r="D170" s="2" t="n"/>
      <c r="E170" s="2" t="n"/>
      <c r="F170" s="2" t="n"/>
      <c r="G170" s="2" t="n"/>
      <c r="H170" s="2" t="n"/>
      <c r="I170" s="2" t="n"/>
      <c r="J170" s="2" t="n"/>
      <c r="K170" s="2" t="n"/>
      <c r="L170" s="2" t="n"/>
      <c r="M170" s="2" t="n"/>
      <c r="N170" s="2" t="n"/>
      <c r="O170" s="2" t="n"/>
      <c r="P170" s="2" t="n"/>
      <c r="Q170" s="2">
        <f>IF(G170="","",TODAY()-G170)</f>
        <v/>
      </c>
    </row>
    <row r="171">
      <c r="A171" s="2" t="n"/>
      <c r="B171" s="2" t="n"/>
      <c r="C171" s="2" t="n"/>
      <c r="D171" s="2" t="n"/>
      <c r="E171" s="2" t="n"/>
      <c r="F171" s="2" t="n"/>
      <c r="G171" s="2" t="n"/>
      <c r="H171" s="2" t="n"/>
      <c r="I171" s="2" t="n"/>
      <c r="J171" s="2" t="n"/>
      <c r="K171" s="2" t="n"/>
      <c r="L171" s="2" t="n"/>
      <c r="M171" s="2" t="n"/>
      <c r="N171" s="2" t="n"/>
      <c r="O171" s="2" t="n"/>
      <c r="P171" s="2" t="n"/>
      <c r="Q171" s="2">
        <f>IF(G171="","",TODAY()-G171)</f>
        <v/>
      </c>
    </row>
    <row r="172">
      <c r="A172" s="2" t="n"/>
      <c r="B172" s="2" t="n"/>
      <c r="C172" s="2" t="n"/>
      <c r="D172" s="2" t="n"/>
      <c r="E172" s="2" t="n"/>
      <c r="F172" s="2" t="n"/>
      <c r="G172" s="2" t="n"/>
      <c r="H172" s="2" t="n"/>
      <c r="I172" s="2" t="n"/>
      <c r="J172" s="2" t="n"/>
      <c r="K172" s="2" t="n"/>
      <c r="L172" s="2" t="n"/>
      <c r="M172" s="2" t="n"/>
      <c r="N172" s="2" t="n"/>
      <c r="O172" s="2" t="n"/>
      <c r="P172" s="2" t="n"/>
      <c r="Q172" s="2">
        <f>IF(G172="","",TODAY()-G172)</f>
        <v/>
      </c>
    </row>
    <row r="173">
      <c r="A173" s="2" t="n"/>
      <c r="B173" s="2" t="n"/>
      <c r="C173" s="2" t="n"/>
      <c r="D173" s="2" t="n"/>
      <c r="E173" s="2" t="n"/>
      <c r="F173" s="2" t="n"/>
      <c r="G173" s="2" t="n"/>
      <c r="H173" s="2" t="n"/>
      <c r="I173" s="2" t="n"/>
      <c r="J173" s="2" t="n"/>
      <c r="K173" s="2" t="n"/>
      <c r="L173" s="2" t="n"/>
      <c r="M173" s="2" t="n"/>
      <c r="N173" s="2" t="n"/>
      <c r="O173" s="2" t="n"/>
      <c r="P173" s="2" t="n"/>
      <c r="Q173" s="2">
        <f>IF(G173="","",TODAY()-G173)</f>
        <v/>
      </c>
    </row>
    <row r="174">
      <c r="A174" s="2" t="n"/>
      <c r="B174" s="2" t="n"/>
      <c r="C174" s="2" t="n"/>
      <c r="D174" s="2" t="n"/>
      <c r="E174" s="2" t="n"/>
      <c r="F174" s="2" t="n"/>
      <c r="G174" s="2" t="n"/>
      <c r="H174" s="2" t="n"/>
      <c r="I174" s="2" t="n"/>
      <c r="J174" s="2" t="n"/>
      <c r="K174" s="2" t="n"/>
      <c r="L174" s="2" t="n"/>
      <c r="M174" s="2" t="n"/>
      <c r="N174" s="2" t="n"/>
      <c r="O174" s="2" t="n"/>
      <c r="P174" s="2" t="n"/>
      <c r="Q174" s="2">
        <f>IF(G174="","",TODAY()-G174)</f>
        <v/>
      </c>
    </row>
    <row r="175">
      <c r="A175" s="2" t="n"/>
      <c r="B175" s="2" t="n"/>
      <c r="C175" s="2" t="n"/>
      <c r="D175" s="2" t="n"/>
      <c r="E175" s="2" t="n"/>
      <c r="F175" s="2" t="n"/>
      <c r="G175" s="2" t="n"/>
      <c r="H175" s="2" t="n"/>
      <c r="I175" s="2" t="n"/>
      <c r="J175" s="2" t="n"/>
      <c r="K175" s="2" t="n"/>
      <c r="L175" s="2" t="n"/>
      <c r="M175" s="2" t="n"/>
      <c r="N175" s="2" t="n"/>
      <c r="O175" s="2" t="n"/>
      <c r="P175" s="2" t="n"/>
      <c r="Q175" s="2">
        <f>IF(G175="","",TODAY()-G175)</f>
        <v/>
      </c>
    </row>
    <row r="176">
      <c r="A176" s="2" t="n"/>
      <c r="B176" s="2" t="n"/>
      <c r="C176" s="2" t="n"/>
      <c r="D176" s="2" t="n"/>
      <c r="E176" s="2" t="n"/>
      <c r="F176" s="2" t="n"/>
      <c r="G176" s="2" t="n"/>
      <c r="H176" s="2" t="n"/>
      <c r="I176" s="2" t="n"/>
      <c r="J176" s="2" t="n"/>
      <c r="K176" s="2" t="n"/>
      <c r="L176" s="2" t="n"/>
      <c r="M176" s="2" t="n"/>
      <c r="N176" s="2" t="n"/>
      <c r="O176" s="2" t="n"/>
      <c r="P176" s="2" t="n"/>
      <c r="Q176" s="2">
        <f>IF(G176="","",TODAY()-G176)</f>
        <v/>
      </c>
    </row>
    <row r="177">
      <c r="A177" s="2" t="n"/>
      <c r="B177" s="2" t="n"/>
      <c r="C177" s="2" t="n"/>
      <c r="D177" s="2" t="n"/>
      <c r="E177" s="2" t="n"/>
      <c r="F177" s="2" t="n"/>
      <c r="G177" s="2" t="n"/>
      <c r="H177" s="2" t="n"/>
      <c r="I177" s="2" t="n"/>
      <c r="J177" s="2" t="n"/>
      <c r="K177" s="2" t="n"/>
      <c r="L177" s="2" t="n"/>
      <c r="M177" s="2" t="n"/>
      <c r="N177" s="2" t="n"/>
      <c r="O177" s="2" t="n"/>
      <c r="P177" s="2" t="n"/>
      <c r="Q177" s="2">
        <f>IF(G177="","",TODAY()-G177)</f>
        <v/>
      </c>
    </row>
    <row r="178">
      <c r="A178" s="2" t="n"/>
      <c r="B178" s="2" t="n"/>
      <c r="C178" s="2" t="n"/>
      <c r="D178" s="2" t="n"/>
      <c r="E178" s="2" t="n"/>
      <c r="F178" s="2" t="n"/>
      <c r="G178" s="2" t="n"/>
      <c r="H178" s="2" t="n"/>
      <c r="I178" s="2" t="n"/>
      <c r="J178" s="2" t="n"/>
      <c r="K178" s="2" t="n"/>
      <c r="L178" s="2" t="n"/>
      <c r="M178" s="2" t="n"/>
      <c r="N178" s="2" t="n"/>
      <c r="O178" s="2" t="n"/>
      <c r="P178" s="2" t="n"/>
      <c r="Q178" s="2">
        <f>IF(G178="","",TODAY()-G178)</f>
        <v/>
      </c>
    </row>
    <row r="179">
      <c r="A179" s="2" t="n"/>
      <c r="B179" s="2" t="n"/>
      <c r="C179" s="2" t="n"/>
      <c r="D179" s="2" t="n"/>
      <c r="E179" s="2" t="n"/>
      <c r="F179" s="2" t="n"/>
      <c r="G179" s="2" t="n"/>
      <c r="H179" s="2" t="n"/>
      <c r="I179" s="2" t="n"/>
      <c r="J179" s="2" t="n"/>
      <c r="K179" s="2" t="n"/>
      <c r="L179" s="2" t="n"/>
      <c r="M179" s="2" t="n"/>
      <c r="N179" s="2" t="n"/>
      <c r="O179" s="2" t="n"/>
      <c r="P179" s="2" t="n"/>
      <c r="Q179" s="2">
        <f>IF(G179="","",TODAY()-G179)</f>
        <v/>
      </c>
    </row>
    <row r="180">
      <c r="A180" s="2" t="n"/>
      <c r="B180" s="2" t="n"/>
      <c r="C180" s="2" t="n"/>
      <c r="D180" s="2" t="n"/>
      <c r="E180" s="2" t="n"/>
      <c r="F180" s="2" t="n"/>
      <c r="G180" s="2" t="n"/>
      <c r="H180" s="2" t="n"/>
      <c r="I180" s="2" t="n"/>
      <c r="J180" s="2" t="n"/>
      <c r="K180" s="2" t="n"/>
      <c r="L180" s="2" t="n"/>
      <c r="M180" s="2" t="n"/>
      <c r="N180" s="2" t="n"/>
      <c r="O180" s="2" t="n"/>
      <c r="P180" s="2" t="n"/>
      <c r="Q180" s="2">
        <f>IF(G180="","",TODAY()-G180)</f>
        <v/>
      </c>
    </row>
    <row r="181">
      <c r="A181" s="2" t="n"/>
      <c r="B181" s="2" t="n"/>
      <c r="C181" s="2" t="n"/>
      <c r="D181" s="2" t="n"/>
      <c r="E181" s="2" t="n"/>
      <c r="F181" s="2" t="n"/>
      <c r="G181" s="2" t="n"/>
      <c r="H181" s="2" t="n"/>
      <c r="I181" s="2" t="n"/>
      <c r="J181" s="2" t="n"/>
      <c r="K181" s="2" t="n"/>
      <c r="L181" s="2" t="n"/>
      <c r="M181" s="2" t="n"/>
      <c r="N181" s="2" t="n"/>
      <c r="O181" s="2" t="n"/>
      <c r="P181" s="2" t="n"/>
      <c r="Q181" s="2">
        <f>IF(G181="","",TODAY()-G181)</f>
        <v/>
      </c>
    </row>
    <row r="182">
      <c r="A182" s="2" t="n"/>
      <c r="B182" s="2" t="n"/>
      <c r="C182" s="2" t="n"/>
      <c r="D182" s="2" t="n"/>
      <c r="E182" s="2" t="n"/>
      <c r="F182" s="2" t="n"/>
      <c r="G182" s="2" t="n"/>
      <c r="H182" s="2" t="n"/>
      <c r="I182" s="2" t="n"/>
      <c r="J182" s="2" t="n"/>
      <c r="K182" s="2" t="n"/>
      <c r="L182" s="2" t="n"/>
      <c r="M182" s="2" t="n"/>
      <c r="N182" s="2" t="n"/>
      <c r="O182" s="2" t="n"/>
      <c r="P182" s="2" t="n"/>
      <c r="Q182" s="2">
        <f>IF(G182="","",TODAY()-G182)</f>
        <v/>
      </c>
    </row>
    <row r="183">
      <c r="A183" s="2" t="n"/>
      <c r="B183" s="2" t="n"/>
      <c r="C183" s="2" t="n"/>
      <c r="D183" s="2" t="n"/>
      <c r="E183" s="2" t="n"/>
      <c r="F183" s="2" t="n"/>
      <c r="G183" s="2" t="n"/>
      <c r="H183" s="2" t="n"/>
      <c r="I183" s="2" t="n"/>
      <c r="J183" s="2" t="n"/>
      <c r="K183" s="2" t="n"/>
      <c r="L183" s="2" t="n"/>
      <c r="M183" s="2" t="n"/>
      <c r="N183" s="2" t="n"/>
      <c r="O183" s="2" t="n"/>
      <c r="P183" s="2" t="n"/>
      <c r="Q183" s="2">
        <f>IF(G183="","",TODAY()-G183)</f>
        <v/>
      </c>
    </row>
    <row r="184">
      <c r="A184" s="2" t="n"/>
      <c r="B184" s="2" t="n"/>
      <c r="C184" s="2" t="n"/>
      <c r="D184" s="2" t="n"/>
      <c r="E184" s="2" t="n"/>
      <c r="F184" s="2" t="n"/>
      <c r="G184" s="2" t="n"/>
      <c r="H184" s="2" t="n"/>
      <c r="I184" s="2" t="n"/>
      <c r="J184" s="2" t="n"/>
      <c r="K184" s="2" t="n"/>
      <c r="L184" s="2" t="n"/>
      <c r="M184" s="2" t="n"/>
      <c r="N184" s="2" t="n"/>
      <c r="O184" s="2" t="n"/>
      <c r="P184" s="2" t="n"/>
      <c r="Q184" s="2">
        <f>IF(G184="","",TODAY()-G184)</f>
        <v/>
      </c>
    </row>
    <row r="185">
      <c r="A185" s="2" t="n"/>
      <c r="B185" s="2" t="n"/>
      <c r="C185" s="2" t="n"/>
      <c r="D185" s="2" t="n"/>
      <c r="E185" s="2" t="n"/>
      <c r="F185" s="2" t="n"/>
      <c r="G185" s="2" t="n"/>
      <c r="H185" s="2" t="n"/>
      <c r="I185" s="2" t="n"/>
      <c r="J185" s="2" t="n"/>
      <c r="K185" s="2" t="n"/>
      <c r="L185" s="2" t="n"/>
      <c r="M185" s="2" t="n"/>
      <c r="N185" s="2" t="n"/>
      <c r="O185" s="2" t="n"/>
      <c r="P185" s="2" t="n"/>
      <c r="Q185" s="2">
        <f>IF(G185="","",TODAY()-G185)</f>
        <v/>
      </c>
    </row>
    <row r="186">
      <c r="A186" s="2" t="n"/>
      <c r="B186" s="2" t="n"/>
      <c r="C186" s="2" t="n"/>
      <c r="D186" s="2" t="n"/>
      <c r="E186" s="2" t="n"/>
      <c r="F186" s="2" t="n"/>
      <c r="G186" s="2" t="n"/>
      <c r="H186" s="2" t="n"/>
      <c r="I186" s="2" t="n"/>
      <c r="J186" s="2" t="n"/>
      <c r="K186" s="2" t="n"/>
      <c r="L186" s="2" t="n"/>
      <c r="M186" s="2" t="n"/>
      <c r="N186" s="2" t="n"/>
      <c r="O186" s="2" t="n"/>
      <c r="P186" s="2" t="n"/>
      <c r="Q186" s="2">
        <f>IF(G186="","",TODAY()-G186)</f>
        <v/>
      </c>
    </row>
    <row r="187">
      <c r="A187" s="2" t="n"/>
      <c r="B187" s="2" t="n"/>
      <c r="C187" s="2" t="n"/>
      <c r="D187" s="2" t="n"/>
      <c r="E187" s="2" t="n"/>
      <c r="F187" s="2" t="n"/>
      <c r="G187" s="2" t="n"/>
      <c r="H187" s="2" t="n"/>
      <c r="I187" s="2" t="n"/>
      <c r="J187" s="2" t="n"/>
      <c r="K187" s="2" t="n"/>
      <c r="L187" s="2" t="n"/>
      <c r="M187" s="2" t="n"/>
      <c r="N187" s="2" t="n"/>
      <c r="O187" s="2" t="n"/>
      <c r="P187" s="2" t="n"/>
      <c r="Q187" s="2">
        <f>IF(G187="","",TODAY()-G187)</f>
        <v/>
      </c>
    </row>
    <row r="188">
      <c r="A188" s="2" t="n"/>
      <c r="B188" s="2" t="n"/>
      <c r="C188" s="2" t="n"/>
      <c r="D188" s="2" t="n"/>
      <c r="E188" s="2" t="n"/>
      <c r="F188" s="2" t="n"/>
      <c r="G188" s="2" t="n"/>
      <c r="H188" s="2" t="n"/>
      <c r="I188" s="2" t="n"/>
      <c r="J188" s="2" t="n"/>
      <c r="K188" s="2" t="n"/>
      <c r="L188" s="2" t="n"/>
      <c r="M188" s="2" t="n"/>
      <c r="N188" s="2" t="n"/>
      <c r="O188" s="2" t="n"/>
      <c r="P188" s="2" t="n"/>
      <c r="Q188" s="2">
        <f>IF(G188="","",TODAY()-G188)</f>
        <v/>
      </c>
    </row>
    <row r="189">
      <c r="A189" s="2" t="n"/>
      <c r="B189" s="2" t="n"/>
      <c r="C189" s="2" t="n"/>
      <c r="D189" s="2" t="n"/>
      <c r="E189" s="2" t="n"/>
      <c r="F189" s="2" t="n"/>
      <c r="G189" s="2" t="n"/>
      <c r="H189" s="2" t="n"/>
      <c r="I189" s="2" t="n"/>
      <c r="J189" s="2" t="n"/>
      <c r="K189" s="2" t="n"/>
      <c r="L189" s="2" t="n"/>
      <c r="M189" s="2" t="n"/>
      <c r="N189" s="2" t="n"/>
      <c r="O189" s="2" t="n"/>
      <c r="P189" s="2" t="n"/>
      <c r="Q189" s="2">
        <f>IF(G189="","",TODAY()-G189)</f>
        <v/>
      </c>
    </row>
    <row r="190">
      <c r="A190" s="2" t="n"/>
      <c r="B190" s="2" t="n"/>
      <c r="C190" s="2" t="n"/>
      <c r="D190" s="2" t="n"/>
      <c r="E190" s="2" t="n"/>
      <c r="F190" s="2" t="n"/>
      <c r="G190" s="2" t="n"/>
      <c r="H190" s="2" t="n"/>
      <c r="I190" s="2" t="n"/>
      <c r="J190" s="2" t="n"/>
      <c r="K190" s="2" t="n"/>
      <c r="L190" s="2" t="n"/>
      <c r="M190" s="2" t="n"/>
      <c r="N190" s="2" t="n"/>
      <c r="O190" s="2" t="n"/>
      <c r="P190" s="2" t="n"/>
      <c r="Q190" s="2">
        <f>IF(G190="","",TODAY()-G190)</f>
        <v/>
      </c>
    </row>
    <row r="191">
      <c r="A191" s="2" t="n"/>
      <c r="B191" s="2" t="n"/>
      <c r="C191" s="2" t="n"/>
      <c r="D191" s="2" t="n"/>
      <c r="E191" s="2" t="n"/>
      <c r="F191" s="2" t="n"/>
      <c r="G191" s="2" t="n"/>
      <c r="H191" s="2" t="n"/>
      <c r="I191" s="2" t="n"/>
      <c r="J191" s="2" t="n"/>
      <c r="K191" s="2" t="n"/>
      <c r="L191" s="2" t="n"/>
      <c r="M191" s="2" t="n"/>
      <c r="N191" s="2" t="n"/>
      <c r="O191" s="2" t="n"/>
      <c r="P191" s="2" t="n"/>
      <c r="Q191" s="2">
        <f>IF(G191="","",TODAY()-G191)</f>
        <v/>
      </c>
    </row>
    <row r="192">
      <c r="A192" s="2" t="n"/>
      <c r="B192" s="2" t="n"/>
      <c r="C192" s="2" t="n"/>
      <c r="D192" s="2" t="n"/>
      <c r="E192" s="2" t="n"/>
      <c r="F192" s="2" t="n"/>
      <c r="G192" s="2" t="n"/>
      <c r="H192" s="2" t="n"/>
      <c r="I192" s="2" t="n"/>
      <c r="J192" s="2" t="n"/>
      <c r="K192" s="2" t="n"/>
      <c r="L192" s="2" t="n"/>
      <c r="M192" s="2" t="n"/>
      <c r="N192" s="2" t="n"/>
      <c r="O192" s="2" t="n"/>
      <c r="P192" s="2" t="n"/>
      <c r="Q192" s="2">
        <f>IF(G192="","",TODAY()-G192)</f>
        <v/>
      </c>
    </row>
    <row r="193">
      <c r="A193" s="2" t="n"/>
      <c r="B193" s="2" t="n"/>
      <c r="C193" s="2" t="n"/>
      <c r="D193" s="2" t="n"/>
      <c r="E193" s="2" t="n"/>
      <c r="F193" s="2" t="n"/>
      <c r="G193" s="2" t="n"/>
      <c r="H193" s="2" t="n"/>
      <c r="I193" s="2" t="n"/>
      <c r="J193" s="2" t="n"/>
      <c r="K193" s="2" t="n"/>
      <c r="L193" s="2" t="n"/>
      <c r="M193" s="2" t="n"/>
      <c r="N193" s="2" t="n"/>
      <c r="O193" s="2" t="n"/>
      <c r="P193" s="2" t="n"/>
      <c r="Q193" s="2">
        <f>IF(G193="","",TODAY()-G193)</f>
        <v/>
      </c>
    </row>
    <row r="194">
      <c r="A194" s="2" t="n"/>
      <c r="B194" s="2" t="n"/>
      <c r="C194" s="2" t="n"/>
      <c r="D194" s="2" t="n"/>
      <c r="E194" s="2" t="n"/>
      <c r="F194" s="2" t="n"/>
      <c r="G194" s="2" t="n"/>
      <c r="H194" s="2" t="n"/>
      <c r="I194" s="2" t="n"/>
      <c r="J194" s="2" t="n"/>
      <c r="K194" s="2" t="n"/>
      <c r="L194" s="2" t="n"/>
      <c r="M194" s="2" t="n"/>
      <c r="N194" s="2" t="n"/>
      <c r="O194" s="2" t="n"/>
      <c r="P194" s="2" t="n"/>
      <c r="Q194" s="2">
        <f>IF(G194="","",TODAY()-G194)</f>
        <v/>
      </c>
    </row>
    <row r="195">
      <c r="A195" s="2" t="n"/>
      <c r="B195" s="2" t="n"/>
      <c r="C195" s="2" t="n"/>
      <c r="D195" s="2" t="n"/>
      <c r="E195" s="2" t="n"/>
      <c r="F195" s="2" t="n"/>
      <c r="G195" s="2" t="n"/>
      <c r="H195" s="2" t="n"/>
      <c r="I195" s="2" t="n"/>
      <c r="J195" s="2" t="n"/>
      <c r="K195" s="2" t="n"/>
      <c r="L195" s="2" t="n"/>
      <c r="M195" s="2" t="n"/>
      <c r="N195" s="2" t="n"/>
      <c r="O195" s="2" t="n"/>
      <c r="P195" s="2" t="n"/>
      <c r="Q195" s="2">
        <f>IF(G195="","",TODAY()-G195)</f>
        <v/>
      </c>
    </row>
    <row r="196">
      <c r="A196" s="2" t="n"/>
      <c r="B196" s="2" t="n"/>
      <c r="C196" s="2" t="n"/>
      <c r="D196" s="2" t="n"/>
      <c r="E196" s="2" t="n"/>
      <c r="F196" s="2" t="n"/>
      <c r="G196" s="2" t="n"/>
      <c r="H196" s="2" t="n"/>
      <c r="I196" s="2" t="n"/>
      <c r="J196" s="2" t="n"/>
      <c r="K196" s="2" t="n"/>
      <c r="L196" s="2" t="n"/>
      <c r="M196" s="2" t="n"/>
      <c r="N196" s="2" t="n"/>
      <c r="O196" s="2" t="n"/>
      <c r="P196" s="2" t="n"/>
      <c r="Q196" s="2">
        <f>IF(G196="","",TODAY()-G196)</f>
        <v/>
      </c>
    </row>
    <row r="197">
      <c r="A197" s="2" t="n"/>
      <c r="B197" s="2" t="n"/>
      <c r="C197" s="2" t="n"/>
      <c r="D197" s="2" t="n"/>
      <c r="E197" s="2" t="n"/>
      <c r="F197" s="2" t="n"/>
      <c r="G197" s="2" t="n"/>
      <c r="H197" s="2" t="n"/>
      <c r="I197" s="2" t="n"/>
      <c r="J197" s="2" t="n"/>
      <c r="K197" s="2" t="n"/>
      <c r="L197" s="2" t="n"/>
      <c r="M197" s="2" t="n"/>
      <c r="N197" s="2" t="n"/>
      <c r="O197" s="2" t="n"/>
      <c r="P197" s="2" t="n"/>
      <c r="Q197" s="2">
        <f>IF(G197="","",TODAY()-G197)</f>
        <v/>
      </c>
    </row>
    <row r="198">
      <c r="A198" s="2" t="n"/>
      <c r="B198" s="2" t="n"/>
      <c r="C198" s="2" t="n"/>
      <c r="D198" s="2" t="n"/>
      <c r="E198" s="2" t="n"/>
      <c r="F198" s="2" t="n"/>
      <c r="G198" s="2" t="n"/>
      <c r="H198" s="2" t="n"/>
      <c r="I198" s="2" t="n"/>
      <c r="J198" s="2" t="n"/>
      <c r="K198" s="2" t="n"/>
      <c r="L198" s="2" t="n"/>
      <c r="M198" s="2" t="n"/>
      <c r="N198" s="2" t="n"/>
      <c r="O198" s="2" t="n"/>
      <c r="P198" s="2" t="n"/>
      <c r="Q198" s="2">
        <f>IF(G198="","",TODAY()-G198)</f>
        <v/>
      </c>
    </row>
    <row r="199">
      <c r="A199" s="2" t="n"/>
      <c r="B199" s="2" t="n"/>
      <c r="C199" s="2" t="n"/>
      <c r="D199" s="2" t="n"/>
      <c r="E199" s="2" t="n"/>
      <c r="F199" s="2" t="n"/>
      <c r="G199" s="2" t="n"/>
      <c r="H199" s="2" t="n"/>
      <c r="I199" s="2" t="n"/>
      <c r="J199" s="2" t="n"/>
      <c r="K199" s="2" t="n"/>
      <c r="L199" s="2" t="n"/>
      <c r="M199" s="2" t="n"/>
      <c r="N199" s="2" t="n"/>
      <c r="O199" s="2" t="n"/>
      <c r="P199" s="2" t="n"/>
      <c r="Q199" s="2">
        <f>IF(G199="","",TODAY()-G199)</f>
        <v/>
      </c>
    </row>
    <row r="200">
      <c r="A200" s="2" t="n"/>
      <c r="B200" s="2" t="n"/>
      <c r="C200" s="2" t="n"/>
      <c r="D200" s="2" t="n"/>
      <c r="E200" s="2" t="n"/>
      <c r="F200" s="2" t="n"/>
      <c r="G200" s="2" t="n"/>
      <c r="H200" s="2" t="n"/>
      <c r="I200" s="2" t="n"/>
      <c r="J200" s="2" t="n"/>
      <c r="K200" s="2" t="n"/>
      <c r="L200" s="2" t="n"/>
      <c r="M200" s="2" t="n"/>
      <c r="N200" s="2" t="n"/>
      <c r="O200" s="2" t="n"/>
      <c r="P200" s="2" t="n"/>
      <c r="Q200" s="2">
        <f>IF(G200="","",TODAY()-G200)</f>
        <v/>
      </c>
    </row>
    <row r="201">
      <c r="A201" s="2" t="n"/>
      <c r="B201" s="2" t="n"/>
      <c r="C201" s="2" t="n"/>
      <c r="D201" s="2" t="n"/>
      <c r="E201" s="2" t="n"/>
      <c r="F201" s="2" t="n"/>
      <c r="G201" s="2" t="n"/>
      <c r="H201" s="2" t="n"/>
      <c r="I201" s="2" t="n"/>
      <c r="J201" s="2" t="n"/>
      <c r="K201" s="2" t="n"/>
      <c r="L201" s="2" t="n"/>
      <c r="M201" s="2" t="n"/>
      <c r="N201" s="2" t="n"/>
      <c r="O201" s="2" t="n"/>
      <c r="P201" s="2" t="n"/>
      <c r="Q201" s="2">
        <f>IF(G201="","",TODAY()-G201)</f>
        <v/>
      </c>
    </row>
    <row r="202">
      <c r="A202" s="2" t="n"/>
      <c r="B202" s="2" t="n"/>
      <c r="C202" s="2" t="n"/>
      <c r="D202" s="2" t="n"/>
      <c r="E202" s="2" t="n"/>
      <c r="F202" s="2" t="n"/>
      <c r="G202" s="2" t="n"/>
      <c r="H202" s="2" t="n"/>
      <c r="I202" s="2" t="n"/>
      <c r="J202" s="2" t="n"/>
      <c r="K202" s="2" t="n"/>
      <c r="L202" s="2" t="n"/>
      <c r="M202" s="2" t="n"/>
      <c r="N202" s="2" t="n"/>
      <c r="O202" s="2" t="n"/>
      <c r="P202" s="2" t="n"/>
      <c r="Q202" s="2">
        <f>IF(G202="","",TODAY()-G202)</f>
        <v/>
      </c>
    </row>
    <row r="203">
      <c r="A203" s="2" t="n"/>
      <c r="B203" s="2" t="n"/>
      <c r="C203" s="2" t="n"/>
      <c r="D203" s="2" t="n"/>
      <c r="E203" s="2" t="n"/>
      <c r="F203" s="2" t="n"/>
      <c r="G203" s="2" t="n"/>
      <c r="H203" s="2" t="n"/>
      <c r="I203" s="2" t="n"/>
      <c r="J203" s="2" t="n"/>
      <c r="K203" s="2" t="n"/>
      <c r="L203" s="2" t="n"/>
      <c r="M203" s="2" t="n"/>
      <c r="N203" s="2" t="n"/>
      <c r="O203" s="2" t="n"/>
      <c r="P203" s="2" t="n"/>
      <c r="Q203" s="2">
        <f>IF(G203="","",TODAY()-G203)</f>
        <v/>
      </c>
    </row>
    <row r="204">
      <c r="A204" s="2" t="n"/>
      <c r="B204" s="2" t="n"/>
      <c r="C204" s="2" t="n"/>
      <c r="D204" s="2" t="n"/>
      <c r="E204" s="2" t="n"/>
      <c r="F204" s="2" t="n"/>
      <c r="G204" s="2" t="n"/>
      <c r="H204" s="2" t="n"/>
      <c r="I204" s="2" t="n"/>
      <c r="J204" s="2" t="n"/>
      <c r="K204" s="2" t="n"/>
      <c r="L204" s="2" t="n"/>
      <c r="M204" s="2" t="n"/>
      <c r="N204" s="2" t="n"/>
      <c r="O204" s="2" t="n"/>
      <c r="P204" s="2" t="n"/>
      <c r="Q204" s="2">
        <f>IF(G204="","",TODAY()-G204)</f>
        <v/>
      </c>
    </row>
    <row r="205">
      <c r="A205" s="2" t="n"/>
      <c r="B205" s="2" t="n"/>
      <c r="C205" s="2" t="n"/>
      <c r="D205" s="2" t="n"/>
      <c r="E205" s="2" t="n"/>
      <c r="F205" s="2" t="n"/>
      <c r="G205" s="2" t="n"/>
      <c r="H205" s="2" t="n"/>
      <c r="I205" s="2" t="n"/>
      <c r="J205" s="2" t="n"/>
      <c r="K205" s="2" t="n"/>
      <c r="L205" s="2" t="n"/>
      <c r="M205" s="2" t="n"/>
      <c r="N205" s="2" t="n"/>
      <c r="O205" s="2" t="n"/>
      <c r="P205" s="2" t="n"/>
      <c r="Q205" s="2">
        <f>IF(G205="","",TODAY()-G205)</f>
        <v/>
      </c>
    </row>
    <row r="206">
      <c r="A206" s="2" t="n"/>
      <c r="B206" s="2" t="n"/>
      <c r="C206" s="2" t="n"/>
      <c r="D206" s="2" t="n"/>
      <c r="E206" s="2" t="n"/>
      <c r="F206" s="2" t="n"/>
      <c r="G206" s="2" t="n"/>
      <c r="H206" s="2" t="n"/>
      <c r="I206" s="2" t="n"/>
      <c r="J206" s="2" t="n"/>
      <c r="K206" s="2" t="n"/>
      <c r="L206" s="2" t="n"/>
      <c r="M206" s="2" t="n"/>
      <c r="N206" s="2" t="n"/>
      <c r="O206" s="2" t="n"/>
      <c r="P206" s="2" t="n"/>
      <c r="Q206" s="2">
        <f>IF(G206="","",TODAY()-G206)</f>
        <v/>
      </c>
    </row>
    <row r="207">
      <c r="A207" s="2" t="n"/>
      <c r="B207" s="2" t="n"/>
      <c r="C207" s="2" t="n"/>
      <c r="D207" s="2" t="n"/>
      <c r="E207" s="2" t="n"/>
      <c r="F207" s="2" t="n"/>
      <c r="G207" s="2" t="n"/>
      <c r="H207" s="2" t="n"/>
      <c r="I207" s="2" t="n"/>
      <c r="J207" s="2" t="n"/>
      <c r="K207" s="2" t="n"/>
      <c r="L207" s="2" t="n"/>
      <c r="M207" s="2" t="n"/>
      <c r="N207" s="2" t="n"/>
      <c r="O207" s="2" t="n"/>
      <c r="P207" s="2" t="n"/>
      <c r="Q207" s="2">
        <f>IF(G207="","",TODAY()-G207)</f>
        <v/>
      </c>
    </row>
    <row r="208">
      <c r="A208" s="2" t="n"/>
      <c r="B208" s="2" t="n"/>
      <c r="C208" s="2" t="n"/>
      <c r="D208" s="2" t="n"/>
      <c r="E208" s="2" t="n"/>
      <c r="F208" s="2" t="n"/>
      <c r="G208" s="2" t="n"/>
      <c r="H208" s="2" t="n"/>
      <c r="I208" s="2" t="n"/>
      <c r="J208" s="2" t="n"/>
      <c r="K208" s="2" t="n"/>
      <c r="L208" s="2" t="n"/>
      <c r="M208" s="2" t="n"/>
      <c r="N208" s="2" t="n"/>
      <c r="O208" s="2" t="n"/>
      <c r="P208" s="2" t="n"/>
      <c r="Q208" s="2">
        <f>IF(G208="","",TODAY()-G208)</f>
        <v/>
      </c>
    </row>
    <row r="209">
      <c r="A209" s="2" t="n"/>
      <c r="B209" s="2" t="n"/>
      <c r="C209" s="2" t="n"/>
      <c r="D209" s="2" t="n"/>
      <c r="E209" s="2" t="n"/>
      <c r="F209" s="2" t="n"/>
      <c r="G209" s="2" t="n"/>
      <c r="H209" s="2" t="n"/>
      <c r="I209" s="2" t="n"/>
      <c r="J209" s="2" t="n"/>
      <c r="K209" s="2" t="n"/>
      <c r="L209" s="2" t="n"/>
      <c r="M209" s="2" t="n"/>
      <c r="N209" s="2" t="n"/>
      <c r="O209" s="2" t="n"/>
      <c r="P209" s="2" t="n"/>
      <c r="Q209" s="2">
        <f>IF(G209="","",TODAY()-G209)</f>
        <v/>
      </c>
    </row>
    <row r="210">
      <c r="A210" s="2" t="n"/>
      <c r="B210" s="2" t="n"/>
      <c r="C210" s="2" t="n"/>
      <c r="D210" s="2" t="n"/>
      <c r="E210" s="2" t="n"/>
      <c r="F210" s="2" t="n"/>
      <c r="G210" s="2" t="n"/>
      <c r="H210" s="2" t="n"/>
      <c r="I210" s="2" t="n"/>
      <c r="J210" s="2" t="n"/>
      <c r="K210" s="2" t="n"/>
      <c r="L210" s="2" t="n"/>
      <c r="M210" s="2" t="n"/>
      <c r="N210" s="2" t="n"/>
      <c r="O210" s="2" t="n"/>
      <c r="P210" s="2" t="n"/>
      <c r="Q210" s="2">
        <f>IF(G210="","",TODAY()-G210)</f>
        <v/>
      </c>
    </row>
    <row r="211">
      <c r="A211" s="2" t="n"/>
      <c r="B211" s="2" t="n"/>
      <c r="C211" s="2" t="n"/>
      <c r="D211" s="2" t="n"/>
      <c r="E211" s="2" t="n"/>
      <c r="F211" s="2" t="n"/>
      <c r="G211" s="2" t="n"/>
      <c r="H211" s="2" t="n"/>
      <c r="I211" s="2" t="n"/>
      <c r="J211" s="2" t="n"/>
      <c r="K211" s="2" t="n"/>
      <c r="L211" s="2" t="n"/>
      <c r="M211" s="2" t="n"/>
      <c r="N211" s="2" t="n"/>
      <c r="O211" s="2" t="n"/>
      <c r="P211" s="2" t="n"/>
      <c r="Q211" s="2">
        <f>IF(G211="","",TODAY()-G211)</f>
        <v/>
      </c>
    </row>
    <row r="212">
      <c r="A212" s="2" t="n"/>
      <c r="B212" s="2" t="n"/>
      <c r="C212" s="2" t="n"/>
      <c r="D212" s="2" t="n"/>
      <c r="E212" s="2" t="n"/>
      <c r="F212" s="2" t="n"/>
      <c r="G212" s="2" t="n"/>
      <c r="H212" s="2" t="n"/>
      <c r="I212" s="2" t="n"/>
      <c r="J212" s="2" t="n"/>
      <c r="K212" s="2" t="n"/>
      <c r="L212" s="2" t="n"/>
      <c r="M212" s="2" t="n"/>
      <c r="N212" s="2" t="n"/>
      <c r="O212" s="2" t="n"/>
      <c r="P212" s="2" t="n"/>
      <c r="Q212" s="2">
        <f>IF(G212="","",TODAY()-G212)</f>
        <v/>
      </c>
    </row>
    <row r="213">
      <c r="A213" s="2" t="n"/>
      <c r="B213" s="2" t="n"/>
      <c r="C213" s="2" t="n"/>
      <c r="D213" s="2" t="n"/>
      <c r="E213" s="2" t="n"/>
      <c r="F213" s="2" t="n"/>
      <c r="G213" s="2" t="n"/>
      <c r="H213" s="2" t="n"/>
      <c r="I213" s="2" t="n"/>
      <c r="J213" s="2" t="n"/>
      <c r="K213" s="2" t="n"/>
      <c r="L213" s="2" t="n"/>
      <c r="M213" s="2" t="n"/>
      <c r="N213" s="2" t="n"/>
      <c r="O213" s="2" t="n"/>
      <c r="P213" s="2" t="n"/>
      <c r="Q213" s="2">
        <f>IF(G213="","",TODAY()-G213)</f>
        <v/>
      </c>
    </row>
    <row r="214">
      <c r="A214" s="2" t="n"/>
      <c r="B214" s="2" t="n"/>
      <c r="C214" s="2" t="n"/>
      <c r="D214" s="2" t="n"/>
      <c r="E214" s="2" t="n"/>
      <c r="F214" s="2" t="n"/>
      <c r="G214" s="2" t="n"/>
      <c r="H214" s="2" t="n"/>
      <c r="I214" s="2" t="n"/>
      <c r="J214" s="2" t="n"/>
      <c r="K214" s="2" t="n"/>
      <c r="L214" s="2" t="n"/>
      <c r="M214" s="2" t="n"/>
      <c r="N214" s="2" t="n"/>
      <c r="O214" s="2" t="n"/>
      <c r="P214" s="2" t="n"/>
      <c r="Q214" s="2">
        <f>IF(G214="","",TODAY()-G214)</f>
        <v/>
      </c>
    </row>
    <row r="215">
      <c r="A215" s="2" t="n"/>
      <c r="B215" s="2" t="n"/>
      <c r="C215" s="2" t="n"/>
      <c r="D215" s="2" t="n"/>
      <c r="E215" s="2" t="n"/>
      <c r="F215" s="2" t="n"/>
      <c r="G215" s="2" t="n"/>
      <c r="H215" s="2" t="n"/>
      <c r="I215" s="2" t="n"/>
      <c r="J215" s="2" t="n"/>
      <c r="K215" s="2" t="n"/>
      <c r="L215" s="2" t="n"/>
      <c r="M215" s="2" t="n"/>
      <c r="N215" s="2" t="n"/>
      <c r="O215" s="2" t="n"/>
      <c r="P215" s="2" t="n"/>
      <c r="Q215" s="2">
        <f>IF(G215="","",TODAY()-G215)</f>
        <v/>
      </c>
    </row>
    <row r="216">
      <c r="A216" s="2" t="n"/>
      <c r="B216" s="2" t="n"/>
      <c r="C216" s="2" t="n"/>
      <c r="D216" s="2" t="n"/>
      <c r="E216" s="2" t="n"/>
      <c r="F216" s="2" t="n"/>
      <c r="G216" s="2" t="n"/>
      <c r="H216" s="2" t="n"/>
      <c r="I216" s="2" t="n"/>
      <c r="J216" s="2" t="n"/>
      <c r="K216" s="2" t="n"/>
      <c r="L216" s="2" t="n"/>
      <c r="M216" s="2" t="n"/>
      <c r="N216" s="2" t="n"/>
      <c r="O216" s="2" t="n"/>
      <c r="P216" s="2" t="n"/>
      <c r="Q216" s="2">
        <f>IF(G216="","",TODAY()-G216)</f>
        <v/>
      </c>
    </row>
    <row r="217">
      <c r="A217" s="2" t="n"/>
      <c r="B217" s="2" t="n"/>
      <c r="C217" s="2" t="n"/>
      <c r="D217" s="2" t="n"/>
      <c r="E217" s="2" t="n"/>
      <c r="F217" s="2" t="n"/>
      <c r="G217" s="2" t="n"/>
      <c r="H217" s="2" t="n"/>
      <c r="I217" s="2" t="n"/>
      <c r="J217" s="2" t="n"/>
      <c r="K217" s="2" t="n"/>
      <c r="L217" s="2" t="n"/>
      <c r="M217" s="2" t="n"/>
      <c r="N217" s="2" t="n"/>
      <c r="O217" s="2" t="n"/>
      <c r="P217" s="2" t="n"/>
      <c r="Q217" s="2">
        <f>IF(G217="","",TODAY()-G217)</f>
        <v/>
      </c>
    </row>
    <row r="218">
      <c r="A218" s="2" t="n"/>
      <c r="B218" s="2" t="n"/>
      <c r="C218" s="2" t="n"/>
      <c r="D218" s="2" t="n"/>
      <c r="E218" s="2" t="n"/>
      <c r="F218" s="2" t="n"/>
      <c r="G218" s="2" t="n"/>
      <c r="H218" s="2" t="n"/>
      <c r="I218" s="2" t="n"/>
      <c r="J218" s="2" t="n"/>
      <c r="K218" s="2" t="n"/>
      <c r="L218" s="2" t="n"/>
      <c r="M218" s="2" t="n"/>
      <c r="N218" s="2" t="n"/>
      <c r="O218" s="2" t="n"/>
      <c r="P218" s="2" t="n"/>
      <c r="Q218" s="2">
        <f>IF(G218="","",TODAY()-G218)</f>
        <v/>
      </c>
    </row>
    <row r="219">
      <c r="A219" s="2" t="n"/>
      <c r="B219" s="2" t="n"/>
      <c r="C219" s="2" t="n"/>
      <c r="D219" s="2" t="n"/>
      <c r="E219" s="2" t="n"/>
      <c r="F219" s="2" t="n"/>
      <c r="G219" s="2" t="n"/>
      <c r="H219" s="2" t="n"/>
      <c r="I219" s="2" t="n"/>
      <c r="J219" s="2" t="n"/>
      <c r="K219" s="2" t="n"/>
      <c r="L219" s="2" t="n"/>
      <c r="M219" s="2" t="n"/>
      <c r="N219" s="2" t="n"/>
      <c r="O219" s="2" t="n"/>
      <c r="P219" s="2" t="n"/>
      <c r="Q219" s="2">
        <f>IF(G219="","",TODAY()-G219)</f>
        <v/>
      </c>
    </row>
    <row r="220">
      <c r="A220" s="2" t="n"/>
      <c r="B220" s="2" t="n"/>
      <c r="C220" s="2" t="n"/>
      <c r="D220" s="2" t="n"/>
      <c r="E220" s="2" t="n"/>
      <c r="F220" s="2" t="n"/>
      <c r="G220" s="2" t="n"/>
      <c r="H220" s="2" t="n"/>
      <c r="I220" s="2" t="n"/>
      <c r="J220" s="2" t="n"/>
      <c r="K220" s="2" t="n"/>
      <c r="L220" s="2" t="n"/>
      <c r="M220" s="2" t="n"/>
      <c r="N220" s="2" t="n"/>
      <c r="O220" s="2" t="n"/>
      <c r="P220" s="2" t="n"/>
      <c r="Q220" s="2">
        <f>IF(G220="","",TODAY()-G220)</f>
        <v/>
      </c>
    </row>
    <row r="221">
      <c r="A221" s="2" t="n"/>
      <c r="B221" s="2" t="n"/>
      <c r="C221" s="2" t="n"/>
      <c r="D221" s="2" t="n"/>
      <c r="E221" s="2" t="n"/>
      <c r="F221" s="2" t="n"/>
      <c r="G221" s="2" t="n"/>
      <c r="H221" s="2" t="n"/>
      <c r="I221" s="2" t="n"/>
      <c r="J221" s="2" t="n"/>
      <c r="K221" s="2" t="n"/>
      <c r="L221" s="2" t="n"/>
      <c r="M221" s="2" t="n"/>
      <c r="N221" s="2" t="n"/>
      <c r="O221" s="2" t="n"/>
      <c r="P221" s="2" t="n"/>
      <c r="Q221" s="2">
        <f>IF(G221="","",TODAY()-G221)</f>
        <v/>
      </c>
    </row>
    <row r="222">
      <c r="A222" s="2" t="n"/>
      <c r="B222" s="2" t="n"/>
      <c r="C222" s="2" t="n"/>
      <c r="D222" s="2" t="n"/>
      <c r="E222" s="2" t="n"/>
      <c r="F222" s="2" t="n"/>
      <c r="G222" s="2" t="n"/>
      <c r="H222" s="2" t="n"/>
      <c r="I222" s="2" t="n"/>
      <c r="J222" s="2" t="n"/>
      <c r="K222" s="2" t="n"/>
      <c r="L222" s="2" t="n"/>
      <c r="M222" s="2" t="n"/>
      <c r="N222" s="2" t="n"/>
      <c r="O222" s="2" t="n"/>
      <c r="P222" s="2" t="n"/>
      <c r="Q222" s="2">
        <f>IF(G222="","",TODAY()-G222)</f>
        <v/>
      </c>
    </row>
    <row r="223">
      <c r="A223" s="2" t="n"/>
      <c r="B223" s="2" t="n"/>
      <c r="C223" s="2" t="n"/>
      <c r="D223" s="2" t="n"/>
      <c r="E223" s="2" t="n"/>
      <c r="F223" s="2" t="n"/>
      <c r="G223" s="2" t="n"/>
      <c r="H223" s="2" t="n"/>
      <c r="I223" s="2" t="n"/>
      <c r="J223" s="2" t="n"/>
      <c r="K223" s="2" t="n"/>
      <c r="L223" s="2" t="n"/>
      <c r="M223" s="2" t="n"/>
      <c r="N223" s="2" t="n"/>
      <c r="O223" s="2" t="n"/>
      <c r="P223" s="2" t="n"/>
      <c r="Q223" s="2">
        <f>IF(G223="","",TODAY()-G223)</f>
        <v/>
      </c>
    </row>
    <row r="224">
      <c r="A224" s="2" t="n"/>
      <c r="B224" s="2" t="n"/>
      <c r="C224" s="2" t="n"/>
      <c r="D224" s="2" t="n"/>
      <c r="E224" s="2" t="n"/>
      <c r="F224" s="2" t="n"/>
      <c r="G224" s="2" t="n"/>
      <c r="H224" s="2" t="n"/>
      <c r="I224" s="2" t="n"/>
      <c r="J224" s="2" t="n"/>
      <c r="K224" s="2" t="n"/>
      <c r="L224" s="2" t="n"/>
      <c r="M224" s="2" t="n"/>
      <c r="N224" s="2" t="n"/>
      <c r="O224" s="2" t="n"/>
      <c r="P224" s="2" t="n"/>
      <c r="Q224" s="2">
        <f>IF(G224="","",TODAY()-G224)</f>
        <v/>
      </c>
    </row>
    <row r="225">
      <c r="A225" s="2" t="n"/>
      <c r="B225" s="2" t="n"/>
      <c r="C225" s="2" t="n"/>
      <c r="D225" s="2" t="n"/>
      <c r="E225" s="2" t="n"/>
      <c r="F225" s="2" t="n"/>
      <c r="G225" s="2" t="n"/>
      <c r="H225" s="2" t="n"/>
      <c r="I225" s="2" t="n"/>
      <c r="J225" s="2" t="n"/>
      <c r="K225" s="2" t="n"/>
      <c r="L225" s="2" t="n"/>
      <c r="M225" s="2" t="n"/>
      <c r="N225" s="2" t="n"/>
      <c r="O225" s="2" t="n"/>
      <c r="P225" s="2" t="n"/>
      <c r="Q225" s="2">
        <f>IF(G225="","",TODAY()-G225)</f>
        <v/>
      </c>
    </row>
    <row r="226">
      <c r="A226" s="2" t="n"/>
      <c r="B226" s="2" t="n"/>
      <c r="C226" s="2" t="n"/>
      <c r="D226" s="2" t="n"/>
      <c r="E226" s="2" t="n"/>
      <c r="F226" s="2" t="n"/>
      <c r="G226" s="2" t="n"/>
      <c r="H226" s="2" t="n"/>
      <c r="I226" s="2" t="n"/>
      <c r="J226" s="2" t="n"/>
      <c r="K226" s="2" t="n"/>
      <c r="L226" s="2" t="n"/>
      <c r="M226" s="2" t="n"/>
      <c r="N226" s="2" t="n"/>
      <c r="O226" s="2" t="n"/>
      <c r="P226" s="2" t="n"/>
      <c r="Q226" s="2">
        <f>IF(G226="","",TODAY()-G226)</f>
        <v/>
      </c>
    </row>
    <row r="227">
      <c r="A227" s="2" t="n"/>
      <c r="B227" s="2" t="n"/>
      <c r="C227" s="2" t="n"/>
      <c r="D227" s="2" t="n"/>
      <c r="E227" s="2" t="n"/>
      <c r="F227" s="2" t="n"/>
      <c r="G227" s="2" t="n"/>
      <c r="H227" s="2" t="n"/>
      <c r="I227" s="2" t="n"/>
      <c r="J227" s="2" t="n"/>
      <c r="K227" s="2" t="n"/>
      <c r="L227" s="2" t="n"/>
      <c r="M227" s="2" t="n"/>
      <c r="N227" s="2" t="n"/>
      <c r="O227" s="2" t="n"/>
      <c r="P227" s="2" t="n"/>
      <c r="Q227" s="2">
        <f>IF(G227="","",TODAY()-G227)</f>
        <v/>
      </c>
    </row>
    <row r="228">
      <c r="A228" s="2" t="n"/>
      <c r="B228" s="2" t="n"/>
      <c r="C228" s="2" t="n"/>
      <c r="D228" s="2" t="n"/>
      <c r="E228" s="2" t="n"/>
      <c r="F228" s="2" t="n"/>
      <c r="G228" s="2" t="n"/>
      <c r="H228" s="2" t="n"/>
      <c r="I228" s="2" t="n"/>
      <c r="J228" s="2" t="n"/>
      <c r="K228" s="2" t="n"/>
      <c r="L228" s="2" t="n"/>
      <c r="M228" s="2" t="n"/>
      <c r="N228" s="2" t="n"/>
      <c r="O228" s="2" t="n"/>
      <c r="P228" s="2" t="n"/>
      <c r="Q228" s="2">
        <f>IF(G228="","",TODAY()-G228)</f>
        <v/>
      </c>
    </row>
    <row r="229">
      <c r="A229" s="2" t="n"/>
      <c r="B229" s="2" t="n"/>
      <c r="C229" s="2" t="n"/>
      <c r="D229" s="2" t="n"/>
      <c r="E229" s="2" t="n"/>
      <c r="F229" s="2" t="n"/>
      <c r="G229" s="2" t="n"/>
      <c r="H229" s="2" t="n"/>
      <c r="I229" s="2" t="n"/>
      <c r="J229" s="2" t="n"/>
      <c r="K229" s="2" t="n"/>
      <c r="L229" s="2" t="n"/>
      <c r="M229" s="2" t="n"/>
      <c r="N229" s="2" t="n"/>
      <c r="O229" s="2" t="n"/>
      <c r="P229" s="2" t="n"/>
      <c r="Q229" s="2">
        <f>IF(G229="","",TODAY()-G229)</f>
        <v/>
      </c>
    </row>
    <row r="230">
      <c r="A230" s="2" t="n"/>
      <c r="B230" s="2" t="n"/>
      <c r="C230" s="2" t="n"/>
      <c r="D230" s="2" t="n"/>
      <c r="E230" s="2" t="n"/>
      <c r="F230" s="2" t="n"/>
      <c r="G230" s="2" t="n"/>
      <c r="H230" s="2" t="n"/>
      <c r="I230" s="2" t="n"/>
      <c r="J230" s="2" t="n"/>
      <c r="K230" s="2" t="n"/>
      <c r="L230" s="2" t="n"/>
      <c r="M230" s="2" t="n"/>
      <c r="N230" s="2" t="n"/>
      <c r="O230" s="2" t="n"/>
      <c r="P230" s="2" t="n"/>
      <c r="Q230" s="2">
        <f>IF(G230="","",TODAY()-G230)</f>
        <v/>
      </c>
    </row>
    <row r="231">
      <c r="A231" s="2" t="n"/>
      <c r="B231" s="2" t="n"/>
      <c r="C231" s="2" t="n"/>
      <c r="D231" s="2" t="n"/>
      <c r="E231" s="2" t="n"/>
      <c r="F231" s="2" t="n"/>
      <c r="G231" s="2" t="n"/>
      <c r="H231" s="2" t="n"/>
      <c r="I231" s="2" t="n"/>
      <c r="J231" s="2" t="n"/>
      <c r="K231" s="2" t="n"/>
      <c r="L231" s="2" t="n"/>
      <c r="M231" s="2" t="n"/>
      <c r="N231" s="2" t="n"/>
      <c r="O231" s="2" t="n"/>
      <c r="P231" s="2" t="n"/>
      <c r="Q231" s="2">
        <f>IF(G231="","",TODAY()-G231)</f>
        <v/>
      </c>
    </row>
    <row r="232">
      <c r="A232" s="2" t="n"/>
      <c r="B232" s="2" t="n"/>
      <c r="C232" s="2" t="n"/>
      <c r="D232" s="2" t="n"/>
      <c r="E232" s="2" t="n"/>
      <c r="F232" s="2" t="n"/>
      <c r="G232" s="2" t="n"/>
      <c r="H232" s="2" t="n"/>
      <c r="I232" s="2" t="n"/>
      <c r="J232" s="2" t="n"/>
      <c r="K232" s="2" t="n"/>
      <c r="L232" s="2" t="n"/>
      <c r="M232" s="2" t="n"/>
      <c r="N232" s="2" t="n"/>
      <c r="O232" s="2" t="n"/>
      <c r="P232" s="2" t="n"/>
      <c r="Q232" s="2">
        <f>IF(G232="","",TODAY()-G232)</f>
        <v/>
      </c>
    </row>
    <row r="233">
      <c r="A233" s="2" t="n"/>
      <c r="B233" s="2" t="n"/>
      <c r="C233" s="2" t="n"/>
      <c r="D233" s="2" t="n"/>
      <c r="E233" s="2" t="n"/>
      <c r="F233" s="2" t="n"/>
      <c r="G233" s="2" t="n"/>
      <c r="H233" s="2" t="n"/>
      <c r="I233" s="2" t="n"/>
      <c r="J233" s="2" t="n"/>
      <c r="K233" s="2" t="n"/>
      <c r="L233" s="2" t="n"/>
      <c r="M233" s="2" t="n"/>
      <c r="N233" s="2" t="n"/>
      <c r="O233" s="2" t="n"/>
      <c r="P233" s="2" t="n"/>
      <c r="Q233" s="2">
        <f>IF(G233="","",TODAY()-G233)</f>
        <v/>
      </c>
    </row>
    <row r="234">
      <c r="A234" s="2" t="n"/>
      <c r="B234" s="2" t="n"/>
      <c r="C234" s="2" t="n"/>
      <c r="D234" s="2" t="n"/>
      <c r="E234" s="2" t="n"/>
      <c r="F234" s="2" t="n"/>
      <c r="G234" s="2" t="n"/>
      <c r="H234" s="2" t="n"/>
      <c r="I234" s="2" t="n"/>
      <c r="J234" s="2" t="n"/>
      <c r="K234" s="2" t="n"/>
      <c r="L234" s="2" t="n"/>
      <c r="M234" s="2" t="n"/>
      <c r="N234" s="2" t="n"/>
      <c r="O234" s="2" t="n"/>
      <c r="P234" s="2" t="n"/>
      <c r="Q234" s="2">
        <f>IF(G234="","",TODAY()-G234)</f>
        <v/>
      </c>
    </row>
    <row r="235">
      <c r="A235" s="2" t="n"/>
      <c r="B235" s="2" t="n"/>
      <c r="C235" s="2" t="n"/>
      <c r="D235" s="2" t="n"/>
      <c r="E235" s="2" t="n"/>
      <c r="F235" s="2" t="n"/>
      <c r="G235" s="2" t="n"/>
      <c r="H235" s="2" t="n"/>
      <c r="I235" s="2" t="n"/>
      <c r="J235" s="2" t="n"/>
      <c r="K235" s="2" t="n"/>
      <c r="L235" s="2" t="n"/>
      <c r="M235" s="2" t="n"/>
      <c r="N235" s="2" t="n"/>
      <c r="O235" s="2" t="n"/>
      <c r="P235" s="2" t="n"/>
      <c r="Q235" s="2">
        <f>IF(G235="","",TODAY()-G235)</f>
        <v/>
      </c>
    </row>
    <row r="236">
      <c r="A236" s="2" t="n"/>
      <c r="B236" s="2" t="n"/>
      <c r="C236" s="2" t="n"/>
      <c r="D236" s="2" t="n"/>
      <c r="E236" s="2" t="n"/>
      <c r="F236" s="2" t="n"/>
      <c r="G236" s="2" t="n"/>
      <c r="H236" s="2" t="n"/>
      <c r="I236" s="2" t="n"/>
      <c r="J236" s="2" t="n"/>
      <c r="K236" s="2" t="n"/>
      <c r="L236" s="2" t="n"/>
      <c r="M236" s="2" t="n"/>
      <c r="N236" s="2" t="n"/>
      <c r="O236" s="2" t="n"/>
      <c r="P236" s="2" t="n"/>
      <c r="Q236" s="2">
        <f>IF(G236="","",TODAY()-G236)</f>
        <v/>
      </c>
    </row>
    <row r="237">
      <c r="A237" s="2" t="n"/>
      <c r="B237" s="2" t="n"/>
      <c r="C237" s="2" t="n"/>
      <c r="D237" s="2" t="n"/>
      <c r="E237" s="2" t="n"/>
      <c r="F237" s="2" t="n"/>
      <c r="G237" s="2" t="n"/>
      <c r="H237" s="2" t="n"/>
      <c r="I237" s="2" t="n"/>
      <c r="J237" s="2" t="n"/>
      <c r="K237" s="2" t="n"/>
      <c r="L237" s="2" t="n"/>
      <c r="M237" s="2" t="n"/>
      <c r="N237" s="2" t="n"/>
      <c r="O237" s="2" t="n"/>
      <c r="P237" s="2" t="n"/>
      <c r="Q237" s="2">
        <f>IF(G237="","",TODAY()-G237)</f>
        <v/>
      </c>
    </row>
    <row r="238">
      <c r="A238" s="2" t="n"/>
      <c r="B238" s="2" t="n"/>
      <c r="C238" s="2" t="n"/>
      <c r="D238" s="2" t="n"/>
      <c r="E238" s="2" t="n"/>
      <c r="F238" s="2" t="n"/>
      <c r="G238" s="2" t="n"/>
      <c r="H238" s="2" t="n"/>
      <c r="I238" s="2" t="n"/>
      <c r="J238" s="2" t="n"/>
      <c r="K238" s="2" t="n"/>
      <c r="L238" s="2" t="n"/>
      <c r="M238" s="2" t="n"/>
      <c r="N238" s="2" t="n"/>
      <c r="O238" s="2" t="n"/>
      <c r="P238" s="2" t="n"/>
      <c r="Q238" s="2">
        <f>IF(G238="","",TODAY()-G238)</f>
        <v/>
      </c>
    </row>
    <row r="239">
      <c r="A239" s="2" t="n"/>
      <c r="B239" s="2" t="n"/>
      <c r="C239" s="2" t="n"/>
      <c r="D239" s="2" t="n"/>
      <c r="E239" s="2" t="n"/>
      <c r="F239" s="2" t="n"/>
      <c r="G239" s="2" t="n"/>
      <c r="H239" s="2" t="n"/>
      <c r="I239" s="2" t="n"/>
      <c r="J239" s="2" t="n"/>
      <c r="K239" s="2" t="n"/>
      <c r="L239" s="2" t="n"/>
      <c r="M239" s="2" t="n"/>
      <c r="N239" s="2" t="n"/>
      <c r="O239" s="2" t="n"/>
      <c r="P239" s="2" t="n"/>
      <c r="Q239" s="2">
        <f>IF(G239="","",TODAY()-G239)</f>
        <v/>
      </c>
    </row>
    <row r="240">
      <c r="A240" s="2" t="n"/>
      <c r="B240" s="2" t="n"/>
      <c r="C240" s="2" t="n"/>
      <c r="D240" s="2" t="n"/>
      <c r="E240" s="2" t="n"/>
      <c r="F240" s="2" t="n"/>
      <c r="G240" s="2" t="n"/>
      <c r="H240" s="2" t="n"/>
      <c r="I240" s="2" t="n"/>
      <c r="J240" s="2" t="n"/>
      <c r="K240" s="2" t="n"/>
      <c r="L240" s="2" t="n"/>
      <c r="M240" s="2" t="n"/>
      <c r="N240" s="2" t="n"/>
      <c r="O240" s="2" t="n"/>
      <c r="P240" s="2" t="n"/>
      <c r="Q240" s="2">
        <f>IF(G240="","",TODAY()-G240)</f>
        <v/>
      </c>
    </row>
    <row r="241">
      <c r="A241" s="2" t="n"/>
      <c r="B241" s="2" t="n"/>
      <c r="C241" s="2" t="n"/>
      <c r="D241" s="2" t="n"/>
      <c r="E241" s="2" t="n"/>
      <c r="F241" s="2" t="n"/>
      <c r="G241" s="2" t="n"/>
      <c r="H241" s="2" t="n"/>
      <c r="I241" s="2" t="n"/>
      <c r="J241" s="2" t="n"/>
      <c r="K241" s="2" t="n"/>
      <c r="L241" s="2" t="n"/>
      <c r="M241" s="2" t="n"/>
      <c r="N241" s="2" t="n"/>
      <c r="O241" s="2" t="n"/>
      <c r="P241" s="2" t="n"/>
      <c r="Q241" s="2">
        <f>IF(G241="","",TODAY()-G241)</f>
        <v/>
      </c>
    </row>
    <row r="242">
      <c r="A242" s="2" t="n"/>
      <c r="B242" s="2" t="n"/>
      <c r="C242" s="2" t="n"/>
      <c r="D242" s="2" t="n"/>
      <c r="E242" s="2" t="n"/>
      <c r="F242" s="2" t="n"/>
      <c r="G242" s="2" t="n"/>
      <c r="H242" s="2" t="n"/>
      <c r="I242" s="2" t="n"/>
      <c r="J242" s="2" t="n"/>
      <c r="K242" s="2" t="n"/>
      <c r="L242" s="2" t="n"/>
      <c r="M242" s="2" t="n"/>
      <c r="N242" s="2" t="n"/>
      <c r="O242" s="2" t="n"/>
      <c r="P242" s="2" t="n"/>
      <c r="Q242" s="2">
        <f>IF(G242="","",TODAY()-G242)</f>
        <v/>
      </c>
    </row>
    <row r="243">
      <c r="A243" s="2" t="n"/>
      <c r="B243" s="2" t="n"/>
      <c r="C243" s="2" t="n"/>
      <c r="D243" s="2" t="n"/>
      <c r="E243" s="2" t="n"/>
      <c r="F243" s="2" t="n"/>
      <c r="G243" s="2" t="n"/>
      <c r="H243" s="2" t="n"/>
      <c r="I243" s="2" t="n"/>
      <c r="J243" s="2" t="n"/>
      <c r="K243" s="2" t="n"/>
      <c r="L243" s="2" t="n"/>
      <c r="M243" s="2" t="n"/>
      <c r="N243" s="2" t="n"/>
      <c r="O243" s="2" t="n"/>
      <c r="P243" s="2" t="n"/>
      <c r="Q243" s="2">
        <f>IF(G243="","",TODAY()-G243)</f>
        <v/>
      </c>
    </row>
    <row r="244">
      <c r="A244" s="2" t="n"/>
      <c r="B244" s="2" t="n"/>
      <c r="C244" s="2" t="n"/>
      <c r="D244" s="2" t="n"/>
      <c r="E244" s="2" t="n"/>
      <c r="F244" s="2" t="n"/>
      <c r="G244" s="2" t="n"/>
      <c r="H244" s="2" t="n"/>
      <c r="I244" s="2" t="n"/>
      <c r="J244" s="2" t="n"/>
      <c r="K244" s="2" t="n"/>
      <c r="L244" s="2" t="n"/>
      <c r="M244" s="2" t="n"/>
      <c r="N244" s="2" t="n"/>
      <c r="O244" s="2" t="n"/>
      <c r="P244" s="2" t="n"/>
      <c r="Q244" s="2">
        <f>IF(G244="","",TODAY()-G244)</f>
        <v/>
      </c>
    </row>
    <row r="245">
      <c r="A245" s="2" t="n"/>
      <c r="B245" s="2" t="n"/>
      <c r="C245" s="2" t="n"/>
      <c r="D245" s="2" t="n"/>
      <c r="E245" s="2" t="n"/>
      <c r="F245" s="2" t="n"/>
      <c r="G245" s="2" t="n"/>
      <c r="H245" s="2" t="n"/>
      <c r="I245" s="2" t="n"/>
      <c r="J245" s="2" t="n"/>
      <c r="K245" s="2" t="n"/>
      <c r="L245" s="2" t="n"/>
      <c r="M245" s="2" t="n"/>
      <c r="N245" s="2" t="n"/>
      <c r="O245" s="2" t="n"/>
      <c r="P245" s="2" t="n"/>
      <c r="Q245" s="2">
        <f>IF(G245="","",TODAY()-G245)</f>
        <v/>
      </c>
    </row>
    <row r="246">
      <c r="A246" s="2" t="n"/>
      <c r="B246" s="2" t="n"/>
      <c r="C246" s="2" t="n"/>
      <c r="D246" s="2" t="n"/>
      <c r="E246" s="2" t="n"/>
      <c r="F246" s="2" t="n"/>
      <c r="G246" s="2" t="n"/>
      <c r="H246" s="2" t="n"/>
      <c r="I246" s="2" t="n"/>
      <c r="J246" s="2" t="n"/>
      <c r="K246" s="2" t="n"/>
      <c r="L246" s="2" t="n"/>
      <c r="M246" s="2" t="n"/>
      <c r="N246" s="2" t="n"/>
      <c r="O246" s="2" t="n"/>
      <c r="P246" s="2" t="n"/>
      <c r="Q246" s="2">
        <f>IF(G246="","",TODAY()-G246)</f>
        <v/>
      </c>
    </row>
    <row r="247">
      <c r="A247" s="2" t="n"/>
      <c r="B247" s="2" t="n"/>
      <c r="C247" s="2" t="n"/>
      <c r="D247" s="2" t="n"/>
      <c r="E247" s="2" t="n"/>
      <c r="F247" s="2" t="n"/>
      <c r="G247" s="2" t="n"/>
      <c r="H247" s="2" t="n"/>
      <c r="I247" s="2" t="n"/>
      <c r="J247" s="2" t="n"/>
      <c r="K247" s="2" t="n"/>
      <c r="L247" s="2" t="n"/>
      <c r="M247" s="2" t="n"/>
      <c r="N247" s="2" t="n"/>
      <c r="O247" s="2" t="n"/>
      <c r="P247" s="2" t="n"/>
      <c r="Q247" s="2">
        <f>IF(G247="","",TODAY()-G247)</f>
        <v/>
      </c>
    </row>
    <row r="248">
      <c r="A248" s="2" t="n"/>
      <c r="B248" s="2" t="n"/>
      <c r="C248" s="2" t="n"/>
      <c r="D248" s="2" t="n"/>
      <c r="E248" s="2" t="n"/>
      <c r="F248" s="2" t="n"/>
      <c r="G248" s="2" t="n"/>
      <c r="H248" s="2" t="n"/>
      <c r="I248" s="2" t="n"/>
      <c r="J248" s="2" t="n"/>
      <c r="K248" s="2" t="n"/>
      <c r="L248" s="2" t="n"/>
      <c r="M248" s="2" t="n"/>
      <c r="N248" s="2" t="n"/>
      <c r="O248" s="2" t="n"/>
      <c r="P248" s="2" t="n"/>
      <c r="Q248" s="2">
        <f>IF(G248="","",TODAY()-G248)</f>
        <v/>
      </c>
    </row>
    <row r="249">
      <c r="A249" s="2" t="n"/>
      <c r="B249" s="2" t="n"/>
      <c r="C249" s="2" t="n"/>
      <c r="D249" s="2" t="n"/>
      <c r="E249" s="2" t="n"/>
      <c r="F249" s="2" t="n"/>
      <c r="G249" s="2" t="n"/>
      <c r="H249" s="2" t="n"/>
      <c r="I249" s="2" t="n"/>
      <c r="J249" s="2" t="n"/>
      <c r="K249" s="2" t="n"/>
      <c r="L249" s="2" t="n"/>
      <c r="M249" s="2" t="n"/>
      <c r="N249" s="2" t="n"/>
      <c r="O249" s="2" t="n"/>
      <c r="P249" s="2" t="n"/>
      <c r="Q249" s="2">
        <f>IF(G249="","",TODAY()-G249)</f>
        <v/>
      </c>
    </row>
    <row r="250">
      <c r="A250" s="2" t="n"/>
      <c r="B250" s="2" t="n"/>
      <c r="C250" s="2" t="n"/>
      <c r="D250" s="2" t="n"/>
      <c r="E250" s="2" t="n"/>
      <c r="F250" s="2" t="n"/>
      <c r="G250" s="2" t="n"/>
      <c r="H250" s="2" t="n"/>
      <c r="I250" s="2" t="n"/>
      <c r="J250" s="2" t="n"/>
      <c r="K250" s="2" t="n"/>
      <c r="L250" s="2" t="n"/>
      <c r="M250" s="2" t="n"/>
      <c r="N250" s="2" t="n"/>
      <c r="O250" s="2" t="n"/>
      <c r="P250" s="2" t="n"/>
      <c r="Q250" s="2">
        <f>IF(G250="","",TODAY()-G250)</f>
        <v/>
      </c>
    </row>
    <row r="251">
      <c r="A251" s="2" t="n"/>
      <c r="B251" s="2" t="n"/>
      <c r="C251" s="2" t="n"/>
      <c r="D251" s="2" t="n"/>
      <c r="E251" s="2" t="n"/>
      <c r="F251" s="2" t="n"/>
      <c r="G251" s="2" t="n"/>
      <c r="H251" s="2" t="n"/>
      <c r="I251" s="2" t="n"/>
      <c r="J251" s="2" t="n"/>
      <c r="K251" s="2" t="n"/>
      <c r="L251" s="2" t="n"/>
      <c r="M251" s="2" t="n"/>
      <c r="N251" s="2" t="n"/>
      <c r="O251" s="2" t="n"/>
      <c r="P251" s="2" t="n"/>
      <c r="Q251" s="2">
        <f>IF(G251="","",TODAY()-G251)</f>
        <v/>
      </c>
    </row>
    <row r="252">
      <c r="A252" s="2" t="n"/>
      <c r="B252" s="2" t="n"/>
      <c r="C252" s="2" t="n"/>
      <c r="D252" s="2" t="n"/>
      <c r="E252" s="2" t="n"/>
      <c r="F252" s="2" t="n"/>
      <c r="G252" s="2" t="n"/>
      <c r="H252" s="2" t="n"/>
      <c r="I252" s="2" t="n"/>
      <c r="J252" s="2" t="n"/>
      <c r="K252" s="2" t="n"/>
      <c r="L252" s="2" t="n"/>
      <c r="M252" s="2" t="n"/>
      <c r="N252" s="2" t="n"/>
      <c r="O252" s="2" t="n"/>
      <c r="P252" s="2" t="n"/>
      <c r="Q252" s="2">
        <f>IF(G252="","",TODAY()-G252)</f>
        <v/>
      </c>
    </row>
    <row r="253">
      <c r="A253" s="2" t="n"/>
      <c r="B253" s="2" t="n"/>
      <c r="C253" s="2" t="n"/>
      <c r="D253" s="2" t="n"/>
      <c r="E253" s="2" t="n"/>
      <c r="F253" s="2" t="n"/>
      <c r="G253" s="2" t="n"/>
      <c r="H253" s="2" t="n"/>
      <c r="I253" s="2" t="n"/>
      <c r="J253" s="2" t="n"/>
      <c r="K253" s="2" t="n"/>
      <c r="L253" s="2" t="n"/>
      <c r="M253" s="2" t="n"/>
      <c r="N253" s="2" t="n"/>
      <c r="O253" s="2" t="n"/>
      <c r="P253" s="2" t="n"/>
      <c r="Q253" s="2">
        <f>IF(G253="","",TODAY()-G253)</f>
        <v/>
      </c>
    </row>
    <row r="254">
      <c r="A254" s="2" t="n"/>
      <c r="B254" s="2" t="n"/>
      <c r="C254" s="2" t="n"/>
      <c r="D254" s="2" t="n"/>
      <c r="E254" s="2" t="n"/>
      <c r="F254" s="2" t="n"/>
      <c r="G254" s="2" t="n"/>
      <c r="H254" s="2" t="n"/>
      <c r="I254" s="2" t="n"/>
      <c r="J254" s="2" t="n"/>
      <c r="K254" s="2" t="n"/>
      <c r="L254" s="2" t="n"/>
      <c r="M254" s="2" t="n"/>
      <c r="N254" s="2" t="n"/>
      <c r="O254" s="2" t="n"/>
      <c r="P254" s="2" t="n"/>
      <c r="Q254" s="2">
        <f>IF(G254="","",TODAY()-G254)</f>
        <v/>
      </c>
    </row>
    <row r="255">
      <c r="A255" s="2" t="n"/>
      <c r="B255" s="2" t="n"/>
      <c r="C255" s="2" t="n"/>
      <c r="D255" s="2" t="n"/>
      <c r="E255" s="2" t="n"/>
      <c r="F255" s="2" t="n"/>
      <c r="G255" s="2" t="n"/>
      <c r="H255" s="2" t="n"/>
      <c r="I255" s="2" t="n"/>
      <c r="J255" s="2" t="n"/>
      <c r="K255" s="2" t="n"/>
      <c r="L255" s="2" t="n"/>
      <c r="M255" s="2" t="n"/>
      <c r="N255" s="2" t="n"/>
      <c r="O255" s="2" t="n"/>
      <c r="P255" s="2" t="n"/>
      <c r="Q255" s="2">
        <f>IF(G255="","",TODAY()-G255)</f>
        <v/>
      </c>
    </row>
    <row r="256">
      <c r="A256" s="2" t="n"/>
      <c r="B256" s="2" t="n"/>
      <c r="C256" s="2" t="n"/>
      <c r="D256" s="2" t="n"/>
      <c r="E256" s="2" t="n"/>
      <c r="F256" s="2" t="n"/>
      <c r="G256" s="2" t="n"/>
      <c r="H256" s="2" t="n"/>
      <c r="I256" s="2" t="n"/>
      <c r="J256" s="2" t="n"/>
      <c r="K256" s="2" t="n"/>
      <c r="L256" s="2" t="n"/>
      <c r="M256" s="2" t="n"/>
      <c r="N256" s="2" t="n"/>
      <c r="O256" s="2" t="n"/>
      <c r="P256" s="2" t="n"/>
      <c r="Q256" s="2">
        <f>IF(G256="","",TODAY()-G256)</f>
        <v/>
      </c>
    </row>
    <row r="257">
      <c r="A257" s="2" t="n"/>
      <c r="B257" s="2" t="n"/>
      <c r="C257" s="2" t="n"/>
      <c r="D257" s="2" t="n"/>
      <c r="E257" s="2" t="n"/>
      <c r="F257" s="2" t="n"/>
      <c r="G257" s="2" t="n"/>
      <c r="H257" s="2" t="n"/>
      <c r="I257" s="2" t="n"/>
      <c r="J257" s="2" t="n"/>
      <c r="K257" s="2" t="n"/>
      <c r="L257" s="2" t="n"/>
      <c r="M257" s="2" t="n"/>
      <c r="N257" s="2" t="n"/>
      <c r="O257" s="2" t="n"/>
      <c r="P257" s="2" t="n"/>
      <c r="Q257" s="2">
        <f>IF(G257="","",TODAY()-G257)</f>
        <v/>
      </c>
    </row>
    <row r="258">
      <c r="A258" s="2" t="n"/>
      <c r="B258" s="2" t="n"/>
      <c r="C258" s="2" t="n"/>
      <c r="D258" s="2" t="n"/>
      <c r="E258" s="2" t="n"/>
      <c r="F258" s="2" t="n"/>
      <c r="G258" s="2" t="n"/>
      <c r="H258" s="2" t="n"/>
      <c r="I258" s="2" t="n"/>
      <c r="J258" s="2" t="n"/>
      <c r="K258" s="2" t="n"/>
      <c r="L258" s="2" t="n"/>
      <c r="M258" s="2" t="n"/>
      <c r="N258" s="2" t="n"/>
      <c r="O258" s="2" t="n"/>
      <c r="P258" s="2" t="n"/>
      <c r="Q258" s="2">
        <f>IF(G258="","",TODAY()-G258)</f>
        <v/>
      </c>
    </row>
    <row r="259">
      <c r="A259" s="2" t="n"/>
      <c r="B259" s="2" t="n"/>
      <c r="C259" s="2" t="n"/>
      <c r="D259" s="2" t="n"/>
      <c r="E259" s="2" t="n"/>
      <c r="F259" s="2" t="n"/>
      <c r="G259" s="2" t="n"/>
      <c r="H259" s="2" t="n"/>
      <c r="I259" s="2" t="n"/>
      <c r="J259" s="2" t="n"/>
      <c r="K259" s="2" t="n"/>
      <c r="L259" s="2" t="n"/>
      <c r="M259" s="2" t="n"/>
      <c r="N259" s="2" t="n"/>
      <c r="O259" s="2" t="n"/>
      <c r="P259" s="2" t="n"/>
      <c r="Q259" s="2">
        <f>IF(G259="","",TODAY()-G259)</f>
        <v/>
      </c>
    </row>
    <row r="260">
      <c r="A260" s="2" t="n"/>
      <c r="B260" s="2" t="n"/>
      <c r="C260" s="2" t="n"/>
      <c r="D260" s="2" t="n"/>
      <c r="E260" s="2" t="n"/>
      <c r="F260" s="2" t="n"/>
      <c r="G260" s="2" t="n"/>
      <c r="H260" s="2" t="n"/>
      <c r="I260" s="2" t="n"/>
      <c r="J260" s="2" t="n"/>
      <c r="K260" s="2" t="n"/>
      <c r="L260" s="2" t="n"/>
      <c r="M260" s="2" t="n"/>
      <c r="N260" s="2" t="n"/>
      <c r="O260" s="2" t="n"/>
      <c r="P260" s="2" t="n"/>
      <c r="Q260" s="2">
        <f>IF(G260="","",TODAY()-G260)</f>
        <v/>
      </c>
    </row>
    <row r="261">
      <c r="A261" s="2" t="n"/>
      <c r="B261" s="2" t="n"/>
      <c r="C261" s="2" t="n"/>
      <c r="D261" s="2" t="n"/>
      <c r="E261" s="2" t="n"/>
      <c r="F261" s="2" t="n"/>
      <c r="G261" s="2" t="n"/>
      <c r="H261" s="2" t="n"/>
      <c r="I261" s="2" t="n"/>
      <c r="J261" s="2" t="n"/>
      <c r="K261" s="2" t="n"/>
      <c r="L261" s="2" t="n"/>
      <c r="M261" s="2" t="n"/>
      <c r="N261" s="2" t="n"/>
      <c r="O261" s="2" t="n"/>
      <c r="P261" s="2" t="n"/>
      <c r="Q261" s="2">
        <f>IF(G261="","",TODAY()-G261)</f>
        <v/>
      </c>
    </row>
    <row r="262">
      <c r="A262" s="2" t="n"/>
      <c r="B262" s="2" t="n"/>
      <c r="C262" s="2" t="n"/>
      <c r="D262" s="2" t="n"/>
      <c r="E262" s="2" t="n"/>
      <c r="F262" s="2" t="n"/>
      <c r="G262" s="2" t="n"/>
      <c r="H262" s="2" t="n"/>
      <c r="I262" s="2" t="n"/>
      <c r="J262" s="2" t="n"/>
      <c r="K262" s="2" t="n"/>
      <c r="L262" s="2" t="n"/>
      <c r="M262" s="2" t="n"/>
      <c r="N262" s="2" t="n"/>
      <c r="O262" s="2" t="n"/>
      <c r="P262" s="2" t="n"/>
      <c r="Q262" s="2">
        <f>IF(G262="","",TODAY()-G262)</f>
        <v/>
      </c>
    </row>
    <row r="263">
      <c r="A263" s="2" t="n"/>
      <c r="B263" s="2" t="n"/>
      <c r="C263" s="2" t="n"/>
      <c r="D263" s="2" t="n"/>
      <c r="E263" s="2" t="n"/>
      <c r="F263" s="2" t="n"/>
      <c r="G263" s="2" t="n"/>
      <c r="H263" s="2" t="n"/>
      <c r="I263" s="2" t="n"/>
      <c r="J263" s="2" t="n"/>
      <c r="K263" s="2" t="n"/>
      <c r="L263" s="2" t="n"/>
      <c r="M263" s="2" t="n"/>
      <c r="N263" s="2" t="n"/>
      <c r="O263" s="2" t="n"/>
      <c r="P263" s="2" t="n"/>
      <c r="Q263" s="2">
        <f>IF(G263="","",TODAY()-G263)</f>
        <v/>
      </c>
    </row>
    <row r="264">
      <c r="A264" s="2" t="n"/>
      <c r="B264" s="2" t="n"/>
      <c r="C264" s="2" t="n"/>
      <c r="D264" s="2" t="n"/>
      <c r="E264" s="2" t="n"/>
      <c r="F264" s="2" t="n"/>
      <c r="G264" s="2" t="n"/>
      <c r="H264" s="2" t="n"/>
      <c r="I264" s="2" t="n"/>
      <c r="J264" s="2" t="n"/>
      <c r="K264" s="2" t="n"/>
      <c r="L264" s="2" t="n"/>
      <c r="M264" s="2" t="n"/>
      <c r="N264" s="2" t="n"/>
      <c r="O264" s="2" t="n"/>
      <c r="P264" s="2" t="n"/>
      <c r="Q264" s="2">
        <f>IF(G264="","",TODAY()-G264)</f>
        <v/>
      </c>
    </row>
    <row r="265">
      <c r="A265" s="2" t="n"/>
      <c r="B265" s="2" t="n"/>
      <c r="C265" s="2" t="n"/>
      <c r="D265" s="2" t="n"/>
      <c r="E265" s="2" t="n"/>
      <c r="F265" s="2" t="n"/>
      <c r="G265" s="2" t="n"/>
      <c r="H265" s="2" t="n"/>
      <c r="I265" s="2" t="n"/>
      <c r="J265" s="2" t="n"/>
      <c r="K265" s="2" t="n"/>
      <c r="L265" s="2" t="n"/>
      <c r="M265" s="2" t="n"/>
      <c r="N265" s="2" t="n"/>
      <c r="O265" s="2" t="n"/>
      <c r="P265" s="2" t="n"/>
      <c r="Q265" s="2">
        <f>IF(G265="","",TODAY()-G265)</f>
        <v/>
      </c>
    </row>
    <row r="266">
      <c r="A266" s="2" t="n"/>
      <c r="B266" s="2" t="n"/>
      <c r="C266" s="2" t="n"/>
      <c r="D266" s="2" t="n"/>
      <c r="E266" s="2" t="n"/>
      <c r="F266" s="2" t="n"/>
      <c r="G266" s="2" t="n"/>
      <c r="H266" s="2" t="n"/>
      <c r="I266" s="2" t="n"/>
      <c r="J266" s="2" t="n"/>
      <c r="K266" s="2" t="n"/>
      <c r="L266" s="2" t="n"/>
      <c r="M266" s="2" t="n"/>
      <c r="N266" s="2" t="n"/>
      <c r="O266" s="2" t="n"/>
      <c r="P266" s="2" t="n"/>
      <c r="Q266" s="2">
        <f>IF(G266="","",TODAY()-G266)</f>
        <v/>
      </c>
    </row>
    <row r="267">
      <c r="A267" s="2" t="n"/>
      <c r="B267" s="2" t="n"/>
      <c r="C267" s="2" t="n"/>
      <c r="D267" s="2" t="n"/>
      <c r="E267" s="2" t="n"/>
      <c r="F267" s="2" t="n"/>
      <c r="G267" s="2" t="n"/>
      <c r="H267" s="2" t="n"/>
      <c r="I267" s="2" t="n"/>
      <c r="J267" s="2" t="n"/>
      <c r="K267" s="2" t="n"/>
      <c r="L267" s="2" t="n"/>
      <c r="M267" s="2" t="n"/>
      <c r="N267" s="2" t="n"/>
      <c r="O267" s="2" t="n"/>
      <c r="P267" s="2" t="n"/>
      <c r="Q267" s="2">
        <f>IF(G267="","",TODAY()-G267)</f>
        <v/>
      </c>
    </row>
    <row r="268">
      <c r="A268" s="2" t="n"/>
      <c r="B268" s="2" t="n"/>
      <c r="C268" s="2" t="n"/>
      <c r="D268" s="2" t="n"/>
      <c r="E268" s="2" t="n"/>
      <c r="F268" s="2" t="n"/>
      <c r="G268" s="2" t="n"/>
      <c r="H268" s="2" t="n"/>
      <c r="I268" s="2" t="n"/>
      <c r="J268" s="2" t="n"/>
      <c r="K268" s="2" t="n"/>
      <c r="L268" s="2" t="n"/>
      <c r="M268" s="2" t="n"/>
      <c r="N268" s="2" t="n"/>
      <c r="O268" s="2" t="n"/>
      <c r="P268" s="2" t="n"/>
      <c r="Q268" s="2">
        <f>IF(G268="","",TODAY()-G268)</f>
        <v/>
      </c>
    </row>
    <row r="269">
      <c r="A269" s="2" t="n"/>
      <c r="B269" s="2" t="n"/>
      <c r="C269" s="2" t="n"/>
      <c r="D269" s="2" t="n"/>
      <c r="E269" s="2" t="n"/>
      <c r="F269" s="2" t="n"/>
      <c r="G269" s="2" t="n"/>
      <c r="H269" s="2" t="n"/>
      <c r="I269" s="2" t="n"/>
      <c r="J269" s="2" t="n"/>
      <c r="K269" s="2" t="n"/>
      <c r="L269" s="2" t="n"/>
      <c r="M269" s="2" t="n"/>
      <c r="N269" s="2" t="n"/>
      <c r="O269" s="2" t="n"/>
      <c r="P269" s="2" t="n"/>
      <c r="Q269" s="2">
        <f>IF(G269="","",TODAY()-G269)</f>
        <v/>
      </c>
    </row>
    <row r="270">
      <c r="A270" s="2" t="n"/>
      <c r="B270" s="2" t="n"/>
      <c r="C270" s="2" t="n"/>
      <c r="D270" s="2" t="n"/>
      <c r="E270" s="2" t="n"/>
      <c r="F270" s="2" t="n"/>
      <c r="G270" s="2" t="n"/>
      <c r="H270" s="2" t="n"/>
      <c r="I270" s="2" t="n"/>
      <c r="J270" s="2" t="n"/>
      <c r="K270" s="2" t="n"/>
      <c r="L270" s="2" t="n"/>
      <c r="M270" s="2" t="n"/>
      <c r="N270" s="2" t="n"/>
      <c r="O270" s="2" t="n"/>
      <c r="P270" s="2" t="n"/>
      <c r="Q270" s="2">
        <f>IF(G270="","",TODAY()-G270)</f>
        <v/>
      </c>
    </row>
    <row r="271">
      <c r="A271" s="2" t="n"/>
      <c r="B271" s="2" t="n"/>
      <c r="C271" s="2" t="n"/>
      <c r="D271" s="2" t="n"/>
      <c r="E271" s="2" t="n"/>
      <c r="F271" s="2" t="n"/>
      <c r="G271" s="2" t="n"/>
      <c r="H271" s="2" t="n"/>
      <c r="I271" s="2" t="n"/>
      <c r="J271" s="2" t="n"/>
      <c r="K271" s="2" t="n"/>
      <c r="L271" s="2" t="n"/>
      <c r="M271" s="2" t="n"/>
      <c r="N271" s="2" t="n"/>
      <c r="O271" s="2" t="n"/>
      <c r="P271" s="2" t="n"/>
      <c r="Q271" s="2">
        <f>IF(G271="","",TODAY()-G271)</f>
        <v/>
      </c>
    </row>
    <row r="272">
      <c r="A272" s="2" t="n"/>
      <c r="B272" s="2" t="n"/>
      <c r="C272" s="2" t="n"/>
      <c r="D272" s="2" t="n"/>
      <c r="E272" s="2" t="n"/>
      <c r="F272" s="2" t="n"/>
      <c r="G272" s="2" t="n"/>
      <c r="H272" s="2" t="n"/>
      <c r="I272" s="2" t="n"/>
      <c r="J272" s="2" t="n"/>
      <c r="K272" s="2" t="n"/>
      <c r="L272" s="2" t="n"/>
      <c r="M272" s="2" t="n"/>
      <c r="N272" s="2" t="n"/>
      <c r="O272" s="2" t="n"/>
      <c r="P272" s="2" t="n"/>
      <c r="Q272" s="2">
        <f>IF(G272="","",TODAY()-G272)</f>
        <v/>
      </c>
    </row>
    <row r="273">
      <c r="A273" s="2" t="n"/>
      <c r="B273" s="2" t="n"/>
      <c r="C273" s="2" t="n"/>
      <c r="D273" s="2" t="n"/>
      <c r="E273" s="2" t="n"/>
      <c r="F273" s="2" t="n"/>
      <c r="G273" s="2" t="n"/>
      <c r="H273" s="2" t="n"/>
      <c r="I273" s="2" t="n"/>
      <c r="J273" s="2" t="n"/>
      <c r="K273" s="2" t="n"/>
      <c r="L273" s="2" t="n"/>
      <c r="M273" s="2" t="n"/>
      <c r="N273" s="2" t="n"/>
      <c r="O273" s="2" t="n"/>
      <c r="P273" s="2" t="n"/>
      <c r="Q273" s="2">
        <f>IF(G273="","",TODAY()-G273)</f>
        <v/>
      </c>
    </row>
    <row r="274">
      <c r="A274" s="2" t="n"/>
      <c r="B274" s="2" t="n"/>
      <c r="C274" s="2" t="n"/>
      <c r="D274" s="2" t="n"/>
      <c r="E274" s="2" t="n"/>
      <c r="F274" s="2" t="n"/>
      <c r="G274" s="2" t="n"/>
      <c r="H274" s="2" t="n"/>
      <c r="I274" s="2" t="n"/>
      <c r="J274" s="2" t="n"/>
      <c r="K274" s="2" t="n"/>
      <c r="L274" s="2" t="n"/>
      <c r="M274" s="2" t="n"/>
      <c r="N274" s="2" t="n"/>
      <c r="O274" s="2" t="n"/>
      <c r="P274" s="2" t="n"/>
      <c r="Q274" s="2">
        <f>IF(G274="","",TODAY()-G274)</f>
        <v/>
      </c>
    </row>
    <row r="275">
      <c r="A275" s="2" t="n"/>
      <c r="B275" s="2" t="n"/>
      <c r="C275" s="2" t="n"/>
      <c r="D275" s="2" t="n"/>
      <c r="E275" s="2" t="n"/>
      <c r="F275" s="2" t="n"/>
      <c r="G275" s="2" t="n"/>
      <c r="H275" s="2" t="n"/>
      <c r="I275" s="2" t="n"/>
      <c r="J275" s="2" t="n"/>
      <c r="K275" s="2" t="n"/>
      <c r="L275" s="2" t="n"/>
      <c r="M275" s="2" t="n"/>
      <c r="N275" s="2" t="n"/>
      <c r="O275" s="2" t="n"/>
      <c r="P275" s="2" t="n"/>
      <c r="Q275" s="2">
        <f>IF(G275="","",TODAY()-G275)</f>
        <v/>
      </c>
    </row>
    <row r="276">
      <c r="A276" s="2" t="n"/>
      <c r="B276" s="2" t="n"/>
      <c r="C276" s="2" t="n"/>
      <c r="D276" s="2" t="n"/>
      <c r="E276" s="2" t="n"/>
      <c r="F276" s="2" t="n"/>
      <c r="G276" s="2" t="n"/>
      <c r="H276" s="2" t="n"/>
      <c r="I276" s="2" t="n"/>
      <c r="J276" s="2" t="n"/>
      <c r="K276" s="2" t="n"/>
      <c r="L276" s="2" t="n"/>
      <c r="M276" s="2" t="n"/>
      <c r="N276" s="2" t="n"/>
      <c r="O276" s="2" t="n"/>
      <c r="P276" s="2" t="n"/>
      <c r="Q276" s="2">
        <f>IF(G276="","",TODAY()-G276)</f>
        <v/>
      </c>
    </row>
    <row r="277">
      <c r="A277" s="2" t="n"/>
      <c r="B277" s="2" t="n"/>
      <c r="C277" s="2" t="n"/>
      <c r="D277" s="2" t="n"/>
      <c r="E277" s="2" t="n"/>
      <c r="F277" s="2" t="n"/>
      <c r="G277" s="2" t="n"/>
      <c r="H277" s="2" t="n"/>
      <c r="I277" s="2" t="n"/>
      <c r="J277" s="2" t="n"/>
      <c r="K277" s="2" t="n"/>
      <c r="L277" s="2" t="n"/>
      <c r="M277" s="2" t="n"/>
      <c r="N277" s="2" t="n"/>
      <c r="O277" s="2" t="n"/>
      <c r="P277" s="2" t="n"/>
      <c r="Q277" s="2">
        <f>IF(G277="","",TODAY()-G277)</f>
        <v/>
      </c>
    </row>
    <row r="278">
      <c r="A278" s="2" t="n"/>
      <c r="B278" s="2" t="n"/>
      <c r="C278" s="2" t="n"/>
      <c r="D278" s="2" t="n"/>
      <c r="E278" s="2" t="n"/>
      <c r="F278" s="2" t="n"/>
      <c r="G278" s="2" t="n"/>
      <c r="H278" s="2" t="n"/>
      <c r="I278" s="2" t="n"/>
      <c r="J278" s="2" t="n"/>
      <c r="K278" s="2" t="n"/>
      <c r="L278" s="2" t="n"/>
      <c r="M278" s="2" t="n"/>
      <c r="N278" s="2" t="n"/>
      <c r="O278" s="2" t="n"/>
      <c r="P278" s="2" t="n"/>
      <c r="Q278" s="2">
        <f>IF(G278="","",TODAY()-G278)</f>
        <v/>
      </c>
    </row>
    <row r="279">
      <c r="A279" s="2" t="n"/>
      <c r="B279" s="2" t="n"/>
      <c r="C279" s="2" t="n"/>
      <c r="D279" s="2" t="n"/>
      <c r="E279" s="2" t="n"/>
      <c r="F279" s="2" t="n"/>
      <c r="G279" s="2" t="n"/>
      <c r="H279" s="2" t="n"/>
      <c r="I279" s="2" t="n"/>
      <c r="J279" s="2" t="n"/>
      <c r="K279" s="2" t="n"/>
      <c r="L279" s="2" t="n"/>
      <c r="M279" s="2" t="n"/>
      <c r="N279" s="2" t="n"/>
      <c r="O279" s="2" t="n"/>
      <c r="P279" s="2" t="n"/>
      <c r="Q279" s="2">
        <f>IF(G279="","",TODAY()-G279)</f>
        <v/>
      </c>
    </row>
    <row r="280">
      <c r="A280" s="2" t="n"/>
      <c r="B280" s="2" t="n"/>
      <c r="C280" s="2" t="n"/>
      <c r="D280" s="2" t="n"/>
      <c r="E280" s="2" t="n"/>
      <c r="F280" s="2" t="n"/>
      <c r="G280" s="2" t="n"/>
      <c r="H280" s="2" t="n"/>
      <c r="I280" s="2" t="n"/>
      <c r="J280" s="2" t="n"/>
      <c r="K280" s="2" t="n"/>
      <c r="L280" s="2" t="n"/>
      <c r="M280" s="2" t="n"/>
      <c r="N280" s="2" t="n"/>
      <c r="O280" s="2" t="n"/>
      <c r="P280" s="2" t="n"/>
      <c r="Q280" s="2">
        <f>IF(G280="","",TODAY()-G280)</f>
        <v/>
      </c>
    </row>
    <row r="281">
      <c r="A281" s="2" t="n"/>
      <c r="B281" s="2" t="n"/>
      <c r="C281" s="2" t="n"/>
      <c r="D281" s="2" t="n"/>
      <c r="E281" s="2" t="n"/>
      <c r="F281" s="2" t="n"/>
      <c r="G281" s="2" t="n"/>
      <c r="H281" s="2" t="n"/>
      <c r="I281" s="2" t="n"/>
      <c r="J281" s="2" t="n"/>
      <c r="K281" s="2" t="n"/>
      <c r="L281" s="2" t="n"/>
      <c r="M281" s="2" t="n"/>
      <c r="N281" s="2" t="n"/>
      <c r="O281" s="2" t="n"/>
      <c r="P281" s="2" t="n"/>
      <c r="Q281" s="2">
        <f>IF(G281="","",TODAY()-G281)</f>
        <v/>
      </c>
    </row>
    <row r="282">
      <c r="A282" s="2" t="n"/>
      <c r="B282" s="2" t="n"/>
      <c r="C282" s="2" t="n"/>
      <c r="D282" s="2" t="n"/>
      <c r="E282" s="2" t="n"/>
      <c r="F282" s="2" t="n"/>
      <c r="G282" s="2" t="n"/>
      <c r="H282" s="2" t="n"/>
      <c r="I282" s="2" t="n"/>
      <c r="J282" s="2" t="n"/>
      <c r="K282" s="2" t="n"/>
      <c r="L282" s="2" t="n"/>
      <c r="M282" s="2" t="n"/>
      <c r="N282" s="2" t="n"/>
      <c r="O282" s="2" t="n"/>
      <c r="P282" s="2" t="n"/>
      <c r="Q282" s="2">
        <f>IF(G282="","",TODAY()-G282)</f>
        <v/>
      </c>
    </row>
    <row r="283">
      <c r="A283" s="2" t="n"/>
      <c r="B283" s="2" t="n"/>
      <c r="C283" s="2" t="n"/>
      <c r="D283" s="2" t="n"/>
      <c r="E283" s="2" t="n"/>
      <c r="F283" s="2" t="n"/>
      <c r="G283" s="2" t="n"/>
      <c r="H283" s="2" t="n"/>
      <c r="I283" s="2" t="n"/>
      <c r="J283" s="2" t="n"/>
      <c r="K283" s="2" t="n"/>
      <c r="L283" s="2" t="n"/>
      <c r="M283" s="2" t="n"/>
      <c r="N283" s="2" t="n"/>
      <c r="O283" s="2" t="n"/>
      <c r="P283" s="2" t="n"/>
      <c r="Q283" s="2">
        <f>IF(G283="","",TODAY()-G283)</f>
        <v/>
      </c>
    </row>
    <row r="284">
      <c r="A284" s="2" t="n"/>
      <c r="B284" s="2" t="n"/>
      <c r="C284" s="2" t="n"/>
      <c r="D284" s="2" t="n"/>
      <c r="E284" s="2" t="n"/>
      <c r="F284" s="2" t="n"/>
      <c r="G284" s="2" t="n"/>
      <c r="H284" s="2" t="n"/>
      <c r="I284" s="2" t="n"/>
      <c r="J284" s="2" t="n"/>
      <c r="K284" s="2" t="n"/>
      <c r="L284" s="2" t="n"/>
      <c r="M284" s="2" t="n"/>
      <c r="N284" s="2" t="n"/>
      <c r="O284" s="2" t="n"/>
      <c r="P284" s="2" t="n"/>
      <c r="Q284" s="2">
        <f>IF(G284="","",TODAY()-G284)</f>
        <v/>
      </c>
    </row>
    <row r="285">
      <c r="A285" s="2" t="n"/>
      <c r="B285" s="2" t="n"/>
      <c r="C285" s="2" t="n"/>
      <c r="D285" s="2" t="n"/>
      <c r="E285" s="2" t="n"/>
      <c r="F285" s="2" t="n"/>
      <c r="G285" s="2" t="n"/>
      <c r="H285" s="2" t="n"/>
      <c r="I285" s="2" t="n"/>
      <c r="J285" s="2" t="n"/>
      <c r="K285" s="2" t="n"/>
      <c r="L285" s="2" t="n"/>
      <c r="M285" s="2" t="n"/>
      <c r="N285" s="2" t="n"/>
      <c r="O285" s="2" t="n"/>
      <c r="P285" s="2" t="n"/>
      <c r="Q285" s="2">
        <f>IF(G285="","",TODAY()-G285)</f>
        <v/>
      </c>
    </row>
    <row r="286">
      <c r="A286" s="2" t="n"/>
      <c r="B286" s="2" t="n"/>
      <c r="C286" s="2" t="n"/>
      <c r="D286" s="2" t="n"/>
      <c r="E286" s="2" t="n"/>
      <c r="F286" s="2" t="n"/>
      <c r="G286" s="2" t="n"/>
      <c r="H286" s="2" t="n"/>
      <c r="I286" s="2" t="n"/>
      <c r="J286" s="2" t="n"/>
      <c r="K286" s="2" t="n"/>
      <c r="L286" s="2" t="n"/>
      <c r="M286" s="2" t="n"/>
      <c r="N286" s="2" t="n"/>
      <c r="O286" s="2" t="n"/>
      <c r="P286" s="2" t="n"/>
      <c r="Q286" s="2">
        <f>IF(G286="","",TODAY()-G286)</f>
        <v/>
      </c>
    </row>
    <row r="287">
      <c r="A287" s="2" t="n"/>
      <c r="B287" s="2" t="n"/>
      <c r="C287" s="2" t="n"/>
      <c r="D287" s="2" t="n"/>
      <c r="E287" s="2" t="n"/>
      <c r="F287" s="2" t="n"/>
      <c r="G287" s="2" t="n"/>
      <c r="H287" s="2" t="n"/>
      <c r="I287" s="2" t="n"/>
      <c r="J287" s="2" t="n"/>
      <c r="K287" s="2" t="n"/>
      <c r="L287" s="2" t="n"/>
      <c r="M287" s="2" t="n"/>
      <c r="N287" s="2" t="n"/>
      <c r="O287" s="2" t="n"/>
      <c r="P287" s="2" t="n"/>
      <c r="Q287" s="2">
        <f>IF(G287="","",TODAY()-G287)</f>
        <v/>
      </c>
    </row>
    <row r="288">
      <c r="A288" s="2" t="n"/>
      <c r="B288" s="2" t="n"/>
      <c r="C288" s="2" t="n"/>
      <c r="D288" s="2" t="n"/>
      <c r="E288" s="2" t="n"/>
      <c r="F288" s="2" t="n"/>
      <c r="G288" s="2" t="n"/>
      <c r="H288" s="2" t="n"/>
      <c r="I288" s="2" t="n"/>
      <c r="J288" s="2" t="n"/>
      <c r="K288" s="2" t="n"/>
      <c r="L288" s="2" t="n"/>
      <c r="M288" s="2" t="n"/>
      <c r="N288" s="2" t="n"/>
      <c r="O288" s="2" t="n"/>
      <c r="P288" s="2" t="n"/>
      <c r="Q288" s="2">
        <f>IF(G288="","",TODAY()-G288)</f>
        <v/>
      </c>
    </row>
    <row r="289">
      <c r="A289" s="2" t="n"/>
      <c r="B289" s="2" t="n"/>
      <c r="C289" s="2" t="n"/>
      <c r="D289" s="2" t="n"/>
      <c r="E289" s="2" t="n"/>
      <c r="F289" s="2" t="n"/>
      <c r="G289" s="2" t="n"/>
      <c r="H289" s="2" t="n"/>
      <c r="I289" s="2" t="n"/>
      <c r="J289" s="2" t="n"/>
      <c r="K289" s="2" t="n"/>
      <c r="L289" s="2" t="n"/>
      <c r="M289" s="2" t="n"/>
      <c r="N289" s="2" t="n"/>
      <c r="O289" s="2" t="n"/>
      <c r="P289" s="2" t="n"/>
      <c r="Q289" s="2">
        <f>IF(G289="","",TODAY()-G289)</f>
        <v/>
      </c>
    </row>
    <row r="290">
      <c r="A290" s="2" t="n"/>
      <c r="B290" s="2" t="n"/>
      <c r="C290" s="2" t="n"/>
      <c r="D290" s="2" t="n"/>
      <c r="E290" s="2" t="n"/>
      <c r="F290" s="2" t="n"/>
      <c r="G290" s="2" t="n"/>
      <c r="H290" s="2" t="n"/>
      <c r="I290" s="2" t="n"/>
      <c r="J290" s="2" t="n"/>
      <c r="K290" s="2" t="n"/>
      <c r="L290" s="2" t="n"/>
      <c r="M290" s="2" t="n"/>
      <c r="N290" s="2" t="n"/>
      <c r="O290" s="2" t="n"/>
      <c r="P290" s="2" t="n"/>
      <c r="Q290" s="2">
        <f>IF(G290="","",TODAY()-G290)</f>
        <v/>
      </c>
    </row>
    <row r="291">
      <c r="A291" s="2" t="n"/>
      <c r="B291" s="2" t="n"/>
      <c r="C291" s="2" t="n"/>
      <c r="D291" s="2" t="n"/>
      <c r="E291" s="2" t="n"/>
      <c r="F291" s="2" t="n"/>
      <c r="G291" s="2" t="n"/>
      <c r="H291" s="2" t="n"/>
      <c r="I291" s="2" t="n"/>
      <c r="J291" s="2" t="n"/>
      <c r="K291" s="2" t="n"/>
      <c r="L291" s="2" t="n"/>
      <c r="M291" s="2" t="n"/>
      <c r="N291" s="2" t="n"/>
      <c r="O291" s="2" t="n"/>
      <c r="P291" s="2" t="n"/>
      <c r="Q291" s="2">
        <f>IF(G291="","",TODAY()-G291)</f>
        <v/>
      </c>
    </row>
    <row r="292">
      <c r="A292" s="2" t="n"/>
      <c r="B292" s="2" t="n"/>
      <c r="C292" s="2" t="n"/>
      <c r="D292" s="2" t="n"/>
      <c r="E292" s="2" t="n"/>
      <c r="F292" s="2" t="n"/>
      <c r="G292" s="2" t="n"/>
      <c r="H292" s="2" t="n"/>
      <c r="I292" s="2" t="n"/>
      <c r="J292" s="2" t="n"/>
      <c r="K292" s="2" t="n"/>
      <c r="L292" s="2" t="n"/>
      <c r="M292" s="2" t="n"/>
      <c r="N292" s="2" t="n"/>
      <c r="O292" s="2" t="n"/>
      <c r="P292" s="2" t="n"/>
      <c r="Q292" s="2">
        <f>IF(G292="","",TODAY()-G292)</f>
        <v/>
      </c>
    </row>
    <row r="293">
      <c r="A293" s="2" t="n"/>
      <c r="B293" s="2" t="n"/>
      <c r="C293" s="2" t="n"/>
      <c r="D293" s="2" t="n"/>
      <c r="E293" s="2" t="n"/>
      <c r="F293" s="2" t="n"/>
      <c r="G293" s="2" t="n"/>
      <c r="H293" s="2" t="n"/>
      <c r="I293" s="2" t="n"/>
      <c r="J293" s="2" t="n"/>
      <c r="K293" s="2" t="n"/>
      <c r="L293" s="2" t="n"/>
      <c r="M293" s="2" t="n"/>
      <c r="N293" s="2" t="n"/>
      <c r="O293" s="2" t="n"/>
      <c r="P293" s="2" t="n"/>
      <c r="Q293" s="2">
        <f>IF(G293="","",TODAY()-G293)</f>
        <v/>
      </c>
    </row>
    <row r="294">
      <c r="A294" s="2" t="n"/>
      <c r="B294" s="2" t="n"/>
      <c r="C294" s="2" t="n"/>
      <c r="D294" s="2" t="n"/>
      <c r="E294" s="2" t="n"/>
      <c r="F294" s="2" t="n"/>
      <c r="G294" s="2" t="n"/>
      <c r="H294" s="2" t="n"/>
      <c r="I294" s="2" t="n"/>
      <c r="J294" s="2" t="n"/>
      <c r="K294" s="2" t="n"/>
      <c r="L294" s="2" t="n"/>
      <c r="M294" s="2" t="n"/>
      <c r="N294" s="2" t="n"/>
      <c r="O294" s="2" t="n"/>
      <c r="P294" s="2" t="n"/>
      <c r="Q294" s="2">
        <f>IF(G294="","",TODAY()-G294)</f>
        <v/>
      </c>
    </row>
    <row r="295">
      <c r="A295" s="2" t="n"/>
      <c r="B295" s="2" t="n"/>
      <c r="C295" s="2" t="n"/>
      <c r="D295" s="2" t="n"/>
      <c r="E295" s="2" t="n"/>
      <c r="F295" s="2" t="n"/>
      <c r="G295" s="2" t="n"/>
      <c r="H295" s="2" t="n"/>
      <c r="I295" s="2" t="n"/>
      <c r="J295" s="2" t="n"/>
      <c r="K295" s="2" t="n"/>
      <c r="L295" s="2" t="n"/>
      <c r="M295" s="2" t="n"/>
      <c r="N295" s="2" t="n"/>
      <c r="O295" s="2" t="n"/>
      <c r="P295" s="2" t="n"/>
      <c r="Q295" s="2">
        <f>IF(G295="","",TODAY()-G295)</f>
        <v/>
      </c>
    </row>
    <row r="296">
      <c r="A296" s="2" t="n"/>
      <c r="B296" s="2" t="n"/>
      <c r="C296" s="2" t="n"/>
      <c r="D296" s="2" t="n"/>
      <c r="E296" s="2" t="n"/>
      <c r="F296" s="2" t="n"/>
      <c r="G296" s="2" t="n"/>
      <c r="H296" s="2" t="n"/>
      <c r="I296" s="2" t="n"/>
      <c r="J296" s="2" t="n"/>
      <c r="K296" s="2" t="n"/>
      <c r="L296" s="2" t="n"/>
      <c r="M296" s="2" t="n"/>
      <c r="N296" s="2" t="n"/>
      <c r="O296" s="2" t="n"/>
      <c r="P296" s="2" t="n"/>
      <c r="Q296" s="2">
        <f>IF(G296="","",TODAY()-G296)</f>
        <v/>
      </c>
    </row>
    <row r="297">
      <c r="A297" s="2" t="n"/>
      <c r="B297" s="2" t="n"/>
      <c r="C297" s="2" t="n"/>
      <c r="D297" s="2" t="n"/>
      <c r="E297" s="2" t="n"/>
      <c r="F297" s="2" t="n"/>
      <c r="G297" s="2" t="n"/>
      <c r="H297" s="2" t="n"/>
      <c r="I297" s="2" t="n"/>
      <c r="J297" s="2" t="n"/>
      <c r="K297" s="2" t="n"/>
      <c r="L297" s="2" t="n"/>
      <c r="M297" s="2" t="n"/>
      <c r="N297" s="2" t="n"/>
      <c r="O297" s="2" t="n"/>
      <c r="P297" s="2" t="n"/>
      <c r="Q297" s="2">
        <f>IF(G297="","",TODAY()-G297)</f>
        <v/>
      </c>
    </row>
    <row r="298">
      <c r="A298" s="2" t="n"/>
      <c r="B298" s="2" t="n"/>
      <c r="C298" s="2" t="n"/>
      <c r="D298" s="2" t="n"/>
      <c r="E298" s="2" t="n"/>
      <c r="F298" s="2" t="n"/>
      <c r="G298" s="2" t="n"/>
      <c r="H298" s="2" t="n"/>
      <c r="I298" s="2" t="n"/>
      <c r="J298" s="2" t="n"/>
      <c r="K298" s="2" t="n"/>
      <c r="L298" s="2" t="n"/>
      <c r="M298" s="2" t="n"/>
      <c r="N298" s="2" t="n"/>
      <c r="O298" s="2" t="n"/>
      <c r="P298" s="2" t="n"/>
      <c r="Q298" s="2">
        <f>IF(G298="","",TODAY()-G298)</f>
        <v/>
      </c>
    </row>
    <row r="299">
      <c r="A299" s="2" t="n"/>
      <c r="B299" s="2" t="n"/>
      <c r="C299" s="2" t="n"/>
      <c r="D299" s="2" t="n"/>
      <c r="E299" s="2" t="n"/>
      <c r="F299" s="2" t="n"/>
      <c r="G299" s="2" t="n"/>
      <c r="H299" s="2" t="n"/>
      <c r="I299" s="2" t="n"/>
      <c r="J299" s="2" t="n"/>
      <c r="K299" s="2" t="n"/>
      <c r="L299" s="2" t="n"/>
      <c r="M299" s="2" t="n"/>
      <c r="N299" s="2" t="n"/>
      <c r="O299" s="2" t="n"/>
      <c r="P299" s="2" t="n"/>
      <c r="Q299" s="2">
        <f>IF(G299="","",TODAY()-G299)</f>
        <v/>
      </c>
    </row>
    <row r="300">
      <c r="A300" s="2" t="n"/>
      <c r="B300" s="2" t="n"/>
      <c r="C300" s="2" t="n"/>
      <c r="D300" s="2" t="n"/>
      <c r="E300" s="2" t="n"/>
      <c r="F300" s="2" t="n"/>
      <c r="G300" s="2" t="n"/>
      <c r="H300" s="2" t="n"/>
      <c r="I300" s="2" t="n"/>
      <c r="J300" s="2" t="n"/>
      <c r="K300" s="2" t="n"/>
      <c r="L300" s="2" t="n"/>
      <c r="M300" s="2" t="n"/>
      <c r="N300" s="2" t="n"/>
      <c r="O300" s="2" t="n"/>
      <c r="P300" s="2" t="n"/>
      <c r="Q300" s="2">
        <f>IF(G300="","",TODAY()-G300)</f>
        <v/>
      </c>
    </row>
    <row r="301">
      <c r="A301" s="2" t="n"/>
      <c r="B301" s="2" t="n"/>
      <c r="C301" s="2" t="n"/>
      <c r="D301" s="2" t="n"/>
      <c r="E301" s="2" t="n"/>
      <c r="F301" s="2" t="n"/>
      <c r="G301" s="2" t="n"/>
      <c r="H301" s="2" t="n"/>
      <c r="I301" s="2" t="n"/>
      <c r="J301" s="2" t="n"/>
      <c r="K301" s="2" t="n"/>
      <c r="L301" s="2" t="n"/>
      <c r="M301" s="2" t="n"/>
      <c r="N301" s="2" t="n"/>
      <c r="O301" s="2" t="n"/>
      <c r="P301" s="2" t="n"/>
      <c r="Q301" s="2">
        <f>IF(G301="","",TODAY()-G301)</f>
        <v/>
      </c>
    </row>
    <row r="302">
      <c r="A302" s="2" t="n"/>
      <c r="B302" s="2" t="n"/>
      <c r="C302" s="2" t="n"/>
      <c r="D302" s="2" t="n"/>
      <c r="E302" s="2" t="n"/>
      <c r="F302" s="2" t="n"/>
      <c r="G302" s="2" t="n"/>
      <c r="H302" s="2" t="n"/>
      <c r="I302" s="2" t="n"/>
      <c r="J302" s="2" t="n"/>
      <c r="K302" s="2" t="n"/>
      <c r="L302" s="2" t="n"/>
      <c r="M302" s="2" t="n"/>
      <c r="N302" s="2" t="n"/>
      <c r="O302" s="2" t="n"/>
      <c r="P302" s="2" t="n"/>
      <c r="Q302" s="2">
        <f>IF(G302="","",TODAY()-G302)</f>
        <v/>
      </c>
    </row>
    <row r="303">
      <c r="A303" s="2" t="n"/>
      <c r="B303" s="2" t="n"/>
      <c r="C303" s="2" t="n"/>
      <c r="D303" s="2" t="n"/>
      <c r="E303" s="2" t="n"/>
      <c r="F303" s="2" t="n"/>
      <c r="G303" s="2" t="n"/>
      <c r="H303" s="2" t="n"/>
      <c r="I303" s="2" t="n"/>
      <c r="J303" s="2" t="n"/>
      <c r="K303" s="2" t="n"/>
      <c r="L303" s="2" t="n"/>
      <c r="M303" s="2" t="n"/>
      <c r="N303" s="2" t="n"/>
      <c r="O303" s="2" t="n"/>
      <c r="P303" s="2" t="n"/>
      <c r="Q303" s="2">
        <f>IF(G303="","",TODAY()-G303)</f>
        <v/>
      </c>
    </row>
    <row r="304">
      <c r="A304" s="2" t="n"/>
      <c r="B304" s="2" t="n"/>
      <c r="C304" s="2" t="n"/>
      <c r="D304" s="2" t="n"/>
      <c r="E304" s="2" t="n"/>
      <c r="F304" s="2" t="n"/>
      <c r="G304" s="2" t="n"/>
      <c r="H304" s="2" t="n"/>
      <c r="I304" s="2" t="n"/>
      <c r="J304" s="2" t="n"/>
      <c r="K304" s="2" t="n"/>
      <c r="L304" s="2" t="n"/>
      <c r="M304" s="2" t="n"/>
      <c r="N304" s="2" t="n"/>
      <c r="O304" s="2" t="n"/>
      <c r="P304" s="2" t="n"/>
      <c r="Q304" s="2">
        <f>IF(G304="","",TODAY()-G304)</f>
        <v/>
      </c>
    </row>
    <row r="305">
      <c r="A305" s="2" t="n"/>
      <c r="B305" s="2" t="n"/>
      <c r="C305" s="2" t="n"/>
      <c r="D305" s="2" t="n"/>
      <c r="E305" s="2" t="n"/>
      <c r="F305" s="2" t="n"/>
      <c r="G305" s="2" t="n"/>
      <c r="H305" s="2" t="n"/>
      <c r="I305" s="2" t="n"/>
      <c r="J305" s="2" t="n"/>
      <c r="K305" s="2" t="n"/>
      <c r="L305" s="2" t="n"/>
      <c r="M305" s="2" t="n"/>
      <c r="N305" s="2" t="n"/>
      <c r="O305" s="2" t="n"/>
      <c r="P305" s="2" t="n"/>
      <c r="Q305" s="2">
        <f>IF(G305="","",TODAY()-G305)</f>
        <v/>
      </c>
    </row>
    <row r="306">
      <c r="A306" s="2" t="n"/>
      <c r="B306" s="2" t="n"/>
      <c r="C306" s="2" t="n"/>
      <c r="D306" s="2" t="n"/>
      <c r="E306" s="2" t="n"/>
      <c r="F306" s="2" t="n"/>
      <c r="G306" s="2" t="n"/>
      <c r="H306" s="2" t="n"/>
      <c r="I306" s="2" t="n"/>
      <c r="J306" s="2" t="n"/>
      <c r="K306" s="2" t="n"/>
      <c r="L306" s="2" t="n"/>
      <c r="M306" s="2" t="n"/>
      <c r="N306" s="2" t="n"/>
      <c r="O306" s="2" t="n"/>
      <c r="P306" s="2" t="n"/>
      <c r="Q306" s="2">
        <f>IF(G306="","",TODAY()-G306)</f>
        <v/>
      </c>
    </row>
    <row r="307">
      <c r="A307" s="2" t="n"/>
      <c r="B307" s="2" t="n"/>
      <c r="C307" s="2" t="n"/>
      <c r="D307" s="2" t="n"/>
      <c r="E307" s="2" t="n"/>
      <c r="F307" s="2" t="n"/>
      <c r="G307" s="2" t="n"/>
      <c r="H307" s="2" t="n"/>
      <c r="I307" s="2" t="n"/>
      <c r="J307" s="2" t="n"/>
      <c r="K307" s="2" t="n"/>
      <c r="L307" s="2" t="n"/>
      <c r="M307" s="2" t="n"/>
      <c r="N307" s="2" t="n"/>
      <c r="O307" s="2" t="n"/>
      <c r="P307" s="2" t="n"/>
      <c r="Q307" s="2">
        <f>IF(G307="","",TODAY()-G307)</f>
        <v/>
      </c>
    </row>
    <row r="308">
      <c r="A308" s="2" t="n"/>
      <c r="B308" s="2" t="n"/>
      <c r="C308" s="2" t="n"/>
      <c r="D308" s="2" t="n"/>
      <c r="E308" s="2" t="n"/>
      <c r="F308" s="2" t="n"/>
      <c r="G308" s="2" t="n"/>
      <c r="H308" s="2" t="n"/>
      <c r="I308" s="2" t="n"/>
      <c r="J308" s="2" t="n"/>
      <c r="K308" s="2" t="n"/>
      <c r="L308" s="2" t="n"/>
      <c r="M308" s="2" t="n"/>
      <c r="N308" s="2" t="n"/>
      <c r="O308" s="2" t="n"/>
      <c r="P308" s="2" t="n"/>
      <c r="Q308" s="2">
        <f>IF(G308="","",TODAY()-G308)</f>
        <v/>
      </c>
    </row>
    <row r="309">
      <c r="A309" s="2" t="n"/>
      <c r="B309" s="2" t="n"/>
      <c r="C309" s="2" t="n"/>
      <c r="D309" s="2" t="n"/>
      <c r="E309" s="2" t="n"/>
      <c r="F309" s="2" t="n"/>
      <c r="G309" s="2" t="n"/>
      <c r="H309" s="2" t="n"/>
      <c r="I309" s="2" t="n"/>
      <c r="J309" s="2" t="n"/>
      <c r="K309" s="2" t="n"/>
      <c r="L309" s="2" t="n"/>
      <c r="M309" s="2" t="n"/>
      <c r="N309" s="2" t="n"/>
      <c r="O309" s="2" t="n"/>
      <c r="P309" s="2" t="n"/>
      <c r="Q309" s="2">
        <f>IF(G309="","",TODAY()-G309)</f>
        <v/>
      </c>
    </row>
    <row r="310">
      <c r="A310" s="2" t="n"/>
      <c r="B310" s="2" t="n"/>
      <c r="C310" s="2" t="n"/>
      <c r="D310" s="2" t="n"/>
      <c r="E310" s="2" t="n"/>
      <c r="F310" s="2" t="n"/>
      <c r="G310" s="2" t="n"/>
      <c r="H310" s="2" t="n"/>
      <c r="I310" s="2" t="n"/>
      <c r="J310" s="2" t="n"/>
      <c r="K310" s="2" t="n"/>
      <c r="L310" s="2" t="n"/>
      <c r="M310" s="2" t="n"/>
      <c r="N310" s="2" t="n"/>
      <c r="O310" s="2" t="n"/>
      <c r="P310" s="2" t="n"/>
      <c r="Q310" s="2">
        <f>IF(G310="","",TODAY()-G310)</f>
        <v/>
      </c>
    </row>
    <row r="311">
      <c r="A311" s="2" t="n"/>
      <c r="B311" s="2" t="n"/>
      <c r="C311" s="2" t="n"/>
      <c r="D311" s="2" t="n"/>
      <c r="E311" s="2" t="n"/>
      <c r="F311" s="2" t="n"/>
      <c r="G311" s="2" t="n"/>
      <c r="H311" s="2" t="n"/>
      <c r="I311" s="2" t="n"/>
      <c r="J311" s="2" t="n"/>
      <c r="K311" s="2" t="n"/>
      <c r="L311" s="2" t="n"/>
      <c r="M311" s="2" t="n"/>
      <c r="N311" s="2" t="n"/>
      <c r="O311" s="2" t="n"/>
      <c r="P311" s="2" t="n"/>
      <c r="Q311" s="2">
        <f>IF(G311="","",TODAY()-G311)</f>
        <v/>
      </c>
    </row>
    <row r="312">
      <c r="A312" s="2" t="n"/>
      <c r="B312" s="2" t="n"/>
      <c r="C312" s="2" t="n"/>
      <c r="D312" s="2" t="n"/>
      <c r="E312" s="2" t="n"/>
      <c r="F312" s="2" t="n"/>
      <c r="G312" s="2" t="n"/>
      <c r="H312" s="2" t="n"/>
      <c r="I312" s="2" t="n"/>
      <c r="J312" s="2" t="n"/>
      <c r="K312" s="2" t="n"/>
      <c r="L312" s="2" t="n"/>
      <c r="M312" s="2" t="n"/>
      <c r="N312" s="2" t="n"/>
      <c r="O312" s="2" t="n"/>
      <c r="P312" s="2" t="n"/>
      <c r="Q312" s="2">
        <f>IF(G312="","",TODAY()-G312)</f>
        <v/>
      </c>
    </row>
    <row r="313">
      <c r="A313" s="2" t="n"/>
      <c r="B313" s="2" t="n"/>
      <c r="C313" s="2" t="n"/>
      <c r="D313" s="2" t="n"/>
      <c r="E313" s="2" t="n"/>
      <c r="F313" s="2" t="n"/>
      <c r="G313" s="2" t="n"/>
      <c r="H313" s="2" t="n"/>
      <c r="I313" s="2" t="n"/>
      <c r="J313" s="2" t="n"/>
      <c r="K313" s="2" t="n"/>
      <c r="L313" s="2" t="n"/>
      <c r="M313" s="2" t="n"/>
      <c r="N313" s="2" t="n"/>
      <c r="O313" s="2" t="n"/>
      <c r="P313" s="2" t="n"/>
      <c r="Q313" s="2">
        <f>IF(G313="","",TODAY()-G313)</f>
        <v/>
      </c>
    </row>
    <row r="314">
      <c r="A314" s="2" t="n"/>
      <c r="B314" s="2" t="n"/>
      <c r="C314" s="2" t="n"/>
      <c r="D314" s="2" t="n"/>
      <c r="E314" s="2" t="n"/>
      <c r="F314" s="2" t="n"/>
      <c r="G314" s="2" t="n"/>
      <c r="H314" s="2" t="n"/>
      <c r="I314" s="2" t="n"/>
      <c r="J314" s="2" t="n"/>
      <c r="K314" s="2" t="n"/>
      <c r="L314" s="2" t="n"/>
      <c r="M314" s="2" t="n"/>
      <c r="N314" s="2" t="n"/>
      <c r="O314" s="2" t="n"/>
      <c r="P314" s="2" t="n"/>
      <c r="Q314" s="2">
        <f>IF(G314="","",TODAY()-G314)</f>
        <v/>
      </c>
    </row>
    <row r="315">
      <c r="A315" s="2" t="n"/>
      <c r="B315" s="2" t="n"/>
      <c r="C315" s="2" t="n"/>
      <c r="D315" s="2" t="n"/>
      <c r="E315" s="2" t="n"/>
      <c r="F315" s="2" t="n"/>
      <c r="G315" s="2" t="n"/>
      <c r="H315" s="2" t="n"/>
      <c r="I315" s="2" t="n"/>
      <c r="J315" s="2" t="n"/>
      <c r="K315" s="2" t="n"/>
      <c r="L315" s="2" t="n"/>
      <c r="M315" s="2" t="n"/>
      <c r="N315" s="2" t="n"/>
      <c r="O315" s="2" t="n"/>
      <c r="P315" s="2" t="n"/>
      <c r="Q315" s="2">
        <f>IF(G315="","",TODAY()-G315)</f>
        <v/>
      </c>
    </row>
    <row r="316">
      <c r="A316" s="2" t="n"/>
      <c r="B316" s="2" t="n"/>
      <c r="C316" s="2" t="n"/>
      <c r="D316" s="2" t="n"/>
      <c r="E316" s="2" t="n"/>
      <c r="F316" s="2" t="n"/>
      <c r="G316" s="2" t="n"/>
      <c r="H316" s="2" t="n"/>
      <c r="I316" s="2" t="n"/>
      <c r="J316" s="2" t="n"/>
      <c r="K316" s="2" t="n"/>
      <c r="L316" s="2" t="n"/>
      <c r="M316" s="2" t="n"/>
      <c r="N316" s="2" t="n"/>
      <c r="O316" s="2" t="n"/>
      <c r="P316" s="2" t="n"/>
      <c r="Q316" s="2">
        <f>IF(G316="","",TODAY()-G316)</f>
        <v/>
      </c>
    </row>
    <row r="317">
      <c r="A317" s="2" t="n"/>
      <c r="B317" s="2" t="n"/>
      <c r="C317" s="2" t="n"/>
      <c r="D317" s="2" t="n"/>
      <c r="E317" s="2" t="n"/>
      <c r="F317" s="2" t="n"/>
      <c r="G317" s="2" t="n"/>
      <c r="H317" s="2" t="n"/>
      <c r="I317" s="2" t="n"/>
      <c r="J317" s="2" t="n"/>
      <c r="K317" s="2" t="n"/>
      <c r="L317" s="2" t="n"/>
      <c r="M317" s="2" t="n"/>
      <c r="N317" s="2" t="n"/>
      <c r="O317" s="2" t="n"/>
      <c r="P317" s="2" t="n"/>
      <c r="Q317" s="2">
        <f>IF(G317="","",TODAY()-G317)</f>
        <v/>
      </c>
    </row>
    <row r="318">
      <c r="A318" s="2" t="n"/>
      <c r="B318" s="2" t="n"/>
      <c r="C318" s="2" t="n"/>
      <c r="D318" s="2" t="n"/>
      <c r="E318" s="2" t="n"/>
      <c r="F318" s="2" t="n"/>
      <c r="G318" s="2" t="n"/>
      <c r="H318" s="2" t="n"/>
      <c r="I318" s="2" t="n"/>
      <c r="J318" s="2" t="n"/>
      <c r="K318" s="2" t="n"/>
      <c r="L318" s="2" t="n"/>
      <c r="M318" s="2" t="n"/>
      <c r="N318" s="2" t="n"/>
      <c r="O318" s="2" t="n"/>
      <c r="P318" s="2" t="n"/>
      <c r="Q318" s="2">
        <f>IF(G318="","",TODAY()-G318)</f>
        <v/>
      </c>
    </row>
    <row r="319">
      <c r="A319" s="2" t="n"/>
      <c r="B319" s="2" t="n"/>
      <c r="C319" s="2" t="n"/>
      <c r="D319" s="2" t="n"/>
      <c r="E319" s="2" t="n"/>
      <c r="F319" s="2" t="n"/>
      <c r="G319" s="2" t="n"/>
      <c r="H319" s="2" t="n"/>
      <c r="I319" s="2" t="n"/>
      <c r="J319" s="2" t="n"/>
      <c r="K319" s="2" t="n"/>
      <c r="L319" s="2" t="n"/>
      <c r="M319" s="2" t="n"/>
      <c r="N319" s="2" t="n"/>
      <c r="O319" s="2" t="n"/>
      <c r="P319" s="2" t="n"/>
      <c r="Q319" s="2">
        <f>IF(G319="","",TODAY()-G319)</f>
        <v/>
      </c>
    </row>
    <row r="320">
      <c r="A320" s="2" t="n"/>
      <c r="B320" s="2" t="n"/>
      <c r="C320" s="2" t="n"/>
      <c r="D320" s="2" t="n"/>
      <c r="E320" s="2" t="n"/>
      <c r="F320" s="2" t="n"/>
      <c r="G320" s="2" t="n"/>
      <c r="H320" s="2" t="n"/>
      <c r="I320" s="2" t="n"/>
      <c r="J320" s="2" t="n"/>
      <c r="K320" s="2" t="n"/>
      <c r="L320" s="2" t="n"/>
      <c r="M320" s="2" t="n"/>
      <c r="N320" s="2" t="n"/>
      <c r="O320" s="2" t="n"/>
      <c r="P320" s="2" t="n"/>
      <c r="Q320" s="2">
        <f>IF(G320="","",TODAY()-G320)</f>
        <v/>
      </c>
    </row>
    <row r="321">
      <c r="A321" s="2" t="n"/>
      <c r="B321" s="2" t="n"/>
      <c r="C321" s="2" t="n"/>
      <c r="D321" s="2" t="n"/>
      <c r="E321" s="2" t="n"/>
      <c r="F321" s="2" t="n"/>
      <c r="G321" s="2" t="n"/>
      <c r="H321" s="2" t="n"/>
      <c r="I321" s="2" t="n"/>
      <c r="J321" s="2" t="n"/>
      <c r="K321" s="2" t="n"/>
      <c r="L321" s="2" t="n"/>
      <c r="M321" s="2" t="n"/>
      <c r="N321" s="2" t="n"/>
      <c r="O321" s="2" t="n"/>
      <c r="P321" s="2" t="n"/>
      <c r="Q321" s="2">
        <f>IF(G321="","",TODAY()-G321)</f>
        <v/>
      </c>
    </row>
    <row r="322">
      <c r="A322" s="2" t="n"/>
      <c r="B322" s="2" t="n"/>
      <c r="C322" s="2" t="n"/>
      <c r="D322" s="2" t="n"/>
      <c r="E322" s="2" t="n"/>
      <c r="F322" s="2" t="n"/>
      <c r="G322" s="2" t="n"/>
      <c r="H322" s="2" t="n"/>
      <c r="I322" s="2" t="n"/>
      <c r="J322" s="2" t="n"/>
      <c r="K322" s="2" t="n"/>
      <c r="L322" s="2" t="n"/>
      <c r="M322" s="2" t="n"/>
      <c r="N322" s="2" t="n"/>
      <c r="O322" s="2" t="n"/>
      <c r="P322" s="2" t="n"/>
      <c r="Q322" s="2">
        <f>IF(G322="","",TODAY()-G322)</f>
        <v/>
      </c>
    </row>
    <row r="323">
      <c r="A323" s="2" t="n"/>
      <c r="B323" s="2" t="n"/>
      <c r="C323" s="2" t="n"/>
      <c r="D323" s="2" t="n"/>
      <c r="E323" s="2" t="n"/>
      <c r="F323" s="2" t="n"/>
      <c r="G323" s="2" t="n"/>
      <c r="H323" s="2" t="n"/>
      <c r="I323" s="2" t="n"/>
      <c r="J323" s="2" t="n"/>
      <c r="K323" s="2" t="n"/>
      <c r="L323" s="2" t="n"/>
      <c r="M323" s="2" t="n"/>
      <c r="N323" s="2" t="n"/>
      <c r="O323" s="2" t="n"/>
      <c r="P323" s="2" t="n"/>
      <c r="Q323" s="2">
        <f>IF(G323="","",TODAY()-G323)</f>
        <v/>
      </c>
    </row>
    <row r="324">
      <c r="A324" s="2" t="n"/>
      <c r="B324" s="2" t="n"/>
      <c r="C324" s="2" t="n"/>
      <c r="D324" s="2" t="n"/>
      <c r="E324" s="2" t="n"/>
      <c r="F324" s="2" t="n"/>
      <c r="G324" s="2" t="n"/>
      <c r="H324" s="2" t="n"/>
      <c r="I324" s="2" t="n"/>
      <c r="J324" s="2" t="n"/>
      <c r="K324" s="2" t="n"/>
      <c r="L324" s="2" t="n"/>
      <c r="M324" s="2" t="n"/>
      <c r="N324" s="2" t="n"/>
      <c r="O324" s="2" t="n"/>
      <c r="P324" s="2" t="n"/>
      <c r="Q324" s="2">
        <f>IF(G324="","",TODAY()-G324)</f>
        <v/>
      </c>
    </row>
    <row r="325">
      <c r="A325" s="2" t="n"/>
      <c r="B325" s="2" t="n"/>
      <c r="C325" s="2" t="n"/>
      <c r="D325" s="2" t="n"/>
      <c r="E325" s="2" t="n"/>
      <c r="F325" s="2" t="n"/>
      <c r="G325" s="2" t="n"/>
      <c r="H325" s="2" t="n"/>
      <c r="I325" s="2" t="n"/>
      <c r="J325" s="2" t="n"/>
      <c r="K325" s="2" t="n"/>
      <c r="L325" s="2" t="n"/>
      <c r="M325" s="2" t="n"/>
      <c r="N325" s="2" t="n"/>
      <c r="O325" s="2" t="n"/>
      <c r="P325" s="2" t="n"/>
      <c r="Q325" s="2">
        <f>IF(G325="","",TODAY()-G325)</f>
        <v/>
      </c>
    </row>
    <row r="326">
      <c r="A326" s="2" t="n"/>
      <c r="B326" s="2" t="n"/>
      <c r="C326" s="2" t="n"/>
      <c r="D326" s="2" t="n"/>
      <c r="E326" s="2" t="n"/>
      <c r="F326" s="2" t="n"/>
      <c r="G326" s="2" t="n"/>
      <c r="H326" s="2" t="n"/>
      <c r="I326" s="2" t="n"/>
      <c r="J326" s="2" t="n"/>
      <c r="K326" s="2" t="n"/>
      <c r="L326" s="2" t="n"/>
      <c r="M326" s="2" t="n"/>
      <c r="N326" s="2" t="n"/>
      <c r="O326" s="2" t="n"/>
      <c r="P326" s="2" t="n"/>
      <c r="Q326" s="2">
        <f>IF(G326="","",TODAY()-G326)</f>
        <v/>
      </c>
    </row>
    <row r="327">
      <c r="A327" s="2" t="n"/>
      <c r="B327" s="2" t="n"/>
      <c r="C327" s="2" t="n"/>
      <c r="D327" s="2" t="n"/>
      <c r="E327" s="2" t="n"/>
      <c r="F327" s="2" t="n"/>
      <c r="G327" s="2" t="n"/>
      <c r="H327" s="2" t="n"/>
      <c r="I327" s="2" t="n"/>
      <c r="J327" s="2" t="n"/>
      <c r="K327" s="2" t="n"/>
      <c r="L327" s="2" t="n"/>
      <c r="M327" s="2" t="n"/>
      <c r="N327" s="2" t="n"/>
      <c r="O327" s="2" t="n"/>
      <c r="P327" s="2" t="n"/>
      <c r="Q327" s="2">
        <f>IF(G327="","",TODAY()-G327)</f>
        <v/>
      </c>
    </row>
    <row r="328">
      <c r="A328" s="2" t="n"/>
      <c r="B328" s="2" t="n"/>
      <c r="C328" s="2" t="n"/>
      <c r="D328" s="2" t="n"/>
      <c r="E328" s="2" t="n"/>
      <c r="F328" s="2" t="n"/>
      <c r="G328" s="2" t="n"/>
      <c r="H328" s="2" t="n"/>
      <c r="I328" s="2" t="n"/>
      <c r="J328" s="2" t="n"/>
      <c r="K328" s="2" t="n"/>
      <c r="L328" s="2" t="n"/>
      <c r="M328" s="2" t="n"/>
      <c r="N328" s="2" t="n"/>
      <c r="O328" s="2" t="n"/>
      <c r="P328" s="2" t="n"/>
      <c r="Q328" s="2">
        <f>IF(G328="","",TODAY()-G328)</f>
        <v/>
      </c>
    </row>
    <row r="329">
      <c r="A329" s="2" t="n"/>
      <c r="B329" s="2" t="n"/>
      <c r="C329" s="2" t="n"/>
      <c r="D329" s="2" t="n"/>
      <c r="E329" s="2" t="n"/>
      <c r="F329" s="2" t="n"/>
      <c r="G329" s="2" t="n"/>
      <c r="H329" s="2" t="n"/>
      <c r="I329" s="2" t="n"/>
      <c r="J329" s="2" t="n"/>
      <c r="K329" s="2" t="n"/>
      <c r="L329" s="2" t="n"/>
      <c r="M329" s="2" t="n"/>
      <c r="N329" s="2" t="n"/>
      <c r="O329" s="2" t="n"/>
      <c r="P329" s="2" t="n"/>
      <c r="Q329" s="2">
        <f>IF(G329="","",TODAY()-G329)</f>
        <v/>
      </c>
    </row>
    <row r="330">
      <c r="A330" s="2" t="n"/>
      <c r="B330" s="2" t="n"/>
      <c r="C330" s="2" t="n"/>
      <c r="D330" s="2" t="n"/>
      <c r="E330" s="2" t="n"/>
      <c r="F330" s="2" t="n"/>
      <c r="G330" s="2" t="n"/>
      <c r="H330" s="2" t="n"/>
      <c r="I330" s="2" t="n"/>
      <c r="J330" s="2" t="n"/>
      <c r="K330" s="2" t="n"/>
      <c r="L330" s="2" t="n"/>
      <c r="M330" s="2" t="n"/>
      <c r="N330" s="2" t="n"/>
      <c r="O330" s="2" t="n"/>
      <c r="P330" s="2" t="n"/>
      <c r="Q330" s="2">
        <f>IF(G330="","",TODAY()-G330)</f>
        <v/>
      </c>
    </row>
    <row r="331">
      <c r="A331" s="2" t="n"/>
      <c r="B331" s="2" t="n"/>
      <c r="C331" s="2" t="n"/>
      <c r="D331" s="2" t="n"/>
      <c r="E331" s="2" t="n"/>
      <c r="F331" s="2" t="n"/>
      <c r="G331" s="2" t="n"/>
      <c r="H331" s="2" t="n"/>
      <c r="I331" s="2" t="n"/>
      <c r="J331" s="2" t="n"/>
      <c r="K331" s="2" t="n"/>
      <c r="L331" s="2" t="n"/>
      <c r="M331" s="2" t="n"/>
      <c r="N331" s="2" t="n"/>
      <c r="O331" s="2" t="n"/>
      <c r="P331" s="2" t="n"/>
      <c r="Q331" s="2">
        <f>IF(G331="","",TODAY()-G331)</f>
        <v/>
      </c>
    </row>
    <row r="332">
      <c r="A332" s="2" t="n"/>
      <c r="B332" s="2" t="n"/>
      <c r="C332" s="2" t="n"/>
      <c r="D332" s="2" t="n"/>
      <c r="E332" s="2" t="n"/>
      <c r="F332" s="2" t="n"/>
      <c r="G332" s="2" t="n"/>
      <c r="H332" s="2" t="n"/>
      <c r="I332" s="2" t="n"/>
      <c r="J332" s="2" t="n"/>
      <c r="K332" s="2" t="n"/>
      <c r="L332" s="2" t="n"/>
      <c r="M332" s="2" t="n"/>
      <c r="N332" s="2" t="n"/>
      <c r="O332" s="2" t="n"/>
      <c r="P332" s="2" t="n"/>
      <c r="Q332" s="2">
        <f>IF(G332="","",TODAY()-G332)</f>
        <v/>
      </c>
    </row>
    <row r="333">
      <c r="A333" s="2" t="n"/>
      <c r="B333" s="2" t="n"/>
      <c r="C333" s="2" t="n"/>
      <c r="D333" s="2" t="n"/>
      <c r="E333" s="2" t="n"/>
      <c r="F333" s="2" t="n"/>
      <c r="G333" s="2" t="n"/>
      <c r="H333" s="2" t="n"/>
      <c r="I333" s="2" t="n"/>
      <c r="J333" s="2" t="n"/>
      <c r="K333" s="2" t="n"/>
      <c r="L333" s="2" t="n"/>
      <c r="M333" s="2" t="n"/>
      <c r="N333" s="2" t="n"/>
      <c r="O333" s="2" t="n"/>
      <c r="P333" s="2" t="n"/>
      <c r="Q333" s="2">
        <f>IF(G333="","",TODAY()-G333)</f>
        <v/>
      </c>
    </row>
    <row r="334">
      <c r="A334" s="2" t="n"/>
      <c r="B334" s="2" t="n"/>
      <c r="C334" s="2" t="n"/>
      <c r="D334" s="2" t="n"/>
      <c r="E334" s="2" t="n"/>
      <c r="F334" s="2" t="n"/>
      <c r="G334" s="2" t="n"/>
      <c r="H334" s="2" t="n"/>
      <c r="I334" s="2" t="n"/>
      <c r="J334" s="2" t="n"/>
      <c r="K334" s="2" t="n"/>
      <c r="L334" s="2" t="n"/>
      <c r="M334" s="2" t="n"/>
      <c r="N334" s="2" t="n"/>
      <c r="O334" s="2" t="n"/>
      <c r="P334" s="2" t="n"/>
      <c r="Q334" s="2">
        <f>IF(G334="","",TODAY()-G334)</f>
        <v/>
      </c>
    </row>
    <row r="335">
      <c r="A335" s="2" t="n"/>
      <c r="B335" s="2" t="n"/>
      <c r="C335" s="2" t="n"/>
      <c r="D335" s="2" t="n"/>
      <c r="E335" s="2" t="n"/>
      <c r="F335" s="2" t="n"/>
      <c r="G335" s="2" t="n"/>
      <c r="H335" s="2" t="n"/>
      <c r="I335" s="2" t="n"/>
      <c r="J335" s="2" t="n"/>
      <c r="K335" s="2" t="n"/>
      <c r="L335" s="2" t="n"/>
      <c r="M335" s="2" t="n"/>
      <c r="N335" s="2" t="n"/>
      <c r="O335" s="2" t="n"/>
      <c r="P335" s="2" t="n"/>
      <c r="Q335" s="2">
        <f>IF(G335="","",TODAY()-G335)</f>
        <v/>
      </c>
    </row>
    <row r="336">
      <c r="A336" s="2" t="n"/>
      <c r="B336" s="2" t="n"/>
      <c r="C336" s="2" t="n"/>
      <c r="D336" s="2" t="n"/>
      <c r="E336" s="2" t="n"/>
      <c r="F336" s="2" t="n"/>
      <c r="G336" s="2" t="n"/>
      <c r="H336" s="2" t="n"/>
      <c r="I336" s="2" t="n"/>
      <c r="J336" s="2" t="n"/>
      <c r="K336" s="2" t="n"/>
      <c r="L336" s="2" t="n"/>
      <c r="M336" s="2" t="n"/>
      <c r="N336" s="2" t="n"/>
      <c r="O336" s="2" t="n"/>
      <c r="P336" s="2" t="n"/>
      <c r="Q336" s="2">
        <f>IF(G336="","",TODAY()-G336)</f>
        <v/>
      </c>
    </row>
    <row r="337">
      <c r="A337" s="2" t="n"/>
      <c r="B337" s="2" t="n"/>
      <c r="C337" s="2" t="n"/>
      <c r="D337" s="2" t="n"/>
      <c r="E337" s="2" t="n"/>
      <c r="F337" s="2" t="n"/>
      <c r="G337" s="2" t="n"/>
      <c r="H337" s="2" t="n"/>
      <c r="I337" s="2" t="n"/>
      <c r="J337" s="2" t="n"/>
      <c r="K337" s="2" t="n"/>
      <c r="L337" s="2" t="n"/>
      <c r="M337" s="2" t="n"/>
      <c r="N337" s="2" t="n"/>
      <c r="O337" s="2" t="n"/>
      <c r="P337" s="2" t="n"/>
      <c r="Q337" s="2">
        <f>IF(G337="","",TODAY()-G337)</f>
        <v/>
      </c>
    </row>
    <row r="338">
      <c r="A338" s="2" t="n"/>
      <c r="B338" s="2" t="n"/>
      <c r="C338" s="2" t="n"/>
      <c r="D338" s="2" t="n"/>
      <c r="E338" s="2" t="n"/>
      <c r="F338" s="2" t="n"/>
      <c r="G338" s="2" t="n"/>
      <c r="H338" s="2" t="n"/>
      <c r="I338" s="2" t="n"/>
      <c r="J338" s="2" t="n"/>
      <c r="K338" s="2" t="n"/>
      <c r="L338" s="2" t="n"/>
      <c r="M338" s="2" t="n"/>
      <c r="N338" s="2" t="n"/>
      <c r="O338" s="2" t="n"/>
      <c r="P338" s="2" t="n"/>
      <c r="Q338" s="2">
        <f>IF(G338="","",TODAY()-G338)</f>
        <v/>
      </c>
    </row>
    <row r="339">
      <c r="A339" s="2" t="n"/>
      <c r="B339" s="2" t="n"/>
      <c r="C339" s="2" t="n"/>
      <c r="D339" s="2" t="n"/>
      <c r="E339" s="2" t="n"/>
      <c r="F339" s="2" t="n"/>
      <c r="G339" s="2" t="n"/>
      <c r="H339" s="2" t="n"/>
      <c r="I339" s="2" t="n"/>
      <c r="J339" s="2" t="n"/>
      <c r="K339" s="2" t="n"/>
      <c r="L339" s="2" t="n"/>
      <c r="M339" s="2" t="n"/>
      <c r="N339" s="2" t="n"/>
      <c r="O339" s="2" t="n"/>
      <c r="P339" s="2" t="n"/>
      <c r="Q339" s="2">
        <f>IF(G339="","",TODAY()-G339)</f>
        <v/>
      </c>
    </row>
    <row r="340">
      <c r="A340" s="2" t="n"/>
      <c r="B340" s="2" t="n"/>
      <c r="C340" s="2" t="n"/>
      <c r="D340" s="2" t="n"/>
      <c r="E340" s="2" t="n"/>
      <c r="F340" s="2" t="n"/>
      <c r="G340" s="2" t="n"/>
      <c r="H340" s="2" t="n"/>
      <c r="I340" s="2" t="n"/>
      <c r="J340" s="2" t="n"/>
      <c r="K340" s="2" t="n"/>
      <c r="L340" s="2" t="n"/>
      <c r="M340" s="2" t="n"/>
      <c r="N340" s="2" t="n"/>
      <c r="O340" s="2" t="n"/>
      <c r="P340" s="2" t="n"/>
      <c r="Q340" s="2">
        <f>IF(G340="","",TODAY()-G340)</f>
        <v/>
      </c>
    </row>
    <row r="341">
      <c r="A341" s="2" t="n"/>
      <c r="B341" s="2" t="n"/>
      <c r="C341" s="2" t="n"/>
      <c r="D341" s="2" t="n"/>
      <c r="E341" s="2" t="n"/>
      <c r="F341" s="2" t="n"/>
      <c r="G341" s="2" t="n"/>
      <c r="H341" s="2" t="n"/>
      <c r="I341" s="2" t="n"/>
      <c r="J341" s="2" t="n"/>
      <c r="K341" s="2" t="n"/>
      <c r="L341" s="2" t="n"/>
      <c r="M341" s="2" t="n"/>
      <c r="N341" s="2" t="n"/>
      <c r="O341" s="2" t="n"/>
      <c r="P341" s="2" t="n"/>
      <c r="Q341" s="2">
        <f>IF(G341="","",TODAY()-G341)</f>
        <v/>
      </c>
    </row>
    <row r="342">
      <c r="A342" s="2" t="n"/>
      <c r="B342" s="2" t="n"/>
      <c r="C342" s="2" t="n"/>
      <c r="D342" s="2" t="n"/>
      <c r="E342" s="2" t="n"/>
      <c r="F342" s="2" t="n"/>
      <c r="G342" s="2" t="n"/>
      <c r="H342" s="2" t="n"/>
      <c r="I342" s="2" t="n"/>
      <c r="J342" s="2" t="n"/>
      <c r="K342" s="2" t="n"/>
      <c r="L342" s="2" t="n"/>
      <c r="M342" s="2" t="n"/>
      <c r="N342" s="2" t="n"/>
      <c r="O342" s="2" t="n"/>
      <c r="P342" s="2" t="n"/>
      <c r="Q342" s="2">
        <f>IF(G342="","",TODAY()-G342)</f>
        <v/>
      </c>
    </row>
    <row r="343">
      <c r="A343" s="2" t="n"/>
      <c r="B343" s="2" t="n"/>
      <c r="C343" s="2" t="n"/>
      <c r="D343" s="2" t="n"/>
      <c r="E343" s="2" t="n"/>
      <c r="F343" s="2" t="n"/>
      <c r="G343" s="2" t="n"/>
      <c r="H343" s="2" t="n"/>
      <c r="I343" s="2" t="n"/>
      <c r="J343" s="2" t="n"/>
      <c r="K343" s="2" t="n"/>
      <c r="L343" s="2" t="n"/>
      <c r="M343" s="2" t="n"/>
      <c r="N343" s="2" t="n"/>
      <c r="O343" s="2" t="n"/>
      <c r="P343" s="2" t="n"/>
      <c r="Q343" s="2">
        <f>IF(G343="","",TODAY()-G343)</f>
        <v/>
      </c>
    </row>
    <row r="344">
      <c r="A344" s="2" t="n"/>
      <c r="B344" s="2" t="n"/>
      <c r="C344" s="2" t="n"/>
      <c r="D344" s="2" t="n"/>
      <c r="E344" s="2" t="n"/>
      <c r="F344" s="2" t="n"/>
      <c r="G344" s="2" t="n"/>
      <c r="H344" s="2" t="n"/>
      <c r="I344" s="2" t="n"/>
      <c r="J344" s="2" t="n"/>
      <c r="K344" s="2" t="n"/>
      <c r="L344" s="2" t="n"/>
      <c r="M344" s="2" t="n"/>
      <c r="N344" s="2" t="n"/>
      <c r="O344" s="2" t="n"/>
      <c r="P344" s="2" t="n"/>
      <c r="Q344" s="2">
        <f>IF(G344="","",TODAY()-G344)</f>
        <v/>
      </c>
    </row>
    <row r="345">
      <c r="A345" s="2" t="n"/>
      <c r="B345" s="2" t="n"/>
      <c r="C345" s="2" t="n"/>
      <c r="D345" s="2" t="n"/>
      <c r="E345" s="2" t="n"/>
      <c r="F345" s="2" t="n"/>
      <c r="G345" s="2" t="n"/>
      <c r="H345" s="2" t="n"/>
      <c r="I345" s="2" t="n"/>
      <c r="J345" s="2" t="n"/>
      <c r="K345" s="2" t="n"/>
      <c r="L345" s="2" t="n"/>
      <c r="M345" s="2" t="n"/>
      <c r="N345" s="2" t="n"/>
      <c r="O345" s="2" t="n"/>
      <c r="P345" s="2" t="n"/>
      <c r="Q345" s="2">
        <f>IF(G345="","",TODAY()-G345)</f>
        <v/>
      </c>
    </row>
    <row r="346">
      <c r="A346" s="2" t="n"/>
      <c r="B346" s="2" t="n"/>
      <c r="C346" s="2" t="n"/>
      <c r="D346" s="2" t="n"/>
      <c r="E346" s="2" t="n"/>
      <c r="F346" s="2" t="n"/>
      <c r="G346" s="2" t="n"/>
      <c r="H346" s="2" t="n"/>
      <c r="I346" s="2" t="n"/>
      <c r="J346" s="2" t="n"/>
      <c r="K346" s="2" t="n"/>
      <c r="L346" s="2" t="n"/>
      <c r="M346" s="2" t="n"/>
      <c r="N346" s="2" t="n"/>
      <c r="O346" s="2" t="n"/>
      <c r="P346" s="2" t="n"/>
      <c r="Q346" s="2">
        <f>IF(G346="","",TODAY()-G346)</f>
        <v/>
      </c>
    </row>
    <row r="347">
      <c r="A347" s="2" t="n"/>
      <c r="B347" s="2" t="n"/>
      <c r="C347" s="2" t="n"/>
      <c r="D347" s="2" t="n"/>
      <c r="E347" s="2" t="n"/>
      <c r="F347" s="2" t="n"/>
      <c r="G347" s="2" t="n"/>
      <c r="H347" s="2" t="n"/>
      <c r="I347" s="2" t="n"/>
      <c r="J347" s="2" t="n"/>
      <c r="K347" s="2" t="n"/>
      <c r="L347" s="2" t="n"/>
      <c r="M347" s="2" t="n"/>
      <c r="N347" s="2" t="n"/>
      <c r="O347" s="2" t="n"/>
      <c r="P347" s="2" t="n"/>
      <c r="Q347" s="2">
        <f>IF(G347="","",TODAY()-G347)</f>
        <v/>
      </c>
    </row>
    <row r="348">
      <c r="A348" s="2" t="n"/>
      <c r="B348" s="2" t="n"/>
      <c r="C348" s="2" t="n"/>
      <c r="D348" s="2" t="n"/>
      <c r="E348" s="2" t="n"/>
      <c r="F348" s="2" t="n"/>
      <c r="G348" s="2" t="n"/>
      <c r="H348" s="2" t="n"/>
      <c r="I348" s="2" t="n"/>
      <c r="J348" s="2" t="n"/>
      <c r="K348" s="2" t="n"/>
      <c r="L348" s="2" t="n"/>
      <c r="M348" s="2" t="n"/>
      <c r="N348" s="2" t="n"/>
      <c r="O348" s="2" t="n"/>
      <c r="P348" s="2" t="n"/>
      <c r="Q348" s="2">
        <f>IF(G348="","",TODAY()-G348)</f>
        <v/>
      </c>
    </row>
    <row r="349">
      <c r="A349" s="2" t="n"/>
      <c r="B349" s="2" t="n"/>
      <c r="C349" s="2" t="n"/>
      <c r="D349" s="2" t="n"/>
      <c r="E349" s="2" t="n"/>
      <c r="F349" s="2" t="n"/>
      <c r="G349" s="2" t="n"/>
      <c r="H349" s="2" t="n"/>
      <c r="I349" s="2" t="n"/>
      <c r="J349" s="2" t="n"/>
      <c r="K349" s="2" t="n"/>
      <c r="L349" s="2" t="n"/>
      <c r="M349" s="2" t="n"/>
      <c r="N349" s="2" t="n"/>
      <c r="O349" s="2" t="n"/>
      <c r="P349" s="2" t="n"/>
      <c r="Q349" s="2">
        <f>IF(G349="","",TODAY()-G349)</f>
        <v/>
      </c>
    </row>
    <row r="350">
      <c r="A350" s="2" t="n"/>
      <c r="B350" s="2" t="n"/>
      <c r="C350" s="2" t="n"/>
      <c r="D350" s="2" t="n"/>
      <c r="E350" s="2" t="n"/>
      <c r="F350" s="2" t="n"/>
      <c r="G350" s="2" t="n"/>
      <c r="H350" s="2" t="n"/>
      <c r="I350" s="2" t="n"/>
      <c r="J350" s="2" t="n"/>
      <c r="K350" s="2" t="n"/>
      <c r="L350" s="2" t="n"/>
      <c r="M350" s="2" t="n"/>
      <c r="N350" s="2" t="n"/>
      <c r="O350" s="2" t="n"/>
      <c r="P350" s="2" t="n"/>
      <c r="Q350" s="2">
        <f>IF(G350="","",TODAY()-G350)</f>
        <v/>
      </c>
    </row>
    <row r="351">
      <c r="A351" s="2" t="n"/>
      <c r="B351" s="2" t="n"/>
      <c r="C351" s="2" t="n"/>
      <c r="D351" s="2" t="n"/>
      <c r="E351" s="2" t="n"/>
      <c r="F351" s="2" t="n"/>
      <c r="G351" s="2" t="n"/>
      <c r="H351" s="2" t="n"/>
      <c r="I351" s="2" t="n"/>
      <c r="J351" s="2" t="n"/>
      <c r="K351" s="2" t="n"/>
      <c r="L351" s="2" t="n"/>
      <c r="M351" s="2" t="n"/>
      <c r="N351" s="2" t="n"/>
      <c r="O351" s="2" t="n"/>
      <c r="P351" s="2" t="n"/>
      <c r="Q351" s="2">
        <f>IF(G351="","",TODAY()-G351)</f>
        <v/>
      </c>
    </row>
    <row r="352">
      <c r="A352" s="2" t="n"/>
      <c r="B352" s="2" t="n"/>
      <c r="C352" s="2" t="n"/>
      <c r="D352" s="2" t="n"/>
      <c r="E352" s="2" t="n"/>
      <c r="F352" s="2" t="n"/>
      <c r="G352" s="2" t="n"/>
      <c r="H352" s="2" t="n"/>
      <c r="I352" s="2" t="n"/>
      <c r="J352" s="2" t="n"/>
      <c r="K352" s="2" t="n"/>
      <c r="L352" s="2" t="n"/>
      <c r="M352" s="2" t="n"/>
      <c r="N352" s="2" t="n"/>
      <c r="O352" s="2" t="n"/>
      <c r="P352" s="2" t="n"/>
      <c r="Q352" s="2">
        <f>IF(G352="","",TODAY()-G352)</f>
        <v/>
      </c>
    </row>
    <row r="353">
      <c r="A353" s="2" t="n"/>
      <c r="B353" s="2" t="n"/>
      <c r="C353" s="2" t="n"/>
      <c r="D353" s="2" t="n"/>
      <c r="E353" s="2" t="n"/>
      <c r="F353" s="2" t="n"/>
      <c r="G353" s="2" t="n"/>
      <c r="H353" s="2" t="n"/>
      <c r="I353" s="2" t="n"/>
      <c r="J353" s="2" t="n"/>
      <c r="K353" s="2" t="n"/>
      <c r="L353" s="2" t="n"/>
      <c r="M353" s="2" t="n"/>
      <c r="N353" s="2" t="n"/>
      <c r="O353" s="2" t="n"/>
      <c r="P353" s="2" t="n"/>
      <c r="Q353" s="2">
        <f>IF(G353="","",TODAY()-G353)</f>
        <v/>
      </c>
    </row>
    <row r="354">
      <c r="A354" s="2" t="n"/>
      <c r="B354" s="2" t="n"/>
      <c r="C354" s="2" t="n"/>
      <c r="D354" s="2" t="n"/>
      <c r="E354" s="2" t="n"/>
      <c r="F354" s="2" t="n"/>
      <c r="G354" s="2" t="n"/>
      <c r="H354" s="2" t="n"/>
      <c r="I354" s="2" t="n"/>
      <c r="J354" s="2" t="n"/>
      <c r="K354" s="2" t="n"/>
      <c r="L354" s="2" t="n"/>
      <c r="M354" s="2" t="n"/>
      <c r="N354" s="2" t="n"/>
      <c r="O354" s="2" t="n"/>
      <c r="P354" s="2" t="n"/>
      <c r="Q354" s="2">
        <f>IF(G354="","",TODAY()-G354)</f>
        <v/>
      </c>
    </row>
    <row r="355">
      <c r="A355" s="2" t="n"/>
      <c r="B355" s="2" t="n"/>
      <c r="C355" s="2" t="n"/>
      <c r="D355" s="2" t="n"/>
      <c r="E355" s="2" t="n"/>
      <c r="F355" s="2" t="n"/>
      <c r="G355" s="2" t="n"/>
      <c r="H355" s="2" t="n"/>
      <c r="I355" s="2" t="n"/>
      <c r="J355" s="2" t="n"/>
      <c r="K355" s="2" t="n"/>
      <c r="L355" s="2" t="n"/>
      <c r="M355" s="2" t="n"/>
      <c r="N355" s="2" t="n"/>
      <c r="O355" s="2" t="n"/>
      <c r="P355" s="2" t="n"/>
      <c r="Q355" s="2">
        <f>IF(G355="","",TODAY()-G355)</f>
        <v/>
      </c>
    </row>
    <row r="356">
      <c r="A356" s="2" t="n"/>
      <c r="B356" s="2" t="n"/>
      <c r="C356" s="2" t="n"/>
      <c r="D356" s="2" t="n"/>
      <c r="E356" s="2" t="n"/>
      <c r="F356" s="2" t="n"/>
      <c r="G356" s="2" t="n"/>
      <c r="H356" s="2" t="n"/>
      <c r="I356" s="2" t="n"/>
      <c r="J356" s="2" t="n"/>
      <c r="K356" s="2" t="n"/>
      <c r="L356" s="2" t="n"/>
      <c r="M356" s="2" t="n"/>
      <c r="N356" s="2" t="n"/>
      <c r="O356" s="2" t="n"/>
      <c r="P356" s="2" t="n"/>
      <c r="Q356" s="2">
        <f>IF(G356="","",TODAY()-G356)</f>
        <v/>
      </c>
    </row>
    <row r="357">
      <c r="A357" s="2" t="n"/>
      <c r="B357" s="2" t="n"/>
      <c r="C357" s="2" t="n"/>
      <c r="D357" s="2" t="n"/>
      <c r="E357" s="2" t="n"/>
      <c r="F357" s="2" t="n"/>
      <c r="G357" s="2" t="n"/>
      <c r="H357" s="2" t="n"/>
      <c r="I357" s="2" t="n"/>
      <c r="J357" s="2" t="n"/>
      <c r="K357" s="2" t="n"/>
      <c r="L357" s="2" t="n"/>
      <c r="M357" s="2" t="n"/>
      <c r="N357" s="2" t="n"/>
      <c r="O357" s="2" t="n"/>
      <c r="P357" s="2" t="n"/>
      <c r="Q357" s="2">
        <f>IF(G357="","",TODAY()-G357)</f>
        <v/>
      </c>
    </row>
    <row r="358">
      <c r="A358" s="2" t="n"/>
      <c r="B358" s="2" t="n"/>
      <c r="C358" s="2" t="n"/>
      <c r="D358" s="2" t="n"/>
      <c r="E358" s="2" t="n"/>
      <c r="F358" s="2" t="n"/>
      <c r="G358" s="2" t="n"/>
      <c r="H358" s="2" t="n"/>
      <c r="I358" s="2" t="n"/>
      <c r="J358" s="2" t="n"/>
      <c r="K358" s="2" t="n"/>
      <c r="L358" s="2" t="n"/>
      <c r="M358" s="2" t="n"/>
      <c r="N358" s="2" t="n"/>
      <c r="O358" s="2" t="n"/>
      <c r="P358" s="2" t="n"/>
      <c r="Q358" s="2">
        <f>IF(G358="","",TODAY()-G358)</f>
        <v/>
      </c>
    </row>
    <row r="359">
      <c r="A359" s="2" t="n"/>
      <c r="B359" s="2" t="n"/>
      <c r="C359" s="2" t="n"/>
      <c r="D359" s="2" t="n"/>
      <c r="E359" s="2" t="n"/>
      <c r="F359" s="2" t="n"/>
      <c r="G359" s="2" t="n"/>
      <c r="H359" s="2" t="n"/>
      <c r="I359" s="2" t="n"/>
      <c r="J359" s="2" t="n"/>
      <c r="K359" s="2" t="n"/>
      <c r="L359" s="2" t="n"/>
      <c r="M359" s="2" t="n"/>
      <c r="N359" s="2" t="n"/>
      <c r="O359" s="2" t="n"/>
      <c r="P359" s="2" t="n"/>
      <c r="Q359" s="2">
        <f>IF(G359="","",TODAY()-G359)</f>
        <v/>
      </c>
    </row>
    <row r="360">
      <c r="A360" s="2" t="n"/>
      <c r="B360" s="2" t="n"/>
      <c r="C360" s="2" t="n"/>
      <c r="D360" s="2" t="n"/>
      <c r="E360" s="2" t="n"/>
      <c r="F360" s="2" t="n"/>
      <c r="G360" s="2" t="n"/>
      <c r="H360" s="2" t="n"/>
      <c r="I360" s="2" t="n"/>
      <c r="J360" s="2" t="n"/>
      <c r="K360" s="2" t="n"/>
      <c r="L360" s="2" t="n"/>
      <c r="M360" s="2" t="n"/>
      <c r="N360" s="2" t="n"/>
      <c r="O360" s="2" t="n"/>
      <c r="P360" s="2" t="n"/>
      <c r="Q360" s="2">
        <f>IF(G360="","",TODAY()-G360)</f>
        <v/>
      </c>
    </row>
    <row r="361">
      <c r="A361" s="2" t="n"/>
      <c r="B361" s="2" t="n"/>
      <c r="C361" s="2" t="n"/>
      <c r="D361" s="2" t="n"/>
      <c r="E361" s="2" t="n"/>
      <c r="F361" s="2" t="n"/>
      <c r="G361" s="2" t="n"/>
      <c r="H361" s="2" t="n"/>
      <c r="I361" s="2" t="n"/>
      <c r="J361" s="2" t="n"/>
      <c r="K361" s="2" t="n"/>
      <c r="L361" s="2" t="n"/>
      <c r="M361" s="2" t="n"/>
      <c r="N361" s="2" t="n"/>
      <c r="O361" s="2" t="n"/>
      <c r="P361" s="2" t="n"/>
      <c r="Q361" s="2">
        <f>IF(G361="","",TODAY()-G361)</f>
        <v/>
      </c>
    </row>
    <row r="362">
      <c r="A362" s="2" t="n"/>
      <c r="B362" s="2" t="n"/>
      <c r="C362" s="2" t="n"/>
      <c r="D362" s="2" t="n"/>
      <c r="E362" s="2" t="n"/>
      <c r="F362" s="2" t="n"/>
      <c r="G362" s="2" t="n"/>
      <c r="H362" s="2" t="n"/>
      <c r="I362" s="2" t="n"/>
      <c r="J362" s="2" t="n"/>
      <c r="K362" s="2" t="n"/>
      <c r="L362" s="2" t="n"/>
      <c r="M362" s="2" t="n"/>
      <c r="N362" s="2" t="n"/>
      <c r="O362" s="2" t="n"/>
      <c r="P362" s="2" t="n"/>
      <c r="Q362" s="2">
        <f>IF(G362="","",TODAY()-G362)</f>
        <v/>
      </c>
    </row>
    <row r="363">
      <c r="A363" s="2" t="n"/>
      <c r="B363" s="2" t="n"/>
      <c r="C363" s="2" t="n"/>
      <c r="D363" s="2" t="n"/>
      <c r="E363" s="2" t="n"/>
      <c r="F363" s="2" t="n"/>
      <c r="G363" s="2" t="n"/>
      <c r="H363" s="2" t="n"/>
      <c r="I363" s="2" t="n"/>
      <c r="J363" s="2" t="n"/>
      <c r="K363" s="2" t="n"/>
      <c r="L363" s="2" t="n"/>
      <c r="M363" s="2" t="n"/>
      <c r="N363" s="2" t="n"/>
      <c r="O363" s="2" t="n"/>
      <c r="P363" s="2" t="n"/>
      <c r="Q363" s="2">
        <f>IF(G363="","",TODAY()-G363)</f>
        <v/>
      </c>
    </row>
    <row r="364">
      <c r="A364" s="2" t="n"/>
      <c r="B364" s="2" t="n"/>
      <c r="C364" s="2" t="n"/>
      <c r="D364" s="2" t="n"/>
      <c r="E364" s="2" t="n"/>
      <c r="F364" s="2" t="n"/>
      <c r="G364" s="2" t="n"/>
      <c r="H364" s="2" t="n"/>
      <c r="I364" s="2" t="n"/>
      <c r="J364" s="2" t="n"/>
      <c r="K364" s="2" t="n"/>
      <c r="L364" s="2" t="n"/>
      <c r="M364" s="2" t="n"/>
      <c r="N364" s="2" t="n"/>
      <c r="O364" s="2" t="n"/>
      <c r="P364" s="2" t="n"/>
      <c r="Q364" s="2">
        <f>IF(G364="","",TODAY()-G364)</f>
        <v/>
      </c>
    </row>
    <row r="365">
      <c r="A365" s="2" t="n"/>
      <c r="B365" s="2" t="n"/>
      <c r="C365" s="2" t="n"/>
      <c r="D365" s="2" t="n"/>
      <c r="E365" s="2" t="n"/>
      <c r="F365" s="2" t="n"/>
      <c r="G365" s="2" t="n"/>
      <c r="H365" s="2" t="n"/>
      <c r="I365" s="2" t="n"/>
      <c r="J365" s="2" t="n"/>
      <c r="K365" s="2" t="n"/>
      <c r="L365" s="2" t="n"/>
      <c r="M365" s="2" t="n"/>
      <c r="N365" s="2" t="n"/>
      <c r="O365" s="2" t="n"/>
      <c r="P365" s="2" t="n"/>
      <c r="Q365" s="2">
        <f>IF(G365="","",TODAY()-G365)</f>
        <v/>
      </c>
    </row>
    <row r="366">
      <c r="A366" s="2" t="n"/>
      <c r="B366" s="2" t="n"/>
      <c r="C366" s="2" t="n"/>
      <c r="D366" s="2" t="n"/>
      <c r="E366" s="2" t="n"/>
      <c r="F366" s="2" t="n"/>
      <c r="G366" s="2" t="n"/>
      <c r="H366" s="2" t="n"/>
      <c r="I366" s="2" t="n"/>
      <c r="J366" s="2" t="n"/>
      <c r="K366" s="2" t="n"/>
      <c r="L366" s="2" t="n"/>
      <c r="M366" s="2" t="n"/>
      <c r="N366" s="2" t="n"/>
      <c r="O366" s="2" t="n"/>
      <c r="P366" s="2" t="n"/>
      <c r="Q366" s="2">
        <f>IF(G366="","",TODAY()-G366)</f>
        <v/>
      </c>
    </row>
    <row r="367">
      <c r="A367" s="2" t="n"/>
      <c r="B367" s="2" t="n"/>
      <c r="C367" s="2" t="n"/>
      <c r="D367" s="2" t="n"/>
      <c r="E367" s="2" t="n"/>
      <c r="F367" s="2" t="n"/>
      <c r="G367" s="2" t="n"/>
      <c r="H367" s="2" t="n"/>
      <c r="I367" s="2" t="n"/>
      <c r="J367" s="2" t="n"/>
      <c r="K367" s="2" t="n"/>
      <c r="L367" s="2" t="n"/>
      <c r="M367" s="2" t="n"/>
      <c r="N367" s="2" t="n"/>
      <c r="O367" s="2" t="n"/>
      <c r="P367" s="2" t="n"/>
      <c r="Q367" s="2">
        <f>IF(G367="","",TODAY()-G367)</f>
        <v/>
      </c>
    </row>
    <row r="368">
      <c r="A368" s="2" t="n"/>
      <c r="B368" s="2" t="n"/>
      <c r="C368" s="2" t="n"/>
      <c r="D368" s="2" t="n"/>
      <c r="E368" s="2" t="n"/>
      <c r="F368" s="2" t="n"/>
      <c r="G368" s="2" t="n"/>
      <c r="H368" s="2" t="n"/>
      <c r="I368" s="2" t="n"/>
      <c r="J368" s="2" t="n"/>
      <c r="K368" s="2" t="n"/>
      <c r="L368" s="2" t="n"/>
      <c r="M368" s="2" t="n"/>
      <c r="N368" s="2" t="n"/>
      <c r="O368" s="2" t="n"/>
      <c r="P368" s="2" t="n"/>
      <c r="Q368" s="2">
        <f>IF(G368="","",TODAY()-G368)</f>
        <v/>
      </c>
    </row>
    <row r="369">
      <c r="A369" s="2" t="n"/>
      <c r="B369" s="2" t="n"/>
      <c r="C369" s="2" t="n"/>
      <c r="D369" s="2" t="n"/>
      <c r="E369" s="2" t="n"/>
      <c r="F369" s="2" t="n"/>
      <c r="G369" s="2" t="n"/>
      <c r="H369" s="2" t="n"/>
      <c r="I369" s="2" t="n"/>
      <c r="J369" s="2" t="n"/>
      <c r="K369" s="2" t="n"/>
      <c r="L369" s="2" t="n"/>
      <c r="M369" s="2" t="n"/>
      <c r="N369" s="2" t="n"/>
      <c r="O369" s="2" t="n"/>
      <c r="P369" s="2" t="n"/>
      <c r="Q369" s="2">
        <f>IF(G369="","",TODAY()-G369)</f>
        <v/>
      </c>
    </row>
    <row r="370">
      <c r="A370" s="2" t="n"/>
      <c r="B370" s="2" t="n"/>
      <c r="C370" s="2" t="n"/>
      <c r="D370" s="2" t="n"/>
      <c r="E370" s="2" t="n"/>
      <c r="F370" s="2" t="n"/>
      <c r="G370" s="2" t="n"/>
      <c r="H370" s="2" t="n"/>
      <c r="I370" s="2" t="n"/>
      <c r="J370" s="2" t="n"/>
      <c r="K370" s="2" t="n"/>
      <c r="L370" s="2" t="n"/>
      <c r="M370" s="2" t="n"/>
      <c r="N370" s="2" t="n"/>
      <c r="O370" s="2" t="n"/>
      <c r="P370" s="2" t="n"/>
      <c r="Q370" s="2">
        <f>IF(G370="","",TODAY()-G370)</f>
        <v/>
      </c>
    </row>
    <row r="371">
      <c r="A371" s="2" t="n"/>
      <c r="B371" s="2" t="n"/>
      <c r="C371" s="2" t="n"/>
      <c r="D371" s="2" t="n"/>
      <c r="E371" s="2" t="n"/>
      <c r="F371" s="2" t="n"/>
      <c r="G371" s="2" t="n"/>
      <c r="H371" s="2" t="n"/>
      <c r="I371" s="2" t="n"/>
      <c r="J371" s="2" t="n"/>
      <c r="K371" s="2" t="n"/>
      <c r="L371" s="2" t="n"/>
      <c r="M371" s="2" t="n"/>
      <c r="N371" s="2" t="n"/>
      <c r="O371" s="2" t="n"/>
      <c r="P371" s="2" t="n"/>
      <c r="Q371" s="2">
        <f>IF(G371="","",TODAY()-G371)</f>
        <v/>
      </c>
    </row>
    <row r="372">
      <c r="A372" s="2" t="n"/>
      <c r="B372" s="2" t="n"/>
      <c r="C372" s="2" t="n"/>
      <c r="D372" s="2" t="n"/>
      <c r="E372" s="2" t="n"/>
      <c r="F372" s="2" t="n"/>
      <c r="G372" s="2" t="n"/>
      <c r="H372" s="2" t="n"/>
      <c r="I372" s="2" t="n"/>
      <c r="J372" s="2" t="n"/>
      <c r="K372" s="2" t="n"/>
      <c r="L372" s="2" t="n"/>
      <c r="M372" s="2" t="n"/>
      <c r="N372" s="2" t="n"/>
      <c r="O372" s="2" t="n"/>
      <c r="P372" s="2" t="n"/>
      <c r="Q372" s="2">
        <f>IF(G372="","",TODAY()-G372)</f>
        <v/>
      </c>
    </row>
    <row r="373">
      <c r="A373" s="2" t="n"/>
      <c r="B373" s="2" t="n"/>
      <c r="C373" s="2" t="n"/>
      <c r="D373" s="2" t="n"/>
      <c r="E373" s="2" t="n"/>
      <c r="F373" s="2" t="n"/>
      <c r="G373" s="2" t="n"/>
      <c r="H373" s="2" t="n"/>
      <c r="I373" s="2" t="n"/>
      <c r="J373" s="2" t="n"/>
      <c r="K373" s="2" t="n"/>
      <c r="L373" s="2" t="n"/>
      <c r="M373" s="2" t="n"/>
      <c r="N373" s="2" t="n"/>
      <c r="O373" s="2" t="n"/>
      <c r="P373" s="2" t="n"/>
      <c r="Q373" s="2">
        <f>IF(G373="","",TODAY()-G373)</f>
        <v/>
      </c>
    </row>
    <row r="374">
      <c r="A374" s="2" t="n"/>
      <c r="B374" s="2" t="n"/>
      <c r="C374" s="2" t="n"/>
      <c r="D374" s="2" t="n"/>
      <c r="E374" s="2" t="n"/>
      <c r="F374" s="2" t="n"/>
      <c r="G374" s="2" t="n"/>
      <c r="H374" s="2" t="n"/>
      <c r="I374" s="2" t="n"/>
      <c r="J374" s="2" t="n"/>
      <c r="K374" s="2" t="n"/>
      <c r="L374" s="2" t="n"/>
      <c r="M374" s="2" t="n"/>
      <c r="N374" s="2" t="n"/>
      <c r="O374" s="2" t="n"/>
      <c r="P374" s="2" t="n"/>
      <c r="Q374" s="2">
        <f>IF(G374="","",TODAY()-G374)</f>
        <v/>
      </c>
    </row>
    <row r="375">
      <c r="A375" s="2" t="n"/>
      <c r="B375" s="2" t="n"/>
      <c r="C375" s="2" t="n"/>
      <c r="D375" s="2" t="n"/>
      <c r="E375" s="2" t="n"/>
      <c r="F375" s="2" t="n"/>
      <c r="G375" s="2" t="n"/>
      <c r="H375" s="2" t="n"/>
      <c r="I375" s="2" t="n"/>
      <c r="J375" s="2" t="n"/>
      <c r="K375" s="2" t="n"/>
      <c r="L375" s="2" t="n"/>
      <c r="M375" s="2" t="n"/>
      <c r="N375" s="2" t="n"/>
      <c r="O375" s="2" t="n"/>
      <c r="P375" s="2" t="n"/>
      <c r="Q375" s="2">
        <f>IF(G375="","",TODAY()-G375)</f>
        <v/>
      </c>
    </row>
    <row r="376">
      <c r="A376" s="2" t="n"/>
      <c r="B376" s="2" t="n"/>
      <c r="C376" s="2" t="n"/>
      <c r="D376" s="2" t="n"/>
      <c r="E376" s="2" t="n"/>
      <c r="F376" s="2" t="n"/>
      <c r="G376" s="2" t="n"/>
      <c r="H376" s="2" t="n"/>
      <c r="I376" s="2" t="n"/>
      <c r="J376" s="2" t="n"/>
      <c r="K376" s="2" t="n"/>
      <c r="L376" s="2" t="n"/>
      <c r="M376" s="2" t="n"/>
      <c r="N376" s="2" t="n"/>
      <c r="O376" s="2" t="n"/>
      <c r="P376" s="2" t="n"/>
      <c r="Q376" s="2">
        <f>IF(G376="","",TODAY()-G376)</f>
        <v/>
      </c>
    </row>
    <row r="377">
      <c r="A377" s="2" t="n"/>
      <c r="B377" s="2" t="n"/>
      <c r="C377" s="2" t="n"/>
      <c r="D377" s="2" t="n"/>
      <c r="E377" s="2" t="n"/>
      <c r="F377" s="2" t="n"/>
      <c r="G377" s="2" t="n"/>
      <c r="H377" s="2" t="n"/>
      <c r="I377" s="2" t="n"/>
      <c r="J377" s="2" t="n"/>
      <c r="K377" s="2" t="n"/>
      <c r="L377" s="2" t="n"/>
      <c r="M377" s="2" t="n"/>
      <c r="N377" s="2" t="n"/>
      <c r="O377" s="2" t="n"/>
      <c r="P377" s="2" t="n"/>
      <c r="Q377" s="2">
        <f>IF(G377="","",TODAY()-G377)</f>
        <v/>
      </c>
    </row>
    <row r="378">
      <c r="A378" s="2" t="n"/>
      <c r="B378" s="2" t="n"/>
      <c r="C378" s="2" t="n"/>
      <c r="D378" s="2" t="n"/>
      <c r="E378" s="2" t="n"/>
      <c r="F378" s="2" t="n"/>
      <c r="G378" s="2" t="n"/>
      <c r="H378" s="2" t="n"/>
      <c r="I378" s="2" t="n"/>
      <c r="J378" s="2" t="n"/>
      <c r="K378" s="2" t="n"/>
      <c r="L378" s="2" t="n"/>
      <c r="M378" s="2" t="n"/>
      <c r="N378" s="2" t="n"/>
      <c r="O378" s="2" t="n"/>
      <c r="P378" s="2" t="n"/>
      <c r="Q378" s="2">
        <f>IF(G378="","",TODAY()-G378)</f>
        <v/>
      </c>
    </row>
    <row r="379">
      <c r="A379" s="2" t="n"/>
      <c r="B379" s="2" t="n"/>
      <c r="C379" s="2" t="n"/>
      <c r="D379" s="2" t="n"/>
      <c r="E379" s="2" t="n"/>
      <c r="F379" s="2" t="n"/>
      <c r="G379" s="2" t="n"/>
      <c r="H379" s="2" t="n"/>
      <c r="I379" s="2" t="n"/>
      <c r="J379" s="2" t="n"/>
      <c r="K379" s="2" t="n"/>
      <c r="L379" s="2" t="n"/>
      <c r="M379" s="2" t="n"/>
      <c r="N379" s="2" t="n"/>
      <c r="O379" s="2" t="n"/>
      <c r="P379" s="2" t="n"/>
      <c r="Q379" s="2">
        <f>IF(G379="","",TODAY()-G379)</f>
        <v/>
      </c>
    </row>
    <row r="380">
      <c r="A380" s="2" t="n"/>
      <c r="B380" s="2" t="n"/>
      <c r="C380" s="2" t="n"/>
      <c r="D380" s="2" t="n"/>
      <c r="E380" s="2" t="n"/>
      <c r="F380" s="2" t="n"/>
      <c r="G380" s="2" t="n"/>
      <c r="H380" s="2" t="n"/>
      <c r="I380" s="2" t="n"/>
      <c r="J380" s="2" t="n"/>
      <c r="K380" s="2" t="n"/>
      <c r="L380" s="2" t="n"/>
      <c r="M380" s="2" t="n"/>
      <c r="N380" s="2" t="n"/>
      <c r="O380" s="2" t="n"/>
      <c r="P380" s="2" t="n"/>
      <c r="Q380" s="2">
        <f>IF(G380="","",TODAY()-G380)</f>
        <v/>
      </c>
    </row>
    <row r="381">
      <c r="A381" s="2" t="n"/>
      <c r="B381" s="2" t="n"/>
      <c r="C381" s="2" t="n"/>
      <c r="D381" s="2" t="n"/>
      <c r="E381" s="2" t="n"/>
      <c r="F381" s="2" t="n"/>
      <c r="G381" s="2" t="n"/>
      <c r="H381" s="2" t="n"/>
      <c r="I381" s="2" t="n"/>
      <c r="J381" s="2" t="n"/>
      <c r="K381" s="2" t="n"/>
      <c r="L381" s="2" t="n"/>
      <c r="M381" s="2" t="n"/>
      <c r="N381" s="2" t="n"/>
      <c r="O381" s="2" t="n"/>
      <c r="P381" s="2" t="n"/>
      <c r="Q381" s="2">
        <f>IF(G381="","",TODAY()-G381)</f>
        <v/>
      </c>
    </row>
    <row r="382">
      <c r="A382" s="2" t="n"/>
      <c r="B382" s="2" t="n"/>
      <c r="C382" s="2" t="n"/>
      <c r="D382" s="2" t="n"/>
      <c r="E382" s="2" t="n"/>
      <c r="F382" s="2" t="n"/>
      <c r="G382" s="2" t="n"/>
      <c r="H382" s="2" t="n"/>
      <c r="I382" s="2" t="n"/>
      <c r="J382" s="2" t="n"/>
      <c r="K382" s="2" t="n"/>
      <c r="L382" s="2" t="n"/>
      <c r="M382" s="2" t="n"/>
      <c r="N382" s="2" t="n"/>
      <c r="O382" s="2" t="n"/>
      <c r="P382" s="2" t="n"/>
      <c r="Q382" s="2">
        <f>IF(G382="","",TODAY()-G382)</f>
        <v/>
      </c>
    </row>
    <row r="383">
      <c r="A383" s="2" t="n"/>
      <c r="B383" s="2" t="n"/>
      <c r="C383" s="2" t="n"/>
      <c r="D383" s="2" t="n"/>
      <c r="E383" s="2" t="n"/>
      <c r="F383" s="2" t="n"/>
      <c r="G383" s="2" t="n"/>
      <c r="H383" s="2" t="n"/>
      <c r="I383" s="2" t="n"/>
      <c r="J383" s="2" t="n"/>
      <c r="K383" s="2" t="n"/>
      <c r="L383" s="2" t="n"/>
      <c r="M383" s="2" t="n"/>
      <c r="N383" s="2" t="n"/>
      <c r="O383" s="2" t="n"/>
      <c r="P383" s="2" t="n"/>
      <c r="Q383" s="2">
        <f>IF(G383="","",TODAY()-G383)</f>
        <v/>
      </c>
    </row>
    <row r="384">
      <c r="A384" s="2" t="n"/>
      <c r="B384" s="2" t="n"/>
      <c r="C384" s="2" t="n"/>
      <c r="D384" s="2" t="n"/>
      <c r="E384" s="2" t="n"/>
      <c r="F384" s="2" t="n"/>
      <c r="G384" s="2" t="n"/>
      <c r="H384" s="2" t="n"/>
      <c r="I384" s="2" t="n"/>
      <c r="J384" s="2" t="n"/>
      <c r="K384" s="2" t="n"/>
      <c r="L384" s="2" t="n"/>
      <c r="M384" s="2" t="n"/>
      <c r="N384" s="2" t="n"/>
      <c r="O384" s="2" t="n"/>
      <c r="P384" s="2" t="n"/>
      <c r="Q384" s="2">
        <f>IF(G384="","",TODAY()-G384)</f>
        <v/>
      </c>
    </row>
    <row r="385">
      <c r="A385" s="2" t="n"/>
      <c r="B385" s="2" t="n"/>
      <c r="C385" s="2" t="n"/>
      <c r="D385" s="2" t="n"/>
      <c r="E385" s="2" t="n"/>
      <c r="F385" s="2" t="n"/>
      <c r="G385" s="2" t="n"/>
      <c r="H385" s="2" t="n"/>
      <c r="I385" s="2" t="n"/>
      <c r="J385" s="2" t="n"/>
      <c r="K385" s="2" t="n"/>
      <c r="L385" s="2" t="n"/>
      <c r="M385" s="2" t="n"/>
      <c r="N385" s="2" t="n"/>
      <c r="O385" s="2" t="n"/>
      <c r="P385" s="2" t="n"/>
      <c r="Q385" s="2">
        <f>IF(G385="","",TODAY()-G385)</f>
        <v/>
      </c>
    </row>
    <row r="386">
      <c r="A386" s="2" t="n"/>
      <c r="B386" s="2" t="n"/>
      <c r="C386" s="2" t="n"/>
      <c r="D386" s="2" t="n"/>
      <c r="E386" s="2" t="n"/>
      <c r="F386" s="2" t="n"/>
      <c r="G386" s="2" t="n"/>
      <c r="H386" s="2" t="n"/>
      <c r="I386" s="2" t="n"/>
      <c r="J386" s="2" t="n"/>
      <c r="K386" s="2" t="n"/>
      <c r="L386" s="2" t="n"/>
      <c r="M386" s="2" t="n"/>
      <c r="N386" s="2" t="n"/>
      <c r="O386" s="2" t="n"/>
      <c r="P386" s="2" t="n"/>
      <c r="Q386" s="2">
        <f>IF(G386="","",TODAY()-G386)</f>
        <v/>
      </c>
    </row>
    <row r="387">
      <c r="A387" s="2" t="n"/>
      <c r="B387" s="2" t="n"/>
      <c r="C387" s="2" t="n"/>
      <c r="D387" s="2" t="n"/>
      <c r="E387" s="2" t="n"/>
      <c r="F387" s="2" t="n"/>
      <c r="G387" s="2" t="n"/>
      <c r="H387" s="2" t="n"/>
      <c r="I387" s="2" t="n"/>
      <c r="J387" s="2" t="n"/>
      <c r="K387" s="2" t="n"/>
      <c r="L387" s="2" t="n"/>
      <c r="M387" s="2" t="n"/>
      <c r="N387" s="2" t="n"/>
      <c r="O387" s="2" t="n"/>
      <c r="P387" s="2" t="n"/>
      <c r="Q387" s="2">
        <f>IF(G387="","",TODAY()-G387)</f>
        <v/>
      </c>
    </row>
    <row r="388">
      <c r="A388" s="2" t="n"/>
      <c r="B388" s="2" t="n"/>
      <c r="C388" s="2" t="n"/>
      <c r="D388" s="2" t="n"/>
      <c r="E388" s="2" t="n"/>
      <c r="F388" s="2" t="n"/>
      <c r="G388" s="2" t="n"/>
      <c r="H388" s="2" t="n"/>
      <c r="I388" s="2" t="n"/>
      <c r="J388" s="2" t="n"/>
      <c r="K388" s="2" t="n"/>
      <c r="L388" s="2" t="n"/>
      <c r="M388" s="2" t="n"/>
      <c r="N388" s="2" t="n"/>
      <c r="O388" s="2" t="n"/>
      <c r="P388" s="2" t="n"/>
      <c r="Q388" s="2">
        <f>IF(G388="","",TODAY()-G388)</f>
        <v/>
      </c>
    </row>
    <row r="389">
      <c r="A389" s="2" t="n"/>
      <c r="B389" s="2" t="n"/>
      <c r="C389" s="2" t="n"/>
      <c r="D389" s="2" t="n"/>
      <c r="E389" s="2" t="n"/>
      <c r="F389" s="2" t="n"/>
      <c r="G389" s="2" t="n"/>
      <c r="H389" s="2" t="n"/>
      <c r="I389" s="2" t="n"/>
      <c r="J389" s="2" t="n"/>
      <c r="K389" s="2" t="n"/>
      <c r="L389" s="2" t="n"/>
      <c r="M389" s="2" t="n"/>
      <c r="N389" s="2" t="n"/>
      <c r="O389" s="2" t="n"/>
      <c r="P389" s="2" t="n"/>
      <c r="Q389" s="2">
        <f>IF(G389="","",TODAY()-G389)</f>
        <v/>
      </c>
    </row>
    <row r="390">
      <c r="A390" s="2" t="n"/>
      <c r="B390" s="2" t="n"/>
      <c r="C390" s="2" t="n"/>
      <c r="D390" s="2" t="n"/>
      <c r="E390" s="2" t="n"/>
      <c r="F390" s="2" t="n"/>
      <c r="G390" s="2" t="n"/>
      <c r="H390" s="2" t="n"/>
      <c r="I390" s="2" t="n"/>
      <c r="J390" s="2" t="n"/>
      <c r="K390" s="2" t="n"/>
      <c r="L390" s="2" t="n"/>
      <c r="M390" s="2" t="n"/>
      <c r="N390" s="2" t="n"/>
      <c r="O390" s="2" t="n"/>
      <c r="P390" s="2" t="n"/>
      <c r="Q390" s="2">
        <f>IF(G390="","",TODAY()-G390)</f>
        <v/>
      </c>
    </row>
    <row r="391">
      <c r="A391" s="2" t="n"/>
      <c r="B391" s="2" t="n"/>
      <c r="C391" s="2" t="n"/>
      <c r="D391" s="2" t="n"/>
      <c r="E391" s="2" t="n"/>
      <c r="F391" s="2" t="n"/>
      <c r="G391" s="2" t="n"/>
      <c r="H391" s="2" t="n"/>
      <c r="I391" s="2" t="n"/>
      <c r="J391" s="2" t="n"/>
      <c r="K391" s="2" t="n"/>
      <c r="L391" s="2" t="n"/>
      <c r="M391" s="2" t="n"/>
      <c r="N391" s="2" t="n"/>
      <c r="O391" s="2" t="n"/>
      <c r="P391" s="2" t="n"/>
      <c r="Q391" s="2">
        <f>IF(G391="","",TODAY()-G391)</f>
        <v/>
      </c>
    </row>
    <row r="392">
      <c r="A392" s="2" t="n"/>
      <c r="B392" s="2" t="n"/>
      <c r="C392" s="2" t="n"/>
      <c r="D392" s="2" t="n"/>
      <c r="E392" s="2" t="n"/>
      <c r="F392" s="2" t="n"/>
      <c r="G392" s="2" t="n"/>
      <c r="H392" s="2" t="n"/>
      <c r="I392" s="2" t="n"/>
      <c r="J392" s="2" t="n"/>
      <c r="K392" s="2" t="n"/>
      <c r="L392" s="2" t="n"/>
      <c r="M392" s="2" t="n"/>
      <c r="N392" s="2" t="n"/>
      <c r="O392" s="2" t="n"/>
      <c r="P392" s="2" t="n"/>
      <c r="Q392" s="2">
        <f>IF(G392="","",TODAY()-G392)</f>
        <v/>
      </c>
    </row>
    <row r="393">
      <c r="A393" s="2" t="n"/>
      <c r="B393" s="2" t="n"/>
      <c r="C393" s="2" t="n"/>
      <c r="D393" s="2" t="n"/>
      <c r="E393" s="2" t="n"/>
      <c r="F393" s="2" t="n"/>
      <c r="G393" s="2" t="n"/>
      <c r="H393" s="2" t="n"/>
      <c r="I393" s="2" t="n"/>
      <c r="J393" s="2" t="n"/>
      <c r="K393" s="2" t="n"/>
      <c r="L393" s="2" t="n"/>
      <c r="M393" s="2" t="n"/>
      <c r="N393" s="2" t="n"/>
      <c r="O393" s="2" t="n"/>
      <c r="P393" s="2" t="n"/>
      <c r="Q393" s="2">
        <f>IF(G393="","",TODAY()-G393)</f>
        <v/>
      </c>
    </row>
    <row r="394">
      <c r="A394" s="2" t="n"/>
      <c r="B394" s="2" t="n"/>
      <c r="C394" s="2" t="n"/>
      <c r="D394" s="2" t="n"/>
      <c r="E394" s="2" t="n"/>
      <c r="F394" s="2" t="n"/>
      <c r="G394" s="2" t="n"/>
      <c r="H394" s="2" t="n"/>
      <c r="I394" s="2" t="n"/>
      <c r="J394" s="2" t="n"/>
      <c r="K394" s="2" t="n"/>
      <c r="L394" s="2" t="n"/>
      <c r="M394" s="2" t="n"/>
      <c r="N394" s="2" t="n"/>
      <c r="O394" s="2" t="n"/>
      <c r="P394" s="2" t="n"/>
      <c r="Q394" s="2">
        <f>IF(G394="","",TODAY()-G394)</f>
        <v/>
      </c>
    </row>
    <row r="395">
      <c r="A395" s="2" t="n"/>
      <c r="B395" s="2" t="n"/>
      <c r="C395" s="2" t="n"/>
      <c r="D395" s="2" t="n"/>
      <c r="E395" s="2" t="n"/>
      <c r="F395" s="2" t="n"/>
      <c r="G395" s="2" t="n"/>
      <c r="H395" s="2" t="n"/>
      <c r="I395" s="2" t="n"/>
      <c r="J395" s="2" t="n"/>
      <c r="K395" s="2" t="n"/>
      <c r="L395" s="2" t="n"/>
      <c r="M395" s="2" t="n"/>
      <c r="N395" s="2" t="n"/>
      <c r="O395" s="2" t="n"/>
      <c r="P395" s="2" t="n"/>
      <c r="Q395" s="2">
        <f>IF(G395="","",TODAY()-G395)</f>
        <v/>
      </c>
    </row>
    <row r="396">
      <c r="A396" s="2" t="n"/>
      <c r="B396" s="2" t="n"/>
      <c r="C396" s="2" t="n"/>
      <c r="D396" s="2" t="n"/>
      <c r="E396" s="2" t="n"/>
      <c r="F396" s="2" t="n"/>
      <c r="G396" s="2" t="n"/>
      <c r="H396" s="2" t="n"/>
      <c r="I396" s="2" t="n"/>
      <c r="J396" s="2" t="n"/>
      <c r="K396" s="2" t="n"/>
      <c r="L396" s="2" t="n"/>
      <c r="M396" s="2" t="n"/>
      <c r="N396" s="2" t="n"/>
      <c r="O396" s="2" t="n"/>
      <c r="P396" s="2" t="n"/>
      <c r="Q396" s="2">
        <f>IF(G396="","",TODAY()-G396)</f>
        <v/>
      </c>
    </row>
    <row r="397">
      <c r="A397" s="2" t="n"/>
      <c r="B397" s="2" t="n"/>
      <c r="C397" s="2" t="n"/>
      <c r="D397" s="2" t="n"/>
      <c r="E397" s="2" t="n"/>
      <c r="F397" s="2" t="n"/>
      <c r="G397" s="2" t="n"/>
      <c r="H397" s="2" t="n"/>
      <c r="I397" s="2" t="n"/>
      <c r="J397" s="2" t="n"/>
      <c r="K397" s="2" t="n"/>
      <c r="L397" s="2" t="n"/>
      <c r="M397" s="2" t="n"/>
      <c r="N397" s="2" t="n"/>
      <c r="O397" s="2" t="n"/>
      <c r="P397" s="2" t="n"/>
      <c r="Q397" s="2">
        <f>IF(G397="","",TODAY()-G397)</f>
        <v/>
      </c>
    </row>
    <row r="398">
      <c r="A398" s="2" t="n"/>
      <c r="B398" s="2" t="n"/>
      <c r="C398" s="2" t="n"/>
      <c r="D398" s="2" t="n"/>
      <c r="E398" s="2" t="n"/>
      <c r="F398" s="2" t="n"/>
      <c r="G398" s="2" t="n"/>
      <c r="H398" s="2" t="n"/>
      <c r="I398" s="2" t="n"/>
      <c r="J398" s="2" t="n"/>
      <c r="K398" s="2" t="n"/>
      <c r="L398" s="2" t="n"/>
      <c r="M398" s="2" t="n"/>
      <c r="N398" s="2" t="n"/>
      <c r="O398" s="2" t="n"/>
      <c r="P398" s="2" t="n"/>
      <c r="Q398" s="2">
        <f>IF(G398="","",TODAY()-G398)</f>
        <v/>
      </c>
    </row>
    <row r="399">
      <c r="A399" s="2" t="n"/>
      <c r="B399" s="2" t="n"/>
      <c r="C399" s="2" t="n"/>
      <c r="D399" s="2" t="n"/>
      <c r="E399" s="2" t="n"/>
      <c r="F399" s="2" t="n"/>
      <c r="G399" s="2" t="n"/>
      <c r="H399" s="2" t="n"/>
      <c r="I399" s="2" t="n"/>
      <c r="J399" s="2" t="n"/>
      <c r="K399" s="2" t="n"/>
      <c r="L399" s="2" t="n"/>
      <c r="M399" s="2" t="n"/>
      <c r="N399" s="2" t="n"/>
      <c r="O399" s="2" t="n"/>
      <c r="P399" s="2" t="n"/>
      <c r="Q399" s="2">
        <f>IF(G399="","",TODAY()-G399)</f>
        <v/>
      </c>
    </row>
    <row r="400">
      <c r="A400" s="2" t="n"/>
      <c r="B400" s="2" t="n"/>
      <c r="C400" s="2" t="n"/>
      <c r="D400" s="2" t="n"/>
      <c r="E400" s="2" t="n"/>
      <c r="F400" s="2" t="n"/>
      <c r="G400" s="2" t="n"/>
      <c r="H400" s="2" t="n"/>
      <c r="I400" s="2" t="n"/>
      <c r="J400" s="2" t="n"/>
      <c r="K400" s="2" t="n"/>
      <c r="L400" s="2" t="n"/>
      <c r="M400" s="2" t="n"/>
      <c r="N400" s="2" t="n"/>
      <c r="O400" s="2" t="n"/>
      <c r="P400" s="2" t="n"/>
      <c r="Q400" s="2">
        <f>IF(G400="","",TODAY()-G400)</f>
        <v/>
      </c>
    </row>
    <row r="401">
      <c r="A401" s="2" t="n"/>
      <c r="B401" s="2" t="n"/>
      <c r="C401" s="2" t="n"/>
      <c r="D401" s="2" t="n"/>
      <c r="E401" s="2" t="n"/>
      <c r="F401" s="2" t="n"/>
      <c r="G401" s="2" t="n"/>
      <c r="H401" s="2" t="n"/>
      <c r="I401" s="2" t="n"/>
      <c r="J401" s="2" t="n"/>
      <c r="K401" s="2" t="n"/>
      <c r="L401" s="2" t="n"/>
      <c r="M401" s="2" t="n"/>
      <c r="N401" s="2" t="n"/>
      <c r="O401" s="2" t="n"/>
      <c r="P401" s="2" t="n"/>
      <c r="Q401" s="2">
        <f>IF(G401="","",TODAY()-G401)</f>
        <v/>
      </c>
    </row>
    <row r="402">
      <c r="A402" s="2" t="n"/>
      <c r="B402" s="2" t="n"/>
      <c r="C402" s="2" t="n"/>
      <c r="D402" s="2" t="n"/>
      <c r="E402" s="2" t="n"/>
      <c r="F402" s="2" t="n"/>
      <c r="G402" s="2" t="n"/>
      <c r="H402" s="2" t="n"/>
      <c r="I402" s="2" t="n"/>
      <c r="J402" s="2" t="n"/>
      <c r="K402" s="2" t="n"/>
      <c r="L402" s="2" t="n"/>
      <c r="M402" s="2" t="n"/>
      <c r="N402" s="2" t="n"/>
      <c r="O402" s="2" t="n"/>
      <c r="P402" s="2" t="n"/>
      <c r="Q402" s="2">
        <f>IF(G402="","",TODAY()-G402)</f>
        <v/>
      </c>
    </row>
    <row r="403">
      <c r="A403" s="2" t="n"/>
      <c r="B403" s="2" t="n"/>
      <c r="C403" s="2" t="n"/>
      <c r="D403" s="2" t="n"/>
      <c r="E403" s="2" t="n"/>
      <c r="F403" s="2" t="n"/>
      <c r="G403" s="2" t="n"/>
      <c r="H403" s="2" t="n"/>
      <c r="I403" s="2" t="n"/>
      <c r="J403" s="2" t="n"/>
      <c r="K403" s="2" t="n"/>
      <c r="L403" s="2" t="n"/>
      <c r="M403" s="2" t="n"/>
      <c r="N403" s="2" t="n"/>
      <c r="O403" s="2" t="n"/>
      <c r="P403" s="2" t="n"/>
      <c r="Q403" s="2">
        <f>IF(G403="","",TODAY()-G403)</f>
        <v/>
      </c>
    </row>
    <row r="404">
      <c r="A404" s="2" t="n"/>
      <c r="B404" s="2" t="n"/>
      <c r="C404" s="2" t="n"/>
      <c r="D404" s="2" t="n"/>
      <c r="E404" s="2" t="n"/>
      <c r="F404" s="2" t="n"/>
      <c r="G404" s="2" t="n"/>
      <c r="H404" s="2" t="n"/>
      <c r="I404" s="2" t="n"/>
      <c r="J404" s="2" t="n"/>
      <c r="K404" s="2" t="n"/>
      <c r="L404" s="2" t="n"/>
      <c r="M404" s="2" t="n"/>
      <c r="N404" s="2" t="n"/>
      <c r="O404" s="2" t="n"/>
      <c r="P404" s="2" t="n"/>
      <c r="Q404" s="2">
        <f>IF(G404="","",TODAY()-G404)</f>
        <v/>
      </c>
    </row>
    <row r="405">
      <c r="A405" s="2" t="n"/>
      <c r="B405" s="2" t="n"/>
      <c r="C405" s="2" t="n"/>
      <c r="D405" s="2" t="n"/>
      <c r="E405" s="2" t="n"/>
      <c r="F405" s="2" t="n"/>
      <c r="G405" s="2" t="n"/>
      <c r="H405" s="2" t="n"/>
      <c r="I405" s="2" t="n"/>
      <c r="J405" s="2" t="n"/>
      <c r="K405" s="2" t="n"/>
      <c r="L405" s="2" t="n"/>
      <c r="M405" s="2" t="n"/>
      <c r="N405" s="2" t="n"/>
      <c r="O405" s="2" t="n"/>
      <c r="P405" s="2" t="n"/>
      <c r="Q405" s="2">
        <f>IF(G405="","",TODAY()-G405)</f>
        <v/>
      </c>
    </row>
    <row r="406">
      <c r="A406" s="2" t="n"/>
      <c r="B406" s="2" t="n"/>
      <c r="C406" s="2" t="n"/>
      <c r="D406" s="2" t="n"/>
      <c r="E406" s="2" t="n"/>
      <c r="F406" s="2" t="n"/>
      <c r="G406" s="2" t="n"/>
      <c r="H406" s="2" t="n"/>
      <c r="I406" s="2" t="n"/>
      <c r="J406" s="2" t="n"/>
      <c r="K406" s="2" t="n"/>
      <c r="L406" s="2" t="n"/>
      <c r="M406" s="2" t="n"/>
      <c r="N406" s="2" t="n"/>
      <c r="O406" s="2" t="n"/>
      <c r="P406" s="2" t="n"/>
      <c r="Q406" s="2">
        <f>IF(G406="","",TODAY()-G406)</f>
        <v/>
      </c>
    </row>
    <row r="407">
      <c r="A407" s="2" t="n"/>
      <c r="B407" s="2" t="n"/>
      <c r="C407" s="2" t="n"/>
      <c r="D407" s="2" t="n"/>
      <c r="E407" s="2" t="n"/>
      <c r="F407" s="2" t="n"/>
      <c r="G407" s="2" t="n"/>
      <c r="H407" s="2" t="n"/>
      <c r="I407" s="2" t="n"/>
      <c r="J407" s="2" t="n"/>
      <c r="K407" s="2" t="n"/>
      <c r="L407" s="2" t="n"/>
      <c r="M407" s="2" t="n"/>
      <c r="N407" s="2" t="n"/>
      <c r="O407" s="2" t="n"/>
      <c r="P407" s="2" t="n"/>
      <c r="Q407" s="2">
        <f>IF(G407="","",TODAY()-G407)</f>
        <v/>
      </c>
    </row>
    <row r="408">
      <c r="A408" s="2" t="n"/>
      <c r="B408" s="2" t="n"/>
      <c r="C408" s="2" t="n"/>
      <c r="D408" s="2" t="n"/>
      <c r="E408" s="2" t="n"/>
      <c r="F408" s="2" t="n"/>
      <c r="G408" s="2" t="n"/>
      <c r="H408" s="2" t="n"/>
      <c r="I408" s="2" t="n"/>
      <c r="J408" s="2" t="n"/>
      <c r="K408" s="2" t="n"/>
      <c r="L408" s="2" t="n"/>
      <c r="M408" s="2" t="n"/>
      <c r="N408" s="2" t="n"/>
      <c r="O408" s="2" t="n"/>
      <c r="P408" s="2" t="n"/>
      <c r="Q408" s="2">
        <f>IF(G408="","",TODAY()-G408)</f>
        <v/>
      </c>
    </row>
    <row r="409">
      <c r="A409" s="2" t="n"/>
      <c r="B409" s="2" t="n"/>
      <c r="C409" s="2" t="n"/>
      <c r="D409" s="2" t="n"/>
      <c r="E409" s="2" t="n"/>
      <c r="F409" s="2" t="n"/>
      <c r="G409" s="2" t="n"/>
      <c r="H409" s="2" t="n"/>
      <c r="I409" s="2" t="n"/>
      <c r="J409" s="2" t="n"/>
      <c r="K409" s="2" t="n"/>
      <c r="L409" s="2" t="n"/>
      <c r="M409" s="2" t="n"/>
      <c r="N409" s="2" t="n"/>
      <c r="O409" s="2" t="n"/>
      <c r="P409" s="2" t="n"/>
      <c r="Q409" s="2">
        <f>IF(G409="","",TODAY()-G409)</f>
        <v/>
      </c>
    </row>
    <row r="410">
      <c r="A410" s="2" t="n"/>
      <c r="B410" s="2" t="n"/>
      <c r="C410" s="2" t="n"/>
      <c r="D410" s="2" t="n"/>
      <c r="E410" s="2" t="n"/>
      <c r="F410" s="2" t="n"/>
      <c r="G410" s="2" t="n"/>
      <c r="H410" s="2" t="n"/>
      <c r="I410" s="2" t="n"/>
      <c r="J410" s="2" t="n"/>
      <c r="K410" s="2" t="n"/>
      <c r="L410" s="2" t="n"/>
      <c r="M410" s="2" t="n"/>
      <c r="N410" s="2" t="n"/>
      <c r="O410" s="2" t="n"/>
      <c r="P410" s="2" t="n"/>
      <c r="Q410" s="2">
        <f>IF(G410="","",TODAY()-G410)</f>
        <v/>
      </c>
    </row>
    <row r="411">
      <c r="A411" s="2" t="n"/>
      <c r="B411" s="2" t="n"/>
      <c r="C411" s="2" t="n"/>
      <c r="D411" s="2" t="n"/>
      <c r="E411" s="2" t="n"/>
      <c r="F411" s="2" t="n"/>
      <c r="G411" s="2" t="n"/>
      <c r="H411" s="2" t="n"/>
      <c r="I411" s="2" t="n"/>
      <c r="J411" s="2" t="n"/>
      <c r="K411" s="2" t="n"/>
      <c r="L411" s="2" t="n"/>
      <c r="M411" s="2" t="n"/>
      <c r="N411" s="2" t="n"/>
      <c r="O411" s="2" t="n"/>
      <c r="P411" s="2" t="n"/>
      <c r="Q411" s="2">
        <f>IF(G411="","",TODAY()-G411)</f>
        <v/>
      </c>
    </row>
    <row r="412">
      <c r="A412" s="2" t="n"/>
      <c r="B412" s="2" t="n"/>
      <c r="C412" s="2" t="n"/>
      <c r="D412" s="2" t="n"/>
      <c r="E412" s="2" t="n"/>
      <c r="F412" s="2" t="n"/>
      <c r="G412" s="2" t="n"/>
      <c r="H412" s="2" t="n"/>
      <c r="I412" s="2" t="n"/>
      <c r="J412" s="2" t="n"/>
      <c r="K412" s="2" t="n"/>
      <c r="L412" s="2" t="n"/>
      <c r="M412" s="2" t="n"/>
      <c r="N412" s="2" t="n"/>
      <c r="O412" s="2" t="n"/>
      <c r="P412" s="2" t="n"/>
      <c r="Q412" s="2">
        <f>IF(G412="","",TODAY()-G412)</f>
        <v/>
      </c>
    </row>
    <row r="413">
      <c r="A413" s="2" t="n"/>
      <c r="B413" s="2" t="n"/>
      <c r="C413" s="2" t="n"/>
      <c r="D413" s="2" t="n"/>
      <c r="E413" s="2" t="n"/>
      <c r="F413" s="2" t="n"/>
      <c r="G413" s="2" t="n"/>
      <c r="H413" s="2" t="n"/>
      <c r="I413" s="2" t="n"/>
      <c r="J413" s="2" t="n"/>
      <c r="K413" s="2" t="n"/>
      <c r="L413" s="2" t="n"/>
      <c r="M413" s="2" t="n"/>
      <c r="N413" s="2" t="n"/>
      <c r="O413" s="2" t="n"/>
      <c r="P413" s="2" t="n"/>
      <c r="Q413" s="2">
        <f>IF(G413="","",TODAY()-G413)</f>
        <v/>
      </c>
    </row>
    <row r="414">
      <c r="A414" s="2" t="n"/>
      <c r="B414" s="2" t="n"/>
      <c r="C414" s="2" t="n"/>
      <c r="D414" s="2" t="n"/>
      <c r="E414" s="2" t="n"/>
      <c r="F414" s="2" t="n"/>
      <c r="G414" s="2" t="n"/>
      <c r="H414" s="2" t="n"/>
      <c r="I414" s="2" t="n"/>
      <c r="J414" s="2" t="n"/>
      <c r="K414" s="2" t="n"/>
      <c r="L414" s="2" t="n"/>
      <c r="M414" s="2" t="n"/>
      <c r="N414" s="2" t="n"/>
      <c r="O414" s="2" t="n"/>
      <c r="P414" s="2" t="n"/>
      <c r="Q414" s="2">
        <f>IF(G414="","",TODAY()-G414)</f>
        <v/>
      </c>
    </row>
    <row r="415">
      <c r="A415" s="2" t="n"/>
      <c r="B415" s="2" t="n"/>
      <c r="C415" s="2" t="n"/>
      <c r="D415" s="2" t="n"/>
      <c r="E415" s="2" t="n"/>
      <c r="F415" s="2" t="n"/>
      <c r="G415" s="2" t="n"/>
      <c r="H415" s="2" t="n"/>
      <c r="I415" s="2" t="n"/>
      <c r="J415" s="2" t="n"/>
      <c r="K415" s="2" t="n"/>
      <c r="L415" s="2" t="n"/>
      <c r="M415" s="2" t="n"/>
      <c r="N415" s="2" t="n"/>
      <c r="O415" s="2" t="n"/>
      <c r="P415" s="2" t="n"/>
      <c r="Q415" s="2">
        <f>IF(G415="","",TODAY()-G415)</f>
        <v/>
      </c>
    </row>
    <row r="416">
      <c r="A416" s="2" t="n"/>
      <c r="B416" s="2" t="n"/>
      <c r="C416" s="2" t="n"/>
      <c r="D416" s="2" t="n"/>
      <c r="E416" s="2" t="n"/>
      <c r="F416" s="2" t="n"/>
      <c r="G416" s="2" t="n"/>
      <c r="H416" s="2" t="n"/>
      <c r="I416" s="2" t="n"/>
      <c r="J416" s="2" t="n"/>
      <c r="K416" s="2" t="n"/>
      <c r="L416" s="2" t="n"/>
      <c r="M416" s="2" t="n"/>
      <c r="N416" s="2" t="n"/>
      <c r="O416" s="2" t="n"/>
      <c r="P416" s="2" t="n"/>
      <c r="Q416" s="2">
        <f>IF(G416="","",TODAY()-G416)</f>
        <v/>
      </c>
    </row>
    <row r="417">
      <c r="A417" s="2" t="n"/>
      <c r="B417" s="2" t="n"/>
      <c r="C417" s="2" t="n"/>
      <c r="D417" s="2" t="n"/>
      <c r="E417" s="2" t="n"/>
      <c r="F417" s="2" t="n"/>
      <c r="G417" s="2" t="n"/>
      <c r="H417" s="2" t="n"/>
      <c r="I417" s="2" t="n"/>
      <c r="J417" s="2" t="n"/>
      <c r="K417" s="2" t="n"/>
      <c r="L417" s="2" t="n"/>
      <c r="M417" s="2" t="n"/>
      <c r="N417" s="2" t="n"/>
      <c r="O417" s="2" t="n"/>
      <c r="P417" s="2" t="n"/>
      <c r="Q417" s="2">
        <f>IF(G417="","",TODAY()-G417)</f>
        <v/>
      </c>
    </row>
    <row r="418">
      <c r="A418" s="2" t="n"/>
      <c r="B418" s="2" t="n"/>
      <c r="C418" s="2" t="n"/>
      <c r="D418" s="2" t="n"/>
      <c r="E418" s="2" t="n"/>
      <c r="F418" s="2" t="n"/>
      <c r="G418" s="2" t="n"/>
      <c r="H418" s="2" t="n"/>
      <c r="I418" s="2" t="n"/>
      <c r="J418" s="2" t="n"/>
      <c r="K418" s="2" t="n"/>
      <c r="L418" s="2" t="n"/>
      <c r="M418" s="2" t="n"/>
      <c r="N418" s="2" t="n"/>
      <c r="O418" s="2" t="n"/>
      <c r="P418" s="2" t="n"/>
      <c r="Q418" s="2">
        <f>IF(G418="","",TODAY()-G418)</f>
        <v/>
      </c>
    </row>
    <row r="419">
      <c r="A419" s="2" t="n"/>
      <c r="B419" s="2" t="n"/>
      <c r="C419" s="2" t="n"/>
      <c r="D419" s="2" t="n"/>
      <c r="E419" s="2" t="n"/>
      <c r="F419" s="2" t="n"/>
      <c r="G419" s="2" t="n"/>
      <c r="H419" s="2" t="n"/>
      <c r="I419" s="2" t="n"/>
      <c r="J419" s="2" t="n"/>
      <c r="K419" s="2" t="n"/>
      <c r="L419" s="2" t="n"/>
      <c r="M419" s="2" t="n"/>
      <c r="N419" s="2" t="n"/>
      <c r="O419" s="2" t="n"/>
      <c r="P419" s="2" t="n"/>
      <c r="Q419" s="2">
        <f>IF(G419="","",TODAY()-G419)</f>
        <v/>
      </c>
    </row>
    <row r="420">
      <c r="A420" s="2" t="n"/>
      <c r="B420" s="2" t="n"/>
      <c r="C420" s="2" t="n"/>
      <c r="D420" s="2" t="n"/>
      <c r="E420" s="2" t="n"/>
      <c r="F420" s="2" t="n"/>
      <c r="G420" s="2" t="n"/>
      <c r="H420" s="2" t="n"/>
      <c r="I420" s="2" t="n"/>
      <c r="J420" s="2" t="n"/>
      <c r="K420" s="2" t="n"/>
      <c r="L420" s="2" t="n"/>
      <c r="M420" s="2" t="n"/>
      <c r="N420" s="2" t="n"/>
      <c r="O420" s="2" t="n"/>
      <c r="P420" s="2" t="n"/>
      <c r="Q420" s="2">
        <f>IF(G420="","",TODAY()-G420)</f>
        <v/>
      </c>
    </row>
    <row r="421">
      <c r="A421" s="2" t="n"/>
      <c r="B421" s="2" t="n"/>
      <c r="C421" s="2" t="n"/>
      <c r="D421" s="2" t="n"/>
      <c r="E421" s="2" t="n"/>
      <c r="F421" s="2" t="n"/>
      <c r="G421" s="2" t="n"/>
      <c r="H421" s="2" t="n"/>
      <c r="I421" s="2" t="n"/>
      <c r="J421" s="2" t="n"/>
      <c r="K421" s="2" t="n"/>
      <c r="L421" s="2" t="n"/>
      <c r="M421" s="2" t="n"/>
      <c r="N421" s="2" t="n"/>
      <c r="O421" s="2" t="n"/>
      <c r="P421" s="2" t="n"/>
      <c r="Q421" s="2">
        <f>IF(G421="","",TODAY()-G421)</f>
        <v/>
      </c>
    </row>
    <row r="422">
      <c r="A422" s="2" t="n"/>
      <c r="B422" s="2" t="n"/>
      <c r="C422" s="2" t="n"/>
      <c r="D422" s="2" t="n"/>
      <c r="E422" s="2" t="n"/>
      <c r="F422" s="2" t="n"/>
      <c r="G422" s="2" t="n"/>
      <c r="H422" s="2" t="n"/>
      <c r="I422" s="2" t="n"/>
      <c r="J422" s="2" t="n"/>
      <c r="K422" s="2" t="n"/>
      <c r="L422" s="2" t="n"/>
      <c r="M422" s="2" t="n"/>
      <c r="N422" s="2" t="n"/>
      <c r="O422" s="2" t="n"/>
      <c r="P422" s="2" t="n"/>
      <c r="Q422" s="2">
        <f>IF(G422="","",TODAY()-G422)</f>
        <v/>
      </c>
    </row>
    <row r="423">
      <c r="A423" s="2" t="n"/>
      <c r="B423" s="2" t="n"/>
      <c r="C423" s="2" t="n"/>
      <c r="D423" s="2" t="n"/>
      <c r="E423" s="2" t="n"/>
      <c r="F423" s="2" t="n"/>
      <c r="G423" s="2" t="n"/>
      <c r="H423" s="2" t="n"/>
      <c r="I423" s="2" t="n"/>
      <c r="J423" s="2" t="n"/>
      <c r="K423" s="2" t="n"/>
      <c r="L423" s="2" t="n"/>
      <c r="M423" s="2" t="n"/>
      <c r="N423" s="2" t="n"/>
      <c r="O423" s="2" t="n"/>
      <c r="P423" s="2" t="n"/>
      <c r="Q423" s="2">
        <f>IF(G423="","",TODAY()-G423)</f>
        <v/>
      </c>
    </row>
    <row r="424">
      <c r="A424" s="2" t="n"/>
      <c r="B424" s="2" t="n"/>
      <c r="C424" s="2" t="n"/>
      <c r="D424" s="2" t="n"/>
      <c r="E424" s="2" t="n"/>
      <c r="F424" s="2" t="n"/>
      <c r="G424" s="2" t="n"/>
      <c r="H424" s="2" t="n"/>
      <c r="I424" s="2" t="n"/>
      <c r="J424" s="2" t="n"/>
      <c r="K424" s="2" t="n"/>
      <c r="L424" s="2" t="n"/>
      <c r="M424" s="2" t="n"/>
      <c r="N424" s="2" t="n"/>
      <c r="O424" s="2" t="n"/>
      <c r="P424" s="2" t="n"/>
      <c r="Q424" s="2">
        <f>IF(G424="","",TODAY()-G424)</f>
        <v/>
      </c>
    </row>
    <row r="425">
      <c r="A425" s="2" t="n"/>
      <c r="B425" s="2" t="n"/>
      <c r="C425" s="2" t="n"/>
      <c r="D425" s="2" t="n"/>
      <c r="E425" s="2" t="n"/>
      <c r="F425" s="2" t="n"/>
      <c r="G425" s="2" t="n"/>
      <c r="H425" s="2" t="n"/>
      <c r="I425" s="2" t="n"/>
      <c r="J425" s="2" t="n"/>
      <c r="K425" s="2" t="n"/>
      <c r="L425" s="2" t="n"/>
      <c r="M425" s="2" t="n"/>
      <c r="N425" s="2" t="n"/>
      <c r="O425" s="2" t="n"/>
      <c r="P425" s="2" t="n"/>
      <c r="Q425" s="2">
        <f>IF(G425="","",TODAY()-G425)</f>
        <v/>
      </c>
    </row>
    <row r="426">
      <c r="A426" s="2" t="n"/>
      <c r="B426" s="2" t="n"/>
      <c r="C426" s="2" t="n"/>
      <c r="D426" s="2" t="n"/>
      <c r="E426" s="2" t="n"/>
      <c r="F426" s="2" t="n"/>
      <c r="G426" s="2" t="n"/>
      <c r="H426" s="2" t="n"/>
      <c r="I426" s="2" t="n"/>
      <c r="J426" s="2" t="n"/>
      <c r="K426" s="2" t="n"/>
      <c r="L426" s="2" t="n"/>
      <c r="M426" s="2" t="n"/>
      <c r="N426" s="2" t="n"/>
      <c r="O426" s="2" t="n"/>
      <c r="P426" s="2" t="n"/>
      <c r="Q426" s="2">
        <f>IF(G426="","",TODAY()-G426)</f>
        <v/>
      </c>
    </row>
    <row r="427">
      <c r="A427" s="2" t="n"/>
      <c r="B427" s="2" t="n"/>
      <c r="C427" s="2" t="n"/>
      <c r="D427" s="2" t="n"/>
      <c r="E427" s="2" t="n"/>
      <c r="F427" s="2" t="n"/>
      <c r="G427" s="2" t="n"/>
      <c r="H427" s="2" t="n"/>
      <c r="I427" s="2" t="n"/>
      <c r="J427" s="2" t="n"/>
      <c r="K427" s="2" t="n"/>
      <c r="L427" s="2" t="n"/>
      <c r="M427" s="2" t="n"/>
      <c r="N427" s="2" t="n"/>
      <c r="O427" s="2" t="n"/>
      <c r="P427" s="2" t="n"/>
      <c r="Q427" s="2">
        <f>IF(G427="","",TODAY()-G427)</f>
        <v/>
      </c>
    </row>
    <row r="428">
      <c r="A428" s="2" t="n"/>
      <c r="B428" s="2" t="n"/>
      <c r="C428" s="2" t="n"/>
      <c r="D428" s="2" t="n"/>
      <c r="E428" s="2" t="n"/>
      <c r="F428" s="2" t="n"/>
      <c r="G428" s="2" t="n"/>
      <c r="H428" s="2" t="n"/>
      <c r="I428" s="2" t="n"/>
      <c r="J428" s="2" t="n"/>
      <c r="K428" s="2" t="n"/>
      <c r="L428" s="2" t="n"/>
      <c r="M428" s="2" t="n"/>
      <c r="N428" s="2" t="n"/>
      <c r="O428" s="2" t="n"/>
      <c r="P428" s="2" t="n"/>
      <c r="Q428" s="2">
        <f>IF(G428="","",TODAY()-G428)</f>
        <v/>
      </c>
    </row>
    <row r="429">
      <c r="A429" s="2" t="n"/>
      <c r="B429" s="2" t="n"/>
      <c r="C429" s="2" t="n"/>
      <c r="D429" s="2" t="n"/>
      <c r="E429" s="2" t="n"/>
      <c r="F429" s="2" t="n"/>
      <c r="G429" s="2" t="n"/>
      <c r="H429" s="2" t="n"/>
      <c r="I429" s="2" t="n"/>
      <c r="J429" s="2" t="n"/>
      <c r="K429" s="2" t="n"/>
      <c r="L429" s="2" t="n"/>
      <c r="M429" s="2" t="n"/>
      <c r="N429" s="2" t="n"/>
      <c r="O429" s="2" t="n"/>
      <c r="P429" s="2" t="n"/>
      <c r="Q429" s="2">
        <f>IF(G429="","",TODAY()-G429)</f>
        <v/>
      </c>
    </row>
    <row r="430">
      <c r="A430" s="2" t="n"/>
      <c r="B430" s="2" t="n"/>
      <c r="C430" s="2" t="n"/>
      <c r="D430" s="2" t="n"/>
      <c r="E430" s="2" t="n"/>
      <c r="F430" s="2" t="n"/>
      <c r="G430" s="2" t="n"/>
      <c r="H430" s="2" t="n"/>
      <c r="I430" s="2" t="n"/>
      <c r="J430" s="2" t="n"/>
      <c r="K430" s="2" t="n"/>
      <c r="L430" s="2" t="n"/>
      <c r="M430" s="2" t="n"/>
      <c r="N430" s="2" t="n"/>
      <c r="O430" s="2" t="n"/>
      <c r="P430" s="2" t="n"/>
      <c r="Q430" s="2">
        <f>IF(G430="","",TODAY()-G430)</f>
        <v/>
      </c>
    </row>
    <row r="431">
      <c r="A431" s="2" t="n"/>
      <c r="B431" s="2" t="n"/>
      <c r="C431" s="2" t="n"/>
      <c r="D431" s="2" t="n"/>
      <c r="E431" s="2" t="n"/>
      <c r="F431" s="2" t="n"/>
      <c r="G431" s="2" t="n"/>
      <c r="H431" s="2" t="n"/>
      <c r="I431" s="2" t="n"/>
      <c r="J431" s="2" t="n"/>
      <c r="K431" s="2" t="n"/>
      <c r="L431" s="2" t="n"/>
      <c r="M431" s="2" t="n"/>
      <c r="N431" s="2" t="n"/>
      <c r="O431" s="2" t="n"/>
      <c r="P431" s="2" t="n"/>
      <c r="Q431" s="2">
        <f>IF(G431="","",TODAY()-G431)</f>
        <v/>
      </c>
    </row>
    <row r="432">
      <c r="A432" s="2" t="n"/>
      <c r="B432" s="2" t="n"/>
      <c r="C432" s="2" t="n"/>
      <c r="D432" s="2" t="n"/>
      <c r="E432" s="2" t="n"/>
      <c r="F432" s="2" t="n"/>
      <c r="G432" s="2" t="n"/>
      <c r="H432" s="2" t="n"/>
      <c r="I432" s="2" t="n"/>
      <c r="J432" s="2" t="n"/>
      <c r="K432" s="2" t="n"/>
      <c r="L432" s="2" t="n"/>
      <c r="M432" s="2" t="n"/>
      <c r="N432" s="2" t="n"/>
      <c r="O432" s="2" t="n"/>
      <c r="P432" s="2" t="n"/>
      <c r="Q432" s="2">
        <f>IF(G432="","",TODAY()-G432)</f>
        <v/>
      </c>
    </row>
    <row r="433">
      <c r="A433" s="2" t="n"/>
      <c r="B433" s="2" t="n"/>
      <c r="C433" s="2" t="n"/>
      <c r="D433" s="2" t="n"/>
      <c r="E433" s="2" t="n"/>
      <c r="F433" s="2" t="n"/>
      <c r="G433" s="2" t="n"/>
      <c r="H433" s="2" t="n"/>
      <c r="I433" s="2" t="n"/>
      <c r="J433" s="2" t="n"/>
      <c r="K433" s="2" t="n"/>
      <c r="L433" s="2" t="n"/>
      <c r="M433" s="2" t="n"/>
      <c r="N433" s="2" t="n"/>
      <c r="O433" s="2" t="n"/>
      <c r="P433" s="2" t="n"/>
      <c r="Q433" s="2">
        <f>IF(G433="","",TODAY()-G433)</f>
        <v/>
      </c>
    </row>
    <row r="434">
      <c r="A434" s="2" t="n"/>
      <c r="B434" s="2" t="n"/>
      <c r="C434" s="2" t="n"/>
      <c r="D434" s="2" t="n"/>
      <c r="E434" s="2" t="n"/>
      <c r="F434" s="2" t="n"/>
      <c r="G434" s="2" t="n"/>
      <c r="H434" s="2" t="n"/>
      <c r="I434" s="2" t="n"/>
      <c r="J434" s="2" t="n"/>
      <c r="K434" s="2" t="n"/>
      <c r="L434" s="2" t="n"/>
      <c r="M434" s="2" t="n"/>
      <c r="N434" s="2" t="n"/>
      <c r="O434" s="2" t="n"/>
      <c r="P434" s="2" t="n"/>
      <c r="Q434" s="2">
        <f>IF(G434="","",TODAY()-G434)</f>
        <v/>
      </c>
    </row>
    <row r="435">
      <c r="A435" s="2" t="n"/>
      <c r="B435" s="2" t="n"/>
      <c r="C435" s="2" t="n"/>
      <c r="D435" s="2" t="n"/>
      <c r="E435" s="2" t="n"/>
      <c r="F435" s="2" t="n"/>
      <c r="G435" s="2" t="n"/>
      <c r="H435" s="2" t="n"/>
      <c r="I435" s="2" t="n"/>
      <c r="J435" s="2" t="n"/>
      <c r="K435" s="2" t="n"/>
      <c r="L435" s="2" t="n"/>
      <c r="M435" s="2" t="n"/>
      <c r="N435" s="2" t="n"/>
      <c r="O435" s="2" t="n"/>
      <c r="P435" s="2" t="n"/>
      <c r="Q435" s="2">
        <f>IF(G435="","",TODAY()-G435)</f>
        <v/>
      </c>
    </row>
    <row r="436">
      <c r="A436" s="2" t="n"/>
      <c r="B436" s="2" t="n"/>
      <c r="C436" s="2" t="n"/>
      <c r="D436" s="2" t="n"/>
      <c r="E436" s="2" t="n"/>
      <c r="F436" s="2" t="n"/>
      <c r="G436" s="2" t="n"/>
      <c r="H436" s="2" t="n"/>
      <c r="I436" s="2" t="n"/>
      <c r="J436" s="2" t="n"/>
      <c r="K436" s="2" t="n"/>
      <c r="L436" s="2" t="n"/>
      <c r="M436" s="2" t="n"/>
      <c r="N436" s="2" t="n"/>
      <c r="O436" s="2" t="n"/>
      <c r="P436" s="2" t="n"/>
      <c r="Q436" s="2">
        <f>IF(G436="","",TODAY()-G436)</f>
        <v/>
      </c>
    </row>
    <row r="437">
      <c r="A437" s="2" t="n"/>
      <c r="B437" s="2" t="n"/>
      <c r="C437" s="2" t="n"/>
      <c r="D437" s="2" t="n"/>
      <c r="E437" s="2" t="n"/>
      <c r="F437" s="2" t="n"/>
      <c r="G437" s="2" t="n"/>
      <c r="H437" s="2" t="n"/>
      <c r="I437" s="2" t="n"/>
      <c r="J437" s="2" t="n"/>
      <c r="K437" s="2" t="n"/>
      <c r="L437" s="2" t="n"/>
      <c r="M437" s="2" t="n"/>
      <c r="N437" s="2" t="n"/>
      <c r="O437" s="2" t="n"/>
      <c r="P437" s="2" t="n"/>
      <c r="Q437" s="2">
        <f>IF(G437="","",TODAY()-G437)</f>
        <v/>
      </c>
    </row>
    <row r="438">
      <c r="A438" s="2" t="n"/>
      <c r="B438" s="2" t="n"/>
      <c r="C438" s="2" t="n"/>
      <c r="D438" s="2" t="n"/>
      <c r="E438" s="2" t="n"/>
      <c r="F438" s="2" t="n"/>
      <c r="G438" s="2" t="n"/>
      <c r="H438" s="2" t="n"/>
      <c r="I438" s="2" t="n"/>
      <c r="J438" s="2" t="n"/>
      <c r="K438" s="2" t="n"/>
      <c r="L438" s="2" t="n"/>
      <c r="M438" s="2" t="n"/>
      <c r="N438" s="2" t="n"/>
      <c r="O438" s="2" t="n"/>
      <c r="P438" s="2" t="n"/>
      <c r="Q438" s="2">
        <f>IF(G438="","",TODAY()-G438)</f>
        <v/>
      </c>
    </row>
    <row r="439">
      <c r="A439" s="2" t="n"/>
      <c r="B439" s="2" t="n"/>
      <c r="C439" s="2" t="n"/>
      <c r="D439" s="2" t="n"/>
      <c r="E439" s="2" t="n"/>
      <c r="F439" s="2" t="n"/>
      <c r="G439" s="2" t="n"/>
      <c r="H439" s="2" t="n"/>
      <c r="I439" s="2" t="n"/>
      <c r="J439" s="2" t="n"/>
      <c r="K439" s="2" t="n"/>
      <c r="L439" s="2" t="n"/>
      <c r="M439" s="2" t="n"/>
      <c r="N439" s="2" t="n"/>
      <c r="O439" s="2" t="n"/>
      <c r="P439" s="2" t="n"/>
      <c r="Q439" s="2">
        <f>IF(G439="","",TODAY()-G439)</f>
        <v/>
      </c>
    </row>
    <row r="440">
      <c r="A440" s="2" t="n"/>
      <c r="B440" s="2" t="n"/>
      <c r="C440" s="2" t="n"/>
      <c r="D440" s="2" t="n"/>
      <c r="E440" s="2" t="n"/>
      <c r="F440" s="2" t="n"/>
      <c r="G440" s="2" t="n"/>
      <c r="H440" s="2" t="n"/>
      <c r="I440" s="2" t="n"/>
      <c r="J440" s="2" t="n"/>
      <c r="K440" s="2" t="n"/>
      <c r="L440" s="2" t="n"/>
      <c r="M440" s="2" t="n"/>
      <c r="N440" s="2" t="n"/>
      <c r="O440" s="2" t="n"/>
      <c r="P440" s="2" t="n"/>
      <c r="Q440" s="2">
        <f>IF(G440="","",TODAY()-G440)</f>
        <v/>
      </c>
    </row>
    <row r="441">
      <c r="A441" s="2" t="n"/>
      <c r="B441" s="2" t="n"/>
      <c r="C441" s="2" t="n"/>
      <c r="D441" s="2" t="n"/>
      <c r="E441" s="2" t="n"/>
      <c r="F441" s="2" t="n"/>
      <c r="G441" s="2" t="n"/>
      <c r="H441" s="2" t="n"/>
      <c r="I441" s="2" t="n"/>
      <c r="J441" s="2" t="n"/>
      <c r="K441" s="2" t="n"/>
      <c r="L441" s="2" t="n"/>
      <c r="M441" s="2" t="n"/>
      <c r="N441" s="2" t="n"/>
      <c r="O441" s="2" t="n"/>
      <c r="P441" s="2" t="n"/>
      <c r="Q441" s="2">
        <f>IF(G441="","",TODAY()-G441)</f>
        <v/>
      </c>
    </row>
    <row r="442">
      <c r="A442" s="2" t="n"/>
      <c r="B442" s="2" t="n"/>
      <c r="C442" s="2" t="n"/>
      <c r="D442" s="2" t="n"/>
      <c r="E442" s="2" t="n"/>
      <c r="F442" s="2" t="n"/>
      <c r="G442" s="2" t="n"/>
      <c r="H442" s="2" t="n"/>
      <c r="I442" s="2" t="n"/>
      <c r="J442" s="2" t="n"/>
      <c r="K442" s="2" t="n"/>
      <c r="L442" s="2" t="n"/>
      <c r="M442" s="2" t="n"/>
      <c r="N442" s="2" t="n"/>
      <c r="O442" s="2" t="n"/>
      <c r="P442" s="2" t="n"/>
      <c r="Q442" s="2">
        <f>IF(G442="","",TODAY()-G442)</f>
        <v/>
      </c>
    </row>
    <row r="443">
      <c r="A443" s="2" t="n"/>
      <c r="B443" s="2" t="n"/>
      <c r="C443" s="2" t="n"/>
      <c r="D443" s="2" t="n"/>
      <c r="E443" s="2" t="n"/>
      <c r="F443" s="2" t="n"/>
      <c r="G443" s="2" t="n"/>
      <c r="H443" s="2" t="n"/>
      <c r="I443" s="2" t="n"/>
      <c r="J443" s="2" t="n"/>
      <c r="K443" s="2" t="n"/>
      <c r="L443" s="2" t="n"/>
      <c r="M443" s="2" t="n"/>
      <c r="N443" s="2" t="n"/>
      <c r="O443" s="2" t="n"/>
      <c r="P443" s="2" t="n"/>
      <c r="Q443" s="2">
        <f>IF(G443="","",TODAY()-G443)</f>
        <v/>
      </c>
    </row>
    <row r="444">
      <c r="A444" s="2" t="n"/>
      <c r="B444" s="2" t="n"/>
      <c r="C444" s="2" t="n"/>
      <c r="D444" s="2" t="n"/>
      <c r="E444" s="2" t="n"/>
      <c r="F444" s="2" t="n"/>
      <c r="G444" s="2" t="n"/>
      <c r="H444" s="2" t="n"/>
      <c r="I444" s="2" t="n"/>
      <c r="J444" s="2" t="n"/>
      <c r="K444" s="2" t="n"/>
      <c r="L444" s="2" t="n"/>
      <c r="M444" s="2" t="n"/>
      <c r="N444" s="2" t="n"/>
      <c r="O444" s="2" t="n"/>
      <c r="P444" s="2" t="n"/>
      <c r="Q444" s="2">
        <f>IF(G444="","",TODAY()-G444)</f>
        <v/>
      </c>
    </row>
    <row r="445">
      <c r="A445" s="2" t="n"/>
      <c r="B445" s="2" t="n"/>
      <c r="C445" s="2" t="n"/>
      <c r="D445" s="2" t="n"/>
      <c r="E445" s="2" t="n"/>
      <c r="F445" s="2" t="n"/>
      <c r="G445" s="2" t="n"/>
      <c r="H445" s="2" t="n"/>
      <c r="I445" s="2" t="n"/>
      <c r="J445" s="2" t="n"/>
      <c r="K445" s="2" t="n"/>
      <c r="L445" s="2" t="n"/>
      <c r="M445" s="2" t="n"/>
      <c r="N445" s="2" t="n"/>
      <c r="O445" s="2" t="n"/>
      <c r="P445" s="2" t="n"/>
      <c r="Q445" s="2">
        <f>IF(G445="","",TODAY()-G445)</f>
        <v/>
      </c>
    </row>
    <row r="446">
      <c r="A446" s="2" t="n"/>
      <c r="B446" s="2" t="n"/>
      <c r="C446" s="2" t="n"/>
      <c r="D446" s="2" t="n"/>
      <c r="E446" s="2" t="n"/>
      <c r="F446" s="2" t="n"/>
      <c r="G446" s="2" t="n"/>
      <c r="H446" s="2" t="n"/>
      <c r="I446" s="2" t="n"/>
      <c r="J446" s="2" t="n"/>
      <c r="K446" s="2" t="n"/>
      <c r="L446" s="2" t="n"/>
      <c r="M446" s="2" t="n"/>
      <c r="N446" s="2" t="n"/>
      <c r="O446" s="2" t="n"/>
      <c r="P446" s="2" t="n"/>
      <c r="Q446" s="2">
        <f>IF(G446="","",TODAY()-G446)</f>
        <v/>
      </c>
    </row>
    <row r="447">
      <c r="A447" s="2" t="n"/>
      <c r="B447" s="2" t="n"/>
      <c r="C447" s="2" t="n"/>
      <c r="D447" s="2" t="n"/>
      <c r="E447" s="2" t="n"/>
      <c r="F447" s="2" t="n"/>
      <c r="G447" s="2" t="n"/>
      <c r="H447" s="2" t="n"/>
      <c r="I447" s="2" t="n"/>
      <c r="J447" s="2" t="n"/>
      <c r="K447" s="2" t="n"/>
      <c r="L447" s="2" t="n"/>
      <c r="M447" s="2" t="n"/>
      <c r="N447" s="2" t="n"/>
      <c r="O447" s="2" t="n"/>
      <c r="P447" s="2" t="n"/>
      <c r="Q447" s="2">
        <f>IF(G447="","",TODAY()-G447)</f>
        <v/>
      </c>
    </row>
    <row r="448">
      <c r="A448" s="2" t="n"/>
      <c r="B448" s="2" t="n"/>
      <c r="C448" s="2" t="n"/>
      <c r="D448" s="2" t="n"/>
      <c r="E448" s="2" t="n"/>
      <c r="F448" s="2" t="n"/>
      <c r="G448" s="2" t="n"/>
      <c r="H448" s="2" t="n"/>
      <c r="I448" s="2" t="n"/>
      <c r="J448" s="2" t="n"/>
      <c r="K448" s="2" t="n"/>
      <c r="L448" s="2" t="n"/>
      <c r="M448" s="2" t="n"/>
      <c r="N448" s="2" t="n"/>
      <c r="O448" s="2" t="n"/>
      <c r="P448" s="2" t="n"/>
      <c r="Q448" s="2">
        <f>IF(G448="","",TODAY()-G448)</f>
        <v/>
      </c>
    </row>
    <row r="449">
      <c r="A449" s="2" t="n"/>
      <c r="B449" s="2" t="n"/>
      <c r="C449" s="2" t="n"/>
      <c r="D449" s="2" t="n"/>
      <c r="E449" s="2" t="n"/>
      <c r="F449" s="2" t="n"/>
      <c r="G449" s="2" t="n"/>
      <c r="H449" s="2" t="n"/>
      <c r="I449" s="2" t="n"/>
      <c r="J449" s="2" t="n"/>
      <c r="K449" s="2" t="n"/>
      <c r="L449" s="2" t="n"/>
      <c r="M449" s="2" t="n"/>
      <c r="N449" s="2" t="n"/>
      <c r="O449" s="2" t="n"/>
      <c r="P449" s="2" t="n"/>
      <c r="Q449" s="2">
        <f>IF(G449="","",TODAY()-G449)</f>
        <v/>
      </c>
    </row>
    <row r="450">
      <c r="A450" s="2" t="n"/>
      <c r="B450" s="2" t="n"/>
      <c r="C450" s="2" t="n"/>
      <c r="D450" s="2" t="n"/>
      <c r="E450" s="2" t="n"/>
      <c r="F450" s="2" t="n"/>
      <c r="G450" s="2" t="n"/>
      <c r="H450" s="2" t="n"/>
      <c r="I450" s="2" t="n"/>
      <c r="J450" s="2" t="n"/>
      <c r="K450" s="2" t="n"/>
      <c r="L450" s="2" t="n"/>
      <c r="M450" s="2" t="n"/>
      <c r="N450" s="2" t="n"/>
      <c r="O450" s="2" t="n"/>
      <c r="P450" s="2" t="n"/>
      <c r="Q450" s="2">
        <f>IF(G450="","",TODAY()-G450)</f>
        <v/>
      </c>
    </row>
    <row r="451">
      <c r="A451" s="2" t="n"/>
      <c r="B451" s="2" t="n"/>
      <c r="C451" s="2" t="n"/>
      <c r="D451" s="2" t="n"/>
      <c r="E451" s="2" t="n"/>
      <c r="F451" s="2" t="n"/>
      <c r="G451" s="2" t="n"/>
      <c r="H451" s="2" t="n"/>
      <c r="I451" s="2" t="n"/>
      <c r="J451" s="2" t="n"/>
      <c r="K451" s="2" t="n"/>
      <c r="L451" s="2" t="n"/>
      <c r="M451" s="2" t="n"/>
      <c r="N451" s="2" t="n"/>
      <c r="O451" s="2" t="n"/>
      <c r="P451" s="2" t="n"/>
      <c r="Q451" s="2">
        <f>IF(G451="","",TODAY()-G451)</f>
        <v/>
      </c>
    </row>
    <row r="452">
      <c r="A452" s="2" t="n"/>
      <c r="B452" s="2" t="n"/>
      <c r="C452" s="2" t="n"/>
      <c r="D452" s="2" t="n"/>
      <c r="E452" s="2" t="n"/>
      <c r="F452" s="2" t="n"/>
      <c r="G452" s="2" t="n"/>
      <c r="H452" s="2" t="n"/>
      <c r="I452" s="2" t="n"/>
      <c r="J452" s="2" t="n"/>
      <c r="K452" s="2" t="n"/>
      <c r="L452" s="2" t="n"/>
      <c r="M452" s="2" t="n"/>
      <c r="N452" s="2" t="n"/>
      <c r="O452" s="2" t="n"/>
      <c r="P452" s="2" t="n"/>
      <c r="Q452" s="2">
        <f>IF(G452="","",TODAY()-G452)</f>
        <v/>
      </c>
    </row>
    <row r="453">
      <c r="A453" s="2" t="n"/>
      <c r="B453" s="2" t="n"/>
      <c r="C453" s="2" t="n"/>
      <c r="D453" s="2" t="n"/>
      <c r="E453" s="2" t="n"/>
      <c r="F453" s="2" t="n"/>
      <c r="G453" s="2" t="n"/>
      <c r="H453" s="2" t="n"/>
      <c r="I453" s="2" t="n"/>
      <c r="J453" s="2" t="n"/>
      <c r="K453" s="2" t="n"/>
      <c r="L453" s="2" t="n"/>
      <c r="M453" s="2" t="n"/>
      <c r="N453" s="2" t="n"/>
      <c r="O453" s="2" t="n"/>
      <c r="P453" s="2" t="n"/>
      <c r="Q453" s="2">
        <f>IF(G453="","",TODAY()-G453)</f>
        <v/>
      </c>
    </row>
    <row r="454">
      <c r="A454" s="2" t="n"/>
      <c r="B454" s="2" t="n"/>
      <c r="C454" s="2" t="n"/>
      <c r="D454" s="2" t="n"/>
      <c r="E454" s="2" t="n"/>
      <c r="F454" s="2" t="n"/>
      <c r="G454" s="2" t="n"/>
      <c r="H454" s="2" t="n"/>
      <c r="I454" s="2" t="n"/>
      <c r="J454" s="2" t="n"/>
      <c r="K454" s="2" t="n"/>
      <c r="L454" s="2" t="n"/>
      <c r="M454" s="2" t="n"/>
      <c r="N454" s="2" t="n"/>
      <c r="O454" s="2" t="n"/>
      <c r="P454" s="2" t="n"/>
      <c r="Q454" s="2">
        <f>IF(G454="","",TODAY()-G454)</f>
        <v/>
      </c>
    </row>
    <row r="455">
      <c r="A455" s="2" t="n"/>
      <c r="B455" s="2" t="n"/>
      <c r="C455" s="2" t="n"/>
      <c r="D455" s="2" t="n"/>
      <c r="E455" s="2" t="n"/>
      <c r="F455" s="2" t="n"/>
      <c r="G455" s="2" t="n"/>
      <c r="H455" s="2" t="n"/>
      <c r="I455" s="2" t="n"/>
      <c r="J455" s="2" t="n"/>
      <c r="K455" s="2" t="n"/>
      <c r="L455" s="2" t="n"/>
      <c r="M455" s="2" t="n"/>
      <c r="N455" s="2" t="n"/>
      <c r="O455" s="2" t="n"/>
      <c r="P455" s="2" t="n"/>
      <c r="Q455" s="2">
        <f>IF(G455="","",TODAY()-G455)</f>
        <v/>
      </c>
    </row>
    <row r="456">
      <c r="A456" s="2" t="n"/>
      <c r="B456" s="2" t="n"/>
      <c r="C456" s="2" t="n"/>
      <c r="D456" s="2" t="n"/>
      <c r="E456" s="2" t="n"/>
      <c r="F456" s="2" t="n"/>
      <c r="G456" s="2" t="n"/>
      <c r="H456" s="2" t="n"/>
      <c r="I456" s="2" t="n"/>
      <c r="J456" s="2" t="n"/>
      <c r="K456" s="2" t="n"/>
      <c r="L456" s="2" t="n"/>
      <c r="M456" s="2" t="n"/>
      <c r="N456" s="2" t="n"/>
      <c r="O456" s="2" t="n"/>
      <c r="P456" s="2" t="n"/>
      <c r="Q456" s="2">
        <f>IF(G456="","",TODAY()-G456)</f>
        <v/>
      </c>
    </row>
    <row r="457">
      <c r="A457" s="2" t="n"/>
      <c r="B457" s="2" t="n"/>
      <c r="C457" s="2" t="n"/>
      <c r="D457" s="2" t="n"/>
      <c r="E457" s="2" t="n"/>
      <c r="F457" s="2" t="n"/>
      <c r="G457" s="2" t="n"/>
      <c r="H457" s="2" t="n"/>
      <c r="I457" s="2" t="n"/>
      <c r="J457" s="2" t="n"/>
      <c r="K457" s="2" t="n"/>
      <c r="L457" s="2" t="n"/>
      <c r="M457" s="2" t="n"/>
      <c r="N457" s="2" t="n"/>
      <c r="O457" s="2" t="n"/>
      <c r="P457" s="2" t="n"/>
      <c r="Q457" s="2">
        <f>IF(G457="","",TODAY()-G457)</f>
        <v/>
      </c>
    </row>
    <row r="458">
      <c r="A458" s="2" t="n"/>
      <c r="B458" s="2" t="n"/>
      <c r="C458" s="2" t="n"/>
      <c r="D458" s="2" t="n"/>
      <c r="E458" s="2" t="n"/>
      <c r="F458" s="2" t="n"/>
      <c r="G458" s="2" t="n"/>
      <c r="H458" s="2" t="n"/>
      <c r="I458" s="2" t="n"/>
      <c r="J458" s="2" t="n"/>
      <c r="K458" s="2" t="n"/>
      <c r="L458" s="2" t="n"/>
      <c r="M458" s="2" t="n"/>
      <c r="N458" s="2" t="n"/>
      <c r="O458" s="2" t="n"/>
      <c r="P458" s="2" t="n"/>
      <c r="Q458" s="2">
        <f>IF(G458="","",TODAY()-G458)</f>
        <v/>
      </c>
    </row>
    <row r="459">
      <c r="A459" s="2" t="n"/>
      <c r="B459" s="2" t="n"/>
      <c r="C459" s="2" t="n"/>
      <c r="D459" s="2" t="n"/>
      <c r="E459" s="2" t="n"/>
      <c r="F459" s="2" t="n"/>
      <c r="G459" s="2" t="n"/>
      <c r="H459" s="2" t="n"/>
      <c r="I459" s="2" t="n"/>
      <c r="J459" s="2" t="n"/>
      <c r="K459" s="2" t="n"/>
      <c r="L459" s="2" t="n"/>
      <c r="M459" s="2" t="n"/>
      <c r="N459" s="2" t="n"/>
      <c r="O459" s="2" t="n"/>
      <c r="P459" s="2" t="n"/>
      <c r="Q459" s="2">
        <f>IF(G459="","",TODAY()-G459)</f>
        <v/>
      </c>
    </row>
    <row r="460">
      <c r="A460" s="2" t="n"/>
      <c r="B460" s="2" t="n"/>
      <c r="C460" s="2" t="n"/>
      <c r="D460" s="2" t="n"/>
      <c r="E460" s="2" t="n"/>
      <c r="F460" s="2" t="n"/>
      <c r="G460" s="2" t="n"/>
      <c r="H460" s="2" t="n"/>
      <c r="I460" s="2" t="n"/>
      <c r="J460" s="2" t="n"/>
      <c r="K460" s="2" t="n"/>
      <c r="L460" s="2" t="n"/>
      <c r="M460" s="2" t="n"/>
      <c r="N460" s="2" t="n"/>
      <c r="O460" s="2" t="n"/>
      <c r="P460" s="2" t="n"/>
      <c r="Q460" s="2">
        <f>IF(G460="","",TODAY()-G460)</f>
        <v/>
      </c>
    </row>
    <row r="461">
      <c r="A461" s="2" t="n"/>
      <c r="B461" s="2" t="n"/>
      <c r="C461" s="2" t="n"/>
      <c r="D461" s="2" t="n"/>
      <c r="E461" s="2" t="n"/>
      <c r="F461" s="2" t="n"/>
      <c r="G461" s="2" t="n"/>
      <c r="H461" s="2" t="n"/>
      <c r="I461" s="2" t="n"/>
      <c r="J461" s="2" t="n"/>
      <c r="K461" s="2" t="n"/>
      <c r="L461" s="2" t="n"/>
      <c r="M461" s="2" t="n"/>
      <c r="N461" s="2" t="n"/>
      <c r="O461" s="2" t="n"/>
      <c r="P461" s="2" t="n"/>
      <c r="Q461" s="2">
        <f>IF(G461="","",TODAY()-G461)</f>
        <v/>
      </c>
    </row>
    <row r="462">
      <c r="A462" s="2" t="n"/>
      <c r="B462" s="2" t="n"/>
      <c r="C462" s="2" t="n"/>
      <c r="D462" s="2" t="n"/>
      <c r="E462" s="2" t="n"/>
      <c r="F462" s="2" t="n"/>
      <c r="G462" s="2" t="n"/>
      <c r="H462" s="2" t="n"/>
      <c r="I462" s="2" t="n"/>
      <c r="J462" s="2" t="n"/>
      <c r="K462" s="2" t="n"/>
      <c r="L462" s="2" t="n"/>
      <c r="M462" s="2" t="n"/>
      <c r="N462" s="2" t="n"/>
      <c r="O462" s="2" t="n"/>
      <c r="P462" s="2" t="n"/>
      <c r="Q462" s="2">
        <f>IF(G462="","",TODAY()-G462)</f>
        <v/>
      </c>
    </row>
    <row r="463">
      <c r="A463" s="2" t="n"/>
      <c r="B463" s="2" t="n"/>
      <c r="C463" s="2" t="n"/>
      <c r="D463" s="2" t="n"/>
      <c r="E463" s="2" t="n"/>
      <c r="F463" s="2" t="n"/>
      <c r="G463" s="2" t="n"/>
      <c r="H463" s="2" t="n"/>
      <c r="I463" s="2" t="n"/>
      <c r="J463" s="2" t="n"/>
      <c r="K463" s="2" t="n"/>
      <c r="L463" s="2" t="n"/>
      <c r="M463" s="2" t="n"/>
      <c r="N463" s="2" t="n"/>
      <c r="O463" s="2" t="n"/>
      <c r="P463" s="2" t="n"/>
      <c r="Q463" s="2">
        <f>IF(G463="","",TODAY()-G463)</f>
        <v/>
      </c>
    </row>
    <row r="464">
      <c r="A464" s="2" t="n"/>
      <c r="B464" s="2" t="n"/>
      <c r="C464" s="2" t="n"/>
      <c r="D464" s="2" t="n"/>
      <c r="E464" s="2" t="n"/>
      <c r="F464" s="2" t="n"/>
      <c r="G464" s="2" t="n"/>
      <c r="H464" s="2" t="n"/>
      <c r="I464" s="2" t="n"/>
      <c r="J464" s="2" t="n"/>
      <c r="K464" s="2" t="n"/>
      <c r="L464" s="2" t="n"/>
      <c r="M464" s="2" t="n"/>
      <c r="N464" s="2" t="n"/>
      <c r="O464" s="2" t="n"/>
      <c r="P464" s="2" t="n"/>
      <c r="Q464" s="2">
        <f>IF(G464="","",TODAY()-G464)</f>
        <v/>
      </c>
    </row>
    <row r="465">
      <c r="A465" s="2" t="n"/>
      <c r="B465" s="2" t="n"/>
      <c r="C465" s="2" t="n"/>
      <c r="D465" s="2" t="n"/>
      <c r="E465" s="2" t="n"/>
      <c r="F465" s="2" t="n"/>
      <c r="G465" s="2" t="n"/>
      <c r="H465" s="2" t="n"/>
      <c r="I465" s="2" t="n"/>
      <c r="J465" s="2" t="n"/>
      <c r="K465" s="2" t="n"/>
      <c r="L465" s="2" t="n"/>
      <c r="M465" s="2" t="n"/>
      <c r="N465" s="2" t="n"/>
      <c r="O465" s="2" t="n"/>
      <c r="P465" s="2" t="n"/>
      <c r="Q465" s="2">
        <f>IF(G465="","",TODAY()-G465)</f>
        <v/>
      </c>
    </row>
    <row r="466">
      <c r="A466" s="2" t="n"/>
      <c r="B466" s="2" t="n"/>
      <c r="C466" s="2" t="n"/>
      <c r="D466" s="2" t="n"/>
      <c r="E466" s="2" t="n"/>
      <c r="F466" s="2" t="n"/>
      <c r="G466" s="2" t="n"/>
      <c r="H466" s="2" t="n"/>
      <c r="I466" s="2" t="n"/>
      <c r="J466" s="2" t="n"/>
      <c r="K466" s="2" t="n"/>
      <c r="L466" s="2" t="n"/>
      <c r="M466" s="2" t="n"/>
      <c r="N466" s="2" t="n"/>
      <c r="O466" s="2" t="n"/>
      <c r="P466" s="2" t="n"/>
      <c r="Q466" s="2">
        <f>IF(G466="","",TODAY()-G466)</f>
        <v/>
      </c>
    </row>
    <row r="467">
      <c r="A467" s="2" t="n"/>
      <c r="B467" s="2" t="n"/>
      <c r="C467" s="2" t="n"/>
      <c r="D467" s="2" t="n"/>
      <c r="E467" s="2" t="n"/>
      <c r="F467" s="2" t="n"/>
      <c r="G467" s="2" t="n"/>
      <c r="H467" s="2" t="n"/>
      <c r="I467" s="2" t="n"/>
      <c r="J467" s="2" t="n"/>
      <c r="K467" s="2" t="n"/>
      <c r="L467" s="2" t="n"/>
      <c r="M467" s="2" t="n"/>
      <c r="N467" s="2" t="n"/>
      <c r="O467" s="2" t="n"/>
      <c r="P467" s="2" t="n"/>
      <c r="Q467" s="2">
        <f>IF(G467="","",TODAY()-G467)</f>
        <v/>
      </c>
    </row>
    <row r="468">
      <c r="A468" s="2" t="n"/>
      <c r="B468" s="2" t="n"/>
      <c r="C468" s="2" t="n"/>
      <c r="D468" s="2" t="n"/>
      <c r="E468" s="2" t="n"/>
      <c r="F468" s="2" t="n"/>
      <c r="G468" s="2" t="n"/>
      <c r="H468" s="2" t="n"/>
      <c r="I468" s="2" t="n"/>
      <c r="J468" s="2" t="n"/>
      <c r="K468" s="2" t="n"/>
      <c r="L468" s="2" t="n"/>
      <c r="M468" s="2" t="n"/>
      <c r="N468" s="2" t="n"/>
      <c r="O468" s="2" t="n"/>
      <c r="P468" s="2" t="n"/>
      <c r="Q468" s="2">
        <f>IF(G468="","",TODAY()-G468)</f>
        <v/>
      </c>
    </row>
    <row r="469">
      <c r="A469" s="2" t="n"/>
      <c r="B469" s="2" t="n"/>
      <c r="C469" s="2" t="n"/>
      <c r="D469" s="2" t="n"/>
      <c r="E469" s="2" t="n"/>
      <c r="F469" s="2" t="n"/>
      <c r="G469" s="2" t="n"/>
      <c r="H469" s="2" t="n"/>
      <c r="I469" s="2" t="n"/>
      <c r="J469" s="2" t="n"/>
      <c r="K469" s="2" t="n"/>
      <c r="L469" s="2" t="n"/>
      <c r="M469" s="2" t="n"/>
      <c r="N469" s="2" t="n"/>
      <c r="O469" s="2" t="n"/>
      <c r="P469" s="2" t="n"/>
      <c r="Q469" s="2">
        <f>IF(G469="","",TODAY()-G469)</f>
        <v/>
      </c>
    </row>
    <row r="470">
      <c r="A470" s="2" t="n"/>
      <c r="B470" s="2" t="n"/>
      <c r="C470" s="2" t="n"/>
      <c r="D470" s="2" t="n"/>
      <c r="E470" s="2" t="n"/>
      <c r="F470" s="2" t="n"/>
      <c r="G470" s="2" t="n"/>
      <c r="H470" s="2" t="n"/>
      <c r="I470" s="2" t="n"/>
      <c r="J470" s="2" t="n"/>
      <c r="K470" s="2" t="n"/>
      <c r="L470" s="2" t="n"/>
      <c r="M470" s="2" t="n"/>
      <c r="N470" s="2" t="n"/>
      <c r="O470" s="2" t="n"/>
      <c r="P470" s="2" t="n"/>
      <c r="Q470" s="2">
        <f>IF(G470="","",TODAY()-G470)</f>
        <v/>
      </c>
    </row>
    <row r="471">
      <c r="A471" s="2" t="n"/>
      <c r="B471" s="2" t="n"/>
      <c r="C471" s="2" t="n"/>
      <c r="D471" s="2" t="n"/>
      <c r="E471" s="2" t="n"/>
      <c r="F471" s="2" t="n"/>
      <c r="G471" s="2" t="n"/>
      <c r="H471" s="2" t="n"/>
      <c r="I471" s="2" t="n"/>
      <c r="J471" s="2" t="n"/>
      <c r="K471" s="2" t="n"/>
      <c r="L471" s="2" t="n"/>
      <c r="M471" s="2" t="n"/>
      <c r="N471" s="2" t="n"/>
      <c r="O471" s="2" t="n"/>
      <c r="P471" s="2" t="n"/>
      <c r="Q471" s="2">
        <f>IF(G471="","",TODAY()-G471)</f>
        <v/>
      </c>
    </row>
    <row r="472">
      <c r="A472" s="2" t="n"/>
      <c r="B472" s="2" t="n"/>
      <c r="C472" s="2" t="n"/>
      <c r="D472" s="2" t="n"/>
      <c r="E472" s="2" t="n"/>
      <c r="F472" s="2" t="n"/>
      <c r="G472" s="2" t="n"/>
      <c r="H472" s="2" t="n"/>
      <c r="I472" s="2" t="n"/>
      <c r="J472" s="2" t="n"/>
      <c r="K472" s="2" t="n"/>
      <c r="L472" s="2" t="n"/>
      <c r="M472" s="2" t="n"/>
      <c r="N472" s="2" t="n"/>
      <c r="O472" s="2" t="n"/>
      <c r="P472" s="2" t="n"/>
      <c r="Q472" s="2">
        <f>IF(G472="","",TODAY()-G472)</f>
        <v/>
      </c>
    </row>
    <row r="473">
      <c r="A473" s="2" t="n"/>
      <c r="B473" s="2" t="n"/>
      <c r="C473" s="2" t="n"/>
      <c r="D473" s="2" t="n"/>
      <c r="E473" s="2" t="n"/>
      <c r="F473" s="2" t="n"/>
      <c r="G473" s="2" t="n"/>
      <c r="H473" s="2" t="n"/>
      <c r="I473" s="2" t="n"/>
      <c r="J473" s="2" t="n"/>
      <c r="K473" s="2" t="n"/>
      <c r="L473" s="2" t="n"/>
      <c r="M473" s="2" t="n"/>
      <c r="N473" s="2" t="n"/>
      <c r="O473" s="2" t="n"/>
      <c r="P473" s="2" t="n"/>
      <c r="Q473" s="2">
        <f>IF(G473="","",TODAY()-G473)</f>
        <v/>
      </c>
    </row>
    <row r="474">
      <c r="A474" s="2" t="n"/>
      <c r="B474" s="2" t="n"/>
      <c r="C474" s="2" t="n"/>
      <c r="D474" s="2" t="n"/>
      <c r="E474" s="2" t="n"/>
      <c r="F474" s="2" t="n"/>
      <c r="G474" s="2" t="n"/>
      <c r="H474" s="2" t="n"/>
      <c r="I474" s="2" t="n"/>
      <c r="J474" s="2" t="n"/>
      <c r="K474" s="2" t="n"/>
      <c r="L474" s="2" t="n"/>
      <c r="M474" s="2" t="n"/>
      <c r="N474" s="2" t="n"/>
      <c r="O474" s="2" t="n"/>
      <c r="P474" s="2" t="n"/>
      <c r="Q474" s="2">
        <f>IF(G474="","",TODAY()-G474)</f>
        <v/>
      </c>
    </row>
    <row r="475">
      <c r="A475" s="2" t="n"/>
      <c r="B475" s="2" t="n"/>
      <c r="C475" s="2" t="n"/>
      <c r="D475" s="2" t="n"/>
      <c r="E475" s="2" t="n"/>
      <c r="F475" s="2" t="n"/>
      <c r="G475" s="2" t="n"/>
      <c r="H475" s="2" t="n"/>
      <c r="I475" s="2" t="n"/>
      <c r="J475" s="2" t="n"/>
      <c r="K475" s="2" t="n"/>
      <c r="L475" s="2" t="n"/>
      <c r="M475" s="2" t="n"/>
      <c r="N475" s="2" t="n"/>
      <c r="O475" s="2" t="n"/>
      <c r="P475" s="2" t="n"/>
      <c r="Q475" s="2">
        <f>IF(G475="","",TODAY()-G475)</f>
        <v/>
      </c>
    </row>
    <row r="476">
      <c r="A476" s="2" t="n"/>
      <c r="B476" s="2" t="n"/>
      <c r="C476" s="2" t="n"/>
      <c r="D476" s="2" t="n"/>
      <c r="E476" s="2" t="n"/>
      <c r="F476" s="2" t="n"/>
      <c r="G476" s="2" t="n"/>
      <c r="H476" s="2" t="n"/>
      <c r="I476" s="2" t="n"/>
      <c r="J476" s="2" t="n"/>
      <c r="K476" s="2" t="n"/>
      <c r="L476" s="2" t="n"/>
      <c r="M476" s="2" t="n"/>
      <c r="N476" s="2" t="n"/>
      <c r="O476" s="2" t="n"/>
      <c r="P476" s="2" t="n"/>
      <c r="Q476" s="2">
        <f>IF(G476="","",TODAY()-G476)</f>
        <v/>
      </c>
    </row>
    <row r="477">
      <c r="A477" s="2" t="n"/>
      <c r="B477" s="2" t="n"/>
      <c r="C477" s="2" t="n"/>
      <c r="D477" s="2" t="n"/>
      <c r="E477" s="2" t="n"/>
      <c r="F477" s="2" t="n"/>
      <c r="G477" s="2" t="n"/>
      <c r="H477" s="2" t="n"/>
      <c r="I477" s="2" t="n"/>
      <c r="J477" s="2" t="n"/>
      <c r="K477" s="2" t="n"/>
      <c r="L477" s="2" t="n"/>
      <c r="M477" s="2" t="n"/>
      <c r="N477" s="2" t="n"/>
      <c r="O477" s="2" t="n"/>
      <c r="P477" s="2" t="n"/>
      <c r="Q477" s="2">
        <f>IF(G477="","",TODAY()-G477)</f>
        <v/>
      </c>
    </row>
    <row r="478">
      <c r="A478" s="2" t="n"/>
      <c r="B478" s="2" t="n"/>
      <c r="C478" s="2" t="n"/>
      <c r="D478" s="2" t="n"/>
      <c r="E478" s="2" t="n"/>
      <c r="F478" s="2" t="n"/>
      <c r="G478" s="2" t="n"/>
      <c r="H478" s="2" t="n"/>
      <c r="I478" s="2" t="n"/>
      <c r="J478" s="2" t="n"/>
      <c r="K478" s="2" t="n"/>
      <c r="L478" s="2" t="n"/>
      <c r="M478" s="2" t="n"/>
      <c r="N478" s="2" t="n"/>
      <c r="O478" s="2" t="n"/>
      <c r="P478" s="2" t="n"/>
      <c r="Q478" s="2">
        <f>IF(G478="","",TODAY()-G478)</f>
        <v/>
      </c>
    </row>
    <row r="479">
      <c r="A479" s="2" t="n"/>
      <c r="B479" s="2" t="n"/>
      <c r="C479" s="2" t="n"/>
      <c r="D479" s="2" t="n"/>
      <c r="E479" s="2" t="n"/>
      <c r="F479" s="2" t="n"/>
      <c r="G479" s="2" t="n"/>
      <c r="H479" s="2" t="n"/>
      <c r="I479" s="2" t="n"/>
      <c r="J479" s="2" t="n"/>
      <c r="K479" s="2" t="n"/>
      <c r="L479" s="2" t="n"/>
      <c r="M479" s="2" t="n"/>
      <c r="N479" s="2" t="n"/>
      <c r="O479" s="2" t="n"/>
      <c r="P479" s="2" t="n"/>
      <c r="Q479" s="2">
        <f>IF(G479="","",TODAY()-G479)</f>
        <v/>
      </c>
    </row>
    <row r="480">
      <c r="A480" s="2" t="n"/>
      <c r="B480" s="2" t="n"/>
      <c r="C480" s="2" t="n"/>
      <c r="D480" s="2" t="n"/>
      <c r="E480" s="2" t="n"/>
      <c r="F480" s="2" t="n"/>
      <c r="G480" s="2" t="n"/>
      <c r="H480" s="2" t="n"/>
      <c r="I480" s="2" t="n"/>
      <c r="J480" s="2" t="n"/>
      <c r="K480" s="2" t="n"/>
      <c r="L480" s="2" t="n"/>
      <c r="M480" s="2" t="n"/>
      <c r="N480" s="2" t="n"/>
      <c r="O480" s="2" t="n"/>
      <c r="P480" s="2" t="n"/>
      <c r="Q480" s="2">
        <f>IF(G480="","",TODAY()-G480)</f>
        <v/>
      </c>
    </row>
    <row r="481">
      <c r="A481" s="2" t="n"/>
      <c r="B481" s="2" t="n"/>
      <c r="C481" s="2" t="n"/>
      <c r="D481" s="2" t="n"/>
      <c r="E481" s="2" t="n"/>
      <c r="F481" s="2" t="n"/>
      <c r="G481" s="2" t="n"/>
      <c r="H481" s="2" t="n"/>
      <c r="I481" s="2" t="n"/>
      <c r="J481" s="2" t="n"/>
      <c r="K481" s="2" t="n"/>
      <c r="L481" s="2" t="n"/>
      <c r="M481" s="2" t="n"/>
      <c r="N481" s="2" t="n"/>
      <c r="O481" s="2" t="n"/>
      <c r="P481" s="2" t="n"/>
      <c r="Q481" s="2">
        <f>IF(G481="","",TODAY()-G481)</f>
        <v/>
      </c>
    </row>
    <row r="482">
      <c r="A482" s="2" t="n"/>
      <c r="B482" s="2" t="n"/>
      <c r="C482" s="2" t="n"/>
      <c r="D482" s="2" t="n"/>
      <c r="E482" s="2" t="n"/>
      <c r="F482" s="2" t="n"/>
      <c r="G482" s="2" t="n"/>
      <c r="H482" s="2" t="n"/>
      <c r="I482" s="2" t="n"/>
      <c r="J482" s="2" t="n"/>
      <c r="K482" s="2" t="n"/>
      <c r="L482" s="2" t="n"/>
      <c r="M482" s="2" t="n"/>
      <c r="N482" s="2" t="n"/>
      <c r="O482" s="2" t="n"/>
      <c r="P482" s="2" t="n"/>
      <c r="Q482" s="2">
        <f>IF(G482="","",TODAY()-G482)</f>
        <v/>
      </c>
    </row>
    <row r="483">
      <c r="A483" s="2" t="n"/>
      <c r="B483" s="2" t="n"/>
      <c r="C483" s="2" t="n"/>
      <c r="D483" s="2" t="n"/>
      <c r="E483" s="2" t="n"/>
      <c r="F483" s="2" t="n"/>
      <c r="G483" s="2" t="n"/>
      <c r="H483" s="2" t="n"/>
      <c r="I483" s="2" t="n"/>
      <c r="J483" s="2" t="n"/>
      <c r="K483" s="2" t="n"/>
      <c r="L483" s="2" t="n"/>
      <c r="M483" s="2" t="n"/>
      <c r="N483" s="2" t="n"/>
      <c r="O483" s="2" t="n"/>
      <c r="P483" s="2" t="n"/>
      <c r="Q483" s="2">
        <f>IF(G483="","",TODAY()-G483)</f>
        <v/>
      </c>
    </row>
    <row r="484">
      <c r="A484" s="2" t="n"/>
      <c r="B484" s="2" t="n"/>
      <c r="C484" s="2" t="n"/>
      <c r="D484" s="2" t="n"/>
      <c r="E484" s="2" t="n"/>
      <c r="F484" s="2" t="n"/>
      <c r="G484" s="2" t="n"/>
      <c r="H484" s="2" t="n"/>
      <c r="I484" s="2" t="n"/>
      <c r="J484" s="2" t="n"/>
      <c r="K484" s="2" t="n"/>
      <c r="L484" s="2" t="n"/>
      <c r="M484" s="2" t="n"/>
      <c r="N484" s="2" t="n"/>
      <c r="O484" s="2" t="n"/>
      <c r="P484" s="2" t="n"/>
      <c r="Q484" s="2">
        <f>IF(G484="","",TODAY()-G484)</f>
        <v/>
      </c>
    </row>
    <row r="485">
      <c r="A485" s="2" t="n"/>
      <c r="B485" s="2" t="n"/>
      <c r="C485" s="2" t="n"/>
      <c r="D485" s="2" t="n"/>
      <c r="E485" s="2" t="n"/>
      <c r="F485" s="2" t="n"/>
      <c r="G485" s="2" t="n"/>
      <c r="H485" s="2" t="n"/>
      <c r="I485" s="2" t="n"/>
      <c r="J485" s="2" t="n"/>
      <c r="K485" s="2" t="n"/>
      <c r="L485" s="2" t="n"/>
      <c r="M485" s="2" t="n"/>
      <c r="N485" s="2" t="n"/>
      <c r="O485" s="2" t="n"/>
      <c r="P485" s="2" t="n"/>
      <c r="Q485" s="2">
        <f>IF(G485="","",TODAY()-G485)</f>
        <v/>
      </c>
    </row>
    <row r="486">
      <c r="A486" s="2" t="n"/>
      <c r="B486" s="2" t="n"/>
      <c r="C486" s="2" t="n"/>
      <c r="D486" s="2" t="n"/>
      <c r="E486" s="2" t="n"/>
      <c r="F486" s="2" t="n"/>
      <c r="G486" s="2" t="n"/>
      <c r="H486" s="2" t="n"/>
      <c r="I486" s="2" t="n"/>
      <c r="J486" s="2" t="n"/>
      <c r="K486" s="2" t="n"/>
      <c r="L486" s="2" t="n"/>
      <c r="M486" s="2" t="n"/>
      <c r="N486" s="2" t="n"/>
      <c r="O486" s="2" t="n"/>
      <c r="P486" s="2" t="n"/>
      <c r="Q486" s="2">
        <f>IF(G486="","",TODAY()-G486)</f>
        <v/>
      </c>
    </row>
    <row r="487">
      <c r="A487" s="2" t="n"/>
      <c r="B487" s="2" t="n"/>
      <c r="C487" s="2" t="n"/>
      <c r="D487" s="2" t="n"/>
      <c r="E487" s="2" t="n"/>
      <c r="F487" s="2" t="n"/>
      <c r="G487" s="2" t="n"/>
      <c r="H487" s="2" t="n"/>
      <c r="I487" s="2" t="n"/>
      <c r="J487" s="2" t="n"/>
      <c r="K487" s="2" t="n"/>
      <c r="L487" s="2" t="n"/>
      <c r="M487" s="2" t="n"/>
      <c r="N487" s="2" t="n"/>
      <c r="O487" s="2" t="n"/>
      <c r="P487" s="2" t="n"/>
      <c r="Q487" s="2">
        <f>IF(G487="","",TODAY()-G487)</f>
        <v/>
      </c>
    </row>
    <row r="488">
      <c r="A488" s="2" t="n"/>
      <c r="B488" s="2" t="n"/>
      <c r="C488" s="2" t="n"/>
      <c r="D488" s="2" t="n"/>
      <c r="E488" s="2" t="n"/>
      <c r="F488" s="2" t="n"/>
      <c r="G488" s="2" t="n"/>
      <c r="H488" s="2" t="n"/>
      <c r="I488" s="2" t="n"/>
      <c r="J488" s="2" t="n"/>
      <c r="K488" s="2" t="n"/>
      <c r="L488" s="2" t="n"/>
      <c r="M488" s="2" t="n"/>
      <c r="N488" s="2" t="n"/>
      <c r="O488" s="2" t="n"/>
      <c r="P488" s="2" t="n"/>
      <c r="Q488" s="2">
        <f>IF(G488="","",TODAY()-G488)</f>
        <v/>
      </c>
    </row>
    <row r="489">
      <c r="A489" s="2" t="n"/>
      <c r="B489" s="2" t="n"/>
      <c r="C489" s="2" t="n"/>
      <c r="D489" s="2" t="n"/>
      <c r="E489" s="2" t="n"/>
      <c r="F489" s="2" t="n"/>
      <c r="G489" s="2" t="n"/>
      <c r="H489" s="2" t="n"/>
      <c r="I489" s="2" t="n"/>
      <c r="J489" s="2" t="n"/>
      <c r="K489" s="2" t="n"/>
      <c r="L489" s="2" t="n"/>
      <c r="M489" s="2" t="n"/>
      <c r="N489" s="2" t="n"/>
      <c r="O489" s="2" t="n"/>
      <c r="P489" s="2" t="n"/>
      <c r="Q489" s="2">
        <f>IF(G489="","",TODAY()-G489)</f>
        <v/>
      </c>
    </row>
    <row r="490">
      <c r="A490" s="2" t="n"/>
      <c r="B490" s="2" t="n"/>
      <c r="C490" s="2" t="n"/>
      <c r="D490" s="2" t="n"/>
      <c r="E490" s="2" t="n"/>
      <c r="F490" s="2" t="n"/>
      <c r="G490" s="2" t="n"/>
      <c r="H490" s="2" t="n"/>
      <c r="I490" s="2" t="n"/>
      <c r="J490" s="2" t="n"/>
      <c r="K490" s="2" t="n"/>
      <c r="L490" s="2" t="n"/>
      <c r="M490" s="2" t="n"/>
      <c r="N490" s="2" t="n"/>
      <c r="O490" s="2" t="n"/>
      <c r="P490" s="2" t="n"/>
      <c r="Q490" s="2">
        <f>IF(G490="","",TODAY()-G490)</f>
        <v/>
      </c>
    </row>
    <row r="491">
      <c r="A491" s="2" t="n"/>
      <c r="B491" s="2" t="n"/>
      <c r="C491" s="2" t="n"/>
      <c r="D491" s="2" t="n"/>
      <c r="E491" s="2" t="n"/>
      <c r="F491" s="2" t="n"/>
      <c r="G491" s="2" t="n"/>
      <c r="H491" s="2" t="n"/>
      <c r="I491" s="2" t="n"/>
      <c r="J491" s="2" t="n"/>
      <c r="K491" s="2" t="n"/>
      <c r="L491" s="2" t="n"/>
      <c r="M491" s="2" t="n"/>
      <c r="N491" s="2" t="n"/>
      <c r="O491" s="2" t="n"/>
      <c r="P491" s="2" t="n"/>
      <c r="Q491" s="2">
        <f>IF(G491="","",TODAY()-G491)</f>
        <v/>
      </c>
    </row>
    <row r="492">
      <c r="A492" s="2" t="n"/>
      <c r="B492" s="2" t="n"/>
      <c r="C492" s="2" t="n"/>
      <c r="D492" s="2" t="n"/>
      <c r="E492" s="2" t="n"/>
      <c r="F492" s="2" t="n"/>
      <c r="G492" s="2" t="n"/>
      <c r="H492" s="2" t="n"/>
      <c r="I492" s="2" t="n"/>
      <c r="J492" s="2" t="n"/>
      <c r="K492" s="2" t="n"/>
      <c r="L492" s="2" t="n"/>
      <c r="M492" s="2" t="n"/>
      <c r="N492" s="2" t="n"/>
      <c r="O492" s="2" t="n"/>
      <c r="P492" s="2" t="n"/>
      <c r="Q492" s="2">
        <f>IF(G492="","",TODAY()-G492)</f>
        <v/>
      </c>
    </row>
    <row r="493">
      <c r="A493" s="2" t="n"/>
      <c r="B493" s="2" t="n"/>
      <c r="C493" s="2" t="n"/>
      <c r="D493" s="2" t="n"/>
      <c r="E493" s="2" t="n"/>
      <c r="F493" s="2" t="n"/>
      <c r="G493" s="2" t="n"/>
      <c r="H493" s="2" t="n"/>
      <c r="I493" s="2" t="n"/>
      <c r="J493" s="2" t="n"/>
      <c r="K493" s="2" t="n"/>
      <c r="L493" s="2" t="n"/>
      <c r="M493" s="2" t="n"/>
      <c r="N493" s="2" t="n"/>
      <c r="O493" s="2" t="n"/>
      <c r="P493" s="2" t="n"/>
      <c r="Q493" s="2">
        <f>IF(G493="","",TODAY()-G493)</f>
        <v/>
      </c>
    </row>
    <row r="494">
      <c r="A494" s="2" t="n"/>
      <c r="B494" s="2" t="n"/>
      <c r="C494" s="2" t="n"/>
      <c r="D494" s="2" t="n"/>
      <c r="E494" s="2" t="n"/>
      <c r="F494" s="2" t="n"/>
      <c r="G494" s="2" t="n"/>
      <c r="H494" s="2" t="n"/>
      <c r="I494" s="2" t="n"/>
      <c r="J494" s="2" t="n"/>
      <c r="K494" s="2" t="n"/>
      <c r="L494" s="2" t="n"/>
      <c r="M494" s="2" t="n"/>
      <c r="N494" s="2" t="n"/>
      <c r="O494" s="2" t="n"/>
      <c r="P494" s="2" t="n"/>
      <c r="Q494" s="2">
        <f>IF(G494="","",TODAY()-G494)</f>
        <v/>
      </c>
    </row>
    <row r="495">
      <c r="A495" s="2" t="n"/>
      <c r="B495" s="2" t="n"/>
      <c r="C495" s="2" t="n"/>
      <c r="D495" s="2" t="n"/>
      <c r="E495" s="2" t="n"/>
      <c r="F495" s="2" t="n"/>
      <c r="G495" s="2" t="n"/>
      <c r="H495" s="2" t="n"/>
      <c r="I495" s="2" t="n"/>
      <c r="J495" s="2" t="n"/>
      <c r="K495" s="2" t="n"/>
      <c r="L495" s="2" t="n"/>
      <c r="M495" s="2" t="n"/>
      <c r="N495" s="2" t="n"/>
      <c r="O495" s="2" t="n"/>
      <c r="P495" s="2" t="n"/>
      <c r="Q495" s="2">
        <f>IF(G495="","",TODAY()-G495)</f>
        <v/>
      </c>
    </row>
    <row r="496">
      <c r="A496" s="2" t="n"/>
      <c r="B496" s="2" t="n"/>
      <c r="C496" s="2" t="n"/>
      <c r="D496" s="2" t="n"/>
      <c r="E496" s="2" t="n"/>
      <c r="F496" s="2" t="n"/>
      <c r="G496" s="2" t="n"/>
      <c r="H496" s="2" t="n"/>
      <c r="I496" s="2" t="n"/>
      <c r="J496" s="2" t="n"/>
      <c r="K496" s="2" t="n"/>
      <c r="L496" s="2" t="n"/>
      <c r="M496" s="2" t="n"/>
      <c r="N496" s="2" t="n"/>
      <c r="O496" s="2" t="n"/>
      <c r="P496" s="2" t="n"/>
      <c r="Q496" s="2">
        <f>IF(G496="","",TODAY()-G496)</f>
        <v/>
      </c>
    </row>
    <row r="497">
      <c r="A497" s="2" t="n"/>
      <c r="B497" s="2" t="n"/>
      <c r="C497" s="2" t="n"/>
      <c r="D497" s="2" t="n"/>
      <c r="E497" s="2" t="n"/>
      <c r="F497" s="2" t="n"/>
      <c r="G497" s="2" t="n"/>
      <c r="H497" s="2" t="n"/>
      <c r="I497" s="2" t="n"/>
      <c r="J497" s="2" t="n"/>
      <c r="K497" s="2" t="n"/>
      <c r="L497" s="2" t="n"/>
      <c r="M497" s="2" t="n"/>
      <c r="N497" s="2" t="n"/>
      <c r="O497" s="2" t="n"/>
      <c r="P497" s="2" t="n"/>
      <c r="Q497" s="2">
        <f>IF(G497="","",TODAY()-G497)</f>
        <v/>
      </c>
    </row>
    <row r="498">
      <c r="A498" s="2" t="n"/>
      <c r="B498" s="2" t="n"/>
      <c r="C498" s="2" t="n"/>
      <c r="D498" s="2" t="n"/>
      <c r="E498" s="2" t="n"/>
      <c r="F498" s="2" t="n"/>
      <c r="G498" s="2" t="n"/>
      <c r="H498" s="2" t="n"/>
      <c r="I498" s="2" t="n"/>
      <c r="J498" s="2" t="n"/>
      <c r="K498" s="2" t="n"/>
      <c r="L498" s="2" t="n"/>
      <c r="M498" s="2" t="n"/>
      <c r="N498" s="2" t="n"/>
      <c r="O498" s="2" t="n"/>
      <c r="P498" s="2" t="n"/>
      <c r="Q498" s="2">
        <f>IF(G498="","",TODAY()-G498)</f>
        <v/>
      </c>
    </row>
    <row r="499">
      <c r="A499" s="2" t="n"/>
      <c r="B499" s="2" t="n"/>
      <c r="C499" s="2" t="n"/>
      <c r="D499" s="2" t="n"/>
      <c r="E499" s="2" t="n"/>
      <c r="F499" s="2" t="n"/>
      <c r="G499" s="2" t="n"/>
      <c r="H499" s="2" t="n"/>
      <c r="I499" s="2" t="n"/>
      <c r="J499" s="2" t="n"/>
      <c r="K499" s="2" t="n"/>
      <c r="L499" s="2" t="n"/>
      <c r="M499" s="2" t="n"/>
      <c r="N499" s="2" t="n"/>
      <c r="O499" s="2" t="n"/>
      <c r="P499" s="2" t="n"/>
      <c r="Q499" s="2">
        <f>IF(G499="","",TODAY()-G499)</f>
        <v/>
      </c>
    </row>
    <row r="500">
      <c r="A500" s="2" t="n"/>
      <c r="B500" s="2" t="n"/>
      <c r="C500" s="2" t="n"/>
      <c r="D500" s="2" t="n"/>
      <c r="E500" s="2" t="n"/>
      <c r="F500" s="2" t="n"/>
      <c r="G500" s="2" t="n"/>
      <c r="H500" s="2" t="n"/>
      <c r="I500" s="2" t="n"/>
      <c r="J500" s="2" t="n"/>
      <c r="K500" s="2" t="n"/>
      <c r="L500" s="2" t="n"/>
      <c r="M500" s="2" t="n"/>
      <c r="N500" s="2" t="n"/>
      <c r="O500" s="2" t="n"/>
      <c r="P500" s="2" t="n"/>
      <c r="Q500" s="2">
        <f>IF(G500="","",TODAY()-G500)</f>
        <v/>
      </c>
    </row>
  </sheetData>
  <autoFilter ref="A1:Q500"/>
  <conditionalFormatting sqref="H2:H500">
    <cfRule type="cellIs" priority="1" operator="equal" dxfId="0">
      <formula>"PPO"</formula>
    </cfRule>
  </conditionalFormatting>
  <dataValidations count="3">
    <dataValidation sqref="H2:H500" showDropDown="0" showInputMessage="0" showErrorMessage="0" allowBlank="1" type="list">
      <formula1>"Shortlisted,Applied,Waiting,OA,Technical Interview,HR/Manager,Offer,Rejected,Ghosted,Withdrawn,PPO"</formula1>
    </dataValidation>
    <dataValidation sqref="F2:F500" showDropDown="0" showInputMessage="0" showErrorMessage="0" allowBlank="1" type="list">
      <formula1>"SDE,Backend,Full Stack,Cloud/DevOps"</formula1>
    </dataValidation>
    <dataValidation sqref="P2:P500" showDropDown="0" showInputMessage="0" showErrorMessage="0" allowBlank="1" type="list">
      <formula1>"Yes,No,Unknown"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00"/>
  <sheetViews>
    <sheetView workbookViewId="0">
      <pane ySplit="1" topLeftCell="A2" activePane="bottomLeft" state="frozen"/>
      <selection pane="bottomLeft" activeCell="A1" sqref="A1"/>
    </sheetView>
  </sheetViews>
  <sheetFormatPr baseColWidth="8" defaultRowHeight="15"/>
  <cols>
    <col width="14" customWidth="1" style="15" min="1" max="1"/>
    <col width="16" customWidth="1" style="15" min="2" max="2"/>
    <col width="12" customWidth="1" style="15" min="3" max="6"/>
    <col width="17" customWidth="1" style="15" min="7" max="7"/>
    <col width="12" customWidth="1" style="15" min="8" max="8"/>
    <col width="15" customWidth="1" style="15" min="9" max="9"/>
    <col width="21" customWidth="1" style="15" min="10" max="10"/>
    <col width="38" customWidth="1" style="15" min="11" max="11"/>
    <col width="42" customWidth="1" style="15" min="12" max="15"/>
  </cols>
  <sheetData>
    <row r="1">
      <c r="A1" s="1" t="inlineStr">
        <is>
          <t>Interview ID</t>
        </is>
      </c>
      <c r="B1" s="1" t="inlineStr">
        <is>
          <t>Application ID</t>
        </is>
      </c>
      <c r="C1" s="1" t="inlineStr">
        <is>
          <t>Company</t>
        </is>
      </c>
      <c r="D1" s="1" t="inlineStr">
        <is>
          <t>Role</t>
        </is>
      </c>
      <c r="E1" s="1" t="inlineStr">
        <is>
          <t>Stage</t>
        </is>
      </c>
      <c r="F1" s="1" t="inlineStr">
        <is>
          <t>Date</t>
        </is>
      </c>
      <c r="G1" s="1" t="inlineStr">
        <is>
          <t>Technical Score</t>
        </is>
      </c>
      <c r="H1" s="1" t="inlineStr">
        <is>
          <t>DSA Score</t>
        </is>
      </c>
      <c r="I1" s="1" t="inlineStr">
        <is>
          <t>Project Score</t>
        </is>
      </c>
      <c r="J1" s="1" t="inlineStr">
        <is>
          <t>Communication Score</t>
        </is>
      </c>
      <c r="K1" s="1" t="inlineStr">
        <is>
          <t>Overall Score</t>
        </is>
      </c>
      <c r="L1" s="1" t="inlineStr">
        <is>
          <t>Top Weaknesses</t>
        </is>
      </c>
      <c r="M1" s="1" t="inlineStr">
        <is>
          <t>Questions / Topics</t>
        </is>
      </c>
      <c r="N1" s="1" t="inlineStr">
        <is>
          <t>Next Preparation</t>
        </is>
      </c>
      <c r="O1" s="1" t="inlineStr">
        <is>
          <t>Notes</t>
        </is>
      </c>
    </row>
    <row r="2">
      <c r="A2" s="2" t="n"/>
      <c r="B2" s="2" t="n"/>
      <c r="C2" s="2" t="n"/>
      <c r="D2" s="2" t="n"/>
      <c r="E2" s="2" t="n"/>
      <c r="F2" s="2" t="n"/>
      <c r="G2" s="2" t="n"/>
      <c r="H2" s="2" t="n"/>
      <c r="I2" s="2" t="n"/>
      <c r="J2" s="2" t="n"/>
      <c r="K2" s="2">
        <f>IF(COUNTA(G2:J2)&lt;4,"",ROUND(AVERAGE(G2:J2),1))</f>
        <v/>
      </c>
      <c r="L2" s="2" t="n"/>
      <c r="M2" s="2" t="n"/>
      <c r="N2" s="2" t="n"/>
      <c r="O2" s="2" t="n"/>
    </row>
    <row r="3">
      <c r="A3" s="2" t="n"/>
      <c r="B3" s="2" t="n"/>
      <c r="C3" s="2" t="n"/>
      <c r="D3" s="2" t="n"/>
      <c r="E3" s="2" t="n"/>
      <c r="F3" s="2" t="n"/>
      <c r="G3" s="2" t="n"/>
      <c r="H3" s="2" t="n"/>
      <c r="I3" s="2" t="n"/>
      <c r="J3" s="2" t="n"/>
      <c r="K3" s="2">
        <f>IF(COUNTA(G3:J3)&lt;4,"",ROUND(AVERAGE(G3:J3),1))</f>
        <v/>
      </c>
      <c r="L3" s="2" t="n"/>
      <c r="M3" s="2" t="n"/>
      <c r="N3" s="2" t="n"/>
      <c r="O3" s="2" t="n"/>
    </row>
    <row r="4">
      <c r="A4" s="2" t="n"/>
      <c r="B4" s="2" t="n"/>
      <c r="C4" s="2" t="n"/>
      <c r="D4" s="2" t="n"/>
      <c r="E4" s="2" t="n"/>
      <c r="F4" s="2" t="n"/>
      <c r="G4" s="2" t="n"/>
      <c r="H4" s="2" t="n"/>
      <c r="I4" s="2" t="n"/>
      <c r="J4" s="2" t="n"/>
      <c r="K4" s="2">
        <f>IF(COUNTA(G4:J4)&lt;4,"",ROUND(AVERAGE(G4:J4),1))</f>
        <v/>
      </c>
      <c r="L4" s="2" t="n"/>
      <c r="M4" s="2" t="n"/>
      <c r="N4" s="2" t="n"/>
      <c r="O4" s="2" t="n"/>
    </row>
    <row r="5">
      <c r="A5" s="2" t="n"/>
      <c r="B5" s="2" t="n"/>
      <c r="C5" s="2" t="n"/>
      <c r="D5" s="2" t="n"/>
      <c r="E5" s="2" t="n"/>
      <c r="F5" s="2" t="n"/>
      <c r="G5" s="2" t="n"/>
      <c r="H5" s="2" t="n"/>
      <c r="I5" s="2" t="n"/>
      <c r="J5" s="2" t="n"/>
      <c r="K5" s="2">
        <f>IF(COUNTA(G5:J5)&lt;4,"",ROUND(AVERAGE(G5:J5),1))</f>
        <v/>
      </c>
      <c r="L5" s="2" t="n"/>
      <c r="M5" s="2" t="n"/>
      <c r="N5" s="2" t="n"/>
      <c r="O5" s="2" t="n"/>
    </row>
    <row r="6">
      <c r="A6" s="2" t="n"/>
      <c r="B6" s="2" t="n"/>
      <c r="C6" s="2" t="n"/>
      <c r="D6" s="2" t="n"/>
      <c r="E6" s="2" t="n"/>
      <c r="F6" s="2" t="n"/>
      <c r="G6" s="2" t="n"/>
      <c r="H6" s="2" t="n"/>
      <c r="I6" s="2" t="n"/>
      <c r="J6" s="2" t="n"/>
      <c r="K6" s="2">
        <f>IF(COUNTA(G6:J6)&lt;4,"",ROUND(AVERAGE(G6:J6),1))</f>
        <v/>
      </c>
      <c r="L6" s="2" t="n"/>
      <c r="M6" s="2" t="n"/>
      <c r="N6" s="2" t="n"/>
      <c r="O6" s="2" t="n"/>
    </row>
    <row r="7">
      <c r="A7" s="2" t="n"/>
      <c r="B7" s="2" t="n"/>
      <c r="C7" s="2" t="n"/>
      <c r="D7" s="2" t="n"/>
      <c r="E7" s="2" t="n"/>
      <c r="F7" s="2" t="n"/>
      <c r="G7" s="2" t="n"/>
      <c r="H7" s="2" t="n"/>
      <c r="I7" s="2" t="n"/>
      <c r="J7" s="2" t="n"/>
      <c r="K7" s="2">
        <f>IF(COUNTA(G7:J7)&lt;4,"",ROUND(AVERAGE(G7:J7),1))</f>
        <v/>
      </c>
      <c r="L7" s="2" t="n"/>
      <c r="M7" s="2" t="n"/>
      <c r="N7" s="2" t="n"/>
      <c r="O7" s="2" t="n"/>
    </row>
    <row r="8">
      <c r="A8" s="2" t="n"/>
      <c r="B8" s="2" t="n"/>
      <c r="C8" s="2" t="n"/>
      <c r="D8" s="2" t="n"/>
      <c r="E8" s="2" t="n"/>
      <c r="F8" s="2" t="n"/>
      <c r="G8" s="2" t="n"/>
      <c r="H8" s="2" t="n"/>
      <c r="I8" s="2" t="n"/>
      <c r="J8" s="2" t="n"/>
      <c r="K8" s="2">
        <f>IF(COUNTA(G8:J8)&lt;4,"",ROUND(AVERAGE(G8:J8),1))</f>
        <v/>
      </c>
      <c r="L8" s="2" t="n"/>
      <c r="M8" s="2" t="n"/>
      <c r="N8" s="2" t="n"/>
      <c r="O8" s="2" t="n"/>
    </row>
    <row r="9">
      <c r="A9" s="2" t="n"/>
      <c r="B9" s="2" t="n"/>
      <c r="C9" s="2" t="n"/>
      <c r="D9" s="2" t="n"/>
      <c r="E9" s="2" t="n"/>
      <c r="F9" s="2" t="n"/>
      <c r="G9" s="2" t="n"/>
      <c r="H9" s="2" t="n"/>
      <c r="I9" s="2" t="n"/>
      <c r="J9" s="2" t="n"/>
      <c r="K9" s="2">
        <f>IF(COUNTA(G9:J9)&lt;4,"",ROUND(AVERAGE(G9:J9),1))</f>
        <v/>
      </c>
      <c r="L9" s="2" t="n"/>
      <c r="M9" s="2" t="n"/>
      <c r="N9" s="2" t="n"/>
      <c r="O9" s="2" t="n"/>
    </row>
    <row r="10">
      <c r="A10" s="2" t="n"/>
      <c r="B10" s="2" t="n"/>
      <c r="C10" s="2" t="n"/>
      <c r="D10" s="2" t="n"/>
      <c r="E10" s="2" t="n"/>
      <c r="F10" s="2" t="n"/>
      <c r="G10" s="2" t="n"/>
      <c r="H10" s="2" t="n"/>
      <c r="I10" s="2" t="n"/>
      <c r="J10" s="2" t="n"/>
      <c r="K10" s="2">
        <f>IF(COUNTA(G10:J10)&lt;4,"",ROUND(AVERAGE(G10:J10),1))</f>
        <v/>
      </c>
      <c r="L10" s="2" t="n"/>
      <c r="M10" s="2" t="n"/>
      <c r="N10" s="2" t="n"/>
      <c r="O10" s="2" t="n"/>
    </row>
    <row r="11">
      <c r="A11" s="2" t="n"/>
      <c r="B11" s="2" t="n"/>
      <c r="C11" s="2" t="n"/>
      <c r="D11" s="2" t="n"/>
      <c r="E11" s="2" t="n"/>
      <c r="F11" s="2" t="n"/>
      <c r="G11" s="2" t="n"/>
      <c r="H11" s="2" t="n"/>
      <c r="I11" s="2" t="n"/>
      <c r="J11" s="2" t="n"/>
      <c r="K11" s="2">
        <f>IF(COUNTA(G11:J11)&lt;4,"",ROUND(AVERAGE(G11:J11),1))</f>
        <v/>
      </c>
      <c r="L11" s="2" t="n"/>
      <c r="M11" s="2" t="n"/>
      <c r="N11" s="2" t="n"/>
      <c r="O11" s="2" t="n"/>
    </row>
    <row r="12">
      <c r="A12" s="2" t="n"/>
      <c r="B12" s="2" t="n"/>
      <c r="C12" s="2" t="n"/>
      <c r="D12" s="2" t="n"/>
      <c r="E12" s="2" t="n"/>
      <c r="F12" s="2" t="n"/>
      <c r="G12" s="2" t="n"/>
      <c r="H12" s="2" t="n"/>
      <c r="I12" s="2" t="n"/>
      <c r="J12" s="2" t="n"/>
      <c r="K12" s="2">
        <f>IF(COUNTA(G12:J12)&lt;4,"",ROUND(AVERAGE(G12:J12),1))</f>
        <v/>
      </c>
      <c r="L12" s="2" t="n"/>
      <c r="M12" s="2" t="n"/>
      <c r="N12" s="2" t="n"/>
      <c r="O12" s="2" t="n"/>
    </row>
    <row r="13">
      <c r="A13" s="2" t="n"/>
      <c r="B13" s="2" t="n"/>
      <c r="C13" s="2" t="n"/>
      <c r="D13" s="2" t="n"/>
      <c r="E13" s="2" t="n"/>
      <c r="F13" s="2" t="n"/>
      <c r="G13" s="2" t="n"/>
      <c r="H13" s="2" t="n"/>
      <c r="I13" s="2" t="n"/>
      <c r="J13" s="2" t="n"/>
      <c r="K13" s="2">
        <f>IF(COUNTA(G13:J13)&lt;4,"",ROUND(AVERAGE(G13:J13),1))</f>
        <v/>
      </c>
      <c r="L13" s="2" t="n"/>
      <c r="M13" s="2" t="n"/>
      <c r="N13" s="2" t="n"/>
      <c r="O13" s="2" t="n"/>
    </row>
    <row r="14">
      <c r="A14" s="2" t="n"/>
      <c r="B14" s="2" t="n"/>
      <c r="C14" s="2" t="n"/>
      <c r="D14" s="2" t="n"/>
      <c r="E14" s="2" t="n"/>
      <c r="F14" s="2" t="n"/>
      <c r="G14" s="2" t="n"/>
      <c r="H14" s="2" t="n"/>
      <c r="I14" s="2" t="n"/>
      <c r="J14" s="2" t="n"/>
      <c r="K14" s="2">
        <f>IF(COUNTA(G14:J14)&lt;4,"",ROUND(AVERAGE(G14:J14),1))</f>
        <v/>
      </c>
      <c r="L14" s="2" t="n"/>
      <c r="M14" s="2" t="n"/>
      <c r="N14" s="2" t="n"/>
      <c r="O14" s="2" t="n"/>
    </row>
    <row r="15">
      <c r="A15" s="2" t="n"/>
      <c r="B15" s="2" t="n"/>
      <c r="C15" s="2" t="n"/>
      <c r="D15" s="2" t="n"/>
      <c r="E15" s="2" t="n"/>
      <c r="F15" s="2" t="n"/>
      <c r="G15" s="2" t="n"/>
      <c r="H15" s="2" t="n"/>
      <c r="I15" s="2" t="n"/>
      <c r="J15" s="2" t="n"/>
      <c r="K15" s="2">
        <f>IF(COUNTA(G15:J15)&lt;4,"",ROUND(AVERAGE(G15:J15),1))</f>
        <v/>
      </c>
      <c r="L15" s="2" t="n"/>
      <c r="M15" s="2" t="n"/>
      <c r="N15" s="2" t="n"/>
      <c r="O15" s="2" t="n"/>
    </row>
    <row r="16">
      <c r="A16" s="2" t="n"/>
      <c r="B16" s="2" t="n"/>
      <c r="C16" s="2" t="n"/>
      <c r="D16" s="2" t="n"/>
      <c r="E16" s="2" t="n"/>
      <c r="F16" s="2" t="n"/>
      <c r="G16" s="2" t="n"/>
      <c r="H16" s="2" t="n"/>
      <c r="I16" s="2" t="n"/>
      <c r="J16" s="2" t="n"/>
      <c r="K16" s="2">
        <f>IF(COUNTA(G16:J16)&lt;4,"",ROUND(AVERAGE(G16:J16),1))</f>
        <v/>
      </c>
      <c r="L16" s="2" t="n"/>
      <c r="M16" s="2" t="n"/>
      <c r="N16" s="2" t="n"/>
      <c r="O16" s="2" t="n"/>
    </row>
    <row r="17">
      <c r="A17" s="2" t="n"/>
      <c r="B17" s="2" t="n"/>
      <c r="C17" s="2" t="n"/>
      <c r="D17" s="2" t="n"/>
      <c r="E17" s="2" t="n"/>
      <c r="F17" s="2" t="n"/>
      <c r="G17" s="2" t="n"/>
      <c r="H17" s="2" t="n"/>
      <c r="I17" s="2" t="n"/>
      <c r="J17" s="2" t="n"/>
      <c r="K17" s="2">
        <f>IF(COUNTA(G17:J17)&lt;4,"",ROUND(AVERAGE(G17:J17),1))</f>
        <v/>
      </c>
      <c r="L17" s="2" t="n"/>
      <c r="M17" s="2" t="n"/>
      <c r="N17" s="2" t="n"/>
      <c r="O17" s="2" t="n"/>
    </row>
    <row r="18">
      <c r="A18" s="2" t="n"/>
      <c r="B18" s="2" t="n"/>
      <c r="C18" s="2" t="n"/>
      <c r="D18" s="2" t="n"/>
      <c r="E18" s="2" t="n"/>
      <c r="F18" s="2" t="n"/>
      <c r="G18" s="2" t="n"/>
      <c r="H18" s="2" t="n"/>
      <c r="I18" s="2" t="n"/>
      <c r="J18" s="2" t="n"/>
      <c r="K18" s="2">
        <f>IF(COUNTA(G18:J18)&lt;4,"",ROUND(AVERAGE(G18:J18),1))</f>
        <v/>
      </c>
      <c r="L18" s="2" t="n"/>
      <c r="M18" s="2" t="n"/>
      <c r="N18" s="2" t="n"/>
      <c r="O18" s="2" t="n"/>
    </row>
    <row r="19">
      <c r="A19" s="2" t="n"/>
      <c r="B19" s="2" t="n"/>
      <c r="C19" s="2" t="n"/>
      <c r="D19" s="2" t="n"/>
      <c r="E19" s="2" t="n"/>
      <c r="F19" s="2" t="n"/>
      <c r="G19" s="2" t="n"/>
      <c r="H19" s="2" t="n"/>
      <c r="I19" s="2" t="n"/>
      <c r="J19" s="2" t="n"/>
      <c r="K19" s="2">
        <f>IF(COUNTA(G19:J19)&lt;4,"",ROUND(AVERAGE(G19:J19),1))</f>
        <v/>
      </c>
      <c r="L19" s="2" t="n"/>
      <c r="M19" s="2" t="n"/>
      <c r="N19" s="2" t="n"/>
      <c r="O19" s="2" t="n"/>
    </row>
    <row r="20">
      <c r="A20" s="2" t="n"/>
      <c r="B20" s="2" t="n"/>
      <c r="C20" s="2" t="n"/>
      <c r="D20" s="2" t="n"/>
      <c r="E20" s="2" t="n"/>
      <c r="F20" s="2" t="n"/>
      <c r="G20" s="2" t="n"/>
      <c r="H20" s="2" t="n"/>
      <c r="I20" s="2" t="n"/>
      <c r="J20" s="2" t="n"/>
      <c r="K20" s="2">
        <f>IF(COUNTA(G20:J20)&lt;4,"",ROUND(AVERAGE(G20:J20),1))</f>
        <v/>
      </c>
      <c r="L20" s="2" t="n"/>
      <c r="M20" s="2" t="n"/>
      <c r="N20" s="2" t="n"/>
      <c r="O20" s="2" t="n"/>
    </row>
    <row r="21">
      <c r="A21" s="2" t="n"/>
      <c r="B21" s="2" t="n"/>
      <c r="C21" s="2" t="n"/>
      <c r="D21" s="2" t="n"/>
      <c r="E21" s="2" t="n"/>
      <c r="F21" s="2" t="n"/>
      <c r="G21" s="2" t="n"/>
      <c r="H21" s="2" t="n"/>
      <c r="I21" s="2" t="n"/>
      <c r="J21" s="2" t="n"/>
      <c r="K21" s="2">
        <f>IF(COUNTA(G21:J21)&lt;4,"",ROUND(AVERAGE(G21:J21),1))</f>
        <v/>
      </c>
      <c r="L21" s="2" t="n"/>
      <c r="M21" s="2" t="n"/>
      <c r="N21" s="2" t="n"/>
      <c r="O21" s="2" t="n"/>
    </row>
    <row r="22">
      <c r="A22" s="2" t="n"/>
      <c r="B22" s="2" t="n"/>
      <c r="C22" s="2" t="n"/>
      <c r="D22" s="2" t="n"/>
      <c r="E22" s="2" t="n"/>
      <c r="F22" s="2" t="n"/>
      <c r="G22" s="2" t="n"/>
      <c r="H22" s="2" t="n"/>
      <c r="I22" s="2" t="n"/>
      <c r="J22" s="2" t="n"/>
      <c r="K22" s="2">
        <f>IF(COUNTA(G22:J22)&lt;4,"",ROUND(AVERAGE(G22:J22),1))</f>
        <v/>
      </c>
      <c r="L22" s="2" t="n"/>
      <c r="M22" s="2" t="n"/>
      <c r="N22" s="2" t="n"/>
      <c r="O22" s="2" t="n"/>
    </row>
    <row r="23">
      <c r="A23" s="2" t="n"/>
      <c r="B23" s="2" t="n"/>
      <c r="C23" s="2" t="n"/>
      <c r="D23" s="2" t="n"/>
      <c r="E23" s="2" t="n"/>
      <c r="F23" s="2" t="n"/>
      <c r="G23" s="2" t="n"/>
      <c r="H23" s="2" t="n"/>
      <c r="I23" s="2" t="n"/>
      <c r="J23" s="2" t="n"/>
      <c r="K23" s="2">
        <f>IF(COUNTA(G23:J23)&lt;4,"",ROUND(AVERAGE(G23:J23),1))</f>
        <v/>
      </c>
      <c r="L23" s="2" t="n"/>
      <c r="M23" s="2" t="n"/>
      <c r="N23" s="2" t="n"/>
      <c r="O23" s="2" t="n"/>
    </row>
    <row r="24">
      <c r="A24" s="2" t="n"/>
      <c r="B24" s="2" t="n"/>
      <c r="C24" s="2" t="n"/>
      <c r="D24" s="2" t="n"/>
      <c r="E24" s="2" t="n"/>
      <c r="F24" s="2" t="n"/>
      <c r="G24" s="2" t="n"/>
      <c r="H24" s="2" t="n"/>
      <c r="I24" s="2" t="n"/>
      <c r="J24" s="2" t="n"/>
      <c r="K24" s="2">
        <f>IF(COUNTA(G24:J24)&lt;4,"",ROUND(AVERAGE(G24:J24),1))</f>
        <v/>
      </c>
      <c r="L24" s="2" t="n"/>
      <c r="M24" s="2" t="n"/>
      <c r="N24" s="2" t="n"/>
      <c r="O24" s="2" t="n"/>
    </row>
    <row r="25">
      <c r="A25" s="2" t="n"/>
      <c r="B25" s="2" t="n"/>
      <c r="C25" s="2" t="n"/>
      <c r="D25" s="2" t="n"/>
      <c r="E25" s="2" t="n"/>
      <c r="F25" s="2" t="n"/>
      <c r="G25" s="2" t="n"/>
      <c r="H25" s="2" t="n"/>
      <c r="I25" s="2" t="n"/>
      <c r="J25" s="2" t="n"/>
      <c r="K25" s="2">
        <f>IF(COUNTA(G25:J25)&lt;4,"",ROUND(AVERAGE(G25:J25),1))</f>
        <v/>
      </c>
      <c r="L25" s="2" t="n"/>
      <c r="M25" s="2" t="n"/>
      <c r="N25" s="2" t="n"/>
      <c r="O25" s="2" t="n"/>
    </row>
    <row r="26">
      <c r="A26" s="2" t="n"/>
      <c r="B26" s="2" t="n"/>
      <c r="C26" s="2" t="n"/>
      <c r="D26" s="2" t="n"/>
      <c r="E26" s="2" t="n"/>
      <c r="F26" s="2" t="n"/>
      <c r="G26" s="2" t="n"/>
      <c r="H26" s="2" t="n"/>
      <c r="I26" s="2" t="n"/>
      <c r="J26" s="2" t="n"/>
      <c r="K26" s="2">
        <f>IF(COUNTA(G26:J26)&lt;4,"",ROUND(AVERAGE(G26:J26),1))</f>
        <v/>
      </c>
      <c r="L26" s="2" t="n"/>
      <c r="M26" s="2" t="n"/>
      <c r="N26" s="2" t="n"/>
      <c r="O26" s="2" t="n"/>
    </row>
    <row r="27">
      <c r="A27" s="2" t="n"/>
      <c r="B27" s="2" t="n"/>
      <c r="C27" s="2" t="n"/>
      <c r="D27" s="2" t="n"/>
      <c r="E27" s="2" t="n"/>
      <c r="F27" s="2" t="n"/>
      <c r="G27" s="2" t="n"/>
      <c r="H27" s="2" t="n"/>
      <c r="I27" s="2" t="n"/>
      <c r="J27" s="2" t="n"/>
      <c r="K27" s="2">
        <f>IF(COUNTA(G27:J27)&lt;4,"",ROUND(AVERAGE(G27:J27),1))</f>
        <v/>
      </c>
      <c r="L27" s="2" t="n"/>
      <c r="M27" s="2" t="n"/>
      <c r="N27" s="2" t="n"/>
      <c r="O27" s="2" t="n"/>
    </row>
    <row r="28">
      <c r="A28" s="2" t="n"/>
      <c r="B28" s="2" t="n"/>
      <c r="C28" s="2" t="n"/>
      <c r="D28" s="2" t="n"/>
      <c r="E28" s="2" t="n"/>
      <c r="F28" s="2" t="n"/>
      <c r="G28" s="2" t="n"/>
      <c r="H28" s="2" t="n"/>
      <c r="I28" s="2" t="n"/>
      <c r="J28" s="2" t="n"/>
      <c r="K28" s="2">
        <f>IF(COUNTA(G28:J28)&lt;4,"",ROUND(AVERAGE(G28:J28),1))</f>
        <v/>
      </c>
      <c r="L28" s="2" t="n"/>
      <c r="M28" s="2" t="n"/>
      <c r="N28" s="2" t="n"/>
      <c r="O28" s="2" t="n"/>
    </row>
    <row r="29">
      <c r="A29" s="2" t="n"/>
      <c r="B29" s="2" t="n"/>
      <c r="C29" s="2" t="n"/>
      <c r="D29" s="2" t="n"/>
      <c r="E29" s="2" t="n"/>
      <c r="F29" s="2" t="n"/>
      <c r="G29" s="2" t="n"/>
      <c r="H29" s="2" t="n"/>
      <c r="I29" s="2" t="n"/>
      <c r="J29" s="2" t="n"/>
      <c r="K29" s="2">
        <f>IF(COUNTA(G29:J29)&lt;4,"",ROUND(AVERAGE(G29:J29),1))</f>
        <v/>
      </c>
      <c r="L29" s="2" t="n"/>
      <c r="M29" s="2" t="n"/>
      <c r="N29" s="2" t="n"/>
      <c r="O29" s="2" t="n"/>
    </row>
    <row r="30">
      <c r="A30" s="2" t="n"/>
      <c r="B30" s="2" t="n"/>
      <c r="C30" s="2" t="n"/>
      <c r="D30" s="2" t="n"/>
      <c r="E30" s="2" t="n"/>
      <c r="F30" s="2" t="n"/>
      <c r="G30" s="2" t="n"/>
      <c r="H30" s="2" t="n"/>
      <c r="I30" s="2" t="n"/>
      <c r="J30" s="2" t="n"/>
      <c r="K30" s="2">
        <f>IF(COUNTA(G30:J30)&lt;4,"",ROUND(AVERAGE(G30:J30),1))</f>
        <v/>
      </c>
      <c r="L30" s="2" t="n"/>
      <c r="M30" s="2" t="n"/>
      <c r="N30" s="2" t="n"/>
      <c r="O30" s="2" t="n"/>
    </row>
    <row r="31">
      <c r="A31" s="2" t="n"/>
      <c r="B31" s="2" t="n"/>
      <c r="C31" s="2" t="n"/>
      <c r="D31" s="2" t="n"/>
      <c r="E31" s="2" t="n"/>
      <c r="F31" s="2" t="n"/>
      <c r="G31" s="2" t="n"/>
      <c r="H31" s="2" t="n"/>
      <c r="I31" s="2" t="n"/>
      <c r="J31" s="2" t="n"/>
      <c r="K31" s="2">
        <f>IF(COUNTA(G31:J31)&lt;4,"",ROUND(AVERAGE(G31:J31),1))</f>
        <v/>
      </c>
      <c r="L31" s="2" t="n"/>
      <c r="M31" s="2" t="n"/>
      <c r="N31" s="2" t="n"/>
      <c r="O31" s="2" t="n"/>
    </row>
    <row r="32">
      <c r="A32" s="2" t="n"/>
      <c r="B32" s="2" t="n"/>
      <c r="C32" s="2" t="n"/>
      <c r="D32" s="2" t="n"/>
      <c r="E32" s="2" t="n"/>
      <c r="F32" s="2" t="n"/>
      <c r="G32" s="2" t="n"/>
      <c r="H32" s="2" t="n"/>
      <c r="I32" s="2" t="n"/>
      <c r="J32" s="2" t="n"/>
      <c r="K32" s="2">
        <f>IF(COUNTA(G32:J32)&lt;4,"",ROUND(AVERAGE(G32:J32),1))</f>
        <v/>
      </c>
      <c r="L32" s="2" t="n"/>
      <c r="M32" s="2" t="n"/>
      <c r="N32" s="2" t="n"/>
      <c r="O32" s="2" t="n"/>
    </row>
    <row r="33">
      <c r="A33" s="2" t="n"/>
      <c r="B33" s="2" t="n"/>
      <c r="C33" s="2" t="n"/>
      <c r="D33" s="2" t="n"/>
      <c r="E33" s="2" t="n"/>
      <c r="F33" s="2" t="n"/>
      <c r="G33" s="2" t="n"/>
      <c r="H33" s="2" t="n"/>
      <c r="I33" s="2" t="n"/>
      <c r="J33" s="2" t="n"/>
      <c r="K33" s="2">
        <f>IF(COUNTA(G33:J33)&lt;4,"",ROUND(AVERAGE(G33:J33),1))</f>
        <v/>
      </c>
      <c r="L33" s="2" t="n"/>
      <c r="M33" s="2" t="n"/>
      <c r="N33" s="2" t="n"/>
      <c r="O33" s="2" t="n"/>
    </row>
    <row r="34">
      <c r="A34" s="2" t="n"/>
      <c r="B34" s="2" t="n"/>
      <c r="C34" s="2" t="n"/>
      <c r="D34" s="2" t="n"/>
      <c r="E34" s="2" t="n"/>
      <c r="F34" s="2" t="n"/>
      <c r="G34" s="2" t="n"/>
      <c r="H34" s="2" t="n"/>
      <c r="I34" s="2" t="n"/>
      <c r="J34" s="2" t="n"/>
      <c r="K34" s="2">
        <f>IF(COUNTA(G34:J34)&lt;4,"",ROUND(AVERAGE(G34:J34),1))</f>
        <v/>
      </c>
      <c r="L34" s="2" t="n"/>
      <c r="M34" s="2" t="n"/>
      <c r="N34" s="2" t="n"/>
      <c r="O34" s="2" t="n"/>
    </row>
    <row r="35">
      <c r="A35" s="2" t="n"/>
      <c r="B35" s="2" t="n"/>
      <c r="C35" s="2" t="n"/>
      <c r="D35" s="2" t="n"/>
      <c r="E35" s="2" t="n"/>
      <c r="F35" s="2" t="n"/>
      <c r="G35" s="2" t="n"/>
      <c r="H35" s="2" t="n"/>
      <c r="I35" s="2" t="n"/>
      <c r="J35" s="2" t="n"/>
      <c r="K35" s="2">
        <f>IF(COUNTA(G35:J35)&lt;4,"",ROUND(AVERAGE(G35:J35),1))</f>
        <v/>
      </c>
      <c r="L35" s="2" t="n"/>
      <c r="M35" s="2" t="n"/>
      <c r="N35" s="2" t="n"/>
      <c r="O35" s="2" t="n"/>
    </row>
    <row r="36">
      <c r="A36" s="2" t="n"/>
      <c r="B36" s="2" t="n"/>
      <c r="C36" s="2" t="n"/>
      <c r="D36" s="2" t="n"/>
      <c r="E36" s="2" t="n"/>
      <c r="F36" s="2" t="n"/>
      <c r="G36" s="2" t="n"/>
      <c r="H36" s="2" t="n"/>
      <c r="I36" s="2" t="n"/>
      <c r="J36" s="2" t="n"/>
      <c r="K36" s="2">
        <f>IF(COUNTA(G36:J36)&lt;4,"",ROUND(AVERAGE(G36:J36),1))</f>
        <v/>
      </c>
      <c r="L36" s="2" t="n"/>
      <c r="M36" s="2" t="n"/>
      <c r="N36" s="2" t="n"/>
      <c r="O36" s="2" t="n"/>
    </row>
    <row r="37">
      <c r="A37" s="2" t="n"/>
      <c r="B37" s="2" t="n"/>
      <c r="C37" s="2" t="n"/>
      <c r="D37" s="2" t="n"/>
      <c r="E37" s="2" t="n"/>
      <c r="F37" s="2" t="n"/>
      <c r="G37" s="2" t="n"/>
      <c r="H37" s="2" t="n"/>
      <c r="I37" s="2" t="n"/>
      <c r="J37" s="2" t="n"/>
      <c r="K37" s="2">
        <f>IF(COUNTA(G37:J37)&lt;4,"",ROUND(AVERAGE(G37:J37),1))</f>
        <v/>
      </c>
      <c r="L37" s="2" t="n"/>
      <c r="M37" s="2" t="n"/>
      <c r="N37" s="2" t="n"/>
      <c r="O37" s="2" t="n"/>
    </row>
    <row r="38">
      <c r="A38" s="2" t="n"/>
      <c r="B38" s="2" t="n"/>
      <c r="C38" s="2" t="n"/>
      <c r="D38" s="2" t="n"/>
      <c r="E38" s="2" t="n"/>
      <c r="F38" s="2" t="n"/>
      <c r="G38" s="2" t="n"/>
      <c r="H38" s="2" t="n"/>
      <c r="I38" s="2" t="n"/>
      <c r="J38" s="2" t="n"/>
      <c r="K38" s="2">
        <f>IF(COUNTA(G38:J38)&lt;4,"",ROUND(AVERAGE(G38:J38),1))</f>
        <v/>
      </c>
      <c r="L38" s="2" t="n"/>
      <c r="M38" s="2" t="n"/>
      <c r="N38" s="2" t="n"/>
      <c r="O38" s="2" t="n"/>
    </row>
    <row r="39">
      <c r="A39" s="2" t="n"/>
      <c r="B39" s="2" t="n"/>
      <c r="C39" s="2" t="n"/>
      <c r="D39" s="2" t="n"/>
      <c r="E39" s="2" t="n"/>
      <c r="F39" s="2" t="n"/>
      <c r="G39" s="2" t="n"/>
      <c r="H39" s="2" t="n"/>
      <c r="I39" s="2" t="n"/>
      <c r="J39" s="2" t="n"/>
      <c r="K39" s="2">
        <f>IF(COUNTA(G39:J39)&lt;4,"",ROUND(AVERAGE(G39:J39),1))</f>
        <v/>
      </c>
      <c r="L39" s="2" t="n"/>
      <c r="M39" s="2" t="n"/>
      <c r="N39" s="2" t="n"/>
      <c r="O39" s="2" t="n"/>
    </row>
    <row r="40">
      <c r="A40" s="2" t="n"/>
      <c r="B40" s="2" t="n"/>
      <c r="C40" s="2" t="n"/>
      <c r="D40" s="2" t="n"/>
      <c r="E40" s="2" t="n"/>
      <c r="F40" s="2" t="n"/>
      <c r="G40" s="2" t="n"/>
      <c r="H40" s="2" t="n"/>
      <c r="I40" s="2" t="n"/>
      <c r="J40" s="2" t="n"/>
      <c r="K40" s="2">
        <f>IF(COUNTA(G40:J40)&lt;4,"",ROUND(AVERAGE(G40:J40),1))</f>
        <v/>
      </c>
      <c r="L40" s="2" t="n"/>
      <c r="M40" s="2" t="n"/>
      <c r="N40" s="2" t="n"/>
      <c r="O40" s="2" t="n"/>
    </row>
    <row r="41">
      <c r="A41" s="2" t="n"/>
      <c r="B41" s="2" t="n"/>
      <c r="C41" s="2" t="n"/>
      <c r="D41" s="2" t="n"/>
      <c r="E41" s="2" t="n"/>
      <c r="F41" s="2" t="n"/>
      <c r="G41" s="2" t="n"/>
      <c r="H41" s="2" t="n"/>
      <c r="I41" s="2" t="n"/>
      <c r="J41" s="2" t="n"/>
      <c r="K41" s="2">
        <f>IF(COUNTA(G41:J41)&lt;4,"",ROUND(AVERAGE(G41:J41),1))</f>
        <v/>
      </c>
      <c r="L41" s="2" t="n"/>
      <c r="M41" s="2" t="n"/>
      <c r="N41" s="2" t="n"/>
      <c r="O41" s="2" t="n"/>
    </row>
    <row r="42">
      <c r="A42" s="2" t="n"/>
      <c r="B42" s="2" t="n"/>
      <c r="C42" s="2" t="n"/>
      <c r="D42" s="2" t="n"/>
      <c r="E42" s="2" t="n"/>
      <c r="F42" s="2" t="n"/>
      <c r="G42" s="2" t="n"/>
      <c r="H42" s="2" t="n"/>
      <c r="I42" s="2" t="n"/>
      <c r="J42" s="2" t="n"/>
      <c r="K42" s="2">
        <f>IF(COUNTA(G42:J42)&lt;4,"",ROUND(AVERAGE(G42:J42),1))</f>
        <v/>
      </c>
      <c r="L42" s="2" t="n"/>
      <c r="M42" s="2" t="n"/>
      <c r="N42" s="2" t="n"/>
      <c r="O42" s="2" t="n"/>
    </row>
    <row r="43">
      <c r="A43" s="2" t="n"/>
      <c r="B43" s="2" t="n"/>
      <c r="C43" s="2" t="n"/>
      <c r="D43" s="2" t="n"/>
      <c r="E43" s="2" t="n"/>
      <c r="F43" s="2" t="n"/>
      <c r="G43" s="2" t="n"/>
      <c r="H43" s="2" t="n"/>
      <c r="I43" s="2" t="n"/>
      <c r="J43" s="2" t="n"/>
      <c r="K43" s="2">
        <f>IF(COUNTA(G43:J43)&lt;4,"",ROUND(AVERAGE(G43:J43),1))</f>
        <v/>
      </c>
      <c r="L43" s="2" t="n"/>
      <c r="M43" s="2" t="n"/>
      <c r="N43" s="2" t="n"/>
      <c r="O43" s="2" t="n"/>
    </row>
    <row r="44">
      <c r="A44" s="2" t="n"/>
      <c r="B44" s="2" t="n"/>
      <c r="C44" s="2" t="n"/>
      <c r="D44" s="2" t="n"/>
      <c r="E44" s="2" t="n"/>
      <c r="F44" s="2" t="n"/>
      <c r="G44" s="2" t="n"/>
      <c r="H44" s="2" t="n"/>
      <c r="I44" s="2" t="n"/>
      <c r="J44" s="2" t="n"/>
      <c r="K44" s="2">
        <f>IF(COUNTA(G44:J44)&lt;4,"",ROUND(AVERAGE(G44:J44),1))</f>
        <v/>
      </c>
      <c r="L44" s="2" t="n"/>
      <c r="M44" s="2" t="n"/>
      <c r="N44" s="2" t="n"/>
      <c r="O44" s="2" t="n"/>
    </row>
    <row r="45">
      <c r="A45" s="2" t="n"/>
      <c r="B45" s="2" t="n"/>
      <c r="C45" s="2" t="n"/>
      <c r="D45" s="2" t="n"/>
      <c r="E45" s="2" t="n"/>
      <c r="F45" s="2" t="n"/>
      <c r="G45" s="2" t="n"/>
      <c r="H45" s="2" t="n"/>
      <c r="I45" s="2" t="n"/>
      <c r="J45" s="2" t="n"/>
      <c r="K45" s="2">
        <f>IF(COUNTA(G45:J45)&lt;4,"",ROUND(AVERAGE(G45:J45),1))</f>
        <v/>
      </c>
      <c r="L45" s="2" t="n"/>
      <c r="M45" s="2" t="n"/>
      <c r="N45" s="2" t="n"/>
      <c r="O45" s="2" t="n"/>
    </row>
    <row r="46">
      <c r="A46" s="2" t="n"/>
      <c r="B46" s="2" t="n"/>
      <c r="C46" s="2" t="n"/>
      <c r="D46" s="2" t="n"/>
      <c r="E46" s="2" t="n"/>
      <c r="F46" s="2" t="n"/>
      <c r="G46" s="2" t="n"/>
      <c r="H46" s="2" t="n"/>
      <c r="I46" s="2" t="n"/>
      <c r="J46" s="2" t="n"/>
      <c r="K46" s="2">
        <f>IF(COUNTA(G46:J46)&lt;4,"",ROUND(AVERAGE(G46:J46),1))</f>
        <v/>
      </c>
      <c r="L46" s="2" t="n"/>
      <c r="M46" s="2" t="n"/>
      <c r="N46" s="2" t="n"/>
      <c r="O46" s="2" t="n"/>
    </row>
    <row r="47">
      <c r="A47" s="2" t="n"/>
      <c r="B47" s="2" t="n"/>
      <c r="C47" s="2" t="n"/>
      <c r="D47" s="2" t="n"/>
      <c r="E47" s="2" t="n"/>
      <c r="F47" s="2" t="n"/>
      <c r="G47" s="2" t="n"/>
      <c r="H47" s="2" t="n"/>
      <c r="I47" s="2" t="n"/>
      <c r="J47" s="2" t="n"/>
      <c r="K47" s="2">
        <f>IF(COUNTA(G47:J47)&lt;4,"",ROUND(AVERAGE(G47:J47),1))</f>
        <v/>
      </c>
      <c r="L47" s="2" t="n"/>
      <c r="M47" s="2" t="n"/>
      <c r="N47" s="2" t="n"/>
      <c r="O47" s="2" t="n"/>
    </row>
    <row r="48">
      <c r="A48" s="2" t="n"/>
      <c r="B48" s="2" t="n"/>
      <c r="C48" s="2" t="n"/>
      <c r="D48" s="2" t="n"/>
      <c r="E48" s="2" t="n"/>
      <c r="F48" s="2" t="n"/>
      <c r="G48" s="2" t="n"/>
      <c r="H48" s="2" t="n"/>
      <c r="I48" s="2" t="n"/>
      <c r="J48" s="2" t="n"/>
      <c r="K48" s="2">
        <f>IF(COUNTA(G48:J48)&lt;4,"",ROUND(AVERAGE(G48:J48),1))</f>
        <v/>
      </c>
      <c r="L48" s="2" t="n"/>
      <c r="M48" s="2" t="n"/>
      <c r="N48" s="2" t="n"/>
      <c r="O48" s="2" t="n"/>
    </row>
    <row r="49">
      <c r="A49" s="2" t="n"/>
      <c r="B49" s="2" t="n"/>
      <c r="C49" s="2" t="n"/>
      <c r="D49" s="2" t="n"/>
      <c r="E49" s="2" t="n"/>
      <c r="F49" s="2" t="n"/>
      <c r="G49" s="2" t="n"/>
      <c r="H49" s="2" t="n"/>
      <c r="I49" s="2" t="n"/>
      <c r="J49" s="2" t="n"/>
      <c r="K49" s="2">
        <f>IF(COUNTA(G49:J49)&lt;4,"",ROUND(AVERAGE(G49:J49),1))</f>
        <v/>
      </c>
      <c r="L49" s="2" t="n"/>
      <c r="M49" s="2" t="n"/>
      <c r="N49" s="2" t="n"/>
      <c r="O49" s="2" t="n"/>
    </row>
    <row r="50">
      <c r="A50" s="2" t="n"/>
      <c r="B50" s="2" t="n"/>
      <c r="C50" s="2" t="n"/>
      <c r="D50" s="2" t="n"/>
      <c r="E50" s="2" t="n"/>
      <c r="F50" s="2" t="n"/>
      <c r="G50" s="2" t="n"/>
      <c r="H50" s="2" t="n"/>
      <c r="I50" s="2" t="n"/>
      <c r="J50" s="2" t="n"/>
      <c r="K50" s="2">
        <f>IF(COUNTA(G50:J50)&lt;4,"",ROUND(AVERAGE(G50:J50),1))</f>
        <v/>
      </c>
      <c r="L50" s="2" t="n"/>
      <c r="M50" s="2" t="n"/>
      <c r="N50" s="2" t="n"/>
      <c r="O50" s="2" t="n"/>
    </row>
    <row r="51">
      <c r="A51" s="2" t="n"/>
      <c r="B51" s="2" t="n"/>
      <c r="C51" s="2" t="n"/>
      <c r="D51" s="2" t="n"/>
      <c r="E51" s="2" t="n"/>
      <c r="F51" s="2" t="n"/>
      <c r="G51" s="2" t="n"/>
      <c r="H51" s="2" t="n"/>
      <c r="I51" s="2" t="n"/>
      <c r="J51" s="2" t="n"/>
      <c r="K51" s="2">
        <f>IF(COUNTA(G51:J51)&lt;4,"",ROUND(AVERAGE(G51:J51),1))</f>
        <v/>
      </c>
      <c r="L51" s="2" t="n"/>
      <c r="M51" s="2" t="n"/>
      <c r="N51" s="2" t="n"/>
      <c r="O51" s="2" t="n"/>
    </row>
    <row r="52">
      <c r="A52" s="2" t="n"/>
      <c r="B52" s="2" t="n"/>
      <c r="C52" s="2" t="n"/>
      <c r="D52" s="2" t="n"/>
      <c r="E52" s="2" t="n"/>
      <c r="F52" s="2" t="n"/>
      <c r="G52" s="2" t="n"/>
      <c r="H52" s="2" t="n"/>
      <c r="I52" s="2" t="n"/>
      <c r="J52" s="2" t="n"/>
      <c r="K52" s="2">
        <f>IF(COUNTA(G52:J52)&lt;4,"",ROUND(AVERAGE(G52:J52),1))</f>
        <v/>
      </c>
      <c r="L52" s="2" t="n"/>
      <c r="M52" s="2" t="n"/>
      <c r="N52" s="2" t="n"/>
      <c r="O52" s="2" t="n"/>
    </row>
    <row r="53">
      <c r="A53" s="2" t="n"/>
      <c r="B53" s="2" t="n"/>
      <c r="C53" s="2" t="n"/>
      <c r="D53" s="2" t="n"/>
      <c r="E53" s="2" t="n"/>
      <c r="F53" s="2" t="n"/>
      <c r="G53" s="2" t="n"/>
      <c r="H53" s="2" t="n"/>
      <c r="I53" s="2" t="n"/>
      <c r="J53" s="2" t="n"/>
      <c r="K53" s="2">
        <f>IF(COUNTA(G53:J53)&lt;4,"",ROUND(AVERAGE(G53:J53),1))</f>
        <v/>
      </c>
      <c r="L53" s="2" t="n"/>
      <c r="M53" s="2" t="n"/>
      <c r="N53" s="2" t="n"/>
      <c r="O53" s="2" t="n"/>
    </row>
    <row r="54">
      <c r="A54" s="2" t="n"/>
      <c r="B54" s="2" t="n"/>
      <c r="C54" s="2" t="n"/>
      <c r="D54" s="2" t="n"/>
      <c r="E54" s="2" t="n"/>
      <c r="F54" s="2" t="n"/>
      <c r="G54" s="2" t="n"/>
      <c r="H54" s="2" t="n"/>
      <c r="I54" s="2" t="n"/>
      <c r="J54" s="2" t="n"/>
      <c r="K54" s="2">
        <f>IF(COUNTA(G54:J54)&lt;4,"",ROUND(AVERAGE(G54:J54),1))</f>
        <v/>
      </c>
      <c r="L54" s="2" t="n"/>
      <c r="M54" s="2" t="n"/>
      <c r="N54" s="2" t="n"/>
      <c r="O54" s="2" t="n"/>
    </row>
    <row r="55">
      <c r="A55" s="2" t="n"/>
      <c r="B55" s="2" t="n"/>
      <c r="C55" s="2" t="n"/>
      <c r="D55" s="2" t="n"/>
      <c r="E55" s="2" t="n"/>
      <c r="F55" s="2" t="n"/>
      <c r="G55" s="2" t="n"/>
      <c r="H55" s="2" t="n"/>
      <c r="I55" s="2" t="n"/>
      <c r="J55" s="2" t="n"/>
      <c r="K55" s="2">
        <f>IF(COUNTA(G55:J55)&lt;4,"",ROUND(AVERAGE(G55:J55),1))</f>
        <v/>
      </c>
      <c r="L55" s="2" t="n"/>
      <c r="M55" s="2" t="n"/>
      <c r="N55" s="2" t="n"/>
      <c r="O55" s="2" t="n"/>
    </row>
    <row r="56">
      <c r="A56" s="2" t="n"/>
      <c r="B56" s="2" t="n"/>
      <c r="C56" s="2" t="n"/>
      <c r="D56" s="2" t="n"/>
      <c r="E56" s="2" t="n"/>
      <c r="F56" s="2" t="n"/>
      <c r="G56" s="2" t="n"/>
      <c r="H56" s="2" t="n"/>
      <c r="I56" s="2" t="n"/>
      <c r="J56" s="2" t="n"/>
      <c r="K56" s="2">
        <f>IF(COUNTA(G56:J56)&lt;4,"",ROUND(AVERAGE(G56:J56),1))</f>
        <v/>
      </c>
      <c r="L56" s="2" t="n"/>
      <c r="M56" s="2" t="n"/>
      <c r="N56" s="2" t="n"/>
      <c r="O56" s="2" t="n"/>
    </row>
    <row r="57">
      <c r="A57" s="2" t="n"/>
      <c r="B57" s="2" t="n"/>
      <c r="C57" s="2" t="n"/>
      <c r="D57" s="2" t="n"/>
      <c r="E57" s="2" t="n"/>
      <c r="F57" s="2" t="n"/>
      <c r="G57" s="2" t="n"/>
      <c r="H57" s="2" t="n"/>
      <c r="I57" s="2" t="n"/>
      <c r="J57" s="2" t="n"/>
      <c r="K57" s="2">
        <f>IF(COUNTA(G57:J57)&lt;4,"",ROUND(AVERAGE(G57:J57),1))</f>
        <v/>
      </c>
      <c r="L57" s="2" t="n"/>
      <c r="M57" s="2" t="n"/>
      <c r="N57" s="2" t="n"/>
      <c r="O57" s="2" t="n"/>
    </row>
    <row r="58">
      <c r="A58" s="2" t="n"/>
      <c r="B58" s="2" t="n"/>
      <c r="C58" s="2" t="n"/>
      <c r="D58" s="2" t="n"/>
      <c r="E58" s="2" t="n"/>
      <c r="F58" s="2" t="n"/>
      <c r="G58" s="2" t="n"/>
      <c r="H58" s="2" t="n"/>
      <c r="I58" s="2" t="n"/>
      <c r="J58" s="2" t="n"/>
      <c r="K58" s="2">
        <f>IF(COUNTA(G58:J58)&lt;4,"",ROUND(AVERAGE(G58:J58),1))</f>
        <v/>
      </c>
      <c r="L58" s="2" t="n"/>
      <c r="M58" s="2" t="n"/>
      <c r="N58" s="2" t="n"/>
      <c r="O58" s="2" t="n"/>
    </row>
    <row r="59">
      <c r="A59" s="2" t="n"/>
      <c r="B59" s="2" t="n"/>
      <c r="C59" s="2" t="n"/>
      <c r="D59" s="2" t="n"/>
      <c r="E59" s="2" t="n"/>
      <c r="F59" s="2" t="n"/>
      <c r="G59" s="2" t="n"/>
      <c r="H59" s="2" t="n"/>
      <c r="I59" s="2" t="n"/>
      <c r="J59" s="2" t="n"/>
      <c r="K59" s="2">
        <f>IF(COUNTA(G59:J59)&lt;4,"",ROUND(AVERAGE(G59:J59),1))</f>
        <v/>
      </c>
      <c r="L59" s="2" t="n"/>
      <c r="M59" s="2" t="n"/>
      <c r="N59" s="2" t="n"/>
      <c r="O59" s="2" t="n"/>
    </row>
    <row r="60">
      <c r="A60" s="2" t="n"/>
      <c r="B60" s="2" t="n"/>
      <c r="C60" s="2" t="n"/>
      <c r="D60" s="2" t="n"/>
      <c r="E60" s="2" t="n"/>
      <c r="F60" s="2" t="n"/>
      <c r="G60" s="2" t="n"/>
      <c r="H60" s="2" t="n"/>
      <c r="I60" s="2" t="n"/>
      <c r="J60" s="2" t="n"/>
      <c r="K60" s="2">
        <f>IF(COUNTA(G60:J60)&lt;4,"",ROUND(AVERAGE(G60:J60),1))</f>
        <v/>
      </c>
      <c r="L60" s="2" t="n"/>
      <c r="M60" s="2" t="n"/>
      <c r="N60" s="2" t="n"/>
      <c r="O60" s="2" t="n"/>
    </row>
    <row r="61">
      <c r="A61" s="2" t="n"/>
      <c r="B61" s="2" t="n"/>
      <c r="C61" s="2" t="n"/>
      <c r="D61" s="2" t="n"/>
      <c r="E61" s="2" t="n"/>
      <c r="F61" s="2" t="n"/>
      <c r="G61" s="2" t="n"/>
      <c r="H61" s="2" t="n"/>
      <c r="I61" s="2" t="n"/>
      <c r="J61" s="2" t="n"/>
      <c r="K61" s="2">
        <f>IF(COUNTA(G61:J61)&lt;4,"",ROUND(AVERAGE(G61:J61),1))</f>
        <v/>
      </c>
      <c r="L61" s="2" t="n"/>
      <c r="M61" s="2" t="n"/>
      <c r="N61" s="2" t="n"/>
      <c r="O61" s="2" t="n"/>
    </row>
    <row r="62">
      <c r="A62" s="2" t="n"/>
      <c r="B62" s="2" t="n"/>
      <c r="C62" s="2" t="n"/>
      <c r="D62" s="2" t="n"/>
      <c r="E62" s="2" t="n"/>
      <c r="F62" s="2" t="n"/>
      <c r="G62" s="2" t="n"/>
      <c r="H62" s="2" t="n"/>
      <c r="I62" s="2" t="n"/>
      <c r="J62" s="2" t="n"/>
      <c r="K62" s="2">
        <f>IF(COUNTA(G62:J62)&lt;4,"",ROUND(AVERAGE(G62:J62),1))</f>
        <v/>
      </c>
      <c r="L62" s="2" t="n"/>
      <c r="M62" s="2" t="n"/>
      <c r="N62" s="2" t="n"/>
      <c r="O62" s="2" t="n"/>
    </row>
    <row r="63">
      <c r="A63" s="2" t="n"/>
      <c r="B63" s="2" t="n"/>
      <c r="C63" s="2" t="n"/>
      <c r="D63" s="2" t="n"/>
      <c r="E63" s="2" t="n"/>
      <c r="F63" s="2" t="n"/>
      <c r="G63" s="2" t="n"/>
      <c r="H63" s="2" t="n"/>
      <c r="I63" s="2" t="n"/>
      <c r="J63" s="2" t="n"/>
      <c r="K63" s="2">
        <f>IF(COUNTA(G63:J63)&lt;4,"",ROUND(AVERAGE(G63:J63),1))</f>
        <v/>
      </c>
      <c r="L63" s="2" t="n"/>
      <c r="M63" s="2" t="n"/>
      <c r="N63" s="2" t="n"/>
      <c r="O63" s="2" t="n"/>
    </row>
    <row r="64">
      <c r="A64" s="2" t="n"/>
      <c r="B64" s="2" t="n"/>
      <c r="C64" s="2" t="n"/>
      <c r="D64" s="2" t="n"/>
      <c r="E64" s="2" t="n"/>
      <c r="F64" s="2" t="n"/>
      <c r="G64" s="2" t="n"/>
      <c r="H64" s="2" t="n"/>
      <c r="I64" s="2" t="n"/>
      <c r="J64" s="2" t="n"/>
      <c r="K64" s="2">
        <f>IF(COUNTA(G64:J64)&lt;4,"",ROUND(AVERAGE(G64:J64),1))</f>
        <v/>
      </c>
      <c r="L64" s="2" t="n"/>
      <c r="M64" s="2" t="n"/>
      <c r="N64" s="2" t="n"/>
      <c r="O64" s="2" t="n"/>
    </row>
    <row r="65">
      <c r="A65" s="2" t="n"/>
      <c r="B65" s="2" t="n"/>
      <c r="C65" s="2" t="n"/>
      <c r="D65" s="2" t="n"/>
      <c r="E65" s="2" t="n"/>
      <c r="F65" s="2" t="n"/>
      <c r="G65" s="2" t="n"/>
      <c r="H65" s="2" t="n"/>
      <c r="I65" s="2" t="n"/>
      <c r="J65" s="2" t="n"/>
      <c r="K65" s="2">
        <f>IF(COUNTA(G65:J65)&lt;4,"",ROUND(AVERAGE(G65:J65),1))</f>
        <v/>
      </c>
      <c r="L65" s="2" t="n"/>
      <c r="M65" s="2" t="n"/>
      <c r="N65" s="2" t="n"/>
      <c r="O65" s="2" t="n"/>
    </row>
    <row r="66">
      <c r="A66" s="2" t="n"/>
      <c r="B66" s="2" t="n"/>
      <c r="C66" s="2" t="n"/>
      <c r="D66" s="2" t="n"/>
      <c r="E66" s="2" t="n"/>
      <c r="F66" s="2" t="n"/>
      <c r="G66" s="2" t="n"/>
      <c r="H66" s="2" t="n"/>
      <c r="I66" s="2" t="n"/>
      <c r="J66" s="2" t="n"/>
      <c r="K66" s="2">
        <f>IF(COUNTA(G66:J66)&lt;4,"",ROUND(AVERAGE(G66:J66),1))</f>
        <v/>
      </c>
      <c r="L66" s="2" t="n"/>
      <c r="M66" s="2" t="n"/>
      <c r="N66" s="2" t="n"/>
      <c r="O66" s="2" t="n"/>
    </row>
    <row r="67">
      <c r="A67" s="2" t="n"/>
      <c r="B67" s="2" t="n"/>
      <c r="C67" s="2" t="n"/>
      <c r="D67" s="2" t="n"/>
      <c r="E67" s="2" t="n"/>
      <c r="F67" s="2" t="n"/>
      <c r="G67" s="2" t="n"/>
      <c r="H67" s="2" t="n"/>
      <c r="I67" s="2" t="n"/>
      <c r="J67" s="2" t="n"/>
      <c r="K67" s="2">
        <f>IF(COUNTA(G67:J67)&lt;4,"",ROUND(AVERAGE(G67:J67),1))</f>
        <v/>
      </c>
      <c r="L67" s="2" t="n"/>
      <c r="M67" s="2" t="n"/>
      <c r="N67" s="2" t="n"/>
      <c r="O67" s="2" t="n"/>
    </row>
    <row r="68">
      <c r="A68" s="2" t="n"/>
      <c r="B68" s="2" t="n"/>
      <c r="C68" s="2" t="n"/>
      <c r="D68" s="2" t="n"/>
      <c r="E68" s="2" t="n"/>
      <c r="F68" s="2" t="n"/>
      <c r="G68" s="2" t="n"/>
      <c r="H68" s="2" t="n"/>
      <c r="I68" s="2" t="n"/>
      <c r="J68" s="2" t="n"/>
      <c r="K68" s="2">
        <f>IF(COUNTA(G68:J68)&lt;4,"",ROUND(AVERAGE(G68:J68),1))</f>
        <v/>
      </c>
      <c r="L68" s="2" t="n"/>
      <c r="M68" s="2" t="n"/>
      <c r="N68" s="2" t="n"/>
      <c r="O68" s="2" t="n"/>
    </row>
    <row r="69">
      <c r="A69" s="2" t="n"/>
      <c r="B69" s="2" t="n"/>
      <c r="C69" s="2" t="n"/>
      <c r="D69" s="2" t="n"/>
      <c r="E69" s="2" t="n"/>
      <c r="F69" s="2" t="n"/>
      <c r="G69" s="2" t="n"/>
      <c r="H69" s="2" t="n"/>
      <c r="I69" s="2" t="n"/>
      <c r="J69" s="2" t="n"/>
      <c r="K69" s="2">
        <f>IF(COUNTA(G69:J69)&lt;4,"",ROUND(AVERAGE(G69:J69),1))</f>
        <v/>
      </c>
      <c r="L69" s="2" t="n"/>
      <c r="M69" s="2" t="n"/>
      <c r="N69" s="2" t="n"/>
      <c r="O69" s="2" t="n"/>
    </row>
    <row r="70">
      <c r="A70" s="2" t="n"/>
      <c r="B70" s="2" t="n"/>
      <c r="C70" s="2" t="n"/>
      <c r="D70" s="2" t="n"/>
      <c r="E70" s="2" t="n"/>
      <c r="F70" s="2" t="n"/>
      <c r="G70" s="2" t="n"/>
      <c r="H70" s="2" t="n"/>
      <c r="I70" s="2" t="n"/>
      <c r="J70" s="2" t="n"/>
      <c r="K70" s="2">
        <f>IF(COUNTA(G70:J70)&lt;4,"",ROUND(AVERAGE(G70:J70),1))</f>
        <v/>
      </c>
      <c r="L70" s="2" t="n"/>
      <c r="M70" s="2" t="n"/>
      <c r="N70" s="2" t="n"/>
      <c r="O70" s="2" t="n"/>
    </row>
    <row r="71">
      <c r="A71" s="2" t="n"/>
      <c r="B71" s="2" t="n"/>
      <c r="C71" s="2" t="n"/>
      <c r="D71" s="2" t="n"/>
      <c r="E71" s="2" t="n"/>
      <c r="F71" s="2" t="n"/>
      <c r="G71" s="2" t="n"/>
      <c r="H71" s="2" t="n"/>
      <c r="I71" s="2" t="n"/>
      <c r="J71" s="2" t="n"/>
      <c r="K71" s="2">
        <f>IF(COUNTA(G71:J71)&lt;4,"",ROUND(AVERAGE(G71:J71),1))</f>
        <v/>
      </c>
      <c r="L71" s="2" t="n"/>
      <c r="M71" s="2" t="n"/>
      <c r="N71" s="2" t="n"/>
      <c r="O71" s="2" t="n"/>
    </row>
    <row r="72">
      <c r="A72" s="2" t="n"/>
      <c r="B72" s="2" t="n"/>
      <c r="C72" s="2" t="n"/>
      <c r="D72" s="2" t="n"/>
      <c r="E72" s="2" t="n"/>
      <c r="F72" s="2" t="n"/>
      <c r="G72" s="2" t="n"/>
      <c r="H72" s="2" t="n"/>
      <c r="I72" s="2" t="n"/>
      <c r="J72" s="2" t="n"/>
      <c r="K72" s="2">
        <f>IF(COUNTA(G72:J72)&lt;4,"",ROUND(AVERAGE(G72:J72),1))</f>
        <v/>
      </c>
      <c r="L72" s="2" t="n"/>
      <c r="M72" s="2" t="n"/>
      <c r="N72" s="2" t="n"/>
      <c r="O72" s="2" t="n"/>
    </row>
    <row r="73">
      <c r="A73" s="2" t="n"/>
      <c r="B73" s="2" t="n"/>
      <c r="C73" s="2" t="n"/>
      <c r="D73" s="2" t="n"/>
      <c r="E73" s="2" t="n"/>
      <c r="F73" s="2" t="n"/>
      <c r="G73" s="2" t="n"/>
      <c r="H73" s="2" t="n"/>
      <c r="I73" s="2" t="n"/>
      <c r="J73" s="2" t="n"/>
      <c r="K73" s="2">
        <f>IF(COUNTA(G73:J73)&lt;4,"",ROUND(AVERAGE(G73:J73),1))</f>
        <v/>
      </c>
      <c r="L73" s="2" t="n"/>
      <c r="M73" s="2" t="n"/>
      <c r="N73" s="2" t="n"/>
      <c r="O73" s="2" t="n"/>
    </row>
    <row r="74">
      <c r="A74" s="2" t="n"/>
      <c r="B74" s="2" t="n"/>
      <c r="C74" s="2" t="n"/>
      <c r="D74" s="2" t="n"/>
      <c r="E74" s="2" t="n"/>
      <c r="F74" s="2" t="n"/>
      <c r="G74" s="2" t="n"/>
      <c r="H74" s="2" t="n"/>
      <c r="I74" s="2" t="n"/>
      <c r="J74" s="2" t="n"/>
      <c r="K74" s="2">
        <f>IF(COUNTA(G74:J74)&lt;4,"",ROUND(AVERAGE(G74:J74),1))</f>
        <v/>
      </c>
      <c r="L74" s="2" t="n"/>
      <c r="M74" s="2" t="n"/>
      <c r="N74" s="2" t="n"/>
      <c r="O74" s="2" t="n"/>
    </row>
    <row r="75">
      <c r="A75" s="2" t="n"/>
      <c r="B75" s="2" t="n"/>
      <c r="C75" s="2" t="n"/>
      <c r="D75" s="2" t="n"/>
      <c r="E75" s="2" t="n"/>
      <c r="F75" s="2" t="n"/>
      <c r="G75" s="2" t="n"/>
      <c r="H75" s="2" t="n"/>
      <c r="I75" s="2" t="n"/>
      <c r="J75" s="2" t="n"/>
      <c r="K75" s="2">
        <f>IF(COUNTA(G75:J75)&lt;4,"",ROUND(AVERAGE(G75:J75),1))</f>
        <v/>
      </c>
      <c r="L75" s="2" t="n"/>
      <c r="M75" s="2" t="n"/>
      <c r="N75" s="2" t="n"/>
      <c r="O75" s="2" t="n"/>
    </row>
    <row r="76">
      <c r="A76" s="2" t="n"/>
      <c r="B76" s="2" t="n"/>
      <c r="C76" s="2" t="n"/>
      <c r="D76" s="2" t="n"/>
      <c r="E76" s="2" t="n"/>
      <c r="F76" s="2" t="n"/>
      <c r="G76" s="2" t="n"/>
      <c r="H76" s="2" t="n"/>
      <c r="I76" s="2" t="n"/>
      <c r="J76" s="2" t="n"/>
      <c r="K76" s="2">
        <f>IF(COUNTA(G76:J76)&lt;4,"",ROUND(AVERAGE(G76:J76),1))</f>
        <v/>
      </c>
      <c r="L76" s="2" t="n"/>
      <c r="M76" s="2" t="n"/>
      <c r="N76" s="2" t="n"/>
      <c r="O76" s="2" t="n"/>
    </row>
    <row r="77">
      <c r="A77" s="2" t="n"/>
      <c r="B77" s="2" t="n"/>
      <c r="C77" s="2" t="n"/>
      <c r="D77" s="2" t="n"/>
      <c r="E77" s="2" t="n"/>
      <c r="F77" s="2" t="n"/>
      <c r="G77" s="2" t="n"/>
      <c r="H77" s="2" t="n"/>
      <c r="I77" s="2" t="n"/>
      <c r="J77" s="2" t="n"/>
      <c r="K77" s="2">
        <f>IF(COUNTA(G77:J77)&lt;4,"",ROUND(AVERAGE(G77:J77),1))</f>
        <v/>
      </c>
      <c r="L77" s="2" t="n"/>
      <c r="M77" s="2" t="n"/>
      <c r="N77" s="2" t="n"/>
      <c r="O77" s="2" t="n"/>
    </row>
    <row r="78">
      <c r="A78" s="2" t="n"/>
      <c r="B78" s="2" t="n"/>
      <c r="C78" s="2" t="n"/>
      <c r="D78" s="2" t="n"/>
      <c r="E78" s="2" t="n"/>
      <c r="F78" s="2" t="n"/>
      <c r="G78" s="2" t="n"/>
      <c r="H78" s="2" t="n"/>
      <c r="I78" s="2" t="n"/>
      <c r="J78" s="2" t="n"/>
      <c r="K78" s="2">
        <f>IF(COUNTA(G78:J78)&lt;4,"",ROUND(AVERAGE(G78:J78),1))</f>
        <v/>
      </c>
      <c r="L78" s="2" t="n"/>
      <c r="M78" s="2" t="n"/>
      <c r="N78" s="2" t="n"/>
      <c r="O78" s="2" t="n"/>
    </row>
    <row r="79">
      <c r="A79" s="2" t="n"/>
      <c r="B79" s="2" t="n"/>
      <c r="C79" s="2" t="n"/>
      <c r="D79" s="2" t="n"/>
      <c r="E79" s="2" t="n"/>
      <c r="F79" s="2" t="n"/>
      <c r="G79" s="2" t="n"/>
      <c r="H79" s="2" t="n"/>
      <c r="I79" s="2" t="n"/>
      <c r="J79" s="2" t="n"/>
      <c r="K79" s="2">
        <f>IF(COUNTA(G79:J79)&lt;4,"",ROUND(AVERAGE(G79:J79),1))</f>
        <v/>
      </c>
      <c r="L79" s="2" t="n"/>
      <c r="M79" s="2" t="n"/>
      <c r="N79" s="2" t="n"/>
      <c r="O79" s="2" t="n"/>
    </row>
    <row r="80">
      <c r="A80" s="2" t="n"/>
      <c r="B80" s="2" t="n"/>
      <c r="C80" s="2" t="n"/>
      <c r="D80" s="2" t="n"/>
      <c r="E80" s="2" t="n"/>
      <c r="F80" s="2" t="n"/>
      <c r="G80" s="2" t="n"/>
      <c r="H80" s="2" t="n"/>
      <c r="I80" s="2" t="n"/>
      <c r="J80" s="2" t="n"/>
      <c r="K80" s="2">
        <f>IF(COUNTA(G80:J80)&lt;4,"",ROUND(AVERAGE(G80:J80),1))</f>
        <v/>
      </c>
      <c r="L80" s="2" t="n"/>
      <c r="M80" s="2" t="n"/>
      <c r="N80" s="2" t="n"/>
      <c r="O80" s="2" t="n"/>
    </row>
    <row r="81">
      <c r="A81" s="2" t="n"/>
      <c r="B81" s="2" t="n"/>
      <c r="C81" s="2" t="n"/>
      <c r="D81" s="2" t="n"/>
      <c r="E81" s="2" t="n"/>
      <c r="F81" s="2" t="n"/>
      <c r="G81" s="2" t="n"/>
      <c r="H81" s="2" t="n"/>
      <c r="I81" s="2" t="n"/>
      <c r="J81" s="2" t="n"/>
      <c r="K81" s="2">
        <f>IF(COUNTA(G81:J81)&lt;4,"",ROUND(AVERAGE(G81:J81),1))</f>
        <v/>
      </c>
      <c r="L81" s="2" t="n"/>
      <c r="M81" s="2" t="n"/>
      <c r="N81" s="2" t="n"/>
      <c r="O81" s="2" t="n"/>
    </row>
    <row r="82">
      <c r="A82" s="2" t="n"/>
      <c r="B82" s="2" t="n"/>
      <c r="C82" s="2" t="n"/>
      <c r="D82" s="2" t="n"/>
      <c r="E82" s="2" t="n"/>
      <c r="F82" s="2" t="n"/>
      <c r="G82" s="2" t="n"/>
      <c r="H82" s="2" t="n"/>
      <c r="I82" s="2" t="n"/>
      <c r="J82" s="2" t="n"/>
      <c r="K82" s="2">
        <f>IF(COUNTA(G82:J82)&lt;4,"",ROUND(AVERAGE(G82:J82),1))</f>
        <v/>
      </c>
      <c r="L82" s="2" t="n"/>
      <c r="M82" s="2" t="n"/>
      <c r="N82" s="2" t="n"/>
      <c r="O82" s="2" t="n"/>
    </row>
    <row r="83">
      <c r="A83" s="2" t="n"/>
      <c r="B83" s="2" t="n"/>
      <c r="C83" s="2" t="n"/>
      <c r="D83" s="2" t="n"/>
      <c r="E83" s="2" t="n"/>
      <c r="F83" s="2" t="n"/>
      <c r="G83" s="2" t="n"/>
      <c r="H83" s="2" t="n"/>
      <c r="I83" s="2" t="n"/>
      <c r="J83" s="2" t="n"/>
      <c r="K83" s="2">
        <f>IF(COUNTA(G83:J83)&lt;4,"",ROUND(AVERAGE(G83:J83),1))</f>
        <v/>
      </c>
      <c r="L83" s="2" t="n"/>
      <c r="M83" s="2" t="n"/>
      <c r="N83" s="2" t="n"/>
      <c r="O83" s="2" t="n"/>
    </row>
    <row r="84">
      <c r="A84" s="2" t="n"/>
      <c r="B84" s="2" t="n"/>
      <c r="C84" s="2" t="n"/>
      <c r="D84" s="2" t="n"/>
      <c r="E84" s="2" t="n"/>
      <c r="F84" s="2" t="n"/>
      <c r="G84" s="2" t="n"/>
      <c r="H84" s="2" t="n"/>
      <c r="I84" s="2" t="n"/>
      <c r="J84" s="2" t="n"/>
      <c r="K84" s="2">
        <f>IF(COUNTA(G84:J84)&lt;4,"",ROUND(AVERAGE(G84:J84),1))</f>
        <v/>
      </c>
      <c r="L84" s="2" t="n"/>
      <c r="M84" s="2" t="n"/>
      <c r="N84" s="2" t="n"/>
      <c r="O84" s="2" t="n"/>
    </row>
    <row r="85">
      <c r="A85" s="2" t="n"/>
      <c r="B85" s="2" t="n"/>
      <c r="C85" s="2" t="n"/>
      <c r="D85" s="2" t="n"/>
      <c r="E85" s="2" t="n"/>
      <c r="F85" s="2" t="n"/>
      <c r="G85" s="2" t="n"/>
      <c r="H85" s="2" t="n"/>
      <c r="I85" s="2" t="n"/>
      <c r="J85" s="2" t="n"/>
      <c r="K85" s="2">
        <f>IF(COUNTA(G85:J85)&lt;4,"",ROUND(AVERAGE(G85:J85),1))</f>
        <v/>
      </c>
      <c r="L85" s="2" t="n"/>
      <c r="M85" s="2" t="n"/>
      <c r="N85" s="2" t="n"/>
      <c r="O85" s="2" t="n"/>
    </row>
    <row r="86">
      <c r="A86" s="2" t="n"/>
      <c r="B86" s="2" t="n"/>
      <c r="C86" s="2" t="n"/>
      <c r="D86" s="2" t="n"/>
      <c r="E86" s="2" t="n"/>
      <c r="F86" s="2" t="n"/>
      <c r="G86" s="2" t="n"/>
      <c r="H86" s="2" t="n"/>
      <c r="I86" s="2" t="n"/>
      <c r="J86" s="2" t="n"/>
      <c r="K86" s="2">
        <f>IF(COUNTA(G86:J86)&lt;4,"",ROUND(AVERAGE(G86:J86),1))</f>
        <v/>
      </c>
      <c r="L86" s="2" t="n"/>
      <c r="M86" s="2" t="n"/>
      <c r="N86" s="2" t="n"/>
      <c r="O86" s="2" t="n"/>
    </row>
    <row r="87">
      <c r="A87" s="2" t="n"/>
      <c r="B87" s="2" t="n"/>
      <c r="C87" s="2" t="n"/>
      <c r="D87" s="2" t="n"/>
      <c r="E87" s="2" t="n"/>
      <c r="F87" s="2" t="n"/>
      <c r="G87" s="2" t="n"/>
      <c r="H87" s="2" t="n"/>
      <c r="I87" s="2" t="n"/>
      <c r="J87" s="2" t="n"/>
      <c r="K87" s="2">
        <f>IF(COUNTA(G87:J87)&lt;4,"",ROUND(AVERAGE(G87:J87),1))</f>
        <v/>
      </c>
      <c r="L87" s="2" t="n"/>
      <c r="M87" s="2" t="n"/>
      <c r="N87" s="2" t="n"/>
      <c r="O87" s="2" t="n"/>
    </row>
    <row r="88">
      <c r="A88" s="2" t="n"/>
      <c r="B88" s="2" t="n"/>
      <c r="C88" s="2" t="n"/>
      <c r="D88" s="2" t="n"/>
      <c r="E88" s="2" t="n"/>
      <c r="F88" s="2" t="n"/>
      <c r="G88" s="2" t="n"/>
      <c r="H88" s="2" t="n"/>
      <c r="I88" s="2" t="n"/>
      <c r="J88" s="2" t="n"/>
      <c r="K88" s="2">
        <f>IF(COUNTA(G88:J88)&lt;4,"",ROUND(AVERAGE(G88:J88),1))</f>
        <v/>
      </c>
      <c r="L88" s="2" t="n"/>
      <c r="M88" s="2" t="n"/>
      <c r="N88" s="2" t="n"/>
      <c r="O88" s="2" t="n"/>
    </row>
    <row r="89">
      <c r="A89" s="2" t="n"/>
      <c r="B89" s="2" t="n"/>
      <c r="C89" s="2" t="n"/>
      <c r="D89" s="2" t="n"/>
      <c r="E89" s="2" t="n"/>
      <c r="F89" s="2" t="n"/>
      <c r="G89" s="2" t="n"/>
      <c r="H89" s="2" t="n"/>
      <c r="I89" s="2" t="n"/>
      <c r="J89" s="2" t="n"/>
      <c r="K89" s="2">
        <f>IF(COUNTA(G89:J89)&lt;4,"",ROUND(AVERAGE(G89:J89),1))</f>
        <v/>
      </c>
      <c r="L89" s="2" t="n"/>
      <c r="M89" s="2" t="n"/>
      <c r="N89" s="2" t="n"/>
      <c r="O89" s="2" t="n"/>
    </row>
    <row r="90">
      <c r="A90" s="2" t="n"/>
      <c r="B90" s="2" t="n"/>
      <c r="C90" s="2" t="n"/>
      <c r="D90" s="2" t="n"/>
      <c r="E90" s="2" t="n"/>
      <c r="F90" s="2" t="n"/>
      <c r="G90" s="2" t="n"/>
      <c r="H90" s="2" t="n"/>
      <c r="I90" s="2" t="n"/>
      <c r="J90" s="2" t="n"/>
      <c r="K90" s="2">
        <f>IF(COUNTA(G90:J90)&lt;4,"",ROUND(AVERAGE(G90:J90),1))</f>
        <v/>
      </c>
      <c r="L90" s="2" t="n"/>
      <c r="M90" s="2" t="n"/>
      <c r="N90" s="2" t="n"/>
      <c r="O90" s="2" t="n"/>
    </row>
    <row r="91">
      <c r="A91" s="2" t="n"/>
      <c r="B91" s="2" t="n"/>
      <c r="C91" s="2" t="n"/>
      <c r="D91" s="2" t="n"/>
      <c r="E91" s="2" t="n"/>
      <c r="F91" s="2" t="n"/>
      <c r="G91" s="2" t="n"/>
      <c r="H91" s="2" t="n"/>
      <c r="I91" s="2" t="n"/>
      <c r="J91" s="2" t="n"/>
      <c r="K91" s="2">
        <f>IF(COUNTA(G91:J91)&lt;4,"",ROUND(AVERAGE(G91:J91),1))</f>
        <v/>
      </c>
      <c r="L91" s="2" t="n"/>
      <c r="M91" s="2" t="n"/>
      <c r="N91" s="2" t="n"/>
      <c r="O91" s="2" t="n"/>
    </row>
    <row r="92">
      <c r="A92" s="2" t="n"/>
      <c r="B92" s="2" t="n"/>
      <c r="C92" s="2" t="n"/>
      <c r="D92" s="2" t="n"/>
      <c r="E92" s="2" t="n"/>
      <c r="F92" s="2" t="n"/>
      <c r="G92" s="2" t="n"/>
      <c r="H92" s="2" t="n"/>
      <c r="I92" s="2" t="n"/>
      <c r="J92" s="2" t="n"/>
      <c r="K92" s="2">
        <f>IF(COUNTA(G92:J92)&lt;4,"",ROUND(AVERAGE(G92:J92),1))</f>
        <v/>
      </c>
      <c r="L92" s="2" t="n"/>
      <c r="M92" s="2" t="n"/>
      <c r="N92" s="2" t="n"/>
      <c r="O92" s="2" t="n"/>
    </row>
    <row r="93">
      <c r="A93" s="2" t="n"/>
      <c r="B93" s="2" t="n"/>
      <c r="C93" s="2" t="n"/>
      <c r="D93" s="2" t="n"/>
      <c r="E93" s="2" t="n"/>
      <c r="F93" s="2" t="n"/>
      <c r="G93" s="2" t="n"/>
      <c r="H93" s="2" t="n"/>
      <c r="I93" s="2" t="n"/>
      <c r="J93" s="2" t="n"/>
      <c r="K93" s="2">
        <f>IF(COUNTA(G93:J93)&lt;4,"",ROUND(AVERAGE(G93:J93),1))</f>
        <v/>
      </c>
      <c r="L93" s="2" t="n"/>
      <c r="M93" s="2" t="n"/>
      <c r="N93" s="2" t="n"/>
      <c r="O93" s="2" t="n"/>
    </row>
    <row r="94">
      <c r="A94" s="2" t="n"/>
      <c r="B94" s="2" t="n"/>
      <c r="C94" s="2" t="n"/>
      <c r="D94" s="2" t="n"/>
      <c r="E94" s="2" t="n"/>
      <c r="F94" s="2" t="n"/>
      <c r="G94" s="2" t="n"/>
      <c r="H94" s="2" t="n"/>
      <c r="I94" s="2" t="n"/>
      <c r="J94" s="2" t="n"/>
      <c r="K94" s="2">
        <f>IF(COUNTA(G94:J94)&lt;4,"",ROUND(AVERAGE(G94:J94),1))</f>
        <v/>
      </c>
      <c r="L94" s="2" t="n"/>
      <c r="M94" s="2" t="n"/>
      <c r="N94" s="2" t="n"/>
      <c r="O94" s="2" t="n"/>
    </row>
    <row r="95">
      <c r="A95" s="2" t="n"/>
      <c r="B95" s="2" t="n"/>
      <c r="C95" s="2" t="n"/>
      <c r="D95" s="2" t="n"/>
      <c r="E95" s="2" t="n"/>
      <c r="F95" s="2" t="n"/>
      <c r="G95" s="2" t="n"/>
      <c r="H95" s="2" t="n"/>
      <c r="I95" s="2" t="n"/>
      <c r="J95" s="2" t="n"/>
      <c r="K95" s="2">
        <f>IF(COUNTA(G95:J95)&lt;4,"",ROUND(AVERAGE(G95:J95),1))</f>
        <v/>
      </c>
      <c r="L95" s="2" t="n"/>
      <c r="M95" s="2" t="n"/>
      <c r="N95" s="2" t="n"/>
      <c r="O95" s="2" t="n"/>
    </row>
    <row r="96">
      <c r="A96" s="2" t="n"/>
      <c r="B96" s="2" t="n"/>
      <c r="C96" s="2" t="n"/>
      <c r="D96" s="2" t="n"/>
      <c r="E96" s="2" t="n"/>
      <c r="F96" s="2" t="n"/>
      <c r="G96" s="2" t="n"/>
      <c r="H96" s="2" t="n"/>
      <c r="I96" s="2" t="n"/>
      <c r="J96" s="2" t="n"/>
      <c r="K96" s="2">
        <f>IF(COUNTA(G96:J96)&lt;4,"",ROUND(AVERAGE(G96:J96),1))</f>
        <v/>
      </c>
      <c r="L96" s="2" t="n"/>
      <c r="M96" s="2" t="n"/>
      <c r="N96" s="2" t="n"/>
      <c r="O96" s="2" t="n"/>
    </row>
    <row r="97">
      <c r="A97" s="2" t="n"/>
      <c r="B97" s="2" t="n"/>
      <c r="C97" s="2" t="n"/>
      <c r="D97" s="2" t="n"/>
      <c r="E97" s="2" t="n"/>
      <c r="F97" s="2" t="n"/>
      <c r="G97" s="2" t="n"/>
      <c r="H97" s="2" t="n"/>
      <c r="I97" s="2" t="n"/>
      <c r="J97" s="2" t="n"/>
      <c r="K97" s="2">
        <f>IF(COUNTA(G97:J97)&lt;4,"",ROUND(AVERAGE(G97:J97),1))</f>
        <v/>
      </c>
      <c r="L97" s="2" t="n"/>
      <c r="M97" s="2" t="n"/>
      <c r="N97" s="2" t="n"/>
      <c r="O97" s="2" t="n"/>
    </row>
    <row r="98">
      <c r="A98" s="2" t="n"/>
      <c r="B98" s="2" t="n"/>
      <c r="C98" s="2" t="n"/>
      <c r="D98" s="2" t="n"/>
      <c r="E98" s="2" t="n"/>
      <c r="F98" s="2" t="n"/>
      <c r="G98" s="2" t="n"/>
      <c r="H98" s="2" t="n"/>
      <c r="I98" s="2" t="n"/>
      <c r="J98" s="2" t="n"/>
      <c r="K98" s="2">
        <f>IF(COUNTA(G98:J98)&lt;4,"",ROUND(AVERAGE(G98:J98),1))</f>
        <v/>
      </c>
      <c r="L98" s="2" t="n"/>
      <c r="M98" s="2" t="n"/>
      <c r="N98" s="2" t="n"/>
      <c r="O98" s="2" t="n"/>
    </row>
    <row r="99">
      <c r="A99" s="2" t="n"/>
      <c r="B99" s="2" t="n"/>
      <c r="C99" s="2" t="n"/>
      <c r="D99" s="2" t="n"/>
      <c r="E99" s="2" t="n"/>
      <c r="F99" s="2" t="n"/>
      <c r="G99" s="2" t="n"/>
      <c r="H99" s="2" t="n"/>
      <c r="I99" s="2" t="n"/>
      <c r="J99" s="2" t="n"/>
      <c r="K99" s="2">
        <f>IF(COUNTA(G99:J99)&lt;4,"",ROUND(AVERAGE(G99:J99),1))</f>
        <v/>
      </c>
      <c r="L99" s="2" t="n"/>
      <c r="M99" s="2" t="n"/>
      <c r="N99" s="2" t="n"/>
      <c r="O99" s="2" t="n"/>
    </row>
    <row r="100">
      <c r="A100" s="2" t="n"/>
      <c r="B100" s="2" t="n"/>
      <c r="C100" s="2" t="n"/>
      <c r="D100" s="2" t="n"/>
      <c r="E100" s="2" t="n"/>
      <c r="F100" s="2" t="n"/>
      <c r="G100" s="2" t="n"/>
      <c r="H100" s="2" t="n"/>
      <c r="I100" s="2" t="n"/>
      <c r="J100" s="2" t="n"/>
      <c r="K100" s="2">
        <f>IF(COUNTA(G100:J100)&lt;4,"",ROUND(AVERAGE(G100:J100),1))</f>
        <v/>
      </c>
      <c r="L100" s="2" t="n"/>
      <c r="M100" s="2" t="n"/>
      <c r="N100" s="2" t="n"/>
      <c r="O100" s="2" t="n"/>
    </row>
    <row r="101">
      <c r="A101" s="2" t="n"/>
      <c r="B101" s="2" t="n"/>
      <c r="C101" s="2" t="n"/>
      <c r="D101" s="2" t="n"/>
      <c r="E101" s="2" t="n"/>
      <c r="F101" s="2" t="n"/>
      <c r="G101" s="2" t="n"/>
      <c r="H101" s="2" t="n"/>
      <c r="I101" s="2" t="n"/>
      <c r="J101" s="2" t="n"/>
      <c r="K101" s="2">
        <f>IF(COUNTA(G101:J101)&lt;4,"",ROUND(AVERAGE(G101:J101),1))</f>
        <v/>
      </c>
      <c r="L101" s="2" t="n"/>
      <c r="M101" s="2" t="n"/>
      <c r="N101" s="2" t="n"/>
      <c r="O101" s="2" t="n"/>
    </row>
    <row r="102">
      <c r="A102" s="2" t="n"/>
      <c r="B102" s="2" t="n"/>
      <c r="C102" s="2" t="n"/>
      <c r="D102" s="2" t="n"/>
      <c r="E102" s="2" t="n"/>
      <c r="F102" s="2" t="n"/>
      <c r="G102" s="2" t="n"/>
      <c r="H102" s="2" t="n"/>
      <c r="I102" s="2" t="n"/>
      <c r="J102" s="2" t="n"/>
      <c r="K102" s="2">
        <f>IF(COUNTA(G102:J102)&lt;4,"",ROUND(AVERAGE(G102:J102),1))</f>
        <v/>
      </c>
      <c r="L102" s="2" t="n"/>
      <c r="M102" s="2" t="n"/>
      <c r="N102" s="2" t="n"/>
      <c r="O102" s="2" t="n"/>
    </row>
    <row r="103">
      <c r="A103" s="2" t="n"/>
      <c r="B103" s="2" t="n"/>
      <c r="C103" s="2" t="n"/>
      <c r="D103" s="2" t="n"/>
      <c r="E103" s="2" t="n"/>
      <c r="F103" s="2" t="n"/>
      <c r="G103" s="2" t="n"/>
      <c r="H103" s="2" t="n"/>
      <c r="I103" s="2" t="n"/>
      <c r="J103" s="2" t="n"/>
      <c r="K103" s="2">
        <f>IF(COUNTA(G103:J103)&lt;4,"",ROUND(AVERAGE(G103:J103),1))</f>
        <v/>
      </c>
      <c r="L103" s="2" t="n"/>
      <c r="M103" s="2" t="n"/>
      <c r="N103" s="2" t="n"/>
      <c r="O103" s="2" t="n"/>
    </row>
    <row r="104">
      <c r="A104" s="2" t="n"/>
      <c r="B104" s="2" t="n"/>
      <c r="C104" s="2" t="n"/>
      <c r="D104" s="2" t="n"/>
      <c r="E104" s="2" t="n"/>
      <c r="F104" s="2" t="n"/>
      <c r="G104" s="2" t="n"/>
      <c r="H104" s="2" t="n"/>
      <c r="I104" s="2" t="n"/>
      <c r="J104" s="2" t="n"/>
      <c r="K104" s="2">
        <f>IF(COUNTA(G104:J104)&lt;4,"",ROUND(AVERAGE(G104:J104),1))</f>
        <v/>
      </c>
      <c r="L104" s="2" t="n"/>
      <c r="M104" s="2" t="n"/>
      <c r="N104" s="2" t="n"/>
      <c r="O104" s="2" t="n"/>
    </row>
    <row r="105">
      <c r="A105" s="2" t="n"/>
      <c r="B105" s="2" t="n"/>
      <c r="C105" s="2" t="n"/>
      <c r="D105" s="2" t="n"/>
      <c r="E105" s="2" t="n"/>
      <c r="F105" s="2" t="n"/>
      <c r="G105" s="2" t="n"/>
      <c r="H105" s="2" t="n"/>
      <c r="I105" s="2" t="n"/>
      <c r="J105" s="2" t="n"/>
      <c r="K105" s="2">
        <f>IF(COUNTA(G105:J105)&lt;4,"",ROUND(AVERAGE(G105:J105),1))</f>
        <v/>
      </c>
      <c r="L105" s="2" t="n"/>
      <c r="M105" s="2" t="n"/>
      <c r="N105" s="2" t="n"/>
      <c r="O105" s="2" t="n"/>
    </row>
    <row r="106">
      <c r="A106" s="2" t="n"/>
      <c r="B106" s="2" t="n"/>
      <c r="C106" s="2" t="n"/>
      <c r="D106" s="2" t="n"/>
      <c r="E106" s="2" t="n"/>
      <c r="F106" s="2" t="n"/>
      <c r="G106" s="2" t="n"/>
      <c r="H106" s="2" t="n"/>
      <c r="I106" s="2" t="n"/>
      <c r="J106" s="2" t="n"/>
      <c r="K106" s="2">
        <f>IF(COUNTA(G106:J106)&lt;4,"",ROUND(AVERAGE(G106:J106),1))</f>
        <v/>
      </c>
      <c r="L106" s="2" t="n"/>
      <c r="M106" s="2" t="n"/>
      <c r="N106" s="2" t="n"/>
      <c r="O106" s="2" t="n"/>
    </row>
    <row r="107">
      <c r="A107" s="2" t="n"/>
      <c r="B107" s="2" t="n"/>
      <c r="C107" s="2" t="n"/>
      <c r="D107" s="2" t="n"/>
      <c r="E107" s="2" t="n"/>
      <c r="F107" s="2" t="n"/>
      <c r="G107" s="2" t="n"/>
      <c r="H107" s="2" t="n"/>
      <c r="I107" s="2" t="n"/>
      <c r="J107" s="2" t="n"/>
      <c r="K107" s="2">
        <f>IF(COUNTA(G107:J107)&lt;4,"",ROUND(AVERAGE(G107:J107),1))</f>
        <v/>
      </c>
      <c r="L107" s="2" t="n"/>
      <c r="M107" s="2" t="n"/>
      <c r="N107" s="2" t="n"/>
      <c r="O107" s="2" t="n"/>
    </row>
    <row r="108">
      <c r="A108" s="2" t="n"/>
      <c r="B108" s="2" t="n"/>
      <c r="C108" s="2" t="n"/>
      <c r="D108" s="2" t="n"/>
      <c r="E108" s="2" t="n"/>
      <c r="F108" s="2" t="n"/>
      <c r="G108" s="2" t="n"/>
      <c r="H108" s="2" t="n"/>
      <c r="I108" s="2" t="n"/>
      <c r="J108" s="2" t="n"/>
      <c r="K108" s="2">
        <f>IF(COUNTA(G108:J108)&lt;4,"",ROUND(AVERAGE(G108:J108),1))</f>
        <v/>
      </c>
      <c r="L108" s="2" t="n"/>
      <c r="M108" s="2" t="n"/>
      <c r="N108" s="2" t="n"/>
      <c r="O108" s="2" t="n"/>
    </row>
    <row r="109">
      <c r="A109" s="2" t="n"/>
      <c r="B109" s="2" t="n"/>
      <c r="C109" s="2" t="n"/>
      <c r="D109" s="2" t="n"/>
      <c r="E109" s="2" t="n"/>
      <c r="F109" s="2" t="n"/>
      <c r="G109" s="2" t="n"/>
      <c r="H109" s="2" t="n"/>
      <c r="I109" s="2" t="n"/>
      <c r="J109" s="2" t="n"/>
      <c r="K109" s="2">
        <f>IF(COUNTA(G109:J109)&lt;4,"",ROUND(AVERAGE(G109:J109),1))</f>
        <v/>
      </c>
      <c r="L109" s="2" t="n"/>
      <c r="M109" s="2" t="n"/>
      <c r="N109" s="2" t="n"/>
      <c r="O109" s="2" t="n"/>
    </row>
    <row r="110">
      <c r="A110" s="2" t="n"/>
      <c r="B110" s="2" t="n"/>
      <c r="C110" s="2" t="n"/>
      <c r="D110" s="2" t="n"/>
      <c r="E110" s="2" t="n"/>
      <c r="F110" s="2" t="n"/>
      <c r="G110" s="2" t="n"/>
      <c r="H110" s="2" t="n"/>
      <c r="I110" s="2" t="n"/>
      <c r="J110" s="2" t="n"/>
      <c r="K110" s="2">
        <f>IF(COUNTA(G110:J110)&lt;4,"",ROUND(AVERAGE(G110:J110),1))</f>
        <v/>
      </c>
      <c r="L110" s="2" t="n"/>
      <c r="M110" s="2" t="n"/>
      <c r="N110" s="2" t="n"/>
      <c r="O110" s="2" t="n"/>
    </row>
    <row r="111">
      <c r="A111" s="2" t="n"/>
      <c r="B111" s="2" t="n"/>
      <c r="C111" s="2" t="n"/>
      <c r="D111" s="2" t="n"/>
      <c r="E111" s="2" t="n"/>
      <c r="F111" s="2" t="n"/>
      <c r="G111" s="2" t="n"/>
      <c r="H111" s="2" t="n"/>
      <c r="I111" s="2" t="n"/>
      <c r="J111" s="2" t="n"/>
      <c r="K111" s="2">
        <f>IF(COUNTA(G111:J111)&lt;4,"",ROUND(AVERAGE(G111:J111),1))</f>
        <v/>
      </c>
      <c r="L111" s="2" t="n"/>
      <c r="M111" s="2" t="n"/>
      <c r="N111" s="2" t="n"/>
      <c r="O111" s="2" t="n"/>
    </row>
    <row r="112">
      <c r="A112" s="2" t="n"/>
      <c r="B112" s="2" t="n"/>
      <c r="C112" s="2" t="n"/>
      <c r="D112" s="2" t="n"/>
      <c r="E112" s="2" t="n"/>
      <c r="F112" s="2" t="n"/>
      <c r="G112" s="2" t="n"/>
      <c r="H112" s="2" t="n"/>
      <c r="I112" s="2" t="n"/>
      <c r="J112" s="2" t="n"/>
      <c r="K112" s="2">
        <f>IF(COUNTA(G112:J112)&lt;4,"",ROUND(AVERAGE(G112:J112),1))</f>
        <v/>
      </c>
      <c r="L112" s="2" t="n"/>
      <c r="M112" s="2" t="n"/>
      <c r="N112" s="2" t="n"/>
      <c r="O112" s="2" t="n"/>
    </row>
    <row r="113">
      <c r="A113" s="2" t="n"/>
      <c r="B113" s="2" t="n"/>
      <c r="C113" s="2" t="n"/>
      <c r="D113" s="2" t="n"/>
      <c r="E113" s="2" t="n"/>
      <c r="F113" s="2" t="n"/>
      <c r="G113" s="2" t="n"/>
      <c r="H113" s="2" t="n"/>
      <c r="I113" s="2" t="n"/>
      <c r="J113" s="2" t="n"/>
      <c r="K113" s="2">
        <f>IF(COUNTA(G113:J113)&lt;4,"",ROUND(AVERAGE(G113:J113),1))</f>
        <v/>
      </c>
      <c r="L113" s="2" t="n"/>
      <c r="M113" s="2" t="n"/>
      <c r="N113" s="2" t="n"/>
      <c r="O113" s="2" t="n"/>
    </row>
    <row r="114">
      <c r="A114" s="2" t="n"/>
      <c r="B114" s="2" t="n"/>
      <c r="C114" s="2" t="n"/>
      <c r="D114" s="2" t="n"/>
      <c r="E114" s="2" t="n"/>
      <c r="F114" s="2" t="n"/>
      <c r="G114" s="2" t="n"/>
      <c r="H114" s="2" t="n"/>
      <c r="I114" s="2" t="n"/>
      <c r="J114" s="2" t="n"/>
      <c r="K114" s="2">
        <f>IF(COUNTA(G114:J114)&lt;4,"",ROUND(AVERAGE(G114:J114),1))</f>
        <v/>
      </c>
      <c r="L114" s="2" t="n"/>
      <c r="M114" s="2" t="n"/>
      <c r="N114" s="2" t="n"/>
      <c r="O114" s="2" t="n"/>
    </row>
    <row r="115">
      <c r="A115" s="2" t="n"/>
      <c r="B115" s="2" t="n"/>
      <c r="C115" s="2" t="n"/>
      <c r="D115" s="2" t="n"/>
      <c r="E115" s="2" t="n"/>
      <c r="F115" s="2" t="n"/>
      <c r="G115" s="2" t="n"/>
      <c r="H115" s="2" t="n"/>
      <c r="I115" s="2" t="n"/>
      <c r="J115" s="2" t="n"/>
      <c r="K115" s="2">
        <f>IF(COUNTA(G115:J115)&lt;4,"",ROUND(AVERAGE(G115:J115),1))</f>
        <v/>
      </c>
      <c r="L115" s="2" t="n"/>
      <c r="M115" s="2" t="n"/>
      <c r="N115" s="2" t="n"/>
      <c r="O115" s="2" t="n"/>
    </row>
    <row r="116">
      <c r="A116" s="2" t="n"/>
      <c r="B116" s="2" t="n"/>
      <c r="C116" s="2" t="n"/>
      <c r="D116" s="2" t="n"/>
      <c r="E116" s="2" t="n"/>
      <c r="F116" s="2" t="n"/>
      <c r="G116" s="2" t="n"/>
      <c r="H116" s="2" t="n"/>
      <c r="I116" s="2" t="n"/>
      <c r="J116" s="2" t="n"/>
      <c r="K116" s="2">
        <f>IF(COUNTA(G116:J116)&lt;4,"",ROUND(AVERAGE(G116:J116),1))</f>
        <v/>
      </c>
      <c r="L116" s="2" t="n"/>
      <c r="M116" s="2" t="n"/>
      <c r="N116" s="2" t="n"/>
      <c r="O116" s="2" t="n"/>
    </row>
    <row r="117">
      <c r="A117" s="2" t="n"/>
      <c r="B117" s="2" t="n"/>
      <c r="C117" s="2" t="n"/>
      <c r="D117" s="2" t="n"/>
      <c r="E117" s="2" t="n"/>
      <c r="F117" s="2" t="n"/>
      <c r="G117" s="2" t="n"/>
      <c r="H117" s="2" t="n"/>
      <c r="I117" s="2" t="n"/>
      <c r="J117" s="2" t="n"/>
      <c r="K117" s="2">
        <f>IF(COUNTA(G117:J117)&lt;4,"",ROUND(AVERAGE(G117:J117),1))</f>
        <v/>
      </c>
      <c r="L117" s="2" t="n"/>
      <c r="M117" s="2" t="n"/>
      <c r="N117" s="2" t="n"/>
      <c r="O117" s="2" t="n"/>
    </row>
    <row r="118">
      <c r="A118" s="2" t="n"/>
      <c r="B118" s="2" t="n"/>
      <c r="C118" s="2" t="n"/>
      <c r="D118" s="2" t="n"/>
      <c r="E118" s="2" t="n"/>
      <c r="F118" s="2" t="n"/>
      <c r="G118" s="2" t="n"/>
      <c r="H118" s="2" t="n"/>
      <c r="I118" s="2" t="n"/>
      <c r="J118" s="2" t="n"/>
      <c r="K118" s="2">
        <f>IF(COUNTA(G118:J118)&lt;4,"",ROUND(AVERAGE(G118:J118),1))</f>
        <v/>
      </c>
      <c r="L118" s="2" t="n"/>
      <c r="M118" s="2" t="n"/>
      <c r="N118" s="2" t="n"/>
      <c r="O118" s="2" t="n"/>
    </row>
    <row r="119">
      <c r="A119" s="2" t="n"/>
      <c r="B119" s="2" t="n"/>
      <c r="C119" s="2" t="n"/>
      <c r="D119" s="2" t="n"/>
      <c r="E119" s="2" t="n"/>
      <c r="F119" s="2" t="n"/>
      <c r="G119" s="2" t="n"/>
      <c r="H119" s="2" t="n"/>
      <c r="I119" s="2" t="n"/>
      <c r="J119" s="2" t="n"/>
      <c r="K119" s="2">
        <f>IF(COUNTA(G119:J119)&lt;4,"",ROUND(AVERAGE(G119:J119),1))</f>
        <v/>
      </c>
      <c r="L119" s="2" t="n"/>
      <c r="M119" s="2" t="n"/>
      <c r="N119" s="2" t="n"/>
      <c r="O119" s="2" t="n"/>
    </row>
    <row r="120">
      <c r="A120" s="2" t="n"/>
      <c r="B120" s="2" t="n"/>
      <c r="C120" s="2" t="n"/>
      <c r="D120" s="2" t="n"/>
      <c r="E120" s="2" t="n"/>
      <c r="F120" s="2" t="n"/>
      <c r="G120" s="2" t="n"/>
      <c r="H120" s="2" t="n"/>
      <c r="I120" s="2" t="n"/>
      <c r="J120" s="2" t="n"/>
      <c r="K120" s="2">
        <f>IF(COUNTA(G120:J120)&lt;4,"",ROUND(AVERAGE(G120:J120),1))</f>
        <v/>
      </c>
      <c r="L120" s="2" t="n"/>
      <c r="M120" s="2" t="n"/>
      <c r="N120" s="2" t="n"/>
      <c r="O120" s="2" t="n"/>
    </row>
    <row r="121">
      <c r="A121" s="2" t="n"/>
      <c r="B121" s="2" t="n"/>
      <c r="C121" s="2" t="n"/>
      <c r="D121" s="2" t="n"/>
      <c r="E121" s="2" t="n"/>
      <c r="F121" s="2" t="n"/>
      <c r="G121" s="2" t="n"/>
      <c r="H121" s="2" t="n"/>
      <c r="I121" s="2" t="n"/>
      <c r="J121" s="2" t="n"/>
      <c r="K121" s="2">
        <f>IF(COUNTA(G121:J121)&lt;4,"",ROUND(AVERAGE(G121:J121),1))</f>
        <v/>
      </c>
      <c r="L121" s="2" t="n"/>
      <c r="M121" s="2" t="n"/>
      <c r="N121" s="2" t="n"/>
      <c r="O121" s="2" t="n"/>
    </row>
    <row r="122">
      <c r="A122" s="2" t="n"/>
      <c r="B122" s="2" t="n"/>
      <c r="C122" s="2" t="n"/>
      <c r="D122" s="2" t="n"/>
      <c r="E122" s="2" t="n"/>
      <c r="F122" s="2" t="n"/>
      <c r="G122" s="2" t="n"/>
      <c r="H122" s="2" t="n"/>
      <c r="I122" s="2" t="n"/>
      <c r="J122" s="2" t="n"/>
      <c r="K122" s="2">
        <f>IF(COUNTA(G122:J122)&lt;4,"",ROUND(AVERAGE(G122:J122),1))</f>
        <v/>
      </c>
      <c r="L122" s="2" t="n"/>
      <c r="M122" s="2" t="n"/>
      <c r="N122" s="2" t="n"/>
      <c r="O122" s="2" t="n"/>
    </row>
    <row r="123">
      <c r="A123" s="2" t="n"/>
      <c r="B123" s="2" t="n"/>
      <c r="C123" s="2" t="n"/>
      <c r="D123" s="2" t="n"/>
      <c r="E123" s="2" t="n"/>
      <c r="F123" s="2" t="n"/>
      <c r="G123" s="2" t="n"/>
      <c r="H123" s="2" t="n"/>
      <c r="I123" s="2" t="n"/>
      <c r="J123" s="2" t="n"/>
      <c r="K123" s="2">
        <f>IF(COUNTA(G123:J123)&lt;4,"",ROUND(AVERAGE(G123:J123),1))</f>
        <v/>
      </c>
      <c r="L123" s="2" t="n"/>
      <c r="M123" s="2" t="n"/>
      <c r="N123" s="2" t="n"/>
      <c r="O123" s="2" t="n"/>
    </row>
    <row r="124">
      <c r="A124" s="2" t="n"/>
      <c r="B124" s="2" t="n"/>
      <c r="C124" s="2" t="n"/>
      <c r="D124" s="2" t="n"/>
      <c r="E124" s="2" t="n"/>
      <c r="F124" s="2" t="n"/>
      <c r="G124" s="2" t="n"/>
      <c r="H124" s="2" t="n"/>
      <c r="I124" s="2" t="n"/>
      <c r="J124" s="2" t="n"/>
      <c r="K124" s="2">
        <f>IF(COUNTA(G124:J124)&lt;4,"",ROUND(AVERAGE(G124:J124),1))</f>
        <v/>
      </c>
      <c r="L124" s="2" t="n"/>
      <c r="M124" s="2" t="n"/>
      <c r="N124" s="2" t="n"/>
      <c r="O124" s="2" t="n"/>
    </row>
    <row r="125">
      <c r="A125" s="2" t="n"/>
      <c r="B125" s="2" t="n"/>
      <c r="C125" s="2" t="n"/>
      <c r="D125" s="2" t="n"/>
      <c r="E125" s="2" t="n"/>
      <c r="F125" s="2" t="n"/>
      <c r="G125" s="2" t="n"/>
      <c r="H125" s="2" t="n"/>
      <c r="I125" s="2" t="n"/>
      <c r="J125" s="2" t="n"/>
      <c r="K125" s="2">
        <f>IF(COUNTA(G125:J125)&lt;4,"",ROUND(AVERAGE(G125:J125),1))</f>
        <v/>
      </c>
      <c r="L125" s="2" t="n"/>
      <c r="M125" s="2" t="n"/>
      <c r="N125" s="2" t="n"/>
      <c r="O125" s="2" t="n"/>
    </row>
    <row r="126">
      <c r="A126" s="2" t="n"/>
      <c r="B126" s="2" t="n"/>
      <c r="C126" s="2" t="n"/>
      <c r="D126" s="2" t="n"/>
      <c r="E126" s="2" t="n"/>
      <c r="F126" s="2" t="n"/>
      <c r="G126" s="2" t="n"/>
      <c r="H126" s="2" t="n"/>
      <c r="I126" s="2" t="n"/>
      <c r="J126" s="2" t="n"/>
      <c r="K126" s="2">
        <f>IF(COUNTA(G126:J126)&lt;4,"",ROUND(AVERAGE(G126:J126),1))</f>
        <v/>
      </c>
      <c r="L126" s="2" t="n"/>
      <c r="M126" s="2" t="n"/>
      <c r="N126" s="2" t="n"/>
      <c r="O126" s="2" t="n"/>
    </row>
    <row r="127">
      <c r="A127" s="2" t="n"/>
      <c r="B127" s="2" t="n"/>
      <c r="C127" s="2" t="n"/>
      <c r="D127" s="2" t="n"/>
      <c r="E127" s="2" t="n"/>
      <c r="F127" s="2" t="n"/>
      <c r="G127" s="2" t="n"/>
      <c r="H127" s="2" t="n"/>
      <c r="I127" s="2" t="n"/>
      <c r="J127" s="2" t="n"/>
      <c r="K127" s="2">
        <f>IF(COUNTA(G127:J127)&lt;4,"",ROUND(AVERAGE(G127:J127),1))</f>
        <v/>
      </c>
      <c r="L127" s="2" t="n"/>
      <c r="M127" s="2" t="n"/>
      <c r="N127" s="2" t="n"/>
      <c r="O127" s="2" t="n"/>
    </row>
    <row r="128">
      <c r="A128" s="2" t="n"/>
      <c r="B128" s="2" t="n"/>
      <c r="C128" s="2" t="n"/>
      <c r="D128" s="2" t="n"/>
      <c r="E128" s="2" t="n"/>
      <c r="F128" s="2" t="n"/>
      <c r="G128" s="2" t="n"/>
      <c r="H128" s="2" t="n"/>
      <c r="I128" s="2" t="n"/>
      <c r="J128" s="2" t="n"/>
      <c r="K128" s="2">
        <f>IF(COUNTA(G128:J128)&lt;4,"",ROUND(AVERAGE(G128:J128),1))</f>
        <v/>
      </c>
      <c r="L128" s="2" t="n"/>
      <c r="M128" s="2" t="n"/>
      <c r="N128" s="2" t="n"/>
      <c r="O128" s="2" t="n"/>
    </row>
    <row r="129">
      <c r="A129" s="2" t="n"/>
      <c r="B129" s="2" t="n"/>
      <c r="C129" s="2" t="n"/>
      <c r="D129" s="2" t="n"/>
      <c r="E129" s="2" t="n"/>
      <c r="F129" s="2" t="n"/>
      <c r="G129" s="2" t="n"/>
      <c r="H129" s="2" t="n"/>
      <c r="I129" s="2" t="n"/>
      <c r="J129" s="2" t="n"/>
      <c r="K129" s="2">
        <f>IF(COUNTA(G129:J129)&lt;4,"",ROUND(AVERAGE(G129:J129),1))</f>
        <v/>
      </c>
      <c r="L129" s="2" t="n"/>
      <c r="M129" s="2" t="n"/>
      <c r="N129" s="2" t="n"/>
      <c r="O129" s="2" t="n"/>
    </row>
    <row r="130">
      <c r="A130" s="2" t="n"/>
      <c r="B130" s="2" t="n"/>
      <c r="C130" s="2" t="n"/>
      <c r="D130" s="2" t="n"/>
      <c r="E130" s="2" t="n"/>
      <c r="F130" s="2" t="n"/>
      <c r="G130" s="2" t="n"/>
      <c r="H130" s="2" t="n"/>
      <c r="I130" s="2" t="n"/>
      <c r="J130" s="2" t="n"/>
      <c r="K130" s="2">
        <f>IF(COUNTA(G130:J130)&lt;4,"",ROUND(AVERAGE(G130:J130),1))</f>
        <v/>
      </c>
      <c r="L130" s="2" t="n"/>
      <c r="M130" s="2" t="n"/>
      <c r="N130" s="2" t="n"/>
      <c r="O130" s="2" t="n"/>
    </row>
    <row r="131">
      <c r="A131" s="2" t="n"/>
      <c r="B131" s="2" t="n"/>
      <c r="C131" s="2" t="n"/>
      <c r="D131" s="2" t="n"/>
      <c r="E131" s="2" t="n"/>
      <c r="F131" s="2" t="n"/>
      <c r="G131" s="2" t="n"/>
      <c r="H131" s="2" t="n"/>
      <c r="I131" s="2" t="n"/>
      <c r="J131" s="2" t="n"/>
      <c r="K131" s="2">
        <f>IF(COUNTA(G131:J131)&lt;4,"",ROUND(AVERAGE(G131:J131),1))</f>
        <v/>
      </c>
      <c r="L131" s="2" t="n"/>
      <c r="M131" s="2" t="n"/>
      <c r="N131" s="2" t="n"/>
      <c r="O131" s="2" t="n"/>
    </row>
    <row r="132">
      <c r="A132" s="2" t="n"/>
      <c r="B132" s="2" t="n"/>
      <c r="C132" s="2" t="n"/>
      <c r="D132" s="2" t="n"/>
      <c r="E132" s="2" t="n"/>
      <c r="F132" s="2" t="n"/>
      <c r="G132" s="2" t="n"/>
      <c r="H132" s="2" t="n"/>
      <c r="I132" s="2" t="n"/>
      <c r="J132" s="2" t="n"/>
      <c r="K132" s="2">
        <f>IF(COUNTA(G132:J132)&lt;4,"",ROUND(AVERAGE(G132:J132),1))</f>
        <v/>
      </c>
      <c r="L132" s="2" t="n"/>
      <c r="M132" s="2" t="n"/>
      <c r="N132" s="2" t="n"/>
      <c r="O132" s="2" t="n"/>
    </row>
    <row r="133">
      <c r="A133" s="2" t="n"/>
      <c r="B133" s="2" t="n"/>
      <c r="C133" s="2" t="n"/>
      <c r="D133" s="2" t="n"/>
      <c r="E133" s="2" t="n"/>
      <c r="F133" s="2" t="n"/>
      <c r="G133" s="2" t="n"/>
      <c r="H133" s="2" t="n"/>
      <c r="I133" s="2" t="n"/>
      <c r="J133" s="2" t="n"/>
      <c r="K133" s="2">
        <f>IF(COUNTA(G133:J133)&lt;4,"",ROUND(AVERAGE(G133:J133),1))</f>
        <v/>
      </c>
      <c r="L133" s="2" t="n"/>
      <c r="M133" s="2" t="n"/>
      <c r="N133" s="2" t="n"/>
      <c r="O133" s="2" t="n"/>
    </row>
    <row r="134">
      <c r="A134" s="2" t="n"/>
      <c r="B134" s="2" t="n"/>
      <c r="C134" s="2" t="n"/>
      <c r="D134" s="2" t="n"/>
      <c r="E134" s="2" t="n"/>
      <c r="F134" s="2" t="n"/>
      <c r="G134" s="2" t="n"/>
      <c r="H134" s="2" t="n"/>
      <c r="I134" s="2" t="n"/>
      <c r="J134" s="2" t="n"/>
      <c r="K134" s="2">
        <f>IF(COUNTA(G134:J134)&lt;4,"",ROUND(AVERAGE(G134:J134),1))</f>
        <v/>
      </c>
      <c r="L134" s="2" t="n"/>
      <c r="M134" s="2" t="n"/>
      <c r="N134" s="2" t="n"/>
      <c r="O134" s="2" t="n"/>
    </row>
    <row r="135">
      <c r="A135" s="2" t="n"/>
      <c r="B135" s="2" t="n"/>
      <c r="C135" s="2" t="n"/>
      <c r="D135" s="2" t="n"/>
      <c r="E135" s="2" t="n"/>
      <c r="F135" s="2" t="n"/>
      <c r="G135" s="2" t="n"/>
      <c r="H135" s="2" t="n"/>
      <c r="I135" s="2" t="n"/>
      <c r="J135" s="2" t="n"/>
      <c r="K135" s="2">
        <f>IF(COUNTA(G135:J135)&lt;4,"",ROUND(AVERAGE(G135:J135),1))</f>
        <v/>
      </c>
      <c r="L135" s="2" t="n"/>
      <c r="M135" s="2" t="n"/>
      <c r="N135" s="2" t="n"/>
      <c r="O135" s="2" t="n"/>
    </row>
    <row r="136">
      <c r="A136" s="2" t="n"/>
      <c r="B136" s="2" t="n"/>
      <c r="C136" s="2" t="n"/>
      <c r="D136" s="2" t="n"/>
      <c r="E136" s="2" t="n"/>
      <c r="F136" s="2" t="n"/>
      <c r="G136" s="2" t="n"/>
      <c r="H136" s="2" t="n"/>
      <c r="I136" s="2" t="n"/>
      <c r="J136" s="2" t="n"/>
      <c r="K136" s="2">
        <f>IF(COUNTA(G136:J136)&lt;4,"",ROUND(AVERAGE(G136:J136),1))</f>
        <v/>
      </c>
      <c r="L136" s="2" t="n"/>
      <c r="M136" s="2" t="n"/>
      <c r="N136" s="2" t="n"/>
      <c r="O136" s="2" t="n"/>
    </row>
    <row r="137">
      <c r="A137" s="2" t="n"/>
      <c r="B137" s="2" t="n"/>
      <c r="C137" s="2" t="n"/>
      <c r="D137" s="2" t="n"/>
      <c r="E137" s="2" t="n"/>
      <c r="F137" s="2" t="n"/>
      <c r="G137" s="2" t="n"/>
      <c r="H137" s="2" t="n"/>
      <c r="I137" s="2" t="n"/>
      <c r="J137" s="2" t="n"/>
      <c r="K137" s="2">
        <f>IF(COUNTA(G137:J137)&lt;4,"",ROUND(AVERAGE(G137:J137),1))</f>
        <v/>
      </c>
      <c r="L137" s="2" t="n"/>
      <c r="M137" s="2" t="n"/>
      <c r="N137" s="2" t="n"/>
      <c r="O137" s="2" t="n"/>
    </row>
    <row r="138">
      <c r="A138" s="2" t="n"/>
      <c r="B138" s="2" t="n"/>
      <c r="C138" s="2" t="n"/>
      <c r="D138" s="2" t="n"/>
      <c r="E138" s="2" t="n"/>
      <c r="F138" s="2" t="n"/>
      <c r="G138" s="2" t="n"/>
      <c r="H138" s="2" t="n"/>
      <c r="I138" s="2" t="n"/>
      <c r="J138" s="2" t="n"/>
      <c r="K138" s="2">
        <f>IF(COUNTA(G138:J138)&lt;4,"",ROUND(AVERAGE(G138:J138),1))</f>
        <v/>
      </c>
      <c r="L138" s="2" t="n"/>
      <c r="M138" s="2" t="n"/>
      <c r="N138" s="2" t="n"/>
      <c r="O138" s="2" t="n"/>
    </row>
    <row r="139">
      <c r="A139" s="2" t="n"/>
      <c r="B139" s="2" t="n"/>
      <c r="C139" s="2" t="n"/>
      <c r="D139" s="2" t="n"/>
      <c r="E139" s="2" t="n"/>
      <c r="F139" s="2" t="n"/>
      <c r="G139" s="2" t="n"/>
      <c r="H139" s="2" t="n"/>
      <c r="I139" s="2" t="n"/>
      <c r="J139" s="2" t="n"/>
      <c r="K139" s="2">
        <f>IF(COUNTA(G139:J139)&lt;4,"",ROUND(AVERAGE(G139:J139),1))</f>
        <v/>
      </c>
      <c r="L139" s="2" t="n"/>
      <c r="M139" s="2" t="n"/>
      <c r="N139" s="2" t="n"/>
      <c r="O139" s="2" t="n"/>
    </row>
    <row r="140">
      <c r="A140" s="2" t="n"/>
      <c r="B140" s="2" t="n"/>
      <c r="C140" s="2" t="n"/>
      <c r="D140" s="2" t="n"/>
      <c r="E140" s="2" t="n"/>
      <c r="F140" s="2" t="n"/>
      <c r="G140" s="2" t="n"/>
      <c r="H140" s="2" t="n"/>
      <c r="I140" s="2" t="n"/>
      <c r="J140" s="2" t="n"/>
      <c r="K140" s="2">
        <f>IF(COUNTA(G140:J140)&lt;4,"",ROUND(AVERAGE(G140:J140),1))</f>
        <v/>
      </c>
      <c r="L140" s="2" t="n"/>
      <c r="M140" s="2" t="n"/>
      <c r="N140" s="2" t="n"/>
      <c r="O140" s="2" t="n"/>
    </row>
    <row r="141">
      <c r="A141" s="2" t="n"/>
      <c r="B141" s="2" t="n"/>
      <c r="C141" s="2" t="n"/>
      <c r="D141" s="2" t="n"/>
      <c r="E141" s="2" t="n"/>
      <c r="F141" s="2" t="n"/>
      <c r="G141" s="2" t="n"/>
      <c r="H141" s="2" t="n"/>
      <c r="I141" s="2" t="n"/>
      <c r="J141" s="2" t="n"/>
      <c r="K141" s="2">
        <f>IF(COUNTA(G141:J141)&lt;4,"",ROUND(AVERAGE(G141:J141),1))</f>
        <v/>
      </c>
      <c r="L141" s="2" t="n"/>
      <c r="M141" s="2" t="n"/>
      <c r="N141" s="2" t="n"/>
      <c r="O141" s="2" t="n"/>
    </row>
    <row r="142">
      <c r="A142" s="2" t="n"/>
      <c r="B142" s="2" t="n"/>
      <c r="C142" s="2" t="n"/>
      <c r="D142" s="2" t="n"/>
      <c r="E142" s="2" t="n"/>
      <c r="F142" s="2" t="n"/>
      <c r="G142" s="2" t="n"/>
      <c r="H142" s="2" t="n"/>
      <c r="I142" s="2" t="n"/>
      <c r="J142" s="2" t="n"/>
      <c r="K142" s="2">
        <f>IF(COUNTA(G142:J142)&lt;4,"",ROUND(AVERAGE(G142:J142),1))</f>
        <v/>
      </c>
      <c r="L142" s="2" t="n"/>
      <c r="M142" s="2" t="n"/>
      <c r="N142" s="2" t="n"/>
      <c r="O142" s="2" t="n"/>
    </row>
    <row r="143">
      <c r="A143" s="2" t="n"/>
      <c r="B143" s="2" t="n"/>
      <c r="C143" s="2" t="n"/>
      <c r="D143" s="2" t="n"/>
      <c r="E143" s="2" t="n"/>
      <c r="F143" s="2" t="n"/>
      <c r="G143" s="2" t="n"/>
      <c r="H143" s="2" t="n"/>
      <c r="I143" s="2" t="n"/>
      <c r="J143" s="2" t="n"/>
      <c r="K143" s="2">
        <f>IF(COUNTA(G143:J143)&lt;4,"",ROUND(AVERAGE(G143:J143),1))</f>
        <v/>
      </c>
      <c r="L143" s="2" t="n"/>
      <c r="M143" s="2" t="n"/>
      <c r="N143" s="2" t="n"/>
      <c r="O143" s="2" t="n"/>
    </row>
    <row r="144">
      <c r="A144" s="2" t="n"/>
      <c r="B144" s="2" t="n"/>
      <c r="C144" s="2" t="n"/>
      <c r="D144" s="2" t="n"/>
      <c r="E144" s="2" t="n"/>
      <c r="F144" s="2" t="n"/>
      <c r="G144" s="2" t="n"/>
      <c r="H144" s="2" t="n"/>
      <c r="I144" s="2" t="n"/>
      <c r="J144" s="2" t="n"/>
      <c r="K144" s="2">
        <f>IF(COUNTA(G144:J144)&lt;4,"",ROUND(AVERAGE(G144:J144),1))</f>
        <v/>
      </c>
      <c r="L144" s="2" t="n"/>
      <c r="M144" s="2" t="n"/>
      <c r="N144" s="2" t="n"/>
      <c r="O144" s="2" t="n"/>
    </row>
    <row r="145">
      <c r="A145" s="2" t="n"/>
      <c r="B145" s="2" t="n"/>
      <c r="C145" s="2" t="n"/>
      <c r="D145" s="2" t="n"/>
      <c r="E145" s="2" t="n"/>
      <c r="F145" s="2" t="n"/>
      <c r="G145" s="2" t="n"/>
      <c r="H145" s="2" t="n"/>
      <c r="I145" s="2" t="n"/>
      <c r="J145" s="2" t="n"/>
      <c r="K145" s="2">
        <f>IF(COUNTA(G145:J145)&lt;4,"",ROUND(AVERAGE(G145:J145),1))</f>
        <v/>
      </c>
      <c r="L145" s="2" t="n"/>
      <c r="M145" s="2" t="n"/>
      <c r="N145" s="2" t="n"/>
      <c r="O145" s="2" t="n"/>
    </row>
    <row r="146">
      <c r="A146" s="2" t="n"/>
      <c r="B146" s="2" t="n"/>
      <c r="C146" s="2" t="n"/>
      <c r="D146" s="2" t="n"/>
      <c r="E146" s="2" t="n"/>
      <c r="F146" s="2" t="n"/>
      <c r="G146" s="2" t="n"/>
      <c r="H146" s="2" t="n"/>
      <c r="I146" s="2" t="n"/>
      <c r="J146" s="2" t="n"/>
      <c r="K146" s="2">
        <f>IF(COUNTA(G146:J146)&lt;4,"",ROUND(AVERAGE(G146:J146),1))</f>
        <v/>
      </c>
      <c r="L146" s="2" t="n"/>
      <c r="M146" s="2" t="n"/>
      <c r="N146" s="2" t="n"/>
      <c r="O146" s="2" t="n"/>
    </row>
    <row r="147">
      <c r="A147" s="2" t="n"/>
      <c r="B147" s="2" t="n"/>
      <c r="C147" s="2" t="n"/>
      <c r="D147" s="2" t="n"/>
      <c r="E147" s="2" t="n"/>
      <c r="F147" s="2" t="n"/>
      <c r="G147" s="2" t="n"/>
      <c r="H147" s="2" t="n"/>
      <c r="I147" s="2" t="n"/>
      <c r="J147" s="2" t="n"/>
      <c r="K147" s="2">
        <f>IF(COUNTA(G147:J147)&lt;4,"",ROUND(AVERAGE(G147:J147),1))</f>
        <v/>
      </c>
      <c r="L147" s="2" t="n"/>
      <c r="M147" s="2" t="n"/>
      <c r="N147" s="2" t="n"/>
      <c r="O147" s="2" t="n"/>
    </row>
    <row r="148">
      <c r="A148" s="2" t="n"/>
      <c r="B148" s="2" t="n"/>
      <c r="C148" s="2" t="n"/>
      <c r="D148" s="2" t="n"/>
      <c r="E148" s="2" t="n"/>
      <c r="F148" s="2" t="n"/>
      <c r="G148" s="2" t="n"/>
      <c r="H148" s="2" t="n"/>
      <c r="I148" s="2" t="n"/>
      <c r="J148" s="2" t="n"/>
      <c r="K148" s="2">
        <f>IF(COUNTA(G148:J148)&lt;4,"",ROUND(AVERAGE(G148:J148),1))</f>
        <v/>
      </c>
      <c r="L148" s="2" t="n"/>
      <c r="M148" s="2" t="n"/>
      <c r="N148" s="2" t="n"/>
      <c r="O148" s="2" t="n"/>
    </row>
    <row r="149">
      <c r="A149" s="2" t="n"/>
      <c r="B149" s="2" t="n"/>
      <c r="C149" s="2" t="n"/>
      <c r="D149" s="2" t="n"/>
      <c r="E149" s="2" t="n"/>
      <c r="F149" s="2" t="n"/>
      <c r="G149" s="2" t="n"/>
      <c r="H149" s="2" t="n"/>
      <c r="I149" s="2" t="n"/>
      <c r="J149" s="2" t="n"/>
      <c r="K149" s="2">
        <f>IF(COUNTA(G149:J149)&lt;4,"",ROUND(AVERAGE(G149:J149),1))</f>
        <v/>
      </c>
      <c r="L149" s="2" t="n"/>
      <c r="M149" s="2" t="n"/>
      <c r="N149" s="2" t="n"/>
      <c r="O149" s="2" t="n"/>
    </row>
    <row r="150">
      <c r="A150" s="2" t="n"/>
      <c r="B150" s="2" t="n"/>
      <c r="C150" s="2" t="n"/>
      <c r="D150" s="2" t="n"/>
      <c r="E150" s="2" t="n"/>
      <c r="F150" s="2" t="n"/>
      <c r="G150" s="2" t="n"/>
      <c r="H150" s="2" t="n"/>
      <c r="I150" s="2" t="n"/>
      <c r="J150" s="2" t="n"/>
      <c r="K150" s="2">
        <f>IF(COUNTA(G150:J150)&lt;4,"",ROUND(AVERAGE(G150:J150),1))</f>
        <v/>
      </c>
      <c r="L150" s="2" t="n"/>
      <c r="M150" s="2" t="n"/>
      <c r="N150" s="2" t="n"/>
      <c r="O150" s="2" t="n"/>
    </row>
    <row r="151">
      <c r="A151" s="2" t="n"/>
      <c r="B151" s="2" t="n"/>
      <c r="C151" s="2" t="n"/>
      <c r="D151" s="2" t="n"/>
      <c r="E151" s="2" t="n"/>
      <c r="F151" s="2" t="n"/>
      <c r="G151" s="2" t="n"/>
      <c r="H151" s="2" t="n"/>
      <c r="I151" s="2" t="n"/>
      <c r="J151" s="2" t="n"/>
      <c r="K151" s="2">
        <f>IF(COUNTA(G151:J151)&lt;4,"",ROUND(AVERAGE(G151:J151),1))</f>
        <v/>
      </c>
      <c r="L151" s="2" t="n"/>
      <c r="M151" s="2" t="n"/>
      <c r="N151" s="2" t="n"/>
      <c r="O151" s="2" t="n"/>
    </row>
    <row r="152">
      <c r="A152" s="2" t="n"/>
      <c r="B152" s="2" t="n"/>
      <c r="C152" s="2" t="n"/>
      <c r="D152" s="2" t="n"/>
      <c r="E152" s="2" t="n"/>
      <c r="F152" s="2" t="n"/>
      <c r="G152" s="2" t="n"/>
      <c r="H152" s="2" t="n"/>
      <c r="I152" s="2" t="n"/>
      <c r="J152" s="2" t="n"/>
      <c r="K152" s="2">
        <f>IF(COUNTA(G152:J152)&lt;4,"",ROUND(AVERAGE(G152:J152),1))</f>
        <v/>
      </c>
      <c r="L152" s="2" t="n"/>
      <c r="M152" s="2" t="n"/>
      <c r="N152" s="2" t="n"/>
      <c r="O152" s="2" t="n"/>
    </row>
    <row r="153">
      <c r="A153" s="2" t="n"/>
      <c r="B153" s="2" t="n"/>
      <c r="C153" s="2" t="n"/>
      <c r="D153" s="2" t="n"/>
      <c r="E153" s="2" t="n"/>
      <c r="F153" s="2" t="n"/>
      <c r="G153" s="2" t="n"/>
      <c r="H153" s="2" t="n"/>
      <c r="I153" s="2" t="n"/>
      <c r="J153" s="2" t="n"/>
      <c r="K153" s="2">
        <f>IF(COUNTA(G153:J153)&lt;4,"",ROUND(AVERAGE(G153:J153),1))</f>
        <v/>
      </c>
      <c r="L153" s="2" t="n"/>
      <c r="M153" s="2" t="n"/>
      <c r="N153" s="2" t="n"/>
      <c r="O153" s="2" t="n"/>
    </row>
    <row r="154">
      <c r="A154" s="2" t="n"/>
      <c r="B154" s="2" t="n"/>
      <c r="C154" s="2" t="n"/>
      <c r="D154" s="2" t="n"/>
      <c r="E154" s="2" t="n"/>
      <c r="F154" s="2" t="n"/>
      <c r="G154" s="2" t="n"/>
      <c r="H154" s="2" t="n"/>
      <c r="I154" s="2" t="n"/>
      <c r="J154" s="2" t="n"/>
      <c r="K154" s="2">
        <f>IF(COUNTA(G154:J154)&lt;4,"",ROUND(AVERAGE(G154:J154),1))</f>
        <v/>
      </c>
      <c r="L154" s="2" t="n"/>
      <c r="M154" s="2" t="n"/>
      <c r="N154" s="2" t="n"/>
      <c r="O154" s="2" t="n"/>
    </row>
    <row r="155">
      <c r="A155" s="2" t="n"/>
      <c r="B155" s="2" t="n"/>
      <c r="C155" s="2" t="n"/>
      <c r="D155" s="2" t="n"/>
      <c r="E155" s="2" t="n"/>
      <c r="F155" s="2" t="n"/>
      <c r="G155" s="2" t="n"/>
      <c r="H155" s="2" t="n"/>
      <c r="I155" s="2" t="n"/>
      <c r="J155" s="2" t="n"/>
      <c r="K155" s="2">
        <f>IF(COUNTA(G155:J155)&lt;4,"",ROUND(AVERAGE(G155:J155),1))</f>
        <v/>
      </c>
      <c r="L155" s="2" t="n"/>
      <c r="M155" s="2" t="n"/>
      <c r="N155" s="2" t="n"/>
      <c r="O155" s="2" t="n"/>
    </row>
    <row r="156">
      <c r="A156" s="2" t="n"/>
      <c r="B156" s="2" t="n"/>
      <c r="C156" s="2" t="n"/>
      <c r="D156" s="2" t="n"/>
      <c r="E156" s="2" t="n"/>
      <c r="F156" s="2" t="n"/>
      <c r="G156" s="2" t="n"/>
      <c r="H156" s="2" t="n"/>
      <c r="I156" s="2" t="n"/>
      <c r="J156" s="2" t="n"/>
      <c r="K156" s="2">
        <f>IF(COUNTA(G156:J156)&lt;4,"",ROUND(AVERAGE(G156:J156),1))</f>
        <v/>
      </c>
      <c r="L156" s="2" t="n"/>
      <c r="M156" s="2" t="n"/>
      <c r="N156" s="2" t="n"/>
      <c r="O156" s="2" t="n"/>
    </row>
    <row r="157">
      <c r="A157" s="2" t="n"/>
      <c r="B157" s="2" t="n"/>
      <c r="C157" s="2" t="n"/>
      <c r="D157" s="2" t="n"/>
      <c r="E157" s="2" t="n"/>
      <c r="F157" s="2" t="n"/>
      <c r="G157" s="2" t="n"/>
      <c r="H157" s="2" t="n"/>
      <c r="I157" s="2" t="n"/>
      <c r="J157" s="2" t="n"/>
      <c r="K157" s="2">
        <f>IF(COUNTA(G157:J157)&lt;4,"",ROUND(AVERAGE(G157:J157),1))</f>
        <v/>
      </c>
      <c r="L157" s="2" t="n"/>
      <c r="M157" s="2" t="n"/>
      <c r="N157" s="2" t="n"/>
      <c r="O157" s="2" t="n"/>
    </row>
    <row r="158">
      <c r="A158" s="2" t="n"/>
      <c r="B158" s="2" t="n"/>
      <c r="C158" s="2" t="n"/>
      <c r="D158" s="2" t="n"/>
      <c r="E158" s="2" t="n"/>
      <c r="F158" s="2" t="n"/>
      <c r="G158" s="2" t="n"/>
      <c r="H158" s="2" t="n"/>
      <c r="I158" s="2" t="n"/>
      <c r="J158" s="2" t="n"/>
      <c r="K158" s="2">
        <f>IF(COUNTA(G158:J158)&lt;4,"",ROUND(AVERAGE(G158:J158),1))</f>
        <v/>
      </c>
      <c r="L158" s="2" t="n"/>
      <c r="M158" s="2" t="n"/>
      <c r="N158" s="2" t="n"/>
      <c r="O158" s="2" t="n"/>
    </row>
    <row r="159">
      <c r="A159" s="2" t="n"/>
      <c r="B159" s="2" t="n"/>
      <c r="C159" s="2" t="n"/>
      <c r="D159" s="2" t="n"/>
      <c r="E159" s="2" t="n"/>
      <c r="F159" s="2" t="n"/>
      <c r="G159" s="2" t="n"/>
      <c r="H159" s="2" t="n"/>
      <c r="I159" s="2" t="n"/>
      <c r="J159" s="2" t="n"/>
      <c r="K159" s="2">
        <f>IF(COUNTA(G159:J159)&lt;4,"",ROUND(AVERAGE(G159:J159),1))</f>
        <v/>
      </c>
      <c r="L159" s="2" t="n"/>
      <c r="M159" s="2" t="n"/>
      <c r="N159" s="2" t="n"/>
      <c r="O159" s="2" t="n"/>
    </row>
    <row r="160">
      <c r="A160" s="2" t="n"/>
      <c r="B160" s="2" t="n"/>
      <c r="C160" s="2" t="n"/>
      <c r="D160" s="2" t="n"/>
      <c r="E160" s="2" t="n"/>
      <c r="F160" s="2" t="n"/>
      <c r="G160" s="2" t="n"/>
      <c r="H160" s="2" t="n"/>
      <c r="I160" s="2" t="n"/>
      <c r="J160" s="2" t="n"/>
      <c r="K160" s="2">
        <f>IF(COUNTA(G160:J160)&lt;4,"",ROUND(AVERAGE(G160:J160),1))</f>
        <v/>
      </c>
      <c r="L160" s="2" t="n"/>
      <c r="M160" s="2" t="n"/>
      <c r="N160" s="2" t="n"/>
      <c r="O160" s="2" t="n"/>
    </row>
    <row r="161">
      <c r="A161" s="2" t="n"/>
      <c r="B161" s="2" t="n"/>
      <c r="C161" s="2" t="n"/>
      <c r="D161" s="2" t="n"/>
      <c r="E161" s="2" t="n"/>
      <c r="F161" s="2" t="n"/>
      <c r="G161" s="2" t="n"/>
      <c r="H161" s="2" t="n"/>
      <c r="I161" s="2" t="n"/>
      <c r="J161" s="2" t="n"/>
      <c r="K161" s="2">
        <f>IF(COUNTA(G161:J161)&lt;4,"",ROUND(AVERAGE(G161:J161),1))</f>
        <v/>
      </c>
      <c r="L161" s="2" t="n"/>
      <c r="M161" s="2" t="n"/>
      <c r="N161" s="2" t="n"/>
      <c r="O161" s="2" t="n"/>
    </row>
    <row r="162">
      <c r="A162" s="2" t="n"/>
      <c r="B162" s="2" t="n"/>
      <c r="C162" s="2" t="n"/>
      <c r="D162" s="2" t="n"/>
      <c r="E162" s="2" t="n"/>
      <c r="F162" s="2" t="n"/>
      <c r="G162" s="2" t="n"/>
      <c r="H162" s="2" t="n"/>
      <c r="I162" s="2" t="n"/>
      <c r="J162" s="2" t="n"/>
      <c r="K162" s="2">
        <f>IF(COUNTA(G162:J162)&lt;4,"",ROUND(AVERAGE(G162:J162),1))</f>
        <v/>
      </c>
      <c r="L162" s="2" t="n"/>
      <c r="M162" s="2" t="n"/>
      <c r="N162" s="2" t="n"/>
      <c r="O162" s="2" t="n"/>
    </row>
    <row r="163">
      <c r="A163" s="2" t="n"/>
      <c r="B163" s="2" t="n"/>
      <c r="C163" s="2" t="n"/>
      <c r="D163" s="2" t="n"/>
      <c r="E163" s="2" t="n"/>
      <c r="F163" s="2" t="n"/>
      <c r="G163" s="2" t="n"/>
      <c r="H163" s="2" t="n"/>
      <c r="I163" s="2" t="n"/>
      <c r="J163" s="2" t="n"/>
      <c r="K163" s="2">
        <f>IF(COUNTA(G163:J163)&lt;4,"",ROUND(AVERAGE(G163:J163),1))</f>
        <v/>
      </c>
      <c r="L163" s="2" t="n"/>
      <c r="M163" s="2" t="n"/>
      <c r="N163" s="2" t="n"/>
      <c r="O163" s="2" t="n"/>
    </row>
    <row r="164">
      <c r="A164" s="2" t="n"/>
      <c r="B164" s="2" t="n"/>
      <c r="C164" s="2" t="n"/>
      <c r="D164" s="2" t="n"/>
      <c r="E164" s="2" t="n"/>
      <c r="F164" s="2" t="n"/>
      <c r="G164" s="2" t="n"/>
      <c r="H164" s="2" t="n"/>
      <c r="I164" s="2" t="n"/>
      <c r="J164" s="2" t="n"/>
      <c r="K164" s="2">
        <f>IF(COUNTA(G164:J164)&lt;4,"",ROUND(AVERAGE(G164:J164),1))</f>
        <v/>
      </c>
      <c r="L164" s="2" t="n"/>
      <c r="M164" s="2" t="n"/>
      <c r="N164" s="2" t="n"/>
      <c r="O164" s="2" t="n"/>
    </row>
    <row r="165">
      <c r="A165" s="2" t="n"/>
      <c r="B165" s="2" t="n"/>
      <c r="C165" s="2" t="n"/>
      <c r="D165" s="2" t="n"/>
      <c r="E165" s="2" t="n"/>
      <c r="F165" s="2" t="n"/>
      <c r="G165" s="2" t="n"/>
      <c r="H165" s="2" t="n"/>
      <c r="I165" s="2" t="n"/>
      <c r="J165" s="2" t="n"/>
      <c r="K165" s="2">
        <f>IF(COUNTA(G165:J165)&lt;4,"",ROUND(AVERAGE(G165:J165),1))</f>
        <v/>
      </c>
      <c r="L165" s="2" t="n"/>
      <c r="M165" s="2" t="n"/>
      <c r="N165" s="2" t="n"/>
      <c r="O165" s="2" t="n"/>
    </row>
    <row r="166">
      <c r="A166" s="2" t="n"/>
      <c r="B166" s="2" t="n"/>
      <c r="C166" s="2" t="n"/>
      <c r="D166" s="2" t="n"/>
      <c r="E166" s="2" t="n"/>
      <c r="F166" s="2" t="n"/>
      <c r="G166" s="2" t="n"/>
      <c r="H166" s="2" t="n"/>
      <c r="I166" s="2" t="n"/>
      <c r="J166" s="2" t="n"/>
      <c r="K166" s="2">
        <f>IF(COUNTA(G166:J166)&lt;4,"",ROUND(AVERAGE(G166:J166),1))</f>
        <v/>
      </c>
      <c r="L166" s="2" t="n"/>
      <c r="M166" s="2" t="n"/>
      <c r="N166" s="2" t="n"/>
      <c r="O166" s="2" t="n"/>
    </row>
    <row r="167">
      <c r="A167" s="2" t="n"/>
      <c r="B167" s="2" t="n"/>
      <c r="C167" s="2" t="n"/>
      <c r="D167" s="2" t="n"/>
      <c r="E167" s="2" t="n"/>
      <c r="F167" s="2" t="n"/>
      <c r="G167" s="2" t="n"/>
      <c r="H167" s="2" t="n"/>
      <c r="I167" s="2" t="n"/>
      <c r="J167" s="2" t="n"/>
      <c r="K167" s="2">
        <f>IF(COUNTA(G167:J167)&lt;4,"",ROUND(AVERAGE(G167:J167),1))</f>
        <v/>
      </c>
      <c r="L167" s="2" t="n"/>
      <c r="M167" s="2" t="n"/>
      <c r="N167" s="2" t="n"/>
      <c r="O167" s="2" t="n"/>
    </row>
    <row r="168">
      <c r="A168" s="2" t="n"/>
      <c r="B168" s="2" t="n"/>
      <c r="C168" s="2" t="n"/>
      <c r="D168" s="2" t="n"/>
      <c r="E168" s="2" t="n"/>
      <c r="F168" s="2" t="n"/>
      <c r="G168" s="2" t="n"/>
      <c r="H168" s="2" t="n"/>
      <c r="I168" s="2" t="n"/>
      <c r="J168" s="2" t="n"/>
      <c r="K168" s="2">
        <f>IF(COUNTA(G168:J168)&lt;4,"",ROUND(AVERAGE(G168:J168),1))</f>
        <v/>
      </c>
      <c r="L168" s="2" t="n"/>
      <c r="M168" s="2" t="n"/>
      <c r="N168" s="2" t="n"/>
      <c r="O168" s="2" t="n"/>
    </row>
    <row r="169">
      <c r="A169" s="2" t="n"/>
      <c r="B169" s="2" t="n"/>
      <c r="C169" s="2" t="n"/>
      <c r="D169" s="2" t="n"/>
      <c r="E169" s="2" t="n"/>
      <c r="F169" s="2" t="n"/>
      <c r="G169" s="2" t="n"/>
      <c r="H169" s="2" t="n"/>
      <c r="I169" s="2" t="n"/>
      <c r="J169" s="2" t="n"/>
      <c r="K169" s="2">
        <f>IF(COUNTA(G169:J169)&lt;4,"",ROUND(AVERAGE(G169:J169),1))</f>
        <v/>
      </c>
      <c r="L169" s="2" t="n"/>
      <c r="M169" s="2" t="n"/>
      <c r="N169" s="2" t="n"/>
      <c r="O169" s="2" t="n"/>
    </row>
    <row r="170">
      <c r="A170" s="2" t="n"/>
      <c r="B170" s="2" t="n"/>
      <c r="C170" s="2" t="n"/>
      <c r="D170" s="2" t="n"/>
      <c r="E170" s="2" t="n"/>
      <c r="F170" s="2" t="n"/>
      <c r="G170" s="2" t="n"/>
      <c r="H170" s="2" t="n"/>
      <c r="I170" s="2" t="n"/>
      <c r="J170" s="2" t="n"/>
      <c r="K170" s="2">
        <f>IF(COUNTA(G170:J170)&lt;4,"",ROUND(AVERAGE(G170:J170),1))</f>
        <v/>
      </c>
      <c r="L170" s="2" t="n"/>
      <c r="M170" s="2" t="n"/>
      <c r="N170" s="2" t="n"/>
      <c r="O170" s="2" t="n"/>
    </row>
    <row r="171">
      <c r="A171" s="2" t="n"/>
      <c r="B171" s="2" t="n"/>
      <c r="C171" s="2" t="n"/>
      <c r="D171" s="2" t="n"/>
      <c r="E171" s="2" t="n"/>
      <c r="F171" s="2" t="n"/>
      <c r="G171" s="2" t="n"/>
      <c r="H171" s="2" t="n"/>
      <c r="I171" s="2" t="n"/>
      <c r="J171" s="2" t="n"/>
      <c r="K171" s="2">
        <f>IF(COUNTA(G171:J171)&lt;4,"",ROUND(AVERAGE(G171:J171),1))</f>
        <v/>
      </c>
      <c r="L171" s="2" t="n"/>
      <c r="M171" s="2" t="n"/>
      <c r="N171" s="2" t="n"/>
      <c r="O171" s="2" t="n"/>
    </row>
    <row r="172">
      <c r="A172" s="2" t="n"/>
      <c r="B172" s="2" t="n"/>
      <c r="C172" s="2" t="n"/>
      <c r="D172" s="2" t="n"/>
      <c r="E172" s="2" t="n"/>
      <c r="F172" s="2" t="n"/>
      <c r="G172" s="2" t="n"/>
      <c r="H172" s="2" t="n"/>
      <c r="I172" s="2" t="n"/>
      <c r="J172" s="2" t="n"/>
      <c r="K172" s="2">
        <f>IF(COUNTA(G172:J172)&lt;4,"",ROUND(AVERAGE(G172:J172),1))</f>
        <v/>
      </c>
      <c r="L172" s="2" t="n"/>
      <c r="M172" s="2" t="n"/>
      <c r="N172" s="2" t="n"/>
      <c r="O172" s="2" t="n"/>
    </row>
    <row r="173">
      <c r="A173" s="2" t="n"/>
      <c r="B173" s="2" t="n"/>
      <c r="C173" s="2" t="n"/>
      <c r="D173" s="2" t="n"/>
      <c r="E173" s="2" t="n"/>
      <c r="F173" s="2" t="n"/>
      <c r="G173" s="2" t="n"/>
      <c r="H173" s="2" t="n"/>
      <c r="I173" s="2" t="n"/>
      <c r="J173" s="2" t="n"/>
      <c r="K173" s="2">
        <f>IF(COUNTA(G173:J173)&lt;4,"",ROUND(AVERAGE(G173:J173),1))</f>
        <v/>
      </c>
      <c r="L173" s="2" t="n"/>
      <c r="M173" s="2" t="n"/>
      <c r="N173" s="2" t="n"/>
      <c r="O173" s="2" t="n"/>
    </row>
    <row r="174">
      <c r="A174" s="2" t="n"/>
      <c r="B174" s="2" t="n"/>
      <c r="C174" s="2" t="n"/>
      <c r="D174" s="2" t="n"/>
      <c r="E174" s="2" t="n"/>
      <c r="F174" s="2" t="n"/>
      <c r="G174" s="2" t="n"/>
      <c r="H174" s="2" t="n"/>
      <c r="I174" s="2" t="n"/>
      <c r="J174" s="2" t="n"/>
      <c r="K174" s="2">
        <f>IF(COUNTA(G174:J174)&lt;4,"",ROUND(AVERAGE(G174:J174),1))</f>
        <v/>
      </c>
      <c r="L174" s="2" t="n"/>
      <c r="M174" s="2" t="n"/>
      <c r="N174" s="2" t="n"/>
      <c r="O174" s="2" t="n"/>
    </row>
    <row r="175">
      <c r="A175" s="2" t="n"/>
      <c r="B175" s="2" t="n"/>
      <c r="C175" s="2" t="n"/>
      <c r="D175" s="2" t="n"/>
      <c r="E175" s="2" t="n"/>
      <c r="F175" s="2" t="n"/>
      <c r="G175" s="2" t="n"/>
      <c r="H175" s="2" t="n"/>
      <c r="I175" s="2" t="n"/>
      <c r="J175" s="2" t="n"/>
      <c r="K175" s="2">
        <f>IF(COUNTA(G175:J175)&lt;4,"",ROUND(AVERAGE(G175:J175),1))</f>
        <v/>
      </c>
      <c r="L175" s="2" t="n"/>
      <c r="M175" s="2" t="n"/>
      <c r="N175" s="2" t="n"/>
      <c r="O175" s="2" t="n"/>
    </row>
    <row r="176">
      <c r="A176" s="2" t="n"/>
      <c r="B176" s="2" t="n"/>
      <c r="C176" s="2" t="n"/>
      <c r="D176" s="2" t="n"/>
      <c r="E176" s="2" t="n"/>
      <c r="F176" s="2" t="n"/>
      <c r="G176" s="2" t="n"/>
      <c r="H176" s="2" t="n"/>
      <c r="I176" s="2" t="n"/>
      <c r="J176" s="2" t="n"/>
      <c r="K176" s="2">
        <f>IF(COUNTA(G176:J176)&lt;4,"",ROUND(AVERAGE(G176:J176),1))</f>
        <v/>
      </c>
      <c r="L176" s="2" t="n"/>
      <c r="M176" s="2" t="n"/>
      <c r="N176" s="2" t="n"/>
      <c r="O176" s="2" t="n"/>
    </row>
    <row r="177">
      <c r="A177" s="2" t="n"/>
      <c r="B177" s="2" t="n"/>
      <c r="C177" s="2" t="n"/>
      <c r="D177" s="2" t="n"/>
      <c r="E177" s="2" t="n"/>
      <c r="F177" s="2" t="n"/>
      <c r="G177" s="2" t="n"/>
      <c r="H177" s="2" t="n"/>
      <c r="I177" s="2" t="n"/>
      <c r="J177" s="2" t="n"/>
      <c r="K177" s="2">
        <f>IF(COUNTA(G177:J177)&lt;4,"",ROUND(AVERAGE(G177:J177),1))</f>
        <v/>
      </c>
      <c r="L177" s="2" t="n"/>
      <c r="M177" s="2" t="n"/>
      <c r="N177" s="2" t="n"/>
      <c r="O177" s="2" t="n"/>
    </row>
    <row r="178">
      <c r="A178" s="2" t="n"/>
      <c r="B178" s="2" t="n"/>
      <c r="C178" s="2" t="n"/>
      <c r="D178" s="2" t="n"/>
      <c r="E178" s="2" t="n"/>
      <c r="F178" s="2" t="n"/>
      <c r="G178" s="2" t="n"/>
      <c r="H178" s="2" t="n"/>
      <c r="I178" s="2" t="n"/>
      <c r="J178" s="2" t="n"/>
      <c r="K178" s="2">
        <f>IF(COUNTA(G178:J178)&lt;4,"",ROUND(AVERAGE(G178:J178),1))</f>
        <v/>
      </c>
      <c r="L178" s="2" t="n"/>
      <c r="M178" s="2" t="n"/>
      <c r="N178" s="2" t="n"/>
      <c r="O178" s="2" t="n"/>
    </row>
    <row r="179">
      <c r="A179" s="2" t="n"/>
      <c r="B179" s="2" t="n"/>
      <c r="C179" s="2" t="n"/>
      <c r="D179" s="2" t="n"/>
      <c r="E179" s="2" t="n"/>
      <c r="F179" s="2" t="n"/>
      <c r="G179" s="2" t="n"/>
      <c r="H179" s="2" t="n"/>
      <c r="I179" s="2" t="n"/>
      <c r="J179" s="2" t="n"/>
      <c r="K179" s="2">
        <f>IF(COUNTA(G179:J179)&lt;4,"",ROUND(AVERAGE(G179:J179),1))</f>
        <v/>
      </c>
      <c r="L179" s="2" t="n"/>
      <c r="M179" s="2" t="n"/>
      <c r="N179" s="2" t="n"/>
      <c r="O179" s="2" t="n"/>
    </row>
    <row r="180">
      <c r="A180" s="2" t="n"/>
      <c r="B180" s="2" t="n"/>
      <c r="C180" s="2" t="n"/>
      <c r="D180" s="2" t="n"/>
      <c r="E180" s="2" t="n"/>
      <c r="F180" s="2" t="n"/>
      <c r="G180" s="2" t="n"/>
      <c r="H180" s="2" t="n"/>
      <c r="I180" s="2" t="n"/>
      <c r="J180" s="2" t="n"/>
      <c r="K180" s="2">
        <f>IF(COUNTA(G180:J180)&lt;4,"",ROUND(AVERAGE(G180:J180),1))</f>
        <v/>
      </c>
      <c r="L180" s="2" t="n"/>
      <c r="M180" s="2" t="n"/>
      <c r="N180" s="2" t="n"/>
      <c r="O180" s="2" t="n"/>
    </row>
    <row r="181">
      <c r="A181" s="2" t="n"/>
      <c r="B181" s="2" t="n"/>
      <c r="C181" s="2" t="n"/>
      <c r="D181" s="2" t="n"/>
      <c r="E181" s="2" t="n"/>
      <c r="F181" s="2" t="n"/>
      <c r="G181" s="2" t="n"/>
      <c r="H181" s="2" t="n"/>
      <c r="I181" s="2" t="n"/>
      <c r="J181" s="2" t="n"/>
      <c r="K181" s="2">
        <f>IF(COUNTA(G181:J181)&lt;4,"",ROUND(AVERAGE(G181:J181),1))</f>
        <v/>
      </c>
      <c r="L181" s="2" t="n"/>
      <c r="M181" s="2" t="n"/>
      <c r="N181" s="2" t="n"/>
      <c r="O181" s="2" t="n"/>
    </row>
    <row r="182">
      <c r="A182" s="2" t="n"/>
      <c r="B182" s="2" t="n"/>
      <c r="C182" s="2" t="n"/>
      <c r="D182" s="2" t="n"/>
      <c r="E182" s="2" t="n"/>
      <c r="F182" s="2" t="n"/>
      <c r="G182" s="2" t="n"/>
      <c r="H182" s="2" t="n"/>
      <c r="I182" s="2" t="n"/>
      <c r="J182" s="2" t="n"/>
      <c r="K182" s="2">
        <f>IF(COUNTA(G182:J182)&lt;4,"",ROUND(AVERAGE(G182:J182),1))</f>
        <v/>
      </c>
      <c r="L182" s="2" t="n"/>
      <c r="M182" s="2" t="n"/>
      <c r="N182" s="2" t="n"/>
      <c r="O182" s="2" t="n"/>
    </row>
    <row r="183">
      <c r="A183" s="2" t="n"/>
      <c r="B183" s="2" t="n"/>
      <c r="C183" s="2" t="n"/>
      <c r="D183" s="2" t="n"/>
      <c r="E183" s="2" t="n"/>
      <c r="F183" s="2" t="n"/>
      <c r="G183" s="2" t="n"/>
      <c r="H183" s="2" t="n"/>
      <c r="I183" s="2" t="n"/>
      <c r="J183" s="2" t="n"/>
      <c r="K183" s="2">
        <f>IF(COUNTA(G183:J183)&lt;4,"",ROUND(AVERAGE(G183:J183),1))</f>
        <v/>
      </c>
      <c r="L183" s="2" t="n"/>
      <c r="M183" s="2" t="n"/>
      <c r="N183" s="2" t="n"/>
      <c r="O183" s="2" t="n"/>
    </row>
    <row r="184">
      <c r="A184" s="2" t="n"/>
      <c r="B184" s="2" t="n"/>
      <c r="C184" s="2" t="n"/>
      <c r="D184" s="2" t="n"/>
      <c r="E184" s="2" t="n"/>
      <c r="F184" s="2" t="n"/>
      <c r="G184" s="2" t="n"/>
      <c r="H184" s="2" t="n"/>
      <c r="I184" s="2" t="n"/>
      <c r="J184" s="2" t="n"/>
      <c r="K184" s="2">
        <f>IF(COUNTA(G184:J184)&lt;4,"",ROUND(AVERAGE(G184:J184),1))</f>
        <v/>
      </c>
      <c r="L184" s="2" t="n"/>
      <c r="M184" s="2" t="n"/>
      <c r="N184" s="2" t="n"/>
      <c r="O184" s="2" t="n"/>
    </row>
    <row r="185">
      <c r="A185" s="2" t="n"/>
      <c r="B185" s="2" t="n"/>
      <c r="C185" s="2" t="n"/>
      <c r="D185" s="2" t="n"/>
      <c r="E185" s="2" t="n"/>
      <c r="F185" s="2" t="n"/>
      <c r="G185" s="2" t="n"/>
      <c r="H185" s="2" t="n"/>
      <c r="I185" s="2" t="n"/>
      <c r="J185" s="2" t="n"/>
      <c r="K185" s="2">
        <f>IF(COUNTA(G185:J185)&lt;4,"",ROUND(AVERAGE(G185:J185),1))</f>
        <v/>
      </c>
      <c r="L185" s="2" t="n"/>
      <c r="M185" s="2" t="n"/>
      <c r="N185" s="2" t="n"/>
      <c r="O185" s="2" t="n"/>
    </row>
    <row r="186">
      <c r="A186" s="2" t="n"/>
      <c r="B186" s="2" t="n"/>
      <c r="C186" s="2" t="n"/>
      <c r="D186" s="2" t="n"/>
      <c r="E186" s="2" t="n"/>
      <c r="F186" s="2" t="n"/>
      <c r="G186" s="2" t="n"/>
      <c r="H186" s="2" t="n"/>
      <c r="I186" s="2" t="n"/>
      <c r="J186" s="2" t="n"/>
      <c r="K186" s="2">
        <f>IF(COUNTA(G186:J186)&lt;4,"",ROUND(AVERAGE(G186:J186),1))</f>
        <v/>
      </c>
      <c r="L186" s="2" t="n"/>
      <c r="M186" s="2" t="n"/>
      <c r="N186" s="2" t="n"/>
      <c r="O186" s="2" t="n"/>
    </row>
    <row r="187">
      <c r="A187" s="2" t="n"/>
      <c r="B187" s="2" t="n"/>
      <c r="C187" s="2" t="n"/>
      <c r="D187" s="2" t="n"/>
      <c r="E187" s="2" t="n"/>
      <c r="F187" s="2" t="n"/>
      <c r="G187" s="2" t="n"/>
      <c r="H187" s="2" t="n"/>
      <c r="I187" s="2" t="n"/>
      <c r="J187" s="2" t="n"/>
      <c r="K187" s="2">
        <f>IF(COUNTA(G187:J187)&lt;4,"",ROUND(AVERAGE(G187:J187),1))</f>
        <v/>
      </c>
      <c r="L187" s="2" t="n"/>
      <c r="M187" s="2" t="n"/>
      <c r="N187" s="2" t="n"/>
      <c r="O187" s="2" t="n"/>
    </row>
    <row r="188">
      <c r="A188" s="2" t="n"/>
      <c r="B188" s="2" t="n"/>
      <c r="C188" s="2" t="n"/>
      <c r="D188" s="2" t="n"/>
      <c r="E188" s="2" t="n"/>
      <c r="F188" s="2" t="n"/>
      <c r="G188" s="2" t="n"/>
      <c r="H188" s="2" t="n"/>
      <c r="I188" s="2" t="n"/>
      <c r="J188" s="2" t="n"/>
      <c r="K188" s="2">
        <f>IF(COUNTA(G188:J188)&lt;4,"",ROUND(AVERAGE(G188:J188),1))</f>
        <v/>
      </c>
      <c r="L188" s="2" t="n"/>
      <c r="M188" s="2" t="n"/>
      <c r="N188" s="2" t="n"/>
      <c r="O188" s="2" t="n"/>
    </row>
    <row r="189">
      <c r="A189" s="2" t="n"/>
      <c r="B189" s="2" t="n"/>
      <c r="C189" s="2" t="n"/>
      <c r="D189" s="2" t="n"/>
      <c r="E189" s="2" t="n"/>
      <c r="F189" s="2" t="n"/>
      <c r="G189" s="2" t="n"/>
      <c r="H189" s="2" t="n"/>
      <c r="I189" s="2" t="n"/>
      <c r="J189" s="2" t="n"/>
      <c r="K189" s="2">
        <f>IF(COUNTA(G189:J189)&lt;4,"",ROUND(AVERAGE(G189:J189),1))</f>
        <v/>
      </c>
      <c r="L189" s="2" t="n"/>
      <c r="M189" s="2" t="n"/>
      <c r="N189" s="2" t="n"/>
      <c r="O189" s="2" t="n"/>
    </row>
    <row r="190">
      <c r="A190" s="2" t="n"/>
      <c r="B190" s="2" t="n"/>
      <c r="C190" s="2" t="n"/>
      <c r="D190" s="2" t="n"/>
      <c r="E190" s="2" t="n"/>
      <c r="F190" s="2" t="n"/>
      <c r="G190" s="2" t="n"/>
      <c r="H190" s="2" t="n"/>
      <c r="I190" s="2" t="n"/>
      <c r="J190" s="2" t="n"/>
      <c r="K190" s="2">
        <f>IF(COUNTA(G190:J190)&lt;4,"",ROUND(AVERAGE(G190:J190),1))</f>
        <v/>
      </c>
      <c r="L190" s="2" t="n"/>
      <c r="M190" s="2" t="n"/>
      <c r="N190" s="2" t="n"/>
      <c r="O190" s="2" t="n"/>
    </row>
    <row r="191">
      <c r="A191" s="2" t="n"/>
      <c r="B191" s="2" t="n"/>
      <c r="C191" s="2" t="n"/>
      <c r="D191" s="2" t="n"/>
      <c r="E191" s="2" t="n"/>
      <c r="F191" s="2" t="n"/>
      <c r="G191" s="2" t="n"/>
      <c r="H191" s="2" t="n"/>
      <c r="I191" s="2" t="n"/>
      <c r="J191" s="2" t="n"/>
      <c r="K191" s="2">
        <f>IF(COUNTA(G191:J191)&lt;4,"",ROUND(AVERAGE(G191:J191),1))</f>
        <v/>
      </c>
      <c r="L191" s="2" t="n"/>
      <c r="M191" s="2" t="n"/>
      <c r="N191" s="2" t="n"/>
      <c r="O191" s="2" t="n"/>
    </row>
    <row r="192">
      <c r="A192" s="2" t="n"/>
      <c r="B192" s="2" t="n"/>
      <c r="C192" s="2" t="n"/>
      <c r="D192" s="2" t="n"/>
      <c r="E192" s="2" t="n"/>
      <c r="F192" s="2" t="n"/>
      <c r="G192" s="2" t="n"/>
      <c r="H192" s="2" t="n"/>
      <c r="I192" s="2" t="n"/>
      <c r="J192" s="2" t="n"/>
      <c r="K192" s="2">
        <f>IF(COUNTA(G192:J192)&lt;4,"",ROUND(AVERAGE(G192:J192),1))</f>
        <v/>
      </c>
      <c r="L192" s="2" t="n"/>
      <c r="M192" s="2" t="n"/>
      <c r="N192" s="2" t="n"/>
      <c r="O192" s="2" t="n"/>
    </row>
    <row r="193">
      <c r="A193" s="2" t="n"/>
      <c r="B193" s="2" t="n"/>
      <c r="C193" s="2" t="n"/>
      <c r="D193" s="2" t="n"/>
      <c r="E193" s="2" t="n"/>
      <c r="F193" s="2" t="n"/>
      <c r="G193" s="2" t="n"/>
      <c r="H193" s="2" t="n"/>
      <c r="I193" s="2" t="n"/>
      <c r="J193" s="2" t="n"/>
      <c r="K193" s="2">
        <f>IF(COUNTA(G193:J193)&lt;4,"",ROUND(AVERAGE(G193:J193),1))</f>
        <v/>
      </c>
      <c r="L193" s="2" t="n"/>
      <c r="M193" s="2" t="n"/>
      <c r="N193" s="2" t="n"/>
      <c r="O193" s="2" t="n"/>
    </row>
    <row r="194">
      <c r="A194" s="2" t="n"/>
      <c r="B194" s="2" t="n"/>
      <c r="C194" s="2" t="n"/>
      <c r="D194" s="2" t="n"/>
      <c r="E194" s="2" t="n"/>
      <c r="F194" s="2" t="n"/>
      <c r="G194" s="2" t="n"/>
      <c r="H194" s="2" t="n"/>
      <c r="I194" s="2" t="n"/>
      <c r="J194" s="2" t="n"/>
      <c r="K194" s="2">
        <f>IF(COUNTA(G194:J194)&lt;4,"",ROUND(AVERAGE(G194:J194),1))</f>
        <v/>
      </c>
      <c r="L194" s="2" t="n"/>
      <c r="M194" s="2" t="n"/>
      <c r="N194" s="2" t="n"/>
      <c r="O194" s="2" t="n"/>
    </row>
    <row r="195">
      <c r="A195" s="2" t="n"/>
      <c r="B195" s="2" t="n"/>
      <c r="C195" s="2" t="n"/>
      <c r="D195" s="2" t="n"/>
      <c r="E195" s="2" t="n"/>
      <c r="F195" s="2" t="n"/>
      <c r="G195" s="2" t="n"/>
      <c r="H195" s="2" t="n"/>
      <c r="I195" s="2" t="n"/>
      <c r="J195" s="2" t="n"/>
      <c r="K195" s="2">
        <f>IF(COUNTA(G195:J195)&lt;4,"",ROUND(AVERAGE(G195:J195),1))</f>
        <v/>
      </c>
      <c r="L195" s="2" t="n"/>
      <c r="M195" s="2" t="n"/>
      <c r="N195" s="2" t="n"/>
      <c r="O195" s="2" t="n"/>
    </row>
    <row r="196">
      <c r="A196" s="2" t="n"/>
      <c r="B196" s="2" t="n"/>
      <c r="C196" s="2" t="n"/>
      <c r="D196" s="2" t="n"/>
      <c r="E196" s="2" t="n"/>
      <c r="F196" s="2" t="n"/>
      <c r="G196" s="2" t="n"/>
      <c r="H196" s="2" t="n"/>
      <c r="I196" s="2" t="n"/>
      <c r="J196" s="2" t="n"/>
      <c r="K196" s="2">
        <f>IF(COUNTA(G196:J196)&lt;4,"",ROUND(AVERAGE(G196:J196),1))</f>
        <v/>
      </c>
      <c r="L196" s="2" t="n"/>
      <c r="M196" s="2" t="n"/>
      <c r="N196" s="2" t="n"/>
      <c r="O196" s="2" t="n"/>
    </row>
    <row r="197">
      <c r="A197" s="2" t="n"/>
      <c r="B197" s="2" t="n"/>
      <c r="C197" s="2" t="n"/>
      <c r="D197" s="2" t="n"/>
      <c r="E197" s="2" t="n"/>
      <c r="F197" s="2" t="n"/>
      <c r="G197" s="2" t="n"/>
      <c r="H197" s="2" t="n"/>
      <c r="I197" s="2" t="n"/>
      <c r="J197" s="2" t="n"/>
      <c r="K197" s="2">
        <f>IF(COUNTA(G197:J197)&lt;4,"",ROUND(AVERAGE(G197:J197),1))</f>
        <v/>
      </c>
      <c r="L197" s="2" t="n"/>
      <c r="M197" s="2" t="n"/>
      <c r="N197" s="2" t="n"/>
      <c r="O197" s="2" t="n"/>
    </row>
    <row r="198">
      <c r="A198" s="2" t="n"/>
      <c r="B198" s="2" t="n"/>
      <c r="C198" s="2" t="n"/>
      <c r="D198" s="2" t="n"/>
      <c r="E198" s="2" t="n"/>
      <c r="F198" s="2" t="n"/>
      <c r="G198" s="2" t="n"/>
      <c r="H198" s="2" t="n"/>
      <c r="I198" s="2" t="n"/>
      <c r="J198" s="2" t="n"/>
      <c r="K198" s="2">
        <f>IF(COUNTA(G198:J198)&lt;4,"",ROUND(AVERAGE(G198:J198),1))</f>
        <v/>
      </c>
      <c r="L198" s="2" t="n"/>
      <c r="M198" s="2" t="n"/>
      <c r="N198" s="2" t="n"/>
      <c r="O198" s="2" t="n"/>
    </row>
    <row r="199">
      <c r="A199" s="2" t="n"/>
      <c r="B199" s="2" t="n"/>
      <c r="C199" s="2" t="n"/>
      <c r="D199" s="2" t="n"/>
      <c r="E199" s="2" t="n"/>
      <c r="F199" s="2" t="n"/>
      <c r="G199" s="2" t="n"/>
      <c r="H199" s="2" t="n"/>
      <c r="I199" s="2" t="n"/>
      <c r="J199" s="2" t="n"/>
      <c r="K199" s="2">
        <f>IF(COUNTA(G199:J199)&lt;4,"",ROUND(AVERAGE(G199:J199),1))</f>
        <v/>
      </c>
      <c r="L199" s="2" t="n"/>
      <c r="M199" s="2" t="n"/>
      <c r="N199" s="2" t="n"/>
      <c r="O199" s="2" t="n"/>
    </row>
    <row r="200">
      <c r="A200" s="2" t="n"/>
      <c r="B200" s="2" t="n"/>
      <c r="C200" s="2" t="n"/>
      <c r="D200" s="2" t="n"/>
      <c r="E200" s="2" t="n"/>
      <c r="F200" s="2" t="n"/>
      <c r="G200" s="2" t="n"/>
      <c r="H200" s="2" t="n"/>
      <c r="I200" s="2" t="n"/>
      <c r="J200" s="2" t="n"/>
      <c r="K200" s="2">
        <f>IF(COUNTA(G200:J200)&lt;4,"",ROUND(AVERAGE(G200:J200),1))</f>
        <v/>
      </c>
      <c r="L200" s="2" t="n"/>
      <c r="M200" s="2" t="n"/>
      <c r="N200" s="2" t="n"/>
      <c r="O200" s="2" t="n"/>
    </row>
    <row r="201">
      <c r="A201" s="2" t="n"/>
      <c r="B201" s="2" t="n"/>
      <c r="C201" s="2" t="n"/>
      <c r="D201" s="2" t="n"/>
      <c r="E201" s="2" t="n"/>
      <c r="F201" s="2" t="n"/>
      <c r="G201" s="2" t="n"/>
      <c r="H201" s="2" t="n"/>
      <c r="I201" s="2" t="n"/>
      <c r="J201" s="2" t="n"/>
      <c r="K201" s="2">
        <f>IF(COUNTA(G201:J201)&lt;4,"",ROUND(AVERAGE(G201:J201),1))</f>
        <v/>
      </c>
      <c r="L201" s="2" t="n"/>
      <c r="M201" s="2" t="n"/>
      <c r="N201" s="2" t="n"/>
      <c r="O201" s="2" t="n"/>
    </row>
    <row r="202">
      <c r="A202" s="2" t="n"/>
      <c r="B202" s="2" t="n"/>
      <c r="C202" s="2" t="n"/>
      <c r="D202" s="2" t="n"/>
      <c r="E202" s="2" t="n"/>
      <c r="F202" s="2" t="n"/>
      <c r="G202" s="2" t="n"/>
      <c r="H202" s="2" t="n"/>
      <c r="I202" s="2" t="n"/>
      <c r="J202" s="2" t="n"/>
      <c r="K202" s="2">
        <f>IF(COUNTA(G202:J202)&lt;4,"",ROUND(AVERAGE(G202:J202),1))</f>
        <v/>
      </c>
      <c r="L202" s="2" t="n"/>
      <c r="M202" s="2" t="n"/>
      <c r="N202" s="2" t="n"/>
      <c r="O202" s="2" t="n"/>
    </row>
    <row r="203">
      <c r="A203" s="2" t="n"/>
      <c r="B203" s="2" t="n"/>
      <c r="C203" s="2" t="n"/>
      <c r="D203" s="2" t="n"/>
      <c r="E203" s="2" t="n"/>
      <c r="F203" s="2" t="n"/>
      <c r="G203" s="2" t="n"/>
      <c r="H203" s="2" t="n"/>
      <c r="I203" s="2" t="n"/>
      <c r="J203" s="2" t="n"/>
      <c r="K203" s="2">
        <f>IF(COUNTA(G203:J203)&lt;4,"",ROUND(AVERAGE(G203:J203),1))</f>
        <v/>
      </c>
      <c r="L203" s="2" t="n"/>
      <c r="M203" s="2" t="n"/>
      <c r="N203" s="2" t="n"/>
      <c r="O203" s="2" t="n"/>
    </row>
    <row r="204">
      <c r="A204" s="2" t="n"/>
      <c r="B204" s="2" t="n"/>
      <c r="C204" s="2" t="n"/>
      <c r="D204" s="2" t="n"/>
      <c r="E204" s="2" t="n"/>
      <c r="F204" s="2" t="n"/>
      <c r="G204" s="2" t="n"/>
      <c r="H204" s="2" t="n"/>
      <c r="I204" s="2" t="n"/>
      <c r="J204" s="2" t="n"/>
      <c r="K204" s="2">
        <f>IF(COUNTA(G204:J204)&lt;4,"",ROUND(AVERAGE(G204:J204),1))</f>
        <v/>
      </c>
      <c r="L204" s="2" t="n"/>
      <c r="M204" s="2" t="n"/>
      <c r="N204" s="2" t="n"/>
      <c r="O204" s="2" t="n"/>
    </row>
    <row r="205">
      <c r="A205" s="2" t="n"/>
      <c r="B205" s="2" t="n"/>
      <c r="C205" s="2" t="n"/>
      <c r="D205" s="2" t="n"/>
      <c r="E205" s="2" t="n"/>
      <c r="F205" s="2" t="n"/>
      <c r="G205" s="2" t="n"/>
      <c r="H205" s="2" t="n"/>
      <c r="I205" s="2" t="n"/>
      <c r="J205" s="2" t="n"/>
      <c r="K205" s="2">
        <f>IF(COUNTA(G205:J205)&lt;4,"",ROUND(AVERAGE(G205:J205),1))</f>
        <v/>
      </c>
      <c r="L205" s="2" t="n"/>
      <c r="M205" s="2" t="n"/>
      <c r="N205" s="2" t="n"/>
      <c r="O205" s="2" t="n"/>
    </row>
    <row r="206">
      <c r="A206" s="2" t="n"/>
      <c r="B206" s="2" t="n"/>
      <c r="C206" s="2" t="n"/>
      <c r="D206" s="2" t="n"/>
      <c r="E206" s="2" t="n"/>
      <c r="F206" s="2" t="n"/>
      <c r="G206" s="2" t="n"/>
      <c r="H206" s="2" t="n"/>
      <c r="I206" s="2" t="n"/>
      <c r="J206" s="2" t="n"/>
      <c r="K206" s="2">
        <f>IF(COUNTA(G206:J206)&lt;4,"",ROUND(AVERAGE(G206:J206),1))</f>
        <v/>
      </c>
      <c r="L206" s="2" t="n"/>
      <c r="M206" s="2" t="n"/>
      <c r="N206" s="2" t="n"/>
      <c r="O206" s="2" t="n"/>
    </row>
    <row r="207">
      <c r="A207" s="2" t="n"/>
      <c r="B207" s="2" t="n"/>
      <c r="C207" s="2" t="n"/>
      <c r="D207" s="2" t="n"/>
      <c r="E207" s="2" t="n"/>
      <c r="F207" s="2" t="n"/>
      <c r="G207" s="2" t="n"/>
      <c r="H207" s="2" t="n"/>
      <c r="I207" s="2" t="n"/>
      <c r="J207" s="2" t="n"/>
      <c r="K207" s="2">
        <f>IF(COUNTA(G207:J207)&lt;4,"",ROUND(AVERAGE(G207:J207),1))</f>
        <v/>
      </c>
      <c r="L207" s="2" t="n"/>
      <c r="M207" s="2" t="n"/>
      <c r="N207" s="2" t="n"/>
      <c r="O207" s="2" t="n"/>
    </row>
    <row r="208">
      <c r="A208" s="2" t="n"/>
      <c r="B208" s="2" t="n"/>
      <c r="C208" s="2" t="n"/>
      <c r="D208" s="2" t="n"/>
      <c r="E208" s="2" t="n"/>
      <c r="F208" s="2" t="n"/>
      <c r="G208" s="2" t="n"/>
      <c r="H208" s="2" t="n"/>
      <c r="I208" s="2" t="n"/>
      <c r="J208" s="2" t="n"/>
      <c r="K208" s="2">
        <f>IF(COUNTA(G208:J208)&lt;4,"",ROUND(AVERAGE(G208:J208),1))</f>
        <v/>
      </c>
      <c r="L208" s="2" t="n"/>
      <c r="M208" s="2" t="n"/>
      <c r="N208" s="2" t="n"/>
      <c r="O208" s="2" t="n"/>
    </row>
    <row r="209">
      <c r="A209" s="2" t="n"/>
      <c r="B209" s="2" t="n"/>
      <c r="C209" s="2" t="n"/>
      <c r="D209" s="2" t="n"/>
      <c r="E209" s="2" t="n"/>
      <c r="F209" s="2" t="n"/>
      <c r="G209" s="2" t="n"/>
      <c r="H209" s="2" t="n"/>
      <c r="I209" s="2" t="n"/>
      <c r="J209" s="2" t="n"/>
      <c r="K209" s="2">
        <f>IF(COUNTA(G209:J209)&lt;4,"",ROUND(AVERAGE(G209:J209),1))</f>
        <v/>
      </c>
      <c r="L209" s="2" t="n"/>
      <c r="M209" s="2" t="n"/>
      <c r="N209" s="2" t="n"/>
      <c r="O209" s="2" t="n"/>
    </row>
    <row r="210">
      <c r="A210" s="2" t="n"/>
      <c r="B210" s="2" t="n"/>
      <c r="C210" s="2" t="n"/>
      <c r="D210" s="2" t="n"/>
      <c r="E210" s="2" t="n"/>
      <c r="F210" s="2" t="n"/>
      <c r="G210" s="2" t="n"/>
      <c r="H210" s="2" t="n"/>
      <c r="I210" s="2" t="n"/>
      <c r="J210" s="2" t="n"/>
      <c r="K210" s="2">
        <f>IF(COUNTA(G210:J210)&lt;4,"",ROUND(AVERAGE(G210:J210),1))</f>
        <v/>
      </c>
      <c r="L210" s="2" t="n"/>
      <c r="M210" s="2" t="n"/>
      <c r="N210" s="2" t="n"/>
      <c r="O210" s="2" t="n"/>
    </row>
    <row r="211">
      <c r="A211" s="2" t="n"/>
      <c r="B211" s="2" t="n"/>
      <c r="C211" s="2" t="n"/>
      <c r="D211" s="2" t="n"/>
      <c r="E211" s="2" t="n"/>
      <c r="F211" s="2" t="n"/>
      <c r="G211" s="2" t="n"/>
      <c r="H211" s="2" t="n"/>
      <c r="I211" s="2" t="n"/>
      <c r="J211" s="2" t="n"/>
      <c r="K211" s="2">
        <f>IF(COUNTA(G211:J211)&lt;4,"",ROUND(AVERAGE(G211:J211),1))</f>
        <v/>
      </c>
      <c r="L211" s="2" t="n"/>
      <c r="M211" s="2" t="n"/>
      <c r="N211" s="2" t="n"/>
      <c r="O211" s="2" t="n"/>
    </row>
    <row r="212">
      <c r="A212" s="2" t="n"/>
      <c r="B212" s="2" t="n"/>
      <c r="C212" s="2" t="n"/>
      <c r="D212" s="2" t="n"/>
      <c r="E212" s="2" t="n"/>
      <c r="F212" s="2" t="n"/>
      <c r="G212" s="2" t="n"/>
      <c r="H212" s="2" t="n"/>
      <c r="I212" s="2" t="n"/>
      <c r="J212" s="2" t="n"/>
      <c r="K212" s="2">
        <f>IF(COUNTA(G212:J212)&lt;4,"",ROUND(AVERAGE(G212:J212),1))</f>
        <v/>
      </c>
      <c r="L212" s="2" t="n"/>
      <c r="M212" s="2" t="n"/>
      <c r="N212" s="2" t="n"/>
      <c r="O212" s="2" t="n"/>
    </row>
    <row r="213">
      <c r="A213" s="2" t="n"/>
      <c r="B213" s="2" t="n"/>
      <c r="C213" s="2" t="n"/>
      <c r="D213" s="2" t="n"/>
      <c r="E213" s="2" t="n"/>
      <c r="F213" s="2" t="n"/>
      <c r="G213" s="2" t="n"/>
      <c r="H213" s="2" t="n"/>
      <c r="I213" s="2" t="n"/>
      <c r="J213" s="2" t="n"/>
      <c r="K213" s="2">
        <f>IF(COUNTA(G213:J213)&lt;4,"",ROUND(AVERAGE(G213:J213),1))</f>
        <v/>
      </c>
      <c r="L213" s="2" t="n"/>
      <c r="M213" s="2" t="n"/>
      <c r="N213" s="2" t="n"/>
      <c r="O213" s="2" t="n"/>
    </row>
    <row r="214">
      <c r="A214" s="2" t="n"/>
      <c r="B214" s="2" t="n"/>
      <c r="C214" s="2" t="n"/>
      <c r="D214" s="2" t="n"/>
      <c r="E214" s="2" t="n"/>
      <c r="F214" s="2" t="n"/>
      <c r="G214" s="2" t="n"/>
      <c r="H214" s="2" t="n"/>
      <c r="I214" s="2" t="n"/>
      <c r="J214" s="2" t="n"/>
      <c r="K214" s="2">
        <f>IF(COUNTA(G214:J214)&lt;4,"",ROUND(AVERAGE(G214:J214),1))</f>
        <v/>
      </c>
      <c r="L214" s="2" t="n"/>
      <c r="M214" s="2" t="n"/>
      <c r="N214" s="2" t="n"/>
      <c r="O214" s="2" t="n"/>
    </row>
    <row r="215">
      <c r="A215" s="2" t="n"/>
      <c r="B215" s="2" t="n"/>
      <c r="C215" s="2" t="n"/>
      <c r="D215" s="2" t="n"/>
      <c r="E215" s="2" t="n"/>
      <c r="F215" s="2" t="n"/>
      <c r="G215" s="2" t="n"/>
      <c r="H215" s="2" t="n"/>
      <c r="I215" s="2" t="n"/>
      <c r="J215" s="2" t="n"/>
      <c r="K215" s="2">
        <f>IF(COUNTA(G215:J215)&lt;4,"",ROUND(AVERAGE(G215:J215),1))</f>
        <v/>
      </c>
      <c r="L215" s="2" t="n"/>
      <c r="M215" s="2" t="n"/>
      <c r="N215" s="2" t="n"/>
      <c r="O215" s="2" t="n"/>
    </row>
    <row r="216">
      <c r="A216" s="2" t="n"/>
      <c r="B216" s="2" t="n"/>
      <c r="C216" s="2" t="n"/>
      <c r="D216" s="2" t="n"/>
      <c r="E216" s="2" t="n"/>
      <c r="F216" s="2" t="n"/>
      <c r="G216" s="2" t="n"/>
      <c r="H216" s="2" t="n"/>
      <c r="I216" s="2" t="n"/>
      <c r="J216" s="2" t="n"/>
      <c r="K216" s="2">
        <f>IF(COUNTA(G216:J216)&lt;4,"",ROUND(AVERAGE(G216:J216),1))</f>
        <v/>
      </c>
      <c r="L216" s="2" t="n"/>
      <c r="M216" s="2" t="n"/>
      <c r="N216" s="2" t="n"/>
      <c r="O216" s="2" t="n"/>
    </row>
    <row r="217">
      <c r="A217" s="2" t="n"/>
      <c r="B217" s="2" t="n"/>
      <c r="C217" s="2" t="n"/>
      <c r="D217" s="2" t="n"/>
      <c r="E217" s="2" t="n"/>
      <c r="F217" s="2" t="n"/>
      <c r="G217" s="2" t="n"/>
      <c r="H217" s="2" t="n"/>
      <c r="I217" s="2" t="n"/>
      <c r="J217" s="2" t="n"/>
      <c r="K217" s="2">
        <f>IF(COUNTA(G217:J217)&lt;4,"",ROUND(AVERAGE(G217:J217),1))</f>
        <v/>
      </c>
      <c r="L217" s="2" t="n"/>
      <c r="M217" s="2" t="n"/>
      <c r="N217" s="2" t="n"/>
      <c r="O217" s="2" t="n"/>
    </row>
    <row r="218">
      <c r="A218" s="2" t="n"/>
      <c r="B218" s="2" t="n"/>
      <c r="C218" s="2" t="n"/>
      <c r="D218" s="2" t="n"/>
      <c r="E218" s="2" t="n"/>
      <c r="F218" s="2" t="n"/>
      <c r="G218" s="2" t="n"/>
      <c r="H218" s="2" t="n"/>
      <c r="I218" s="2" t="n"/>
      <c r="J218" s="2" t="n"/>
      <c r="K218" s="2">
        <f>IF(COUNTA(G218:J218)&lt;4,"",ROUND(AVERAGE(G218:J218),1))</f>
        <v/>
      </c>
      <c r="L218" s="2" t="n"/>
      <c r="M218" s="2" t="n"/>
      <c r="N218" s="2" t="n"/>
      <c r="O218" s="2" t="n"/>
    </row>
    <row r="219">
      <c r="A219" s="2" t="n"/>
      <c r="B219" s="2" t="n"/>
      <c r="C219" s="2" t="n"/>
      <c r="D219" s="2" t="n"/>
      <c r="E219" s="2" t="n"/>
      <c r="F219" s="2" t="n"/>
      <c r="G219" s="2" t="n"/>
      <c r="H219" s="2" t="n"/>
      <c r="I219" s="2" t="n"/>
      <c r="J219" s="2" t="n"/>
      <c r="K219" s="2">
        <f>IF(COUNTA(G219:J219)&lt;4,"",ROUND(AVERAGE(G219:J219),1))</f>
        <v/>
      </c>
      <c r="L219" s="2" t="n"/>
      <c r="M219" s="2" t="n"/>
      <c r="N219" s="2" t="n"/>
      <c r="O219" s="2" t="n"/>
    </row>
    <row r="220">
      <c r="A220" s="2" t="n"/>
      <c r="B220" s="2" t="n"/>
      <c r="C220" s="2" t="n"/>
      <c r="D220" s="2" t="n"/>
      <c r="E220" s="2" t="n"/>
      <c r="F220" s="2" t="n"/>
      <c r="G220" s="2" t="n"/>
      <c r="H220" s="2" t="n"/>
      <c r="I220" s="2" t="n"/>
      <c r="J220" s="2" t="n"/>
      <c r="K220" s="2">
        <f>IF(COUNTA(G220:J220)&lt;4,"",ROUND(AVERAGE(G220:J220),1))</f>
        <v/>
      </c>
      <c r="L220" s="2" t="n"/>
      <c r="M220" s="2" t="n"/>
      <c r="N220" s="2" t="n"/>
      <c r="O220" s="2" t="n"/>
    </row>
    <row r="221">
      <c r="A221" s="2" t="n"/>
      <c r="B221" s="2" t="n"/>
      <c r="C221" s="2" t="n"/>
      <c r="D221" s="2" t="n"/>
      <c r="E221" s="2" t="n"/>
      <c r="F221" s="2" t="n"/>
      <c r="G221" s="2" t="n"/>
      <c r="H221" s="2" t="n"/>
      <c r="I221" s="2" t="n"/>
      <c r="J221" s="2" t="n"/>
      <c r="K221" s="2">
        <f>IF(COUNTA(G221:J221)&lt;4,"",ROUND(AVERAGE(G221:J221),1))</f>
        <v/>
      </c>
      <c r="L221" s="2" t="n"/>
      <c r="M221" s="2" t="n"/>
      <c r="N221" s="2" t="n"/>
      <c r="O221" s="2" t="n"/>
    </row>
    <row r="222">
      <c r="A222" s="2" t="n"/>
      <c r="B222" s="2" t="n"/>
      <c r="C222" s="2" t="n"/>
      <c r="D222" s="2" t="n"/>
      <c r="E222" s="2" t="n"/>
      <c r="F222" s="2" t="n"/>
      <c r="G222" s="2" t="n"/>
      <c r="H222" s="2" t="n"/>
      <c r="I222" s="2" t="n"/>
      <c r="J222" s="2" t="n"/>
      <c r="K222" s="2">
        <f>IF(COUNTA(G222:J222)&lt;4,"",ROUND(AVERAGE(G222:J222),1))</f>
        <v/>
      </c>
      <c r="L222" s="2" t="n"/>
      <c r="M222" s="2" t="n"/>
      <c r="N222" s="2" t="n"/>
      <c r="O222" s="2" t="n"/>
    </row>
    <row r="223">
      <c r="A223" s="2" t="n"/>
      <c r="B223" s="2" t="n"/>
      <c r="C223" s="2" t="n"/>
      <c r="D223" s="2" t="n"/>
      <c r="E223" s="2" t="n"/>
      <c r="F223" s="2" t="n"/>
      <c r="G223" s="2" t="n"/>
      <c r="H223" s="2" t="n"/>
      <c r="I223" s="2" t="n"/>
      <c r="J223" s="2" t="n"/>
      <c r="K223" s="2">
        <f>IF(COUNTA(G223:J223)&lt;4,"",ROUND(AVERAGE(G223:J223),1))</f>
        <v/>
      </c>
      <c r="L223" s="2" t="n"/>
      <c r="M223" s="2" t="n"/>
      <c r="N223" s="2" t="n"/>
      <c r="O223" s="2" t="n"/>
    </row>
    <row r="224">
      <c r="A224" s="2" t="n"/>
      <c r="B224" s="2" t="n"/>
      <c r="C224" s="2" t="n"/>
      <c r="D224" s="2" t="n"/>
      <c r="E224" s="2" t="n"/>
      <c r="F224" s="2" t="n"/>
      <c r="G224" s="2" t="n"/>
      <c r="H224" s="2" t="n"/>
      <c r="I224" s="2" t="n"/>
      <c r="J224" s="2" t="n"/>
      <c r="K224" s="2">
        <f>IF(COUNTA(G224:J224)&lt;4,"",ROUND(AVERAGE(G224:J224),1))</f>
        <v/>
      </c>
      <c r="L224" s="2" t="n"/>
      <c r="M224" s="2" t="n"/>
      <c r="N224" s="2" t="n"/>
      <c r="O224" s="2" t="n"/>
    </row>
    <row r="225">
      <c r="A225" s="2" t="n"/>
      <c r="B225" s="2" t="n"/>
      <c r="C225" s="2" t="n"/>
      <c r="D225" s="2" t="n"/>
      <c r="E225" s="2" t="n"/>
      <c r="F225" s="2" t="n"/>
      <c r="G225" s="2" t="n"/>
      <c r="H225" s="2" t="n"/>
      <c r="I225" s="2" t="n"/>
      <c r="J225" s="2" t="n"/>
      <c r="K225" s="2">
        <f>IF(COUNTA(G225:J225)&lt;4,"",ROUND(AVERAGE(G225:J225),1))</f>
        <v/>
      </c>
      <c r="L225" s="2" t="n"/>
      <c r="M225" s="2" t="n"/>
      <c r="N225" s="2" t="n"/>
      <c r="O225" s="2" t="n"/>
    </row>
    <row r="226">
      <c r="A226" s="2" t="n"/>
      <c r="B226" s="2" t="n"/>
      <c r="C226" s="2" t="n"/>
      <c r="D226" s="2" t="n"/>
      <c r="E226" s="2" t="n"/>
      <c r="F226" s="2" t="n"/>
      <c r="G226" s="2" t="n"/>
      <c r="H226" s="2" t="n"/>
      <c r="I226" s="2" t="n"/>
      <c r="J226" s="2" t="n"/>
      <c r="K226" s="2">
        <f>IF(COUNTA(G226:J226)&lt;4,"",ROUND(AVERAGE(G226:J226),1))</f>
        <v/>
      </c>
      <c r="L226" s="2" t="n"/>
      <c r="M226" s="2" t="n"/>
      <c r="N226" s="2" t="n"/>
      <c r="O226" s="2" t="n"/>
    </row>
    <row r="227">
      <c r="A227" s="2" t="n"/>
      <c r="B227" s="2" t="n"/>
      <c r="C227" s="2" t="n"/>
      <c r="D227" s="2" t="n"/>
      <c r="E227" s="2" t="n"/>
      <c r="F227" s="2" t="n"/>
      <c r="G227" s="2" t="n"/>
      <c r="H227" s="2" t="n"/>
      <c r="I227" s="2" t="n"/>
      <c r="J227" s="2" t="n"/>
      <c r="K227" s="2">
        <f>IF(COUNTA(G227:J227)&lt;4,"",ROUND(AVERAGE(G227:J227),1))</f>
        <v/>
      </c>
      <c r="L227" s="2" t="n"/>
      <c r="M227" s="2" t="n"/>
      <c r="N227" s="2" t="n"/>
      <c r="O227" s="2" t="n"/>
    </row>
    <row r="228">
      <c r="A228" s="2" t="n"/>
      <c r="B228" s="2" t="n"/>
      <c r="C228" s="2" t="n"/>
      <c r="D228" s="2" t="n"/>
      <c r="E228" s="2" t="n"/>
      <c r="F228" s="2" t="n"/>
      <c r="G228" s="2" t="n"/>
      <c r="H228" s="2" t="n"/>
      <c r="I228" s="2" t="n"/>
      <c r="J228" s="2" t="n"/>
      <c r="K228" s="2">
        <f>IF(COUNTA(G228:J228)&lt;4,"",ROUND(AVERAGE(G228:J228),1))</f>
        <v/>
      </c>
      <c r="L228" s="2" t="n"/>
      <c r="M228" s="2" t="n"/>
      <c r="N228" s="2" t="n"/>
      <c r="O228" s="2" t="n"/>
    </row>
    <row r="229">
      <c r="A229" s="2" t="n"/>
      <c r="B229" s="2" t="n"/>
      <c r="C229" s="2" t="n"/>
      <c r="D229" s="2" t="n"/>
      <c r="E229" s="2" t="n"/>
      <c r="F229" s="2" t="n"/>
      <c r="G229" s="2" t="n"/>
      <c r="H229" s="2" t="n"/>
      <c r="I229" s="2" t="n"/>
      <c r="J229" s="2" t="n"/>
      <c r="K229" s="2">
        <f>IF(COUNTA(G229:J229)&lt;4,"",ROUND(AVERAGE(G229:J229),1))</f>
        <v/>
      </c>
      <c r="L229" s="2" t="n"/>
      <c r="M229" s="2" t="n"/>
      <c r="N229" s="2" t="n"/>
      <c r="O229" s="2" t="n"/>
    </row>
    <row r="230">
      <c r="A230" s="2" t="n"/>
      <c r="B230" s="2" t="n"/>
      <c r="C230" s="2" t="n"/>
      <c r="D230" s="2" t="n"/>
      <c r="E230" s="2" t="n"/>
      <c r="F230" s="2" t="n"/>
      <c r="G230" s="2" t="n"/>
      <c r="H230" s="2" t="n"/>
      <c r="I230" s="2" t="n"/>
      <c r="J230" s="2" t="n"/>
      <c r="K230" s="2">
        <f>IF(COUNTA(G230:J230)&lt;4,"",ROUND(AVERAGE(G230:J230),1))</f>
        <v/>
      </c>
      <c r="L230" s="2" t="n"/>
      <c r="M230" s="2" t="n"/>
      <c r="N230" s="2" t="n"/>
      <c r="O230" s="2" t="n"/>
    </row>
    <row r="231">
      <c r="A231" s="2" t="n"/>
      <c r="B231" s="2" t="n"/>
      <c r="C231" s="2" t="n"/>
      <c r="D231" s="2" t="n"/>
      <c r="E231" s="2" t="n"/>
      <c r="F231" s="2" t="n"/>
      <c r="G231" s="2" t="n"/>
      <c r="H231" s="2" t="n"/>
      <c r="I231" s="2" t="n"/>
      <c r="J231" s="2" t="n"/>
      <c r="K231" s="2">
        <f>IF(COUNTA(G231:J231)&lt;4,"",ROUND(AVERAGE(G231:J231),1))</f>
        <v/>
      </c>
      <c r="L231" s="2" t="n"/>
      <c r="M231" s="2" t="n"/>
      <c r="N231" s="2" t="n"/>
      <c r="O231" s="2" t="n"/>
    </row>
    <row r="232">
      <c r="A232" s="2" t="n"/>
      <c r="B232" s="2" t="n"/>
      <c r="C232" s="2" t="n"/>
      <c r="D232" s="2" t="n"/>
      <c r="E232" s="2" t="n"/>
      <c r="F232" s="2" t="n"/>
      <c r="G232" s="2" t="n"/>
      <c r="H232" s="2" t="n"/>
      <c r="I232" s="2" t="n"/>
      <c r="J232" s="2" t="n"/>
      <c r="K232" s="2">
        <f>IF(COUNTA(G232:J232)&lt;4,"",ROUND(AVERAGE(G232:J232),1))</f>
        <v/>
      </c>
      <c r="L232" s="2" t="n"/>
      <c r="M232" s="2" t="n"/>
      <c r="N232" s="2" t="n"/>
      <c r="O232" s="2" t="n"/>
    </row>
    <row r="233">
      <c r="A233" s="2" t="n"/>
      <c r="B233" s="2" t="n"/>
      <c r="C233" s="2" t="n"/>
      <c r="D233" s="2" t="n"/>
      <c r="E233" s="2" t="n"/>
      <c r="F233" s="2" t="n"/>
      <c r="G233" s="2" t="n"/>
      <c r="H233" s="2" t="n"/>
      <c r="I233" s="2" t="n"/>
      <c r="J233" s="2" t="n"/>
      <c r="K233" s="2">
        <f>IF(COUNTA(G233:J233)&lt;4,"",ROUND(AVERAGE(G233:J233),1))</f>
        <v/>
      </c>
      <c r="L233" s="2" t="n"/>
      <c r="M233" s="2" t="n"/>
      <c r="N233" s="2" t="n"/>
      <c r="O233" s="2" t="n"/>
    </row>
    <row r="234">
      <c r="A234" s="2" t="n"/>
      <c r="B234" s="2" t="n"/>
      <c r="C234" s="2" t="n"/>
      <c r="D234" s="2" t="n"/>
      <c r="E234" s="2" t="n"/>
      <c r="F234" s="2" t="n"/>
      <c r="G234" s="2" t="n"/>
      <c r="H234" s="2" t="n"/>
      <c r="I234" s="2" t="n"/>
      <c r="J234" s="2" t="n"/>
      <c r="K234" s="2">
        <f>IF(COUNTA(G234:J234)&lt;4,"",ROUND(AVERAGE(G234:J234),1))</f>
        <v/>
      </c>
      <c r="L234" s="2" t="n"/>
      <c r="M234" s="2" t="n"/>
      <c r="N234" s="2" t="n"/>
      <c r="O234" s="2" t="n"/>
    </row>
    <row r="235">
      <c r="A235" s="2" t="n"/>
      <c r="B235" s="2" t="n"/>
      <c r="C235" s="2" t="n"/>
      <c r="D235" s="2" t="n"/>
      <c r="E235" s="2" t="n"/>
      <c r="F235" s="2" t="n"/>
      <c r="G235" s="2" t="n"/>
      <c r="H235" s="2" t="n"/>
      <c r="I235" s="2" t="n"/>
      <c r="J235" s="2" t="n"/>
      <c r="K235" s="2">
        <f>IF(COUNTA(G235:J235)&lt;4,"",ROUND(AVERAGE(G235:J235),1))</f>
        <v/>
      </c>
      <c r="L235" s="2" t="n"/>
      <c r="M235" s="2" t="n"/>
      <c r="N235" s="2" t="n"/>
      <c r="O235" s="2" t="n"/>
    </row>
    <row r="236">
      <c r="A236" s="2" t="n"/>
      <c r="B236" s="2" t="n"/>
      <c r="C236" s="2" t="n"/>
      <c r="D236" s="2" t="n"/>
      <c r="E236" s="2" t="n"/>
      <c r="F236" s="2" t="n"/>
      <c r="G236" s="2" t="n"/>
      <c r="H236" s="2" t="n"/>
      <c r="I236" s="2" t="n"/>
      <c r="J236" s="2" t="n"/>
      <c r="K236" s="2">
        <f>IF(COUNTA(G236:J236)&lt;4,"",ROUND(AVERAGE(G236:J236),1))</f>
        <v/>
      </c>
      <c r="L236" s="2" t="n"/>
      <c r="M236" s="2" t="n"/>
      <c r="N236" s="2" t="n"/>
      <c r="O236" s="2" t="n"/>
    </row>
    <row r="237">
      <c r="A237" s="2" t="n"/>
      <c r="B237" s="2" t="n"/>
      <c r="C237" s="2" t="n"/>
      <c r="D237" s="2" t="n"/>
      <c r="E237" s="2" t="n"/>
      <c r="F237" s="2" t="n"/>
      <c r="G237" s="2" t="n"/>
      <c r="H237" s="2" t="n"/>
      <c r="I237" s="2" t="n"/>
      <c r="J237" s="2" t="n"/>
      <c r="K237" s="2">
        <f>IF(COUNTA(G237:J237)&lt;4,"",ROUND(AVERAGE(G237:J237),1))</f>
        <v/>
      </c>
      <c r="L237" s="2" t="n"/>
      <c r="M237" s="2" t="n"/>
      <c r="N237" s="2" t="n"/>
      <c r="O237" s="2" t="n"/>
    </row>
    <row r="238">
      <c r="A238" s="2" t="n"/>
      <c r="B238" s="2" t="n"/>
      <c r="C238" s="2" t="n"/>
      <c r="D238" s="2" t="n"/>
      <c r="E238" s="2" t="n"/>
      <c r="F238" s="2" t="n"/>
      <c r="G238" s="2" t="n"/>
      <c r="H238" s="2" t="n"/>
      <c r="I238" s="2" t="n"/>
      <c r="J238" s="2" t="n"/>
      <c r="K238" s="2">
        <f>IF(COUNTA(G238:J238)&lt;4,"",ROUND(AVERAGE(G238:J238),1))</f>
        <v/>
      </c>
      <c r="L238" s="2" t="n"/>
      <c r="M238" s="2" t="n"/>
      <c r="N238" s="2" t="n"/>
      <c r="O238" s="2" t="n"/>
    </row>
    <row r="239">
      <c r="A239" s="2" t="n"/>
      <c r="B239" s="2" t="n"/>
      <c r="C239" s="2" t="n"/>
      <c r="D239" s="2" t="n"/>
      <c r="E239" s="2" t="n"/>
      <c r="F239" s="2" t="n"/>
      <c r="G239" s="2" t="n"/>
      <c r="H239" s="2" t="n"/>
      <c r="I239" s="2" t="n"/>
      <c r="J239" s="2" t="n"/>
      <c r="K239" s="2">
        <f>IF(COUNTA(G239:J239)&lt;4,"",ROUND(AVERAGE(G239:J239),1))</f>
        <v/>
      </c>
      <c r="L239" s="2" t="n"/>
      <c r="M239" s="2" t="n"/>
      <c r="N239" s="2" t="n"/>
      <c r="O239" s="2" t="n"/>
    </row>
    <row r="240">
      <c r="A240" s="2" t="n"/>
      <c r="B240" s="2" t="n"/>
      <c r="C240" s="2" t="n"/>
      <c r="D240" s="2" t="n"/>
      <c r="E240" s="2" t="n"/>
      <c r="F240" s="2" t="n"/>
      <c r="G240" s="2" t="n"/>
      <c r="H240" s="2" t="n"/>
      <c r="I240" s="2" t="n"/>
      <c r="J240" s="2" t="n"/>
      <c r="K240" s="2">
        <f>IF(COUNTA(G240:J240)&lt;4,"",ROUND(AVERAGE(G240:J240),1))</f>
        <v/>
      </c>
      <c r="L240" s="2" t="n"/>
      <c r="M240" s="2" t="n"/>
      <c r="N240" s="2" t="n"/>
      <c r="O240" s="2" t="n"/>
    </row>
    <row r="241">
      <c r="A241" s="2" t="n"/>
      <c r="B241" s="2" t="n"/>
      <c r="C241" s="2" t="n"/>
      <c r="D241" s="2" t="n"/>
      <c r="E241" s="2" t="n"/>
      <c r="F241" s="2" t="n"/>
      <c r="G241" s="2" t="n"/>
      <c r="H241" s="2" t="n"/>
      <c r="I241" s="2" t="n"/>
      <c r="J241" s="2" t="n"/>
      <c r="K241" s="2">
        <f>IF(COUNTA(G241:J241)&lt;4,"",ROUND(AVERAGE(G241:J241),1))</f>
        <v/>
      </c>
      <c r="L241" s="2" t="n"/>
      <c r="M241" s="2" t="n"/>
      <c r="N241" s="2" t="n"/>
      <c r="O241" s="2" t="n"/>
    </row>
    <row r="242">
      <c r="A242" s="2" t="n"/>
      <c r="B242" s="2" t="n"/>
      <c r="C242" s="2" t="n"/>
      <c r="D242" s="2" t="n"/>
      <c r="E242" s="2" t="n"/>
      <c r="F242" s="2" t="n"/>
      <c r="G242" s="2" t="n"/>
      <c r="H242" s="2" t="n"/>
      <c r="I242" s="2" t="n"/>
      <c r="J242" s="2" t="n"/>
      <c r="K242" s="2">
        <f>IF(COUNTA(G242:J242)&lt;4,"",ROUND(AVERAGE(G242:J242),1))</f>
        <v/>
      </c>
      <c r="L242" s="2" t="n"/>
      <c r="M242" s="2" t="n"/>
      <c r="N242" s="2" t="n"/>
      <c r="O242" s="2" t="n"/>
    </row>
    <row r="243">
      <c r="A243" s="2" t="n"/>
      <c r="B243" s="2" t="n"/>
      <c r="C243" s="2" t="n"/>
      <c r="D243" s="2" t="n"/>
      <c r="E243" s="2" t="n"/>
      <c r="F243" s="2" t="n"/>
      <c r="G243" s="2" t="n"/>
      <c r="H243" s="2" t="n"/>
      <c r="I243" s="2" t="n"/>
      <c r="J243" s="2" t="n"/>
      <c r="K243" s="2">
        <f>IF(COUNTA(G243:J243)&lt;4,"",ROUND(AVERAGE(G243:J243),1))</f>
        <v/>
      </c>
      <c r="L243" s="2" t="n"/>
      <c r="M243" s="2" t="n"/>
      <c r="N243" s="2" t="n"/>
      <c r="O243" s="2" t="n"/>
    </row>
    <row r="244">
      <c r="A244" s="2" t="n"/>
      <c r="B244" s="2" t="n"/>
      <c r="C244" s="2" t="n"/>
      <c r="D244" s="2" t="n"/>
      <c r="E244" s="2" t="n"/>
      <c r="F244" s="2" t="n"/>
      <c r="G244" s="2" t="n"/>
      <c r="H244" s="2" t="n"/>
      <c r="I244" s="2" t="n"/>
      <c r="J244" s="2" t="n"/>
      <c r="K244" s="2">
        <f>IF(COUNTA(G244:J244)&lt;4,"",ROUND(AVERAGE(G244:J244),1))</f>
        <v/>
      </c>
      <c r="L244" s="2" t="n"/>
      <c r="M244" s="2" t="n"/>
      <c r="N244" s="2" t="n"/>
      <c r="O244" s="2" t="n"/>
    </row>
    <row r="245">
      <c r="A245" s="2" t="n"/>
      <c r="B245" s="2" t="n"/>
      <c r="C245" s="2" t="n"/>
      <c r="D245" s="2" t="n"/>
      <c r="E245" s="2" t="n"/>
      <c r="F245" s="2" t="n"/>
      <c r="G245" s="2" t="n"/>
      <c r="H245" s="2" t="n"/>
      <c r="I245" s="2" t="n"/>
      <c r="J245" s="2" t="n"/>
      <c r="K245" s="2">
        <f>IF(COUNTA(G245:J245)&lt;4,"",ROUND(AVERAGE(G245:J245),1))</f>
        <v/>
      </c>
      <c r="L245" s="2" t="n"/>
      <c r="M245" s="2" t="n"/>
      <c r="N245" s="2" t="n"/>
      <c r="O245" s="2" t="n"/>
    </row>
    <row r="246">
      <c r="A246" s="2" t="n"/>
      <c r="B246" s="2" t="n"/>
      <c r="C246" s="2" t="n"/>
      <c r="D246" s="2" t="n"/>
      <c r="E246" s="2" t="n"/>
      <c r="F246" s="2" t="n"/>
      <c r="G246" s="2" t="n"/>
      <c r="H246" s="2" t="n"/>
      <c r="I246" s="2" t="n"/>
      <c r="J246" s="2" t="n"/>
      <c r="K246" s="2">
        <f>IF(COUNTA(G246:J246)&lt;4,"",ROUND(AVERAGE(G246:J246),1))</f>
        <v/>
      </c>
      <c r="L246" s="2" t="n"/>
      <c r="M246" s="2" t="n"/>
      <c r="N246" s="2" t="n"/>
      <c r="O246" s="2" t="n"/>
    </row>
    <row r="247">
      <c r="A247" s="2" t="n"/>
      <c r="B247" s="2" t="n"/>
      <c r="C247" s="2" t="n"/>
      <c r="D247" s="2" t="n"/>
      <c r="E247" s="2" t="n"/>
      <c r="F247" s="2" t="n"/>
      <c r="G247" s="2" t="n"/>
      <c r="H247" s="2" t="n"/>
      <c r="I247" s="2" t="n"/>
      <c r="J247" s="2" t="n"/>
      <c r="K247" s="2">
        <f>IF(COUNTA(G247:J247)&lt;4,"",ROUND(AVERAGE(G247:J247),1))</f>
        <v/>
      </c>
      <c r="L247" s="2" t="n"/>
      <c r="M247" s="2" t="n"/>
      <c r="N247" s="2" t="n"/>
      <c r="O247" s="2" t="n"/>
    </row>
    <row r="248">
      <c r="A248" s="2" t="n"/>
      <c r="B248" s="2" t="n"/>
      <c r="C248" s="2" t="n"/>
      <c r="D248" s="2" t="n"/>
      <c r="E248" s="2" t="n"/>
      <c r="F248" s="2" t="n"/>
      <c r="G248" s="2" t="n"/>
      <c r="H248" s="2" t="n"/>
      <c r="I248" s="2" t="n"/>
      <c r="J248" s="2" t="n"/>
      <c r="K248" s="2">
        <f>IF(COUNTA(G248:J248)&lt;4,"",ROUND(AVERAGE(G248:J248),1))</f>
        <v/>
      </c>
      <c r="L248" s="2" t="n"/>
      <c r="M248" s="2" t="n"/>
      <c r="N248" s="2" t="n"/>
      <c r="O248" s="2" t="n"/>
    </row>
    <row r="249">
      <c r="A249" s="2" t="n"/>
      <c r="B249" s="2" t="n"/>
      <c r="C249" s="2" t="n"/>
      <c r="D249" s="2" t="n"/>
      <c r="E249" s="2" t="n"/>
      <c r="F249" s="2" t="n"/>
      <c r="G249" s="2" t="n"/>
      <c r="H249" s="2" t="n"/>
      <c r="I249" s="2" t="n"/>
      <c r="J249" s="2" t="n"/>
      <c r="K249" s="2">
        <f>IF(COUNTA(G249:J249)&lt;4,"",ROUND(AVERAGE(G249:J249),1))</f>
        <v/>
      </c>
      <c r="L249" s="2" t="n"/>
      <c r="M249" s="2" t="n"/>
      <c r="N249" s="2" t="n"/>
      <c r="O249" s="2" t="n"/>
    </row>
    <row r="250">
      <c r="A250" s="2" t="n"/>
      <c r="B250" s="2" t="n"/>
      <c r="C250" s="2" t="n"/>
      <c r="D250" s="2" t="n"/>
      <c r="E250" s="2" t="n"/>
      <c r="F250" s="2" t="n"/>
      <c r="G250" s="2" t="n"/>
      <c r="H250" s="2" t="n"/>
      <c r="I250" s="2" t="n"/>
      <c r="J250" s="2" t="n"/>
      <c r="K250" s="2">
        <f>IF(COUNTA(G250:J250)&lt;4,"",ROUND(AVERAGE(G250:J250),1))</f>
        <v/>
      </c>
      <c r="L250" s="2" t="n"/>
      <c r="M250" s="2" t="n"/>
      <c r="N250" s="2" t="n"/>
      <c r="O250" s="2" t="n"/>
    </row>
    <row r="251">
      <c r="A251" s="2" t="n"/>
      <c r="B251" s="2" t="n"/>
      <c r="C251" s="2" t="n"/>
      <c r="D251" s="2" t="n"/>
      <c r="E251" s="2" t="n"/>
      <c r="F251" s="2" t="n"/>
      <c r="G251" s="2" t="n"/>
      <c r="H251" s="2" t="n"/>
      <c r="I251" s="2" t="n"/>
      <c r="J251" s="2" t="n"/>
      <c r="K251" s="2">
        <f>IF(COUNTA(G251:J251)&lt;4,"",ROUND(AVERAGE(G251:J251),1))</f>
        <v/>
      </c>
      <c r="L251" s="2" t="n"/>
      <c r="M251" s="2" t="n"/>
      <c r="N251" s="2" t="n"/>
      <c r="O251" s="2" t="n"/>
    </row>
    <row r="252">
      <c r="A252" s="2" t="n"/>
      <c r="B252" s="2" t="n"/>
      <c r="C252" s="2" t="n"/>
      <c r="D252" s="2" t="n"/>
      <c r="E252" s="2" t="n"/>
      <c r="F252" s="2" t="n"/>
      <c r="G252" s="2" t="n"/>
      <c r="H252" s="2" t="n"/>
      <c r="I252" s="2" t="n"/>
      <c r="J252" s="2" t="n"/>
      <c r="K252" s="2">
        <f>IF(COUNTA(G252:J252)&lt;4,"",ROUND(AVERAGE(G252:J252),1))</f>
        <v/>
      </c>
      <c r="L252" s="2" t="n"/>
      <c r="M252" s="2" t="n"/>
      <c r="N252" s="2" t="n"/>
      <c r="O252" s="2" t="n"/>
    </row>
    <row r="253">
      <c r="A253" s="2" t="n"/>
      <c r="B253" s="2" t="n"/>
      <c r="C253" s="2" t="n"/>
      <c r="D253" s="2" t="n"/>
      <c r="E253" s="2" t="n"/>
      <c r="F253" s="2" t="n"/>
      <c r="G253" s="2" t="n"/>
      <c r="H253" s="2" t="n"/>
      <c r="I253" s="2" t="n"/>
      <c r="J253" s="2" t="n"/>
      <c r="K253" s="2">
        <f>IF(COUNTA(G253:J253)&lt;4,"",ROUND(AVERAGE(G253:J253),1))</f>
        <v/>
      </c>
      <c r="L253" s="2" t="n"/>
      <c r="M253" s="2" t="n"/>
      <c r="N253" s="2" t="n"/>
      <c r="O253" s="2" t="n"/>
    </row>
    <row r="254">
      <c r="A254" s="2" t="n"/>
      <c r="B254" s="2" t="n"/>
      <c r="C254" s="2" t="n"/>
      <c r="D254" s="2" t="n"/>
      <c r="E254" s="2" t="n"/>
      <c r="F254" s="2" t="n"/>
      <c r="G254" s="2" t="n"/>
      <c r="H254" s="2" t="n"/>
      <c r="I254" s="2" t="n"/>
      <c r="J254" s="2" t="n"/>
      <c r="K254" s="2">
        <f>IF(COUNTA(G254:J254)&lt;4,"",ROUND(AVERAGE(G254:J254),1))</f>
        <v/>
      </c>
      <c r="L254" s="2" t="n"/>
      <c r="M254" s="2" t="n"/>
      <c r="N254" s="2" t="n"/>
      <c r="O254" s="2" t="n"/>
    </row>
    <row r="255">
      <c r="A255" s="2" t="n"/>
      <c r="B255" s="2" t="n"/>
      <c r="C255" s="2" t="n"/>
      <c r="D255" s="2" t="n"/>
      <c r="E255" s="2" t="n"/>
      <c r="F255" s="2" t="n"/>
      <c r="G255" s="2" t="n"/>
      <c r="H255" s="2" t="n"/>
      <c r="I255" s="2" t="n"/>
      <c r="J255" s="2" t="n"/>
      <c r="K255" s="2">
        <f>IF(COUNTA(G255:J255)&lt;4,"",ROUND(AVERAGE(G255:J255),1))</f>
        <v/>
      </c>
      <c r="L255" s="2" t="n"/>
      <c r="M255" s="2" t="n"/>
      <c r="N255" s="2" t="n"/>
      <c r="O255" s="2" t="n"/>
    </row>
    <row r="256">
      <c r="A256" s="2" t="n"/>
      <c r="B256" s="2" t="n"/>
      <c r="C256" s="2" t="n"/>
      <c r="D256" s="2" t="n"/>
      <c r="E256" s="2" t="n"/>
      <c r="F256" s="2" t="n"/>
      <c r="G256" s="2" t="n"/>
      <c r="H256" s="2" t="n"/>
      <c r="I256" s="2" t="n"/>
      <c r="J256" s="2" t="n"/>
      <c r="K256" s="2">
        <f>IF(COUNTA(G256:J256)&lt;4,"",ROUND(AVERAGE(G256:J256),1))</f>
        <v/>
      </c>
      <c r="L256" s="2" t="n"/>
      <c r="M256" s="2" t="n"/>
      <c r="N256" s="2" t="n"/>
      <c r="O256" s="2" t="n"/>
    </row>
    <row r="257">
      <c r="A257" s="2" t="n"/>
      <c r="B257" s="2" t="n"/>
      <c r="C257" s="2" t="n"/>
      <c r="D257" s="2" t="n"/>
      <c r="E257" s="2" t="n"/>
      <c r="F257" s="2" t="n"/>
      <c r="G257" s="2" t="n"/>
      <c r="H257" s="2" t="n"/>
      <c r="I257" s="2" t="n"/>
      <c r="J257" s="2" t="n"/>
      <c r="K257" s="2">
        <f>IF(COUNTA(G257:J257)&lt;4,"",ROUND(AVERAGE(G257:J257),1))</f>
        <v/>
      </c>
      <c r="L257" s="2" t="n"/>
      <c r="M257" s="2" t="n"/>
      <c r="N257" s="2" t="n"/>
      <c r="O257" s="2" t="n"/>
    </row>
    <row r="258">
      <c r="A258" s="2" t="n"/>
      <c r="B258" s="2" t="n"/>
      <c r="C258" s="2" t="n"/>
      <c r="D258" s="2" t="n"/>
      <c r="E258" s="2" t="n"/>
      <c r="F258" s="2" t="n"/>
      <c r="G258" s="2" t="n"/>
      <c r="H258" s="2" t="n"/>
      <c r="I258" s="2" t="n"/>
      <c r="J258" s="2" t="n"/>
      <c r="K258" s="2">
        <f>IF(COUNTA(G258:J258)&lt;4,"",ROUND(AVERAGE(G258:J258),1))</f>
        <v/>
      </c>
      <c r="L258" s="2" t="n"/>
      <c r="M258" s="2" t="n"/>
      <c r="N258" s="2" t="n"/>
      <c r="O258" s="2" t="n"/>
    </row>
    <row r="259">
      <c r="A259" s="2" t="n"/>
      <c r="B259" s="2" t="n"/>
      <c r="C259" s="2" t="n"/>
      <c r="D259" s="2" t="n"/>
      <c r="E259" s="2" t="n"/>
      <c r="F259" s="2" t="n"/>
      <c r="G259" s="2" t="n"/>
      <c r="H259" s="2" t="n"/>
      <c r="I259" s="2" t="n"/>
      <c r="J259" s="2" t="n"/>
      <c r="K259" s="2">
        <f>IF(COUNTA(G259:J259)&lt;4,"",ROUND(AVERAGE(G259:J259),1))</f>
        <v/>
      </c>
      <c r="L259" s="2" t="n"/>
      <c r="M259" s="2" t="n"/>
      <c r="N259" s="2" t="n"/>
      <c r="O259" s="2" t="n"/>
    </row>
    <row r="260">
      <c r="A260" s="2" t="n"/>
      <c r="B260" s="2" t="n"/>
      <c r="C260" s="2" t="n"/>
      <c r="D260" s="2" t="n"/>
      <c r="E260" s="2" t="n"/>
      <c r="F260" s="2" t="n"/>
      <c r="G260" s="2" t="n"/>
      <c r="H260" s="2" t="n"/>
      <c r="I260" s="2" t="n"/>
      <c r="J260" s="2" t="n"/>
      <c r="K260" s="2">
        <f>IF(COUNTA(G260:J260)&lt;4,"",ROUND(AVERAGE(G260:J260),1))</f>
        <v/>
      </c>
      <c r="L260" s="2" t="n"/>
      <c r="M260" s="2" t="n"/>
      <c r="N260" s="2" t="n"/>
      <c r="O260" s="2" t="n"/>
    </row>
    <row r="261">
      <c r="A261" s="2" t="n"/>
      <c r="B261" s="2" t="n"/>
      <c r="C261" s="2" t="n"/>
      <c r="D261" s="2" t="n"/>
      <c r="E261" s="2" t="n"/>
      <c r="F261" s="2" t="n"/>
      <c r="G261" s="2" t="n"/>
      <c r="H261" s="2" t="n"/>
      <c r="I261" s="2" t="n"/>
      <c r="J261" s="2" t="n"/>
      <c r="K261" s="2">
        <f>IF(COUNTA(G261:J261)&lt;4,"",ROUND(AVERAGE(G261:J261),1))</f>
        <v/>
      </c>
      <c r="L261" s="2" t="n"/>
      <c r="M261" s="2" t="n"/>
      <c r="N261" s="2" t="n"/>
      <c r="O261" s="2" t="n"/>
    </row>
    <row r="262">
      <c r="A262" s="2" t="n"/>
      <c r="B262" s="2" t="n"/>
      <c r="C262" s="2" t="n"/>
      <c r="D262" s="2" t="n"/>
      <c r="E262" s="2" t="n"/>
      <c r="F262" s="2" t="n"/>
      <c r="G262" s="2" t="n"/>
      <c r="H262" s="2" t="n"/>
      <c r="I262" s="2" t="n"/>
      <c r="J262" s="2" t="n"/>
      <c r="K262" s="2">
        <f>IF(COUNTA(G262:J262)&lt;4,"",ROUND(AVERAGE(G262:J262),1))</f>
        <v/>
      </c>
      <c r="L262" s="2" t="n"/>
      <c r="M262" s="2" t="n"/>
      <c r="N262" s="2" t="n"/>
      <c r="O262" s="2" t="n"/>
    </row>
    <row r="263">
      <c r="A263" s="2" t="n"/>
      <c r="B263" s="2" t="n"/>
      <c r="C263" s="2" t="n"/>
      <c r="D263" s="2" t="n"/>
      <c r="E263" s="2" t="n"/>
      <c r="F263" s="2" t="n"/>
      <c r="G263" s="2" t="n"/>
      <c r="H263" s="2" t="n"/>
      <c r="I263" s="2" t="n"/>
      <c r="J263" s="2" t="n"/>
      <c r="K263" s="2">
        <f>IF(COUNTA(G263:J263)&lt;4,"",ROUND(AVERAGE(G263:J263),1))</f>
        <v/>
      </c>
      <c r="L263" s="2" t="n"/>
      <c r="M263" s="2" t="n"/>
      <c r="N263" s="2" t="n"/>
      <c r="O263" s="2" t="n"/>
    </row>
    <row r="264">
      <c r="A264" s="2" t="n"/>
      <c r="B264" s="2" t="n"/>
      <c r="C264" s="2" t="n"/>
      <c r="D264" s="2" t="n"/>
      <c r="E264" s="2" t="n"/>
      <c r="F264" s="2" t="n"/>
      <c r="G264" s="2" t="n"/>
      <c r="H264" s="2" t="n"/>
      <c r="I264" s="2" t="n"/>
      <c r="J264" s="2" t="n"/>
      <c r="K264" s="2">
        <f>IF(COUNTA(G264:J264)&lt;4,"",ROUND(AVERAGE(G264:J264),1))</f>
        <v/>
      </c>
      <c r="L264" s="2" t="n"/>
      <c r="M264" s="2" t="n"/>
      <c r="N264" s="2" t="n"/>
      <c r="O264" s="2" t="n"/>
    </row>
    <row r="265">
      <c r="A265" s="2" t="n"/>
      <c r="B265" s="2" t="n"/>
      <c r="C265" s="2" t="n"/>
      <c r="D265" s="2" t="n"/>
      <c r="E265" s="2" t="n"/>
      <c r="F265" s="2" t="n"/>
      <c r="G265" s="2" t="n"/>
      <c r="H265" s="2" t="n"/>
      <c r="I265" s="2" t="n"/>
      <c r="J265" s="2" t="n"/>
      <c r="K265" s="2">
        <f>IF(COUNTA(G265:J265)&lt;4,"",ROUND(AVERAGE(G265:J265),1))</f>
        <v/>
      </c>
      <c r="L265" s="2" t="n"/>
      <c r="M265" s="2" t="n"/>
      <c r="N265" s="2" t="n"/>
      <c r="O265" s="2" t="n"/>
    </row>
    <row r="266">
      <c r="A266" s="2" t="n"/>
      <c r="B266" s="2" t="n"/>
      <c r="C266" s="2" t="n"/>
      <c r="D266" s="2" t="n"/>
      <c r="E266" s="2" t="n"/>
      <c r="F266" s="2" t="n"/>
      <c r="G266" s="2" t="n"/>
      <c r="H266" s="2" t="n"/>
      <c r="I266" s="2" t="n"/>
      <c r="J266" s="2" t="n"/>
      <c r="K266" s="2">
        <f>IF(COUNTA(G266:J266)&lt;4,"",ROUND(AVERAGE(G266:J266),1))</f>
        <v/>
      </c>
      <c r="L266" s="2" t="n"/>
      <c r="M266" s="2" t="n"/>
      <c r="N266" s="2" t="n"/>
      <c r="O266" s="2" t="n"/>
    </row>
    <row r="267">
      <c r="A267" s="2" t="n"/>
      <c r="B267" s="2" t="n"/>
      <c r="C267" s="2" t="n"/>
      <c r="D267" s="2" t="n"/>
      <c r="E267" s="2" t="n"/>
      <c r="F267" s="2" t="n"/>
      <c r="G267" s="2" t="n"/>
      <c r="H267" s="2" t="n"/>
      <c r="I267" s="2" t="n"/>
      <c r="J267" s="2" t="n"/>
      <c r="K267" s="2">
        <f>IF(COUNTA(G267:J267)&lt;4,"",ROUND(AVERAGE(G267:J267),1))</f>
        <v/>
      </c>
      <c r="L267" s="2" t="n"/>
      <c r="M267" s="2" t="n"/>
      <c r="N267" s="2" t="n"/>
      <c r="O267" s="2" t="n"/>
    </row>
    <row r="268">
      <c r="A268" s="2" t="n"/>
      <c r="B268" s="2" t="n"/>
      <c r="C268" s="2" t="n"/>
      <c r="D268" s="2" t="n"/>
      <c r="E268" s="2" t="n"/>
      <c r="F268" s="2" t="n"/>
      <c r="G268" s="2" t="n"/>
      <c r="H268" s="2" t="n"/>
      <c r="I268" s="2" t="n"/>
      <c r="J268" s="2" t="n"/>
      <c r="K268" s="2">
        <f>IF(COUNTA(G268:J268)&lt;4,"",ROUND(AVERAGE(G268:J268),1))</f>
        <v/>
      </c>
      <c r="L268" s="2" t="n"/>
      <c r="M268" s="2" t="n"/>
      <c r="N268" s="2" t="n"/>
      <c r="O268" s="2" t="n"/>
    </row>
    <row r="269">
      <c r="A269" s="2" t="n"/>
      <c r="B269" s="2" t="n"/>
      <c r="C269" s="2" t="n"/>
      <c r="D269" s="2" t="n"/>
      <c r="E269" s="2" t="n"/>
      <c r="F269" s="2" t="n"/>
      <c r="G269" s="2" t="n"/>
      <c r="H269" s="2" t="n"/>
      <c r="I269" s="2" t="n"/>
      <c r="J269" s="2" t="n"/>
      <c r="K269" s="2">
        <f>IF(COUNTA(G269:J269)&lt;4,"",ROUND(AVERAGE(G269:J269),1))</f>
        <v/>
      </c>
      <c r="L269" s="2" t="n"/>
      <c r="M269" s="2" t="n"/>
      <c r="N269" s="2" t="n"/>
      <c r="O269" s="2" t="n"/>
    </row>
    <row r="270">
      <c r="A270" s="2" t="n"/>
      <c r="B270" s="2" t="n"/>
      <c r="C270" s="2" t="n"/>
      <c r="D270" s="2" t="n"/>
      <c r="E270" s="2" t="n"/>
      <c r="F270" s="2" t="n"/>
      <c r="G270" s="2" t="n"/>
      <c r="H270" s="2" t="n"/>
      <c r="I270" s="2" t="n"/>
      <c r="J270" s="2" t="n"/>
      <c r="K270" s="2">
        <f>IF(COUNTA(G270:J270)&lt;4,"",ROUND(AVERAGE(G270:J270),1))</f>
        <v/>
      </c>
      <c r="L270" s="2" t="n"/>
      <c r="M270" s="2" t="n"/>
      <c r="N270" s="2" t="n"/>
      <c r="O270" s="2" t="n"/>
    </row>
    <row r="271">
      <c r="A271" s="2" t="n"/>
      <c r="B271" s="2" t="n"/>
      <c r="C271" s="2" t="n"/>
      <c r="D271" s="2" t="n"/>
      <c r="E271" s="2" t="n"/>
      <c r="F271" s="2" t="n"/>
      <c r="G271" s="2" t="n"/>
      <c r="H271" s="2" t="n"/>
      <c r="I271" s="2" t="n"/>
      <c r="J271" s="2" t="n"/>
      <c r="K271" s="2">
        <f>IF(COUNTA(G271:J271)&lt;4,"",ROUND(AVERAGE(G271:J271),1))</f>
        <v/>
      </c>
      <c r="L271" s="2" t="n"/>
      <c r="M271" s="2" t="n"/>
      <c r="N271" s="2" t="n"/>
      <c r="O271" s="2" t="n"/>
    </row>
    <row r="272">
      <c r="A272" s="2" t="n"/>
      <c r="B272" s="2" t="n"/>
      <c r="C272" s="2" t="n"/>
      <c r="D272" s="2" t="n"/>
      <c r="E272" s="2" t="n"/>
      <c r="F272" s="2" t="n"/>
      <c r="G272" s="2" t="n"/>
      <c r="H272" s="2" t="n"/>
      <c r="I272" s="2" t="n"/>
      <c r="J272" s="2" t="n"/>
      <c r="K272" s="2">
        <f>IF(COUNTA(G272:J272)&lt;4,"",ROUND(AVERAGE(G272:J272),1))</f>
        <v/>
      </c>
      <c r="L272" s="2" t="n"/>
      <c r="M272" s="2" t="n"/>
      <c r="N272" s="2" t="n"/>
      <c r="O272" s="2" t="n"/>
    </row>
    <row r="273">
      <c r="A273" s="2" t="n"/>
      <c r="B273" s="2" t="n"/>
      <c r="C273" s="2" t="n"/>
      <c r="D273" s="2" t="n"/>
      <c r="E273" s="2" t="n"/>
      <c r="F273" s="2" t="n"/>
      <c r="G273" s="2" t="n"/>
      <c r="H273" s="2" t="n"/>
      <c r="I273" s="2" t="n"/>
      <c r="J273" s="2" t="n"/>
      <c r="K273" s="2">
        <f>IF(COUNTA(G273:J273)&lt;4,"",ROUND(AVERAGE(G273:J273),1))</f>
        <v/>
      </c>
      <c r="L273" s="2" t="n"/>
      <c r="M273" s="2" t="n"/>
      <c r="N273" s="2" t="n"/>
      <c r="O273" s="2" t="n"/>
    </row>
    <row r="274">
      <c r="A274" s="2" t="n"/>
      <c r="B274" s="2" t="n"/>
      <c r="C274" s="2" t="n"/>
      <c r="D274" s="2" t="n"/>
      <c r="E274" s="2" t="n"/>
      <c r="F274" s="2" t="n"/>
      <c r="G274" s="2" t="n"/>
      <c r="H274" s="2" t="n"/>
      <c r="I274" s="2" t="n"/>
      <c r="J274" s="2" t="n"/>
      <c r="K274" s="2">
        <f>IF(COUNTA(G274:J274)&lt;4,"",ROUND(AVERAGE(G274:J274),1))</f>
        <v/>
      </c>
      <c r="L274" s="2" t="n"/>
      <c r="M274" s="2" t="n"/>
      <c r="N274" s="2" t="n"/>
      <c r="O274" s="2" t="n"/>
    </row>
    <row r="275">
      <c r="A275" s="2" t="n"/>
      <c r="B275" s="2" t="n"/>
      <c r="C275" s="2" t="n"/>
      <c r="D275" s="2" t="n"/>
      <c r="E275" s="2" t="n"/>
      <c r="F275" s="2" t="n"/>
      <c r="G275" s="2" t="n"/>
      <c r="H275" s="2" t="n"/>
      <c r="I275" s="2" t="n"/>
      <c r="J275" s="2" t="n"/>
      <c r="K275" s="2">
        <f>IF(COUNTA(G275:J275)&lt;4,"",ROUND(AVERAGE(G275:J275),1))</f>
        <v/>
      </c>
      <c r="L275" s="2" t="n"/>
      <c r="M275" s="2" t="n"/>
      <c r="N275" s="2" t="n"/>
      <c r="O275" s="2" t="n"/>
    </row>
    <row r="276">
      <c r="A276" s="2" t="n"/>
      <c r="B276" s="2" t="n"/>
      <c r="C276" s="2" t="n"/>
      <c r="D276" s="2" t="n"/>
      <c r="E276" s="2" t="n"/>
      <c r="F276" s="2" t="n"/>
      <c r="G276" s="2" t="n"/>
      <c r="H276" s="2" t="n"/>
      <c r="I276" s="2" t="n"/>
      <c r="J276" s="2" t="n"/>
      <c r="K276" s="2">
        <f>IF(COUNTA(G276:J276)&lt;4,"",ROUND(AVERAGE(G276:J276),1))</f>
        <v/>
      </c>
      <c r="L276" s="2" t="n"/>
      <c r="M276" s="2" t="n"/>
      <c r="N276" s="2" t="n"/>
      <c r="O276" s="2" t="n"/>
    </row>
    <row r="277">
      <c r="A277" s="2" t="n"/>
      <c r="B277" s="2" t="n"/>
      <c r="C277" s="2" t="n"/>
      <c r="D277" s="2" t="n"/>
      <c r="E277" s="2" t="n"/>
      <c r="F277" s="2" t="n"/>
      <c r="G277" s="2" t="n"/>
      <c r="H277" s="2" t="n"/>
      <c r="I277" s="2" t="n"/>
      <c r="J277" s="2" t="n"/>
      <c r="K277" s="2">
        <f>IF(COUNTA(G277:J277)&lt;4,"",ROUND(AVERAGE(G277:J277),1))</f>
        <v/>
      </c>
      <c r="L277" s="2" t="n"/>
      <c r="M277" s="2" t="n"/>
      <c r="N277" s="2" t="n"/>
      <c r="O277" s="2" t="n"/>
    </row>
    <row r="278">
      <c r="A278" s="2" t="n"/>
      <c r="B278" s="2" t="n"/>
      <c r="C278" s="2" t="n"/>
      <c r="D278" s="2" t="n"/>
      <c r="E278" s="2" t="n"/>
      <c r="F278" s="2" t="n"/>
      <c r="G278" s="2" t="n"/>
      <c r="H278" s="2" t="n"/>
      <c r="I278" s="2" t="n"/>
      <c r="J278" s="2" t="n"/>
      <c r="K278" s="2">
        <f>IF(COUNTA(G278:J278)&lt;4,"",ROUND(AVERAGE(G278:J278),1))</f>
        <v/>
      </c>
      <c r="L278" s="2" t="n"/>
      <c r="M278" s="2" t="n"/>
      <c r="N278" s="2" t="n"/>
      <c r="O278" s="2" t="n"/>
    </row>
    <row r="279">
      <c r="A279" s="2" t="n"/>
      <c r="B279" s="2" t="n"/>
      <c r="C279" s="2" t="n"/>
      <c r="D279" s="2" t="n"/>
      <c r="E279" s="2" t="n"/>
      <c r="F279" s="2" t="n"/>
      <c r="G279" s="2" t="n"/>
      <c r="H279" s="2" t="n"/>
      <c r="I279" s="2" t="n"/>
      <c r="J279" s="2" t="n"/>
      <c r="K279" s="2">
        <f>IF(COUNTA(G279:J279)&lt;4,"",ROUND(AVERAGE(G279:J279),1))</f>
        <v/>
      </c>
      <c r="L279" s="2" t="n"/>
      <c r="M279" s="2" t="n"/>
      <c r="N279" s="2" t="n"/>
      <c r="O279" s="2" t="n"/>
    </row>
    <row r="280">
      <c r="A280" s="2" t="n"/>
      <c r="B280" s="2" t="n"/>
      <c r="C280" s="2" t="n"/>
      <c r="D280" s="2" t="n"/>
      <c r="E280" s="2" t="n"/>
      <c r="F280" s="2" t="n"/>
      <c r="G280" s="2" t="n"/>
      <c r="H280" s="2" t="n"/>
      <c r="I280" s="2" t="n"/>
      <c r="J280" s="2" t="n"/>
      <c r="K280" s="2">
        <f>IF(COUNTA(G280:J280)&lt;4,"",ROUND(AVERAGE(G280:J280),1))</f>
        <v/>
      </c>
      <c r="L280" s="2" t="n"/>
      <c r="M280" s="2" t="n"/>
      <c r="N280" s="2" t="n"/>
      <c r="O280" s="2" t="n"/>
    </row>
    <row r="281">
      <c r="A281" s="2" t="n"/>
      <c r="B281" s="2" t="n"/>
      <c r="C281" s="2" t="n"/>
      <c r="D281" s="2" t="n"/>
      <c r="E281" s="2" t="n"/>
      <c r="F281" s="2" t="n"/>
      <c r="G281" s="2" t="n"/>
      <c r="H281" s="2" t="n"/>
      <c r="I281" s="2" t="n"/>
      <c r="J281" s="2" t="n"/>
      <c r="K281" s="2">
        <f>IF(COUNTA(G281:J281)&lt;4,"",ROUND(AVERAGE(G281:J281),1))</f>
        <v/>
      </c>
      <c r="L281" s="2" t="n"/>
      <c r="M281" s="2" t="n"/>
      <c r="N281" s="2" t="n"/>
      <c r="O281" s="2" t="n"/>
    </row>
    <row r="282">
      <c r="A282" s="2" t="n"/>
      <c r="B282" s="2" t="n"/>
      <c r="C282" s="2" t="n"/>
      <c r="D282" s="2" t="n"/>
      <c r="E282" s="2" t="n"/>
      <c r="F282" s="2" t="n"/>
      <c r="G282" s="2" t="n"/>
      <c r="H282" s="2" t="n"/>
      <c r="I282" s="2" t="n"/>
      <c r="J282" s="2" t="n"/>
      <c r="K282" s="2">
        <f>IF(COUNTA(G282:J282)&lt;4,"",ROUND(AVERAGE(G282:J282),1))</f>
        <v/>
      </c>
      <c r="L282" s="2" t="n"/>
      <c r="M282" s="2" t="n"/>
      <c r="N282" s="2" t="n"/>
      <c r="O282" s="2" t="n"/>
    </row>
    <row r="283">
      <c r="A283" s="2" t="n"/>
      <c r="B283" s="2" t="n"/>
      <c r="C283" s="2" t="n"/>
      <c r="D283" s="2" t="n"/>
      <c r="E283" s="2" t="n"/>
      <c r="F283" s="2" t="n"/>
      <c r="G283" s="2" t="n"/>
      <c r="H283" s="2" t="n"/>
      <c r="I283" s="2" t="n"/>
      <c r="J283" s="2" t="n"/>
      <c r="K283" s="2">
        <f>IF(COUNTA(G283:J283)&lt;4,"",ROUND(AVERAGE(G283:J283),1))</f>
        <v/>
      </c>
      <c r="L283" s="2" t="n"/>
      <c r="M283" s="2" t="n"/>
      <c r="N283" s="2" t="n"/>
      <c r="O283" s="2" t="n"/>
    </row>
    <row r="284">
      <c r="A284" s="2" t="n"/>
      <c r="B284" s="2" t="n"/>
      <c r="C284" s="2" t="n"/>
      <c r="D284" s="2" t="n"/>
      <c r="E284" s="2" t="n"/>
      <c r="F284" s="2" t="n"/>
      <c r="G284" s="2" t="n"/>
      <c r="H284" s="2" t="n"/>
      <c r="I284" s="2" t="n"/>
      <c r="J284" s="2" t="n"/>
      <c r="K284" s="2">
        <f>IF(COUNTA(G284:J284)&lt;4,"",ROUND(AVERAGE(G284:J284),1))</f>
        <v/>
      </c>
      <c r="L284" s="2" t="n"/>
      <c r="M284" s="2" t="n"/>
      <c r="N284" s="2" t="n"/>
      <c r="O284" s="2" t="n"/>
    </row>
    <row r="285">
      <c r="A285" s="2" t="n"/>
      <c r="B285" s="2" t="n"/>
      <c r="C285" s="2" t="n"/>
      <c r="D285" s="2" t="n"/>
      <c r="E285" s="2" t="n"/>
      <c r="F285" s="2" t="n"/>
      <c r="G285" s="2" t="n"/>
      <c r="H285" s="2" t="n"/>
      <c r="I285" s="2" t="n"/>
      <c r="J285" s="2" t="n"/>
      <c r="K285" s="2">
        <f>IF(COUNTA(G285:J285)&lt;4,"",ROUND(AVERAGE(G285:J285),1))</f>
        <v/>
      </c>
      <c r="L285" s="2" t="n"/>
      <c r="M285" s="2" t="n"/>
      <c r="N285" s="2" t="n"/>
      <c r="O285" s="2" t="n"/>
    </row>
    <row r="286">
      <c r="A286" s="2" t="n"/>
      <c r="B286" s="2" t="n"/>
      <c r="C286" s="2" t="n"/>
      <c r="D286" s="2" t="n"/>
      <c r="E286" s="2" t="n"/>
      <c r="F286" s="2" t="n"/>
      <c r="G286" s="2" t="n"/>
      <c r="H286" s="2" t="n"/>
      <c r="I286" s="2" t="n"/>
      <c r="J286" s="2" t="n"/>
      <c r="K286" s="2">
        <f>IF(COUNTA(G286:J286)&lt;4,"",ROUND(AVERAGE(G286:J286),1))</f>
        <v/>
      </c>
      <c r="L286" s="2" t="n"/>
      <c r="M286" s="2" t="n"/>
      <c r="N286" s="2" t="n"/>
      <c r="O286" s="2" t="n"/>
    </row>
    <row r="287">
      <c r="A287" s="2" t="n"/>
      <c r="B287" s="2" t="n"/>
      <c r="C287" s="2" t="n"/>
      <c r="D287" s="2" t="n"/>
      <c r="E287" s="2" t="n"/>
      <c r="F287" s="2" t="n"/>
      <c r="G287" s="2" t="n"/>
      <c r="H287" s="2" t="n"/>
      <c r="I287" s="2" t="n"/>
      <c r="J287" s="2" t="n"/>
      <c r="K287" s="2">
        <f>IF(COUNTA(G287:J287)&lt;4,"",ROUND(AVERAGE(G287:J287),1))</f>
        <v/>
      </c>
      <c r="L287" s="2" t="n"/>
      <c r="M287" s="2" t="n"/>
      <c r="N287" s="2" t="n"/>
      <c r="O287" s="2" t="n"/>
    </row>
    <row r="288">
      <c r="A288" s="2" t="n"/>
      <c r="B288" s="2" t="n"/>
      <c r="C288" s="2" t="n"/>
      <c r="D288" s="2" t="n"/>
      <c r="E288" s="2" t="n"/>
      <c r="F288" s="2" t="n"/>
      <c r="G288" s="2" t="n"/>
      <c r="H288" s="2" t="n"/>
      <c r="I288" s="2" t="n"/>
      <c r="J288" s="2" t="n"/>
      <c r="K288" s="2">
        <f>IF(COUNTA(G288:J288)&lt;4,"",ROUND(AVERAGE(G288:J288),1))</f>
        <v/>
      </c>
      <c r="L288" s="2" t="n"/>
      <c r="M288" s="2" t="n"/>
      <c r="N288" s="2" t="n"/>
      <c r="O288" s="2" t="n"/>
    </row>
    <row r="289">
      <c r="A289" s="2" t="n"/>
      <c r="B289" s="2" t="n"/>
      <c r="C289" s="2" t="n"/>
      <c r="D289" s="2" t="n"/>
      <c r="E289" s="2" t="n"/>
      <c r="F289" s="2" t="n"/>
      <c r="G289" s="2" t="n"/>
      <c r="H289" s="2" t="n"/>
      <c r="I289" s="2" t="n"/>
      <c r="J289" s="2" t="n"/>
      <c r="K289" s="2">
        <f>IF(COUNTA(G289:J289)&lt;4,"",ROUND(AVERAGE(G289:J289),1))</f>
        <v/>
      </c>
      <c r="L289" s="2" t="n"/>
      <c r="M289" s="2" t="n"/>
      <c r="N289" s="2" t="n"/>
      <c r="O289" s="2" t="n"/>
    </row>
    <row r="290">
      <c r="A290" s="2" t="n"/>
      <c r="B290" s="2" t="n"/>
      <c r="C290" s="2" t="n"/>
      <c r="D290" s="2" t="n"/>
      <c r="E290" s="2" t="n"/>
      <c r="F290" s="2" t="n"/>
      <c r="G290" s="2" t="n"/>
      <c r="H290" s="2" t="n"/>
      <c r="I290" s="2" t="n"/>
      <c r="J290" s="2" t="n"/>
      <c r="K290" s="2">
        <f>IF(COUNTA(G290:J290)&lt;4,"",ROUND(AVERAGE(G290:J290),1))</f>
        <v/>
      </c>
      <c r="L290" s="2" t="n"/>
      <c r="M290" s="2" t="n"/>
      <c r="N290" s="2" t="n"/>
      <c r="O290" s="2" t="n"/>
    </row>
    <row r="291">
      <c r="A291" s="2" t="n"/>
      <c r="B291" s="2" t="n"/>
      <c r="C291" s="2" t="n"/>
      <c r="D291" s="2" t="n"/>
      <c r="E291" s="2" t="n"/>
      <c r="F291" s="2" t="n"/>
      <c r="G291" s="2" t="n"/>
      <c r="H291" s="2" t="n"/>
      <c r="I291" s="2" t="n"/>
      <c r="J291" s="2" t="n"/>
      <c r="K291" s="2">
        <f>IF(COUNTA(G291:J291)&lt;4,"",ROUND(AVERAGE(G291:J291),1))</f>
        <v/>
      </c>
      <c r="L291" s="2" t="n"/>
      <c r="M291" s="2" t="n"/>
      <c r="N291" s="2" t="n"/>
      <c r="O291" s="2" t="n"/>
    </row>
    <row r="292">
      <c r="A292" s="2" t="n"/>
      <c r="B292" s="2" t="n"/>
      <c r="C292" s="2" t="n"/>
      <c r="D292" s="2" t="n"/>
      <c r="E292" s="2" t="n"/>
      <c r="F292" s="2" t="n"/>
      <c r="G292" s="2" t="n"/>
      <c r="H292" s="2" t="n"/>
      <c r="I292" s="2" t="n"/>
      <c r="J292" s="2" t="n"/>
      <c r="K292" s="2">
        <f>IF(COUNTA(G292:J292)&lt;4,"",ROUND(AVERAGE(G292:J292),1))</f>
        <v/>
      </c>
      <c r="L292" s="2" t="n"/>
      <c r="M292" s="2" t="n"/>
      <c r="N292" s="2" t="n"/>
      <c r="O292" s="2" t="n"/>
    </row>
    <row r="293">
      <c r="A293" s="2" t="n"/>
      <c r="B293" s="2" t="n"/>
      <c r="C293" s="2" t="n"/>
      <c r="D293" s="2" t="n"/>
      <c r="E293" s="2" t="n"/>
      <c r="F293" s="2" t="n"/>
      <c r="G293" s="2" t="n"/>
      <c r="H293" s="2" t="n"/>
      <c r="I293" s="2" t="n"/>
      <c r="J293" s="2" t="n"/>
      <c r="K293" s="2">
        <f>IF(COUNTA(G293:J293)&lt;4,"",ROUND(AVERAGE(G293:J293),1))</f>
        <v/>
      </c>
      <c r="L293" s="2" t="n"/>
      <c r="M293" s="2" t="n"/>
      <c r="N293" s="2" t="n"/>
      <c r="O293" s="2" t="n"/>
    </row>
    <row r="294">
      <c r="A294" s="2" t="n"/>
      <c r="B294" s="2" t="n"/>
      <c r="C294" s="2" t="n"/>
      <c r="D294" s="2" t="n"/>
      <c r="E294" s="2" t="n"/>
      <c r="F294" s="2" t="n"/>
      <c r="G294" s="2" t="n"/>
      <c r="H294" s="2" t="n"/>
      <c r="I294" s="2" t="n"/>
      <c r="J294" s="2" t="n"/>
      <c r="K294" s="2">
        <f>IF(COUNTA(G294:J294)&lt;4,"",ROUND(AVERAGE(G294:J294),1))</f>
        <v/>
      </c>
      <c r="L294" s="2" t="n"/>
      <c r="M294" s="2" t="n"/>
      <c r="N294" s="2" t="n"/>
      <c r="O294" s="2" t="n"/>
    </row>
    <row r="295">
      <c r="A295" s="2" t="n"/>
      <c r="B295" s="2" t="n"/>
      <c r="C295" s="2" t="n"/>
      <c r="D295" s="2" t="n"/>
      <c r="E295" s="2" t="n"/>
      <c r="F295" s="2" t="n"/>
      <c r="G295" s="2" t="n"/>
      <c r="H295" s="2" t="n"/>
      <c r="I295" s="2" t="n"/>
      <c r="J295" s="2" t="n"/>
      <c r="K295" s="2">
        <f>IF(COUNTA(G295:J295)&lt;4,"",ROUND(AVERAGE(G295:J295),1))</f>
        <v/>
      </c>
      <c r="L295" s="2" t="n"/>
      <c r="M295" s="2" t="n"/>
      <c r="N295" s="2" t="n"/>
      <c r="O295" s="2" t="n"/>
    </row>
    <row r="296">
      <c r="A296" s="2" t="n"/>
      <c r="B296" s="2" t="n"/>
      <c r="C296" s="2" t="n"/>
      <c r="D296" s="2" t="n"/>
      <c r="E296" s="2" t="n"/>
      <c r="F296" s="2" t="n"/>
      <c r="G296" s="2" t="n"/>
      <c r="H296" s="2" t="n"/>
      <c r="I296" s="2" t="n"/>
      <c r="J296" s="2" t="n"/>
      <c r="K296" s="2">
        <f>IF(COUNTA(G296:J296)&lt;4,"",ROUND(AVERAGE(G296:J296),1))</f>
        <v/>
      </c>
      <c r="L296" s="2" t="n"/>
      <c r="M296" s="2" t="n"/>
      <c r="N296" s="2" t="n"/>
      <c r="O296" s="2" t="n"/>
    </row>
    <row r="297">
      <c r="A297" s="2" t="n"/>
      <c r="B297" s="2" t="n"/>
      <c r="C297" s="2" t="n"/>
      <c r="D297" s="2" t="n"/>
      <c r="E297" s="2" t="n"/>
      <c r="F297" s="2" t="n"/>
      <c r="G297" s="2" t="n"/>
      <c r="H297" s="2" t="n"/>
      <c r="I297" s="2" t="n"/>
      <c r="J297" s="2" t="n"/>
      <c r="K297" s="2">
        <f>IF(COUNTA(G297:J297)&lt;4,"",ROUND(AVERAGE(G297:J297),1))</f>
        <v/>
      </c>
      <c r="L297" s="2" t="n"/>
      <c r="M297" s="2" t="n"/>
      <c r="N297" s="2" t="n"/>
      <c r="O297" s="2" t="n"/>
    </row>
    <row r="298">
      <c r="A298" s="2" t="n"/>
      <c r="B298" s="2" t="n"/>
      <c r="C298" s="2" t="n"/>
      <c r="D298" s="2" t="n"/>
      <c r="E298" s="2" t="n"/>
      <c r="F298" s="2" t="n"/>
      <c r="G298" s="2" t="n"/>
      <c r="H298" s="2" t="n"/>
      <c r="I298" s="2" t="n"/>
      <c r="J298" s="2" t="n"/>
      <c r="K298" s="2">
        <f>IF(COUNTA(G298:J298)&lt;4,"",ROUND(AVERAGE(G298:J298),1))</f>
        <v/>
      </c>
      <c r="L298" s="2" t="n"/>
      <c r="M298" s="2" t="n"/>
      <c r="N298" s="2" t="n"/>
      <c r="O298" s="2" t="n"/>
    </row>
    <row r="299">
      <c r="A299" s="2" t="n"/>
      <c r="B299" s="2" t="n"/>
      <c r="C299" s="2" t="n"/>
      <c r="D299" s="2" t="n"/>
      <c r="E299" s="2" t="n"/>
      <c r="F299" s="2" t="n"/>
      <c r="G299" s="2" t="n"/>
      <c r="H299" s="2" t="n"/>
      <c r="I299" s="2" t="n"/>
      <c r="J299" s="2" t="n"/>
      <c r="K299" s="2">
        <f>IF(COUNTA(G299:J299)&lt;4,"",ROUND(AVERAGE(G299:J299),1))</f>
        <v/>
      </c>
      <c r="L299" s="2" t="n"/>
      <c r="M299" s="2" t="n"/>
      <c r="N299" s="2" t="n"/>
      <c r="O299" s="2" t="n"/>
    </row>
    <row r="300">
      <c r="A300" s="2" t="n"/>
      <c r="B300" s="2" t="n"/>
      <c r="C300" s="2" t="n"/>
      <c r="D300" s="2" t="n"/>
      <c r="E300" s="2" t="n"/>
      <c r="F300" s="2" t="n"/>
      <c r="G300" s="2" t="n"/>
      <c r="H300" s="2" t="n"/>
      <c r="I300" s="2" t="n"/>
      <c r="J300" s="2" t="n"/>
      <c r="K300" s="2">
        <f>IF(COUNTA(G300:J300)&lt;4,"",ROUND(AVERAGE(G300:J300),1))</f>
        <v/>
      </c>
      <c r="L300" s="2" t="n"/>
      <c r="M300" s="2" t="n"/>
      <c r="N300" s="2" t="n"/>
      <c r="O300" s="2" t="n"/>
    </row>
    <row r="301">
      <c r="A301" s="2" t="n"/>
      <c r="B301" s="2" t="n"/>
      <c r="C301" s="2" t="n"/>
      <c r="D301" s="2" t="n"/>
      <c r="E301" s="2" t="n"/>
      <c r="F301" s="2" t="n"/>
      <c r="G301" s="2" t="n"/>
      <c r="H301" s="2" t="n"/>
      <c r="I301" s="2" t="n"/>
      <c r="J301" s="2" t="n"/>
      <c r="K301" s="2">
        <f>IF(COUNTA(G301:J301)&lt;4,"",ROUND(AVERAGE(G301:J301),1))</f>
        <v/>
      </c>
      <c r="L301" s="2" t="n"/>
      <c r="M301" s="2" t="n"/>
      <c r="N301" s="2" t="n"/>
      <c r="O301" s="2" t="n"/>
    </row>
    <row r="302">
      <c r="A302" s="2" t="n"/>
      <c r="B302" s="2" t="n"/>
      <c r="C302" s="2" t="n"/>
      <c r="D302" s="2" t="n"/>
      <c r="E302" s="2" t="n"/>
      <c r="F302" s="2" t="n"/>
      <c r="G302" s="2" t="n"/>
      <c r="H302" s="2" t="n"/>
      <c r="I302" s="2" t="n"/>
      <c r="J302" s="2" t="n"/>
      <c r="K302" s="2">
        <f>IF(COUNTA(G302:J302)&lt;4,"",ROUND(AVERAGE(G302:J302),1))</f>
        <v/>
      </c>
      <c r="L302" s="2" t="n"/>
      <c r="M302" s="2" t="n"/>
      <c r="N302" s="2" t="n"/>
      <c r="O302" s="2" t="n"/>
    </row>
    <row r="303">
      <c r="A303" s="2" t="n"/>
      <c r="B303" s="2" t="n"/>
      <c r="C303" s="2" t="n"/>
      <c r="D303" s="2" t="n"/>
      <c r="E303" s="2" t="n"/>
      <c r="F303" s="2" t="n"/>
      <c r="G303" s="2" t="n"/>
      <c r="H303" s="2" t="n"/>
      <c r="I303" s="2" t="n"/>
      <c r="J303" s="2" t="n"/>
      <c r="K303" s="2">
        <f>IF(COUNTA(G303:J303)&lt;4,"",ROUND(AVERAGE(G303:J303),1))</f>
        <v/>
      </c>
      <c r="L303" s="2" t="n"/>
      <c r="M303" s="2" t="n"/>
      <c r="N303" s="2" t="n"/>
      <c r="O303" s="2" t="n"/>
    </row>
    <row r="304">
      <c r="A304" s="2" t="n"/>
      <c r="B304" s="2" t="n"/>
      <c r="C304" s="2" t="n"/>
      <c r="D304" s="2" t="n"/>
      <c r="E304" s="2" t="n"/>
      <c r="F304" s="2" t="n"/>
      <c r="G304" s="2" t="n"/>
      <c r="H304" s="2" t="n"/>
      <c r="I304" s="2" t="n"/>
      <c r="J304" s="2" t="n"/>
      <c r="K304" s="2">
        <f>IF(COUNTA(G304:J304)&lt;4,"",ROUND(AVERAGE(G304:J304),1))</f>
        <v/>
      </c>
      <c r="L304" s="2" t="n"/>
      <c r="M304" s="2" t="n"/>
      <c r="N304" s="2" t="n"/>
      <c r="O304" s="2" t="n"/>
    </row>
    <row r="305">
      <c r="A305" s="2" t="n"/>
      <c r="B305" s="2" t="n"/>
      <c r="C305" s="2" t="n"/>
      <c r="D305" s="2" t="n"/>
      <c r="E305" s="2" t="n"/>
      <c r="F305" s="2" t="n"/>
      <c r="G305" s="2" t="n"/>
      <c r="H305" s="2" t="n"/>
      <c r="I305" s="2" t="n"/>
      <c r="J305" s="2" t="n"/>
      <c r="K305" s="2">
        <f>IF(COUNTA(G305:J305)&lt;4,"",ROUND(AVERAGE(G305:J305),1))</f>
        <v/>
      </c>
      <c r="L305" s="2" t="n"/>
      <c r="M305" s="2" t="n"/>
      <c r="N305" s="2" t="n"/>
      <c r="O305" s="2" t="n"/>
    </row>
    <row r="306">
      <c r="A306" s="2" t="n"/>
      <c r="B306" s="2" t="n"/>
      <c r="C306" s="2" t="n"/>
      <c r="D306" s="2" t="n"/>
      <c r="E306" s="2" t="n"/>
      <c r="F306" s="2" t="n"/>
      <c r="G306" s="2" t="n"/>
      <c r="H306" s="2" t="n"/>
      <c r="I306" s="2" t="n"/>
      <c r="J306" s="2" t="n"/>
      <c r="K306" s="2">
        <f>IF(COUNTA(G306:J306)&lt;4,"",ROUND(AVERAGE(G306:J306),1))</f>
        <v/>
      </c>
      <c r="L306" s="2" t="n"/>
      <c r="M306" s="2" t="n"/>
      <c r="N306" s="2" t="n"/>
      <c r="O306" s="2" t="n"/>
    </row>
    <row r="307">
      <c r="A307" s="2" t="n"/>
      <c r="B307" s="2" t="n"/>
      <c r="C307" s="2" t="n"/>
      <c r="D307" s="2" t="n"/>
      <c r="E307" s="2" t="n"/>
      <c r="F307" s="2" t="n"/>
      <c r="G307" s="2" t="n"/>
      <c r="H307" s="2" t="n"/>
      <c r="I307" s="2" t="n"/>
      <c r="J307" s="2" t="n"/>
      <c r="K307" s="2">
        <f>IF(COUNTA(G307:J307)&lt;4,"",ROUND(AVERAGE(G307:J307),1))</f>
        <v/>
      </c>
      <c r="L307" s="2" t="n"/>
      <c r="M307" s="2" t="n"/>
      <c r="N307" s="2" t="n"/>
      <c r="O307" s="2" t="n"/>
    </row>
    <row r="308">
      <c r="A308" s="2" t="n"/>
      <c r="B308" s="2" t="n"/>
      <c r="C308" s="2" t="n"/>
      <c r="D308" s="2" t="n"/>
      <c r="E308" s="2" t="n"/>
      <c r="F308" s="2" t="n"/>
      <c r="G308" s="2" t="n"/>
      <c r="H308" s="2" t="n"/>
      <c r="I308" s="2" t="n"/>
      <c r="J308" s="2" t="n"/>
      <c r="K308" s="2">
        <f>IF(COUNTA(G308:J308)&lt;4,"",ROUND(AVERAGE(G308:J308),1))</f>
        <v/>
      </c>
      <c r="L308" s="2" t="n"/>
      <c r="M308" s="2" t="n"/>
      <c r="N308" s="2" t="n"/>
      <c r="O308" s="2" t="n"/>
    </row>
    <row r="309">
      <c r="A309" s="2" t="n"/>
      <c r="B309" s="2" t="n"/>
      <c r="C309" s="2" t="n"/>
      <c r="D309" s="2" t="n"/>
      <c r="E309" s="2" t="n"/>
      <c r="F309" s="2" t="n"/>
      <c r="G309" s="2" t="n"/>
      <c r="H309" s="2" t="n"/>
      <c r="I309" s="2" t="n"/>
      <c r="J309" s="2" t="n"/>
      <c r="K309" s="2">
        <f>IF(COUNTA(G309:J309)&lt;4,"",ROUND(AVERAGE(G309:J309),1))</f>
        <v/>
      </c>
      <c r="L309" s="2" t="n"/>
      <c r="M309" s="2" t="n"/>
      <c r="N309" s="2" t="n"/>
      <c r="O309" s="2" t="n"/>
    </row>
    <row r="310">
      <c r="A310" s="2" t="n"/>
      <c r="B310" s="2" t="n"/>
      <c r="C310" s="2" t="n"/>
      <c r="D310" s="2" t="n"/>
      <c r="E310" s="2" t="n"/>
      <c r="F310" s="2" t="n"/>
      <c r="G310" s="2" t="n"/>
      <c r="H310" s="2" t="n"/>
      <c r="I310" s="2" t="n"/>
      <c r="J310" s="2" t="n"/>
      <c r="K310" s="2">
        <f>IF(COUNTA(G310:J310)&lt;4,"",ROUND(AVERAGE(G310:J310),1))</f>
        <v/>
      </c>
      <c r="L310" s="2" t="n"/>
      <c r="M310" s="2" t="n"/>
      <c r="N310" s="2" t="n"/>
      <c r="O310" s="2" t="n"/>
    </row>
    <row r="311">
      <c r="A311" s="2" t="n"/>
      <c r="B311" s="2" t="n"/>
      <c r="C311" s="2" t="n"/>
      <c r="D311" s="2" t="n"/>
      <c r="E311" s="2" t="n"/>
      <c r="F311" s="2" t="n"/>
      <c r="G311" s="2" t="n"/>
      <c r="H311" s="2" t="n"/>
      <c r="I311" s="2" t="n"/>
      <c r="J311" s="2" t="n"/>
      <c r="K311" s="2">
        <f>IF(COUNTA(G311:J311)&lt;4,"",ROUND(AVERAGE(G311:J311),1))</f>
        <v/>
      </c>
      <c r="L311" s="2" t="n"/>
      <c r="M311" s="2" t="n"/>
      <c r="N311" s="2" t="n"/>
      <c r="O311" s="2" t="n"/>
    </row>
    <row r="312">
      <c r="A312" s="2" t="n"/>
      <c r="B312" s="2" t="n"/>
      <c r="C312" s="2" t="n"/>
      <c r="D312" s="2" t="n"/>
      <c r="E312" s="2" t="n"/>
      <c r="F312" s="2" t="n"/>
      <c r="G312" s="2" t="n"/>
      <c r="H312" s="2" t="n"/>
      <c r="I312" s="2" t="n"/>
      <c r="J312" s="2" t="n"/>
      <c r="K312" s="2">
        <f>IF(COUNTA(G312:J312)&lt;4,"",ROUND(AVERAGE(G312:J312),1))</f>
        <v/>
      </c>
      <c r="L312" s="2" t="n"/>
      <c r="M312" s="2" t="n"/>
      <c r="N312" s="2" t="n"/>
      <c r="O312" s="2" t="n"/>
    </row>
    <row r="313">
      <c r="A313" s="2" t="n"/>
      <c r="B313" s="2" t="n"/>
      <c r="C313" s="2" t="n"/>
      <c r="D313" s="2" t="n"/>
      <c r="E313" s="2" t="n"/>
      <c r="F313" s="2" t="n"/>
      <c r="G313" s="2" t="n"/>
      <c r="H313" s="2" t="n"/>
      <c r="I313" s="2" t="n"/>
      <c r="J313" s="2" t="n"/>
      <c r="K313" s="2">
        <f>IF(COUNTA(G313:J313)&lt;4,"",ROUND(AVERAGE(G313:J313),1))</f>
        <v/>
      </c>
      <c r="L313" s="2" t="n"/>
      <c r="M313" s="2" t="n"/>
      <c r="N313" s="2" t="n"/>
      <c r="O313" s="2" t="n"/>
    </row>
    <row r="314">
      <c r="A314" s="2" t="n"/>
      <c r="B314" s="2" t="n"/>
      <c r="C314" s="2" t="n"/>
      <c r="D314" s="2" t="n"/>
      <c r="E314" s="2" t="n"/>
      <c r="F314" s="2" t="n"/>
      <c r="G314" s="2" t="n"/>
      <c r="H314" s="2" t="n"/>
      <c r="I314" s="2" t="n"/>
      <c r="J314" s="2" t="n"/>
      <c r="K314" s="2">
        <f>IF(COUNTA(G314:J314)&lt;4,"",ROUND(AVERAGE(G314:J314),1))</f>
        <v/>
      </c>
      <c r="L314" s="2" t="n"/>
      <c r="M314" s="2" t="n"/>
      <c r="N314" s="2" t="n"/>
      <c r="O314" s="2" t="n"/>
    </row>
    <row r="315">
      <c r="A315" s="2" t="n"/>
      <c r="B315" s="2" t="n"/>
      <c r="C315" s="2" t="n"/>
      <c r="D315" s="2" t="n"/>
      <c r="E315" s="2" t="n"/>
      <c r="F315" s="2" t="n"/>
      <c r="G315" s="2" t="n"/>
      <c r="H315" s="2" t="n"/>
      <c r="I315" s="2" t="n"/>
      <c r="J315" s="2" t="n"/>
      <c r="K315" s="2">
        <f>IF(COUNTA(G315:J315)&lt;4,"",ROUND(AVERAGE(G315:J315),1))</f>
        <v/>
      </c>
      <c r="L315" s="2" t="n"/>
      <c r="M315" s="2" t="n"/>
      <c r="N315" s="2" t="n"/>
      <c r="O315" s="2" t="n"/>
    </row>
    <row r="316">
      <c r="A316" s="2" t="n"/>
      <c r="B316" s="2" t="n"/>
      <c r="C316" s="2" t="n"/>
      <c r="D316" s="2" t="n"/>
      <c r="E316" s="2" t="n"/>
      <c r="F316" s="2" t="n"/>
      <c r="G316" s="2" t="n"/>
      <c r="H316" s="2" t="n"/>
      <c r="I316" s="2" t="n"/>
      <c r="J316" s="2" t="n"/>
      <c r="K316" s="2">
        <f>IF(COUNTA(G316:J316)&lt;4,"",ROUND(AVERAGE(G316:J316),1))</f>
        <v/>
      </c>
      <c r="L316" s="2" t="n"/>
      <c r="M316" s="2" t="n"/>
      <c r="N316" s="2" t="n"/>
      <c r="O316" s="2" t="n"/>
    </row>
    <row r="317">
      <c r="A317" s="2" t="n"/>
      <c r="B317" s="2" t="n"/>
      <c r="C317" s="2" t="n"/>
      <c r="D317" s="2" t="n"/>
      <c r="E317" s="2" t="n"/>
      <c r="F317" s="2" t="n"/>
      <c r="G317" s="2" t="n"/>
      <c r="H317" s="2" t="n"/>
      <c r="I317" s="2" t="n"/>
      <c r="J317" s="2" t="n"/>
      <c r="K317" s="2">
        <f>IF(COUNTA(G317:J317)&lt;4,"",ROUND(AVERAGE(G317:J317),1))</f>
        <v/>
      </c>
      <c r="L317" s="2" t="n"/>
      <c r="M317" s="2" t="n"/>
      <c r="N317" s="2" t="n"/>
      <c r="O317" s="2" t="n"/>
    </row>
    <row r="318">
      <c r="A318" s="2" t="n"/>
      <c r="B318" s="2" t="n"/>
      <c r="C318" s="2" t="n"/>
      <c r="D318" s="2" t="n"/>
      <c r="E318" s="2" t="n"/>
      <c r="F318" s="2" t="n"/>
      <c r="G318" s="2" t="n"/>
      <c r="H318" s="2" t="n"/>
      <c r="I318" s="2" t="n"/>
      <c r="J318" s="2" t="n"/>
      <c r="K318" s="2">
        <f>IF(COUNTA(G318:J318)&lt;4,"",ROUND(AVERAGE(G318:J318),1))</f>
        <v/>
      </c>
      <c r="L318" s="2" t="n"/>
      <c r="M318" s="2" t="n"/>
      <c r="N318" s="2" t="n"/>
      <c r="O318" s="2" t="n"/>
    </row>
    <row r="319">
      <c r="A319" s="2" t="n"/>
      <c r="B319" s="2" t="n"/>
      <c r="C319" s="2" t="n"/>
      <c r="D319" s="2" t="n"/>
      <c r="E319" s="2" t="n"/>
      <c r="F319" s="2" t="n"/>
      <c r="G319" s="2" t="n"/>
      <c r="H319" s="2" t="n"/>
      <c r="I319" s="2" t="n"/>
      <c r="J319" s="2" t="n"/>
      <c r="K319" s="2">
        <f>IF(COUNTA(G319:J319)&lt;4,"",ROUND(AVERAGE(G319:J319),1))</f>
        <v/>
      </c>
      <c r="L319" s="2" t="n"/>
      <c r="M319" s="2" t="n"/>
      <c r="N319" s="2" t="n"/>
      <c r="O319" s="2" t="n"/>
    </row>
    <row r="320">
      <c r="A320" s="2" t="n"/>
      <c r="B320" s="2" t="n"/>
      <c r="C320" s="2" t="n"/>
      <c r="D320" s="2" t="n"/>
      <c r="E320" s="2" t="n"/>
      <c r="F320" s="2" t="n"/>
      <c r="G320" s="2" t="n"/>
      <c r="H320" s="2" t="n"/>
      <c r="I320" s="2" t="n"/>
      <c r="J320" s="2" t="n"/>
      <c r="K320" s="2">
        <f>IF(COUNTA(G320:J320)&lt;4,"",ROUND(AVERAGE(G320:J320),1))</f>
        <v/>
      </c>
      <c r="L320" s="2" t="n"/>
      <c r="M320" s="2" t="n"/>
      <c r="N320" s="2" t="n"/>
      <c r="O320" s="2" t="n"/>
    </row>
    <row r="321">
      <c r="A321" s="2" t="n"/>
      <c r="B321" s="2" t="n"/>
      <c r="C321" s="2" t="n"/>
      <c r="D321" s="2" t="n"/>
      <c r="E321" s="2" t="n"/>
      <c r="F321" s="2" t="n"/>
      <c r="G321" s="2" t="n"/>
      <c r="H321" s="2" t="n"/>
      <c r="I321" s="2" t="n"/>
      <c r="J321" s="2" t="n"/>
      <c r="K321" s="2">
        <f>IF(COUNTA(G321:J321)&lt;4,"",ROUND(AVERAGE(G321:J321),1))</f>
        <v/>
      </c>
      <c r="L321" s="2" t="n"/>
      <c r="M321" s="2" t="n"/>
      <c r="N321" s="2" t="n"/>
      <c r="O321" s="2" t="n"/>
    </row>
    <row r="322">
      <c r="A322" s="2" t="n"/>
      <c r="B322" s="2" t="n"/>
      <c r="C322" s="2" t="n"/>
      <c r="D322" s="2" t="n"/>
      <c r="E322" s="2" t="n"/>
      <c r="F322" s="2" t="n"/>
      <c r="G322" s="2" t="n"/>
      <c r="H322" s="2" t="n"/>
      <c r="I322" s="2" t="n"/>
      <c r="J322" s="2" t="n"/>
      <c r="K322" s="2">
        <f>IF(COUNTA(G322:J322)&lt;4,"",ROUND(AVERAGE(G322:J322),1))</f>
        <v/>
      </c>
      <c r="L322" s="2" t="n"/>
      <c r="M322" s="2" t="n"/>
      <c r="N322" s="2" t="n"/>
      <c r="O322" s="2" t="n"/>
    </row>
    <row r="323">
      <c r="A323" s="2" t="n"/>
      <c r="B323" s="2" t="n"/>
      <c r="C323" s="2" t="n"/>
      <c r="D323" s="2" t="n"/>
      <c r="E323" s="2" t="n"/>
      <c r="F323" s="2" t="n"/>
      <c r="G323" s="2" t="n"/>
      <c r="H323" s="2" t="n"/>
      <c r="I323" s="2" t="n"/>
      <c r="J323" s="2" t="n"/>
      <c r="K323" s="2">
        <f>IF(COUNTA(G323:J323)&lt;4,"",ROUND(AVERAGE(G323:J323),1))</f>
        <v/>
      </c>
      <c r="L323" s="2" t="n"/>
      <c r="M323" s="2" t="n"/>
      <c r="N323" s="2" t="n"/>
      <c r="O323" s="2" t="n"/>
    </row>
    <row r="324">
      <c r="A324" s="2" t="n"/>
      <c r="B324" s="2" t="n"/>
      <c r="C324" s="2" t="n"/>
      <c r="D324" s="2" t="n"/>
      <c r="E324" s="2" t="n"/>
      <c r="F324" s="2" t="n"/>
      <c r="G324" s="2" t="n"/>
      <c r="H324" s="2" t="n"/>
      <c r="I324" s="2" t="n"/>
      <c r="J324" s="2" t="n"/>
      <c r="K324" s="2">
        <f>IF(COUNTA(G324:J324)&lt;4,"",ROUND(AVERAGE(G324:J324),1))</f>
        <v/>
      </c>
      <c r="L324" s="2" t="n"/>
      <c r="M324" s="2" t="n"/>
      <c r="N324" s="2" t="n"/>
      <c r="O324" s="2" t="n"/>
    </row>
    <row r="325">
      <c r="A325" s="2" t="n"/>
      <c r="B325" s="2" t="n"/>
      <c r="C325" s="2" t="n"/>
      <c r="D325" s="2" t="n"/>
      <c r="E325" s="2" t="n"/>
      <c r="F325" s="2" t="n"/>
      <c r="G325" s="2" t="n"/>
      <c r="H325" s="2" t="n"/>
      <c r="I325" s="2" t="n"/>
      <c r="J325" s="2" t="n"/>
      <c r="K325" s="2">
        <f>IF(COUNTA(G325:J325)&lt;4,"",ROUND(AVERAGE(G325:J325),1))</f>
        <v/>
      </c>
      <c r="L325" s="2" t="n"/>
      <c r="M325" s="2" t="n"/>
      <c r="N325" s="2" t="n"/>
      <c r="O325" s="2" t="n"/>
    </row>
    <row r="326">
      <c r="A326" s="2" t="n"/>
      <c r="B326" s="2" t="n"/>
      <c r="C326" s="2" t="n"/>
      <c r="D326" s="2" t="n"/>
      <c r="E326" s="2" t="n"/>
      <c r="F326" s="2" t="n"/>
      <c r="G326" s="2" t="n"/>
      <c r="H326" s="2" t="n"/>
      <c r="I326" s="2" t="n"/>
      <c r="J326" s="2" t="n"/>
      <c r="K326" s="2">
        <f>IF(COUNTA(G326:J326)&lt;4,"",ROUND(AVERAGE(G326:J326),1))</f>
        <v/>
      </c>
      <c r="L326" s="2" t="n"/>
      <c r="M326" s="2" t="n"/>
      <c r="N326" s="2" t="n"/>
      <c r="O326" s="2" t="n"/>
    </row>
    <row r="327">
      <c r="A327" s="2" t="n"/>
      <c r="B327" s="2" t="n"/>
      <c r="C327" s="2" t="n"/>
      <c r="D327" s="2" t="n"/>
      <c r="E327" s="2" t="n"/>
      <c r="F327" s="2" t="n"/>
      <c r="G327" s="2" t="n"/>
      <c r="H327" s="2" t="n"/>
      <c r="I327" s="2" t="n"/>
      <c r="J327" s="2" t="n"/>
      <c r="K327" s="2">
        <f>IF(COUNTA(G327:J327)&lt;4,"",ROUND(AVERAGE(G327:J327),1))</f>
        <v/>
      </c>
      <c r="L327" s="2" t="n"/>
      <c r="M327" s="2" t="n"/>
      <c r="N327" s="2" t="n"/>
      <c r="O327" s="2" t="n"/>
    </row>
    <row r="328">
      <c r="A328" s="2" t="n"/>
      <c r="B328" s="2" t="n"/>
      <c r="C328" s="2" t="n"/>
      <c r="D328" s="2" t="n"/>
      <c r="E328" s="2" t="n"/>
      <c r="F328" s="2" t="n"/>
      <c r="G328" s="2" t="n"/>
      <c r="H328" s="2" t="n"/>
      <c r="I328" s="2" t="n"/>
      <c r="J328" s="2" t="n"/>
      <c r="K328" s="2">
        <f>IF(COUNTA(G328:J328)&lt;4,"",ROUND(AVERAGE(G328:J328),1))</f>
        <v/>
      </c>
      <c r="L328" s="2" t="n"/>
      <c r="M328" s="2" t="n"/>
      <c r="N328" s="2" t="n"/>
      <c r="O328" s="2" t="n"/>
    </row>
    <row r="329">
      <c r="A329" s="2" t="n"/>
      <c r="B329" s="2" t="n"/>
      <c r="C329" s="2" t="n"/>
      <c r="D329" s="2" t="n"/>
      <c r="E329" s="2" t="n"/>
      <c r="F329" s="2" t="n"/>
      <c r="G329" s="2" t="n"/>
      <c r="H329" s="2" t="n"/>
      <c r="I329" s="2" t="n"/>
      <c r="J329" s="2" t="n"/>
      <c r="K329" s="2">
        <f>IF(COUNTA(G329:J329)&lt;4,"",ROUND(AVERAGE(G329:J329),1))</f>
        <v/>
      </c>
      <c r="L329" s="2" t="n"/>
      <c r="M329" s="2" t="n"/>
      <c r="N329" s="2" t="n"/>
      <c r="O329" s="2" t="n"/>
    </row>
    <row r="330">
      <c r="A330" s="2" t="n"/>
      <c r="B330" s="2" t="n"/>
      <c r="C330" s="2" t="n"/>
      <c r="D330" s="2" t="n"/>
      <c r="E330" s="2" t="n"/>
      <c r="F330" s="2" t="n"/>
      <c r="G330" s="2" t="n"/>
      <c r="H330" s="2" t="n"/>
      <c r="I330" s="2" t="n"/>
      <c r="J330" s="2" t="n"/>
      <c r="K330" s="2">
        <f>IF(COUNTA(G330:J330)&lt;4,"",ROUND(AVERAGE(G330:J330),1))</f>
        <v/>
      </c>
      <c r="L330" s="2" t="n"/>
      <c r="M330" s="2" t="n"/>
      <c r="N330" s="2" t="n"/>
      <c r="O330" s="2" t="n"/>
    </row>
    <row r="331">
      <c r="A331" s="2" t="n"/>
      <c r="B331" s="2" t="n"/>
      <c r="C331" s="2" t="n"/>
      <c r="D331" s="2" t="n"/>
      <c r="E331" s="2" t="n"/>
      <c r="F331" s="2" t="n"/>
      <c r="G331" s="2" t="n"/>
      <c r="H331" s="2" t="n"/>
      <c r="I331" s="2" t="n"/>
      <c r="J331" s="2" t="n"/>
      <c r="K331" s="2">
        <f>IF(COUNTA(G331:J331)&lt;4,"",ROUND(AVERAGE(G331:J331),1))</f>
        <v/>
      </c>
      <c r="L331" s="2" t="n"/>
      <c r="M331" s="2" t="n"/>
      <c r="N331" s="2" t="n"/>
      <c r="O331" s="2" t="n"/>
    </row>
    <row r="332">
      <c r="A332" s="2" t="n"/>
      <c r="B332" s="2" t="n"/>
      <c r="C332" s="2" t="n"/>
      <c r="D332" s="2" t="n"/>
      <c r="E332" s="2" t="n"/>
      <c r="F332" s="2" t="n"/>
      <c r="G332" s="2" t="n"/>
      <c r="H332" s="2" t="n"/>
      <c r="I332" s="2" t="n"/>
      <c r="J332" s="2" t="n"/>
      <c r="K332" s="2">
        <f>IF(COUNTA(G332:J332)&lt;4,"",ROUND(AVERAGE(G332:J332),1))</f>
        <v/>
      </c>
      <c r="L332" s="2" t="n"/>
      <c r="M332" s="2" t="n"/>
      <c r="N332" s="2" t="n"/>
      <c r="O332" s="2" t="n"/>
    </row>
    <row r="333">
      <c r="A333" s="2" t="n"/>
      <c r="B333" s="2" t="n"/>
      <c r="C333" s="2" t="n"/>
      <c r="D333" s="2" t="n"/>
      <c r="E333" s="2" t="n"/>
      <c r="F333" s="2" t="n"/>
      <c r="G333" s="2" t="n"/>
      <c r="H333" s="2" t="n"/>
      <c r="I333" s="2" t="n"/>
      <c r="J333" s="2" t="n"/>
      <c r="K333" s="2">
        <f>IF(COUNTA(G333:J333)&lt;4,"",ROUND(AVERAGE(G333:J333),1))</f>
        <v/>
      </c>
      <c r="L333" s="2" t="n"/>
      <c r="M333" s="2" t="n"/>
      <c r="N333" s="2" t="n"/>
      <c r="O333" s="2" t="n"/>
    </row>
    <row r="334">
      <c r="A334" s="2" t="n"/>
      <c r="B334" s="2" t="n"/>
      <c r="C334" s="2" t="n"/>
      <c r="D334" s="2" t="n"/>
      <c r="E334" s="2" t="n"/>
      <c r="F334" s="2" t="n"/>
      <c r="G334" s="2" t="n"/>
      <c r="H334" s="2" t="n"/>
      <c r="I334" s="2" t="n"/>
      <c r="J334" s="2" t="n"/>
      <c r="K334" s="2">
        <f>IF(COUNTA(G334:J334)&lt;4,"",ROUND(AVERAGE(G334:J334),1))</f>
        <v/>
      </c>
      <c r="L334" s="2" t="n"/>
      <c r="M334" s="2" t="n"/>
      <c r="N334" s="2" t="n"/>
      <c r="O334" s="2" t="n"/>
    </row>
    <row r="335">
      <c r="A335" s="2" t="n"/>
      <c r="B335" s="2" t="n"/>
      <c r="C335" s="2" t="n"/>
      <c r="D335" s="2" t="n"/>
      <c r="E335" s="2" t="n"/>
      <c r="F335" s="2" t="n"/>
      <c r="G335" s="2" t="n"/>
      <c r="H335" s="2" t="n"/>
      <c r="I335" s="2" t="n"/>
      <c r="J335" s="2" t="n"/>
      <c r="K335" s="2">
        <f>IF(COUNTA(G335:J335)&lt;4,"",ROUND(AVERAGE(G335:J335),1))</f>
        <v/>
      </c>
      <c r="L335" s="2" t="n"/>
      <c r="M335" s="2" t="n"/>
      <c r="N335" s="2" t="n"/>
      <c r="O335" s="2" t="n"/>
    </row>
    <row r="336">
      <c r="A336" s="2" t="n"/>
      <c r="B336" s="2" t="n"/>
      <c r="C336" s="2" t="n"/>
      <c r="D336" s="2" t="n"/>
      <c r="E336" s="2" t="n"/>
      <c r="F336" s="2" t="n"/>
      <c r="G336" s="2" t="n"/>
      <c r="H336" s="2" t="n"/>
      <c r="I336" s="2" t="n"/>
      <c r="J336" s="2" t="n"/>
      <c r="K336" s="2">
        <f>IF(COUNTA(G336:J336)&lt;4,"",ROUND(AVERAGE(G336:J336),1))</f>
        <v/>
      </c>
      <c r="L336" s="2" t="n"/>
      <c r="M336" s="2" t="n"/>
      <c r="N336" s="2" t="n"/>
      <c r="O336" s="2" t="n"/>
    </row>
    <row r="337">
      <c r="A337" s="2" t="n"/>
      <c r="B337" s="2" t="n"/>
      <c r="C337" s="2" t="n"/>
      <c r="D337" s="2" t="n"/>
      <c r="E337" s="2" t="n"/>
      <c r="F337" s="2" t="n"/>
      <c r="G337" s="2" t="n"/>
      <c r="H337" s="2" t="n"/>
      <c r="I337" s="2" t="n"/>
      <c r="J337" s="2" t="n"/>
      <c r="K337" s="2">
        <f>IF(COUNTA(G337:J337)&lt;4,"",ROUND(AVERAGE(G337:J337),1))</f>
        <v/>
      </c>
      <c r="L337" s="2" t="n"/>
      <c r="M337" s="2" t="n"/>
      <c r="N337" s="2" t="n"/>
      <c r="O337" s="2" t="n"/>
    </row>
    <row r="338">
      <c r="A338" s="2" t="n"/>
      <c r="B338" s="2" t="n"/>
      <c r="C338" s="2" t="n"/>
      <c r="D338" s="2" t="n"/>
      <c r="E338" s="2" t="n"/>
      <c r="F338" s="2" t="n"/>
      <c r="G338" s="2" t="n"/>
      <c r="H338" s="2" t="n"/>
      <c r="I338" s="2" t="n"/>
      <c r="J338" s="2" t="n"/>
      <c r="K338" s="2">
        <f>IF(COUNTA(G338:J338)&lt;4,"",ROUND(AVERAGE(G338:J338),1))</f>
        <v/>
      </c>
      <c r="L338" s="2" t="n"/>
      <c r="M338" s="2" t="n"/>
      <c r="N338" s="2" t="n"/>
      <c r="O338" s="2" t="n"/>
    </row>
    <row r="339">
      <c r="A339" s="2" t="n"/>
      <c r="B339" s="2" t="n"/>
      <c r="C339" s="2" t="n"/>
      <c r="D339" s="2" t="n"/>
      <c r="E339" s="2" t="n"/>
      <c r="F339" s="2" t="n"/>
      <c r="G339" s="2" t="n"/>
      <c r="H339" s="2" t="n"/>
      <c r="I339" s="2" t="n"/>
      <c r="J339" s="2" t="n"/>
      <c r="K339" s="2">
        <f>IF(COUNTA(G339:J339)&lt;4,"",ROUND(AVERAGE(G339:J339),1))</f>
        <v/>
      </c>
      <c r="L339" s="2" t="n"/>
      <c r="M339" s="2" t="n"/>
      <c r="N339" s="2" t="n"/>
      <c r="O339" s="2" t="n"/>
    </row>
    <row r="340">
      <c r="A340" s="2" t="n"/>
      <c r="B340" s="2" t="n"/>
      <c r="C340" s="2" t="n"/>
      <c r="D340" s="2" t="n"/>
      <c r="E340" s="2" t="n"/>
      <c r="F340" s="2" t="n"/>
      <c r="G340" s="2" t="n"/>
      <c r="H340" s="2" t="n"/>
      <c r="I340" s="2" t="n"/>
      <c r="J340" s="2" t="n"/>
      <c r="K340" s="2">
        <f>IF(COUNTA(G340:J340)&lt;4,"",ROUND(AVERAGE(G340:J340),1))</f>
        <v/>
      </c>
      <c r="L340" s="2" t="n"/>
      <c r="M340" s="2" t="n"/>
      <c r="N340" s="2" t="n"/>
      <c r="O340" s="2" t="n"/>
    </row>
    <row r="341">
      <c r="A341" s="2" t="n"/>
      <c r="B341" s="2" t="n"/>
      <c r="C341" s="2" t="n"/>
      <c r="D341" s="2" t="n"/>
      <c r="E341" s="2" t="n"/>
      <c r="F341" s="2" t="n"/>
      <c r="G341" s="2" t="n"/>
      <c r="H341" s="2" t="n"/>
      <c r="I341" s="2" t="n"/>
      <c r="J341" s="2" t="n"/>
      <c r="K341" s="2">
        <f>IF(COUNTA(G341:J341)&lt;4,"",ROUND(AVERAGE(G341:J341),1))</f>
        <v/>
      </c>
      <c r="L341" s="2" t="n"/>
      <c r="M341" s="2" t="n"/>
      <c r="N341" s="2" t="n"/>
      <c r="O341" s="2" t="n"/>
    </row>
    <row r="342">
      <c r="A342" s="2" t="n"/>
      <c r="B342" s="2" t="n"/>
      <c r="C342" s="2" t="n"/>
      <c r="D342" s="2" t="n"/>
      <c r="E342" s="2" t="n"/>
      <c r="F342" s="2" t="n"/>
      <c r="G342" s="2" t="n"/>
      <c r="H342" s="2" t="n"/>
      <c r="I342" s="2" t="n"/>
      <c r="J342" s="2" t="n"/>
      <c r="K342" s="2">
        <f>IF(COUNTA(G342:J342)&lt;4,"",ROUND(AVERAGE(G342:J342),1))</f>
        <v/>
      </c>
      <c r="L342" s="2" t="n"/>
      <c r="M342" s="2" t="n"/>
      <c r="N342" s="2" t="n"/>
      <c r="O342" s="2" t="n"/>
    </row>
    <row r="343">
      <c r="A343" s="2" t="n"/>
      <c r="B343" s="2" t="n"/>
      <c r="C343" s="2" t="n"/>
      <c r="D343" s="2" t="n"/>
      <c r="E343" s="2" t="n"/>
      <c r="F343" s="2" t="n"/>
      <c r="G343" s="2" t="n"/>
      <c r="H343" s="2" t="n"/>
      <c r="I343" s="2" t="n"/>
      <c r="J343" s="2" t="n"/>
      <c r="K343" s="2">
        <f>IF(COUNTA(G343:J343)&lt;4,"",ROUND(AVERAGE(G343:J343),1))</f>
        <v/>
      </c>
      <c r="L343" s="2" t="n"/>
      <c r="M343" s="2" t="n"/>
      <c r="N343" s="2" t="n"/>
      <c r="O343" s="2" t="n"/>
    </row>
    <row r="344">
      <c r="A344" s="2" t="n"/>
      <c r="B344" s="2" t="n"/>
      <c r="C344" s="2" t="n"/>
      <c r="D344" s="2" t="n"/>
      <c r="E344" s="2" t="n"/>
      <c r="F344" s="2" t="n"/>
      <c r="G344" s="2" t="n"/>
      <c r="H344" s="2" t="n"/>
      <c r="I344" s="2" t="n"/>
      <c r="J344" s="2" t="n"/>
      <c r="K344" s="2">
        <f>IF(COUNTA(G344:J344)&lt;4,"",ROUND(AVERAGE(G344:J344),1))</f>
        <v/>
      </c>
      <c r="L344" s="2" t="n"/>
      <c r="M344" s="2" t="n"/>
      <c r="N344" s="2" t="n"/>
      <c r="O344" s="2" t="n"/>
    </row>
    <row r="345">
      <c r="A345" s="2" t="n"/>
      <c r="B345" s="2" t="n"/>
      <c r="C345" s="2" t="n"/>
      <c r="D345" s="2" t="n"/>
      <c r="E345" s="2" t="n"/>
      <c r="F345" s="2" t="n"/>
      <c r="G345" s="2" t="n"/>
      <c r="H345" s="2" t="n"/>
      <c r="I345" s="2" t="n"/>
      <c r="J345" s="2" t="n"/>
      <c r="K345" s="2">
        <f>IF(COUNTA(G345:J345)&lt;4,"",ROUND(AVERAGE(G345:J345),1))</f>
        <v/>
      </c>
      <c r="L345" s="2" t="n"/>
      <c r="M345" s="2" t="n"/>
      <c r="N345" s="2" t="n"/>
      <c r="O345" s="2" t="n"/>
    </row>
    <row r="346">
      <c r="A346" s="2" t="n"/>
      <c r="B346" s="2" t="n"/>
      <c r="C346" s="2" t="n"/>
      <c r="D346" s="2" t="n"/>
      <c r="E346" s="2" t="n"/>
      <c r="F346" s="2" t="n"/>
      <c r="G346" s="2" t="n"/>
      <c r="H346" s="2" t="n"/>
      <c r="I346" s="2" t="n"/>
      <c r="J346" s="2" t="n"/>
      <c r="K346" s="2">
        <f>IF(COUNTA(G346:J346)&lt;4,"",ROUND(AVERAGE(G346:J346),1))</f>
        <v/>
      </c>
      <c r="L346" s="2" t="n"/>
      <c r="M346" s="2" t="n"/>
      <c r="N346" s="2" t="n"/>
      <c r="O346" s="2" t="n"/>
    </row>
    <row r="347">
      <c r="A347" s="2" t="n"/>
      <c r="B347" s="2" t="n"/>
      <c r="C347" s="2" t="n"/>
      <c r="D347" s="2" t="n"/>
      <c r="E347" s="2" t="n"/>
      <c r="F347" s="2" t="n"/>
      <c r="G347" s="2" t="n"/>
      <c r="H347" s="2" t="n"/>
      <c r="I347" s="2" t="n"/>
      <c r="J347" s="2" t="n"/>
      <c r="K347" s="2">
        <f>IF(COUNTA(G347:J347)&lt;4,"",ROUND(AVERAGE(G347:J347),1))</f>
        <v/>
      </c>
      <c r="L347" s="2" t="n"/>
      <c r="M347" s="2" t="n"/>
      <c r="N347" s="2" t="n"/>
      <c r="O347" s="2" t="n"/>
    </row>
    <row r="348">
      <c r="A348" s="2" t="n"/>
      <c r="B348" s="2" t="n"/>
      <c r="C348" s="2" t="n"/>
      <c r="D348" s="2" t="n"/>
      <c r="E348" s="2" t="n"/>
      <c r="F348" s="2" t="n"/>
      <c r="G348" s="2" t="n"/>
      <c r="H348" s="2" t="n"/>
      <c r="I348" s="2" t="n"/>
      <c r="J348" s="2" t="n"/>
      <c r="K348" s="2">
        <f>IF(COUNTA(G348:J348)&lt;4,"",ROUND(AVERAGE(G348:J348),1))</f>
        <v/>
      </c>
      <c r="L348" s="2" t="n"/>
      <c r="M348" s="2" t="n"/>
      <c r="N348" s="2" t="n"/>
      <c r="O348" s="2" t="n"/>
    </row>
    <row r="349">
      <c r="A349" s="2" t="n"/>
      <c r="B349" s="2" t="n"/>
      <c r="C349" s="2" t="n"/>
      <c r="D349" s="2" t="n"/>
      <c r="E349" s="2" t="n"/>
      <c r="F349" s="2" t="n"/>
      <c r="G349" s="2" t="n"/>
      <c r="H349" s="2" t="n"/>
      <c r="I349" s="2" t="n"/>
      <c r="J349" s="2" t="n"/>
      <c r="K349" s="2">
        <f>IF(COUNTA(G349:J349)&lt;4,"",ROUND(AVERAGE(G349:J349),1))</f>
        <v/>
      </c>
      <c r="L349" s="2" t="n"/>
      <c r="M349" s="2" t="n"/>
      <c r="N349" s="2" t="n"/>
      <c r="O349" s="2" t="n"/>
    </row>
    <row r="350">
      <c r="A350" s="2" t="n"/>
      <c r="B350" s="2" t="n"/>
      <c r="C350" s="2" t="n"/>
      <c r="D350" s="2" t="n"/>
      <c r="E350" s="2" t="n"/>
      <c r="F350" s="2" t="n"/>
      <c r="G350" s="2" t="n"/>
      <c r="H350" s="2" t="n"/>
      <c r="I350" s="2" t="n"/>
      <c r="J350" s="2" t="n"/>
      <c r="K350" s="2">
        <f>IF(COUNTA(G350:J350)&lt;4,"",ROUND(AVERAGE(G350:J350),1))</f>
        <v/>
      </c>
      <c r="L350" s="2" t="n"/>
      <c r="M350" s="2" t="n"/>
      <c r="N350" s="2" t="n"/>
      <c r="O350" s="2" t="n"/>
    </row>
    <row r="351">
      <c r="A351" s="2" t="n"/>
      <c r="B351" s="2" t="n"/>
      <c r="C351" s="2" t="n"/>
      <c r="D351" s="2" t="n"/>
      <c r="E351" s="2" t="n"/>
      <c r="F351" s="2" t="n"/>
      <c r="G351" s="2" t="n"/>
      <c r="H351" s="2" t="n"/>
      <c r="I351" s="2" t="n"/>
      <c r="J351" s="2" t="n"/>
      <c r="K351" s="2">
        <f>IF(COUNTA(G351:J351)&lt;4,"",ROUND(AVERAGE(G351:J351),1))</f>
        <v/>
      </c>
      <c r="L351" s="2" t="n"/>
      <c r="M351" s="2" t="n"/>
      <c r="N351" s="2" t="n"/>
      <c r="O351" s="2" t="n"/>
    </row>
    <row r="352">
      <c r="A352" s="2" t="n"/>
      <c r="B352" s="2" t="n"/>
      <c r="C352" s="2" t="n"/>
      <c r="D352" s="2" t="n"/>
      <c r="E352" s="2" t="n"/>
      <c r="F352" s="2" t="n"/>
      <c r="G352" s="2" t="n"/>
      <c r="H352" s="2" t="n"/>
      <c r="I352" s="2" t="n"/>
      <c r="J352" s="2" t="n"/>
      <c r="K352" s="2">
        <f>IF(COUNTA(G352:J352)&lt;4,"",ROUND(AVERAGE(G352:J352),1))</f>
        <v/>
      </c>
      <c r="L352" s="2" t="n"/>
      <c r="M352" s="2" t="n"/>
      <c r="N352" s="2" t="n"/>
      <c r="O352" s="2" t="n"/>
    </row>
    <row r="353">
      <c r="A353" s="2" t="n"/>
      <c r="B353" s="2" t="n"/>
      <c r="C353" s="2" t="n"/>
      <c r="D353" s="2" t="n"/>
      <c r="E353" s="2" t="n"/>
      <c r="F353" s="2" t="n"/>
      <c r="G353" s="2" t="n"/>
      <c r="H353" s="2" t="n"/>
      <c r="I353" s="2" t="n"/>
      <c r="J353" s="2" t="n"/>
      <c r="K353" s="2">
        <f>IF(COUNTA(G353:J353)&lt;4,"",ROUND(AVERAGE(G353:J353),1))</f>
        <v/>
      </c>
      <c r="L353" s="2" t="n"/>
      <c r="M353" s="2" t="n"/>
      <c r="N353" s="2" t="n"/>
      <c r="O353" s="2" t="n"/>
    </row>
    <row r="354">
      <c r="A354" s="2" t="n"/>
      <c r="B354" s="2" t="n"/>
      <c r="C354" s="2" t="n"/>
      <c r="D354" s="2" t="n"/>
      <c r="E354" s="2" t="n"/>
      <c r="F354" s="2" t="n"/>
      <c r="G354" s="2" t="n"/>
      <c r="H354" s="2" t="n"/>
      <c r="I354" s="2" t="n"/>
      <c r="J354" s="2" t="n"/>
      <c r="K354" s="2">
        <f>IF(COUNTA(G354:J354)&lt;4,"",ROUND(AVERAGE(G354:J354),1))</f>
        <v/>
      </c>
      <c r="L354" s="2" t="n"/>
      <c r="M354" s="2" t="n"/>
      <c r="N354" s="2" t="n"/>
      <c r="O354" s="2" t="n"/>
    </row>
    <row r="355">
      <c r="A355" s="2" t="n"/>
      <c r="B355" s="2" t="n"/>
      <c r="C355" s="2" t="n"/>
      <c r="D355" s="2" t="n"/>
      <c r="E355" s="2" t="n"/>
      <c r="F355" s="2" t="n"/>
      <c r="G355" s="2" t="n"/>
      <c r="H355" s="2" t="n"/>
      <c r="I355" s="2" t="n"/>
      <c r="J355" s="2" t="n"/>
      <c r="K355" s="2">
        <f>IF(COUNTA(G355:J355)&lt;4,"",ROUND(AVERAGE(G355:J355),1))</f>
        <v/>
      </c>
      <c r="L355" s="2" t="n"/>
      <c r="M355" s="2" t="n"/>
      <c r="N355" s="2" t="n"/>
      <c r="O355" s="2" t="n"/>
    </row>
    <row r="356">
      <c r="A356" s="2" t="n"/>
      <c r="B356" s="2" t="n"/>
      <c r="C356" s="2" t="n"/>
      <c r="D356" s="2" t="n"/>
      <c r="E356" s="2" t="n"/>
      <c r="F356" s="2" t="n"/>
      <c r="G356" s="2" t="n"/>
      <c r="H356" s="2" t="n"/>
      <c r="I356" s="2" t="n"/>
      <c r="J356" s="2" t="n"/>
      <c r="K356" s="2">
        <f>IF(COUNTA(G356:J356)&lt;4,"",ROUND(AVERAGE(G356:J356),1))</f>
        <v/>
      </c>
      <c r="L356" s="2" t="n"/>
      <c r="M356" s="2" t="n"/>
      <c r="N356" s="2" t="n"/>
      <c r="O356" s="2" t="n"/>
    </row>
    <row r="357">
      <c r="A357" s="2" t="n"/>
      <c r="B357" s="2" t="n"/>
      <c r="C357" s="2" t="n"/>
      <c r="D357" s="2" t="n"/>
      <c r="E357" s="2" t="n"/>
      <c r="F357" s="2" t="n"/>
      <c r="G357" s="2" t="n"/>
      <c r="H357" s="2" t="n"/>
      <c r="I357" s="2" t="n"/>
      <c r="J357" s="2" t="n"/>
      <c r="K357" s="2">
        <f>IF(COUNTA(G357:J357)&lt;4,"",ROUND(AVERAGE(G357:J357),1))</f>
        <v/>
      </c>
      <c r="L357" s="2" t="n"/>
      <c r="M357" s="2" t="n"/>
      <c r="N357" s="2" t="n"/>
      <c r="O357" s="2" t="n"/>
    </row>
    <row r="358">
      <c r="A358" s="2" t="n"/>
      <c r="B358" s="2" t="n"/>
      <c r="C358" s="2" t="n"/>
      <c r="D358" s="2" t="n"/>
      <c r="E358" s="2" t="n"/>
      <c r="F358" s="2" t="n"/>
      <c r="G358" s="2" t="n"/>
      <c r="H358" s="2" t="n"/>
      <c r="I358" s="2" t="n"/>
      <c r="J358" s="2" t="n"/>
      <c r="K358" s="2">
        <f>IF(COUNTA(G358:J358)&lt;4,"",ROUND(AVERAGE(G358:J358),1))</f>
        <v/>
      </c>
      <c r="L358" s="2" t="n"/>
      <c r="M358" s="2" t="n"/>
      <c r="N358" s="2" t="n"/>
      <c r="O358" s="2" t="n"/>
    </row>
    <row r="359">
      <c r="A359" s="2" t="n"/>
      <c r="B359" s="2" t="n"/>
      <c r="C359" s="2" t="n"/>
      <c r="D359" s="2" t="n"/>
      <c r="E359" s="2" t="n"/>
      <c r="F359" s="2" t="n"/>
      <c r="G359" s="2" t="n"/>
      <c r="H359" s="2" t="n"/>
      <c r="I359" s="2" t="n"/>
      <c r="J359" s="2" t="n"/>
      <c r="K359" s="2">
        <f>IF(COUNTA(G359:J359)&lt;4,"",ROUND(AVERAGE(G359:J359),1))</f>
        <v/>
      </c>
      <c r="L359" s="2" t="n"/>
      <c r="M359" s="2" t="n"/>
      <c r="N359" s="2" t="n"/>
      <c r="O359" s="2" t="n"/>
    </row>
    <row r="360">
      <c r="A360" s="2" t="n"/>
      <c r="B360" s="2" t="n"/>
      <c r="C360" s="2" t="n"/>
      <c r="D360" s="2" t="n"/>
      <c r="E360" s="2" t="n"/>
      <c r="F360" s="2" t="n"/>
      <c r="G360" s="2" t="n"/>
      <c r="H360" s="2" t="n"/>
      <c r="I360" s="2" t="n"/>
      <c r="J360" s="2" t="n"/>
      <c r="K360" s="2">
        <f>IF(COUNTA(G360:J360)&lt;4,"",ROUND(AVERAGE(G360:J360),1))</f>
        <v/>
      </c>
      <c r="L360" s="2" t="n"/>
      <c r="M360" s="2" t="n"/>
      <c r="N360" s="2" t="n"/>
      <c r="O360" s="2" t="n"/>
    </row>
    <row r="361">
      <c r="A361" s="2" t="n"/>
      <c r="B361" s="2" t="n"/>
      <c r="C361" s="2" t="n"/>
      <c r="D361" s="2" t="n"/>
      <c r="E361" s="2" t="n"/>
      <c r="F361" s="2" t="n"/>
      <c r="G361" s="2" t="n"/>
      <c r="H361" s="2" t="n"/>
      <c r="I361" s="2" t="n"/>
      <c r="J361" s="2" t="n"/>
      <c r="K361" s="2">
        <f>IF(COUNTA(G361:J361)&lt;4,"",ROUND(AVERAGE(G361:J361),1))</f>
        <v/>
      </c>
      <c r="L361" s="2" t="n"/>
      <c r="M361" s="2" t="n"/>
      <c r="N361" s="2" t="n"/>
      <c r="O361" s="2" t="n"/>
    </row>
    <row r="362">
      <c r="A362" s="2" t="n"/>
      <c r="B362" s="2" t="n"/>
      <c r="C362" s="2" t="n"/>
      <c r="D362" s="2" t="n"/>
      <c r="E362" s="2" t="n"/>
      <c r="F362" s="2" t="n"/>
      <c r="G362" s="2" t="n"/>
      <c r="H362" s="2" t="n"/>
      <c r="I362" s="2" t="n"/>
      <c r="J362" s="2" t="n"/>
      <c r="K362" s="2">
        <f>IF(COUNTA(G362:J362)&lt;4,"",ROUND(AVERAGE(G362:J362),1))</f>
        <v/>
      </c>
      <c r="L362" s="2" t="n"/>
      <c r="M362" s="2" t="n"/>
      <c r="N362" s="2" t="n"/>
      <c r="O362" s="2" t="n"/>
    </row>
    <row r="363">
      <c r="A363" s="2" t="n"/>
      <c r="B363" s="2" t="n"/>
      <c r="C363" s="2" t="n"/>
      <c r="D363" s="2" t="n"/>
      <c r="E363" s="2" t="n"/>
      <c r="F363" s="2" t="n"/>
      <c r="G363" s="2" t="n"/>
      <c r="H363" s="2" t="n"/>
      <c r="I363" s="2" t="n"/>
      <c r="J363" s="2" t="n"/>
      <c r="K363" s="2">
        <f>IF(COUNTA(G363:J363)&lt;4,"",ROUND(AVERAGE(G363:J363),1))</f>
        <v/>
      </c>
      <c r="L363" s="2" t="n"/>
      <c r="M363" s="2" t="n"/>
      <c r="N363" s="2" t="n"/>
      <c r="O363" s="2" t="n"/>
    </row>
    <row r="364">
      <c r="A364" s="2" t="n"/>
      <c r="B364" s="2" t="n"/>
      <c r="C364" s="2" t="n"/>
      <c r="D364" s="2" t="n"/>
      <c r="E364" s="2" t="n"/>
      <c r="F364" s="2" t="n"/>
      <c r="G364" s="2" t="n"/>
      <c r="H364" s="2" t="n"/>
      <c r="I364" s="2" t="n"/>
      <c r="J364" s="2" t="n"/>
      <c r="K364" s="2">
        <f>IF(COUNTA(G364:J364)&lt;4,"",ROUND(AVERAGE(G364:J364),1))</f>
        <v/>
      </c>
      <c r="L364" s="2" t="n"/>
      <c r="M364" s="2" t="n"/>
      <c r="N364" s="2" t="n"/>
      <c r="O364" s="2" t="n"/>
    </row>
    <row r="365">
      <c r="A365" s="2" t="n"/>
      <c r="B365" s="2" t="n"/>
      <c r="C365" s="2" t="n"/>
      <c r="D365" s="2" t="n"/>
      <c r="E365" s="2" t="n"/>
      <c r="F365" s="2" t="n"/>
      <c r="G365" s="2" t="n"/>
      <c r="H365" s="2" t="n"/>
      <c r="I365" s="2" t="n"/>
      <c r="J365" s="2" t="n"/>
      <c r="K365" s="2">
        <f>IF(COUNTA(G365:J365)&lt;4,"",ROUND(AVERAGE(G365:J365),1))</f>
        <v/>
      </c>
      <c r="L365" s="2" t="n"/>
      <c r="M365" s="2" t="n"/>
      <c r="N365" s="2" t="n"/>
      <c r="O365" s="2" t="n"/>
    </row>
    <row r="366">
      <c r="A366" s="2" t="n"/>
      <c r="B366" s="2" t="n"/>
      <c r="C366" s="2" t="n"/>
      <c r="D366" s="2" t="n"/>
      <c r="E366" s="2" t="n"/>
      <c r="F366" s="2" t="n"/>
      <c r="G366" s="2" t="n"/>
      <c r="H366" s="2" t="n"/>
      <c r="I366" s="2" t="n"/>
      <c r="J366" s="2" t="n"/>
      <c r="K366" s="2">
        <f>IF(COUNTA(G366:J366)&lt;4,"",ROUND(AVERAGE(G366:J366),1))</f>
        <v/>
      </c>
      <c r="L366" s="2" t="n"/>
      <c r="M366" s="2" t="n"/>
      <c r="N366" s="2" t="n"/>
      <c r="O366" s="2" t="n"/>
    </row>
    <row r="367">
      <c r="A367" s="2" t="n"/>
      <c r="B367" s="2" t="n"/>
      <c r="C367" s="2" t="n"/>
      <c r="D367" s="2" t="n"/>
      <c r="E367" s="2" t="n"/>
      <c r="F367" s="2" t="n"/>
      <c r="G367" s="2" t="n"/>
      <c r="H367" s="2" t="n"/>
      <c r="I367" s="2" t="n"/>
      <c r="J367" s="2" t="n"/>
      <c r="K367" s="2">
        <f>IF(COUNTA(G367:J367)&lt;4,"",ROUND(AVERAGE(G367:J367),1))</f>
        <v/>
      </c>
      <c r="L367" s="2" t="n"/>
      <c r="M367" s="2" t="n"/>
      <c r="N367" s="2" t="n"/>
      <c r="O367" s="2" t="n"/>
    </row>
    <row r="368">
      <c r="A368" s="2" t="n"/>
      <c r="B368" s="2" t="n"/>
      <c r="C368" s="2" t="n"/>
      <c r="D368" s="2" t="n"/>
      <c r="E368" s="2" t="n"/>
      <c r="F368" s="2" t="n"/>
      <c r="G368" s="2" t="n"/>
      <c r="H368" s="2" t="n"/>
      <c r="I368" s="2" t="n"/>
      <c r="J368" s="2" t="n"/>
      <c r="K368" s="2">
        <f>IF(COUNTA(G368:J368)&lt;4,"",ROUND(AVERAGE(G368:J368),1))</f>
        <v/>
      </c>
      <c r="L368" s="2" t="n"/>
      <c r="M368" s="2" t="n"/>
      <c r="N368" s="2" t="n"/>
      <c r="O368" s="2" t="n"/>
    </row>
    <row r="369">
      <c r="A369" s="2" t="n"/>
      <c r="B369" s="2" t="n"/>
      <c r="C369" s="2" t="n"/>
      <c r="D369" s="2" t="n"/>
      <c r="E369" s="2" t="n"/>
      <c r="F369" s="2" t="n"/>
      <c r="G369" s="2" t="n"/>
      <c r="H369" s="2" t="n"/>
      <c r="I369" s="2" t="n"/>
      <c r="J369" s="2" t="n"/>
      <c r="K369" s="2">
        <f>IF(COUNTA(G369:J369)&lt;4,"",ROUND(AVERAGE(G369:J369),1))</f>
        <v/>
      </c>
      <c r="L369" s="2" t="n"/>
      <c r="M369" s="2" t="n"/>
      <c r="N369" s="2" t="n"/>
      <c r="O369" s="2" t="n"/>
    </row>
    <row r="370">
      <c r="A370" s="2" t="n"/>
      <c r="B370" s="2" t="n"/>
      <c r="C370" s="2" t="n"/>
      <c r="D370" s="2" t="n"/>
      <c r="E370" s="2" t="n"/>
      <c r="F370" s="2" t="n"/>
      <c r="G370" s="2" t="n"/>
      <c r="H370" s="2" t="n"/>
      <c r="I370" s="2" t="n"/>
      <c r="J370" s="2" t="n"/>
      <c r="K370" s="2">
        <f>IF(COUNTA(G370:J370)&lt;4,"",ROUND(AVERAGE(G370:J370),1))</f>
        <v/>
      </c>
      <c r="L370" s="2" t="n"/>
      <c r="M370" s="2" t="n"/>
      <c r="N370" s="2" t="n"/>
      <c r="O370" s="2" t="n"/>
    </row>
    <row r="371">
      <c r="A371" s="2" t="n"/>
      <c r="B371" s="2" t="n"/>
      <c r="C371" s="2" t="n"/>
      <c r="D371" s="2" t="n"/>
      <c r="E371" s="2" t="n"/>
      <c r="F371" s="2" t="n"/>
      <c r="G371" s="2" t="n"/>
      <c r="H371" s="2" t="n"/>
      <c r="I371" s="2" t="n"/>
      <c r="J371" s="2" t="n"/>
      <c r="K371" s="2">
        <f>IF(COUNTA(G371:J371)&lt;4,"",ROUND(AVERAGE(G371:J371),1))</f>
        <v/>
      </c>
      <c r="L371" s="2" t="n"/>
      <c r="M371" s="2" t="n"/>
      <c r="N371" s="2" t="n"/>
      <c r="O371" s="2" t="n"/>
    </row>
    <row r="372">
      <c r="A372" s="2" t="n"/>
      <c r="B372" s="2" t="n"/>
      <c r="C372" s="2" t="n"/>
      <c r="D372" s="2" t="n"/>
      <c r="E372" s="2" t="n"/>
      <c r="F372" s="2" t="n"/>
      <c r="G372" s="2" t="n"/>
      <c r="H372" s="2" t="n"/>
      <c r="I372" s="2" t="n"/>
      <c r="J372" s="2" t="n"/>
      <c r="K372" s="2">
        <f>IF(COUNTA(G372:J372)&lt;4,"",ROUND(AVERAGE(G372:J372),1))</f>
        <v/>
      </c>
      <c r="L372" s="2" t="n"/>
      <c r="M372" s="2" t="n"/>
      <c r="N372" s="2" t="n"/>
      <c r="O372" s="2" t="n"/>
    </row>
    <row r="373">
      <c r="A373" s="2" t="n"/>
      <c r="B373" s="2" t="n"/>
      <c r="C373" s="2" t="n"/>
      <c r="D373" s="2" t="n"/>
      <c r="E373" s="2" t="n"/>
      <c r="F373" s="2" t="n"/>
      <c r="G373" s="2" t="n"/>
      <c r="H373" s="2" t="n"/>
      <c r="I373" s="2" t="n"/>
      <c r="J373" s="2" t="n"/>
      <c r="K373" s="2">
        <f>IF(COUNTA(G373:J373)&lt;4,"",ROUND(AVERAGE(G373:J373),1))</f>
        <v/>
      </c>
      <c r="L373" s="2" t="n"/>
      <c r="M373" s="2" t="n"/>
      <c r="N373" s="2" t="n"/>
      <c r="O373" s="2" t="n"/>
    </row>
    <row r="374">
      <c r="A374" s="2" t="n"/>
      <c r="B374" s="2" t="n"/>
      <c r="C374" s="2" t="n"/>
      <c r="D374" s="2" t="n"/>
      <c r="E374" s="2" t="n"/>
      <c r="F374" s="2" t="n"/>
      <c r="G374" s="2" t="n"/>
      <c r="H374" s="2" t="n"/>
      <c r="I374" s="2" t="n"/>
      <c r="J374" s="2" t="n"/>
      <c r="K374" s="2">
        <f>IF(COUNTA(G374:J374)&lt;4,"",ROUND(AVERAGE(G374:J374),1))</f>
        <v/>
      </c>
      <c r="L374" s="2" t="n"/>
      <c r="M374" s="2" t="n"/>
      <c r="N374" s="2" t="n"/>
      <c r="O374" s="2" t="n"/>
    </row>
    <row r="375">
      <c r="A375" s="2" t="n"/>
      <c r="B375" s="2" t="n"/>
      <c r="C375" s="2" t="n"/>
      <c r="D375" s="2" t="n"/>
      <c r="E375" s="2" t="n"/>
      <c r="F375" s="2" t="n"/>
      <c r="G375" s="2" t="n"/>
      <c r="H375" s="2" t="n"/>
      <c r="I375" s="2" t="n"/>
      <c r="J375" s="2" t="n"/>
      <c r="K375" s="2">
        <f>IF(COUNTA(G375:J375)&lt;4,"",ROUND(AVERAGE(G375:J375),1))</f>
        <v/>
      </c>
      <c r="L375" s="2" t="n"/>
      <c r="M375" s="2" t="n"/>
      <c r="N375" s="2" t="n"/>
      <c r="O375" s="2" t="n"/>
    </row>
    <row r="376">
      <c r="A376" s="2" t="n"/>
      <c r="B376" s="2" t="n"/>
      <c r="C376" s="2" t="n"/>
      <c r="D376" s="2" t="n"/>
      <c r="E376" s="2" t="n"/>
      <c r="F376" s="2" t="n"/>
      <c r="G376" s="2" t="n"/>
      <c r="H376" s="2" t="n"/>
      <c r="I376" s="2" t="n"/>
      <c r="J376" s="2" t="n"/>
      <c r="K376" s="2">
        <f>IF(COUNTA(G376:J376)&lt;4,"",ROUND(AVERAGE(G376:J376),1))</f>
        <v/>
      </c>
      <c r="L376" s="2" t="n"/>
      <c r="M376" s="2" t="n"/>
      <c r="N376" s="2" t="n"/>
      <c r="O376" s="2" t="n"/>
    </row>
    <row r="377">
      <c r="A377" s="2" t="n"/>
      <c r="B377" s="2" t="n"/>
      <c r="C377" s="2" t="n"/>
      <c r="D377" s="2" t="n"/>
      <c r="E377" s="2" t="n"/>
      <c r="F377" s="2" t="n"/>
      <c r="G377" s="2" t="n"/>
      <c r="H377" s="2" t="n"/>
      <c r="I377" s="2" t="n"/>
      <c r="J377" s="2" t="n"/>
      <c r="K377" s="2">
        <f>IF(COUNTA(G377:J377)&lt;4,"",ROUND(AVERAGE(G377:J377),1))</f>
        <v/>
      </c>
      <c r="L377" s="2" t="n"/>
      <c r="M377" s="2" t="n"/>
      <c r="N377" s="2" t="n"/>
      <c r="O377" s="2" t="n"/>
    </row>
    <row r="378">
      <c r="A378" s="2" t="n"/>
      <c r="B378" s="2" t="n"/>
      <c r="C378" s="2" t="n"/>
      <c r="D378" s="2" t="n"/>
      <c r="E378" s="2" t="n"/>
      <c r="F378" s="2" t="n"/>
      <c r="G378" s="2" t="n"/>
      <c r="H378" s="2" t="n"/>
      <c r="I378" s="2" t="n"/>
      <c r="J378" s="2" t="n"/>
      <c r="K378" s="2">
        <f>IF(COUNTA(G378:J378)&lt;4,"",ROUND(AVERAGE(G378:J378),1))</f>
        <v/>
      </c>
      <c r="L378" s="2" t="n"/>
      <c r="M378" s="2" t="n"/>
      <c r="N378" s="2" t="n"/>
      <c r="O378" s="2" t="n"/>
    </row>
    <row r="379">
      <c r="A379" s="2" t="n"/>
      <c r="B379" s="2" t="n"/>
      <c r="C379" s="2" t="n"/>
      <c r="D379" s="2" t="n"/>
      <c r="E379" s="2" t="n"/>
      <c r="F379" s="2" t="n"/>
      <c r="G379" s="2" t="n"/>
      <c r="H379" s="2" t="n"/>
      <c r="I379" s="2" t="n"/>
      <c r="J379" s="2" t="n"/>
      <c r="K379" s="2">
        <f>IF(COUNTA(G379:J379)&lt;4,"",ROUND(AVERAGE(G379:J379),1))</f>
        <v/>
      </c>
      <c r="L379" s="2" t="n"/>
      <c r="M379" s="2" t="n"/>
      <c r="N379" s="2" t="n"/>
      <c r="O379" s="2" t="n"/>
    </row>
    <row r="380">
      <c r="A380" s="2" t="n"/>
      <c r="B380" s="2" t="n"/>
      <c r="C380" s="2" t="n"/>
      <c r="D380" s="2" t="n"/>
      <c r="E380" s="2" t="n"/>
      <c r="F380" s="2" t="n"/>
      <c r="G380" s="2" t="n"/>
      <c r="H380" s="2" t="n"/>
      <c r="I380" s="2" t="n"/>
      <c r="J380" s="2" t="n"/>
      <c r="K380" s="2">
        <f>IF(COUNTA(G380:J380)&lt;4,"",ROUND(AVERAGE(G380:J380),1))</f>
        <v/>
      </c>
      <c r="L380" s="2" t="n"/>
      <c r="M380" s="2" t="n"/>
      <c r="N380" s="2" t="n"/>
      <c r="O380" s="2" t="n"/>
    </row>
    <row r="381">
      <c r="A381" s="2" t="n"/>
      <c r="B381" s="2" t="n"/>
      <c r="C381" s="2" t="n"/>
      <c r="D381" s="2" t="n"/>
      <c r="E381" s="2" t="n"/>
      <c r="F381" s="2" t="n"/>
      <c r="G381" s="2" t="n"/>
      <c r="H381" s="2" t="n"/>
      <c r="I381" s="2" t="n"/>
      <c r="J381" s="2" t="n"/>
      <c r="K381" s="2">
        <f>IF(COUNTA(G381:J381)&lt;4,"",ROUND(AVERAGE(G381:J381),1))</f>
        <v/>
      </c>
      <c r="L381" s="2" t="n"/>
      <c r="M381" s="2" t="n"/>
      <c r="N381" s="2" t="n"/>
      <c r="O381" s="2" t="n"/>
    </row>
    <row r="382">
      <c r="A382" s="2" t="n"/>
      <c r="B382" s="2" t="n"/>
      <c r="C382" s="2" t="n"/>
      <c r="D382" s="2" t="n"/>
      <c r="E382" s="2" t="n"/>
      <c r="F382" s="2" t="n"/>
      <c r="G382" s="2" t="n"/>
      <c r="H382" s="2" t="n"/>
      <c r="I382" s="2" t="n"/>
      <c r="J382" s="2" t="n"/>
      <c r="K382" s="2">
        <f>IF(COUNTA(G382:J382)&lt;4,"",ROUND(AVERAGE(G382:J382),1))</f>
        <v/>
      </c>
      <c r="L382" s="2" t="n"/>
      <c r="M382" s="2" t="n"/>
      <c r="N382" s="2" t="n"/>
      <c r="O382" s="2" t="n"/>
    </row>
    <row r="383">
      <c r="A383" s="2" t="n"/>
      <c r="B383" s="2" t="n"/>
      <c r="C383" s="2" t="n"/>
      <c r="D383" s="2" t="n"/>
      <c r="E383" s="2" t="n"/>
      <c r="F383" s="2" t="n"/>
      <c r="G383" s="2" t="n"/>
      <c r="H383" s="2" t="n"/>
      <c r="I383" s="2" t="n"/>
      <c r="J383" s="2" t="n"/>
      <c r="K383" s="2">
        <f>IF(COUNTA(G383:J383)&lt;4,"",ROUND(AVERAGE(G383:J383),1))</f>
        <v/>
      </c>
      <c r="L383" s="2" t="n"/>
      <c r="M383" s="2" t="n"/>
      <c r="N383" s="2" t="n"/>
      <c r="O383" s="2" t="n"/>
    </row>
    <row r="384">
      <c r="A384" s="2" t="n"/>
      <c r="B384" s="2" t="n"/>
      <c r="C384" s="2" t="n"/>
      <c r="D384" s="2" t="n"/>
      <c r="E384" s="2" t="n"/>
      <c r="F384" s="2" t="n"/>
      <c r="G384" s="2" t="n"/>
      <c r="H384" s="2" t="n"/>
      <c r="I384" s="2" t="n"/>
      <c r="J384" s="2" t="n"/>
      <c r="K384" s="2">
        <f>IF(COUNTA(G384:J384)&lt;4,"",ROUND(AVERAGE(G384:J384),1))</f>
        <v/>
      </c>
      <c r="L384" s="2" t="n"/>
      <c r="M384" s="2" t="n"/>
      <c r="N384" s="2" t="n"/>
      <c r="O384" s="2" t="n"/>
    </row>
    <row r="385">
      <c r="A385" s="2" t="n"/>
      <c r="B385" s="2" t="n"/>
      <c r="C385" s="2" t="n"/>
      <c r="D385" s="2" t="n"/>
      <c r="E385" s="2" t="n"/>
      <c r="F385" s="2" t="n"/>
      <c r="G385" s="2" t="n"/>
      <c r="H385" s="2" t="n"/>
      <c r="I385" s="2" t="n"/>
      <c r="J385" s="2" t="n"/>
      <c r="K385" s="2">
        <f>IF(COUNTA(G385:J385)&lt;4,"",ROUND(AVERAGE(G385:J385),1))</f>
        <v/>
      </c>
      <c r="L385" s="2" t="n"/>
      <c r="M385" s="2" t="n"/>
      <c r="N385" s="2" t="n"/>
      <c r="O385" s="2" t="n"/>
    </row>
    <row r="386">
      <c r="A386" s="2" t="n"/>
      <c r="B386" s="2" t="n"/>
      <c r="C386" s="2" t="n"/>
      <c r="D386" s="2" t="n"/>
      <c r="E386" s="2" t="n"/>
      <c r="F386" s="2" t="n"/>
      <c r="G386" s="2" t="n"/>
      <c r="H386" s="2" t="n"/>
      <c r="I386" s="2" t="n"/>
      <c r="J386" s="2" t="n"/>
      <c r="K386" s="2">
        <f>IF(COUNTA(G386:J386)&lt;4,"",ROUND(AVERAGE(G386:J386),1))</f>
        <v/>
      </c>
      <c r="L386" s="2" t="n"/>
      <c r="M386" s="2" t="n"/>
      <c r="N386" s="2" t="n"/>
      <c r="O386" s="2" t="n"/>
    </row>
    <row r="387">
      <c r="A387" s="2" t="n"/>
      <c r="B387" s="2" t="n"/>
      <c r="C387" s="2" t="n"/>
      <c r="D387" s="2" t="n"/>
      <c r="E387" s="2" t="n"/>
      <c r="F387" s="2" t="n"/>
      <c r="G387" s="2" t="n"/>
      <c r="H387" s="2" t="n"/>
      <c r="I387" s="2" t="n"/>
      <c r="J387" s="2" t="n"/>
      <c r="K387" s="2">
        <f>IF(COUNTA(G387:J387)&lt;4,"",ROUND(AVERAGE(G387:J387),1))</f>
        <v/>
      </c>
      <c r="L387" s="2" t="n"/>
      <c r="M387" s="2" t="n"/>
      <c r="N387" s="2" t="n"/>
      <c r="O387" s="2" t="n"/>
    </row>
    <row r="388">
      <c r="A388" s="2" t="n"/>
      <c r="B388" s="2" t="n"/>
      <c r="C388" s="2" t="n"/>
      <c r="D388" s="2" t="n"/>
      <c r="E388" s="2" t="n"/>
      <c r="F388" s="2" t="n"/>
      <c r="G388" s="2" t="n"/>
      <c r="H388" s="2" t="n"/>
      <c r="I388" s="2" t="n"/>
      <c r="J388" s="2" t="n"/>
      <c r="K388" s="2">
        <f>IF(COUNTA(G388:J388)&lt;4,"",ROUND(AVERAGE(G388:J388),1))</f>
        <v/>
      </c>
      <c r="L388" s="2" t="n"/>
      <c r="M388" s="2" t="n"/>
      <c r="N388" s="2" t="n"/>
      <c r="O388" s="2" t="n"/>
    </row>
    <row r="389">
      <c r="A389" s="2" t="n"/>
      <c r="B389" s="2" t="n"/>
      <c r="C389" s="2" t="n"/>
      <c r="D389" s="2" t="n"/>
      <c r="E389" s="2" t="n"/>
      <c r="F389" s="2" t="n"/>
      <c r="G389" s="2" t="n"/>
      <c r="H389" s="2" t="n"/>
      <c r="I389" s="2" t="n"/>
      <c r="J389" s="2" t="n"/>
      <c r="K389" s="2">
        <f>IF(COUNTA(G389:J389)&lt;4,"",ROUND(AVERAGE(G389:J389),1))</f>
        <v/>
      </c>
      <c r="L389" s="2" t="n"/>
      <c r="M389" s="2" t="n"/>
      <c r="N389" s="2" t="n"/>
      <c r="O389" s="2" t="n"/>
    </row>
    <row r="390">
      <c r="A390" s="2" t="n"/>
      <c r="B390" s="2" t="n"/>
      <c r="C390" s="2" t="n"/>
      <c r="D390" s="2" t="n"/>
      <c r="E390" s="2" t="n"/>
      <c r="F390" s="2" t="n"/>
      <c r="G390" s="2" t="n"/>
      <c r="H390" s="2" t="n"/>
      <c r="I390" s="2" t="n"/>
      <c r="J390" s="2" t="n"/>
      <c r="K390" s="2">
        <f>IF(COUNTA(G390:J390)&lt;4,"",ROUND(AVERAGE(G390:J390),1))</f>
        <v/>
      </c>
      <c r="L390" s="2" t="n"/>
      <c r="M390" s="2" t="n"/>
      <c r="N390" s="2" t="n"/>
      <c r="O390" s="2" t="n"/>
    </row>
    <row r="391">
      <c r="A391" s="2" t="n"/>
      <c r="B391" s="2" t="n"/>
      <c r="C391" s="2" t="n"/>
      <c r="D391" s="2" t="n"/>
      <c r="E391" s="2" t="n"/>
      <c r="F391" s="2" t="n"/>
      <c r="G391" s="2" t="n"/>
      <c r="H391" s="2" t="n"/>
      <c r="I391" s="2" t="n"/>
      <c r="J391" s="2" t="n"/>
      <c r="K391" s="2">
        <f>IF(COUNTA(G391:J391)&lt;4,"",ROUND(AVERAGE(G391:J391),1))</f>
        <v/>
      </c>
      <c r="L391" s="2" t="n"/>
      <c r="M391" s="2" t="n"/>
      <c r="N391" s="2" t="n"/>
      <c r="O391" s="2" t="n"/>
    </row>
    <row r="392">
      <c r="A392" s="2" t="n"/>
      <c r="B392" s="2" t="n"/>
      <c r="C392" s="2" t="n"/>
      <c r="D392" s="2" t="n"/>
      <c r="E392" s="2" t="n"/>
      <c r="F392" s="2" t="n"/>
      <c r="G392" s="2" t="n"/>
      <c r="H392" s="2" t="n"/>
      <c r="I392" s="2" t="n"/>
      <c r="J392" s="2" t="n"/>
      <c r="K392" s="2">
        <f>IF(COUNTA(G392:J392)&lt;4,"",ROUND(AVERAGE(G392:J392),1))</f>
        <v/>
      </c>
      <c r="L392" s="2" t="n"/>
      <c r="M392" s="2" t="n"/>
      <c r="N392" s="2" t="n"/>
      <c r="O392" s="2" t="n"/>
    </row>
    <row r="393">
      <c r="A393" s="2" t="n"/>
      <c r="B393" s="2" t="n"/>
      <c r="C393" s="2" t="n"/>
      <c r="D393" s="2" t="n"/>
      <c r="E393" s="2" t="n"/>
      <c r="F393" s="2" t="n"/>
      <c r="G393" s="2" t="n"/>
      <c r="H393" s="2" t="n"/>
      <c r="I393" s="2" t="n"/>
      <c r="J393" s="2" t="n"/>
      <c r="K393" s="2">
        <f>IF(COUNTA(G393:J393)&lt;4,"",ROUND(AVERAGE(G393:J393),1))</f>
        <v/>
      </c>
      <c r="L393" s="2" t="n"/>
      <c r="M393" s="2" t="n"/>
      <c r="N393" s="2" t="n"/>
      <c r="O393" s="2" t="n"/>
    </row>
    <row r="394">
      <c r="A394" s="2" t="n"/>
      <c r="B394" s="2" t="n"/>
      <c r="C394" s="2" t="n"/>
      <c r="D394" s="2" t="n"/>
      <c r="E394" s="2" t="n"/>
      <c r="F394" s="2" t="n"/>
      <c r="G394" s="2" t="n"/>
      <c r="H394" s="2" t="n"/>
      <c r="I394" s="2" t="n"/>
      <c r="J394" s="2" t="n"/>
      <c r="K394" s="2">
        <f>IF(COUNTA(G394:J394)&lt;4,"",ROUND(AVERAGE(G394:J394),1))</f>
        <v/>
      </c>
      <c r="L394" s="2" t="n"/>
      <c r="M394" s="2" t="n"/>
      <c r="N394" s="2" t="n"/>
      <c r="O394" s="2" t="n"/>
    </row>
    <row r="395">
      <c r="A395" s="2" t="n"/>
      <c r="B395" s="2" t="n"/>
      <c r="C395" s="2" t="n"/>
      <c r="D395" s="2" t="n"/>
      <c r="E395" s="2" t="n"/>
      <c r="F395" s="2" t="n"/>
      <c r="G395" s="2" t="n"/>
      <c r="H395" s="2" t="n"/>
      <c r="I395" s="2" t="n"/>
      <c r="J395" s="2" t="n"/>
      <c r="K395" s="2">
        <f>IF(COUNTA(G395:J395)&lt;4,"",ROUND(AVERAGE(G395:J395),1))</f>
        <v/>
      </c>
      <c r="L395" s="2" t="n"/>
      <c r="M395" s="2" t="n"/>
      <c r="N395" s="2" t="n"/>
      <c r="O395" s="2" t="n"/>
    </row>
    <row r="396">
      <c r="A396" s="2" t="n"/>
      <c r="B396" s="2" t="n"/>
      <c r="C396" s="2" t="n"/>
      <c r="D396" s="2" t="n"/>
      <c r="E396" s="2" t="n"/>
      <c r="F396" s="2" t="n"/>
      <c r="G396" s="2" t="n"/>
      <c r="H396" s="2" t="n"/>
      <c r="I396" s="2" t="n"/>
      <c r="J396" s="2" t="n"/>
      <c r="K396" s="2">
        <f>IF(COUNTA(G396:J396)&lt;4,"",ROUND(AVERAGE(G396:J396),1))</f>
        <v/>
      </c>
      <c r="L396" s="2" t="n"/>
      <c r="M396" s="2" t="n"/>
      <c r="N396" s="2" t="n"/>
      <c r="O396" s="2" t="n"/>
    </row>
    <row r="397">
      <c r="A397" s="2" t="n"/>
      <c r="B397" s="2" t="n"/>
      <c r="C397" s="2" t="n"/>
      <c r="D397" s="2" t="n"/>
      <c r="E397" s="2" t="n"/>
      <c r="F397" s="2" t="n"/>
      <c r="G397" s="2" t="n"/>
      <c r="H397" s="2" t="n"/>
      <c r="I397" s="2" t="n"/>
      <c r="J397" s="2" t="n"/>
      <c r="K397" s="2">
        <f>IF(COUNTA(G397:J397)&lt;4,"",ROUND(AVERAGE(G397:J397),1))</f>
        <v/>
      </c>
      <c r="L397" s="2" t="n"/>
      <c r="M397" s="2" t="n"/>
      <c r="N397" s="2" t="n"/>
      <c r="O397" s="2" t="n"/>
    </row>
    <row r="398">
      <c r="A398" s="2" t="n"/>
      <c r="B398" s="2" t="n"/>
      <c r="C398" s="2" t="n"/>
      <c r="D398" s="2" t="n"/>
      <c r="E398" s="2" t="n"/>
      <c r="F398" s="2" t="n"/>
      <c r="G398" s="2" t="n"/>
      <c r="H398" s="2" t="n"/>
      <c r="I398" s="2" t="n"/>
      <c r="J398" s="2" t="n"/>
      <c r="K398" s="2">
        <f>IF(COUNTA(G398:J398)&lt;4,"",ROUND(AVERAGE(G398:J398),1))</f>
        <v/>
      </c>
      <c r="L398" s="2" t="n"/>
      <c r="M398" s="2" t="n"/>
      <c r="N398" s="2" t="n"/>
      <c r="O398" s="2" t="n"/>
    </row>
    <row r="399">
      <c r="A399" s="2" t="n"/>
      <c r="B399" s="2" t="n"/>
      <c r="C399" s="2" t="n"/>
      <c r="D399" s="2" t="n"/>
      <c r="E399" s="2" t="n"/>
      <c r="F399" s="2" t="n"/>
      <c r="G399" s="2" t="n"/>
      <c r="H399" s="2" t="n"/>
      <c r="I399" s="2" t="n"/>
      <c r="J399" s="2" t="n"/>
      <c r="K399" s="2">
        <f>IF(COUNTA(G399:J399)&lt;4,"",ROUND(AVERAGE(G399:J399),1))</f>
        <v/>
      </c>
      <c r="L399" s="2" t="n"/>
      <c r="M399" s="2" t="n"/>
      <c r="N399" s="2" t="n"/>
      <c r="O399" s="2" t="n"/>
    </row>
    <row r="400">
      <c r="A400" s="2" t="n"/>
      <c r="B400" s="2" t="n"/>
      <c r="C400" s="2" t="n"/>
      <c r="D400" s="2" t="n"/>
      <c r="E400" s="2" t="n"/>
      <c r="F400" s="2" t="n"/>
      <c r="G400" s="2" t="n"/>
      <c r="H400" s="2" t="n"/>
      <c r="I400" s="2" t="n"/>
      <c r="J400" s="2" t="n"/>
      <c r="K400" s="2">
        <f>IF(COUNTA(G400:J400)&lt;4,"",ROUND(AVERAGE(G400:J400),1))</f>
        <v/>
      </c>
      <c r="L400" s="2" t="n"/>
      <c r="M400" s="2" t="n"/>
      <c r="N400" s="2" t="n"/>
      <c r="O400" s="2" t="n"/>
    </row>
    <row r="401">
      <c r="A401" s="2" t="n"/>
      <c r="B401" s="2" t="n"/>
      <c r="C401" s="2" t="n"/>
      <c r="D401" s="2" t="n"/>
      <c r="E401" s="2" t="n"/>
      <c r="F401" s="2" t="n"/>
      <c r="G401" s="2" t="n"/>
      <c r="H401" s="2" t="n"/>
      <c r="I401" s="2" t="n"/>
      <c r="J401" s="2" t="n"/>
      <c r="K401" s="2">
        <f>IF(COUNTA(G401:J401)&lt;4,"",ROUND(AVERAGE(G401:J401),1))</f>
        <v/>
      </c>
      <c r="L401" s="2" t="n"/>
      <c r="M401" s="2" t="n"/>
      <c r="N401" s="2" t="n"/>
      <c r="O401" s="2" t="n"/>
    </row>
    <row r="402">
      <c r="A402" s="2" t="n"/>
      <c r="B402" s="2" t="n"/>
      <c r="C402" s="2" t="n"/>
      <c r="D402" s="2" t="n"/>
      <c r="E402" s="2" t="n"/>
      <c r="F402" s="2" t="n"/>
      <c r="G402" s="2" t="n"/>
      <c r="H402" s="2" t="n"/>
      <c r="I402" s="2" t="n"/>
      <c r="J402" s="2" t="n"/>
      <c r="K402" s="2">
        <f>IF(COUNTA(G402:J402)&lt;4,"",ROUND(AVERAGE(G402:J402),1))</f>
        <v/>
      </c>
      <c r="L402" s="2" t="n"/>
      <c r="M402" s="2" t="n"/>
      <c r="N402" s="2" t="n"/>
      <c r="O402" s="2" t="n"/>
    </row>
    <row r="403">
      <c r="A403" s="2" t="n"/>
      <c r="B403" s="2" t="n"/>
      <c r="C403" s="2" t="n"/>
      <c r="D403" s="2" t="n"/>
      <c r="E403" s="2" t="n"/>
      <c r="F403" s="2" t="n"/>
      <c r="G403" s="2" t="n"/>
      <c r="H403" s="2" t="n"/>
      <c r="I403" s="2" t="n"/>
      <c r="J403" s="2" t="n"/>
      <c r="K403" s="2">
        <f>IF(COUNTA(G403:J403)&lt;4,"",ROUND(AVERAGE(G403:J403),1))</f>
        <v/>
      </c>
      <c r="L403" s="2" t="n"/>
      <c r="M403" s="2" t="n"/>
      <c r="N403" s="2" t="n"/>
      <c r="O403" s="2" t="n"/>
    </row>
    <row r="404">
      <c r="A404" s="2" t="n"/>
      <c r="B404" s="2" t="n"/>
      <c r="C404" s="2" t="n"/>
      <c r="D404" s="2" t="n"/>
      <c r="E404" s="2" t="n"/>
      <c r="F404" s="2" t="n"/>
      <c r="G404" s="2" t="n"/>
      <c r="H404" s="2" t="n"/>
      <c r="I404" s="2" t="n"/>
      <c r="J404" s="2" t="n"/>
      <c r="K404" s="2">
        <f>IF(COUNTA(G404:J404)&lt;4,"",ROUND(AVERAGE(G404:J404),1))</f>
        <v/>
      </c>
      <c r="L404" s="2" t="n"/>
      <c r="M404" s="2" t="n"/>
      <c r="N404" s="2" t="n"/>
      <c r="O404" s="2" t="n"/>
    </row>
    <row r="405">
      <c r="A405" s="2" t="n"/>
      <c r="B405" s="2" t="n"/>
      <c r="C405" s="2" t="n"/>
      <c r="D405" s="2" t="n"/>
      <c r="E405" s="2" t="n"/>
      <c r="F405" s="2" t="n"/>
      <c r="G405" s="2" t="n"/>
      <c r="H405" s="2" t="n"/>
      <c r="I405" s="2" t="n"/>
      <c r="J405" s="2" t="n"/>
      <c r="K405" s="2">
        <f>IF(COUNTA(G405:J405)&lt;4,"",ROUND(AVERAGE(G405:J405),1))</f>
        <v/>
      </c>
      <c r="L405" s="2" t="n"/>
      <c r="M405" s="2" t="n"/>
      <c r="N405" s="2" t="n"/>
      <c r="O405" s="2" t="n"/>
    </row>
    <row r="406">
      <c r="A406" s="2" t="n"/>
      <c r="B406" s="2" t="n"/>
      <c r="C406" s="2" t="n"/>
      <c r="D406" s="2" t="n"/>
      <c r="E406" s="2" t="n"/>
      <c r="F406" s="2" t="n"/>
      <c r="G406" s="2" t="n"/>
      <c r="H406" s="2" t="n"/>
      <c r="I406" s="2" t="n"/>
      <c r="J406" s="2" t="n"/>
      <c r="K406" s="2">
        <f>IF(COUNTA(G406:J406)&lt;4,"",ROUND(AVERAGE(G406:J406),1))</f>
        <v/>
      </c>
      <c r="L406" s="2" t="n"/>
      <c r="M406" s="2" t="n"/>
      <c r="N406" s="2" t="n"/>
      <c r="O406" s="2" t="n"/>
    </row>
    <row r="407">
      <c r="A407" s="2" t="n"/>
      <c r="B407" s="2" t="n"/>
      <c r="C407" s="2" t="n"/>
      <c r="D407" s="2" t="n"/>
      <c r="E407" s="2" t="n"/>
      <c r="F407" s="2" t="n"/>
      <c r="G407" s="2" t="n"/>
      <c r="H407" s="2" t="n"/>
      <c r="I407" s="2" t="n"/>
      <c r="J407" s="2" t="n"/>
      <c r="K407" s="2">
        <f>IF(COUNTA(G407:J407)&lt;4,"",ROUND(AVERAGE(G407:J407),1))</f>
        <v/>
      </c>
      <c r="L407" s="2" t="n"/>
      <c r="M407" s="2" t="n"/>
      <c r="N407" s="2" t="n"/>
      <c r="O407" s="2" t="n"/>
    </row>
    <row r="408">
      <c r="A408" s="2" t="n"/>
      <c r="B408" s="2" t="n"/>
      <c r="C408" s="2" t="n"/>
      <c r="D408" s="2" t="n"/>
      <c r="E408" s="2" t="n"/>
      <c r="F408" s="2" t="n"/>
      <c r="G408" s="2" t="n"/>
      <c r="H408" s="2" t="n"/>
      <c r="I408" s="2" t="n"/>
      <c r="J408" s="2" t="n"/>
      <c r="K408" s="2">
        <f>IF(COUNTA(G408:J408)&lt;4,"",ROUND(AVERAGE(G408:J408),1))</f>
        <v/>
      </c>
      <c r="L408" s="2" t="n"/>
      <c r="M408" s="2" t="n"/>
      <c r="N408" s="2" t="n"/>
      <c r="O408" s="2" t="n"/>
    </row>
    <row r="409">
      <c r="A409" s="2" t="n"/>
      <c r="B409" s="2" t="n"/>
      <c r="C409" s="2" t="n"/>
      <c r="D409" s="2" t="n"/>
      <c r="E409" s="2" t="n"/>
      <c r="F409" s="2" t="n"/>
      <c r="G409" s="2" t="n"/>
      <c r="H409" s="2" t="n"/>
      <c r="I409" s="2" t="n"/>
      <c r="J409" s="2" t="n"/>
      <c r="K409" s="2">
        <f>IF(COUNTA(G409:J409)&lt;4,"",ROUND(AVERAGE(G409:J409),1))</f>
        <v/>
      </c>
      <c r="L409" s="2" t="n"/>
      <c r="M409" s="2" t="n"/>
      <c r="N409" s="2" t="n"/>
      <c r="O409" s="2" t="n"/>
    </row>
    <row r="410">
      <c r="A410" s="2" t="n"/>
      <c r="B410" s="2" t="n"/>
      <c r="C410" s="2" t="n"/>
      <c r="D410" s="2" t="n"/>
      <c r="E410" s="2" t="n"/>
      <c r="F410" s="2" t="n"/>
      <c r="G410" s="2" t="n"/>
      <c r="H410" s="2" t="n"/>
      <c r="I410" s="2" t="n"/>
      <c r="J410" s="2" t="n"/>
      <c r="K410" s="2">
        <f>IF(COUNTA(G410:J410)&lt;4,"",ROUND(AVERAGE(G410:J410),1))</f>
        <v/>
      </c>
      <c r="L410" s="2" t="n"/>
      <c r="M410" s="2" t="n"/>
      <c r="N410" s="2" t="n"/>
      <c r="O410" s="2" t="n"/>
    </row>
    <row r="411">
      <c r="A411" s="2" t="n"/>
      <c r="B411" s="2" t="n"/>
      <c r="C411" s="2" t="n"/>
      <c r="D411" s="2" t="n"/>
      <c r="E411" s="2" t="n"/>
      <c r="F411" s="2" t="n"/>
      <c r="G411" s="2" t="n"/>
      <c r="H411" s="2" t="n"/>
      <c r="I411" s="2" t="n"/>
      <c r="J411" s="2" t="n"/>
      <c r="K411" s="2">
        <f>IF(COUNTA(G411:J411)&lt;4,"",ROUND(AVERAGE(G411:J411),1))</f>
        <v/>
      </c>
      <c r="L411" s="2" t="n"/>
      <c r="M411" s="2" t="n"/>
      <c r="N411" s="2" t="n"/>
      <c r="O411" s="2" t="n"/>
    </row>
    <row r="412">
      <c r="A412" s="2" t="n"/>
      <c r="B412" s="2" t="n"/>
      <c r="C412" s="2" t="n"/>
      <c r="D412" s="2" t="n"/>
      <c r="E412" s="2" t="n"/>
      <c r="F412" s="2" t="n"/>
      <c r="G412" s="2" t="n"/>
      <c r="H412" s="2" t="n"/>
      <c r="I412" s="2" t="n"/>
      <c r="J412" s="2" t="n"/>
      <c r="K412" s="2">
        <f>IF(COUNTA(G412:J412)&lt;4,"",ROUND(AVERAGE(G412:J412),1))</f>
        <v/>
      </c>
      <c r="L412" s="2" t="n"/>
      <c r="M412" s="2" t="n"/>
      <c r="N412" s="2" t="n"/>
      <c r="O412" s="2" t="n"/>
    </row>
    <row r="413">
      <c r="A413" s="2" t="n"/>
      <c r="B413" s="2" t="n"/>
      <c r="C413" s="2" t="n"/>
      <c r="D413" s="2" t="n"/>
      <c r="E413" s="2" t="n"/>
      <c r="F413" s="2" t="n"/>
      <c r="G413" s="2" t="n"/>
      <c r="H413" s="2" t="n"/>
      <c r="I413" s="2" t="n"/>
      <c r="J413" s="2" t="n"/>
      <c r="K413" s="2">
        <f>IF(COUNTA(G413:J413)&lt;4,"",ROUND(AVERAGE(G413:J413),1))</f>
        <v/>
      </c>
      <c r="L413" s="2" t="n"/>
      <c r="M413" s="2" t="n"/>
      <c r="N413" s="2" t="n"/>
      <c r="O413" s="2" t="n"/>
    </row>
    <row r="414">
      <c r="A414" s="2" t="n"/>
      <c r="B414" s="2" t="n"/>
      <c r="C414" s="2" t="n"/>
      <c r="D414" s="2" t="n"/>
      <c r="E414" s="2" t="n"/>
      <c r="F414" s="2" t="n"/>
      <c r="G414" s="2" t="n"/>
      <c r="H414" s="2" t="n"/>
      <c r="I414" s="2" t="n"/>
      <c r="J414" s="2" t="n"/>
      <c r="K414" s="2">
        <f>IF(COUNTA(G414:J414)&lt;4,"",ROUND(AVERAGE(G414:J414),1))</f>
        <v/>
      </c>
      <c r="L414" s="2" t="n"/>
      <c r="M414" s="2" t="n"/>
      <c r="N414" s="2" t="n"/>
      <c r="O414" s="2" t="n"/>
    </row>
    <row r="415">
      <c r="A415" s="2" t="n"/>
      <c r="B415" s="2" t="n"/>
      <c r="C415" s="2" t="n"/>
      <c r="D415" s="2" t="n"/>
      <c r="E415" s="2" t="n"/>
      <c r="F415" s="2" t="n"/>
      <c r="G415" s="2" t="n"/>
      <c r="H415" s="2" t="n"/>
      <c r="I415" s="2" t="n"/>
      <c r="J415" s="2" t="n"/>
      <c r="K415" s="2">
        <f>IF(COUNTA(G415:J415)&lt;4,"",ROUND(AVERAGE(G415:J415),1))</f>
        <v/>
      </c>
      <c r="L415" s="2" t="n"/>
      <c r="M415" s="2" t="n"/>
      <c r="N415" s="2" t="n"/>
      <c r="O415" s="2" t="n"/>
    </row>
    <row r="416">
      <c r="A416" s="2" t="n"/>
      <c r="B416" s="2" t="n"/>
      <c r="C416" s="2" t="n"/>
      <c r="D416" s="2" t="n"/>
      <c r="E416" s="2" t="n"/>
      <c r="F416" s="2" t="n"/>
      <c r="G416" s="2" t="n"/>
      <c r="H416" s="2" t="n"/>
      <c r="I416" s="2" t="n"/>
      <c r="J416" s="2" t="n"/>
      <c r="K416" s="2">
        <f>IF(COUNTA(G416:J416)&lt;4,"",ROUND(AVERAGE(G416:J416),1))</f>
        <v/>
      </c>
      <c r="L416" s="2" t="n"/>
      <c r="M416" s="2" t="n"/>
      <c r="N416" s="2" t="n"/>
      <c r="O416" s="2" t="n"/>
    </row>
    <row r="417">
      <c r="A417" s="2" t="n"/>
      <c r="B417" s="2" t="n"/>
      <c r="C417" s="2" t="n"/>
      <c r="D417" s="2" t="n"/>
      <c r="E417" s="2" t="n"/>
      <c r="F417" s="2" t="n"/>
      <c r="G417" s="2" t="n"/>
      <c r="H417" s="2" t="n"/>
      <c r="I417" s="2" t="n"/>
      <c r="J417" s="2" t="n"/>
      <c r="K417" s="2">
        <f>IF(COUNTA(G417:J417)&lt;4,"",ROUND(AVERAGE(G417:J417),1))</f>
        <v/>
      </c>
      <c r="L417" s="2" t="n"/>
      <c r="M417" s="2" t="n"/>
      <c r="N417" s="2" t="n"/>
      <c r="O417" s="2" t="n"/>
    </row>
    <row r="418">
      <c r="A418" s="2" t="n"/>
      <c r="B418" s="2" t="n"/>
      <c r="C418" s="2" t="n"/>
      <c r="D418" s="2" t="n"/>
      <c r="E418" s="2" t="n"/>
      <c r="F418" s="2" t="n"/>
      <c r="G418" s="2" t="n"/>
      <c r="H418" s="2" t="n"/>
      <c r="I418" s="2" t="n"/>
      <c r="J418" s="2" t="n"/>
      <c r="K418" s="2">
        <f>IF(COUNTA(G418:J418)&lt;4,"",ROUND(AVERAGE(G418:J418),1))</f>
        <v/>
      </c>
      <c r="L418" s="2" t="n"/>
      <c r="M418" s="2" t="n"/>
      <c r="N418" s="2" t="n"/>
      <c r="O418" s="2" t="n"/>
    </row>
    <row r="419">
      <c r="A419" s="2" t="n"/>
      <c r="B419" s="2" t="n"/>
      <c r="C419" s="2" t="n"/>
      <c r="D419" s="2" t="n"/>
      <c r="E419" s="2" t="n"/>
      <c r="F419" s="2" t="n"/>
      <c r="G419" s="2" t="n"/>
      <c r="H419" s="2" t="n"/>
      <c r="I419" s="2" t="n"/>
      <c r="J419" s="2" t="n"/>
      <c r="K419" s="2">
        <f>IF(COUNTA(G419:J419)&lt;4,"",ROUND(AVERAGE(G419:J419),1))</f>
        <v/>
      </c>
      <c r="L419" s="2" t="n"/>
      <c r="M419" s="2" t="n"/>
      <c r="N419" s="2" t="n"/>
      <c r="O419" s="2" t="n"/>
    </row>
    <row r="420">
      <c r="A420" s="2" t="n"/>
      <c r="B420" s="2" t="n"/>
      <c r="C420" s="2" t="n"/>
      <c r="D420" s="2" t="n"/>
      <c r="E420" s="2" t="n"/>
      <c r="F420" s="2" t="n"/>
      <c r="G420" s="2" t="n"/>
      <c r="H420" s="2" t="n"/>
      <c r="I420" s="2" t="n"/>
      <c r="J420" s="2" t="n"/>
      <c r="K420" s="2">
        <f>IF(COUNTA(G420:J420)&lt;4,"",ROUND(AVERAGE(G420:J420),1))</f>
        <v/>
      </c>
      <c r="L420" s="2" t="n"/>
      <c r="M420" s="2" t="n"/>
      <c r="N420" s="2" t="n"/>
      <c r="O420" s="2" t="n"/>
    </row>
    <row r="421">
      <c r="A421" s="2" t="n"/>
      <c r="B421" s="2" t="n"/>
      <c r="C421" s="2" t="n"/>
      <c r="D421" s="2" t="n"/>
      <c r="E421" s="2" t="n"/>
      <c r="F421" s="2" t="n"/>
      <c r="G421" s="2" t="n"/>
      <c r="H421" s="2" t="n"/>
      <c r="I421" s="2" t="n"/>
      <c r="J421" s="2" t="n"/>
      <c r="K421" s="2">
        <f>IF(COUNTA(G421:J421)&lt;4,"",ROUND(AVERAGE(G421:J421),1))</f>
        <v/>
      </c>
      <c r="L421" s="2" t="n"/>
      <c r="M421" s="2" t="n"/>
      <c r="N421" s="2" t="n"/>
      <c r="O421" s="2" t="n"/>
    </row>
    <row r="422">
      <c r="A422" s="2" t="n"/>
      <c r="B422" s="2" t="n"/>
      <c r="C422" s="2" t="n"/>
      <c r="D422" s="2" t="n"/>
      <c r="E422" s="2" t="n"/>
      <c r="F422" s="2" t="n"/>
      <c r="G422" s="2" t="n"/>
      <c r="H422" s="2" t="n"/>
      <c r="I422" s="2" t="n"/>
      <c r="J422" s="2" t="n"/>
      <c r="K422" s="2">
        <f>IF(COUNTA(G422:J422)&lt;4,"",ROUND(AVERAGE(G422:J422),1))</f>
        <v/>
      </c>
      <c r="L422" s="2" t="n"/>
      <c r="M422" s="2" t="n"/>
      <c r="N422" s="2" t="n"/>
      <c r="O422" s="2" t="n"/>
    </row>
    <row r="423">
      <c r="A423" s="2" t="n"/>
      <c r="B423" s="2" t="n"/>
      <c r="C423" s="2" t="n"/>
      <c r="D423" s="2" t="n"/>
      <c r="E423" s="2" t="n"/>
      <c r="F423" s="2" t="n"/>
      <c r="G423" s="2" t="n"/>
      <c r="H423" s="2" t="n"/>
      <c r="I423" s="2" t="n"/>
      <c r="J423" s="2" t="n"/>
      <c r="K423" s="2">
        <f>IF(COUNTA(G423:J423)&lt;4,"",ROUND(AVERAGE(G423:J423),1))</f>
        <v/>
      </c>
      <c r="L423" s="2" t="n"/>
      <c r="M423" s="2" t="n"/>
      <c r="N423" s="2" t="n"/>
      <c r="O423" s="2" t="n"/>
    </row>
    <row r="424">
      <c r="A424" s="2" t="n"/>
      <c r="B424" s="2" t="n"/>
      <c r="C424" s="2" t="n"/>
      <c r="D424" s="2" t="n"/>
      <c r="E424" s="2" t="n"/>
      <c r="F424" s="2" t="n"/>
      <c r="G424" s="2" t="n"/>
      <c r="H424" s="2" t="n"/>
      <c r="I424" s="2" t="n"/>
      <c r="J424" s="2" t="n"/>
      <c r="K424" s="2">
        <f>IF(COUNTA(G424:J424)&lt;4,"",ROUND(AVERAGE(G424:J424),1))</f>
        <v/>
      </c>
      <c r="L424" s="2" t="n"/>
      <c r="M424" s="2" t="n"/>
      <c r="N424" s="2" t="n"/>
      <c r="O424" s="2" t="n"/>
    </row>
    <row r="425">
      <c r="A425" s="2" t="n"/>
      <c r="B425" s="2" t="n"/>
      <c r="C425" s="2" t="n"/>
      <c r="D425" s="2" t="n"/>
      <c r="E425" s="2" t="n"/>
      <c r="F425" s="2" t="n"/>
      <c r="G425" s="2" t="n"/>
      <c r="H425" s="2" t="n"/>
      <c r="I425" s="2" t="n"/>
      <c r="J425" s="2" t="n"/>
      <c r="K425" s="2">
        <f>IF(COUNTA(G425:J425)&lt;4,"",ROUND(AVERAGE(G425:J425),1))</f>
        <v/>
      </c>
      <c r="L425" s="2" t="n"/>
      <c r="M425" s="2" t="n"/>
      <c r="N425" s="2" t="n"/>
      <c r="O425" s="2" t="n"/>
    </row>
    <row r="426">
      <c r="A426" s="2" t="n"/>
      <c r="B426" s="2" t="n"/>
      <c r="C426" s="2" t="n"/>
      <c r="D426" s="2" t="n"/>
      <c r="E426" s="2" t="n"/>
      <c r="F426" s="2" t="n"/>
      <c r="G426" s="2" t="n"/>
      <c r="H426" s="2" t="n"/>
      <c r="I426" s="2" t="n"/>
      <c r="J426" s="2" t="n"/>
      <c r="K426" s="2">
        <f>IF(COUNTA(G426:J426)&lt;4,"",ROUND(AVERAGE(G426:J426),1))</f>
        <v/>
      </c>
      <c r="L426" s="2" t="n"/>
      <c r="M426" s="2" t="n"/>
      <c r="N426" s="2" t="n"/>
      <c r="O426" s="2" t="n"/>
    </row>
    <row r="427">
      <c r="A427" s="2" t="n"/>
      <c r="B427" s="2" t="n"/>
      <c r="C427" s="2" t="n"/>
      <c r="D427" s="2" t="n"/>
      <c r="E427" s="2" t="n"/>
      <c r="F427" s="2" t="n"/>
      <c r="G427" s="2" t="n"/>
      <c r="H427" s="2" t="n"/>
      <c r="I427" s="2" t="n"/>
      <c r="J427" s="2" t="n"/>
      <c r="K427" s="2">
        <f>IF(COUNTA(G427:J427)&lt;4,"",ROUND(AVERAGE(G427:J427),1))</f>
        <v/>
      </c>
      <c r="L427" s="2" t="n"/>
      <c r="M427" s="2" t="n"/>
      <c r="N427" s="2" t="n"/>
      <c r="O427" s="2" t="n"/>
    </row>
    <row r="428">
      <c r="A428" s="2" t="n"/>
      <c r="B428" s="2" t="n"/>
      <c r="C428" s="2" t="n"/>
      <c r="D428" s="2" t="n"/>
      <c r="E428" s="2" t="n"/>
      <c r="F428" s="2" t="n"/>
      <c r="G428" s="2" t="n"/>
      <c r="H428" s="2" t="n"/>
      <c r="I428" s="2" t="n"/>
      <c r="J428" s="2" t="n"/>
      <c r="K428" s="2">
        <f>IF(COUNTA(G428:J428)&lt;4,"",ROUND(AVERAGE(G428:J428),1))</f>
        <v/>
      </c>
      <c r="L428" s="2" t="n"/>
      <c r="M428" s="2" t="n"/>
      <c r="N428" s="2" t="n"/>
      <c r="O428" s="2" t="n"/>
    </row>
    <row r="429">
      <c r="A429" s="2" t="n"/>
      <c r="B429" s="2" t="n"/>
      <c r="C429" s="2" t="n"/>
      <c r="D429" s="2" t="n"/>
      <c r="E429" s="2" t="n"/>
      <c r="F429" s="2" t="n"/>
      <c r="G429" s="2" t="n"/>
      <c r="H429" s="2" t="n"/>
      <c r="I429" s="2" t="n"/>
      <c r="J429" s="2" t="n"/>
      <c r="K429" s="2">
        <f>IF(COUNTA(G429:J429)&lt;4,"",ROUND(AVERAGE(G429:J429),1))</f>
        <v/>
      </c>
      <c r="L429" s="2" t="n"/>
      <c r="M429" s="2" t="n"/>
      <c r="N429" s="2" t="n"/>
      <c r="O429" s="2" t="n"/>
    </row>
    <row r="430">
      <c r="A430" s="2" t="n"/>
      <c r="B430" s="2" t="n"/>
      <c r="C430" s="2" t="n"/>
      <c r="D430" s="2" t="n"/>
      <c r="E430" s="2" t="n"/>
      <c r="F430" s="2" t="n"/>
      <c r="G430" s="2" t="n"/>
      <c r="H430" s="2" t="n"/>
      <c r="I430" s="2" t="n"/>
      <c r="J430" s="2" t="n"/>
      <c r="K430" s="2">
        <f>IF(COUNTA(G430:J430)&lt;4,"",ROUND(AVERAGE(G430:J430),1))</f>
        <v/>
      </c>
      <c r="L430" s="2" t="n"/>
      <c r="M430" s="2" t="n"/>
      <c r="N430" s="2" t="n"/>
      <c r="O430" s="2" t="n"/>
    </row>
    <row r="431">
      <c r="A431" s="2" t="n"/>
      <c r="B431" s="2" t="n"/>
      <c r="C431" s="2" t="n"/>
      <c r="D431" s="2" t="n"/>
      <c r="E431" s="2" t="n"/>
      <c r="F431" s="2" t="n"/>
      <c r="G431" s="2" t="n"/>
      <c r="H431" s="2" t="n"/>
      <c r="I431" s="2" t="n"/>
      <c r="J431" s="2" t="n"/>
      <c r="K431" s="2">
        <f>IF(COUNTA(G431:J431)&lt;4,"",ROUND(AVERAGE(G431:J431),1))</f>
        <v/>
      </c>
      <c r="L431" s="2" t="n"/>
      <c r="M431" s="2" t="n"/>
      <c r="N431" s="2" t="n"/>
      <c r="O431" s="2" t="n"/>
    </row>
    <row r="432">
      <c r="A432" s="2" t="n"/>
      <c r="B432" s="2" t="n"/>
      <c r="C432" s="2" t="n"/>
      <c r="D432" s="2" t="n"/>
      <c r="E432" s="2" t="n"/>
      <c r="F432" s="2" t="n"/>
      <c r="G432" s="2" t="n"/>
      <c r="H432" s="2" t="n"/>
      <c r="I432" s="2" t="n"/>
      <c r="J432" s="2" t="n"/>
      <c r="K432" s="2">
        <f>IF(COUNTA(G432:J432)&lt;4,"",ROUND(AVERAGE(G432:J432),1))</f>
        <v/>
      </c>
      <c r="L432" s="2" t="n"/>
      <c r="M432" s="2" t="n"/>
      <c r="N432" s="2" t="n"/>
      <c r="O432" s="2" t="n"/>
    </row>
    <row r="433">
      <c r="A433" s="2" t="n"/>
      <c r="B433" s="2" t="n"/>
      <c r="C433" s="2" t="n"/>
      <c r="D433" s="2" t="n"/>
      <c r="E433" s="2" t="n"/>
      <c r="F433" s="2" t="n"/>
      <c r="G433" s="2" t="n"/>
      <c r="H433" s="2" t="n"/>
      <c r="I433" s="2" t="n"/>
      <c r="J433" s="2" t="n"/>
      <c r="K433" s="2">
        <f>IF(COUNTA(G433:J433)&lt;4,"",ROUND(AVERAGE(G433:J433),1))</f>
        <v/>
      </c>
      <c r="L433" s="2" t="n"/>
      <c r="M433" s="2" t="n"/>
      <c r="N433" s="2" t="n"/>
      <c r="O433" s="2" t="n"/>
    </row>
    <row r="434">
      <c r="A434" s="2" t="n"/>
      <c r="B434" s="2" t="n"/>
      <c r="C434" s="2" t="n"/>
      <c r="D434" s="2" t="n"/>
      <c r="E434" s="2" t="n"/>
      <c r="F434" s="2" t="n"/>
      <c r="G434" s="2" t="n"/>
      <c r="H434" s="2" t="n"/>
      <c r="I434" s="2" t="n"/>
      <c r="J434" s="2" t="n"/>
      <c r="K434" s="2">
        <f>IF(COUNTA(G434:J434)&lt;4,"",ROUND(AVERAGE(G434:J434),1))</f>
        <v/>
      </c>
      <c r="L434" s="2" t="n"/>
      <c r="M434" s="2" t="n"/>
      <c r="N434" s="2" t="n"/>
      <c r="O434" s="2" t="n"/>
    </row>
    <row r="435">
      <c r="A435" s="2" t="n"/>
      <c r="B435" s="2" t="n"/>
      <c r="C435" s="2" t="n"/>
      <c r="D435" s="2" t="n"/>
      <c r="E435" s="2" t="n"/>
      <c r="F435" s="2" t="n"/>
      <c r="G435" s="2" t="n"/>
      <c r="H435" s="2" t="n"/>
      <c r="I435" s="2" t="n"/>
      <c r="J435" s="2" t="n"/>
      <c r="K435" s="2">
        <f>IF(COUNTA(G435:J435)&lt;4,"",ROUND(AVERAGE(G435:J435),1))</f>
        <v/>
      </c>
      <c r="L435" s="2" t="n"/>
      <c r="M435" s="2" t="n"/>
      <c r="N435" s="2" t="n"/>
      <c r="O435" s="2" t="n"/>
    </row>
    <row r="436">
      <c r="A436" s="2" t="n"/>
      <c r="B436" s="2" t="n"/>
      <c r="C436" s="2" t="n"/>
      <c r="D436" s="2" t="n"/>
      <c r="E436" s="2" t="n"/>
      <c r="F436" s="2" t="n"/>
      <c r="G436" s="2" t="n"/>
      <c r="H436" s="2" t="n"/>
      <c r="I436" s="2" t="n"/>
      <c r="J436" s="2" t="n"/>
      <c r="K436" s="2">
        <f>IF(COUNTA(G436:J436)&lt;4,"",ROUND(AVERAGE(G436:J436),1))</f>
        <v/>
      </c>
      <c r="L436" s="2" t="n"/>
      <c r="M436" s="2" t="n"/>
      <c r="N436" s="2" t="n"/>
      <c r="O436" s="2" t="n"/>
    </row>
    <row r="437">
      <c r="A437" s="2" t="n"/>
      <c r="B437" s="2" t="n"/>
      <c r="C437" s="2" t="n"/>
      <c r="D437" s="2" t="n"/>
      <c r="E437" s="2" t="n"/>
      <c r="F437" s="2" t="n"/>
      <c r="G437" s="2" t="n"/>
      <c r="H437" s="2" t="n"/>
      <c r="I437" s="2" t="n"/>
      <c r="J437" s="2" t="n"/>
      <c r="K437" s="2">
        <f>IF(COUNTA(G437:J437)&lt;4,"",ROUND(AVERAGE(G437:J437),1))</f>
        <v/>
      </c>
      <c r="L437" s="2" t="n"/>
      <c r="M437" s="2" t="n"/>
      <c r="N437" s="2" t="n"/>
      <c r="O437" s="2" t="n"/>
    </row>
    <row r="438">
      <c r="A438" s="2" t="n"/>
      <c r="B438" s="2" t="n"/>
      <c r="C438" s="2" t="n"/>
      <c r="D438" s="2" t="n"/>
      <c r="E438" s="2" t="n"/>
      <c r="F438" s="2" t="n"/>
      <c r="G438" s="2" t="n"/>
      <c r="H438" s="2" t="n"/>
      <c r="I438" s="2" t="n"/>
      <c r="J438" s="2" t="n"/>
      <c r="K438" s="2">
        <f>IF(COUNTA(G438:J438)&lt;4,"",ROUND(AVERAGE(G438:J438),1))</f>
        <v/>
      </c>
      <c r="L438" s="2" t="n"/>
      <c r="M438" s="2" t="n"/>
      <c r="N438" s="2" t="n"/>
      <c r="O438" s="2" t="n"/>
    </row>
    <row r="439">
      <c r="A439" s="2" t="n"/>
      <c r="B439" s="2" t="n"/>
      <c r="C439" s="2" t="n"/>
      <c r="D439" s="2" t="n"/>
      <c r="E439" s="2" t="n"/>
      <c r="F439" s="2" t="n"/>
      <c r="G439" s="2" t="n"/>
      <c r="H439" s="2" t="n"/>
      <c r="I439" s="2" t="n"/>
      <c r="J439" s="2" t="n"/>
      <c r="K439" s="2">
        <f>IF(COUNTA(G439:J439)&lt;4,"",ROUND(AVERAGE(G439:J439),1))</f>
        <v/>
      </c>
      <c r="L439" s="2" t="n"/>
      <c r="M439" s="2" t="n"/>
      <c r="N439" s="2" t="n"/>
      <c r="O439" s="2" t="n"/>
    </row>
    <row r="440">
      <c r="A440" s="2" t="n"/>
      <c r="B440" s="2" t="n"/>
      <c r="C440" s="2" t="n"/>
      <c r="D440" s="2" t="n"/>
      <c r="E440" s="2" t="n"/>
      <c r="F440" s="2" t="n"/>
      <c r="G440" s="2" t="n"/>
      <c r="H440" s="2" t="n"/>
      <c r="I440" s="2" t="n"/>
      <c r="J440" s="2" t="n"/>
      <c r="K440" s="2">
        <f>IF(COUNTA(G440:J440)&lt;4,"",ROUND(AVERAGE(G440:J440),1))</f>
        <v/>
      </c>
      <c r="L440" s="2" t="n"/>
      <c r="M440" s="2" t="n"/>
      <c r="N440" s="2" t="n"/>
      <c r="O440" s="2" t="n"/>
    </row>
    <row r="441">
      <c r="A441" s="2" t="n"/>
      <c r="B441" s="2" t="n"/>
      <c r="C441" s="2" t="n"/>
      <c r="D441" s="2" t="n"/>
      <c r="E441" s="2" t="n"/>
      <c r="F441" s="2" t="n"/>
      <c r="G441" s="2" t="n"/>
      <c r="H441" s="2" t="n"/>
      <c r="I441" s="2" t="n"/>
      <c r="J441" s="2" t="n"/>
      <c r="K441" s="2">
        <f>IF(COUNTA(G441:J441)&lt;4,"",ROUND(AVERAGE(G441:J441),1))</f>
        <v/>
      </c>
      <c r="L441" s="2" t="n"/>
      <c r="M441" s="2" t="n"/>
      <c r="N441" s="2" t="n"/>
      <c r="O441" s="2" t="n"/>
    </row>
    <row r="442">
      <c r="A442" s="2" t="n"/>
      <c r="B442" s="2" t="n"/>
      <c r="C442" s="2" t="n"/>
      <c r="D442" s="2" t="n"/>
      <c r="E442" s="2" t="n"/>
      <c r="F442" s="2" t="n"/>
      <c r="G442" s="2" t="n"/>
      <c r="H442" s="2" t="n"/>
      <c r="I442" s="2" t="n"/>
      <c r="J442" s="2" t="n"/>
      <c r="K442" s="2">
        <f>IF(COUNTA(G442:J442)&lt;4,"",ROUND(AVERAGE(G442:J442),1))</f>
        <v/>
      </c>
      <c r="L442" s="2" t="n"/>
      <c r="M442" s="2" t="n"/>
      <c r="N442" s="2" t="n"/>
      <c r="O442" s="2" t="n"/>
    </row>
    <row r="443">
      <c r="A443" s="2" t="n"/>
      <c r="B443" s="2" t="n"/>
      <c r="C443" s="2" t="n"/>
      <c r="D443" s="2" t="n"/>
      <c r="E443" s="2" t="n"/>
      <c r="F443" s="2" t="n"/>
      <c r="G443" s="2" t="n"/>
      <c r="H443" s="2" t="n"/>
      <c r="I443" s="2" t="n"/>
      <c r="J443" s="2" t="n"/>
      <c r="K443" s="2">
        <f>IF(COUNTA(G443:J443)&lt;4,"",ROUND(AVERAGE(G443:J443),1))</f>
        <v/>
      </c>
      <c r="L443" s="2" t="n"/>
      <c r="M443" s="2" t="n"/>
      <c r="N443" s="2" t="n"/>
      <c r="O443" s="2" t="n"/>
    </row>
    <row r="444">
      <c r="A444" s="2" t="n"/>
      <c r="B444" s="2" t="n"/>
      <c r="C444" s="2" t="n"/>
      <c r="D444" s="2" t="n"/>
      <c r="E444" s="2" t="n"/>
      <c r="F444" s="2" t="n"/>
      <c r="G444" s="2" t="n"/>
      <c r="H444" s="2" t="n"/>
      <c r="I444" s="2" t="n"/>
      <c r="J444" s="2" t="n"/>
      <c r="K444" s="2">
        <f>IF(COUNTA(G444:J444)&lt;4,"",ROUND(AVERAGE(G444:J444),1))</f>
        <v/>
      </c>
      <c r="L444" s="2" t="n"/>
      <c r="M444" s="2" t="n"/>
      <c r="N444" s="2" t="n"/>
      <c r="O444" s="2" t="n"/>
    </row>
    <row r="445">
      <c r="A445" s="2" t="n"/>
      <c r="B445" s="2" t="n"/>
      <c r="C445" s="2" t="n"/>
      <c r="D445" s="2" t="n"/>
      <c r="E445" s="2" t="n"/>
      <c r="F445" s="2" t="n"/>
      <c r="G445" s="2" t="n"/>
      <c r="H445" s="2" t="n"/>
      <c r="I445" s="2" t="n"/>
      <c r="J445" s="2" t="n"/>
      <c r="K445" s="2">
        <f>IF(COUNTA(G445:J445)&lt;4,"",ROUND(AVERAGE(G445:J445),1))</f>
        <v/>
      </c>
      <c r="L445" s="2" t="n"/>
      <c r="M445" s="2" t="n"/>
      <c r="N445" s="2" t="n"/>
      <c r="O445" s="2" t="n"/>
    </row>
    <row r="446">
      <c r="A446" s="2" t="n"/>
      <c r="B446" s="2" t="n"/>
      <c r="C446" s="2" t="n"/>
      <c r="D446" s="2" t="n"/>
      <c r="E446" s="2" t="n"/>
      <c r="F446" s="2" t="n"/>
      <c r="G446" s="2" t="n"/>
      <c r="H446" s="2" t="n"/>
      <c r="I446" s="2" t="n"/>
      <c r="J446" s="2" t="n"/>
      <c r="K446" s="2">
        <f>IF(COUNTA(G446:J446)&lt;4,"",ROUND(AVERAGE(G446:J446),1))</f>
        <v/>
      </c>
      <c r="L446" s="2" t="n"/>
      <c r="M446" s="2" t="n"/>
      <c r="N446" s="2" t="n"/>
      <c r="O446" s="2" t="n"/>
    </row>
    <row r="447">
      <c r="A447" s="2" t="n"/>
      <c r="B447" s="2" t="n"/>
      <c r="C447" s="2" t="n"/>
      <c r="D447" s="2" t="n"/>
      <c r="E447" s="2" t="n"/>
      <c r="F447" s="2" t="n"/>
      <c r="G447" s="2" t="n"/>
      <c r="H447" s="2" t="n"/>
      <c r="I447" s="2" t="n"/>
      <c r="J447" s="2" t="n"/>
      <c r="K447" s="2">
        <f>IF(COUNTA(G447:J447)&lt;4,"",ROUND(AVERAGE(G447:J447),1))</f>
        <v/>
      </c>
      <c r="L447" s="2" t="n"/>
      <c r="M447" s="2" t="n"/>
      <c r="N447" s="2" t="n"/>
      <c r="O447" s="2" t="n"/>
    </row>
    <row r="448">
      <c r="A448" s="2" t="n"/>
      <c r="B448" s="2" t="n"/>
      <c r="C448" s="2" t="n"/>
      <c r="D448" s="2" t="n"/>
      <c r="E448" s="2" t="n"/>
      <c r="F448" s="2" t="n"/>
      <c r="G448" s="2" t="n"/>
      <c r="H448" s="2" t="n"/>
      <c r="I448" s="2" t="n"/>
      <c r="J448" s="2" t="n"/>
      <c r="K448" s="2">
        <f>IF(COUNTA(G448:J448)&lt;4,"",ROUND(AVERAGE(G448:J448),1))</f>
        <v/>
      </c>
      <c r="L448" s="2" t="n"/>
      <c r="M448" s="2" t="n"/>
      <c r="N448" s="2" t="n"/>
      <c r="O448" s="2" t="n"/>
    </row>
    <row r="449">
      <c r="A449" s="2" t="n"/>
      <c r="B449" s="2" t="n"/>
      <c r="C449" s="2" t="n"/>
      <c r="D449" s="2" t="n"/>
      <c r="E449" s="2" t="n"/>
      <c r="F449" s="2" t="n"/>
      <c r="G449" s="2" t="n"/>
      <c r="H449" s="2" t="n"/>
      <c r="I449" s="2" t="n"/>
      <c r="J449" s="2" t="n"/>
      <c r="K449" s="2">
        <f>IF(COUNTA(G449:J449)&lt;4,"",ROUND(AVERAGE(G449:J449),1))</f>
        <v/>
      </c>
      <c r="L449" s="2" t="n"/>
      <c r="M449" s="2" t="n"/>
      <c r="N449" s="2" t="n"/>
      <c r="O449" s="2" t="n"/>
    </row>
    <row r="450">
      <c r="A450" s="2" t="n"/>
      <c r="B450" s="2" t="n"/>
      <c r="C450" s="2" t="n"/>
      <c r="D450" s="2" t="n"/>
      <c r="E450" s="2" t="n"/>
      <c r="F450" s="2" t="n"/>
      <c r="G450" s="2" t="n"/>
      <c r="H450" s="2" t="n"/>
      <c r="I450" s="2" t="n"/>
      <c r="J450" s="2" t="n"/>
      <c r="K450" s="2">
        <f>IF(COUNTA(G450:J450)&lt;4,"",ROUND(AVERAGE(G450:J450),1))</f>
        <v/>
      </c>
      <c r="L450" s="2" t="n"/>
      <c r="M450" s="2" t="n"/>
      <c r="N450" s="2" t="n"/>
      <c r="O450" s="2" t="n"/>
    </row>
    <row r="451">
      <c r="A451" s="2" t="n"/>
      <c r="B451" s="2" t="n"/>
      <c r="C451" s="2" t="n"/>
      <c r="D451" s="2" t="n"/>
      <c r="E451" s="2" t="n"/>
      <c r="F451" s="2" t="n"/>
      <c r="G451" s="2" t="n"/>
      <c r="H451" s="2" t="n"/>
      <c r="I451" s="2" t="n"/>
      <c r="J451" s="2" t="n"/>
      <c r="K451" s="2">
        <f>IF(COUNTA(G451:J451)&lt;4,"",ROUND(AVERAGE(G451:J451),1))</f>
        <v/>
      </c>
      <c r="L451" s="2" t="n"/>
      <c r="M451" s="2" t="n"/>
      <c r="N451" s="2" t="n"/>
      <c r="O451" s="2" t="n"/>
    </row>
    <row r="452">
      <c r="A452" s="2" t="n"/>
      <c r="B452" s="2" t="n"/>
      <c r="C452" s="2" t="n"/>
      <c r="D452" s="2" t="n"/>
      <c r="E452" s="2" t="n"/>
      <c r="F452" s="2" t="n"/>
      <c r="G452" s="2" t="n"/>
      <c r="H452" s="2" t="n"/>
      <c r="I452" s="2" t="n"/>
      <c r="J452" s="2" t="n"/>
      <c r="K452" s="2">
        <f>IF(COUNTA(G452:J452)&lt;4,"",ROUND(AVERAGE(G452:J452),1))</f>
        <v/>
      </c>
      <c r="L452" s="2" t="n"/>
      <c r="M452" s="2" t="n"/>
      <c r="N452" s="2" t="n"/>
      <c r="O452" s="2" t="n"/>
    </row>
    <row r="453">
      <c r="A453" s="2" t="n"/>
      <c r="B453" s="2" t="n"/>
      <c r="C453" s="2" t="n"/>
      <c r="D453" s="2" t="n"/>
      <c r="E453" s="2" t="n"/>
      <c r="F453" s="2" t="n"/>
      <c r="G453" s="2" t="n"/>
      <c r="H453" s="2" t="n"/>
      <c r="I453" s="2" t="n"/>
      <c r="J453" s="2" t="n"/>
      <c r="K453" s="2">
        <f>IF(COUNTA(G453:J453)&lt;4,"",ROUND(AVERAGE(G453:J453),1))</f>
        <v/>
      </c>
      <c r="L453" s="2" t="n"/>
      <c r="M453" s="2" t="n"/>
      <c r="N453" s="2" t="n"/>
      <c r="O453" s="2" t="n"/>
    </row>
    <row r="454">
      <c r="A454" s="2" t="n"/>
      <c r="B454" s="2" t="n"/>
      <c r="C454" s="2" t="n"/>
      <c r="D454" s="2" t="n"/>
      <c r="E454" s="2" t="n"/>
      <c r="F454" s="2" t="n"/>
      <c r="G454" s="2" t="n"/>
      <c r="H454" s="2" t="n"/>
      <c r="I454" s="2" t="n"/>
      <c r="J454" s="2" t="n"/>
      <c r="K454" s="2">
        <f>IF(COUNTA(G454:J454)&lt;4,"",ROUND(AVERAGE(G454:J454),1))</f>
        <v/>
      </c>
      <c r="L454" s="2" t="n"/>
      <c r="M454" s="2" t="n"/>
      <c r="N454" s="2" t="n"/>
      <c r="O454" s="2" t="n"/>
    </row>
    <row r="455">
      <c r="A455" s="2" t="n"/>
      <c r="B455" s="2" t="n"/>
      <c r="C455" s="2" t="n"/>
      <c r="D455" s="2" t="n"/>
      <c r="E455" s="2" t="n"/>
      <c r="F455" s="2" t="n"/>
      <c r="G455" s="2" t="n"/>
      <c r="H455" s="2" t="n"/>
      <c r="I455" s="2" t="n"/>
      <c r="J455" s="2" t="n"/>
      <c r="K455" s="2">
        <f>IF(COUNTA(G455:J455)&lt;4,"",ROUND(AVERAGE(G455:J455),1))</f>
        <v/>
      </c>
      <c r="L455" s="2" t="n"/>
      <c r="M455" s="2" t="n"/>
      <c r="N455" s="2" t="n"/>
      <c r="O455" s="2" t="n"/>
    </row>
    <row r="456">
      <c r="A456" s="2" t="n"/>
      <c r="B456" s="2" t="n"/>
      <c r="C456" s="2" t="n"/>
      <c r="D456" s="2" t="n"/>
      <c r="E456" s="2" t="n"/>
      <c r="F456" s="2" t="n"/>
      <c r="G456" s="2" t="n"/>
      <c r="H456" s="2" t="n"/>
      <c r="I456" s="2" t="n"/>
      <c r="J456" s="2" t="n"/>
      <c r="K456" s="2">
        <f>IF(COUNTA(G456:J456)&lt;4,"",ROUND(AVERAGE(G456:J456),1))</f>
        <v/>
      </c>
      <c r="L456" s="2" t="n"/>
      <c r="M456" s="2" t="n"/>
      <c r="N456" s="2" t="n"/>
      <c r="O456" s="2" t="n"/>
    </row>
    <row r="457">
      <c r="A457" s="2" t="n"/>
      <c r="B457" s="2" t="n"/>
      <c r="C457" s="2" t="n"/>
      <c r="D457" s="2" t="n"/>
      <c r="E457" s="2" t="n"/>
      <c r="F457" s="2" t="n"/>
      <c r="G457" s="2" t="n"/>
      <c r="H457" s="2" t="n"/>
      <c r="I457" s="2" t="n"/>
      <c r="J457" s="2" t="n"/>
      <c r="K457" s="2">
        <f>IF(COUNTA(G457:J457)&lt;4,"",ROUND(AVERAGE(G457:J457),1))</f>
        <v/>
      </c>
      <c r="L457" s="2" t="n"/>
      <c r="M457" s="2" t="n"/>
      <c r="N457" s="2" t="n"/>
      <c r="O457" s="2" t="n"/>
    </row>
    <row r="458">
      <c r="A458" s="2" t="n"/>
      <c r="B458" s="2" t="n"/>
      <c r="C458" s="2" t="n"/>
      <c r="D458" s="2" t="n"/>
      <c r="E458" s="2" t="n"/>
      <c r="F458" s="2" t="n"/>
      <c r="G458" s="2" t="n"/>
      <c r="H458" s="2" t="n"/>
      <c r="I458" s="2" t="n"/>
      <c r="J458" s="2" t="n"/>
      <c r="K458" s="2">
        <f>IF(COUNTA(G458:J458)&lt;4,"",ROUND(AVERAGE(G458:J458),1))</f>
        <v/>
      </c>
      <c r="L458" s="2" t="n"/>
      <c r="M458" s="2" t="n"/>
      <c r="N458" s="2" t="n"/>
      <c r="O458" s="2" t="n"/>
    </row>
    <row r="459">
      <c r="A459" s="2" t="n"/>
      <c r="B459" s="2" t="n"/>
      <c r="C459" s="2" t="n"/>
      <c r="D459" s="2" t="n"/>
      <c r="E459" s="2" t="n"/>
      <c r="F459" s="2" t="n"/>
      <c r="G459" s="2" t="n"/>
      <c r="H459" s="2" t="n"/>
      <c r="I459" s="2" t="n"/>
      <c r="J459" s="2" t="n"/>
      <c r="K459" s="2">
        <f>IF(COUNTA(G459:J459)&lt;4,"",ROUND(AVERAGE(G459:J459),1))</f>
        <v/>
      </c>
      <c r="L459" s="2" t="n"/>
      <c r="M459" s="2" t="n"/>
      <c r="N459" s="2" t="n"/>
      <c r="O459" s="2" t="n"/>
    </row>
    <row r="460">
      <c r="A460" s="2" t="n"/>
      <c r="B460" s="2" t="n"/>
      <c r="C460" s="2" t="n"/>
      <c r="D460" s="2" t="n"/>
      <c r="E460" s="2" t="n"/>
      <c r="F460" s="2" t="n"/>
      <c r="G460" s="2" t="n"/>
      <c r="H460" s="2" t="n"/>
      <c r="I460" s="2" t="n"/>
      <c r="J460" s="2" t="n"/>
      <c r="K460" s="2">
        <f>IF(COUNTA(G460:J460)&lt;4,"",ROUND(AVERAGE(G460:J460),1))</f>
        <v/>
      </c>
      <c r="L460" s="2" t="n"/>
      <c r="M460" s="2" t="n"/>
      <c r="N460" s="2" t="n"/>
      <c r="O460" s="2" t="n"/>
    </row>
    <row r="461">
      <c r="A461" s="2" t="n"/>
      <c r="B461" s="2" t="n"/>
      <c r="C461" s="2" t="n"/>
      <c r="D461" s="2" t="n"/>
      <c r="E461" s="2" t="n"/>
      <c r="F461" s="2" t="n"/>
      <c r="G461" s="2" t="n"/>
      <c r="H461" s="2" t="n"/>
      <c r="I461" s="2" t="n"/>
      <c r="J461" s="2" t="n"/>
      <c r="K461" s="2">
        <f>IF(COUNTA(G461:J461)&lt;4,"",ROUND(AVERAGE(G461:J461),1))</f>
        <v/>
      </c>
      <c r="L461" s="2" t="n"/>
      <c r="M461" s="2" t="n"/>
      <c r="N461" s="2" t="n"/>
      <c r="O461" s="2" t="n"/>
    </row>
    <row r="462">
      <c r="A462" s="2" t="n"/>
      <c r="B462" s="2" t="n"/>
      <c r="C462" s="2" t="n"/>
      <c r="D462" s="2" t="n"/>
      <c r="E462" s="2" t="n"/>
      <c r="F462" s="2" t="n"/>
      <c r="G462" s="2" t="n"/>
      <c r="H462" s="2" t="n"/>
      <c r="I462" s="2" t="n"/>
      <c r="J462" s="2" t="n"/>
      <c r="K462" s="2">
        <f>IF(COUNTA(G462:J462)&lt;4,"",ROUND(AVERAGE(G462:J462),1))</f>
        <v/>
      </c>
      <c r="L462" s="2" t="n"/>
      <c r="M462" s="2" t="n"/>
      <c r="N462" s="2" t="n"/>
      <c r="O462" s="2" t="n"/>
    </row>
    <row r="463">
      <c r="A463" s="2" t="n"/>
      <c r="B463" s="2" t="n"/>
      <c r="C463" s="2" t="n"/>
      <c r="D463" s="2" t="n"/>
      <c r="E463" s="2" t="n"/>
      <c r="F463" s="2" t="n"/>
      <c r="G463" s="2" t="n"/>
      <c r="H463" s="2" t="n"/>
      <c r="I463" s="2" t="n"/>
      <c r="J463" s="2" t="n"/>
      <c r="K463" s="2">
        <f>IF(COUNTA(G463:J463)&lt;4,"",ROUND(AVERAGE(G463:J463),1))</f>
        <v/>
      </c>
      <c r="L463" s="2" t="n"/>
      <c r="M463" s="2" t="n"/>
      <c r="N463" s="2" t="n"/>
      <c r="O463" s="2" t="n"/>
    </row>
    <row r="464">
      <c r="A464" s="2" t="n"/>
      <c r="B464" s="2" t="n"/>
      <c r="C464" s="2" t="n"/>
      <c r="D464" s="2" t="n"/>
      <c r="E464" s="2" t="n"/>
      <c r="F464" s="2" t="n"/>
      <c r="G464" s="2" t="n"/>
      <c r="H464" s="2" t="n"/>
      <c r="I464" s="2" t="n"/>
      <c r="J464" s="2" t="n"/>
      <c r="K464" s="2">
        <f>IF(COUNTA(G464:J464)&lt;4,"",ROUND(AVERAGE(G464:J464),1))</f>
        <v/>
      </c>
      <c r="L464" s="2" t="n"/>
      <c r="M464" s="2" t="n"/>
      <c r="N464" s="2" t="n"/>
      <c r="O464" s="2" t="n"/>
    </row>
    <row r="465">
      <c r="A465" s="2" t="n"/>
      <c r="B465" s="2" t="n"/>
      <c r="C465" s="2" t="n"/>
      <c r="D465" s="2" t="n"/>
      <c r="E465" s="2" t="n"/>
      <c r="F465" s="2" t="n"/>
      <c r="G465" s="2" t="n"/>
      <c r="H465" s="2" t="n"/>
      <c r="I465" s="2" t="n"/>
      <c r="J465" s="2" t="n"/>
      <c r="K465" s="2">
        <f>IF(COUNTA(G465:J465)&lt;4,"",ROUND(AVERAGE(G465:J465),1))</f>
        <v/>
      </c>
      <c r="L465" s="2" t="n"/>
      <c r="M465" s="2" t="n"/>
      <c r="N465" s="2" t="n"/>
      <c r="O465" s="2" t="n"/>
    </row>
    <row r="466">
      <c r="A466" s="2" t="n"/>
      <c r="B466" s="2" t="n"/>
      <c r="C466" s="2" t="n"/>
      <c r="D466" s="2" t="n"/>
      <c r="E466" s="2" t="n"/>
      <c r="F466" s="2" t="n"/>
      <c r="G466" s="2" t="n"/>
      <c r="H466" s="2" t="n"/>
      <c r="I466" s="2" t="n"/>
      <c r="J466" s="2" t="n"/>
      <c r="K466" s="2">
        <f>IF(COUNTA(G466:J466)&lt;4,"",ROUND(AVERAGE(G466:J466),1))</f>
        <v/>
      </c>
      <c r="L466" s="2" t="n"/>
      <c r="M466" s="2" t="n"/>
      <c r="N466" s="2" t="n"/>
      <c r="O466" s="2" t="n"/>
    </row>
    <row r="467">
      <c r="A467" s="2" t="n"/>
      <c r="B467" s="2" t="n"/>
      <c r="C467" s="2" t="n"/>
      <c r="D467" s="2" t="n"/>
      <c r="E467" s="2" t="n"/>
      <c r="F467" s="2" t="n"/>
      <c r="G467" s="2" t="n"/>
      <c r="H467" s="2" t="n"/>
      <c r="I467" s="2" t="n"/>
      <c r="J467" s="2" t="n"/>
      <c r="K467" s="2">
        <f>IF(COUNTA(G467:J467)&lt;4,"",ROUND(AVERAGE(G467:J467),1))</f>
        <v/>
      </c>
      <c r="L467" s="2" t="n"/>
      <c r="M467" s="2" t="n"/>
      <c r="N467" s="2" t="n"/>
      <c r="O467" s="2" t="n"/>
    </row>
    <row r="468">
      <c r="A468" s="2" t="n"/>
      <c r="B468" s="2" t="n"/>
      <c r="C468" s="2" t="n"/>
      <c r="D468" s="2" t="n"/>
      <c r="E468" s="2" t="n"/>
      <c r="F468" s="2" t="n"/>
      <c r="G468" s="2" t="n"/>
      <c r="H468" s="2" t="n"/>
      <c r="I468" s="2" t="n"/>
      <c r="J468" s="2" t="n"/>
      <c r="K468" s="2">
        <f>IF(COUNTA(G468:J468)&lt;4,"",ROUND(AVERAGE(G468:J468),1))</f>
        <v/>
      </c>
      <c r="L468" s="2" t="n"/>
      <c r="M468" s="2" t="n"/>
      <c r="N468" s="2" t="n"/>
      <c r="O468" s="2" t="n"/>
    </row>
    <row r="469">
      <c r="A469" s="2" t="n"/>
      <c r="B469" s="2" t="n"/>
      <c r="C469" s="2" t="n"/>
      <c r="D469" s="2" t="n"/>
      <c r="E469" s="2" t="n"/>
      <c r="F469" s="2" t="n"/>
      <c r="G469" s="2" t="n"/>
      <c r="H469" s="2" t="n"/>
      <c r="I469" s="2" t="n"/>
      <c r="J469" s="2" t="n"/>
      <c r="K469" s="2">
        <f>IF(COUNTA(G469:J469)&lt;4,"",ROUND(AVERAGE(G469:J469),1))</f>
        <v/>
      </c>
      <c r="L469" s="2" t="n"/>
      <c r="M469" s="2" t="n"/>
      <c r="N469" s="2" t="n"/>
      <c r="O469" s="2" t="n"/>
    </row>
    <row r="470">
      <c r="A470" s="2" t="n"/>
      <c r="B470" s="2" t="n"/>
      <c r="C470" s="2" t="n"/>
      <c r="D470" s="2" t="n"/>
      <c r="E470" s="2" t="n"/>
      <c r="F470" s="2" t="n"/>
      <c r="G470" s="2" t="n"/>
      <c r="H470" s="2" t="n"/>
      <c r="I470" s="2" t="n"/>
      <c r="J470" s="2" t="n"/>
      <c r="K470" s="2">
        <f>IF(COUNTA(G470:J470)&lt;4,"",ROUND(AVERAGE(G470:J470),1))</f>
        <v/>
      </c>
      <c r="L470" s="2" t="n"/>
      <c r="M470" s="2" t="n"/>
      <c r="N470" s="2" t="n"/>
      <c r="O470" s="2" t="n"/>
    </row>
    <row r="471">
      <c r="A471" s="2" t="n"/>
      <c r="B471" s="2" t="n"/>
      <c r="C471" s="2" t="n"/>
      <c r="D471" s="2" t="n"/>
      <c r="E471" s="2" t="n"/>
      <c r="F471" s="2" t="n"/>
      <c r="G471" s="2" t="n"/>
      <c r="H471" s="2" t="n"/>
      <c r="I471" s="2" t="n"/>
      <c r="J471" s="2" t="n"/>
      <c r="K471" s="2">
        <f>IF(COUNTA(G471:J471)&lt;4,"",ROUND(AVERAGE(G471:J471),1))</f>
        <v/>
      </c>
      <c r="L471" s="2" t="n"/>
      <c r="M471" s="2" t="n"/>
      <c r="N471" s="2" t="n"/>
      <c r="O471" s="2" t="n"/>
    </row>
    <row r="472">
      <c r="A472" s="2" t="n"/>
      <c r="B472" s="2" t="n"/>
      <c r="C472" s="2" t="n"/>
      <c r="D472" s="2" t="n"/>
      <c r="E472" s="2" t="n"/>
      <c r="F472" s="2" t="n"/>
      <c r="G472" s="2" t="n"/>
      <c r="H472" s="2" t="n"/>
      <c r="I472" s="2" t="n"/>
      <c r="J472" s="2" t="n"/>
      <c r="K472" s="2">
        <f>IF(COUNTA(G472:J472)&lt;4,"",ROUND(AVERAGE(G472:J472),1))</f>
        <v/>
      </c>
      <c r="L472" s="2" t="n"/>
      <c r="M472" s="2" t="n"/>
      <c r="N472" s="2" t="n"/>
      <c r="O472" s="2" t="n"/>
    </row>
    <row r="473">
      <c r="A473" s="2" t="n"/>
      <c r="B473" s="2" t="n"/>
      <c r="C473" s="2" t="n"/>
      <c r="D473" s="2" t="n"/>
      <c r="E473" s="2" t="n"/>
      <c r="F473" s="2" t="n"/>
      <c r="G473" s="2" t="n"/>
      <c r="H473" s="2" t="n"/>
      <c r="I473" s="2" t="n"/>
      <c r="J473" s="2" t="n"/>
      <c r="K473" s="2">
        <f>IF(COUNTA(G473:J473)&lt;4,"",ROUND(AVERAGE(G473:J473),1))</f>
        <v/>
      </c>
      <c r="L473" s="2" t="n"/>
      <c r="M473" s="2" t="n"/>
      <c r="N473" s="2" t="n"/>
      <c r="O473" s="2" t="n"/>
    </row>
    <row r="474">
      <c r="A474" s="2" t="n"/>
      <c r="B474" s="2" t="n"/>
      <c r="C474" s="2" t="n"/>
      <c r="D474" s="2" t="n"/>
      <c r="E474" s="2" t="n"/>
      <c r="F474" s="2" t="n"/>
      <c r="G474" s="2" t="n"/>
      <c r="H474" s="2" t="n"/>
      <c r="I474" s="2" t="n"/>
      <c r="J474" s="2" t="n"/>
      <c r="K474" s="2">
        <f>IF(COUNTA(G474:J474)&lt;4,"",ROUND(AVERAGE(G474:J474),1))</f>
        <v/>
      </c>
      <c r="L474" s="2" t="n"/>
      <c r="M474" s="2" t="n"/>
      <c r="N474" s="2" t="n"/>
      <c r="O474" s="2" t="n"/>
    </row>
    <row r="475">
      <c r="A475" s="2" t="n"/>
      <c r="B475" s="2" t="n"/>
      <c r="C475" s="2" t="n"/>
      <c r="D475" s="2" t="n"/>
      <c r="E475" s="2" t="n"/>
      <c r="F475" s="2" t="n"/>
      <c r="G475" s="2" t="n"/>
      <c r="H475" s="2" t="n"/>
      <c r="I475" s="2" t="n"/>
      <c r="J475" s="2" t="n"/>
      <c r="K475" s="2">
        <f>IF(COUNTA(G475:J475)&lt;4,"",ROUND(AVERAGE(G475:J475),1))</f>
        <v/>
      </c>
      <c r="L475" s="2" t="n"/>
      <c r="M475" s="2" t="n"/>
      <c r="N475" s="2" t="n"/>
      <c r="O475" s="2" t="n"/>
    </row>
    <row r="476">
      <c r="A476" s="2" t="n"/>
      <c r="B476" s="2" t="n"/>
      <c r="C476" s="2" t="n"/>
      <c r="D476" s="2" t="n"/>
      <c r="E476" s="2" t="n"/>
      <c r="F476" s="2" t="n"/>
      <c r="G476" s="2" t="n"/>
      <c r="H476" s="2" t="n"/>
      <c r="I476" s="2" t="n"/>
      <c r="J476" s="2" t="n"/>
      <c r="K476" s="2">
        <f>IF(COUNTA(G476:J476)&lt;4,"",ROUND(AVERAGE(G476:J476),1))</f>
        <v/>
      </c>
      <c r="L476" s="2" t="n"/>
      <c r="M476" s="2" t="n"/>
      <c r="N476" s="2" t="n"/>
      <c r="O476" s="2" t="n"/>
    </row>
    <row r="477">
      <c r="A477" s="2" t="n"/>
      <c r="B477" s="2" t="n"/>
      <c r="C477" s="2" t="n"/>
      <c r="D477" s="2" t="n"/>
      <c r="E477" s="2" t="n"/>
      <c r="F477" s="2" t="n"/>
      <c r="G477" s="2" t="n"/>
      <c r="H477" s="2" t="n"/>
      <c r="I477" s="2" t="n"/>
      <c r="J477" s="2" t="n"/>
      <c r="K477" s="2">
        <f>IF(COUNTA(G477:J477)&lt;4,"",ROUND(AVERAGE(G477:J477),1))</f>
        <v/>
      </c>
      <c r="L477" s="2" t="n"/>
      <c r="M477" s="2" t="n"/>
      <c r="N477" s="2" t="n"/>
      <c r="O477" s="2" t="n"/>
    </row>
    <row r="478">
      <c r="A478" s="2" t="n"/>
      <c r="B478" s="2" t="n"/>
      <c r="C478" s="2" t="n"/>
      <c r="D478" s="2" t="n"/>
      <c r="E478" s="2" t="n"/>
      <c r="F478" s="2" t="n"/>
      <c r="G478" s="2" t="n"/>
      <c r="H478" s="2" t="n"/>
      <c r="I478" s="2" t="n"/>
      <c r="J478" s="2" t="n"/>
      <c r="K478" s="2">
        <f>IF(COUNTA(G478:J478)&lt;4,"",ROUND(AVERAGE(G478:J478),1))</f>
        <v/>
      </c>
      <c r="L478" s="2" t="n"/>
      <c r="M478" s="2" t="n"/>
      <c r="N478" s="2" t="n"/>
      <c r="O478" s="2" t="n"/>
    </row>
    <row r="479">
      <c r="A479" s="2" t="n"/>
      <c r="B479" s="2" t="n"/>
      <c r="C479" s="2" t="n"/>
      <c r="D479" s="2" t="n"/>
      <c r="E479" s="2" t="n"/>
      <c r="F479" s="2" t="n"/>
      <c r="G479" s="2" t="n"/>
      <c r="H479" s="2" t="n"/>
      <c r="I479" s="2" t="n"/>
      <c r="J479" s="2" t="n"/>
      <c r="K479" s="2">
        <f>IF(COUNTA(G479:J479)&lt;4,"",ROUND(AVERAGE(G479:J479),1))</f>
        <v/>
      </c>
      <c r="L479" s="2" t="n"/>
      <c r="M479" s="2" t="n"/>
      <c r="N479" s="2" t="n"/>
      <c r="O479" s="2" t="n"/>
    </row>
    <row r="480">
      <c r="A480" s="2" t="n"/>
      <c r="B480" s="2" t="n"/>
      <c r="C480" s="2" t="n"/>
      <c r="D480" s="2" t="n"/>
      <c r="E480" s="2" t="n"/>
      <c r="F480" s="2" t="n"/>
      <c r="G480" s="2" t="n"/>
      <c r="H480" s="2" t="n"/>
      <c r="I480" s="2" t="n"/>
      <c r="J480" s="2" t="n"/>
      <c r="K480" s="2">
        <f>IF(COUNTA(G480:J480)&lt;4,"",ROUND(AVERAGE(G480:J480),1))</f>
        <v/>
      </c>
      <c r="L480" s="2" t="n"/>
      <c r="M480" s="2" t="n"/>
      <c r="N480" s="2" t="n"/>
      <c r="O480" s="2" t="n"/>
    </row>
    <row r="481">
      <c r="A481" s="2" t="n"/>
      <c r="B481" s="2" t="n"/>
      <c r="C481" s="2" t="n"/>
      <c r="D481" s="2" t="n"/>
      <c r="E481" s="2" t="n"/>
      <c r="F481" s="2" t="n"/>
      <c r="G481" s="2" t="n"/>
      <c r="H481" s="2" t="n"/>
      <c r="I481" s="2" t="n"/>
      <c r="J481" s="2" t="n"/>
      <c r="K481" s="2">
        <f>IF(COUNTA(G481:J481)&lt;4,"",ROUND(AVERAGE(G481:J481),1))</f>
        <v/>
      </c>
      <c r="L481" s="2" t="n"/>
      <c r="M481" s="2" t="n"/>
      <c r="N481" s="2" t="n"/>
      <c r="O481" s="2" t="n"/>
    </row>
    <row r="482">
      <c r="A482" s="2" t="n"/>
      <c r="B482" s="2" t="n"/>
      <c r="C482" s="2" t="n"/>
      <c r="D482" s="2" t="n"/>
      <c r="E482" s="2" t="n"/>
      <c r="F482" s="2" t="n"/>
      <c r="G482" s="2" t="n"/>
      <c r="H482" s="2" t="n"/>
      <c r="I482" s="2" t="n"/>
      <c r="J482" s="2" t="n"/>
      <c r="K482" s="2">
        <f>IF(COUNTA(G482:J482)&lt;4,"",ROUND(AVERAGE(G482:J482),1))</f>
        <v/>
      </c>
      <c r="L482" s="2" t="n"/>
      <c r="M482" s="2" t="n"/>
      <c r="N482" s="2" t="n"/>
      <c r="O482" s="2" t="n"/>
    </row>
    <row r="483">
      <c r="A483" s="2" t="n"/>
      <c r="B483" s="2" t="n"/>
      <c r="C483" s="2" t="n"/>
      <c r="D483" s="2" t="n"/>
      <c r="E483" s="2" t="n"/>
      <c r="F483" s="2" t="n"/>
      <c r="G483" s="2" t="n"/>
      <c r="H483" s="2" t="n"/>
      <c r="I483" s="2" t="n"/>
      <c r="J483" s="2" t="n"/>
      <c r="K483" s="2">
        <f>IF(COUNTA(G483:J483)&lt;4,"",ROUND(AVERAGE(G483:J483),1))</f>
        <v/>
      </c>
      <c r="L483" s="2" t="n"/>
      <c r="M483" s="2" t="n"/>
      <c r="N483" s="2" t="n"/>
      <c r="O483" s="2" t="n"/>
    </row>
    <row r="484">
      <c r="A484" s="2" t="n"/>
      <c r="B484" s="2" t="n"/>
      <c r="C484" s="2" t="n"/>
      <c r="D484" s="2" t="n"/>
      <c r="E484" s="2" t="n"/>
      <c r="F484" s="2" t="n"/>
      <c r="G484" s="2" t="n"/>
      <c r="H484" s="2" t="n"/>
      <c r="I484" s="2" t="n"/>
      <c r="J484" s="2" t="n"/>
      <c r="K484" s="2">
        <f>IF(COUNTA(G484:J484)&lt;4,"",ROUND(AVERAGE(G484:J484),1))</f>
        <v/>
      </c>
      <c r="L484" s="2" t="n"/>
      <c r="M484" s="2" t="n"/>
      <c r="N484" s="2" t="n"/>
      <c r="O484" s="2" t="n"/>
    </row>
    <row r="485">
      <c r="A485" s="2" t="n"/>
      <c r="B485" s="2" t="n"/>
      <c r="C485" s="2" t="n"/>
      <c r="D485" s="2" t="n"/>
      <c r="E485" s="2" t="n"/>
      <c r="F485" s="2" t="n"/>
      <c r="G485" s="2" t="n"/>
      <c r="H485" s="2" t="n"/>
      <c r="I485" s="2" t="n"/>
      <c r="J485" s="2" t="n"/>
      <c r="K485" s="2">
        <f>IF(COUNTA(G485:J485)&lt;4,"",ROUND(AVERAGE(G485:J485),1))</f>
        <v/>
      </c>
      <c r="L485" s="2" t="n"/>
      <c r="M485" s="2" t="n"/>
      <c r="N485" s="2" t="n"/>
      <c r="O485" s="2" t="n"/>
    </row>
    <row r="486">
      <c r="A486" s="2" t="n"/>
      <c r="B486" s="2" t="n"/>
      <c r="C486" s="2" t="n"/>
      <c r="D486" s="2" t="n"/>
      <c r="E486" s="2" t="n"/>
      <c r="F486" s="2" t="n"/>
      <c r="G486" s="2" t="n"/>
      <c r="H486" s="2" t="n"/>
      <c r="I486" s="2" t="n"/>
      <c r="J486" s="2" t="n"/>
      <c r="K486" s="2">
        <f>IF(COUNTA(G486:J486)&lt;4,"",ROUND(AVERAGE(G486:J486),1))</f>
        <v/>
      </c>
      <c r="L486" s="2" t="n"/>
      <c r="M486" s="2" t="n"/>
      <c r="N486" s="2" t="n"/>
      <c r="O486" s="2" t="n"/>
    </row>
    <row r="487">
      <c r="A487" s="2" t="n"/>
      <c r="B487" s="2" t="n"/>
      <c r="C487" s="2" t="n"/>
      <c r="D487" s="2" t="n"/>
      <c r="E487" s="2" t="n"/>
      <c r="F487" s="2" t="n"/>
      <c r="G487" s="2" t="n"/>
      <c r="H487" s="2" t="n"/>
      <c r="I487" s="2" t="n"/>
      <c r="J487" s="2" t="n"/>
      <c r="K487" s="2">
        <f>IF(COUNTA(G487:J487)&lt;4,"",ROUND(AVERAGE(G487:J487),1))</f>
        <v/>
      </c>
      <c r="L487" s="2" t="n"/>
      <c r="M487" s="2" t="n"/>
      <c r="N487" s="2" t="n"/>
      <c r="O487" s="2" t="n"/>
    </row>
    <row r="488">
      <c r="A488" s="2" t="n"/>
      <c r="B488" s="2" t="n"/>
      <c r="C488" s="2" t="n"/>
      <c r="D488" s="2" t="n"/>
      <c r="E488" s="2" t="n"/>
      <c r="F488" s="2" t="n"/>
      <c r="G488" s="2" t="n"/>
      <c r="H488" s="2" t="n"/>
      <c r="I488" s="2" t="n"/>
      <c r="J488" s="2" t="n"/>
      <c r="K488" s="2">
        <f>IF(COUNTA(G488:J488)&lt;4,"",ROUND(AVERAGE(G488:J488),1))</f>
        <v/>
      </c>
      <c r="L488" s="2" t="n"/>
      <c r="M488" s="2" t="n"/>
      <c r="N488" s="2" t="n"/>
      <c r="O488" s="2" t="n"/>
    </row>
    <row r="489">
      <c r="A489" s="2" t="n"/>
      <c r="B489" s="2" t="n"/>
      <c r="C489" s="2" t="n"/>
      <c r="D489" s="2" t="n"/>
      <c r="E489" s="2" t="n"/>
      <c r="F489" s="2" t="n"/>
      <c r="G489" s="2" t="n"/>
      <c r="H489" s="2" t="n"/>
      <c r="I489" s="2" t="n"/>
      <c r="J489" s="2" t="n"/>
      <c r="K489" s="2">
        <f>IF(COUNTA(G489:J489)&lt;4,"",ROUND(AVERAGE(G489:J489),1))</f>
        <v/>
      </c>
      <c r="L489" s="2" t="n"/>
      <c r="M489" s="2" t="n"/>
      <c r="N489" s="2" t="n"/>
      <c r="O489" s="2" t="n"/>
    </row>
    <row r="490">
      <c r="A490" s="2" t="n"/>
      <c r="B490" s="2" t="n"/>
      <c r="C490" s="2" t="n"/>
      <c r="D490" s="2" t="n"/>
      <c r="E490" s="2" t="n"/>
      <c r="F490" s="2" t="n"/>
      <c r="G490" s="2" t="n"/>
      <c r="H490" s="2" t="n"/>
      <c r="I490" s="2" t="n"/>
      <c r="J490" s="2" t="n"/>
      <c r="K490" s="2">
        <f>IF(COUNTA(G490:J490)&lt;4,"",ROUND(AVERAGE(G490:J490),1))</f>
        <v/>
      </c>
      <c r="L490" s="2" t="n"/>
      <c r="M490" s="2" t="n"/>
      <c r="N490" s="2" t="n"/>
      <c r="O490" s="2" t="n"/>
    </row>
    <row r="491">
      <c r="A491" s="2" t="n"/>
      <c r="B491" s="2" t="n"/>
      <c r="C491" s="2" t="n"/>
      <c r="D491" s="2" t="n"/>
      <c r="E491" s="2" t="n"/>
      <c r="F491" s="2" t="n"/>
      <c r="G491" s="2" t="n"/>
      <c r="H491" s="2" t="n"/>
      <c r="I491" s="2" t="n"/>
      <c r="J491" s="2" t="n"/>
      <c r="K491" s="2">
        <f>IF(COUNTA(G491:J491)&lt;4,"",ROUND(AVERAGE(G491:J491),1))</f>
        <v/>
      </c>
      <c r="L491" s="2" t="n"/>
      <c r="M491" s="2" t="n"/>
      <c r="N491" s="2" t="n"/>
      <c r="O491" s="2" t="n"/>
    </row>
    <row r="492">
      <c r="A492" s="2" t="n"/>
      <c r="B492" s="2" t="n"/>
      <c r="C492" s="2" t="n"/>
      <c r="D492" s="2" t="n"/>
      <c r="E492" s="2" t="n"/>
      <c r="F492" s="2" t="n"/>
      <c r="G492" s="2" t="n"/>
      <c r="H492" s="2" t="n"/>
      <c r="I492" s="2" t="n"/>
      <c r="J492" s="2" t="n"/>
      <c r="K492" s="2">
        <f>IF(COUNTA(G492:J492)&lt;4,"",ROUND(AVERAGE(G492:J492),1))</f>
        <v/>
      </c>
      <c r="L492" s="2" t="n"/>
      <c r="M492" s="2" t="n"/>
      <c r="N492" s="2" t="n"/>
      <c r="O492" s="2" t="n"/>
    </row>
    <row r="493">
      <c r="A493" s="2" t="n"/>
      <c r="B493" s="2" t="n"/>
      <c r="C493" s="2" t="n"/>
      <c r="D493" s="2" t="n"/>
      <c r="E493" s="2" t="n"/>
      <c r="F493" s="2" t="n"/>
      <c r="G493" s="2" t="n"/>
      <c r="H493" s="2" t="n"/>
      <c r="I493" s="2" t="n"/>
      <c r="J493" s="2" t="n"/>
      <c r="K493" s="2">
        <f>IF(COUNTA(G493:J493)&lt;4,"",ROUND(AVERAGE(G493:J493),1))</f>
        <v/>
      </c>
      <c r="L493" s="2" t="n"/>
      <c r="M493" s="2" t="n"/>
      <c r="N493" s="2" t="n"/>
      <c r="O493" s="2" t="n"/>
    </row>
    <row r="494">
      <c r="A494" s="2" t="n"/>
      <c r="B494" s="2" t="n"/>
      <c r="C494" s="2" t="n"/>
      <c r="D494" s="2" t="n"/>
      <c r="E494" s="2" t="n"/>
      <c r="F494" s="2" t="n"/>
      <c r="G494" s="2" t="n"/>
      <c r="H494" s="2" t="n"/>
      <c r="I494" s="2" t="n"/>
      <c r="J494" s="2" t="n"/>
      <c r="K494" s="2">
        <f>IF(COUNTA(G494:J494)&lt;4,"",ROUND(AVERAGE(G494:J494),1))</f>
        <v/>
      </c>
      <c r="L494" s="2" t="n"/>
      <c r="M494" s="2" t="n"/>
      <c r="N494" s="2" t="n"/>
      <c r="O494" s="2" t="n"/>
    </row>
    <row r="495">
      <c r="A495" s="2" t="n"/>
      <c r="B495" s="2" t="n"/>
      <c r="C495" s="2" t="n"/>
      <c r="D495" s="2" t="n"/>
      <c r="E495" s="2" t="n"/>
      <c r="F495" s="2" t="n"/>
      <c r="G495" s="2" t="n"/>
      <c r="H495" s="2" t="n"/>
      <c r="I495" s="2" t="n"/>
      <c r="J495" s="2" t="n"/>
      <c r="K495" s="2">
        <f>IF(COUNTA(G495:J495)&lt;4,"",ROUND(AVERAGE(G495:J495),1))</f>
        <v/>
      </c>
      <c r="L495" s="2" t="n"/>
      <c r="M495" s="2" t="n"/>
      <c r="N495" s="2" t="n"/>
      <c r="O495" s="2" t="n"/>
    </row>
    <row r="496">
      <c r="A496" s="2" t="n"/>
      <c r="B496" s="2" t="n"/>
      <c r="C496" s="2" t="n"/>
      <c r="D496" s="2" t="n"/>
      <c r="E496" s="2" t="n"/>
      <c r="F496" s="2" t="n"/>
      <c r="G496" s="2" t="n"/>
      <c r="H496" s="2" t="n"/>
      <c r="I496" s="2" t="n"/>
      <c r="J496" s="2" t="n"/>
      <c r="K496" s="2">
        <f>IF(COUNTA(G496:J496)&lt;4,"",ROUND(AVERAGE(G496:J496),1))</f>
        <v/>
      </c>
      <c r="L496" s="2" t="n"/>
      <c r="M496" s="2" t="n"/>
      <c r="N496" s="2" t="n"/>
      <c r="O496" s="2" t="n"/>
    </row>
    <row r="497">
      <c r="A497" s="2" t="n"/>
      <c r="B497" s="2" t="n"/>
      <c r="C497" s="2" t="n"/>
      <c r="D497" s="2" t="n"/>
      <c r="E497" s="2" t="n"/>
      <c r="F497" s="2" t="n"/>
      <c r="G497" s="2" t="n"/>
      <c r="H497" s="2" t="n"/>
      <c r="I497" s="2" t="n"/>
      <c r="J497" s="2" t="n"/>
      <c r="K497" s="2">
        <f>IF(COUNTA(G497:J497)&lt;4,"",ROUND(AVERAGE(G497:J497),1))</f>
        <v/>
      </c>
      <c r="L497" s="2" t="n"/>
      <c r="M497" s="2" t="n"/>
      <c r="N497" s="2" t="n"/>
      <c r="O497" s="2" t="n"/>
    </row>
    <row r="498">
      <c r="A498" s="2" t="n"/>
      <c r="B498" s="2" t="n"/>
      <c r="C498" s="2" t="n"/>
      <c r="D498" s="2" t="n"/>
      <c r="E498" s="2" t="n"/>
      <c r="F498" s="2" t="n"/>
      <c r="G498" s="2" t="n"/>
      <c r="H498" s="2" t="n"/>
      <c r="I498" s="2" t="n"/>
      <c r="J498" s="2" t="n"/>
      <c r="K498" s="2">
        <f>IF(COUNTA(G498:J498)&lt;4,"",ROUND(AVERAGE(G498:J498),1))</f>
        <v/>
      </c>
      <c r="L498" s="2" t="n"/>
      <c r="M498" s="2" t="n"/>
      <c r="N498" s="2" t="n"/>
      <c r="O498" s="2" t="n"/>
    </row>
    <row r="499">
      <c r="A499" s="2" t="n"/>
      <c r="B499" s="2" t="n"/>
      <c r="C499" s="2" t="n"/>
      <c r="D499" s="2" t="n"/>
      <c r="E499" s="2" t="n"/>
      <c r="F499" s="2" t="n"/>
      <c r="G499" s="2" t="n"/>
      <c r="H499" s="2" t="n"/>
      <c r="I499" s="2" t="n"/>
      <c r="J499" s="2" t="n"/>
      <c r="K499" s="2">
        <f>IF(COUNTA(G499:J499)&lt;4,"",ROUND(AVERAGE(G499:J499),1))</f>
        <v/>
      </c>
      <c r="L499" s="2" t="n"/>
      <c r="M499" s="2" t="n"/>
      <c r="N499" s="2" t="n"/>
      <c r="O499" s="2" t="n"/>
    </row>
    <row r="500">
      <c r="A500" s="2" t="n"/>
      <c r="B500" s="2" t="n"/>
      <c r="C500" s="2" t="n"/>
      <c r="D500" s="2" t="n"/>
      <c r="E500" s="2" t="n"/>
      <c r="F500" s="2" t="n"/>
      <c r="G500" s="2" t="n"/>
      <c r="H500" s="2" t="n"/>
      <c r="I500" s="2" t="n"/>
      <c r="J500" s="2" t="n"/>
      <c r="K500" s="2">
        <f>IF(COUNTA(G500:J500)&lt;4,"",ROUND(AVERAGE(G500:J500),1))</f>
        <v/>
      </c>
      <c r="L500" s="2" t="n"/>
      <c r="M500" s="2" t="n"/>
      <c r="N500" s="2" t="n"/>
      <c r="O500" s="2" t="n"/>
    </row>
  </sheetData>
  <autoFilter ref="A1:O50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9"/>
  <sheetViews>
    <sheetView workbookViewId="0">
      <pane ySplit="2" topLeftCell="A3" activePane="bottomLeft" state="frozen"/>
      <selection pane="bottomLeft" activeCell="A1" sqref="A1:D1"/>
    </sheetView>
  </sheetViews>
  <sheetFormatPr baseColWidth="8" defaultRowHeight="15"/>
  <cols>
    <col width="32" customWidth="1" style="15" min="1" max="2"/>
    <col width="12" customWidth="1" style="15" min="3" max="3"/>
    <col width="21" customWidth="1" style="15" min="4" max="4"/>
    <col width="32" customWidth="1" style="15" min="5" max="5"/>
  </cols>
  <sheetData>
    <row r="1">
      <c r="A1" s="18" t="inlineStr">
        <is>
          <t>INTERNSHIP HUNT — LIVE ANALYTICS</t>
        </is>
      </c>
      <c r="B1" s="19" t="n"/>
      <c r="C1" s="19" t="n"/>
      <c r="D1" s="20" t="n"/>
      <c r="E1" s="2" t="n"/>
    </row>
    <row r="2">
      <c r="A2" s="3" t="inlineStr">
        <is>
          <t>Metric</t>
        </is>
      </c>
      <c r="B2" s="2" t="n">
        <v>260</v>
      </c>
      <c r="C2" s="2" t="n"/>
      <c r="D2" s="2" t="n"/>
      <c r="E2" s="2" t="n"/>
      <c r="G2" s="6" t="inlineStr">
        <is>
          <t>V2 Intelligence Metrics</t>
        </is>
      </c>
    </row>
    <row r="3">
      <c r="A3" s="3" t="inlineStr">
        <is>
          <t>Total Jobs</t>
        </is>
      </c>
      <c r="B3" s="2" t="n">
        <v>56</v>
      </c>
      <c r="C3" s="2" t="n"/>
      <c r="D3" s="3" t="inlineStr">
        <is>
          <t>Priority</t>
        </is>
      </c>
      <c r="E3" s="3" t="inlineStr">
        <is>
          <t>Count</t>
        </is>
      </c>
      <c r="G3" s="6" t="inlineStr">
        <is>
          <t>Jobs with eligibility risk</t>
        </is>
      </c>
      <c r="H3">
        <f>COUNTIF(Jobs!#REF!,"risk")</f>
        <v/>
      </c>
    </row>
    <row r="4">
      <c r="A4" s="3" t="inlineStr">
        <is>
          <t>Shortlisted / Apply-level Jobs</t>
        </is>
      </c>
      <c r="B4" s="2" t="n">
        <v>499</v>
      </c>
      <c r="C4" s="2" t="n"/>
      <c r="D4" s="2" t="inlineStr">
        <is>
          <t>P1</t>
        </is>
      </c>
      <c r="E4" s="2">
        <f>COUNTIF(Jobs!#REF!,D4)</f>
        <v/>
      </c>
      <c r="G4" s="6" t="inlineStr">
        <is>
          <t>Jobs with eligibility failure</t>
        </is>
      </c>
      <c r="H4">
        <f>COUNTIF(Jobs!#REF!,"fail")</f>
        <v/>
      </c>
    </row>
    <row r="5">
      <c r="A5" s="3" t="inlineStr">
        <is>
          <t>Applications</t>
        </is>
      </c>
      <c r="B5" s="2">
        <f>COUNTA(Applications!A2:A500)</f>
        <v/>
      </c>
      <c r="C5" s="2" t="n"/>
      <c r="D5" s="2" t="inlineStr">
        <is>
          <t>P2</t>
        </is>
      </c>
      <c r="E5" s="2">
        <f>COUNTIF(Jobs!#REF!,D5)</f>
        <v/>
      </c>
      <c r="G5" s="6" t="inlineStr">
        <is>
          <t>PPO-strong jobs</t>
        </is>
      </c>
      <c r="H5">
        <f>COUNTIF(Jobs!#REF!,"strong")</f>
        <v/>
      </c>
    </row>
    <row r="6">
      <c r="A6" s="3" t="inlineStr">
        <is>
          <t>OAs</t>
        </is>
      </c>
      <c r="B6" s="2" t="n">
        <v>0</v>
      </c>
      <c r="C6" s="2" t="n"/>
      <c r="D6" s="2" t="inlineStr">
        <is>
          <t>P3</t>
        </is>
      </c>
      <c r="E6" s="2">
        <f>COUNTIF(Jobs!#REF!,D6)</f>
        <v/>
      </c>
      <c r="G6" s="6" t="inlineStr">
        <is>
          <t>Compensation to verify</t>
        </is>
      </c>
      <c r="H6">
        <f>COUNTIF(Jobs!#REF!,"verify")</f>
        <v/>
      </c>
    </row>
    <row r="7">
      <c r="A7" s="3" t="inlineStr">
        <is>
          <t>Interviews</t>
        </is>
      </c>
      <c r="B7" s="2" t="n">
        <v>0</v>
      </c>
      <c r="C7" s="2" t="n"/>
      <c r="D7" s="2" t="inlineStr">
        <is>
          <t>P4</t>
        </is>
      </c>
      <c r="E7" s="2">
        <f>COUNTIF(Jobs!#REF!,D7)</f>
        <v/>
      </c>
      <c r="G7" s="6" t="inlineStr">
        <is>
          <t>Apply ASAP jobs</t>
        </is>
      </c>
      <c r="H7">
        <f>COUNTIF(Jobs!#REF!,"APPLY ASAP")</f>
        <v/>
      </c>
    </row>
    <row r="8">
      <c r="A8" s="3" t="inlineStr">
        <is>
          <t>Offers</t>
        </is>
      </c>
      <c r="B8" s="2">
        <f>COUNTIF(Applications!H2:H500,"Offer")+COUNTIF(Applications!H2:H500,"PPO")</f>
        <v/>
      </c>
      <c r="C8" s="2" t="n"/>
      <c r="D8" s="2" t="n"/>
      <c r="E8" s="2" t="n"/>
    </row>
    <row r="9">
      <c r="A9" s="3" t="inlineStr">
        <is>
          <t>PPOs</t>
        </is>
      </c>
      <c r="B9" s="4">
        <f>COUNTIF(Applications!H2:H500,"PPO")</f>
        <v/>
      </c>
      <c r="C9" s="2" t="n"/>
      <c r="D9" s="2" t="n"/>
      <c r="E9" s="2" t="n"/>
    </row>
    <row r="10">
      <c r="A10" s="3" t="inlineStr">
        <is>
          <t>Application → Interview %</t>
        </is>
      </c>
      <c r="B10" s="4">
        <f>IFERROR(B6/B4,0)</f>
        <v/>
      </c>
      <c r="C10" s="2" t="n"/>
      <c r="D10" s="3" t="inlineStr">
        <is>
          <t>Application Status</t>
        </is>
      </c>
      <c r="E10" s="3" t="inlineStr">
        <is>
          <t>Count</t>
        </is>
      </c>
    </row>
    <row r="11">
      <c r="A11" s="3" t="inlineStr">
        <is>
          <t>Application → Offer %</t>
        </is>
      </c>
      <c r="B11" s="4">
        <f>IFERROR(B7/B4,0)</f>
        <v/>
      </c>
      <c r="C11" s="2" t="n"/>
      <c r="D11" s="2" t="inlineStr">
        <is>
          <t>Applied</t>
        </is>
      </c>
      <c r="E11" s="2">
        <f>COUNTIF(Applications!H2:H500,D11)</f>
        <v/>
      </c>
    </row>
    <row r="12">
      <c r="A12" s="2" t="inlineStr">
        <is>
          <t>Application → PPO %</t>
        </is>
      </c>
      <c r="B12" s="2">
        <f>IFERROR(B8/B4,0)</f>
        <v/>
      </c>
      <c r="C12" s="2" t="n"/>
      <c r="D12" s="2" t="inlineStr">
        <is>
          <t>Waiting</t>
        </is>
      </c>
      <c r="E12" s="2">
        <f>COUNTIF(Applications!H2:H500,D12)</f>
        <v/>
      </c>
    </row>
    <row r="13">
      <c r="A13" s="2" t="n"/>
      <c r="B13" s="2" t="n"/>
      <c r="C13" s="2" t="n"/>
      <c r="D13" s="2" t="inlineStr">
        <is>
          <t>OA</t>
        </is>
      </c>
      <c r="E13" s="2">
        <f>COUNTIF(Applications!H2:H500,D13)</f>
        <v/>
      </c>
    </row>
    <row r="14">
      <c r="A14" s="2" t="n"/>
      <c r="B14" s="2" t="n"/>
      <c r="C14" s="2" t="n"/>
      <c r="D14" s="2" t="inlineStr">
        <is>
          <t>Technical Interview</t>
        </is>
      </c>
      <c r="E14" s="2">
        <f>COUNTIF(Applications!H2:H500,D14)</f>
        <v/>
      </c>
    </row>
    <row r="15">
      <c r="A15" s="2" t="n"/>
      <c r="B15" s="2" t="n"/>
      <c r="C15" s="2" t="n"/>
      <c r="D15" s="2" t="inlineStr">
        <is>
          <t>HR/Manager</t>
        </is>
      </c>
      <c r="E15" s="2">
        <f>COUNTIF(Applications!H2:H500,D15)</f>
        <v/>
      </c>
    </row>
    <row r="16">
      <c r="A16" s="2" t="n"/>
      <c r="B16" s="2" t="n"/>
      <c r="C16" s="2" t="n"/>
      <c r="D16" s="2" t="inlineStr">
        <is>
          <t>Offer</t>
        </is>
      </c>
      <c r="E16" s="2">
        <f>COUNTIF(Applications!H2:H500,D16)</f>
        <v/>
      </c>
    </row>
    <row r="17">
      <c r="A17" s="2" t="n"/>
      <c r="B17" s="2" t="n"/>
      <c r="C17" s="2" t="n"/>
      <c r="D17" s="2" t="inlineStr">
        <is>
          <t>Rejected</t>
        </is>
      </c>
      <c r="E17" s="2">
        <f>COUNTIF(Applications!H2:H500,D17)</f>
        <v/>
      </c>
    </row>
    <row r="18">
      <c r="A18" s="2" t="n"/>
      <c r="B18" s="2" t="n"/>
      <c r="C18" s="2" t="n"/>
      <c r="D18" s="2" t="inlineStr">
        <is>
          <t>Ghosted</t>
        </is>
      </c>
      <c r="E18" s="2">
        <f>COUNTIF(Applications!H2:H500,D18)</f>
        <v/>
      </c>
    </row>
    <row r="19">
      <c r="A19" s="2" t="n"/>
      <c r="B19" s="2" t="n"/>
      <c r="C19" s="2" t="n"/>
      <c r="D19" s="2" t="inlineStr">
        <is>
          <t>PPO</t>
        </is>
      </c>
      <c r="E19" s="2">
        <f>COUNTIF(Applications!H2:H500,D19)</f>
        <v/>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K41"/>
  <sheetViews>
    <sheetView workbookViewId="0">
      <pane ySplit="1" topLeftCell="A2" activePane="bottomLeft" state="frozen"/>
      <selection activeCell="A1" sqref="A1:D1"/>
      <selection pane="bottomLeft" activeCell="A1" sqref="A1:D1"/>
    </sheetView>
  </sheetViews>
  <sheetFormatPr baseColWidth="8" defaultRowHeight="15"/>
  <cols>
    <col width="24" customWidth="1" style="15" min="1" max="37"/>
  </cols>
  <sheetData>
    <row r="1">
      <c r="A1" s="5" t="inlineStr">
        <is>
          <t>Job ID</t>
        </is>
      </c>
      <c r="B1" s="5" t="inlineStr">
        <is>
          <t>Company</t>
        </is>
      </c>
      <c r="C1" s="5" t="inlineStr">
        <is>
          <t>Role</t>
        </is>
      </c>
      <c r="D1" s="5" t="inlineStr">
        <is>
          <t>Job URL</t>
        </is>
      </c>
      <c r="E1" s="5" t="inlineStr">
        <is>
          <t>Source</t>
        </is>
      </c>
      <c r="F1" s="5" t="inlineStr">
        <is>
          <t>Location</t>
        </is>
      </c>
      <c r="G1" s="5" t="inlineStr">
        <is>
          <t>Work Mode</t>
        </is>
      </c>
      <c r="H1" s="5" t="inlineStr">
        <is>
          <t>Job Type</t>
        </is>
      </c>
      <c r="I1" s="5" t="inlineStr">
        <is>
          <t>Duration</t>
        </is>
      </c>
      <c r="J1" s="5" t="inlineStr">
        <is>
          <t>Stipend Raw</t>
        </is>
      </c>
      <c r="K1" s="5" t="inlineStr">
        <is>
          <t>Eligibility Status</t>
        </is>
      </c>
      <c r="L1" s="5" t="inlineStr">
        <is>
          <t>Eligibility Reasons</t>
        </is>
      </c>
      <c r="M1" s="5" t="inlineStr">
        <is>
          <t>Availability Status</t>
        </is>
      </c>
      <c r="N1" s="5" t="inlineStr">
        <is>
          <t>Availability Reason</t>
        </is>
      </c>
      <c r="O1" s="5" t="inlineStr">
        <is>
          <t>Compensation Status</t>
        </is>
      </c>
      <c r="P1" s="5" t="inlineStr">
        <is>
          <t>Guaranteed Stipend</t>
        </is>
      </c>
      <c r="Q1" s="5" t="inlineStr">
        <is>
          <t>Incentive Included</t>
        </is>
      </c>
      <c r="R1" s="5" t="inlineStr">
        <is>
          <t>PPO Status</t>
        </is>
      </c>
      <c r="S1" s="5" t="inlineStr">
        <is>
          <t>PPO Evidence</t>
        </is>
      </c>
      <c r="T1" s="5" t="inlineStr">
        <is>
          <t>Technical Fit</t>
        </is>
      </c>
      <c r="U1" s="5" t="inlineStr">
        <is>
          <t>Experience Fit</t>
        </is>
      </c>
      <c r="V1" s="5" t="inlineStr">
        <is>
          <t>Role Fit</t>
        </is>
      </c>
      <c r="W1" s="5" t="inlineStr">
        <is>
          <t>PPO Score</t>
        </is>
      </c>
      <c r="X1" s="5" t="inlineStr">
        <is>
          <t>Compensation Fit</t>
        </is>
      </c>
      <c r="Y1" s="5" t="inlineStr">
        <is>
          <t>Opportunity Quality</t>
        </is>
      </c>
      <c r="Z1" s="5" t="inlineStr">
        <is>
          <t>Overall Score</t>
        </is>
      </c>
      <c r="AA1" s="5" t="inlineStr">
        <is>
          <t>Recommendation</t>
        </is>
      </c>
      <c r="AB1" s="5" t="inlineStr">
        <is>
          <t>Required Skills</t>
        </is>
      </c>
      <c r="AC1" s="5" t="inlineStr">
        <is>
          <t>Preferred Skills</t>
        </is>
      </c>
      <c r="AD1" s="5" t="inlineStr">
        <is>
          <t>Skill Gaps</t>
        </is>
      </c>
      <c r="AE1" s="5" t="inlineStr">
        <is>
          <t>Hard Blockers</t>
        </is>
      </c>
      <c r="AF1" s="5" t="inlineStr">
        <is>
          <t>Red Flags</t>
        </is>
      </c>
      <c r="AG1" s="5" t="inlineStr">
        <is>
          <t>Recommended Resume</t>
        </is>
      </c>
      <c r="AH1" s="5" t="inlineStr">
        <is>
          <t>Interview Topics</t>
        </is>
      </c>
      <c r="AI1" s="5" t="inlineStr">
        <is>
          <t>Why Apply</t>
        </is>
      </c>
      <c r="AJ1" s="5" t="inlineStr">
        <is>
          <t>Why Not</t>
        </is>
      </c>
      <c r="AK1" s="5" t="inlineStr">
        <is>
          <t>Date Found</t>
        </is>
      </c>
    </row>
    <row r="2">
      <c r="A2" t="inlineStr">
        <is>
          <t>SUBSPACE-260909</t>
        </is>
      </c>
      <c r="B2" t="inlineStr">
        <is>
          <t>SubSpace</t>
        </is>
      </c>
      <c r="C2" t="inlineStr">
        <is>
          <t>Software Development</t>
        </is>
      </c>
      <c r="E2" t="inlineStr">
        <is>
          <t>AI Analyzer</t>
        </is>
      </c>
      <c r="F2" t="inlineStr">
        <is>
          <t>Bangalore</t>
        </is>
      </c>
      <c r="G2" t="inlineStr">
        <is>
          <t>Hybrid</t>
        </is>
      </c>
      <c r="H2" t="inlineStr">
        <is>
          <t>Internship</t>
        </is>
      </c>
      <c r="I2" t="inlineStr">
        <is>
          <t>6 months</t>
        </is>
      </c>
      <c r="J2" t="inlineStr">
        <is>
          <t>₹30,000–40,001 headline; fixed ₹20,000–30,000 + incentive ₹10,000–10,001</t>
        </is>
      </c>
      <c r="K2" t="inlineStr">
        <is>
          <t>risk</t>
        </is>
      </c>
      <c r="L2" t="inlineStr">
        <is>
          <t>Full-time/in-office and specific start window require availability confirmation.</t>
        </is>
      </c>
      <c r="M2" t="inlineStr">
        <is>
          <t>risk</t>
        </is>
      </c>
      <c r="N2" t="inlineStr">
        <is>
          <t>Required start window must be confirmed against candidate availability.</t>
        </is>
      </c>
      <c r="O2" t="inlineStr">
        <is>
          <t>verify</t>
        </is>
      </c>
      <c r="P2" t="n">
        <v>20000</v>
      </c>
      <c r="Q2" t="inlineStr">
        <is>
          <t>Yes</t>
        </is>
      </c>
      <c r="R2" t="inlineStr">
        <is>
          <t>strong</t>
        </is>
      </c>
      <c r="S2" t="inlineStr">
        <is>
          <t>Job offer up to ₹11 LPA post internship.</t>
        </is>
      </c>
      <c r="T2" t="n">
        <v>91</v>
      </c>
      <c r="U2" t="n">
        <v>94</v>
      </c>
      <c r="V2" t="n">
        <v>98</v>
      </c>
      <c r="W2" t="n">
        <v>100</v>
      </c>
      <c r="X2" t="n">
        <v>90</v>
      </c>
      <c r="Y2" t="n">
        <v>90</v>
      </c>
      <c r="Z2" t="n">
        <v>94</v>
      </c>
      <c r="AA2" t="inlineStr">
        <is>
          <t>APPLY</t>
        </is>
      </c>
      <c r="AB2" t="inlineStr">
        <is>
          <t>Node.js; Express; JavaScript; REST APIs; Git/GitHub; Go; GraphQL; WebSockets</t>
        </is>
      </c>
      <c r="AC2" t="inlineStr">
        <is>
          <t>Next.js; React; SQL; Tailwind CSS; Python; Hasura; AI/Claude</t>
        </is>
      </c>
      <c r="AD2" t="inlineStr">
        <is>
          <t>{"skill": "Go", "severity": "important", "reason": "Candidate fit is stronger in Node.js."}</t>
        </is>
      </c>
      <c r="AF2" t="inlineStr">
        <is>
          <t>Guaranteed stipend should be verified because headline total includes incentives.</t>
        </is>
      </c>
      <c r="AG2" t="inlineStr">
        <is>
          <t>Full Stack</t>
        </is>
      </c>
      <c r="AH2" t="inlineStr">
        <is>
          <t>Node.js; Express; JavaScript; REST APIs; Git/GitHub; React; SQL; WebSockets; DSA</t>
        </is>
      </c>
      <c r="AI2" t="inlineStr">
        <is>
          <t>Strong Node/Express/JavaScript/REST alignment.; Explicit post-internship job offer up to ₹11 LPA.</t>
        </is>
      </c>
      <c r="AJ2" t="inlineStr">
        <is>
          <t>Availability/start-date must be confirmed.; Guaranteed stipend should be verified.</t>
        </is>
      </c>
      <c r="AK2" t="inlineStr">
        <is>
          <t>2026-09-09</t>
        </is>
      </c>
    </row>
    <row r="3">
      <c r="A3" t="inlineStr">
        <is>
          <t>SUBSPACE-260909</t>
        </is>
      </c>
      <c r="B3" t="inlineStr">
        <is>
          <t>SubSpace</t>
        </is>
      </c>
      <c r="C3" t="inlineStr">
        <is>
          <t>Software Development Intern</t>
        </is>
      </c>
      <c r="E3" t="inlineStr">
        <is>
          <t>AI Analyzer</t>
        </is>
      </c>
      <c r="F3" t="inlineStr">
        <is>
          <t>Bangalore</t>
        </is>
      </c>
      <c r="G3" t="inlineStr">
        <is>
          <t>Hybrid</t>
        </is>
      </c>
      <c r="H3" t="inlineStr">
        <is>
          <t>Internship</t>
        </is>
      </c>
      <c r="I3" t="inlineStr">
        <is>
          <t>6 Months</t>
        </is>
      </c>
      <c r="J3" t="inlineStr">
        <is>
          <t>₹30,000 – ₹40,001/month</t>
        </is>
      </c>
      <c r="K3" t="inlineStr">
        <is>
          <t>eligible</t>
        </is>
      </c>
      <c r="L3" t="inlineStr">
        <is>
          <t>Meets general qualification and skill criteria; Undergraduate degree requirement is a plus, not a hard blocker</t>
        </is>
      </c>
      <c r="M3" t="inlineStr">
        <is>
          <t>unknown</t>
        </is>
      </c>
      <c r="N3" t="inlineStr">
        <is>
          <t>Candidate availability dates not explicitly confirmed against immediate start.</t>
        </is>
      </c>
      <c r="O3" t="inlineStr">
        <is>
          <t>disclosed</t>
        </is>
      </c>
      <c r="P3" t="n">
        <v>30000</v>
      </c>
      <c r="Q3" t="inlineStr">
        <is>
          <t>No</t>
        </is>
      </c>
      <c r="R3" t="inlineStr">
        <is>
          <t>available</t>
        </is>
      </c>
      <c r="S3" t="inlineStr">
        <is>
          <t>On successful conversion to a permanent employee, the candidate can expect a salary of approximately ₹6 LPA to ₹11 LPA.</t>
        </is>
      </c>
      <c r="T3" t="n">
        <v>24</v>
      </c>
      <c r="U3" t="n">
        <v>18</v>
      </c>
      <c r="V3" t="n">
        <v>15</v>
      </c>
      <c r="W3" t="n">
        <v>15</v>
      </c>
      <c r="X3" t="n">
        <v>10</v>
      </c>
      <c r="Y3" t="n">
        <v>9</v>
      </c>
      <c r="Z3" t="n">
        <v>91</v>
      </c>
      <c r="AA3" t="inlineStr">
        <is>
          <t>APPLY ASAP</t>
        </is>
      </c>
      <c r="AB3" t="inlineStr">
        <is>
          <t>Artificial Intelligence; Claude; Express.js; Golang; GraphQL; Hasura; JavaScript; Next.js; Node.js; Python; React; SQL; Tailwind CSS</t>
        </is>
      </c>
      <c r="AD3" t="inlineStr">
        <is>
          <t>Golang; GraphQL; Hasura; Next.js; Tailwind CSS</t>
        </is>
      </c>
      <c r="AG3" t="inlineStr">
        <is>
          <t>Full Stack / MERN focused resume</t>
        </is>
      </c>
      <c r="AH3" t="inlineStr">
        <is>
          <t>Node.js and Express architecture; RESTful APIs and WebSockets; JavaScript asynchronous programming; Git and GitHub workflow; Problem-solving and AI-assisted development</t>
        </is>
      </c>
      <c r="AI3" t="inlineStr">
        <is>
          <t>Stipend exceeds minimum target of ₹25,000/month; Strong tech stack overlap with Node.js, Express, React, and JavaScript; PPO/conversion opportunity clearly stated with a solid salary range; Hybrid work mode and good perks</t>
        </is>
      </c>
      <c r="AJ3" t="inlineStr">
        <is>
          <t>Some secondary stack requirements like Golang and GraphQL are missing from direct candidate profile</t>
        </is>
      </c>
      <c r="AK3" t="inlineStr">
        <is>
          <t>2026-09-09</t>
        </is>
      </c>
    </row>
    <row r="4">
      <c r="A4" t="inlineStr">
        <is>
          <t>JOVEO-260909-1</t>
        </is>
      </c>
      <c r="B4" t="inlineStr">
        <is>
          <t>Joveo</t>
        </is>
      </c>
      <c r="C4" t="inlineStr">
        <is>
          <t>Software Engineering Intern (Full Stack)</t>
        </is>
      </c>
      <c r="D4" t="inlineStr">
        <is>
          <t>https://in.jooble.org/jdp/-1939946349168902640</t>
        </is>
      </c>
      <c r="E4" t="inlineStr">
        <is>
          <t>AI Analyzer</t>
        </is>
      </c>
      <c r="F4" t="inlineStr">
        <is>
          <t>Bangalore</t>
        </is>
      </c>
      <c r="G4" t="inlineStr">
        <is>
          <t>Unknown</t>
        </is>
      </c>
      <c r="H4" t="inlineStr">
        <is>
          <t>Internship</t>
        </is>
      </c>
      <c r="I4" t="inlineStr">
        <is>
          <t>Unknown</t>
        </is>
      </c>
      <c r="J4" t="inlineStr">
        <is>
          <t>Competitive stipend</t>
        </is>
      </c>
      <c r="K4" t="inlineStr">
        <is>
          <t>ELIGIBLE</t>
        </is>
      </c>
      <c r="L4" t="inlineStr">
        <is>
          <t>Candidate is pursuing MCA at PES University and fits the software engineering student profile.</t>
        </is>
      </c>
      <c r="M4" t="inlineStr">
        <is>
          <t>UNKNOWN</t>
        </is>
      </c>
      <c r="N4" t="inlineStr">
        <is>
          <t>Candidate availability dates were not provided in the career brain.</t>
        </is>
      </c>
      <c r="O4" t="inlineStr">
        <is>
          <t>UNKNOWN</t>
        </is>
      </c>
      <c r="P4" t="n">
        <v>0</v>
      </c>
      <c r="Q4" t="inlineStr">
        <is>
          <t>No</t>
        </is>
      </c>
      <c r="R4" t="inlineStr">
        <is>
          <t>UNKNOWN</t>
        </is>
      </c>
      <c r="S4" t="inlineStr">
        <is>
          <t>PPO or conversion possibility not explicitly mentioned in the snippet.</t>
        </is>
      </c>
      <c r="T4" t="n">
        <v>27</v>
      </c>
      <c r="U4" t="n">
        <v>18</v>
      </c>
      <c r="V4" t="n">
        <v>14</v>
      </c>
      <c r="W4" t="n">
        <v>5</v>
      </c>
      <c r="X4" t="n">
        <v>5</v>
      </c>
      <c r="Y4" t="n">
        <v>8</v>
      </c>
      <c r="Z4" t="n">
        <v>77</v>
      </c>
      <c r="AA4" t="inlineStr">
        <is>
          <t>CONSIDER</t>
        </is>
      </c>
      <c r="AB4" t="inlineStr">
        <is>
          <t>Full Stack Development; JavaScript; React.js; Node.js</t>
        </is>
      </c>
      <c r="AC4" t="inlineStr">
        <is>
          <t>AI</t>
        </is>
      </c>
      <c r="AF4" t="inlineStr">
        <is>
          <t>Stipend amount is not disclosed (Competitive stipend)</t>
        </is>
      </c>
      <c r="AG4" t="inlineStr">
        <is>
          <t>Amaanuddin_Ahmed_Fullstack_Resume.pdf</t>
        </is>
      </c>
      <c r="AH4" t="inlineStr">
        <is>
          <t>MERN stack architecture; REST API design and implementation; State management in React; Asynchronous programming in Node.js</t>
        </is>
      </c>
      <c r="AI4" t="inlineStr">
        <is>
          <t>Direct match for Full Stack internship role leveraging MERN stack skills.; Location matches target city (Bangalore).; Good opportunity to work on AI-driven recruitment platforms.</t>
        </is>
      </c>
      <c r="AJ4" t="inlineStr">
        <is>
          <t>Stipend is undisclosed and marked as competitive rather than explicit.; No explicit PPO mention in the snippet.</t>
        </is>
      </c>
      <c r="AK4" t="inlineStr">
        <is>
          <t>2026-09-09</t>
        </is>
      </c>
    </row>
    <row r="5">
      <c r="A5" t="inlineStr">
        <is>
          <t>FRIDAY-MEDIA-260909-2</t>
        </is>
      </c>
      <c r="B5" t="inlineStr">
        <is>
          <t>friday media tech india (fmg)</t>
        </is>
      </c>
      <c r="C5" t="inlineStr">
        <is>
          <t>Software Engineer Intern</t>
        </is>
      </c>
      <c r="D5" t="inlineStr">
        <is>
          <t>https://in.jooble.org/jdp/-5404656752169186420</t>
        </is>
      </c>
      <c r="E5" t="inlineStr">
        <is>
          <t>AI Analyzer</t>
        </is>
      </c>
      <c r="F5" t="inlineStr">
        <is>
          <t>Bangalore</t>
        </is>
      </c>
      <c r="G5" t="inlineStr">
        <is>
          <t>Unknown</t>
        </is>
      </c>
      <c r="H5" t="inlineStr">
        <is>
          <t>Internship</t>
        </is>
      </c>
      <c r="I5" t="inlineStr">
        <is>
          <t>Unknown</t>
        </is>
      </c>
      <c r="J5" t="inlineStr">
        <is>
          <t>Not specified</t>
        </is>
      </c>
      <c r="K5" t="inlineStr">
        <is>
          <t>Eligible</t>
        </is>
      </c>
      <c r="L5" t="inlineStr">
        <is>
          <t>Candidate is an MCA student seeking internships; No specific hard blockers like strict graduation year or tech stacks mentioned in the snippet</t>
        </is>
      </c>
      <c r="M5" t="inlineStr">
        <is>
          <t>Unknown</t>
        </is>
      </c>
      <c r="N5" t="inlineStr">
        <is>
          <t>Not enough details provided in the candidate profile regarding start date</t>
        </is>
      </c>
      <c r="O5" t="inlineStr">
        <is>
          <t>UNKNOWN</t>
        </is>
      </c>
      <c r="P5" t="n">
        <v>0</v>
      </c>
      <c r="Q5" t="inlineStr">
        <is>
          <t>No</t>
        </is>
      </c>
      <c r="R5" t="inlineStr">
        <is>
          <t>Not Mentioned</t>
        </is>
      </c>
      <c r="S5" t="inlineStr">
        <is>
          <t>No mention of PPO or conversion in the short snippet</t>
        </is>
      </c>
      <c r="T5" t="n">
        <v>22</v>
      </c>
      <c r="U5" t="n">
        <v>15</v>
      </c>
      <c r="V5" t="n">
        <v>12</v>
      </c>
      <c r="W5" t="n">
        <v>5</v>
      </c>
      <c r="X5" t="n">
        <v>0</v>
      </c>
      <c r="Y5" t="n">
        <v>5</v>
      </c>
      <c r="Z5" t="n">
        <v>59</v>
      </c>
      <c r="AA5" t="inlineStr">
        <is>
          <t>SKIP</t>
        </is>
      </c>
      <c r="AB5" t="inlineStr">
        <is>
          <t>Modern web technologies; Frameworks</t>
        </is>
      </c>
      <c r="AF5" t="inlineStr">
        <is>
          <t>Vague job description snippet with minimal details on tech stack and stipend</t>
        </is>
      </c>
      <c r="AG5" t="inlineStr">
        <is>
          <t>Default Full Stack Resume</t>
        </is>
      </c>
      <c r="AH5" t="inlineStr">
        <is>
          <t>Web Development Fundamentals; JavaScript Frameworks; Previous Projects (StaySphere/Zenvest)</t>
        </is>
      </c>
      <c r="AI5" t="inlineStr">
        <is>
          <t>Matches general software engineering intern profile; Located in Bangalore</t>
        </is>
      </c>
      <c r="AJ5" t="inlineStr">
        <is>
          <t>Extremely vague job description with no tech stack specifics; Stipend is completely unknown and likely below expectations; No PPO conversion details mentioned</t>
        </is>
      </c>
      <c r="AK5" t="inlineStr">
        <is>
          <t>2026-09-09</t>
        </is>
      </c>
    </row>
    <row r="6">
      <c r="A6" t="inlineStr">
        <is>
          <t>STRIPE-260909-3</t>
        </is>
      </c>
      <c r="B6" t="inlineStr">
        <is>
          <t>Stripe</t>
        </is>
      </c>
      <c r="C6" t="inlineStr">
        <is>
          <t>Software Engineer, Intern</t>
        </is>
      </c>
      <c r="D6" t="inlineStr">
        <is>
          <t>https://in.jooble.org/jdp/6361268409707951745</t>
        </is>
      </c>
      <c r="E6" t="inlineStr">
        <is>
          <t>AI Analyzer</t>
        </is>
      </c>
      <c r="F6" t="inlineStr">
        <is>
          <t>Bangalore</t>
        </is>
      </c>
      <c r="G6" t="inlineStr">
        <is>
          <t>Unknown</t>
        </is>
      </c>
      <c r="H6" t="inlineStr">
        <is>
          <t>Internship</t>
        </is>
      </c>
      <c r="I6" t="inlineStr">
        <is>
          <t>Unknown</t>
        </is>
      </c>
      <c r="J6" t="inlineStr">
        <is>
          <t>Not specified</t>
        </is>
      </c>
      <c r="K6" t="inlineStr">
        <is>
          <t>UNKNOWN</t>
        </is>
      </c>
      <c r="L6" t="inlineStr">
        <is>
          <t>Job description snippet does not specify explicit graduation year, degree, or experience requirements.</t>
        </is>
      </c>
      <c r="M6" t="inlineStr">
        <is>
          <t>UNKNOWN</t>
        </is>
      </c>
      <c r="N6" t="inlineStr">
        <is>
          <t>Candidate availability details are not provided in the career brain.</t>
        </is>
      </c>
      <c r="O6" t="inlineStr">
        <is>
          <t>UNKNOWN</t>
        </is>
      </c>
      <c r="P6" t="n">
        <v>0</v>
      </c>
      <c r="Q6" t="inlineStr">
        <is>
          <t>No</t>
        </is>
      </c>
      <c r="R6" t="inlineStr">
        <is>
          <t>UNKNOWN</t>
        </is>
      </c>
      <c r="S6" t="inlineStr">
        <is>
          <t>Snippet does not explicitly mention PPO conversion, though it is a prominent tech intern role.</t>
        </is>
      </c>
      <c r="T6" t="n">
        <v>50</v>
      </c>
      <c r="U6" t="n">
        <v>70</v>
      </c>
      <c r="V6" t="n">
        <v>70</v>
      </c>
      <c r="W6" t="n">
        <v>50</v>
      </c>
      <c r="X6" t="n">
        <v>0</v>
      </c>
      <c r="Y6" t="n">
        <v>80</v>
      </c>
      <c r="Z6" t="n">
        <v>57</v>
      </c>
      <c r="AA6" t="inlineStr">
        <is>
          <t>SKIP</t>
        </is>
      </c>
      <c r="AF6" t="inlineStr">
        <is>
          <t>Extremely brief job description snippet provided with no concrete technology stack requirements or qualification criteria.</t>
        </is>
      </c>
      <c r="AG6" t="inlineStr">
        <is>
          <t>Default Software Engineering Resume</t>
        </is>
      </c>
      <c r="AH6" t="inlineStr">
        <is>
          <t>System Design; Data Structures and Algorithms; Production Software Engineering Practices; Previous Project Architecture</t>
        </is>
      </c>
      <c r="AI6" t="inlineStr">
        <is>
          <t>Stripe is a top-tier global product company offering high engineering standards and strong career branding.</t>
        </is>
      </c>
      <c r="AJ6" t="inlineStr">
        <is>
          <t>The job description snippet is extremely sparse, making it impossible to evaluate specific tech requirements.; Stipend information is completely missing.; Overall calculated score falls below 60 due to lack of information and unknown compensation.</t>
        </is>
      </c>
      <c r="AK6" t="inlineStr">
        <is>
          <t>2026-09-09</t>
        </is>
      </c>
    </row>
    <row r="7">
      <c r="A7" t="inlineStr">
        <is>
          <t>ECERA-SYSTEM-260909-4</t>
        </is>
      </c>
      <c r="B7" t="inlineStr">
        <is>
          <t>Ecera System</t>
        </is>
      </c>
      <c r="C7" t="inlineStr">
        <is>
          <t>Software Engineer Intern</t>
        </is>
      </c>
      <c r="D7" t="inlineStr">
        <is>
          <t>https://in.jooble.org/jdp/-4076037738651150701</t>
        </is>
      </c>
      <c r="E7" t="inlineStr">
        <is>
          <t>AI Analyzer</t>
        </is>
      </c>
      <c r="F7" t="inlineStr">
        <is>
          <t>Bangalore</t>
        </is>
      </c>
      <c r="G7" t="inlineStr">
        <is>
          <t>Unknown</t>
        </is>
      </c>
      <c r="H7" t="inlineStr">
        <is>
          <t>Internship</t>
        </is>
      </c>
      <c r="I7" t="inlineStr">
        <is>
          <t>Unknown</t>
        </is>
      </c>
      <c r="J7" t="inlineStr">
        <is>
          <t>Paid</t>
        </is>
      </c>
      <c r="K7" t="inlineStr">
        <is>
          <t>Eligible</t>
        </is>
      </c>
      <c r="L7" t="inlineStr">
        <is>
          <t>Candidate is pursuing MCA; Role aligns with target software engineering internships</t>
        </is>
      </c>
      <c r="M7" t="inlineStr">
        <is>
          <t>Unknown</t>
        </is>
      </c>
      <c r="N7" t="inlineStr">
        <is>
          <t>Availability requirements not specified in job description</t>
        </is>
      </c>
      <c r="O7" t="inlineStr">
        <is>
          <t>UNKNOWN</t>
        </is>
      </c>
      <c r="P7" t="n">
        <v>0</v>
      </c>
      <c r="Q7" t="inlineStr">
        <is>
          <t>No</t>
        </is>
      </c>
      <c r="R7" t="inlineStr">
        <is>
          <t>Not Mentioned</t>
        </is>
      </c>
      <c r="S7" t="inlineStr">
        <is>
          <t>No mention of PPO or conversion to full-time role in the job snippet</t>
        </is>
      </c>
      <c r="T7" t="n">
        <v>70</v>
      </c>
      <c r="U7" t="n">
        <v>70</v>
      </c>
      <c r="V7" t="n">
        <v>80</v>
      </c>
      <c r="W7" t="n">
        <v>50</v>
      </c>
      <c r="X7" t="n">
        <v>50</v>
      </c>
      <c r="Y7" t="n">
        <v>60</v>
      </c>
      <c r="Z7" t="n">
        <v>67</v>
      </c>
      <c r="AA7" t="inlineStr">
        <is>
          <t>STRETCH</t>
        </is>
      </c>
      <c r="AB7" t="inlineStr">
        <is>
          <t>Software Development; Testing; Application Design</t>
        </is>
      </c>
      <c r="AF7" t="inlineStr">
        <is>
          <t>Very vague job description snippet with minimal details</t>
        </is>
      </c>
      <c r="AG7" t="inlineStr">
        <is>
          <t>Default Full Stack / Software Engineering Resume</t>
        </is>
      </c>
      <c r="AH7" t="inlineStr">
        <is>
          <t>Software development life cycle; Problem solving and coding fundamentals; Past internship or project experience</t>
        </is>
      </c>
      <c r="AI7" t="inlineStr">
        <is>
          <t>Matches target software engineering intern role; Located in Bangalore</t>
        </is>
      </c>
      <c r="AJ7" t="inlineStr">
        <is>
          <t>Extremely vague job description with no specific technology requirements or stipend amount provided; No PPO mentioned</t>
        </is>
      </c>
      <c r="AK7" t="inlineStr">
        <is>
          <t>2026-09-09</t>
        </is>
      </c>
    </row>
    <row r="8">
      <c r="A8" t="inlineStr">
        <is>
          <t>ALLEN-DIGITA-260909-5</t>
        </is>
      </c>
      <c r="B8" t="inlineStr">
        <is>
          <t>allen digital</t>
        </is>
      </c>
      <c r="C8" t="inlineStr">
        <is>
          <t>Software Engineer Intern</t>
        </is>
      </c>
      <c r="D8" t="inlineStr">
        <is>
          <t>https://in.jooble.org/jdp/5384164569259953805</t>
        </is>
      </c>
      <c r="E8" t="inlineStr">
        <is>
          <t>AI Analyzer</t>
        </is>
      </c>
      <c r="F8" t="inlineStr">
        <is>
          <t>Bangalore</t>
        </is>
      </c>
      <c r="G8" t="inlineStr">
        <is>
          <t>UNKNOWN</t>
        </is>
      </c>
      <c r="H8" t="inlineStr">
        <is>
          <t>Internship</t>
        </is>
      </c>
      <c r="I8" t="inlineStr">
        <is>
          <t>UNKNOWN</t>
        </is>
      </c>
      <c r="J8" t="inlineStr">
        <is>
          <t>Not specified</t>
        </is>
      </c>
      <c r="K8" t="inlineStr">
        <is>
          <t>ELIGIBLE</t>
        </is>
      </c>
      <c r="L8" t="inlineStr">
        <is>
          <t>Currently pursuing a Master's degree in Computer Science or a related technical field; Scheduled to complete in 2026</t>
        </is>
      </c>
      <c r="M8" t="inlineStr">
        <is>
          <t>UNKNOWN</t>
        </is>
      </c>
      <c r="N8" t="inlineStr">
        <is>
          <t>Availability not specified in the job description</t>
        </is>
      </c>
      <c r="O8" t="inlineStr">
        <is>
          <t>UNKNOWN</t>
        </is>
      </c>
      <c r="P8" t="n">
        <v>0</v>
      </c>
      <c r="Q8" t="inlineStr">
        <is>
          <t>No</t>
        </is>
      </c>
      <c r="R8" t="inlineStr">
        <is>
          <t>UNKNOWN</t>
        </is>
      </c>
      <c r="S8" t="inlineStr">
        <is>
          <t>PPO or conversion details not mentioned in the snippet</t>
        </is>
      </c>
      <c r="T8" t="n">
        <v>60</v>
      </c>
      <c r="U8" t="n">
        <v>90</v>
      </c>
      <c r="V8" t="n">
        <v>80</v>
      </c>
      <c r="W8" t="n">
        <v>50</v>
      </c>
      <c r="X8" t="n">
        <v>50</v>
      </c>
      <c r="Y8" t="n">
        <v>70</v>
      </c>
      <c r="Z8" t="n">
        <v>67</v>
      </c>
      <c r="AA8" t="inlineStr">
        <is>
          <t>STRETCH</t>
        </is>
      </c>
      <c r="AB8" t="inlineStr">
        <is>
          <t>Go; Backend programming language</t>
        </is>
      </c>
      <c r="AD8" t="inlineStr">
        <is>
          <t>Go</t>
        </is>
      </c>
      <c r="AG8" t="inlineStr">
        <is>
          <t>Amaanuddin_Ahmed_Resume_Software_Engineering.pdf</t>
        </is>
      </c>
      <c r="AH8" t="inlineStr">
        <is>
          <t>Go programming language basics and concurrency; Backend development fundamentals; Data structures and algorithms; Projects architecture discussion</t>
        </is>
      </c>
      <c r="AI8" t="inlineStr">
        <is>
          <t>Matches the education criteria as an MCA student graduating in 2026; Good alignment with Software Engineering internship role</t>
        </is>
      </c>
      <c r="AJ8" t="inlineStr">
        <is>
          <t>Requires Go development which is not explicitly highlighted in candidate's primary demonstrated skills; Stipend details are completely unknown; No mention of PPO</t>
        </is>
      </c>
      <c r="AK8" t="inlineStr">
        <is>
          <t>2026-09-09</t>
        </is>
      </c>
    </row>
    <row r="9">
      <c r="A9" t="inlineStr">
        <is>
          <t>IONIC-260909-6</t>
        </is>
      </c>
      <c r="B9" t="inlineStr">
        <is>
          <t>IONIC</t>
        </is>
      </c>
      <c r="C9" t="inlineStr">
        <is>
          <t>Full Stack Engineer / Tech Intern</t>
        </is>
      </c>
      <c r="D9" t="inlineStr">
        <is>
          <t>https://in.jooble.org/jdp/6509585558078273655</t>
        </is>
      </c>
      <c r="E9" t="inlineStr">
        <is>
          <t>AI Analyzer</t>
        </is>
      </c>
      <c r="F9" t="inlineStr">
        <is>
          <t>Gurgaon, Bangalore</t>
        </is>
      </c>
      <c r="G9" t="inlineStr">
        <is>
          <t>On-site</t>
        </is>
      </c>
      <c r="H9" t="inlineStr">
        <is>
          <t>Internship</t>
        </is>
      </c>
      <c r="I9" t="inlineStr">
        <is>
          <t>UNKNOWN</t>
        </is>
      </c>
      <c r="J9" t="inlineStr">
        <is>
          <t>INR 25K to 50K</t>
        </is>
      </c>
      <c r="K9" t="inlineStr">
        <is>
          <t>ELIGIBLE</t>
        </is>
      </c>
      <c r="L9" t="inlineStr">
        <is>
          <t>Candidate is pursuing MCA at PES University.; No strict graduation year or degree blockers stated in the snippet.</t>
        </is>
      </c>
      <c r="M9" t="inlineStr">
        <is>
          <t>UNKNOWN</t>
        </is>
      </c>
      <c r="N9" t="inlineStr">
        <is>
          <t>Availability not specified in the career brain.</t>
        </is>
      </c>
      <c r="O9" t="inlineStr">
        <is>
          <t>DISCLOSED</t>
        </is>
      </c>
      <c r="P9" t="n">
        <v>25000</v>
      </c>
      <c r="Q9" t="inlineStr">
        <is>
          <t>No</t>
        </is>
      </c>
      <c r="R9" t="inlineStr">
        <is>
          <t>UNKNOWN</t>
        </is>
      </c>
      <c r="S9" t="inlineStr">
        <is>
          <t>No explicit mention of PPO or conversion in the job snippet.</t>
        </is>
      </c>
      <c r="T9" t="n">
        <v>27</v>
      </c>
      <c r="U9" t="n">
        <v>18</v>
      </c>
      <c r="V9" t="n">
        <v>14</v>
      </c>
      <c r="W9" t="n">
        <v>5</v>
      </c>
      <c r="X9" t="n">
        <v>10</v>
      </c>
      <c r="Y9" t="n">
        <v>8</v>
      </c>
      <c r="Z9" t="n">
        <v>82</v>
      </c>
      <c r="AA9" t="inlineStr">
        <is>
          <t>APPLY</t>
        </is>
      </c>
      <c r="AB9" t="inlineStr">
        <is>
          <t>Full Stack Development; Software Engineering</t>
        </is>
      </c>
      <c r="AF9" t="inlineStr">
        <is>
          <t>Company undergoing rebranding</t>
        </is>
      </c>
      <c r="AG9" t="inlineStr">
        <is>
          <t>Amaanuddin_Ahmed_Fullstack_Resume.pdf</t>
        </is>
      </c>
      <c r="AH9" t="inlineStr">
        <is>
          <t>MERN stack architecture; REST API design and debugging; Problem-solving and troubleshooting software; Previous full stack projects like StaySphere and Zenvest</t>
        </is>
      </c>
      <c r="AI9" t="inlineStr">
        <is>
          <t>Stipend of INR 25K to 50K meets the candidate's minimum stipend target of ₹25,000/month.; Role aligns well with candidate's MERN stack and Full Stack Development background.; Location includes Bangalore.</t>
        </is>
      </c>
      <c r="AJ9" t="inlineStr">
        <is>
          <t>PPO availability is not explicitly mentioned.; Company is currently under rebranding.</t>
        </is>
      </c>
      <c r="AK9" t="inlineStr">
        <is>
          <t>2026-09-09</t>
        </is>
      </c>
    </row>
    <row r="10">
      <c r="A10" t="inlineStr">
        <is>
          <t>RUBRIK-260909-7</t>
        </is>
      </c>
      <c r="B10" t="inlineStr">
        <is>
          <t>Rubrik</t>
        </is>
      </c>
      <c r="C10" t="inlineStr">
        <is>
          <t>Software Engineer - Winter Intern</t>
        </is>
      </c>
      <c r="D10" t="inlineStr">
        <is>
          <t>https://in.jooble.org/jdp/-1777843382272607488</t>
        </is>
      </c>
      <c r="E10" t="inlineStr">
        <is>
          <t>AI Analyzer</t>
        </is>
      </c>
      <c r="F10" t="inlineStr">
        <is>
          <t>Bangalore</t>
        </is>
      </c>
      <c r="G10" t="inlineStr">
        <is>
          <t>Unknown</t>
        </is>
      </c>
      <c r="H10" t="inlineStr">
        <is>
          <t>Internship</t>
        </is>
      </c>
      <c r="I10" t="inlineStr">
        <is>
          <t>Winter Internship</t>
        </is>
      </c>
      <c r="J10" t="inlineStr">
        <is>
          <t>Not specified</t>
        </is>
      </c>
      <c r="K10" t="inlineStr">
        <is>
          <t>Eligible</t>
        </is>
      </c>
      <c r="L10" t="inlineStr">
        <is>
          <t>Location matches target city (Bangalore); Role aligns with Software Engineering target</t>
        </is>
      </c>
      <c r="M10" t="inlineStr">
        <is>
          <t>Unknown</t>
        </is>
      </c>
      <c r="N10" t="inlineStr">
        <is>
          <t>Candidate availability details are not provided in the career brain.</t>
        </is>
      </c>
      <c r="O10" t="inlineStr">
        <is>
          <t>UNKNOWN</t>
        </is>
      </c>
      <c r="P10" t="n">
        <v>0</v>
      </c>
      <c r="Q10" t="inlineStr">
        <is>
          <t>No</t>
        </is>
      </c>
      <c r="R10" t="inlineStr">
        <is>
          <t>Not Mentioned</t>
        </is>
      </c>
      <c r="S10" t="inlineStr">
        <is>
          <t>The job description snippet does not explicitly mention PPO or conversion opportunities.</t>
        </is>
      </c>
      <c r="T10" t="n">
        <v>70</v>
      </c>
      <c r="U10" t="n">
        <v>75</v>
      </c>
      <c r="V10" t="n">
        <v>80</v>
      </c>
      <c r="W10" t="n">
        <v>50</v>
      </c>
      <c r="X10" t="n">
        <v>0</v>
      </c>
      <c r="Y10" t="n">
        <v>75</v>
      </c>
      <c r="Z10" t="n">
        <v>63</v>
      </c>
      <c r="AA10" t="inlineStr">
        <is>
          <t>STRETCH</t>
        </is>
      </c>
      <c r="AF10" t="inlineStr">
        <is>
          <t>Very brief job snippet with no explicit stack, stipend, or requirements mentioned</t>
        </is>
      </c>
      <c r="AG10" t="inlineStr">
        <is>
          <t>Amaanuddin_Ahmed_Software_Engineer_Resume.pdf</t>
        </is>
      </c>
      <c r="AH10" t="inlineStr">
        <is>
          <t>General software engineering principles; Problem solving and data structures; Past project architectures and design</t>
        </is>
      </c>
      <c r="AI10" t="inlineStr">
        <is>
          <t>Rubrik is a prominent tech company offering good engineering exposure in Bangalore.; Matches target Software Engineering role.</t>
        </is>
      </c>
      <c r="AJ10" t="inlineStr">
        <is>
          <t>Stipend is completely unspecified.; No explicit PPO information provided.; Job description snippet lacks detailed technology stack requirements.</t>
        </is>
      </c>
      <c r="AK10" t="inlineStr">
        <is>
          <t>2026-09-09</t>
        </is>
      </c>
    </row>
    <row r="11">
      <c r="A11" t="inlineStr">
        <is>
          <t>REPOWISE-260909-8</t>
        </is>
      </c>
      <c r="B11" t="inlineStr">
        <is>
          <t>Repowise</t>
        </is>
      </c>
      <c r="C11" t="inlineStr">
        <is>
          <t>SDE Intern (Founding Team)</t>
        </is>
      </c>
      <c r="D11" t="inlineStr">
        <is>
          <t>https://in.jooble.org/jdp/8042308166668747854</t>
        </is>
      </c>
      <c r="E11" t="inlineStr">
        <is>
          <t>AI Analyzer</t>
        </is>
      </c>
      <c r="F11" t="inlineStr">
        <is>
          <t>Bangalore</t>
        </is>
      </c>
      <c r="G11" t="inlineStr">
        <is>
          <t>Remote</t>
        </is>
      </c>
      <c r="H11" t="inlineStr">
        <is>
          <t>Internship</t>
        </is>
      </c>
      <c r="I11" t="inlineStr">
        <is>
          <t>UNKNOWN</t>
        </is>
      </c>
      <c r="K11" t="inlineStr">
        <is>
          <t>ELIGIBLE</t>
        </is>
      </c>
      <c r="L11" t="inlineStr">
        <is>
          <t>No explicit degree or graduation-year blockers mentioned in the snippet</t>
        </is>
      </c>
      <c r="M11" t="inlineStr">
        <is>
          <t>UNKNOWN</t>
        </is>
      </c>
      <c r="N11" t="inlineStr">
        <is>
          <t>Not specified in the job description</t>
        </is>
      </c>
      <c r="O11" t="inlineStr">
        <is>
          <t>UNKNOWN</t>
        </is>
      </c>
      <c r="P11" t="n">
        <v>0</v>
      </c>
      <c r="Q11" t="inlineStr">
        <is>
          <t>No</t>
        </is>
      </c>
      <c r="R11" t="inlineStr">
        <is>
          <t>UNKNOWN</t>
        </is>
      </c>
      <c r="S11" t="inlineStr">
        <is>
          <t>No explicit PPO or conversion mention found in the snippet</t>
        </is>
      </c>
      <c r="T11" t="n">
        <v>45</v>
      </c>
      <c r="U11" t="n">
        <v>50</v>
      </c>
      <c r="V11" t="n">
        <v>60</v>
      </c>
      <c r="W11" t="n">
        <v>0</v>
      </c>
      <c r="X11" t="n">
        <v>0</v>
      </c>
      <c r="Y11" t="n">
        <v>60</v>
      </c>
      <c r="Z11" t="n">
        <v>40</v>
      </c>
      <c r="AA11" t="inlineStr">
        <is>
          <t>SKIP</t>
        </is>
      </c>
      <c r="AB11" t="inlineStr">
        <is>
          <t>Python; FastAPI; Docker; LLM integrations</t>
        </is>
      </c>
      <c r="AC11" t="inlineStr">
        <is>
          <t>tree-sitter; git internals; vector search; MCP</t>
        </is>
      </c>
      <c r="AD11" t="inlineStr">
        <is>
          <t>FastAPI; Docker; LLM integrations; tree-sitter; git internals; vector search; MCP</t>
        </is>
      </c>
      <c r="AF11" t="inlineStr">
        <is>
          <t>Stipend is not disclosed</t>
        </is>
      </c>
      <c r="AG11" t="inlineStr">
        <is>
          <t>Default / Backend</t>
        </is>
      </c>
      <c r="AH11" t="inlineStr">
        <is>
          <t>Python proficiency; Code parsing and AST / tree-sitter basics; Vector search and LLM integrations; Git internals</t>
        </is>
      </c>
      <c r="AI11" t="inlineStr">
        <is>
          <t>Exciting early-stage AI x Developer Tools founding team opportunity; Remote work mode aligns well</t>
        </is>
      </c>
      <c r="AJ11" t="inlineStr">
        <is>
          <t>Major skill gaps in FastAPI, Docker, and specialized toolings like tree-sitter and vector search; Stipend is completely undisclosed and unknown; No mention of PPO/conversion</t>
        </is>
      </c>
      <c r="AK11" t="inlineStr">
        <is>
          <t>2026-09-09</t>
        </is>
      </c>
    </row>
    <row r="12">
      <c r="A12" t="inlineStr">
        <is>
          <t>CODINGAL-260909-9</t>
        </is>
      </c>
      <c r="B12" t="inlineStr">
        <is>
          <t>Codingal</t>
        </is>
      </c>
      <c r="C12" t="inlineStr">
        <is>
          <t>Software Engineer Intern</t>
        </is>
      </c>
      <c r="D12" t="inlineStr">
        <is>
          <t>https://in.jooble.org/jdp/3561679318189260784</t>
        </is>
      </c>
      <c r="E12" t="inlineStr">
        <is>
          <t>AI Analyzer</t>
        </is>
      </c>
      <c r="F12" t="inlineStr">
        <is>
          <t>Bangalore</t>
        </is>
      </c>
      <c r="G12" t="inlineStr">
        <is>
          <t>UNKNOWN</t>
        </is>
      </c>
      <c r="H12" t="inlineStr">
        <is>
          <t>Internship</t>
        </is>
      </c>
      <c r="I12" t="inlineStr">
        <is>
          <t>UNKNOWN</t>
        </is>
      </c>
      <c r="J12" t="inlineStr">
        <is>
          <t>Not specified</t>
        </is>
      </c>
      <c r="K12" t="inlineStr">
        <is>
          <t>ELIGIBLE</t>
        </is>
      </c>
      <c r="L12" t="inlineStr">
        <is>
          <t>Role matches candidate target roles in Full Stack Development and Software Engineering; No strict blockers regarding degree or graduation year mentioned in snippet</t>
        </is>
      </c>
      <c r="M12" t="inlineStr">
        <is>
          <t>UNKNOWN</t>
        </is>
      </c>
      <c r="N12" t="inlineStr">
        <is>
          <t>Candidate availability timeline not explicitly discussed in career brain relative to this specific listing</t>
        </is>
      </c>
      <c r="O12" t="inlineStr">
        <is>
          <t>UNKNOWN</t>
        </is>
      </c>
      <c r="P12" t="n">
        <v>0</v>
      </c>
      <c r="Q12" t="inlineStr">
        <is>
          <t>No</t>
        </is>
      </c>
      <c r="R12" t="inlineStr">
        <is>
          <t>UNKNOWN</t>
        </is>
      </c>
      <c r="S12" t="inlineStr">
        <is>
          <t>No explicit PPO or conversion mention found in snippet</t>
        </is>
      </c>
      <c r="T12" t="n">
        <v>21</v>
      </c>
      <c r="U12" t="n">
        <v>16</v>
      </c>
      <c r="V12" t="n">
        <v>14</v>
      </c>
      <c r="W12" t="n">
        <v>5</v>
      </c>
      <c r="X12" t="n">
        <v>0</v>
      </c>
      <c r="Y12" t="n">
        <v>6</v>
      </c>
      <c r="Z12" t="n">
        <v>62</v>
      </c>
      <c r="AA12" t="inlineStr">
        <is>
          <t>STRETCH</t>
        </is>
      </c>
      <c r="AB12" t="inlineStr">
        <is>
          <t>Python; Django; React</t>
        </is>
      </c>
      <c r="AD12" t="inlineStr">
        <is>
          <t>Django</t>
        </is>
      </c>
      <c r="AF12" t="inlineStr">
        <is>
          <t>Stipend details not disclosed; Job description snippet is very brief</t>
        </is>
      </c>
      <c r="AG12" t="inlineStr">
        <is>
          <t>Full Stack / MERN &amp; Python Resume</t>
        </is>
      </c>
      <c r="AH12" t="inlineStr">
        <is>
          <t>Python and Django fundamentals; React state management and component lifecycle; Full-stack web architecture and API integration</t>
        </is>
      </c>
      <c r="AI12" t="inlineStr">
        <is>
          <t>Aligns well with target Software Engineering and Full Stack roles; Candidate already has strong React experience and Python background</t>
        </is>
      </c>
      <c r="AJ12" t="inlineStr">
        <is>
          <t>Stipend is completely unknown; Django is required which is a skill gap compared to Express.js; No PPO mentioned in the snippet</t>
        </is>
      </c>
      <c r="AK12" t="inlineStr">
        <is>
          <t>2026-09-09</t>
        </is>
      </c>
    </row>
    <row r="13">
      <c r="A13" t="inlineStr">
        <is>
          <t>MERKLESCIENC-260909-10</t>
        </is>
      </c>
      <c r="B13" t="inlineStr">
        <is>
          <t>merklescience</t>
        </is>
      </c>
      <c r="C13" t="inlineStr">
        <is>
          <t>Software Engineer(Intern)- Backend</t>
        </is>
      </c>
      <c r="D13" t="inlineStr">
        <is>
          <t>https://in.jooble.org/jdp/-4009572167721000675</t>
        </is>
      </c>
      <c r="E13" t="inlineStr">
        <is>
          <t>AI Analyzer</t>
        </is>
      </c>
      <c r="F13" t="inlineStr">
        <is>
          <t>Bangalore</t>
        </is>
      </c>
      <c r="G13" t="inlineStr">
        <is>
          <t>UNKNOWN</t>
        </is>
      </c>
      <c r="H13" t="inlineStr">
        <is>
          <t>Internship</t>
        </is>
      </c>
      <c r="I13" t="inlineStr">
        <is>
          <t>UNKNOWN</t>
        </is>
      </c>
      <c r="K13" t="inlineStr">
        <is>
          <t>ELIGIBLE</t>
        </is>
      </c>
      <c r="L13" t="inlineStr">
        <is>
          <t>No explicit graduation year or degree restrictions mentioned in the snippet.</t>
        </is>
      </c>
      <c r="M13" t="inlineStr">
        <is>
          <t>UNKNOWN</t>
        </is>
      </c>
      <c r="N13" t="inlineStr">
        <is>
          <t>Candidate availability details are not provided.</t>
        </is>
      </c>
      <c r="O13" t="inlineStr">
        <is>
          <t>UNKNOWN</t>
        </is>
      </c>
      <c r="P13" t="n">
        <v>0</v>
      </c>
      <c r="Q13" t="inlineStr">
        <is>
          <t>No</t>
        </is>
      </c>
      <c r="R13" t="inlineStr">
        <is>
          <t>NOT_MENTIONED</t>
        </is>
      </c>
      <c r="S13" t="inlineStr">
        <is>
          <t>No mention of PPO or conversion in the snippet.</t>
        </is>
      </c>
      <c r="T13" t="n">
        <v>60</v>
      </c>
      <c r="U13" t="n">
        <v>70</v>
      </c>
      <c r="V13" t="n">
        <v>70</v>
      </c>
      <c r="W13" t="n">
        <v>0</v>
      </c>
      <c r="X13" t="n">
        <v>0</v>
      </c>
      <c r="Y13" t="n">
        <v>50</v>
      </c>
      <c r="Z13" t="n">
        <v>50</v>
      </c>
      <c r="AA13" t="inlineStr">
        <is>
          <t>SKIP</t>
        </is>
      </c>
      <c r="AB13" t="inlineStr">
        <is>
          <t>PostgreSQL; Redis; Backend Development</t>
        </is>
      </c>
      <c r="AD13" t="inlineStr">
        <is>
          <t>PostgreSQL; Redis</t>
        </is>
      </c>
      <c r="AF13" t="inlineStr">
        <is>
          <t>Stipend is not disclosed.</t>
        </is>
      </c>
      <c r="AG13" t="inlineStr">
        <is>
          <t>Amaanuddin_Ahmed_Backend_Resume.pdf</t>
        </is>
      </c>
      <c r="AH13" t="inlineStr">
        <is>
          <t>PostgreSQL indexing and query optimization; Redis caching strategies and queue management; REST API design and backend system architecture</t>
        </is>
      </c>
      <c r="AI13" t="inlineStr">
        <is>
          <t>Backend engineering internship role matching target career tracks.</t>
        </is>
      </c>
      <c r="AJ13" t="inlineStr">
        <is>
          <t>Stipend is completely unknown.; No PPO mentioned.; Low overall score due to lack of compensation details and specific stack gaps like PostgreSQL and Redis.</t>
        </is>
      </c>
      <c r="AK13" t="inlineStr">
        <is>
          <t>2026-09-09</t>
        </is>
      </c>
    </row>
    <row r="14">
      <c r="A14" t="inlineStr">
        <is>
          <t>SAFFRONBIZZ--260909-11</t>
        </is>
      </c>
      <c r="B14" t="inlineStr">
        <is>
          <t>Saffronbizz Solutions</t>
        </is>
      </c>
      <c r="C14" t="inlineStr">
        <is>
          <t>Software Developer Intern</t>
        </is>
      </c>
      <c r="D14" t="inlineStr">
        <is>
          <t>https://in.jooble.org/jdp/-6825957623175668188</t>
        </is>
      </c>
      <c r="E14" t="inlineStr">
        <is>
          <t>AI Analyzer</t>
        </is>
      </c>
      <c r="F14" t="inlineStr">
        <is>
          <t>Bangalore</t>
        </is>
      </c>
      <c r="G14" t="inlineStr">
        <is>
          <t>Unknown</t>
        </is>
      </c>
      <c r="H14" t="inlineStr">
        <is>
          <t>Internship</t>
        </is>
      </c>
      <c r="I14" t="inlineStr">
        <is>
          <t>Unknown</t>
        </is>
      </c>
      <c r="J14" t="inlineStr">
        <is>
          <t>Rs 2 - 5 lakhs p.a.</t>
        </is>
      </c>
      <c r="K14" t="inlineStr">
        <is>
          <t>ELIGIBLE</t>
        </is>
      </c>
      <c r="L14" t="inlineStr">
        <is>
          <t>No explicit degree or graduation year blockers found in snippet.</t>
        </is>
      </c>
      <c r="M14" t="inlineStr">
        <is>
          <t>UNKNOWN</t>
        </is>
      </c>
      <c r="N14" t="inlineStr">
        <is>
          <t>Candidate availability relative to start date not specified in JD.</t>
        </is>
      </c>
      <c r="O14" t="inlineStr">
        <is>
          <t>DISCLOSED</t>
        </is>
      </c>
      <c r="P14" t="n">
        <v>16666</v>
      </c>
      <c r="Q14" t="inlineStr">
        <is>
          <t>No</t>
        </is>
      </c>
      <c r="R14" t="inlineStr">
        <is>
          <t>UNKNOWN</t>
        </is>
      </c>
      <c r="S14" t="inlineStr">
        <is>
          <t>No mention of PPO or conversion to full-time in the snippet.</t>
        </is>
      </c>
      <c r="T14" t="n">
        <v>70</v>
      </c>
      <c r="U14" t="n">
        <v>80</v>
      </c>
      <c r="V14" t="n">
        <v>80</v>
      </c>
      <c r="W14" t="n">
        <v>0</v>
      </c>
      <c r="X14" t="n">
        <v>70</v>
      </c>
      <c r="Y14" t="n">
        <v>60</v>
      </c>
      <c r="Z14" t="n">
        <v>63</v>
      </c>
      <c r="AA14" t="inlineStr">
        <is>
          <t>STRETCH</t>
        </is>
      </c>
      <c r="AC14" t="inlineStr">
        <is>
          <t>Agile</t>
        </is>
      </c>
      <c r="AF14" t="inlineStr">
        <is>
          <t>Vague job description snippet with very few technical requirements mentioned.</t>
        </is>
      </c>
      <c r="AG14" t="inlineStr">
        <is>
          <t>Default Full Stack Resume</t>
        </is>
      </c>
      <c r="AH14" t="inlineStr">
        <is>
          <t>Agile methodology; Basic software development lifecycle; General programming concepts</t>
        </is>
      </c>
      <c r="AI14" t="inlineStr">
        <is>
          <t>Software Developer Intern role in Bangalore matching target role.; Stipend range falls within acceptable parameters.</t>
        </is>
      </c>
      <c r="AJ14" t="inlineStr">
        <is>
          <t>Job description snippet is extremely vague about required tech stack.; No mention of PPO opportunities.; Lower opportunity quality score due to lack of details in description.</t>
        </is>
      </c>
      <c r="AK14" t="inlineStr">
        <is>
          <t>2026-09-09</t>
        </is>
      </c>
    </row>
    <row r="15">
      <c r="A15" t="inlineStr">
        <is>
          <t>CHAI-POINT-260909-12</t>
        </is>
      </c>
      <c r="B15" t="inlineStr">
        <is>
          <t>Chai Point</t>
        </is>
      </c>
      <c r="C15" t="inlineStr">
        <is>
          <t>Software Development Engineering (Web) Intern</t>
        </is>
      </c>
      <c r="D15" t="inlineStr">
        <is>
          <t>https://in.jooble.org/jdp/2483334524981365185</t>
        </is>
      </c>
      <c r="E15" t="inlineStr">
        <is>
          <t>AI Analyzer</t>
        </is>
      </c>
      <c r="F15" t="inlineStr">
        <is>
          <t>Bangalore</t>
        </is>
      </c>
      <c r="G15" t="inlineStr">
        <is>
          <t>Unknown</t>
        </is>
      </c>
      <c r="H15" t="inlineStr">
        <is>
          <t>Internship</t>
        </is>
      </c>
      <c r="I15" t="inlineStr">
        <is>
          <t>Unknown</t>
        </is>
      </c>
      <c r="K15" t="inlineStr">
        <is>
          <t>Eligible</t>
        </is>
      </c>
      <c r="M15" t="inlineStr">
        <is>
          <t>Unknown</t>
        </is>
      </c>
      <c r="N15" t="inlineStr">
        <is>
          <t>Not specified in the job description.</t>
        </is>
      </c>
      <c r="O15" t="inlineStr">
        <is>
          <t>UNKNOWN</t>
        </is>
      </c>
      <c r="P15" t="n">
        <v>0</v>
      </c>
      <c r="Q15" t="inlineStr">
        <is>
          <t>No</t>
        </is>
      </c>
      <c r="R15" t="inlineStr">
        <is>
          <t>Not Mentioned</t>
        </is>
      </c>
      <c r="S15" t="inlineStr">
        <is>
          <t>No mention of PPO or conversion in the snippet.</t>
        </is>
      </c>
      <c r="T15" t="n">
        <v>60</v>
      </c>
      <c r="U15" t="n">
        <v>70</v>
      </c>
      <c r="V15" t="n">
        <v>65</v>
      </c>
      <c r="W15" t="n">
        <v>30</v>
      </c>
      <c r="X15" t="n">
        <v>0</v>
      </c>
      <c r="Y15" t="n">
        <v>50</v>
      </c>
      <c r="Z15" t="n">
        <v>53</v>
      </c>
      <c r="AA15" t="inlineStr">
        <is>
          <t>SKIP</t>
        </is>
      </c>
      <c r="AB15" t="inlineStr">
        <is>
          <t>Web Development</t>
        </is>
      </c>
      <c r="AC15" t="inlineStr">
        <is>
          <t>AI adoption and AI-driven initiatives</t>
        </is>
      </c>
      <c r="AF15" t="inlineStr">
        <is>
          <t>Stipend is completely missing; Job description is very brief and vague</t>
        </is>
      </c>
      <c r="AG15" t="inlineStr">
        <is>
          <t>Amaanuddin_Ahmed_Fullstack_Resume.pdf</t>
        </is>
      </c>
      <c r="AH15" t="inlineStr">
        <is>
          <t>Web development fundamentals; QA and testing support; Technical documentation; AI adoption strategies</t>
        </is>
      </c>
      <c r="AI15" t="inlineStr">
        <is>
          <t>Located in Bangalore; Matches general software engineering and web development interests</t>
        </is>
      </c>
      <c r="AJ15" t="inlineStr">
        <is>
          <t>Stipend is not disclosed and likely below target or unpaid; No mention of PPO or conversion opportunities; Vague job description lacking concrete technology stack details</t>
        </is>
      </c>
      <c r="AK15" t="inlineStr">
        <is>
          <t>2026-09-09</t>
        </is>
      </c>
    </row>
    <row r="16">
      <c r="A16" t="inlineStr">
        <is>
          <t>OUTBOX.VC-260909-13</t>
        </is>
      </c>
      <c r="B16" t="inlineStr">
        <is>
          <t>Outbox.vc</t>
        </is>
      </c>
      <c r="C16" t="inlineStr">
        <is>
          <t>Software Developer - Intern</t>
        </is>
      </c>
      <c r="D16" t="inlineStr">
        <is>
          <t>https://in.jooble.org/jdp/5089802996613037634</t>
        </is>
      </c>
      <c r="E16" t="inlineStr">
        <is>
          <t>AI Analyzer</t>
        </is>
      </c>
      <c r="F16" t="inlineStr">
        <is>
          <t>Bangalore</t>
        </is>
      </c>
      <c r="G16" t="inlineStr">
        <is>
          <t>Unknown</t>
        </is>
      </c>
      <c r="H16" t="inlineStr">
        <is>
          <t>Internship</t>
        </is>
      </c>
      <c r="I16" t="inlineStr">
        <is>
          <t>Unknown</t>
        </is>
      </c>
      <c r="J16" t="inlineStr">
        <is>
          <t>Rs 30000 - Rs 35000 per month</t>
        </is>
      </c>
      <c r="K16" t="inlineStr">
        <is>
          <t>Eligible</t>
        </is>
      </c>
      <c r="L16" t="inlineStr">
        <is>
          <t>Location matches target city (Bangalore); Stipend meets minimum target (Rs 30,000 &gt; Rs 25,000)</t>
        </is>
      </c>
      <c r="M16" t="inlineStr">
        <is>
          <t>Unknown</t>
        </is>
      </c>
      <c r="N16" t="inlineStr">
        <is>
          <t>Availability constraints not specified in profile.</t>
        </is>
      </c>
      <c r="O16" t="inlineStr">
        <is>
          <t>Paid</t>
        </is>
      </c>
      <c r="P16" t="n">
        <v>30000</v>
      </c>
      <c r="Q16" t="inlineStr">
        <is>
          <t>No</t>
        </is>
      </c>
      <c r="R16" t="inlineStr">
        <is>
          <t>Not Mentioned</t>
        </is>
      </c>
      <c r="S16" t="inlineStr">
        <is>
          <t>No mention of PPO or conversion in the snippet.</t>
        </is>
      </c>
      <c r="T16" t="n">
        <v>24</v>
      </c>
      <c r="U16" t="n">
        <v>18</v>
      </c>
      <c r="V16" t="n">
        <v>15</v>
      </c>
      <c r="W16" t="n">
        <v>5</v>
      </c>
      <c r="X16" t="n">
        <v>10</v>
      </c>
      <c r="Y16" t="n">
        <v>8</v>
      </c>
      <c r="Z16" t="n">
        <v>80</v>
      </c>
      <c r="AA16" t="inlineStr">
        <is>
          <t>APPLY</t>
        </is>
      </c>
      <c r="AB16" t="inlineStr">
        <is>
          <t>NodeJS; Typescript; Git; MySQL</t>
        </is>
      </c>
      <c r="AD16" t="inlineStr">
        <is>
          <t>Typescript</t>
        </is>
      </c>
      <c r="AG16" t="inlineStr">
        <is>
          <t>Amaanuddin_Ahmed_Fullstack_Resume.pdf</t>
        </is>
      </c>
      <c r="AH16" t="inlineStr">
        <is>
          <t>Node.js core concepts and asynchronous programming; TypeScript advanced features and type safety; MySQL schema design, indexing, and query optimization; Git version control workflows</t>
        </is>
      </c>
      <c r="AI16" t="inlineStr">
        <is>
          <t>Stipend is above the Rs 25,000 threshold; Strong tech stack alignment with Node.js and MySQL; Located in Bangalore</t>
        </is>
      </c>
      <c r="AJ16" t="inlineStr">
        <is>
          <t>TypeScript is missing from demonstrated skills (easily learnable); PPO is not explicitly mentioned</t>
        </is>
      </c>
      <c r="AK16" t="inlineStr">
        <is>
          <t>2026-09-09</t>
        </is>
      </c>
    </row>
    <row r="17">
      <c r="A17" t="inlineStr">
        <is>
          <t>NXTWAVE-DISR-260909-14</t>
        </is>
      </c>
      <c r="B17" t="inlineStr">
        <is>
          <t>Nxtwave Disruptive Technologies Private Limited</t>
        </is>
      </c>
      <c r="C17" t="inlineStr">
        <is>
          <t>MERN Developer - Intern</t>
        </is>
      </c>
      <c r="D17" t="inlineStr">
        <is>
          <t>https://in.jooble.org/jdp/7218822007534742956</t>
        </is>
      </c>
      <c r="E17" t="inlineStr">
        <is>
          <t>AI Analyzer</t>
        </is>
      </c>
      <c r="F17" t="inlineStr">
        <is>
          <t>Bangalore</t>
        </is>
      </c>
      <c r="G17" t="inlineStr">
        <is>
          <t>On-site / Not specified</t>
        </is>
      </c>
      <c r="H17" t="inlineStr">
        <is>
          <t>Internship + Full-Time</t>
        </is>
      </c>
      <c r="I17" t="inlineStr">
        <is>
          <t>6 Months</t>
        </is>
      </c>
      <c r="J17" t="inlineStr">
        <is>
          <t>20,000/month</t>
        </is>
      </c>
      <c r="K17" t="inlineStr">
        <is>
          <t>Eligible</t>
        </is>
      </c>
      <c r="L17" t="inlineStr">
        <is>
          <t>No specific degree or graduation year blockers mentioned in the snippet.</t>
        </is>
      </c>
      <c r="M17" t="inlineStr">
        <is>
          <t>Unknown</t>
        </is>
      </c>
      <c r="N17" t="inlineStr">
        <is>
          <t>Availability requirement not specified in the job description.</t>
        </is>
      </c>
      <c r="O17" t="inlineStr">
        <is>
          <t>Below target</t>
        </is>
      </c>
      <c r="P17" t="n">
        <v>20000</v>
      </c>
      <c r="Q17" t="inlineStr">
        <is>
          <t>No</t>
        </is>
      </c>
      <c r="R17" t="inlineStr">
        <is>
          <t>Yes</t>
        </is>
      </c>
      <c r="S17" t="inlineStr">
        <is>
          <t>Internship + Full-Time Opportunity / Full-Time conversion mentioned.</t>
        </is>
      </c>
      <c r="T17" t="n">
        <v>30</v>
      </c>
      <c r="U17" t="n">
        <v>20</v>
      </c>
      <c r="V17" t="n">
        <v>15</v>
      </c>
      <c r="W17" t="n">
        <v>15</v>
      </c>
      <c r="X17" t="n">
        <v>5</v>
      </c>
      <c r="Y17" t="n">
        <v>8</v>
      </c>
      <c r="Z17" t="n">
        <v>93</v>
      </c>
      <c r="AA17" t="inlineStr">
        <is>
          <t>APPLY ASAP</t>
        </is>
      </c>
      <c r="AB17" t="inlineStr">
        <is>
          <t>MERN Stack; MongoDB; Express.js; React.js; Node.js</t>
        </is>
      </c>
      <c r="AF17" t="inlineStr">
        <is>
          <t>Stipend of 20,000/month is below the minimum target of ₹25,000/month.</t>
        </is>
      </c>
      <c r="AG17" t="inlineStr">
        <is>
          <t>Amaanuddin_Ahmed_Full_Stack_Resume.pdf</t>
        </is>
      </c>
      <c r="AH17" t="inlineStr">
        <is>
          <t>MERN Stack architecture and state management; RESTful API design and JWT authentication; MongoDB database indexing and aggregation; Project walkthrough of StaySphere and Zenvest</t>
        </is>
      </c>
      <c r="AI17" t="inlineStr">
        <is>
          <t>Exact stack match with Amaan's MERN expertise and projects (StaySphere, Zenvest).; Explicit full-time conversion/PPO opportunity aligns with career goals.; High technical, role, and PPO scores drive an overall strong score despite a slight stipend shortfall.</t>
        </is>
      </c>
      <c r="AJ17" t="inlineStr">
        <is>
          <t>Monthly stipend of ₹20,000 is below the target of ₹25,000/month.</t>
        </is>
      </c>
      <c r="AK17" t="inlineStr">
        <is>
          <t>2026-09-09</t>
        </is>
      </c>
    </row>
    <row r="18">
      <c r="A18" t="inlineStr">
        <is>
          <t>DODO-PAYMENT-260909-15</t>
        </is>
      </c>
      <c r="B18" t="inlineStr">
        <is>
          <t>dodo payments</t>
        </is>
      </c>
      <c r="C18" t="inlineStr">
        <is>
          <t>Developer Relations Intern</t>
        </is>
      </c>
      <c r="D18" t="inlineStr">
        <is>
          <t>https://in.jooble.org/jdp/-6984745115447187577</t>
        </is>
      </c>
      <c r="E18" t="inlineStr">
        <is>
          <t>AI Analyzer</t>
        </is>
      </c>
      <c r="F18" t="inlineStr">
        <is>
          <t>Bangalore</t>
        </is>
      </c>
      <c r="G18" t="inlineStr">
        <is>
          <t>Unknown</t>
        </is>
      </c>
      <c r="H18" t="inlineStr">
        <is>
          <t>Internship</t>
        </is>
      </c>
      <c r="I18" t="inlineStr">
        <is>
          <t>Unknown</t>
        </is>
      </c>
      <c r="J18" t="inlineStr">
        <is>
          <t>Not specified</t>
        </is>
      </c>
      <c r="K18" t="inlineStr">
        <is>
          <t>Eligible</t>
        </is>
      </c>
      <c r="M18" t="inlineStr">
        <is>
          <t>Unknown</t>
        </is>
      </c>
      <c r="N18" t="inlineStr">
        <is>
          <t>Not specified in candidate profile</t>
        </is>
      </c>
      <c r="O18" t="inlineStr">
        <is>
          <t>UNKNOWN</t>
        </is>
      </c>
      <c r="P18" t="n">
        <v>0</v>
      </c>
      <c r="Q18" t="inlineStr">
        <is>
          <t>No</t>
        </is>
      </c>
      <c r="R18" t="inlineStr">
        <is>
          <t>Not Mentioned</t>
        </is>
      </c>
      <c r="S18" t="inlineStr">
        <is>
          <t>No mention of PPO or conversion in the snippet</t>
        </is>
      </c>
      <c r="T18" t="n">
        <v>40</v>
      </c>
      <c r="U18" t="n">
        <v>50</v>
      </c>
      <c r="V18" t="n">
        <v>30</v>
      </c>
      <c r="W18" t="n">
        <v>0</v>
      </c>
      <c r="X18" t="n">
        <v>0</v>
      </c>
      <c r="Y18" t="n">
        <v>50</v>
      </c>
      <c r="Z18" t="n">
        <v>35</v>
      </c>
      <c r="AA18" t="inlineStr">
        <is>
          <t>SKIP</t>
        </is>
      </c>
      <c r="AB18" t="inlineStr">
        <is>
          <t>communication; management; coding; crm systems; technical support; software development; apis; documentation; community engagement; workflow</t>
        </is>
      </c>
      <c r="AD18" t="inlineStr">
        <is>
          <t>Developer Relations; community engagement; technical writing / documentation; CRM systems; technical support</t>
        </is>
      </c>
      <c r="AF18" t="inlineStr">
        <is>
          <t>Role is Developer Relations (DevRel) rather than core software engineering or full stack development; Unclear stipend</t>
        </is>
      </c>
      <c r="AG18" t="inlineStr">
        <is>
          <t>Default Full Stack / Software Engineering Resume</t>
        </is>
      </c>
      <c r="AH18" t="inlineStr">
        <is>
          <t>Developer advocacy and community building experience; API documentation and technical content creation; Handling developer support and technical queries</t>
        </is>
      </c>
      <c r="AI18" t="inlineStr">
        <is>
          <t>Located in Bangalore; Involves software development and API concepts</t>
        </is>
      </c>
      <c r="AJ18" t="inlineStr">
        <is>
          <t>Role is focused on Developer Relations rather than Amaan's target roles (Backend/Full Stack/DevOps/AI Software Engineering); Stipend is unknown; No PPO mentioned; Low role fit for a core software development profile</t>
        </is>
      </c>
      <c r="AK18" t="inlineStr">
        <is>
          <t>2026-09-09</t>
        </is>
      </c>
    </row>
    <row r="19">
      <c r="A19" t="inlineStr">
        <is>
          <t>CONTINENTAL--260909-16</t>
        </is>
      </c>
      <c r="B19" t="inlineStr">
        <is>
          <t>Continental Industry</t>
        </is>
      </c>
      <c r="C19" t="inlineStr">
        <is>
          <t>Intern - AI Engineer</t>
        </is>
      </c>
      <c r="D19" t="inlineStr">
        <is>
          <t>https://in.jooble.org/jdp/-8151250632548540664</t>
        </is>
      </c>
      <c r="E19" t="inlineStr">
        <is>
          <t>AI Analyzer</t>
        </is>
      </c>
      <c r="F19" t="inlineStr">
        <is>
          <t>Bangalore</t>
        </is>
      </c>
      <c r="G19" t="inlineStr">
        <is>
          <t>UNKNOWN</t>
        </is>
      </c>
      <c r="H19" t="inlineStr">
        <is>
          <t>Internship</t>
        </is>
      </c>
      <c r="I19" t="inlineStr">
        <is>
          <t>UNKNOWN</t>
        </is>
      </c>
      <c r="J19" t="inlineStr">
        <is>
          <t>Not specified</t>
        </is>
      </c>
      <c r="K19" t="inlineStr">
        <is>
          <t>ELIGIBLE</t>
        </is>
      </c>
      <c r="L19" t="inlineStr">
        <is>
          <t>Student internship opening fits candidate profile; Location in Bangalore matches preferences</t>
        </is>
      </c>
      <c r="M19" t="inlineStr">
        <is>
          <t>UNKNOWN</t>
        </is>
      </c>
      <c r="N19" t="inlineStr">
        <is>
          <t>Availability dates not provided in the job snippet</t>
        </is>
      </c>
      <c r="O19" t="inlineStr">
        <is>
          <t>UNKNOWN</t>
        </is>
      </c>
      <c r="P19" t="n">
        <v>0</v>
      </c>
      <c r="Q19" t="inlineStr">
        <is>
          <t>No</t>
        </is>
      </c>
      <c r="R19" t="inlineStr">
        <is>
          <t>UNKNOWN</t>
        </is>
      </c>
      <c r="S19" t="inlineStr">
        <is>
          <t>Job snippet does not mention PPO conversion explicitly</t>
        </is>
      </c>
      <c r="T19" t="n">
        <v>15</v>
      </c>
      <c r="U19" t="n">
        <v>20</v>
      </c>
      <c r="V19" t="n">
        <v>15</v>
      </c>
      <c r="W19" t="n">
        <v>5</v>
      </c>
      <c r="X19" t="n">
        <v>0</v>
      </c>
      <c r="Y19" t="n">
        <v>5</v>
      </c>
      <c r="Z19" t="n">
        <v>60</v>
      </c>
      <c r="AA19" t="inlineStr">
        <is>
          <t>STRETCH</t>
        </is>
      </c>
      <c r="AB19" t="inlineStr">
        <is>
          <t>AI; Machine Learning</t>
        </is>
      </c>
      <c r="AD19" t="inlineStr">
        <is>
          <t>AI Engineering specialized tech stack (snippet is cut off)</t>
        </is>
      </c>
      <c r="AF19" t="inlineStr">
        <is>
          <t>Incomplete job description snippet</t>
        </is>
      </c>
      <c r="AG19" t="inlineStr">
        <is>
          <t>Amaan_Standard_Resume.pdf</t>
        </is>
      </c>
      <c r="AH19" t="inlineStr">
        <is>
          <t>Python for AI; Machine Learning fundamentals; Past projects involving AI or software engineering</t>
        </is>
      </c>
      <c r="AI19" t="inlineStr">
        <is>
          <t>Located in Bangalore; Internship opportunity aligning with general software engineering interests</t>
        </is>
      </c>
      <c r="AJ19" t="inlineStr">
        <is>
          <t>Job description snippet is cut off and lacks specific requirements; Stipend is unknown; PPO status is not mentioned</t>
        </is>
      </c>
      <c r="AK19" t="inlineStr">
        <is>
          <t>2026-09-09</t>
        </is>
      </c>
    </row>
    <row r="20">
      <c r="A20" t="inlineStr">
        <is>
          <t>GLOBALFOUNDR-260909-17</t>
        </is>
      </c>
      <c r="B20" t="inlineStr">
        <is>
          <t>Globalfoundries Engineering Private Limited</t>
        </is>
      </c>
      <c r="C20" t="inlineStr">
        <is>
          <t>Intern - QA Engineer</t>
        </is>
      </c>
      <c r="D20" t="inlineStr">
        <is>
          <t>https://in.jooble.org/jdp/-8396505595416879628</t>
        </is>
      </c>
      <c r="E20" t="inlineStr">
        <is>
          <t>AI Analyzer</t>
        </is>
      </c>
      <c r="F20" t="inlineStr">
        <is>
          <t>Bangalore</t>
        </is>
      </c>
      <c r="G20" t="inlineStr">
        <is>
          <t>Unknown</t>
        </is>
      </c>
      <c r="H20" t="inlineStr">
        <is>
          <t>Internship</t>
        </is>
      </c>
      <c r="I20" t="inlineStr">
        <is>
          <t>Unknown</t>
        </is>
      </c>
      <c r="J20" t="inlineStr">
        <is>
          <t>Rs 2.5 - 5.5 lakhs p.a.</t>
        </is>
      </c>
      <c r="K20" t="inlineStr">
        <is>
          <t>ELIGIBLE</t>
        </is>
      </c>
      <c r="M20" t="inlineStr">
        <is>
          <t>UNKNOWN</t>
        </is>
      </c>
      <c r="N20" t="inlineStr">
        <is>
          <t>Not mentioned in the job description.</t>
        </is>
      </c>
      <c r="O20" t="inlineStr">
        <is>
          <t>PAID</t>
        </is>
      </c>
      <c r="P20" t="n">
        <v>20833</v>
      </c>
      <c r="Q20" t="inlineStr">
        <is>
          <t>No</t>
        </is>
      </c>
      <c r="R20" t="inlineStr">
        <is>
          <t>NO</t>
        </is>
      </c>
      <c r="S20" t="inlineStr">
        <is>
          <t>No mention of PPO or conversion to full-time role in the job description.</t>
        </is>
      </c>
      <c r="T20" t="n">
        <v>30</v>
      </c>
      <c r="U20" t="n">
        <v>60</v>
      </c>
      <c r="V20" t="n">
        <v>20</v>
      </c>
      <c r="W20" t="n">
        <v>0</v>
      </c>
      <c r="X20" t="n">
        <v>80</v>
      </c>
      <c r="Y20" t="n">
        <v>50</v>
      </c>
      <c r="Z20" t="n">
        <v>40</v>
      </c>
      <c r="AA20" t="inlineStr">
        <is>
          <t>SKIP</t>
        </is>
      </c>
      <c r="AB20" t="inlineStr">
        <is>
          <t>Software QA methodologies; Software Development Life Cycle; Object-oriented programming</t>
        </is>
      </c>
      <c r="AD20" t="inlineStr">
        <is>
          <t>Software QA methodologies; Software QA tools and processes</t>
        </is>
      </c>
      <c r="AF20" t="inlineStr">
        <is>
          <t>Role is QA Engineering, which is misaligned with candidate's target roles of Full Stack, Backend, Software Engineering, DevOps/Cloud, and AI-adjacent Software Engineering.</t>
        </is>
      </c>
      <c r="AG20" t="inlineStr">
        <is>
          <t>Amaanuddin_Ahmed_Software_Engineer_Resume.pdf</t>
        </is>
      </c>
      <c r="AH20" t="inlineStr">
        <is>
          <t>Software Development Life Cycle; Quality Assurance methodologies and tools; Object-oriented programming principles</t>
        </is>
      </c>
      <c r="AI20" t="inlineStr">
        <is>
          <t>Stipend range meets expectations.; Located in Bangalore.</t>
        </is>
      </c>
      <c r="AJ20" t="inlineStr">
        <is>
          <t>Role is focused on QA Engineering rather than Software Engineering or Development.; No PPO mentioned.; Low role fit as candidate targets development and engineering roles.</t>
        </is>
      </c>
      <c r="AK20" t="inlineStr">
        <is>
          <t>2026-09-09</t>
        </is>
      </c>
    </row>
    <row r="21">
      <c r="A21" t="inlineStr">
        <is>
          <t>EMO.ENERGY-260909-18</t>
        </is>
      </c>
      <c r="B21" t="inlineStr">
        <is>
          <t>emo.energy</t>
        </is>
      </c>
      <c r="C21" t="inlineStr">
        <is>
          <t>Full-Stack Developer</t>
        </is>
      </c>
      <c r="D21" t="inlineStr">
        <is>
          <t>https://in.jooble.org/jdp/3071963684124717842</t>
        </is>
      </c>
      <c r="E21" t="inlineStr">
        <is>
          <t>AI Analyzer</t>
        </is>
      </c>
      <c r="F21" t="inlineStr">
        <is>
          <t>Bangalore</t>
        </is>
      </c>
      <c r="G21" t="inlineStr">
        <is>
          <t>Unknown</t>
        </is>
      </c>
      <c r="H21" t="inlineStr">
        <is>
          <t>Intern / Entry Level</t>
        </is>
      </c>
      <c r="I21" t="inlineStr">
        <is>
          <t>Unknown</t>
        </is>
      </c>
      <c r="J21" t="inlineStr">
        <is>
          <t>Not specified</t>
        </is>
      </c>
      <c r="K21" t="inlineStr">
        <is>
          <t>ELIGIBLE</t>
        </is>
      </c>
      <c r="L21" t="inlineStr">
        <is>
          <t>Experience requirement of 0-2 years aligns with candidate profile; Location Bangalore is acceptable</t>
        </is>
      </c>
      <c r="M21" t="inlineStr">
        <is>
          <t>UNKNOWN</t>
        </is>
      </c>
      <c r="N21" t="inlineStr">
        <is>
          <t>Candidate availability details not provided in career brain</t>
        </is>
      </c>
      <c r="O21" t="inlineStr">
        <is>
          <t>UNKNOWN</t>
        </is>
      </c>
      <c r="P21" t="n">
        <v>0</v>
      </c>
      <c r="Q21" t="inlineStr">
        <is>
          <t>No</t>
        </is>
      </c>
      <c r="R21" t="inlineStr">
        <is>
          <t>UNKNOWN</t>
        </is>
      </c>
      <c r="S21" t="inlineStr">
        <is>
          <t>No explicit PPO or conversion mention found in job snippet</t>
        </is>
      </c>
      <c r="T21" t="n">
        <v>25</v>
      </c>
      <c r="U21" t="n">
        <v>20</v>
      </c>
      <c r="V21" t="n">
        <v>15</v>
      </c>
      <c r="W21" t="n">
        <v>5</v>
      </c>
      <c r="X21" t="n">
        <v>0</v>
      </c>
      <c r="Y21" t="n">
        <v>6</v>
      </c>
      <c r="Z21" t="n">
        <v>71</v>
      </c>
      <c r="AA21" t="inlineStr">
        <is>
          <t>CONSIDER</t>
        </is>
      </c>
      <c r="AB21" t="inlineStr">
        <is>
          <t>Full-Stack Development</t>
        </is>
      </c>
      <c r="AF21" t="inlineStr">
        <is>
          <t>Stipend details not disclosed; No explicit mention of PPO</t>
        </is>
      </c>
      <c r="AG21" t="inlineStr">
        <is>
          <t>Amaanuddin_Ahmed_Full_Stack_Resume.pdf</t>
        </is>
      </c>
      <c r="AH21" t="inlineStr">
        <is>
          <t>Full stack system architecture; Recent projects like StaySphere and Zenvest; Deep-tech startup environment adaptation</t>
        </is>
      </c>
      <c r="AI21" t="inlineStr">
        <is>
          <t>Aligns well with target full-stack developer role; Experience level of 0-2 years matches candidate; Located in Bangalore</t>
        </is>
      </c>
      <c r="AJ21" t="inlineStr">
        <is>
          <t>Stipend is unknown and might be below target; No PPO confirmation found in snippet; Job description snippet is very brief</t>
        </is>
      </c>
      <c r="AK21" t="inlineStr">
        <is>
          <t>2026-09-09</t>
        </is>
      </c>
    </row>
    <row r="22">
      <c r="A22" t="inlineStr">
        <is>
          <t>PANIKCURE-260909-19</t>
        </is>
      </c>
      <c r="B22" t="inlineStr">
        <is>
          <t>panikcure</t>
        </is>
      </c>
      <c r="C22" t="inlineStr">
        <is>
          <t>Full Stack Developer Intern</t>
        </is>
      </c>
      <c r="D22" t="inlineStr">
        <is>
          <t>https://in.jooble.org/jdp/-3123247519826094573</t>
        </is>
      </c>
      <c r="E22" t="inlineStr">
        <is>
          <t>AI Analyzer</t>
        </is>
      </c>
      <c r="F22" t="inlineStr">
        <is>
          <t>Bangalore</t>
        </is>
      </c>
      <c r="G22" t="inlineStr">
        <is>
          <t>Unknown</t>
        </is>
      </c>
      <c r="H22" t="inlineStr">
        <is>
          <t>Internship</t>
        </is>
      </c>
      <c r="I22" t="inlineStr">
        <is>
          <t>Unknown</t>
        </is>
      </c>
      <c r="K22" t="inlineStr">
        <is>
          <t>Eligible</t>
        </is>
      </c>
      <c r="M22" t="inlineStr">
        <is>
          <t>Unknown</t>
        </is>
      </c>
      <c r="N22" t="inlineStr">
        <is>
          <t>Not specified in the job description.</t>
        </is>
      </c>
      <c r="O22" t="inlineStr">
        <is>
          <t>UNKNOWN</t>
        </is>
      </c>
      <c r="P22" t="n">
        <v>0</v>
      </c>
      <c r="Q22" t="inlineStr">
        <is>
          <t>No</t>
        </is>
      </c>
      <c r="R22" t="inlineStr">
        <is>
          <t>Unknown</t>
        </is>
      </c>
      <c r="S22" t="inlineStr">
        <is>
          <t>Not mentioned in the job snippet.</t>
        </is>
      </c>
      <c r="T22" t="n">
        <v>24</v>
      </c>
      <c r="U22" t="n">
        <v>16</v>
      </c>
      <c r="V22" t="n">
        <v>12</v>
      </c>
      <c r="W22" t="n">
        <v>5</v>
      </c>
      <c r="X22" t="n">
        <v>0</v>
      </c>
      <c r="Y22" t="n">
        <v>5</v>
      </c>
      <c r="Z22" t="n">
        <v>62</v>
      </c>
      <c r="AA22" t="inlineStr">
        <is>
          <t>STRETCH</t>
        </is>
      </c>
      <c r="AB22" t="inlineStr">
        <is>
          <t>Full Stack Development; Web Development; UI/UX implementation</t>
        </is>
      </c>
      <c r="AC22" t="inlineStr">
        <is>
          <t>AI-driven solutions</t>
        </is>
      </c>
      <c r="AF22" t="inlineStr">
        <is>
          <t>Early-stage innovation project with minimal stipend/salary details provided</t>
        </is>
      </c>
      <c r="AG22" t="inlineStr">
        <is>
          <t>Amaan_Full_Stack_Resume</t>
        </is>
      </c>
      <c r="AH22" t="inlineStr">
        <is>
          <t>Full stack web development architecture; Translating UI/UX designs into functional code; Early-stage startup contribution and teamwork</t>
        </is>
      </c>
      <c r="AI22" t="inlineStr">
        <is>
          <t>Role matches target Full Stack Development and Software Engineering profile.; Location is Bangalore, matching candidate preference.</t>
        </is>
      </c>
      <c r="AJ22" t="inlineStr">
        <is>
          <t>Stipend information is completely missing.; No mention of PPO or conversion opportunities.; Early-stage project with high uncertainty.</t>
        </is>
      </c>
      <c r="AK22" t="inlineStr">
        <is>
          <t>2026-09-09</t>
        </is>
      </c>
    </row>
    <row r="23">
      <c r="A23" t="inlineStr">
        <is>
          <t>EMO.ENERGY-260909-20</t>
        </is>
      </c>
      <c r="B23" t="inlineStr">
        <is>
          <t>emo.energy</t>
        </is>
      </c>
      <c r="C23" t="inlineStr">
        <is>
          <t>Full-Stack Developer Intern</t>
        </is>
      </c>
      <c r="D23" t="inlineStr">
        <is>
          <t>https://in.jooble.org/jdp/-2588912263494949841</t>
        </is>
      </c>
      <c r="E23" t="inlineStr">
        <is>
          <t>AI Analyzer</t>
        </is>
      </c>
      <c r="F23" t="inlineStr">
        <is>
          <t>Bangalore</t>
        </is>
      </c>
      <c r="G23" t="inlineStr">
        <is>
          <t>UNKNOWN</t>
        </is>
      </c>
      <c r="H23" t="inlineStr">
        <is>
          <t>Internship</t>
        </is>
      </c>
      <c r="I23" t="inlineStr">
        <is>
          <t>UNKNOWN</t>
        </is>
      </c>
      <c r="J23" t="inlineStr">
        <is>
          <t>Not mentioned</t>
        </is>
      </c>
      <c r="K23" t="inlineStr">
        <is>
          <t>ELIGIBLE</t>
        </is>
      </c>
      <c r="L23" t="inlineStr">
        <is>
          <t>No explicit hard blockers such as degree or graduation year restrictions found in the snippet</t>
        </is>
      </c>
      <c r="M23" t="inlineStr">
        <is>
          <t>UNKNOWN</t>
        </is>
      </c>
      <c r="N23" t="inlineStr">
        <is>
          <t>Not specified in the career brain</t>
        </is>
      </c>
      <c r="O23" t="inlineStr">
        <is>
          <t>UNKNOWN</t>
        </is>
      </c>
      <c r="P23" t="n">
        <v>0</v>
      </c>
      <c r="Q23" t="inlineStr">
        <is>
          <t>No</t>
        </is>
      </c>
      <c r="R23" t="inlineStr">
        <is>
          <t>UNKNOWN</t>
        </is>
      </c>
      <c r="S23" t="inlineStr">
        <is>
          <t>Not mentioned in the snippet</t>
        </is>
      </c>
      <c r="T23" t="n">
        <v>70</v>
      </c>
      <c r="U23" t="n">
        <v>70</v>
      </c>
      <c r="V23" t="n">
        <v>75</v>
      </c>
      <c r="W23" t="n">
        <v>50</v>
      </c>
      <c r="X23" t="n">
        <v>0</v>
      </c>
      <c r="Y23" t="n">
        <v>50</v>
      </c>
      <c r="Z23" t="n">
        <v>60</v>
      </c>
      <c r="AA23" t="inlineStr">
        <is>
          <t>STRETCH</t>
        </is>
      </c>
      <c r="AB23" t="inlineStr">
        <is>
          <t>Front-end development; Full-Stack development</t>
        </is>
      </c>
      <c r="AF23" t="inlineStr">
        <is>
          <t>Very sparse job description snippet provided with no stipend or duration details</t>
        </is>
      </c>
      <c r="AG23" t="inlineStr">
        <is>
          <t>Amaan_Resume_Full_Stack.pdf</t>
        </is>
      </c>
      <c r="AH23" t="inlineStr">
        <is>
          <t>Front-end development best practices; MERN stack experience; Previous projects overview</t>
        </is>
      </c>
      <c r="AI23" t="inlineStr">
        <is>
          <t>Matches target role for Full Stack Development; Located in Bangalore</t>
        </is>
      </c>
      <c r="AJ23" t="inlineStr">
        <is>
          <t>Extremely sparse job description; Stipend is not disclosed; PPO and duration details are missing</t>
        </is>
      </c>
      <c r="AK23" t="inlineStr">
        <is>
          <t>2026-09-09</t>
        </is>
      </c>
    </row>
    <row r="24">
      <c r="A24" t="inlineStr">
        <is>
          <t>TRADEGOSPEL-260909-21</t>
        </is>
      </c>
      <c r="B24" t="inlineStr">
        <is>
          <t>tradegospel</t>
        </is>
      </c>
      <c r="C24" t="inlineStr">
        <is>
          <t>Full Stack Developer Intern</t>
        </is>
      </c>
      <c r="D24" t="inlineStr">
        <is>
          <t>https://in.jooble.org/jdp/-4062499930695493919</t>
        </is>
      </c>
      <c r="E24" t="inlineStr">
        <is>
          <t>AI Analyzer</t>
        </is>
      </c>
      <c r="F24" t="inlineStr">
        <is>
          <t>Bengaluru</t>
        </is>
      </c>
      <c r="G24" t="inlineStr">
        <is>
          <t>In-office</t>
        </is>
      </c>
      <c r="H24" t="inlineStr">
        <is>
          <t>Internship</t>
        </is>
      </c>
      <c r="I24" t="inlineStr">
        <is>
          <t>3 months</t>
        </is>
      </c>
      <c r="J24" t="inlineStr">
        <is>
          <t>Not specified</t>
        </is>
      </c>
      <c r="K24" t="inlineStr">
        <is>
          <t>ELIGIBLE</t>
        </is>
      </c>
      <c r="L24" t="inlineStr">
        <is>
          <t>Location matches Bangalore preference; Matches target role of Full Stack Developer; No specific hard blockers mentioned in the snippet</t>
        </is>
      </c>
      <c r="M24" t="inlineStr">
        <is>
          <t>UNKNOWN</t>
        </is>
      </c>
      <c r="N24" t="inlineStr">
        <is>
          <t>Not specified in candidate profile</t>
        </is>
      </c>
      <c r="O24" t="inlineStr">
        <is>
          <t>UNKNOWN</t>
        </is>
      </c>
      <c r="P24" t="n">
        <v>0</v>
      </c>
      <c r="Q24" t="inlineStr">
        <is>
          <t>No</t>
        </is>
      </c>
      <c r="R24" t="inlineStr">
        <is>
          <t>UNKNOWN</t>
        </is>
      </c>
      <c r="S24" t="inlineStr">
        <is>
          <t>No mention of PPO or conversion in the job snippet</t>
        </is>
      </c>
      <c r="T24" t="n">
        <v>24</v>
      </c>
      <c r="U24" t="n">
        <v>16</v>
      </c>
      <c r="V24" t="n">
        <v>12</v>
      </c>
      <c r="W24" t="n">
        <v>5</v>
      </c>
      <c r="X24" t="n">
        <v>5</v>
      </c>
      <c r="Y24" t="n">
        <v>6</v>
      </c>
      <c r="Z24" t="n">
        <v>68</v>
      </c>
      <c r="AA24" t="inlineStr">
        <is>
          <t>STRETCH</t>
        </is>
      </c>
      <c r="AB24" t="inlineStr">
        <is>
          <t>Full Stack Development</t>
        </is>
      </c>
      <c r="AF24" t="inlineStr">
        <is>
          <t>Stipend details not disclosed; PPO information not disclosed</t>
        </is>
      </c>
      <c r="AG24" t="inlineStr">
        <is>
          <t>MERN / Full Stack Developer Resume</t>
        </is>
      </c>
      <c r="AH24" t="inlineStr">
        <is>
          <t>Full stack web development architecture; MERN stack projects discussion; API integration and database management</t>
        </is>
      </c>
      <c r="AI24" t="inlineStr">
        <is>
          <t>Aligns well with Full Stack Developer target roles; Located in Bangalore which matches preferences; Good opportunity to gain hands-on industry experience</t>
        </is>
      </c>
      <c r="AJ24" t="inlineStr">
        <is>
          <t>Stipend is completely undisclosed; No mention of PPO or conversion opportunities; Very brief job description with limited details on tech stack requirements</t>
        </is>
      </c>
      <c r="AK24" t="inlineStr">
        <is>
          <t>2026-09-09</t>
        </is>
      </c>
    </row>
    <row r="25">
      <c r="A25" t="inlineStr">
        <is>
          <t>RP-INFOCARE--260909-22</t>
        </is>
      </c>
      <c r="B25" t="inlineStr">
        <is>
          <t>rp infocare pvt ltd</t>
        </is>
      </c>
      <c r="C25" t="inlineStr">
        <is>
          <t>Full Stack Web Developer Intern</t>
        </is>
      </c>
      <c r="D25" t="inlineStr">
        <is>
          <t>https://in.jooble.org/jdp/-5507068087024381505</t>
        </is>
      </c>
      <c r="E25" t="inlineStr">
        <is>
          <t>AI Analyzer</t>
        </is>
      </c>
      <c r="F25" t="inlineStr">
        <is>
          <t>Bengaluru</t>
        </is>
      </c>
      <c r="G25" t="inlineStr">
        <is>
          <t>On-site</t>
        </is>
      </c>
      <c r="H25" t="inlineStr">
        <is>
          <t>Full-time</t>
        </is>
      </c>
      <c r="I25" t="inlineStr">
        <is>
          <t>Not Specified</t>
        </is>
      </c>
      <c r="J25" t="inlineStr">
        <is>
          <t>NON PAID</t>
        </is>
      </c>
      <c r="K25" t="inlineStr">
        <is>
          <t>Eligible</t>
        </is>
      </c>
      <c r="L25" t="inlineStr">
        <is>
          <t>No strict degree or graduation year barriers mentioned in the snippet.</t>
        </is>
      </c>
      <c r="M25" t="inlineStr">
        <is>
          <t>Unknown</t>
        </is>
      </c>
      <c r="N25" t="inlineStr">
        <is>
          <t>Not specified in the job description.</t>
        </is>
      </c>
      <c r="O25" t="inlineStr">
        <is>
          <t>Unpaid</t>
        </is>
      </c>
      <c r="P25" t="n">
        <v>0</v>
      </c>
      <c r="Q25" t="inlineStr">
        <is>
          <t>No</t>
        </is>
      </c>
      <c r="R25" t="inlineStr">
        <is>
          <t>Not Mentioned</t>
        </is>
      </c>
      <c r="S25" t="inlineStr">
        <is>
          <t>No mention of conversion to full-time or PPO.</t>
        </is>
      </c>
      <c r="T25" t="n">
        <v>40</v>
      </c>
      <c r="U25" t="n">
        <v>50</v>
      </c>
      <c r="V25" t="n">
        <v>50</v>
      </c>
      <c r="W25" t="n">
        <v>0</v>
      </c>
      <c r="X25" t="n">
        <v>0</v>
      </c>
      <c r="Y25" t="n">
        <v>20</v>
      </c>
      <c r="Z25" t="n">
        <v>35</v>
      </c>
      <c r="AA25" t="inlineStr">
        <is>
          <t>SKIP</t>
        </is>
      </c>
      <c r="AB25" t="inlineStr">
        <is>
          <t>React; PHP</t>
        </is>
      </c>
      <c r="AD25" t="inlineStr">
        <is>
          <t>PHP</t>
        </is>
      </c>
      <c r="AE25" t="inlineStr">
        <is>
          <t>Stipend is zero (NON PAID), which is below the minimum target of 25000/month.</t>
        </is>
      </c>
      <c r="AF25" t="inlineStr">
        <is>
          <t>Unpaid internship; Mandatory PHP requirement where candidate has no demonstrated project experience in PHP</t>
        </is>
      </c>
      <c r="AG25" t="inlineStr">
        <is>
          <t>Amaanuddin_Ahmed_Fullstack_Resume</t>
        </is>
      </c>
      <c r="AH25" t="inlineStr">
        <is>
          <t>React state management; PHP basics and MVC architecture; REST API integration</t>
        </is>
      </c>
      <c r="AJ25" t="inlineStr">
        <is>
          <t>The internship is unpaid (NON PAID), which falls short of the minimum stipend target of ₹25,000/month.; The role requires PHP, which is not among the primary demonstrated backend technologies (Node.js/Java/Python).; Low opportunity quality with no mention of PPO.</t>
        </is>
      </c>
      <c r="AK25" t="inlineStr">
        <is>
          <t>2026-09-09</t>
        </is>
      </c>
    </row>
    <row r="26">
      <c r="A26" t="inlineStr">
        <is>
          <t>AI4SEES-PRIV-260909-23</t>
        </is>
      </c>
      <c r="B26" t="inlineStr">
        <is>
          <t>ai4sees private ltd</t>
        </is>
      </c>
      <c r="C26" t="inlineStr">
        <is>
          <t>Full Stack Web Developer Intern</t>
        </is>
      </c>
      <c r="D26" t="inlineStr">
        <is>
          <t>https://in.jooble.org/jdp/4356507815804547926</t>
        </is>
      </c>
      <c r="E26" t="inlineStr">
        <is>
          <t>AI Analyzer</t>
        </is>
      </c>
      <c r="F26" t="inlineStr">
        <is>
          <t>Bangalore</t>
        </is>
      </c>
      <c r="G26" t="inlineStr">
        <is>
          <t>On-site</t>
        </is>
      </c>
      <c r="H26" t="inlineStr">
        <is>
          <t>Internship</t>
        </is>
      </c>
      <c r="I26" t="inlineStr">
        <is>
          <t>Not specified</t>
        </is>
      </c>
      <c r="J26" t="inlineStr">
        <is>
          <t>Not specified</t>
        </is>
      </c>
      <c r="K26" t="inlineStr">
        <is>
          <t>ELIGIBLE</t>
        </is>
      </c>
      <c r="L26" t="inlineStr">
        <is>
          <t>Target role matches candidate profile for Full Stack Development; Location is Bangalore, matching preferences</t>
        </is>
      </c>
      <c r="M26" t="inlineStr">
        <is>
          <t>UNKNOWN</t>
        </is>
      </c>
      <c r="N26" t="inlineStr">
        <is>
          <t>Candidate availability timeline is not specified in the career brain</t>
        </is>
      </c>
      <c r="O26" t="inlineStr">
        <is>
          <t>UNKNOWN</t>
        </is>
      </c>
      <c r="P26" t="n">
        <v>0</v>
      </c>
      <c r="Q26" t="inlineStr">
        <is>
          <t>No</t>
        </is>
      </c>
      <c r="R26" t="inlineStr">
        <is>
          <t>NOT MENTIONED</t>
        </is>
      </c>
      <c r="S26" t="inlineStr">
        <is>
          <t>No mention of PPO or conversion in the job snippet</t>
        </is>
      </c>
      <c r="T26" t="n">
        <v>24</v>
      </c>
      <c r="U26" t="n">
        <v>16</v>
      </c>
      <c r="V26" t="n">
        <v>12</v>
      </c>
      <c r="W26" t="n">
        <v>0</v>
      </c>
      <c r="X26" t="n">
        <v>0</v>
      </c>
      <c r="Y26" t="n">
        <v>6</v>
      </c>
      <c r="Z26" t="n">
        <v>58</v>
      </c>
      <c r="AA26" t="inlineStr">
        <is>
          <t>SKIP</t>
        </is>
      </c>
      <c r="AB26" t="inlineStr">
        <is>
          <t>Full Stack Web Development</t>
        </is>
      </c>
      <c r="AF26" t="inlineStr">
        <is>
          <t>Stipend details not disclosed; PPO information not disclosed</t>
        </is>
      </c>
      <c r="AG26" t="inlineStr">
        <is>
          <t>Amaan_Full_Stack_Resume.pdf</t>
        </is>
      </c>
      <c r="AH26" t="inlineStr">
        <is>
          <t>Full stack web development fundamentals; MERN stack architecture; Past projects like StaySphere and Zenvest</t>
        </is>
      </c>
      <c r="AI26" t="inlineStr">
        <is>
          <t>Matches target role for Full Stack Development; On-site in Bangalore</t>
        </is>
      </c>
      <c r="AJ26" t="inlineStr">
        <is>
          <t>Stipend is completely missing/unknown; No PPO information mentioned; Overall score falls below the threshold due to lack of compensation and PPO details</t>
        </is>
      </c>
      <c r="AK26" t="inlineStr">
        <is>
          <t>2026-09-09</t>
        </is>
      </c>
    </row>
    <row r="27">
      <c r="A27" t="inlineStr">
        <is>
          <t>EQUILIBRIUM-260909-24</t>
        </is>
      </c>
      <c r="B27" t="inlineStr">
        <is>
          <t>Equilibrium</t>
        </is>
      </c>
      <c r="C27" t="inlineStr">
        <is>
          <t>GIS Intern</t>
        </is>
      </c>
      <c r="D27" t="inlineStr">
        <is>
          <t>https://in.jooble.org/jdp/-4605506488581299335</t>
        </is>
      </c>
      <c r="E27" t="inlineStr">
        <is>
          <t>AI Analyzer</t>
        </is>
      </c>
      <c r="F27" t="inlineStr">
        <is>
          <t>Bangalore</t>
        </is>
      </c>
      <c r="G27" t="inlineStr">
        <is>
          <t>UNKNOWN</t>
        </is>
      </c>
      <c r="H27" t="inlineStr">
        <is>
          <t>Internship</t>
        </is>
      </c>
      <c r="I27" t="inlineStr">
        <is>
          <t>UNKNOWN</t>
        </is>
      </c>
      <c r="J27" t="inlineStr">
        <is>
          <t>Not specified</t>
        </is>
      </c>
      <c r="K27" t="inlineStr">
        <is>
          <t>UNCERTAIN</t>
        </is>
      </c>
      <c r="L27" t="inlineStr">
        <is>
          <t>Role requires GIS (Geographic Information Systems), geospatial data, mapping, and remote sensing skills which are not present in the candidate profile.</t>
        </is>
      </c>
      <c r="M27" t="inlineStr">
        <is>
          <t>UNKNOWN</t>
        </is>
      </c>
      <c r="N27" t="inlineStr">
        <is>
          <t>Candidate availability details are not provided.</t>
        </is>
      </c>
      <c r="O27" t="inlineStr">
        <is>
          <t>UNKNOWN</t>
        </is>
      </c>
      <c r="P27" t="n">
        <v>0</v>
      </c>
      <c r="Q27" t="inlineStr">
        <is>
          <t>No</t>
        </is>
      </c>
      <c r="R27" t="inlineStr">
        <is>
          <t>NO</t>
        </is>
      </c>
      <c r="S27" t="inlineStr">
        <is>
          <t>No mention of PPO or conversion in the job description snippet.</t>
        </is>
      </c>
      <c r="T27" t="n">
        <v>10</v>
      </c>
      <c r="U27" t="n">
        <v>30</v>
      </c>
      <c r="V27" t="n">
        <v>20</v>
      </c>
      <c r="W27" t="n">
        <v>0</v>
      </c>
      <c r="X27" t="n">
        <v>0</v>
      </c>
      <c r="Y27" t="n">
        <v>40</v>
      </c>
      <c r="Z27" t="n">
        <v>18</v>
      </c>
      <c r="AA27" t="inlineStr">
        <is>
          <t>SKIP</t>
        </is>
      </c>
      <c r="AB27" t="inlineStr">
        <is>
          <t>GIS; Geospatial data; Mapping; Remote sensing</t>
        </is>
      </c>
      <c r="AD27" t="inlineStr">
        <is>
          <t>GIS; Geospatial data; Mapping; Remote sensing</t>
        </is>
      </c>
      <c r="AE27" t="inlineStr">
        <is>
          <t>Lack of core GIS, mapping, and remote sensing domain expertise required for a GIS Intern role.</t>
        </is>
      </c>
      <c r="AF27" t="inlineStr">
        <is>
          <t>Unspecified stipend.; No PPO mentioned.</t>
        </is>
      </c>
      <c r="AG27" t="inlineStr">
        <is>
          <t>Default Resume</t>
        </is>
      </c>
      <c r="AH27" t="inlineStr">
        <is>
          <t>GIS software and tools; Geospatial data processing; Remote sensing techniques</t>
        </is>
      </c>
      <c r="AJ27" t="inlineStr">
        <is>
          <t>The role is specifically for a GIS Intern focused on geospatial data and remote sensing, which does not align with Amaan's software engineering and full-stack development skill set.; Stipend is unknown and likely below expectations.; No PPO mentioned.; Hard technical mismatch regarding core role requirements.</t>
        </is>
      </c>
      <c r="AK27" t="inlineStr">
        <is>
          <t>2026-09-09</t>
        </is>
      </c>
    </row>
    <row r="28">
      <c r="A28" t="inlineStr">
        <is>
          <t>IMPACTO-DIGI-260909-25</t>
        </is>
      </c>
      <c r="B28" t="inlineStr">
        <is>
          <t>Impacto Digifin Technologies Pvt. Ltd.</t>
        </is>
      </c>
      <c r="C28" t="inlineStr">
        <is>
          <t>Full Stack Developer Intern</t>
        </is>
      </c>
      <c r="D28" t="inlineStr">
        <is>
          <t>https://in.jooble.org/jdp/-3040557102943083105</t>
        </is>
      </c>
      <c r="E28" t="inlineStr">
        <is>
          <t>AI Analyzer</t>
        </is>
      </c>
      <c r="F28" t="inlineStr">
        <is>
          <t>Brookefield, Bangalore</t>
        </is>
      </c>
      <c r="G28" t="inlineStr">
        <is>
          <t>Work From Office</t>
        </is>
      </c>
      <c r="H28" t="inlineStr">
        <is>
          <t>Internship</t>
        </is>
      </c>
      <c r="I28" t="inlineStr">
        <is>
          <t>6 Months</t>
        </is>
      </c>
      <c r="J28" t="inlineStr">
        <is>
          <t>₹15,000 per Month</t>
        </is>
      </c>
      <c r="K28" t="inlineStr">
        <is>
          <t>ELIGIBLE</t>
        </is>
      </c>
      <c r="L28" t="inlineStr">
        <is>
          <t>No specific degree or experience blockers mentioned in snippet; Location matches preference (Bangalore)</t>
        </is>
      </c>
      <c r="M28" t="inlineStr">
        <is>
          <t>UNKNOWN</t>
        </is>
      </c>
      <c r="N28" t="inlineStr">
        <is>
          <t>Availability not explicitly specified in candidate profile or job description beyond the 6-month duration.</t>
        </is>
      </c>
      <c r="O28" t="inlineStr">
        <is>
          <t>BELOW_TARGET</t>
        </is>
      </c>
      <c r="P28" t="n">
        <v>15000</v>
      </c>
      <c r="Q28" t="inlineStr">
        <is>
          <t>No</t>
        </is>
      </c>
      <c r="R28" t="inlineStr">
        <is>
          <t>NOT_MENTIONED</t>
        </is>
      </c>
      <c r="S28" t="inlineStr">
        <is>
          <t>No mention of PPO or conversion in the job snippet.</t>
        </is>
      </c>
      <c r="T28" t="n">
        <v>80</v>
      </c>
      <c r="U28" t="n">
        <v>80</v>
      </c>
      <c r="V28" t="n">
        <v>80</v>
      </c>
      <c r="W28" t="n">
        <v>0</v>
      </c>
      <c r="X28" t="n">
        <v>40</v>
      </c>
      <c r="Y28" t="n">
        <v>50</v>
      </c>
      <c r="Z28" t="n">
        <v>63</v>
      </c>
      <c r="AA28" t="inlineStr">
        <is>
          <t>STRETCH</t>
        </is>
      </c>
      <c r="AB28" t="inlineStr">
        <is>
          <t>Full Stack Development</t>
        </is>
      </c>
      <c r="AF28" t="inlineStr">
        <is>
          <t>Stipend is below minimum target of ₹25,000/month; No mention of PPO</t>
        </is>
      </c>
      <c r="AG28" t="inlineStr">
        <is>
          <t>Amaanuddin_Ahmed_Full_Stack_Resume.pdf</t>
        </is>
      </c>
      <c r="AH28" t="inlineStr">
        <is>
          <t>MERN stack architecture; REST API design; State management in React; Database indexing and queries in MongoDB</t>
        </is>
      </c>
      <c r="AI28" t="inlineStr">
        <is>
          <t>Matches the Full Stack Development target role; Located in Bangalore with work from office mode; 6-month duration fits well</t>
        </is>
      </c>
      <c r="AJ28" t="inlineStr">
        <is>
          <t>Stipend of ₹15,000 is below the minimum target of ₹25,000/month; No PPO mentioned which is a high priority</t>
        </is>
      </c>
      <c r="AK28" t="inlineStr">
        <is>
          <t>2026-09-09</t>
        </is>
      </c>
    </row>
    <row r="29">
      <c r="A29" t="inlineStr">
        <is>
          <t>EQUILIBRIUM-260909-26</t>
        </is>
      </c>
      <c r="B29" t="inlineStr">
        <is>
          <t>Equilibrium</t>
        </is>
      </c>
      <c r="C29" t="inlineStr">
        <is>
          <t>Intern - Accounts &amp; Compliance</t>
        </is>
      </c>
      <c r="D29" t="inlineStr">
        <is>
          <t>https://in.jooble.org/jdp/3513868326605286801</t>
        </is>
      </c>
      <c r="E29" t="inlineStr">
        <is>
          <t>AI Analyzer</t>
        </is>
      </c>
      <c r="F29" t="inlineStr">
        <is>
          <t>Bangalore</t>
        </is>
      </c>
      <c r="G29" t="inlineStr">
        <is>
          <t>UNKNOWN</t>
        </is>
      </c>
      <c r="H29" t="inlineStr">
        <is>
          <t>Internship</t>
        </is>
      </c>
      <c r="I29" t="inlineStr">
        <is>
          <t>UNKNOWN</t>
        </is>
      </c>
      <c r="J29" t="inlineStr">
        <is>
          <t>UNKNOWN</t>
        </is>
      </c>
      <c r="K29" t="inlineStr">
        <is>
          <t>BLOCKED</t>
        </is>
      </c>
      <c r="L29" t="inlineStr">
        <is>
          <t>Role is in Accounts &amp; Compliance, which does not match candidate's target technical and engineering roles.</t>
        </is>
      </c>
      <c r="M29" t="inlineStr">
        <is>
          <t>UNKNOWN</t>
        </is>
      </c>
      <c r="N29" t="inlineStr">
        <is>
          <t>Availability not specified</t>
        </is>
      </c>
      <c r="O29" t="inlineStr">
        <is>
          <t>UNKNOWN</t>
        </is>
      </c>
      <c r="P29" t="n">
        <v>0</v>
      </c>
      <c r="Q29" t="inlineStr">
        <is>
          <t>No</t>
        </is>
      </c>
      <c r="R29" t="inlineStr">
        <is>
          <t>UNKNOWN</t>
        </is>
      </c>
      <c r="S29" t="inlineStr">
        <is>
          <t>No PPO mentioned in the job snippet.</t>
        </is>
      </c>
      <c r="T29" t="n">
        <v>0</v>
      </c>
      <c r="U29" t="n">
        <v>0</v>
      </c>
      <c r="V29" t="n">
        <v>0</v>
      </c>
      <c r="W29" t="n">
        <v>0</v>
      </c>
      <c r="X29" t="n">
        <v>0</v>
      </c>
      <c r="Y29" t="n">
        <v>0</v>
      </c>
      <c r="Z29" t="n">
        <v>0</v>
      </c>
      <c r="AA29" t="inlineStr">
        <is>
          <t>SKIP</t>
        </is>
      </c>
      <c r="AB29" t="inlineStr">
        <is>
          <t>Accounts; Compliance; Audits</t>
        </is>
      </c>
      <c r="AD29" t="inlineStr">
        <is>
          <t>Accounts; Compliance; Audits</t>
        </is>
      </c>
      <c r="AE29" t="inlineStr">
        <is>
          <t>Non-technical finance/accounts role completely misaligned with MCA software engineering profile.</t>
        </is>
      </c>
      <c r="AF29" t="inlineStr">
        <is>
          <t>Role is for accounts and compliance rather than software development.</t>
        </is>
      </c>
      <c r="AG29" t="inlineStr">
        <is>
          <t>Default</t>
        </is>
      </c>
      <c r="AJ29" t="inlineStr">
        <is>
          <t>The role focuses on accounts and compliance, not software engineering or development.; Completely outside candidate's MCA skill set and target career tracks.</t>
        </is>
      </c>
      <c r="AK29" t="inlineStr">
        <is>
          <t>2026-09-09</t>
        </is>
      </c>
    </row>
    <row r="30">
      <c r="A30" t="inlineStr">
        <is>
          <t>APPSCRIP-260909-27</t>
        </is>
      </c>
      <c r="B30" t="inlineStr">
        <is>
          <t>AppScrip</t>
        </is>
      </c>
      <c r="C30" t="inlineStr">
        <is>
          <t>Python Backend Developer Intern (FastAPI)</t>
        </is>
      </c>
      <c r="D30" t="inlineStr">
        <is>
          <t>https://in.jooble.org/jdp/-283288305107251489</t>
        </is>
      </c>
      <c r="E30" t="inlineStr">
        <is>
          <t>AI Analyzer</t>
        </is>
      </c>
      <c r="F30" t="inlineStr">
        <is>
          <t>Bangalore</t>
        </is>
      </c>
      <c r="G30" t="inlineStr">
        <is>
          <t>Unknown</t>
        </is>
      </c>
      <c r="H30" t="inlineStr">
        <is>
          <t>Internship</t>
        </is>
      </c>
      <c r="I30" t="inlineStr">
        <is>
          <t>Unknown</t>
        </is>
      </c>
      <c r="K30" t="inlineStr">
        <is>
          <t>Eligible</t>
        </is>
      </c>
      <c r="L30" t="inlineStr">
        <is>
          <t>No explicit graduation year or degree restrictions mentioned in the snippet.</t>
        </is>
      </c>
      <c r="M30" t="inlineStr">
        <is>
          <t>Unknown</t>
        </is>
      </c>
      <c r="N30" t="inlineStr">
        <is>
          <t>Candidate availability details are not provided in the career brain.</t>
        </is>
      </c>
      <c r="O30" t="inlineStr">
        <is>
          <t>UNKNOWN</t>
        </is>
      </c>
      <c r="P30" t="n">
        <v>0</v>
      </c>
      <c r="Q30" t="inlineStr">
        <is>
          <t>No</t>
        </is>
      </c>
      <c r="R30" t="inlineStr">
        <is>
          <t>Not Mentioned</t>
        </is>
      </c>
      <c r="S30" t="inlineStr">
        <is>
          <t>The job description snippet does not explicitly mention PPO or conversion opportunities.</t>
        </is>
      </c>
      <c r="T30" t="n">
        <v>20</v>
      </c>
      <c r="U30" t="n">
        <v>20</v>
      </c>
      <c r="V30" t="n">
        <v>15</v>
      </c>
      <c r="W30" t="n">
        <v>5</v>
      </c>
      <c r="X30" t="n">
        <v>0</v>
      </c>
      <c r="Y30" t="n">
        <v>5</v>
      </c>
      <c r="Z30" t="n">
        <v>65</v>
      </c>
      <c r="AA30" t="inlineStr">
        <is>
          <t>STRETCH</t>
        </is>
      </c>
      <c r="AB30" t="inlineStr">
        <is>
          <t>Python; FastAPI; Backend Development</t>
        </is>
      </c>
      <c r="AC30" t="inlineStr">
        <is>
          <t>AI; Cloud Infrastructure</t>
        </is>
      </c>
      <c r="AD30" t="inlineStr">
        <is>
          <t>FastAPI</t>
        </is>
      </c>
      <c r="AF30" t="inlineStr">
        <is>
          <t>Missing stipend information; Minimal job description snippet</t>
        </is>
      </c>
      <c r="AG30" t="inlineStr">
        <is>
          <t>Amaanuddin_Ahmed_Software_Engineering_Resume.pdf</t>
        </is>
      </c>
      <c r="AH30" t="inlineStr">
        <is>
          <t>Python Fundamentals; FastAPI Framework and Asynchronous Programming; RESTful API Design; Backend System Scalability</t>
        </is>
      </c>
      <c r="AI30" t="inlineStr">
        <is>
          <t>Aligns with backend development and software engineering targets; Located in Bangalore</t>
        </is>
      </c>
      <c r="AJ30" t="inlineStr">
        <is>
          <t>Stipend is completely unknown; FastAPI experience is not explicitly demonstrated in the career brain; No PPO mentioned in the snippet</t>
        </is>
      </c>
      <c r="AK30" t="inlineStr">
        <is>
          <t>2026-09-09</t>
        </is>
      </c>
    </row>
    <row r="31">
      <c r="A31" t="inlineStr">
        <is>
          <t>VETIFI-260909-28</t>
        </is>
      </c>
      <c r="B31" t="inlineStr">
        <is>
          <t>Vetifi</t>
        </is>
      </c>
      <c r="C31" t="inlineStr">
        <is>
          <t>Flutter SDE Intern</t>
        </is>
      </c>
      <c r="D31" t="inlineStr">
        <is>
          <t>https://in.jooble.org/jdp/-1529116818359291845</t>
        </is>
      </c>
      <c r="E31" t="inlineStr">
        <is>
          <t>AI Analyzer</t>
        </is>
      </c>
      <c r="F31" t="inlineStr">
        <is>
          <t>Remote</t>
        </is>
      </c>
      <c r="G31" t="inlineStr">
        <is>
          <t>Remote</t>
        </is>
      </c>
      <c r="H31" t="inlineStr">
        <is>
          <t>Internship</t>
        </is>
      </c>
      <c r="I31" t="inlineStr">
        <is>
          <t>3-6 months preferred</t>
        </is>
      </c>
      <c r="J31" t="inlineStr">
        <is>
          <t>Unpaid Internship</t>
        </is>
      </c>
      <c r="K31" t="inlineStr">
        <is>
          <t>Eligible</t>
        </is>
      </c>
      <c r="M31" t="inlineStr">
        <is>
          <t>Unknown</t>
        </is>
      </c>
      <c r="N31" t="inlineStr">
        <is>
          <t>Candidate availability is not specified in the career brain.</t>
        </is>
      </c>
      <c r="O31" t="inlineStr">
        <is>
          <t>Unpaid</t>
        </is>
      </c>
      <c r="P31" t="n">
        <v>0</v>
      </c>
      <c r="Q31" t="inlineStr">
        <is>
          <t>No</t>
        </is>
      </c>
      <c r="R31" t="inlineStr">
        <is>
          <t>Not Mentioned</t>
        </is>
      </c>
      <c r="S31" t="inlineStr">
        <is>
          <t>No mention of PPO or conversion in the job snippet.</t>
        </is>
      </c>
      <c r="T31" t="n">
        <v>0</v>
      </c>
      <c r="U31" t="n">
        <v>40</v>
      </c>
      <c r="V31" t="n">
        <v>40</v>
      </c>
      <c r="W31" t="n">
        <v>0</v>
      </c>
      <c r="X31" t="n">
        <v>0</v>
      </c>
      <c r="Y31" t="n">
        <v>20</v>
      </c>
      <c r="Z31" t="n">
        <v>21</v>
      </c>
      <c r="AA31" t="inlineStr">
        <is>
          <t>SKIP</t>
        </is>
      </c>
      <c r="AB31" t="inlineStr">
        <is>
          <t>Flutter; Mobile App Development</t>
        </is>
      </c>
      <c r="AD31" t="inlineStr">
        <is>
          <t>Flutter; Mobile App Development</t>
        </is>
      </c>
      <c r="AE31" t="inlineStr">
        <is>
          <t>Missing mandatory Flutter and mobile app development stack (candidate has web/backend/cloud focus).</t>
        </is>
      </c>
      <c r="AF31" t="inlineStr">
        <is>
          <t>Unpaid internship; Below minimum stipend target</t>
        </is>
      </c>
      <c r="AG31" t="inlineStr">
        <is>
          <t>Amaanuddin_Ahmed_General_Resume.pdf</t>
        </is>
      </c>
      <c r="AH31" t="inlineStr">
        <is>
          <t>Flutter framework fundamentals; Cross-platform mobile development; State management in Flutter</t>
        </is>
      </c>
      <c r="AJ31" t="inlineStr">
        <is>
          <t>Role requires Flutter which is not in candidate's demonstrated skills.; Internship is unpaid, failing the minimum stipend target of ₹25,000/month.; No PPO mentioned.</t>
        </is>
      </c>
      <c r="AK31" t="inlineStr">
        <is>
          <t>2026-09-09</t>
        </is>
      </c>
    </row>
    <row r="32">
      <c r="A32" t="inlineStr">
        <is>
          <t>EPIFI-260909-29</t>
        </is>
      </c>
      <c r="B32" t="inlineStr">
        <is>
          <t>epifi</t>
        </is>
      </c>
      <c r="C32" t="inlineStr">
        <is>
          <t>Ai Engg Intern</t>
        </is>
      </c>
      <c r="D32" t="inlineStr">
        <is>
          <t>https://in.jooble.org/jdp/458763758895582905</t>
        </is>
      </c>
      <c r="E32" t="inlineStr">
        <is>
          <t>AI Analyzer</t>
        </is>
      </c>
      <c r="F32" t="inlineStr">
        <is>
          <t>Bangalore</t>
        </is>
      </c>
      <c r="G32" t="inlineStr">
        <is>
          <t>UNKNOWN</t>
        </is>
      </c>
      <c r="H32" t="inlineStr">
        <is>
          <t>Internship</t>
        </is>
      </c>
      <c r="I32" t="inlineStr">
        <is>
          <t>UNKNOWN</t>
        </is>
      </c>
      <c r="J32" t="inlineStr">
        <is>
          <t>Not specified</t>
        </is>
      </c>
      <c r="K32" t="inlineStr">
        <is>
          <t>ELIGIBLE</t>
        </is>
      </c>
      <c r="L32" t="inlineStr">
        <is>
          <t>Requires backend or full-stack programming fundamentals with Node.js or Python, which candidate possesses.</t>
        </is>
      </c>
      <c r="M32" t="inlineStr">
        <is>
          <t>UNKNOWN</t>
        </is>
      </c>
      <c r="N32" t="inlineStr">
        <is>
          <t>Availability not explicitly specified in candidate profile or job description.</t>
        </is>
      </c>
      <c r="O32" t="inlineStr">
        <is>
          <t>UNKNOWN</t>
        </is>
      </c>
      <c r="P32" t="n">
        <v>0</v>
      </c>
      <c r="Q32" t="inlineStr">
        <is>
          <t>No</t>
        </is>
      </c>
      <c r="R32" t="inlineStr">
        <is>
          <t>UNKNOWN</t>
        </is>
      </c>
      <c r="S32" t="inlineStr">
        <is>
          <t>No mention of PPO or conversion in the job snippet.</t>
        </is>
      </c>
      <c r="T32" t="n">
        <v>27</v>
      </c>
      <c r="U32" t="n">
        <v>18</v>
      </c>
      <c r="V32" t="n">
        <v>13</v>
      </c>
      <c r="W32" t="n">
        <v>5</v>
      </c>
      <c r="X32" t="n">
        <v>5</v>
      </c>
      <c r="Y32" t="n">
        <v>8</v>
      </c>
      <c r="Z32" t="n">
        <v>76</v>
      </c>
      <c r="AA32" t="inlineStr">
        <is>
          <t>CONSIDER</t>
        </is>
      </c>
      <c r="AB32" t="inlineStr">
        <is>
          <t>Python; Node.js; Programming Fundamentals</t>
        </is>
      </c>
      <c r="AC32" t="inlineStr">
        <is>
          <t>Go</t>
        </is>
      </c>
      <c r="AF32" t="inlineStr">
        <is>
          <t>Stipend is not disclosed.</t>
        </is>
      </c>
      <c r="AG32" t="inlineStr">
        <is>
          <t>Amaanuddin_Ahmed_Software_Engineering_Resume.pdf</t>
        </is>
      </c>
      <c r="AH32" t="inlineStr">
        <is>
          <t>Backend fundamentals; Node.js architecture and event loop; Python scripting and problem solving; Independent project walkthrough</t>
        </is>
      </c>
      <c r="AI32" t="inlineStr">
        <is>
          <t>Matches the technical stack requirements with Node.js and Python.; Good opportunity for software engineering experience at a product company.</t>
        </is>
      </c>
      <c r="AJ32" t="inlineStr">
        <is>
          <t>Stipend details are completely missing.; No explicit mention of PPO.</t>
        </is>
      </c>
      <c r="AK32" t="inlineStr">
        <is>
          <t>2026-09-09</t>
        </is>
      </c>
    </row>
    <row r="33">
      <c r="A33" t="inlineStr">
        <is>
          <t>LIMINAL-CUST-260909-30</t>
        </is>
      </c>
      <c r="B33" t="inlineStr">
        <is>
          <t>liminal custody</t>
        </is>
      </c>
      <c r="C33" t="inlineStr">
        <is>
          <t>QA Automation Intern</t>
        </is>
      </c>
      <c r="D33" t="inlineStr">
        <is>
          <t>https://in.jooble.org/jdp/-313820493907634138</t>
        </is>
      </c>
      <c r="E33" t="inlineStr">
        <is>
          <t>AI Analyzer</t>
        </is>
      </c>
      <c r="F33" t="inlineStr">
        <is>
          <t>Bangalore</t>
        </is>
      </c>
      <c r="G33" t="inlineStr">
        <is>
          <t>UNKNOWN</t>
        </is>
      </c>
      <c r="H33" t="inlineStr">
        <is>
          <t>Internship</t>
        </is>
      </c>
      <c r="I33" t="inlineStr">
        <is>
          <t>UNKNOWN</t>
        </is>
      </c>
      <c r="J33" t="inlineStr">
        <is>
          <t>Not specified</t>
        </is>
      </c>
      <c r="K33" t="inlineStr">
        <is>
          <t>ELIGIBLE</t>
        </is>
      </c>
      <c r="L33" t="inlineStr">
        <is>
          <t>No strict graduation year or degree restrictions mentioned; Matches general MCA profile</t>
        </is>
      </c>
      <c r="M33" t="inlineStr">
        <is>
          <t>UNKNOWN</t>
        </is>
      </c>
      <c r="N33" t="inlineStr">
        <is>
          <t>Not specified in candidate profile</t>
        </is>
      </c>
      <c r="O33" t="inlineStr">
        <is>
          <t>UNKNOWN</t>
        </is>
      </c>
      <c r="P33" t="n">
        <v>0</v>
      </c>
      <c r="Q33" t="inlineStr">
        <is>
          <t>No</t>
        </is>
      </c>
      <c r="R33" t="inlineStr">
        <is>
          <t>UNKNOWN</t>
        </is>
      </c>
      <c r="S33" t="inlineStr">
        <is>
          <t>No mention of PPO or conversion in the job snippet</t>
        </is>
      </c>
      <c r="T33" t="n">
        <v>40</v>
      </c>
      <c r="U33" t="n">
        <v>50</v>
      </c>
      <c r="V33" t="n">
        <v>20</v>
      </c>
      <c r="W33" t="n">
        <v>0</v>
      </c>
      <c r="X33" t="n">
        <v>0</v>
      </c>
      <c r="Y33" t="n">
        <v>40</v>
      </c>
      <c r="Z33" t="n">
        <v>32</v>
      </c>
      <c r="AA33" t="inlineStr">
        <is>
          <t>SKIP</t>
        </is>
      </c>
      <c r="AB33" t="inlineStr">
        <is>
          <t>HTML &amp; CSS; Software Testing concepts; Git/GitHub; Node.js; Strong analytical and problem-solving skills</t>
        </is>
      </c>
      <c r="AD33" t="inlineStr">
        <is>
          <t>Software Testing concepts; QA Automation</t>
        </is>
      </c>
      <c r="AF33" t="inlineStr">
        <is>
          <t>Role is QA Automation, which does not align with target developer roles</t>
        </is>
      </c>
      <c r="AG33" t="inlineStr">
        <is>
          <t>Default</t>
        </is>
      </c>
      <c r="AH33" t="inlineStr">
        <is>
          <t>Software testing fundamentals; Test automation practices; Node.js basics</t>
        </is>
      </c>
      <c r="AI33" t="inlineStr">
        <is>
          <t>Mentions Node.js and Git/GitHub which match candidate profile</t>
        </is>
      </c>
      <c r="AJ33" t="inlineStr">
        <is>
          <t>Role is QA Automation focused rather than Software Engineering or Full Stack Development; Stipend is completely unknown; No PPO mentioned; Poor alignment with target roles</t>
        </is>
      </c>
      <c r="AK33" t="inlineStr">
        <is>
          <t>2026-09-09</t>
        </is>
      </c>
    </row>
    <row r="34">
      <c r="A34" t="inlineStr">
        <is>
          <t>RENTOMOJO-260909-31</t>
        </is>
      </c>
      <c r="B34" t="inlineStr">
        <is>
          <t>RentoMojo</t>
        </is>
      </c>
      <c r="C34" t="inlineStr">
        <is>
          <t>Data Analyst - Intern</t>
        </is>
      </c>
      <c r="D34" t="inlineStr">
        <is>
          <t>https://in.jooble.org/jdp/8456592047622568060</t>
        </is>
      </c>
      <c r="E34" t="inlineStr">
        <is>
          <t>AI Analyzer</t>
        </is>
      </c>
      <c r="F34" t="inlineStr">
        <is>
          <t>Bangalore</t>
        </is>
      </c>
      <c r="G34" t="inlineStr">
        <is>
          <t>Unknown</t>
        </is>
      </c>
      <c r="H34" t="inlineStr">
        <is>
          <t>Internship</t>
        </is>
      </c>
      <c r="I34" t="inlineStr">
        <is>
          <t>Unknown</t>
        </is>
      </c>
      <c r="J34" t="inlineStr">
        <is>
          <t>Not specified</t>
        </is>
      </c>
      <c r="K34" t="inlineStr">
        <is>
          <t>Eligible</t>
        </is>
      </c>
      <c r="M34" t="inlineStr">
        <is>
          <t>Unknown</t>
        </is>
      </c>
      <c r="N34" t="inlineStr">
        <is>
          <t>Not specified in candidate profile</t>
        </is>
      </c>
      <c r="O34" t="inlineStr">
        <is>
          <t>UNKNOWN</t>
        </is>
      </c>
      <c r="P34" t="n">
        <v>0</v>
      </c>
      <c r="Q34" t="inlineStr">
        <is>
          <t>No</t>
        </is>
      </c>
      <c r="R34" t="inlineStr">
        <is>
          <t>Not mentioned</t>
        </is>
      </c>
      <c r="S34" t="inlineStr">
        <is>
          <t>No conversion or PPO details found in job snippet</t>
        </is>
      </c>
      <c r="T34" t="n">
        <v>50</v>
      </c>
      <c r="U34" t="n">
        <v>60</v>
      </c>
      <c r="V34" t="n">
        <v>50</v>
      </c>
      <c r="W34" t="n">
        <v>0</v>
      </c>
      <c r="X34" t="n">
        <v>0</v>
      </c>
      <c r="Y34" t="n">
        <v>50</v>
      </c>
      <c r="Z34" t="n">
        <v>42</v>
      </c>
      <c r="AA34" t="inlineStr">
        <is>
          <t>SKIP</t>
        </is>
      </c>
      <c r="AB34" t="inlineStr">
        <is>
          <t>Business KPIs; Data Analysis; Derived Insights</t>
        </is>
      </c>
      <c r="AC34" t="inlineStr">
        <is>
          <t>Python; Node.js; Lambda scripting; DBT; Snowflake; Redshift; Fivetran</t>
        </is>
      </c>
      <c r="AD34" t="inlineStr">
        <is>
          <t>DBT; Snowflake; Redshift; Fivetran; Lambda scripting</t>
        </is>
      </c>
      <c r="AF34" t="inlineStr">
        <is>
          <t>Stipend is not disclosed; PPO information is missing</t>
        </is>
      </c>
      <c r="AG34" t="inlineStr">
        <is>
          <t>Default Full Stack / General Software Engineering Resume</t>
        </is>
      </c>
      <c r="AH34" t="inlineStr">
        <is>
          <t>SQL and Data Analysis fundamentals; Business KPI tracking; Node.js / Python scripting experience</t>
        </is>
      </c>
      <c r="AI34" t="inlineStr">
        <is>
          <t>Located in Bangalore; Mentions Node.js and Python which align with candidate skills</t>
        </is>
      </c>
      <c r="AJ34" t="inlineStr">
        <is>
          <t>Role is Data Analyst rather than core software engineering or full stack; Stipend is completely undisclosed; No PPO mentioned; Low overall technical and role fit for a primary software engineering profile</t>
        </is>
      </c>
      <c r="AK34" t="inlineStr">
        <is>
          <t>2026-09-09</t>
        </is>
      </c>
    </row>
    <row r="35">
      <c r="A35" t="inlineStr">
        <is>
          <t>SIMULATIONHU-260909-32</t>
        </is>
      </c>
      <c r="B35" t="inlineStr">
        <is>
          <t>Simulationhub</t>
        </is>
      </c>
      <c r="C35" t="inlineStr">
        <is>
          <t>Intern-Digital Transformation</t>
        </is>
      </c>
      <c r="D35" t="inlineStr">
        <is>
          <t>https://in.jooble.org/jdp/3491546633823889584</t>
        </is>
      </c>
      <c r="E35" t="inlineStr">
        <is>
          <t>AI Analyzer</t>
        </is>
      </c>
      <c r="F35" t="inlineStr">
        <is>
          <t>Bangalore</t>
        </is>
      </c>
      <c r="G35" t="inlineStr">
        <is>
          <t>Unknown</t>
        </is>
      </c>
      <c r="H35" t="inlineStr">
        <is>
          <t>Internship</t>
        </is>
      </c>
      <c r="I35" t="inlineStr">
        <is>
          <t>Unknown</t>
        </is>
      </c>
      <c r="J35" t="inlineStr">
        <is>
          <t>Rs 2.5 - 5 lakhs p.a.</t>
        </is>
      </c>
      <c r="K35" t="inlineStr">
        <is>
          <t>ELIGIBLE</t>
        </is>
      </c>
      <c r="M35" t="inlineStr">
        <is>
          <t>UNKNOWN</t>
        </is>
      </c>
      <c r="N35" t="inlineStr">
        <is>
          <t>Not specified in the job description.</t>
        </is>
      </c>
      <c r="O35" t="inlineStr">
        <is>
          <t>DISCLOSED</t>
        </is>
      </c>
      <c r="P35" t="n">
        <v>20833</v>
      </c>
      <c r="Q35" t="inlineStr">
        <is>
          <t>No</t>
        </is>
      </c>
      <c r="R35" t="inlineStr">
        <is>
          <t>UNKNOWN</t>
        </is>
      </c>
      <c r="S35" t="inlineStr">
        <is>
          <t>No mention of PPO or conversion to full-time.</t>
        </is>
      </c>
      <c r="T35" t="n">
        <v>20</v>
      </c>
      <c r="U35" t="n">
        <v>15</v>
      </c>
      <c r="V35" t="n">
        <v>10</v>
      </c>
      <c r="W35" t="n">
        <v>0</v>
      </c>
      <c r="X35" t="n">
        <v>5</v>
      </c>
      <c r="Y35" t="n">
        <v>5</v>
      </c>
      <c r="Z35" t="n">
        <v>55</v>
      </c>
      <c r="AA35" t="inlineStr">
        <is>
          <t>SKIP</t>
        </is>
      </c>
      <c r="AB35" t="inlineStr">
        <is>
          <t>Python; Flask; Node.js</t>
        </is>
      </c>
      <c r="AC35" t="inlineStr">
        <is>
          <t>.NET; PLM systems; BIM-enabled digital twins</t>
        </is>
      </c>
      <c r="AD35" t="inlineStr">
        <is>
          <t>Flask; .NET; PLM systems; BIM</t>
        </is>
      </c>
      <c r="AF35" t="inlineStr">
        <is>
          <t>Minimum guaranteed monthly stipend (approx 20,833 INR at the low end) falls slightly below Amaan's target of 25,000/month.</t>
        </is>
      </c>
      <c r="AG35" t="inlineStr">
        <is>
          <t>Default Full Stack / Backend Resume</t>
        </is>
      </c>
      <c r="AH35" t="inlineStr">
        <is>
          <t>Node.js and Python/Flask development experience; Integration workflows and PLM systems; BIM-enabled digital twins and domain knowledge</t>
        </is>
      </c>
      <c r="AI35" t="inlineStr">
        <is>
          <t>Matches core tech stack elements like Node.js and Python.</t>
        </is>
      </c>
      <c r="AJ35" t="inlineStr">
        <is>
          <t>Lowers stipend expectation slightly at the entry range.; No PPO mentioned.; Requires domain-specific expertise like BIM and PLM which are outside primary software engineering focus.</t>
        </is>
      </c>
      <c r="AK35" t="inlineStr">
        <is>
          <t>2026-09-09</t>
        </is>
      </c>
    </row>
    <row r="36">
      <c r="A36" t="inlineStr">
        <is>
          <t>VISCR-AI-260909-33</t>
        </is>
      </c>
      <c r="B36" t="inlineStr">
        <is>
          <t>viscr ai</t>
        </is>
      </c>
      <c r="C36" t="inlineStr">
        <is>
          <t>Intern Software Development Engineering R&amp;D (AI/ML/NLP)</t>
        </is>
      </c>
      <c r="D36" t="inlineStr">
        <is>
          <t>https://in.jooble.org/jdp/-8319584585580036309</t>
        </is>
      </c>
      <c r="E36" t="inlineStr">
        <is>
          <t>AI Analyzer</t>
        </is>
      </c>
      <c r="F36" t="inlineStr">
        <is>
          <t>Bangalore</t>
        </is>
      </c>
      <c r="G36" t="inlineStr">
        <is>
          <t>UNKNOWN</t>
        </is>
      </c>
      <c r="H36" t="inlineStr">
        <is>
          <t>Internship to Full-Time</t>
        </is>
      </c>
      <c r="I36" t="inlineStr">
        <is>
          <t>6 months</t>
        </is>
      </c>
      <c r="J36" t="inlineStr">
        <is>
          <t>Not specified</t>
        </is>
      </c>
      <c r="K36" t="inlineStr">
        <is>
          <t>ELIGIBLE</t>
        </is>
      </c>
      <c r="L36" t="inlineStr">
        <is>
          <t>Open to computer science students; Matches target domain of software engineering and AI-adjacent roles</t>
        </is>
      </c>
      <c r="M36" t="inlineStr">
        <is>
          <t>UNKNOWN</t>
        </is>
      </c>
      <c r="N36" t="inlineStr">
        <is>
          <t>Availability not explicitly stated in candidate profile</t>
        </is>
      </c>
      <c r="O36" t="inlineStr">
        <is>
          <t>UNKNOWN</t>
        </is>
      </c>
      <c r="P36" t="n">
        <v>0</v>
      </c>
      <c r="Q36" t="inlineStr">
        <is>
          <t>No</t>
        </is>
      </c>
      <c r="R36" t="inlineStr">
        <is>
          <t>YES</t>
        </is>
      </c>
      <c r="S36" t="inlineStr">
        <is>
          <t>Intern for 6 months and then will be converted into full-time role</t>
        </is>
      </c>
      <c r="T36" t="n">
        <v>22</v>
      </c>
      <c r="U36" t="n">
        <v>16</v>
      </c>
      <c r="V36" t="n">
        <v>14</v>
      </c>
      <c r="W36" t="n">
        <v>15</v>
      </c>
      <c r="X36" t="n">
        <v>5</v>
      </c>
      <c r="Y36" t="n">
        <v>8</v>
      </c>
      <c r="Z36" t="n">
        <v>80</v>
      </c>
      <c r="AA36" t="inlineStr">
        <is>
          <t>APPLY</t>
        </is>
      </c>
      <c r="AB36" t="inlineStr">
        <is>
          <t>C; Python; Go Lang; Java; Rust; JavaScript; TypeScript; Node.js; SQL</t>
        </is>
      </c>
      <c r="AC36" t="inlineStr">
        <is>
          <t>Other OO languages</t>
        </is>
      </c>
      <c r="AD36" t="inlineStr">
        <is>
          <t>C; Go Lang; Rust; TypeScript</t>
        </is>
      </c>
      <c r="AF36" t="inlineStr">
        <is>
          <t>Stipend details not disclosed</t>
        </is>
      </c>
      <c r="AG36" t="inlineStr">
        <is>
          <t>Amaanuddin_Ahmed_Software_Engineering_Resume.pdf</t>
        </is>
      </c>
      <c r="AH36" t="inlineStr">
        <is>
          <t>Python and Node.js development; SQL and database management; AI/ML/NLP concepts; Past capstone and full-stack projects</t>
        </is>
      </c>
      <c r="AI36" t="inlineStr">
        <is>
          <t>Explicit conversion to full-time role after 6-month internship aligns strongly with PPO priority; Matches core tech stack including Python, Java, JavaScript, and Node.js; Located in Bangalore with AI/ML/NLP R&amp;D scope</t>
        </is>
      </c>
      <c r="AJ36" t="inlineStr">
        <is>
          <t>Stipend information is currently unknown; Requires some languages like C, Go, or Rust which are not primary demonstrated skills</t>
        </is>
      </c>
      <c r="AK36" t="inlineStr">
        <is>
          <t>2026-09-09</t>
        </is>
      </c>
    </row>
    <row r="37">
      <c r="A37" t="inlineStr">
        <is>
          <t>LANMEA-260909-34</t>
        </is>
      </c>
      <c r="B37" t="inlineStr">
        <is>
          <t>lanmea</t>
        </is>
      </c>
      <c r="C37" t="inlineStr">
        <is>
          <t>AI &amp; Software Engineering Intern</t>
        </is>
      </c>
      <c r="D37" t="inlineStr">
        <is>
          <t>https://in.jooble.org/jdp/-1833422697647887305</t>
        </is>
      </c>
      <c r="E37" t="inlineStr">
        <is>
          <t>AI Analyzer</t>
        </is>
      </c>
      <c r="F37" t="inlineStr">
        <is>
          <t>Bangalore</t>
        </is>
      </c>
      <c r="G37" t="inlineStr">
        <is>
          <t>Unknown</t>
        </is>
      </c>
      <c r="H37" t="inlineStr">
        <is>
          <t>Internship</t>
        </is>
      </c>
      <c r="I37" t="inlineStr">
        <is>
          <t>Unknown</t>
        </is>
      </c>
      <c r="J37" t="inlineStr">
        <is>
          <t>Not specified</t>
        </is>
      </c>
      <c r="K37" t="inlineStr">
        <is>
          <t>ELIGIBLE</t>
        </is>
      </c>
      <c r="L37" t="inlineStr">
        <is>
          <t>Location is Bangalore, matching candidate preference.</t>
        </is>
      </c>
      <c r="M37" t="inlineStr">
        <is>
          <t>UNKNOWN</t>
        </is>
      </c>
      <c r="N37" t="inlineStr">
        <is>
          <t>Not specified in candidate profile or job description.</t>
        </is>
      </c>
      <c r="O37" t="inlineStr">
        <is>
          <t>UNKNOWN</t>
        </is>
      </c>
      <c r="P37" t="n">
        <v>0</v>
      </c>
      <c r="Q37" t="inlineStr">
        <is>
          <t>No</t>
        </is>
      </c>
      <c r="R37" t="inlineStr">
        <is>
          <t>UNKNOWN</t>
        </is>
      </c>
      <c r="S37" t="inlineStr">
        <is>
          <t>Not mentioned in the job snippet.</t>
        </is>
      </c>
      <c r="T37" t="n">
        <v>50</v>
      </c>
      <c r="U37" t="n">
        <v>60</v>
      </c>
      <c r="V37" t="n">
        <v>60</v>
      </c>
      <c r="W37" t="n">
        <v>0</v>
      </c>
      <c r="X37" t="n">
        <v>0</v>
      </c>
      <c r="Y37" t="n">
        <v>40</v>
      </c>
      <c r="Z37" t="n">
        <v>42</v>
      </c>
      <c r="AA37" t="inlineStr">
        <is>
          <t>SKIP</t>
        </is>
      </c>
      <c r="AB37" t="inlineStr">
        <is>
          <t>Software Engineering; AI</t>
        </is>
      </c>
      <c r="AC37" t="inlineStr">
        <is>
          <t>Data; Internal Tools; AI-assisted workflows</t>
        </is>
      </c>
      <c r="AD37" t="inlineStr">
        <is>
          <t>AI-assisted workflows</t>
        </is>
      </c>
      <c r="AF37" t="inlineStr">
        <is>
          <t>Job description snippet is extremely sparse and lacks clear requirements or compensation details.</t>
        </is>
      </c>
      <c r="AG37" t="inlineStr">
        <is>
          <t>Amaanuddin_Ahmed_Software_Engineer_Resume.pdf</t>
        </is>
      </c>
      <c r="AH37" t="inlineStr">
        <is>
          <t>Software engineering principles; AI-assisted workflows and internal tooling; Previous project experience</t>
        </is>
      </c>
      <c r="AI37" t="inlineStr">
        <is>
          <t>Aligns with target AI-adjacent Software Engineering role.; Located in Bangalore.</t>
        </is>
      </c>
      <c r="AJ37" t="inlineStr">
        <is>
          <t>Stipend is completely unknown.; Job description snippet lacks sufficient details regarding tech stack and requirements.; No mention of PPO.</t>
        </is>
      </c>
      <c r="AK37" t="inlineStr">
        <is>
          <t>2026-09-09</t>
        </is>
      </c>
    </row>
    <row r="38">
      <c r="A38" t="inlineStr">
        <is>
          <t>RUBRIK-260909-1</t>
        </is>
      </c>
      <c r="B38" t="inlineStr">
        <is>
          <t>Rubrik</t>
        </is>
      </c>
      <c r="C38" t="inlineStr">
        <is>
          <t>Software Engineer - Intern</t>
        </is>
      </c>
      <c r="D38" t="inlineStr">
        <is>
          <t>https://in.jooble.org/jdp/4771329012250323697</t>
        </is>
      </c>
      <c r="E38" t="inlineStr">
        <is>
          <t>AI Analyzer</t>
        </is>
      </c>
      <c r="F38" t="inlineStr">
        <is>
          <t>Pune</t>
        </is>
      </c>
      <c r="G38" t="inlineStr">
        <is>
          <t>Unknown</t>
        </is>
      </c>
      <c r="H38" t="inlineStr">
        <is>
          <t>Internship</t>
        </is>
      </c>
      <c r="I38" t="inlineStr">
        <is>
          <t>Winter Intern</t>
        </is>
      </c>
      <c r="J38" t="inlineStr">
        <is>
          <t>Not specified</t>
        </is>
      </c>
      <c r="K38" t="inlineStr">
        <is>
          <t>ELIGIBLE</t>
        </is>
      </c>
      <c r="L38" t="inlineStr">
        <is>
          <t>Candidate is pursuing MCA which aligns with software engineering intern roles.</t>
        </is>
      </c>
      <c r="M38" t="inlineStr">
        <is>
          <t>UNKNOWN</t>
        </is>
      </c>
      <c r="N38" t="inlineStr">
        <is>
          <t>Not specified in the job description or career brain.</t>
        </is>
      </c>
      <c r="O38" t="inlineStr">
        <is>
          <t>UNKNOWN</t>
        </is>
      </c>
      <c r="P38" t="n">
        <v>0</v>
      </c>
      <c r="Q38" t="inlineStr">
        <is>
          <t>No</t>
        </is>
      </c>
      <c r="R38" t="inlineStr">
        <is>
          <t>UNKNOWN</t>
        </is>
      </c>
      <c r="S38" t="inlineStr">
        <is>
          <t>No explicit mention of PPO or conversion in the snippet.</t>
        </is>
      </c>
      <c r="T38" t="n">
        <v>50</v>
      </c>
      <c r="U38" t="n">
        <v>50</v>
      </c>
      <c r="V38" t="n">
        <v>60</v>
      </c>
      <c r="W38" t="n">
        <v>0</v>
      </c>
      <c r="X38" t="n">
        <v>0</v>
      </c>
      <c r="Y38" t="n">
        <v>50</v>
      </c>
      <c r="Z38" t="n">
        <v>42</v>
      </c>
      <c r="AA38" t="inlineStr">
        <is>
          <t>SKIP</t>
        </is>
      </c>
      <c r="AF38" t="inlineStr">
        <is>
          <t>Location mismatch (Job is in Pune, candidate target location not explicitly restricted but relevant consideration)</t>
        </is>
      </c>
      <c r="AG38" t="inlineStr">
        <is>
          <t>Amaanuddin_Ahmed_Software_Engineer_Resume.pdf</t>
        </is>
      </c>
      <c r="AH38" t="inlineStr">
        <is>
          <t>Data Structures and Algorithms; Software Engineering Fundamentals; System Design basics</t>
        </is>
      </c>
      <c r="AI38" t="inlineStr">
        <is>
          <t>Good brand name (Rubrik)</t>
        </is>
      </c>
      <c r="AJ38" t="inlineStr">
        <is>
          <t>Job description snippet lacks sufficient details on required tech stack and qualifications; Stipend is completely unknown; Location is Pune while preference is usually flexible but requires relocation verification; Low overall score due to lack of technical details in the snippet</t>
        </is>
      </c>
      <c r="AK38" t="inlineStr">
        <is>
          <t>2026-09-09</t>
        </is>
      </c>
    </row>
    <row r="39">
      <c r="A39" t="inlineStr">
        <is>
          <t>TESTHIRING-260909-2</t>
        </is>
      </c>
      <c r="B39" t="inlineStr">
        <is>
          <t>TestHiring</t>
        </is>
      </c>
      <c r="C39" t="inlineStr">
        <is>
          <t>AI Engineer - Intern</t>
        </is>
      </c>
      <c r="D39" t="inlineStr">
        <is>
          <t>https://in.jooble.org/jdp/1212238152267076468</t>
        </is>
      </c>
      <c r="E39" t="inlineStr">
        <is>
          <t>AI Analyzer</t>
        </is>
      </c>
      <c r="F39" t="inlineStr">
        <is>
          <t>Bangalore North</t>
        </is>
      </c>
      <c r="G39" t="inlineStr">
        <is>
          <t>Unknown</t>
        </is>
      </c>
      <c r="H39" t="inlineStr">
        <is>
          <t>Internship</t>
        </is>
      </c>
      <c r="I39" t="inlineStr">
        <is>
          <t>Unknown</t>
        </is>
      </c>
      <c r="J39" t="inlineStr">
        <is>
          <t>Rs 15000 - Rs 20000 per month</t>
        </is>
      </c>
      <c r="K39" t="inlineStr">
        <is>
          <t>eligible</t>
        </is>
      </c>
      <c r="L39" t="inlineStr">
        <is>
          <t>No strict hard blockers found in description.</t>
        </is>
      </c>
      <c r="M39" t="inlineStr">
        <is>
          <t>unknown</t>
        </is>
      </c>
      <c r="N39" t="inlineStr">
        <is>
          <t>Candidate availability timeline not specified in prompt.</t>
        </is>
      </c>
      <c r="O39" t="inlineStr">
        <is>
          <t>exact</t>
        </is>
      </c>
      <c r="P39" t="n">
        <v>15000</v>
      </c>
      <c r="Q39" t="inlineStr">
        <is>
          <t>No</t>
        </is>
      </c>
      <c r="R39" t="inlineStr">
        <is>
          <t>not mentioned</t>
        </is>
      </c>
      <c r="S39" t="inlineStr">
        <is>
          <t>No mention of PPO or conversion in the job description.</t>
        </is>
      </c>
      <c r="T39" t="n">
        <v>60</v>
      </c>
      <c r="U39" t="n">
        <v>70</v>
      </c>
      <c r="V39" t="n">
        <v>65</v>
      </c>
      <c r="W39" t="n">
        <v>0</v>
      </c>
      <c r="X39" t="n">
        <v>40</v>
      </c>
      <c r="Y39" t="n">
        <v>60</v>
      </c>
      <c r="Z39" t="n">
        <v>55</v>
      </c>
      <c r="AA39" t="inlineStr">
        <is>
          <t>SKIP</t>
        </is>
      </c>
      <c r="AB39" t="inlineStr">
        <is>
          <t>Rapid Prototyping; Chatbots; Workflow Automations</t>
        </is>
      </c>
      <c r="AD39" t="inlineStr">
        <is>
          <t>Dedicated AI/LLM Engineering experience</t>
        </is>
      </c>
      <c r="AF39" t="inlineStr">
        <is>
          <t>Stipend is below the minimum target of ₹25,000/month; No mention of PPO</t>
        </is>
      </c>
      <c r="AG39" t="inlineStr">
        <is>
          <t>Amaanuddin_Ahmed_Resume.pdf</t>
        </is>
      </c>
      <c r="AH39" t="inlineStr">
        <is>
          <t>Rapid prototyping methodology; Chatbot development experience; Workflow automation tools</t>
        </is>
      </c>
      <c r="AI39" t="inlineStr">
        <is>
          <t>Located in Bengaluru; AI-adjacent exposure</t>
        </is>
      </c>
      <c r="AJ39" t="inlineStr">
        <is>
          <t>Stipend of Rs 15000-20000 is below the minimum target of ₹25,000/month; PPO is not mentioned, which is a high priority; Low overall score due to compensation and missing PPO</t>
        </is>
      </c>
      <c r="AK39" t="inlineStr">
        <is>
          <t>2026-09-09</t>
        </is>
      </c>
    </row>
    <row r="40">
      <c r="A40" t="inlineStr">
        <is>
          <t>NEOSTATS-260909-3</t>
        </is>
      </c>
      <c r="B40" t="inlineStr">
        <is>
          <t>neostats</t>
        </is>
      </c>
      <c r="C40" t="inlineStr">
        <is>
          <t>Artificial Intelligence Engineer Intern</t>
        </is>
      </c>
      <c r="D40" t="inlineStr">
        <is>
          <t>https://in.jooble.org/jdp/-7292019498942283213</t>
        </is>
      </c>
      <c r="E40" t="inlineStr">
        <is>
          <t>AI Analyzer</t>
        </is>
      </c>
      <c r="F40" t="inlineStr">
        <is>
          <t>Bangalore</t>
        </is>
      </c>
      <c r="G40" t="inlineStr">
        <is>
          <t>Onsite</t>
        </is>
      </c>
      <c r="H40" t="inlineStr">
        <is>
          <t>Internship</t>
        </is>
      </c>
      <c r="I40" t="inlineStr">
        <is>
          <t>6 months</t>
        </is>
      </c>
      <c r="J40" t="inlineStr">
        <is>
          <t>Paid Internship</t>
        </is>
      </c>
      <c r="K40" t="inlineStr">
        <is>
          <t>ELIGIBLE</t>
        </is>
      </c>
      <c r="L40" t="inlineStr">
        <is>
          <t>Experience requirement is 0-3 years which fits freshers or early professionals</t>
        </is>
      </c>
      <c r="M40" t="inlineStr">
        <is>
          <t>UNKNOWN</t>
        </is>
      </c>
      <c r="N40" t="inlineStr">
        <is>
          <t>Not enough information to determine availability constraints</t>
        </is>
      </c>
      <c r="O40" t="inlineStr">
        <is>
          <t>UNKNOWN</t>
        </is>
      </c>
      <c r="P40" t="n">
        <v>0</v>
      </c>
      <c r="Q40" t="inlineStr">
        <is>
          <t>No</t>
        </is>
      </c>
      <c r="R40" t="inlineStr">
        <is>
          <t>NOT_MENTIONED</t>
        </is>
      </c>
      <c r="S40" t="inlineStr">
        <is>
          <t>No mention of PPO or conversion to full-time role in the snippet</t>
        </is>
      </c>
      <c r="T40" t="n">
        <v>40</v>
      </c>
      <c r="U40" t="n">
        <v>90</v>
      </c>
      <c r="V40" t="n">
        <v>60</v>
      </c>
      <c r="W40" t="n">
        <v>0</v>
      </c>
      <c r="X40" t="n">
        <v>40</v>
      </c>
      <c r="Y40" t="n">
        <v>50</v>
      </c>
      <c r="Z40" t="n">
        <v>52</v>
      </c>
      <c r="AA40" t="inlineStr">
        <is>
          <t>SKIP</t>
        </is>
      </c>
      <c r="AB40" t="inlineStr">
        <is>
          <t>AI-powered applications; Prototypes development; Performance metrics</t>
        </is>
      </c>
      <c r="AD40" t="inlineStr">
        <is>
          <t>Machine Learning; Deep Learning; AI Model Development</t>
        </is>
      </c>
      <c r="AF40" t="inlineStr">
        <is>
          <t>Stipend amount is unknown despite being marked as paid</t>
        </is>
      </c>
      <c r="AG40" t="inlineStr">
        <is>
          <t>Default Software Engineering Resume</t>
        </is>
      </c>
      <c r="AH40" t="inlineStr">
        <is>
          <t>Python programming; Building software prototypes; Basic AI concepts</t>
        </is>
      </c>
      <c r="AI40" t="inlineStr">
        <is>
          <t>Located in Bangalore with onsite mode; Internship duration is 6 months matching academic requirements</t>
        </is>
      </c>
      <c r="AJ40" t="inlineStr">
        <is>
          <t>PPO is not mentioned; Stipend amount is completely unspecified; Role focuses heavily on AI Engineering whereas candidate profile is primarily Full Stack / Backend / Software Engineering</t>
        </is>
      </c>
      <c r="AK40" t="inlineStr">
        <is>
          <t>2026-09-09</t>
        </is>
      </c>
    </row>
    <row r="41">
      <c r="A41" t="inlineStr">
        <is>
          <t>LANE-260909-4</t>
        </is>
      </c>
      <c r="B41" t="inlineStr">
        <is>
          <t>Lane</t>
        </is>
      </c>
      <c r="C41" t="inlineStr">
        <is>
          <t>Tech- Intern</t>
        </is>
      </c>
      <c r="D41" t="inlineStr">
        <is>
          <t>https://in.jooble.org/jdp/-3697916622688250511</t>
        </is>
      </c>
      <c r="E41" t="inlineStr">
        <is>
          <t>AI Analyzer</t>
        </is>
      </c>
      <c r="F41" t="inlineStr">
        <is>
          <t>Bangalore</t>
        </is>
      </c>
      <c r="G41" t="inlineStr">
        <is>
          <t>Unknown</t>
        </is>
      </c>
      <c r="H41" t="inlineStr">
        <is>
          <t>Internship</t>
        </is>
      </c>
      <c r="I41" t="inlineStr">
        <is>
          <t>Unknown</t>
        </is>
      </c>
      <c r="K41" t="inlineStr">
        <is>
          <t>Eligible</t>
        </is>
      </c>
      <c r="M41" t="inlineStr">
        <is>
          <t>Unknown</t>
        </is>
      </c>
      <c r="N41" t="inlineStr">
        <is>
          <t>Not specified in the job description.</t>
        </is>
      </c>
      <c r="O41" t="inlineStr">
        <is>
          <t>UNKNOWN</t>
        </is>
      </c>
      <c r="P41" t="n">
        <v>0</v>
      </c>
      <c r="Q41" t="inlineStr">
        <is>
          <t>No</t>
        </is>
      </c>
      <c r="R41" t="inlineStr">
        <is>
          <t>Unknown</t>
        </is>
      </c>
      <c r="S41" t="inlineStr">
        <is>
          <t>No mention of PPO or conversion in the job snippet.</t>
        </is>
      </c>
      <c r="T41" t="n">
        <v>30</v>
      </c>
      <c r="U41" t="n">
        <v>20</v>
      </c>
      <c r="V41" t="n">
        <v>15</v>
      </c>
      <c r="W41" t="n">
        <v>5</v>
      </c>
      <c r="X41" t="n">
        <v>0</v>
      </c>
      <c r="Y41" t="n">
        <v>5</v>
      </c>
      <c r="Z41" t="n">
        <v>75</v>
      </c>
      <c r="AA41" t="inlineStr">
        <is>
          <t>CONSIDER</t>
        </is>
      </c>
      <c r="AB41" t="inlineStr">
        <is>
          <t>Node.js; Python; HTML; CSS; JavaScript; React</t>
        </is>
      </c>
      <c r="AF41" t="inlineStr">
        <is>
          <t>Stipend is not disclosed.</t>
        </is>
      </c>
      <c r="AG41" t="inlineStr">
        <is>
          <t>Full Stack / Software Engineering Resume</t>
        </is>
      </c>
      <c r="AH41" t="inlineStr">
        <is>
          <t>Backend fundamentals (Node.js or Python); Frontend basics (HTML, CSS, JavaScript, React); Past project experience in software development</t>
        </is>
      </c>
      <c r="AI41" t="inlineStr">
        <is>
          <t>Amaan's demonstrated skills in Node.js, Python, JavaScript, and React perfectly match the required stack.; Location matches target preferences (Bangalore).</t>
        </is>
      </c>
      <c r="AJ41" t="inlineStr">
        <is>
          <t>Stipend details are completely missing.; PPO information is not mentioned.</t>
        </is>
      </c>
      <c r="AK41" t="inlineStr">
        <is>
          <t>2026-09-09</t>
        </is>
      </c>
    </row>
  </sheetData>
  <autoFilter ref="A1:AK49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0" customWidth="1" style="15" min="1" max="1"/>
    <col width="105" customWidth="1" style="15" min="2" max="2"/>
  </cols>
  <sheetData>
    <row r="1" ht="39" customHeight="1" s="15">
      <c r="A1" s="7" t="inlineStr">
        <is>
          <t>AI → CRM workflow</t>
        </is>
      </c>
      <c r="B1" s="2" t="n"/>
    </row>
    <row r="2">
      <c r="A2" s="2" t="inlineStr">
        <is>
          <t>1</t>
        </is>
      </c>
      <c r="B2" s="2" t="inlineStr">
        <is>
          <t>Run a JD through the AI Job Analyzer.</t>
        </is>
      </c>
    </row>
    <row r="3">
      <c r="A3" s="2" t="inlineStr">
        <is>
          <t>2</t>
        </is>
      </c>
      <c r="B3" s="2" t="inlineStr">
        <is>
          <t>Copy the structured JSON result into the importer script/tool we will build next.</t>
        </is>
      </c>
    </row>
    <row r="4">
      <c r="A4" s="2" t="inlineStr">
        <is>
          <t>3</t>
        </is>
      </c>
      <c r="B4" s="2" t="inlineStr">
        <is>
          <t>The importer maps the analysis into AI_Import and Jobs.</t>
        </is>
      </c>
    </row>
    <row r="5">
      <c r="A5" s="2" t="inlineStr">
        <is>
          <t>4</t>
        </is>
      </c>
      <c r="B5" s="2" t="inlineStr">
        <is>
          <t>Only shortlisted jobs move into Applications after you personally approve them.</t>
        </is>
      </c>
    </row>
    <row r="6">
      <c r="A6" s="2" t="inlineStr">
        <is>
          <t>5</t>
        </is>
      </c>
      <c r="B6" s="2" t="inlineStr">
        <is>
          <t>Never let AI submit applications automatically at this stage.</t>
        </is>
      </c>
    </row>
    <row r="7">
      <c r="A7" s="2" t="inlineStr">
        <is>
          <t>Current scoring</t>
        </is>
      </c>
      <c r="B7" s="2" t="inlineStr">
        <is>
          <t>Technical 30% + Experience 20% + Role 15% + PPO 15% + Compensation 10% + Opportunity Quality 10%.</t>
        </is>
      </c>
    </row>
    <row r="8">
      <c r="A8" s="2" t="inlineStr">
        <is>
          <t>Hard blockers</t>
        </is>
      </c>
      <c r="B8" s="2" t="inlineStr">
        <is>
          <t>Eligibility or availability failure forces SKIP regardless of score.</t>
        </is>
      </c>
    </row>
    <row r="9" ht="30" customHeight="1" s="15">
      <c r="A9" s="2" t="inlineStr">
        <is>
          <t>Compensation</t>
        </is>
      </c>
      <c r="B9" s="2" t="inlineStr">
        <is>
          <t>Guaranteed/fixed pay is what counts toward the ₹25,000 minimum; incentive-only amounts are not treated as guaranteed.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2026-08-17T20:57:55Z</dcterms:created>
  <dcterms:modified xsi:type="dcterms:W3CDTF">2026-09-10T09:01:13Z</dcterms:modified>
  <cp:lastModifiedBy>Amaanuddin Ahmed</cp:lastModifiedBy>
</cp:coreProperties>
</file>