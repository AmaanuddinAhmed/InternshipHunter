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0" activeTab="7" autoFilterDateGrouping="1"/>
  </bookViews>
  <sheets>
    <sheet name="README" sheetId="1" state="visible" r:id="rId1"/>
    <sheet name="Career_Profile" sheetId="2" state="visible" r:id="rId2"/>
    <sheet name="Skills" sheetId="3" state="visible" r:id="rId3"/>
    <sheet name="Jobs" sheetId="4" state="visible" r:id="rId4"/>
    <sheet name="Applications" sheetId="5" state="visible" r:id="rId5"/>
    <sheet name="Interviews" sheetId="6" state="visible" r:id="rId6"/>
    <sheet name="Analytics" sheetId="7" state="visible" r:id="rId7"/>
    <sheet name="AI_Import" sheetId="8" state="visible" r:id="rId8"/>
    <sheet name="AI_Import_Guide" sheetId="9" state="visible" r:id="rId9"/>
  </sheets>
  <definedNames>
    <definedName name="_xlnm._FilterDatabase" localSheetId="3" hidden="1">'Jobs'!$A$1:$Z$500</definedName>
    <definedName name="_xlnm._FilterDatabase" localSheetId="4" hidden="1">'Applications'!$A$1:$Q$500</definedName>
    <definedName name="_xlnm._FilterDatabase" localSheetId="5" hidden="1">'Interviews'!$A$1:$O$500</definedName>
    <definedName name="_xlnm._FilterDatabase" localSheetId="7" hidden="1">'AI_Import'!$A$1:$AK$499</definedName>
  </definedNames>
  <calcPr calcId="191029" fullCalcOnLoad="1"/>
</workbook>
</file>

<file path=xl/styles.xml><?xml version="1.0" encoding="utf-8"?>
<styleSheet xmlns="http://schemas.openxmlformats.org/spreadsheetml/2006/main">
  <numFmts count="1">
    <numFmt numFmtId="164" formatCode="0.0%"/>
  </numFmts>
  <fonts count="5">
    <font>
      <name val="Calibri"/>
      <family val="2"/>
      <color theme="1"/>
      <sz val="11"/>
      <scheme val="minor"/>
    </font>
    <font>
      <name val="Calibri"/>
      <b val="1"/>
      <color rgb="FFFFFFFF"/>
      <sz val="11"/>
    </font>
    <font>
      <name val="Calibri"/>
      <b val="1"/>
      <sz val="16"/>
    </font>
    <font>
      <name val="Calibri"/>
      <b val="1"/>
      <sz val="11"/>
    </font>
    <font>
      <name val="Calibri"/>
      <b val="1"/>
      <color rgb="FFFFFFFF"/>
      <sz val="15"/>
    </font>
  </fonts>
  <fills count="3">
    <fill>
      <patternFill/>
    </fill>
    <fill>
      <patternFill patternType="gray125"/>
    </fill>
    <fill>
      <patternFill patternType="solid">
        <fgColor rgb="FF1F2937"/>
      </patternFill>
    </fill>
  </fills>
  <borders count="6">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right/>
      <top style="thin">
        <color rgb="FFD1D5DB"/>
      </top>
      <bottom/>
      <diagonal/>
    </border>
    <border>
      <left/>
      <right style="thin">
        <color rgb="FFD1D5DB"/>
      </right>
      <top style="thin">
        <color rgb="FFD1D5DB"/>
      </top>
      <bottom/>
      <diagonal/>
    </border>
  </borders>
  <cellStyleXfs count="1">
    <xf numFmtId="0" fontId="0" fillId="0" borderId="0"/>
  </cellStyleXfs>
  <cellXfs count="11">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3" fillId="0" borderId="1" applyAlignment="1" pivotButton="0" quotePrefix="0" xfId="0">
      <alignment vertical="top" wrapText="1"/>
    </xf>
    <xf numFmtId="164" fontId="0" fillId="0" borderId="1" applyAlignment="1" pivotButton="0" quotePrefix="0" xfId="0">
      <alignment vertical="top" wrapText="1"/>
    </xf>
    <xf numFmtId="0" fontId="1" fillId="2" borderId="1" applyAlignment="1" pivotButton="0" quotePrefix="0" xfId="0">
      <alignment horizontal="center" vertical="center" wrapText="1"/>
    </xf>
    <xf numFmtId="0" fontId="3" fillId="0" borderId="0" pivotButton="0" quotePrefix="0" xfId="0"/>
    <xf numFmtId="0" fontId="4" fillId="2" borderId="1" applyAlignment="1" pivotButton="0" quotePrefix="0" xfId="0">
      <alignment vertical="top" wrapText="1"/>
    </xf>
    <xf numFmtId="0" fontId="2" fillId="0" borderId="1" applyAlignment="1" pivotButton="0" quotePrefix="0" xfId="0">
      <alignment vertical="top" wrapText="1"/>
    </xf>
    <xf numFmtId="0" fontId="0" fillId="0" borderId="2" pivotButton="0" quotePrefix="0" xfId="0"/>
    <xf numFmtId="0" fontId="0" fillId="0" borderId="3" pivotButton="0" quotePrefix="0" xfId="0"/>
  </cellXfs>
  <cellStyles count="1">
    <cellStyle name="Normal" xfId="0" builtinId="0"/>
  </cellStyles>
  <dxfs count="1">
    <dxf>
      <fill>
        <patternFill patternType="solid">
          <fgColor rgb="FF86EFA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2" customWidth="1" min="1" max="1"/>
    <col width="100" customWidth="1" min="2" max="2"/>
  </cols>
  <sheetData>
    <row r="1" ht="30" customHeight="1">
      <c r="A1" s="1" t="inlineStr">
        <is>
          <t>Amaan's Internship Ecosystem — v1</t>
        </is>
      </c>
      <c r="B1" s="2" t="n"/>
    </row>
    <row r="2">
      <c r="A2" s="2" t="inlineStr">
        <is>
          <t>Purpose</t>
        </is>
      </c>
      <c r="B2" s="2" t="inlineStr">
        <is>
          <t>Personal internship CRM + AI-ready job database.</t>
        </is>
      </c>
    </row>
    <row r="3">
      <c r="A3" s="2" t="inlineStr">
        <is>
          <t>Workflow</t>
        </is>
      </c>
      <c r="B3" s="2" t="inlineStr">
        <is>
          <t>Discover → Analyze → Shortlist → Apply → OA → Interview → Offer → PPO</t>
        </is>
      </c>
    </row>
    <row r="4">
      <c r="A4" s="2" t="inlineStr">
        <is>
          <t>Start here</t>
        </is>
      </c>
      <c r="B4" s="2" t="inlineStr">
        <is>
          <t>Fill Career_Profile and verify Skills. Add jobs to Jobs. Applications are only for jobs you actually apply to.</t>
        </is>
      </c>
    </row>
    <row r="5">
      <c r="A5" s="2" t="inlineStr">
        <is>
          <t>AI fields</t>
        </is>
      </c>
      <c r="B5" s="2" t="inlineStr">
        <is>
          <t>Match/fit scores, skill gaps, PPO signal and resume version will later be populated by the AI analyzer.</t>
        </is>
      </c>
    </row>
    <row r="6" ht="30" customHeight="1">
      <c r="A6" s="2" t="inlineStr">
        <is>
          <t>Scoring</t>
        </is>
      </c>
      <c r="B6" s="2" t="inlineStr">
        <is>
          <t>Overall Match = Technical 30% + Experience 20% + Role 15% + PPO 15% + Compensation 10% + Opportunity Quality 10%.</t>
        </is>
      </c>
    </row>
    <row r="7">
      <c r="A7" s="2" t="inlineStr">
        <is>
          <t>Priority</t>
        </is>
      </c>
      <c r="B7" s="2" t="inlineStr">
        <is>
          <t>P1 = 80+, P2 = 70–79, P3 = 60–69, P4 = below 60. APPLY ASAP is reserved for 90+.</t>
        </is>
      </c>
    </row>
    <row r="8">
      <c r="A8" s="2" t="inlineStr">
        <is>
          <t>Important</t>
        </is>
      </c>
      <c r="B8" s="2" t="inlineStr">
        <is>
          <t>Never let AI invent skills, experience, metrics, eligibility, compensation or PPO claims.</t>
        </is>
      </c>
    </row>
    <row r="9">
      <c r="A9" s="2" t="inlineStr">
        <is>
          <t>Next build step</t>
        </is>
      </c>
      <c r="B9" s="2" t="inlineStr">
        <is>
          <t>Connect the AI Job Analyzer to this database, then add job discovery automation.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8"/>
  <sheetViews>
    <sheetView workbookViewId="0">
      <pane ySplit="1" topLeftCell="A2" activePane="bottomLeft" state="frozen"/>
      <selection pane="bottomLeft" activeCell="A1" sqref="A1"/>
    </sheetView>
  </sheetViews>
  <sheetFormatPr baseColWidth="8" defaultRowHeight="15"/>
  <cols>
    <col width="21" customWidth="1" min="1" max="1"/>
    <col width="42" customWidth="1" min="2" max="2"/>
  </cols>
  <sheetData>
    <row r="1">
      <c r="A1" s="1" t="inlineStr">
        <is>
          <t>Field</t>
        </is>
      </c>
      <c r="B1" s="1" t="inlineStr">
        <is>
          <t>Value</t>
        </is>
      </c>
    </row>
    <row r="2">
      <c r="A2" s="2" t="inlineStr">
        <is>
          <t>Candidate</t>
        </is>
      </c>
      <c r="B2" s="2" t="inlineStr">
        <is>
          <t>Amaanuddin Ahmed</t>
        </is>
      </c>
    </row>
    <row r="3">
      <c r="A3" s="2" t="inlineStr">
        <is>
          <t>Current Degree</t>
        </is>
      </c>
      <c r="B3" s="2" t="inlineStr">
        <is>
          <t>MCA</t>
        </is>
      </c>
    </row>
    <row r="4">
      <c r="A4" s="2" t="inlineStr">
        <is>
          <t>University</t>
        </is>
      </c>
      <c r="B4" s="2" t="inlineStr">
        <is>
          <t>PES University, Bengaluru</t>
        </is>
      </c>
    </row>
    <row r="5">
      <c r="A5" s="2" t="inlineStr">
        <is>
          <t>MCA CGPA</t>
        </is>
      </c>
      <c r="B5" s="2" t="n">
        <v>8.48</v>
      </c>
    </row>
    <row r="6">
      <c r="A6" s="2" t="inlineStr">
        <is>
          <t>BCA CGPA</t>
        </is>
      </c>
      <c r="B6" s="2" t="n">
        <v>8.199999999999999</v>
      </c>
    </row>
    <row r="7">
      <c r="A7" s="2" t="inlineStr">
        <is>
          <t>Location Preference</t>
        </is>
      </c>
      <c r="B7" s="2" t="inlineStr">
        <is>
          <t>Anywhere in India</t>
        </is>
      </c>
    </row>
    <row r="8">
      <c r="A8" s="2" t="inlineStr">
        <is>
          <t>Work Mode</t>
        </is>
      </c>
      <c r="B8" s="2" t="inlineStr">
        <is>
          <t>Remote / Hybrid / On-site</t>
        </is>
      </c>
    </row>
    <row r="9">
      <c r="A9" s="2" t="inlineStr">
        <is>
          <t>Minimum Stipend</t>
        </is>
      </c>
      <c r="B9" s="2" t="n">
        <v>25000</v>
      </c>
    </row>
    <row r="10">
      <c r="A10" s="2" t="inlineStr">
        <is>
          <t>Duration</t>
        </is>
      </c>
      <c r="B10" s="2" t="inlineStr">
        <is>
          <t>Any</t>
        </is>
      </c>
    </row>
    <row r="11">
      <c r="A11" s="2" t="inlineStr">
        <is>
          <t>Company Preference</t>
        </is>
      </c>
      <c r="B11" s="2" t="inlineStr">
        <is>
          <t>No preference</t>
        </is>
      </c>
    </row>
    <row r="12">
      <c r="A12" s="2" t="inlineStr">
        <is>
          <t>PPO Priority</t>
        </is>
      </c>
      <c r="B12" s="2" t="inlineStr">
        <is>
          <t>High</t>
        </is>
      </c>
    </row>
    <row r="13" ht="30" customHeight="1">
      <c r="A13" s="2" t="inlineStr">
        <is>
          <t>Primary Roles</t>
        </is>
      </c>
      <c r="B13" s="2" t="inlineStr">
        <is>
          <t>SDE / Software Engineer Intern; Full Stack Intern; Backend Intern</t>
        </is>
      </c>
    </row>
    <row r="14" ht="30" customHeight="1">
      <c r="A14" s="2" t="inlineStr">
        <is>
          <t>Secondary Roles</t>
        </is>
      </c>
      <c r="B14" s="2" t="inlineStr">
        <is>
          <t>MERN/Node.js Intern; Frontend Intern; DevOps/Cloud Intern</t>
        </is>
      </c>
    </row>
    <row r="15">
      <c r="A15" s="2" t="inlineStr">
        <is>
          <t>Selective Roles</t>
        </is>
      </c>
      <c r="B15" s="2" t="inlineStr">
        <is>
          <t>Java Developer Intern</t>
        </is>
      </c>
    </row>
    <row r="16" ht="30" customHeight="1">
      <c r="A16" s="2" t="inlineStr">
        <is>
          <t>Primary Stack</t>
        </is>
      </c>
      <c r="B16" s="2" t="inlineStr">
        <is>
          <t>JavaScript, TypeScript, Node.js, Express, Angular, React, MongoDB, MySQL</t>
        </is>
      </c>
    </row>
    <row r="17" ht="30" customHeight="1">
      <c r="A17" s="2" t="inlineStr">
        <is>
          <t>Cloud/DevOps</t>
        </is>
      </c>
      <c r="B17" s="2" t="inlineStr">
        <is>
          <t>AWS, Azure, Vercel, Render, Docker, Kubernetes, CI/CD</t>
        </is>
      </c>
    </row>
    <row r="18" ht="30" customHeight="1">
      <c r="A18" s="2" t="inlineStr">
        <is>
          <t>Experience</t>
        </is>
      </c>
      <c r="B18" s="2" t="inlineStr">
        <is>
          <t>Production internship + freelance client experience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3"/>
  <sheetViews>
    <sheetView workbookViewId="0">
      <pane ySplit="1" topLeftCell="A2" activePane="bottomLeft" state="frozen"/>
      <selection pane="bottomLeft" activeCell="A1" sqref="A1"/>
    </sheetView>
  </sheetViews>
  <sheetFormatPr baseColWidth="8" defaultRowHeight="15"/>
  <cols>
    <col width="16" customWidth="1" min="1" max="1"/>
    <col width="15" customWidth="1" min="2" max="2"/>
    <col width="42" customWidth="1" min="3" max="3"/>
    <col width="26" customWidth="1" min="4" max="4"/>
    <col width="12" customWidth="1" min="5" max="5"/>
  </cols>
  <sheetData>
    <row r="1">
      <c r="A1" s="1" t="inlineStr">
        <is>
          <t>Skill</t>
        </is>
      </c>
      <c r="B1" s="1" t="inlineStr">
        <is>
          <t>Level</t>
        </is>
      </c>
      <c r="C1" s="1" t="inlineStr">
        <is>
          <t>Evidence / Context</t>
        </is>
      </c>
      <c r="D1" s="1" t="inlineStr">
        <is>
          <t>Target Roles</t>
        </is>
      </c>
      <c r="E1" s="1" t="inlineStr">
        <is>
          <t>Verified?</t>
        </is>
      </c>
    </row>
    <row r="2">
      <c r="A2" s="2" t="inlineStr">
        <is>
          <t>JavaScript</t>
        </is>
      </c>
      <c r="B2" s="2" t="inlineStr">
        <is>
          <t>Strong</t>
        </is>
      </c>
      <c r="C2" s="2" t="inlineStr">
        <is>
          <t>MERN + Angular production/projects</t>
        </is>
      </c>
      <c r="D2" s="2" t="inlineStr">
        <is>
          <t>SDE; Full Stack; Backend</t>
        </is>
      </c>
      <c r="E2" s="2" t="inlineStr">
        <is>
          <t>Yes</t>
        </is>
      </c>
    </row>
    <row r="3">
      <c r="A3" s="2" t="inlineStr">
        <is>
          <t>TypeScript</t>
        </is>
      </c>
      <c r="B3" s="2" t="inlineStr">
        <is>
          <t>Strong</t>
        </is>
      </c>
      <c r="C3" s="2" t="inlineStr">
        <is>
          <t>Angular</t>
        </is>
      </c>
      <c r="D3" s="2" t="inlineStr">
        <is>
          <t>Full Stack; Frontend</t>
        </is>
      </c>
      <c r="E3" s="2" t="inlineStr">
        <is>
          <t>Yes</t>
        </is>
      </c>
    </row>
    <row r="4">
      <c r="A4" s="2" t="inlineStr">
        <is>
          <t>Node.js</t>
        </is>
      </c>
      <c r="B4" s="2" t="inlineStr">
        <is>
          <t>Strong</t>
        </is>
      </c>
      <c r="C4" s="2" t="inlineStr">
        <is>
          <t>Production internship + projects</t>
        </is>
      </c>
      <c r="D4" s="2" t="inlineStr">
        <is>
          <t>SDE; Backend; Full Stack</t>
        </is>
      </c>
      <c r="E4" s="2" t="inlineStr">
        <is>
          <t>Yes</t>
        </is>
      </c>
    </row>
    <row r="5">
      <c r="A5" s="2" t="inlineStr">
        <is>
          <t>Express.js</t>
        </is>
      </c>
      <c r="B5" s="2" t="inlineStr">
        <is>
          <t>Strong</t>
        </is>
      </c>
      <c r="C5" s="2" t="inlineStr">
        <is>
          <t>Production/projects</t>
        </is>
      </c>
      <c r="D5" s="2" t="inlineStr">
        <is>
          <t>Backend; Full Stack</t>
        </is>
      </c>
      <c r="E5" s="2" t="inlineStr">
        <is>
          <t>Yes</t>
        </is>
      </c>
    </row>
    <row r="6">
      <c r="A6" s="2" t="inlineStr">
        <is>
          <t>Angular</t>
        </is>
      </c>
      <c r="B6" s="2" t="inlineStr">
        <is>
          <t>Strong</t>
        </is>
      </c>
      <c r="C6" s="2" t="inlineStr">
        <is>
          <t>Production internship + POS</t>
        </is>
      </c>
      <c r="D6" s="2" t="inlineStr">
        <is>
          <t>Full Stack; Frontend</t>
        </is>
      </c>
      <c r="E6" s="2" t="inlineStr">
        <is>
          <t>Yes</t>
        </is>
      </c>
    </row>
    <row r="7">
      <c r="A7" s="2" t="inlineStr">
        <is>
          <t>React</t>
        </is>
      </c>
      <c r="B7" s="2" t="inlineStr">
        <is>
          <t>Working</t>
        </is>
      </c>
      <c r="C7" s="2" t="inlineStr">
        <is>
          <t>MERN projects</t>
        </is>
      </c>
      <c r="D7" s="2" t="inlineStr">
        <is>
          <t>Full Stack; Frontend</t>
        </is>
      </c>
      <c r="E7" s="2" t="inlineStr">
        <is>
          <t>Yes</t>
        </is>
      </c>
    </row>
    <row r="8">
      <c r="A8" s="2" t="inlineStr">
        <is>
          <t>MongoDB</t>
        </is>
      </c>
      <c r="B8" s="2" t="inlineStr">
        <is>
          <t>Strong</t>
        </is>
      </c>
      <c r="C8" s="2" t="inlineStr">
        <is>
          <t>Multiple full-stack projects</t>
        </is>
      </c>
      <c r="D8" s="2" t="inlineStr">
        <is>
          <t>Backend; Full Stack</t>
        </is>
      </c>
      <c r="E8" s="2" t="inlineStr">
        <is>
          <t>Yes</t>
        </is>
      </c>
    </row>
    <row r="9">
      <c r="A9" s="2" t="inlineStr">
        <is>
          <t>MySQL</t>
        </is>
      </c>
      <c r="B9" s="2" t="inlineStr">
        <is>
          <t>Strong</t>
        </is>
      </c>
      <c r="C9" s="2" t="inlineStr">
        <is>
          <t>Production internship</t>
        </is>
      </c>
      <c r="D9" s="2" t="inlineStr">
        <is>
          <t>Backend; Full Stack</t>
        </is>
      </c>
      <c r="E9" s="2" t="inlineStr">
        <is>
          <t>Yes</t>
        </is>
      </c>
    </row>
    <row r="10">
      <c r="A10" s="2" t="inlineStr">
        <is>
          <t>PostgreSQL</t>
        </is>
      </c>
      <c r="B10" s="2" t="inlineStr">
        <is>
          <t>Working</t>
        </is>
      </c>
      <c r="C10" s="2" t="inlineStr">
        <is>
          <t>Listed skill</t>
        </is>
      </c>
      <c r="D10" s="2" t="inlineStr">
        <is>
          <t>Backend; SDE</t>
        </is>
      </c>
      <c r="E10" s="2" t="inlineStr">
        <is>
          <t>Review</t>
        </is>
      </c>
    </row>
    <row r="11">
      <c r="A11" s="2" t="inlineStr">
        <is>
          <t>Next.js</t>
        </is>
      </c>
      <c r="B11" s="2" t="inlineStr">
        <is>
          <t>Working</t>
        </is>
      </c>
      <c r="C11" s="2" t="inlineStr">
        <is>
          <t>Listed skill</t>
        </is>
      </c>
      <c r="D11" s="2" t="inlineStr">
        <is>
          <t>Full Stack; Frontend</t>
        </is>
      </c>
      <c r="E11" s="2" t="inlineStr">
        <is>
          <t>Review</t>
        </is>
      </c>
    </row>
    <row r="12" ht="30" customHeight="1">
      <c r="A12" s="2" t="inlineStr">
        <is>
          <t>Java</t>
        </is>
      </c>
      <c r="B12" s="2" t="inlineStr">
        <is>
          <t>Working / DSA</t>
        </is>
      </c>
      <c r="C12" s="2" t="inlineStr">
        <is>
          <t>DSA certification; development depth to verify</t>
        </is>
      </c>
      <c r="D12" s="2" t="inlineStr">
        <is>
          <t>SDE; Java</t>
        </is>
      </c>
      <c r="E12" s="2" t="inlineStr">
        <is>
          <t>Review</t>
        </is>
      </c>
    </row>
    <row r="13">
      <c r="A13" s="2" t="inlineStr">
        <is>
          <t>Python</t>
        </is>
      </c>
      <c r="B13" s="2" t="inlineStr">
        <is>
          <t>Working</t>
        </is>
      </c>
      <c r="C13" s="2" t="inlineStr">
        <is>
          <t>Listed skill</t>
        </is>
      </c>
      <c r="D13" s="2" t="inlineStr">
        <is>
          <t>SDE; Backend</t>
        </is>
      </c>
      <c r="E13" s="2" t="inlineStr">
        <is>
          <t>Review</t>
        </is>
      </c>
    </row>
    <row r="14">
      <c r="A14" s="2" t="inlineStr">
        <is>
          <t>AWS</t>
        </is>
      </c>
      <c r="B14" s="2" t="inlineStr">
        <is>
          <t>Working</t>
        </is>
      </c>
      <c r="C14" s="2" t="inlineStr">
        <is>
          <t>Cloud experience listed</t>
        </is>
      </c>
      <c r="D14" s="2" t="inlineStr">
        <is>
          <t>Cloud; SDE; Backend</t>
        </is>
      </c>
      <c r="E14" s="2" t="inlineStr">
        <is>
          <t>Review</t>
        </is>
      </c>
    </row>
    <row r="15">
      <c r="A15" s="2" t="inlineStr">
        <is>
          <t>Azure</t>
        </is>
      </c>
      <c r="B15" s="2" t="inlineStr">
        <is>
          <t>Strong</t>
        </is>
      </c>
      <c r="C15" s="2" t="inlineStr">
        <is>
          <t>Live POS deployment</t>
        </is>
      </c>
      <c r="D15" s="2" t="inlineStr">
        <is>
          <t>Cloud; Full Stack</t>
        </is>
      </c>
      <c r="E15" s="2" t="inlineStr">
        <is>
          <t>Yes</t>
        </is>
      </c>
    </row>
    <row r="16">
      <c r="A16" s="2" t="inlineStr">
        <is>
          <t>Docker</t>
        </is>
      </c>
      <c r="B16" s="2" t="inlineStr">
        <is>
          <t>Working</t>
        </is>
      </c>
      <c r="C16" s="2" t="inlineStr">
        <is>
          <t>Listed skill</t>
        </is>
      </c>
      <c r="D16" s="2" t="inlineStr">
        <is>
          <t>Cloud; DevOps; Backend</t>
        </is>
      </c>
      <c r="E16" s="2" t="inlineStr">
        <is>
          <t>Review</t>
        </is>
      </c>
    </row>
    <row r="17">
      <c r="A17" s="2" t="inlineStr">
        <is>
          <t>Kubernetes</t>
        </is>
      </c>
      <c r="B17" s="2" t="inlineStr">
        <is>
          <t>Working</t>
        </is>
      </c>
      <c r="C17" s="2" t="inlineStr">
        <is>
          <t>Listed skill</t>
        </is>
      </c>
      <c r="D17" s="2" t="inlineStr">
        <is>
          <t>DevOps/Cloud</t>
        </is>
      </c>
      <c r="E17" s="2" t="inlineStr">
        <is>
          <t>Review</t>
        </is>
      </c>
    </row>
    <row r="18">
      <c r="A18" s="2" t="inlineStr">
        <is>
          <t>CI/CD</t>
        </is>
      </c>
      <c r="B18" s="2" t="inlineStr">
        <is>
          <t>Working</t>
        </is>
      </c>
      <c r="C18" s="2" t="inlineStr">
        <is>
          <t>Listed skill</t>
        </is>
      </c>
      <c r="D18" s="2" t="inlineStr">
        <is>
          <t>DevOps/Cloud</t>
        </is>
      </c>
      <c r="E18" s="2" t="inlineStr">
        <is>
          <t>Review</t>
        </is>
      </c>
    </row>
    <row r="19">
      <c r="A19" s="2" t="inlineStr">
        <is>
          <t>Git/GitHub</t>
        </is>
      </c>
      <c r="B19" s="2" t="inlineStr">
        <is>
          <t>Strong</t>
        </is>
      </c>
      <c r="C19" s="2" t="inlineStr">
        <is>
          <t>Development workflow</t>
        </is>
      </c>
      <c r="D19" s="2" t="inlineStr">
        <is>
          <t>All</t>
        </is>
      </c>
      <c r="E19" s="2" t="inlineStr">
        <is>
          <t>Yes</t>
        </is>
      </c>
    </row>
    <row r="20">
      <c r="A20" s="2" t="inlineStr">
        <is>
          <t>REST APIs</t>
        </is>
      </c>
      <c r="B20" s="2" t="inlineStr">
        <is>
          <t>Strong</t>
        </is>
      </c>
      <c r="C20" s="2" t="inlineStr">
        <is>
          <t>Node/Express projects</t>
        </is>
      </c>
      <c r="D20" s="2" t="inlineStr">
        <is>
          <t>Backend; SDE; Full Stack</t>
        </is>
      </c>
      <c r="E20" s="2" t="inlineStr">
        <is>
          <t>Yes</t>
        </is>
      </c>
    </row>
    <row r="21">
      <c r="A21" s="2" t="inlineStr">
        <is>
          <t>Authentication</t>
        </is>
      </c>
      <c r="B21" s="2" t="inlineStr">
        <is>
          <t>Strong</t>
        </is>
      </c>
      <c r="C21" s="2" t="inlineStr">
        <is>
          <t>JWT, Passport.js, RBAC</t>
        </is>
      </c>
      <c r="D21" s="2" t="inlineStr">
        <is>
          <t>Backend; SDE; Full Stack</t>
        </is>
      </c>
      <c r="E21" s="2" t="inlineStr">
        <is>
          <t>Yes</t>
        </is>
      </c>
    </row>
    <row r="22">
      <c r="A22" s="2" t="inlineStr">
        <is>
          <t>SQL Server</t>
        </is>
      </c>
      <c r="B22" s="2" t="inlineStr">
        <is>
          <t>Strong</t>
        </is>
      </c>
      <c r="C22" s="2" t="inlineStr">
        <is>
          <t>Australian restaurant POS</t>
        </is>
      </c>
      <c r="D22" s="2" t="inlineStr">
        <is>
          <t>Backend; Full Stack</t>
        </is>
      </c>
      <c r="E22" s="2" t="inlineStr">
        <is>
          <t>Yes</t>
        </is>
      </c>
    </row>
    <row r="23">
      <c r="A23" s="2" t="inlineStr">
        <is>
          <t>Figma</t>
        </is>
      </c>
      <c r="B23" s="2" t="inlineStr">
        <is>
          <t>Working</t>
        </is>
      </c>
      <c r="C23" s="2" t="inlineStr">
        <is>
          <t>POS UI/UX</t>
        </is>
      </c>
      <c r="D23" s="2" t="inlineStr">
        <is>
          <t>Frontend; Full Stack</t>
        </is>
      </c>
      <c r="E23" s="2" t="inlineStr">
        <is>
          <t>Yes</t>
        </is>
      </c>
    </row>
  </sheetData>
  <dataValidations count="2">
    <dataValidation sqref="B2:B500" showDropDown="0" showInputMessage="0" showErrorMessage="0" allowBlank="1" type="list">
      <formula1>"Strong,Working,Working / DSA,Developing,Beginner"</formula1>
    </dataValidation>
    <dataValidation sqref="E2:E500" showDropDown="0" showInputMessage="0" showErrorMessage="0" allowBlank="1" type="list">
      <formula1>"Yes,Review,No"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L544"/>
  <sheetViews>
    <sheetView workbookViewId="0">
      <pane ySplit="1" topLeftCell="A2" activePane="bottomLeft" state="frozen"/>
      <selection pane="bottomLeft" activeCell="A1" sqref="A1"/>
    </sheetView>
  </sheetViews>
  <sheetFormatPr baseColWidth="8" defaultRowHeight="15"/>
  <cols>
    <col width="12" customWidth="1" min="1" max="10"/>
    <col width="17" customWidth="1" min="11" max="11"/>
    <col width="18" customWidth="1" min="12" max="12"/>
    <col width="55" customWidth="1" min="13" max="13"/>
    <col width="38" customWidth="1" min="14" max="14"/>
    <col width="15" customWidth="1" min="15" max="15"/>
    <col width="16" customWidth="1" min="16" max="16"/>
    <col width="12" customWidth="1" min="17" max="18"/>
    <col width="18" customWidth="1" min="19" max="19"/>
    <col width="21" customWidth="1" min="20" max="20"/>
    <col width="38" customWidth="1" min="21" max="22"/>
    <col width="55" customWidth="1" min="23" max="23"/>
    <col width="16" customWidth="1" min="24" max="24"/>
    <col width="12" customWidth="1" min="25" max="25"/>
    <col width="55" customWidth="1" min="26" max="26"/>
    <col width="28" customWidth="1" min="27" max="38"/>
  </cols>
  <sheetData>
    <row r="1">
      <c r="A1" s="5" t="inlineStr">
        <is>
          <t>Job ID</t>
        </is>
      </c>
      <c r="B1" s="5" t="inlineStr">
        <is>
          <t>Company</t>
        </is>
      </c>
      <c r="C1" s="5" t="inlineStr">
        <is>
          <t>Role</t>
        </is>
      </c>
      <c r="D1" s="5" t="inlineStr">
        <is>
          <t>Job URL</t>
        </is>
      </c>
      <c r="E1" s="5" t="inlineStr">
        <is>
          <t>Source</t>
        </is>
      </c>
      <c r="F1" s="5" t="inlineStr">
        <is>
          <t>Location</t>
        </is>
      </c>
      <c r="G1" s="5" t="inlineStr">
        <is>
          <t>Work Mode</t>
        </is>
      </c>
      <c r="H1" s="5" t="inlineStr">
        <is>
          <t>Stipend</t>
        </is>
      </c>
      <c r="I1" s="5" t="inlineStr">
        <is>
          <t>Duration</t>
        </is>
      </c>
      <c r="J1" s="5" t="inlineStr">
        <is>
          <t>PPO Signal</t>
        </is>
      </c>
      <c r="K1" s="5" t="inlineStr">
        <is>
          <t>Required Skills</t>
        </is>
      </c>
      <c r="L1" s="5" t="inlineStr">
        <is>
          <t>Preferred Skills</t>
        </is>
      </c>
      <c r="M1" s="5" t="inlineStr">
        <is>
          <t>JD Text</t>
        </is>
      </c>
      <c r="N1" s="5" t="inlineStr">
        <is>
          <t>Match Score</t>
        </is>
      </c>
      <c r="O1" s="5" t="inlineStr">
        <is>
          <t>Technical Fit</t>
        </is>
      </c>
      <c r="P1" s="5" t="inlineStr">
        <is>
          <t>Experience Fit</t>
        </is>
      </c>
      <c r="Q1" s="5" t="inlineStr">
        <is>
          <t>Role Fit</t>
        </is>
      </c>
      <c r="R1" s="5" t="inlineStr">
        <is>
          <t>PPO Score</t>
        </is>
      </c>
      <c r="S1" s="5" t="inlineStr">
        <is>
          <t>Compensation Fit</t>
        </is>
      </c>
      <c r="T1" s="5" t="inlineStr">
        <is>
          <t>Opportunity Quality</t>
        </is>
      </c>
      <c r="U1" s="5" t="inlineStr">
        <is>
          <t>Priority</t>
        </is>
      </c>
      <c r="V1" s="5" t="inlineStr">
        <is>
          <t>Recommendation</t>
        </is>
      </c>
      <c r="W1" s="5" t="inlineStr">
        <is>
          <t>Skill Gaps</t>
        </is>
      </c>
      <c r="X1" s="5" t="inlineStr">
        <is>
          <t>Resume Version</t>
        </is>
      </c>
      <c r="Y1" s="5" t="inlineStr">
        <is>
          <t>Date Found</t>
        </is>
      </c>
      <c r="Z1" s="5" t="inlineStr">
        <is>
          <t>Notes</t>
        </is>
      </c>
      <c r="AA1" s="5" t="inlineStr">
        <is>
          <t>Eligibility Status</t>
        </is>
      </c>
      <c r="AB1" s="5" t="inlineStr">
        <is>
          <t>Eligibility Reasons</t>
        </is>
      </c>
      <c r="AC1" s="5" t="inlineStr">
        <is>
          <t>Availability Status</t>
        </is>
      </c>
      <c r="AD1" s="5" t="inlineStr">
        <is>
          <t>Availability Reason</t>
        </is>
      </c>
      <c r="AE1" s="5" t="inlineStr">
        <is>
          <t>Compensation Status</t>
        </is>
      </c>
      <c r="AF1" s="5" t="inlineStr">
        <is>
          <t>Guaranteed Stipend</t>
        </is>
      </c>
      <c r="AG1" s="5" t="inlineStr">
        <is>
          <t>Incentive Included</t>
        </is>
      </c>
      <c r="AH1" s="5" t="inlineStr">
        <is>
          <t>PPO Status</t>
        </is>
      </c>
      <c r="AI1" s="5" t="inlineStr">
        <is>
          <t>PPO Evidence</t>
        </is>
      </c>
      <c r="AJ1" s="5" t="inlineStr">
        <is>
          <t>Hard Blockers</t>
        </is>
      </c>
      <c r="AK1" s="5" t="inlineStr">
        <is>
          <t>Red Flags</t>
        </is>
      </c>
      <c r="AL1" s="5" t="inlineStr">
        <is>
          <t>Interview Topics</t>
        </is>
      </c>
    </row>
    <row r="2">
      <c r="A2" s="2" t="n"/>
      <c r="B2" s="2" t="n"/>
      <c r="C2" s="2" t="n"/>
      <c r="D2" s="2" t="n"/>
      <c r="E2" s="2" t="n"/>
      <c r="F2" s="2" t="n"/>
      <c r="G2" s="2" t="n"/>
      <c r="H2" s="2" t="n"/>
      <c r="I2" s="2" t="n"/>
      <c r="J2" s="2" t="n"/>
      <c r="K2" s="2" t="n"/>
      <c r="L2" s="2" t="n"/>
      <c r="M2" s="2" t="n"/>
      <c r="N2" s="2">
        <f>IF(COUNTA(O2:T2)&lt;6,"",ROUND(O2*0.3+P2*0.2+Q2*0.15+R2*0.15+S2*0.1+T2*0.1,0))</f>
        <v/>
      </c>
      <c r="O2" s="2" t="n"/>
      <c r="P2" s="2" t="n"/>
      <c r="Q2" s="2" t="n"/>
      <c r="R2" s="2" t="n"/>
      <c r="S2" s="2" t="n"/>
      <c r="T2" s="2" t="n"/>
      <c r="U2" s="2">
        <f>IF(OR(AA2="fail",AC2="fail"),"P4",IF(N2="","",IF(N2&gt;=90,"P1",IF(N2&gt;=80,"P1",IF(N2&gt;=70,"P2",IF(N2&gt;=60,"P3","P4"))))))</f>
        <v/>
      </c>
      <c r="V2" s="2">
        <f>IF(OR(AA2="fail",AC2="fail"),"SKIP",IF(N2="","",IF(N2&gt;=90,"APPLY ASAP",IF(N2&gt;=80,"APPLY",IF(N2&gt;=70,"CONSIDER",IF(N2&gt;=60,"STRETCH","SKIP"))))))</f>
        <v/>
      </c>
      <c r="W2" s="2" t="n"/>
      <c r="X2" s="2" t="n"/>
      <c r="Y2" s="2" t="n"/>
      <c r="Z2" s="2" t="n"/>
    </row>
    <row r="3">
      <c r="A3" s="2" t="n"/>
      <c r="B3" s="2" t="n"/>
      <c r="C3" s="2" t="n"/>
      <c r="D3" s="2" t="n"/>
      <c r="E3" s="2" t="n"/>
      <c r="F3" s="2" t="n"/>
      <c r="G3" s="2" t="n"/>
      <c r="H3" s="2" t="n"/>
      <c r="I3" s="2" t="n"/>
      <c r="J3" s="2" t="n"/>
      <c r="K3" s="2" t="n"/>
      <c r="L3" s="2" t="n"/>
      <c r="M3" s="2" t="n"/>
      <c r="N3" s="2">
        <f>IF(COUNTA(O3:T3)&lt;6,"",ROUND(O3*0.3+P3*0.2+Q3*0.15+R3*0.15+S3*0.1+T3*0.1,0))</f>
        <v/>
      </c>
      <c r="O3" s="2" t="n"/>
      <c r="P3" s="2" t="n"/>
      <c r="Q3" s="2" t="n"/>
      <c r="R3" s="2" t="n"/>
      <c r="S3" s="2" t="n"/>
      <c r="T3" s="2" t="n"/>
      <c r="U3" s="2">
        <f>IF(OR(AA3="fail",AC3="fail"),"P4",IF(N3="","",IF(N3&gt;=90,"P1",IF(N3&gt;=80,"P1",IF(N3&gt;=70,"P2",IF(N3&gt;=60,"P3","P4"))))))</f>
        <v/>
      </c>
      <c r="V3" s="2">
        <f>IF(OR(AA3="fail",AC3="fail"),"SKIP",IF(N3="","",IF(N3&gt;=90,"APPLY ASAP",IF(N3&gt;=80,"APPLY",IF(N3&gt;=70,"CONSIDER",IF(N3&gt;=60,"STRETCH","SKIP"))))))</f>
        <v/>
      </c>
      <c r="W3" s="2" t="n"/>
      <c r="X3" s="2" t="n"/>
      <c r="Y3" s="2" t="n"/>
      <c r="Z3" s="2" t="n"/>
    </row>
    <row r="4">
      <c r="A4" s="2" t="n"/>
      <c r="B4" s="2" t="n"/>
      <c r="C4" s="2" t="n"/>
      <c r="D4" s="2" t="n"/>
      <c r="E4" s="2" t="n"/>
      <c r="F4" s="2" t="n"/>
      <c r="G4" s="2" t="n"/>
      <c r="H4" s="2" t="n"/>
      <c r="I4" s="2" t="n"/>
      <c r="J4" s="2" t="n"/>
      <c r="K4" s="2" t="n"/>
      <c r="L4" s="2" t="n"/>
      <c r="M4" s="2" t="n"/>
      <c r="N4" s="2">
        <f>IF(COUNTA(O4:T4)&lt;6,"",ROUND(O4*0.3+P4*0.2+Q4*0.15+R4*0.15+S4*0.1+T4*0.1,0))</f>
        <v/>
      </c>
      <c r="O4" s="2" t="n"/>
      <c r="P4" s="2" t="n"/>
      <c r="Q4" s="2" t="n"/>
      <c r="R4" s="2" t="n"/>
      <c r="S4" s="2" t="n"/>
      <c r="T4" s="2" t="n"/>
      <c r="U4" s="2">
        <f>IF(OR(AA4="fail",AC4="fail"),"P4",IF(N4="","",IF(N4&gt;=90,"P1",IF(N4&gt;=80,"P1",IF(N4&gt;=70,"P2",IF(N4&gt;=60,"P3","P4"))))))</f>
        <v/>
      </c>
      <c r="V4" s="2">
        <f>IF(OR(AA4="fail",AC4="fail"),"SKIP",IF(N4="","",IF(N4&gt;=90,"APPLY ASAP",IF(N4&gt;=80,"APPLY",IF(N4&gt;=70,"CONSIDER",IF(N4&gt;=60,"STRETCH","SKIP"))))))</f>
        <v/>
      </c>
      <c r="W4" s="2" t="n"/>
      <c r="X4" s="2" t="n"/>
      <c r="Y4" s="2" t="n"/>
      <c r="Z4" s="2" t="n"/>
    </row>
    <row r="5">
      <c r="A5" s="2" t="n"/>
      <c r="B5" s="2" t="n"/>
      <c r="C5" s="2" t="n"/>
      <c r="D5" s="2" t="n"/>
      <c r="E5" s="2" t="n"/>
      <c r="F5" s="2" t="n"/>
      <c r="G5" s="2" t="n"/>
      <c r="H5" s="2" t="n"/>
      <c r="I5" s="2" t="n"/>
      <c r="J5" s="2" t="n"/>
      <c r="K5" s="2" t="n"/>
      <c r="L5" s="2" t="n"/>
      <c r="M5" s="2" t="n"/>
      <c r="N5" s="2">
        <f>IF(COUNTA(O5:T5)&lt;6,"",ROUND(O5*0.3+P5*0.2+Q5*0.15+R5*0.15+S5*0.1+T5*0.1,0))</f>
        <v/>
      </c>
      <c r="O5" s="2" t="n"/>
      <c r="P5" s="2" t="n"/>
      <c r="Q5" s="2" t="n"/>
      <c r="R5" s="2" t="n"/>
      <c r="S5" s="2" t="n"/>
      <c r="T5" s="2" t="n"/>
      <c r="U5" s="2">
        <f>IF(OR(AA5="fail",AC5="fail"),"P4",IF(N5="","",IF(N5&gt;=90,"P1",IF(N5&gt;=80,"P1",IF(N5&gt;=70,"P2",IF(N5&gt;=60,"P3","P4"))))))</f>
        <v/>
      </c>
      <c r="V5" s="2">
        <f>IF(OR(AA5="fail",AC5="fail"),"SKIP",IF(N5="","",IF(N5&gt;=90,"APPLY ASAP",IF(N5&gt;=80,"APPLY",IF(N5&gt;=70,"CONSIDER",IF(N5&gt;=60,"STRETCH","SKIP"))))))</f>
        <v/>
      </c>
      <c r="W5" s="2" t="n"/>
      <c r="X5" s="2" t="n"/>
      <c r="Y5" s="2" t="n"/>
      <c r="Z5" s="2" t="n"/>
    </row>
    <row r="6">
      <c r="A6" s="2" t="n"/>
      <c r="B6" s="2" t="n"/>
      <c r="C6" s="2" t="n"/>
      <c r="D6" s="2" t="n"/>
      <c r="E6" s="2" t="n"/>
      <c r="F6" s="2" t="n"/>
      <c r="G6" s="2" t="n"/>
      <c r="H6" s="2" t="n"/>
      <c r="I6" s="2" t="n"/>
      <c r="J6" s="2" t="n"/>
      <c r="K6" s="2" t="n"/>
      <c r="L6" s="2" t="n"/>
      <c r="M6" s="2" t="n"/>
      <c r="N6" s="2">
        <f>IF(COUNTA(O6:T6)&lt;6,"",ROUND(O6*0.3+P6*0.2+Q6*0.15+R6*0.15+S6*0.1+T6*0.1,0))</f>
        <v/>
      </c>
      <c r="O6" s="2" t="n"/>
      <c r="P6" s="2" t="n"/>
      <c r="Q6" s="2" t="n"/>
      <c r="R6" s="2" t="n"/>
      <c r="S6" s="2" t="n"/>
      <c r="T6" s="2" t="n"/>
      <c r="U6" s="2">
        <f>IF(OR(AA6="fail",AC6="fail"),"P4",IF(N6="","",IF(N6&gt;=90,"P1",IF(N6&gt;=80,"P1",IF(N6&gt;=70,"P2",IF(N6&gt;=60,"P3","P4"))))))</f>
        <v/>
      </c>
      <c r="V6" s="2">
        <f>IF(OR(AA6="fail",AC6="fail"),"SKIP",IF(N6="","",IF(N6&gt;=90,"APPLY ASAP",IF(N6&gt;=80,"APPLY",IF(N6&gt;=70,"CONSIDER",IF(N6&gt;=60,"STRETCH","SKIP"))))))</f>
        <v/>
      </c>
      <c r="W6" s="2" t="n"/>
      <c r="X6" s="2" t="n"/>
      <c r="Y6" s="2" t="n"/>
      <c r="Z6" s="2" t="n"/>
    </row>
    <row r="7">
      <c r="A7" s="2" t="n"/>
      <c r="B7" s="2" t="n"/>
      <c r="C7" s="2" t="n"/>
      <c r="D7" s="2" t="n"/>
      <c r="E7" s="2" t="n"/>
      <c r="F7" s="2" t="n"/>
      <c r="G7" s="2" t="n"/>
      <c r="H7" s="2" t="n"/>
      <c r="I7" s="2" t="n"/>
      <c r="J7" s="2" t="n"/>
      <c r="K7" s="2" t="n"/>
      <c r="L7" s="2" t="n"/>
      <c r="M7" s="2" t="n"/>
      <c r="N7" s="2">
        <f>IF(COUNTA(O7:T7)&lt;6,"",ROUND(O7*0.3+P7*0.2+Q7*0.15+R7*0.15+S7*0.1+T7*0.1,0))</f>
        <v/>
      </c>
      <c r="O7" s="2" t="n"/>
      <c r="P7" s="2" t="n"/>
      <c r="Q7" s="2" t="n"/>
      <c r="R7" s="2" t="n"/>
      <c r="S7" s="2" t="n"/>
      <c r="T7" s="2" t="n"/>
      <c r="U7" s="2">
        <f>IF(OR(AA7="fail",AC7="fail"),"P4",IF(N7="","",IF(N7&gt;=90,"P1",IF(N7&gt;=80,"P1",IF(N7&gt;=70,"P2",IF(N7&gt;=60,"P3","P4"))))))</f>
        <v/>
      </c>
      <c r="V7" s="2">
        <f>IF(OR(AA7="fail",AC7="fail"),"SKIP",IF(N7="","",IF(N7&gt;=90,"APPLY ASAP",IF(N7&gt;=80,"APPLY",IF(N7&gt;=70,"CONSIDER",IF(N7&gt;=60,"STRETCH","SKIP"))))))</f>
        <v/>
      </c>
      <c r="W7" s="2" t="n"/>
      <c r="X7" s="2" t="n"/>
      <c r="Y7" s="2" t="n"/>
      <c r="Z7" s="2" t="n"/>
    </row>
    <row r="8">
      <c r="A8" s="2" t="n"/>
      <c r="B8" s="2" t="n"/>
      <c r="C8" s="2" t="n"/>
      <c r="D8" s="2" t="n"/>
      <c r="E8" s="2" t="n"/>
      <c r="F8" s="2" t="n"/>
      <c r="G8" s="2" t="n"/>
      <c r="H8" s="2" t="n"/>
      <c r="I8" s="2" t="n"/>
      <c r="J8" s="2" t="n"/>
      <c r="K8" s="2" t="n"/>
      <c r="L8" s="2" t="n"/>
      <c r="M8" s="2" t="n"/>
      <c r="N8" s="2">
        <f>IF(COUNTA(O8:T8)&lt;6,"",ROUND(O8*0.3+P8*0.2+Q8*0.15+R8*0.15+S8*0.1+T8*0.1,0))</f>
        <v/>
      </c>
      <c r="O8" s="2" t="n"/>
      <c r="P8" s="2" t="n"/>
      <c r="Q8" s="2" t="n"/>
      <c r="R8" s="2" t="n"/>
      <c r="S8" s="2" t="n"/>
      <c r="T8" s="2" t="n"/>
      <c r="U8" s="2">
        <f>IF(OR(AA8="fail",AC8="fail"),"P4",IF(N8="","",IF(N8&gt;=90,"P1",IF(N8&gt;=80,"P1",IF(N8&gt;=70,"P2",IF(N8&gt;=60,"P3","P4"))))))</f>
        <v/>
      </c>
      <c r="V8" s="2">
        <f>IF(OR(AA8="fail",AC8="fail"),"SKIP",IF(N8="","",IF(N8&gt;=90,"APPLY ASAP",IF(N8&gt;=80,"APPLY",IF(N8&gt;=70,"CONSIDER",IF(N8&gt;=60,"STRETCH","SKIP"))))))</f>
        <v/>
      </c>
      <c r="W8" s="2" t="n"/>
      <c r="X8" s="2" t="n"/>
      <c r="Y8" s="2" t="n"/>
      <c r="Z8" s="2" t="n"/>
    </row>
    <row r="9">
      <c r="A9" s="2" t="n"/>
      <c r="B9" s="2" t="n"/>
      <c r="C9" s="2" t="n"/>
      <c r="D9" s="2" t="n"/>
      <c r="E9" s="2" t="n"/>
      <c r="F9" s="2" t="n"/>
      <c r="G9" s="2" t="n"/>
      <c r="H9" s="2" t="n"/>
      <c r="I9" s="2" t="n"/>
      <c r="J9" s="2" t="n"/>
      <c r="K9" s="2" t="n"/>
      <c r="L9" s="2" t="n"/>
      <c r="M9" s="2" t="n"/>
      <c r="N9" s="2">
        <f>IF(COUNTA(O9:T9)&lt;6,"",ROUND(O9*0.3+P9*0.2+Q9*0.15+R9*0.15+S9*0.1+T9*0.1,0))</f>
        <v/>
      </c>
      <c r="O9" s="2" t="n"/>
      <c r="P9" s="2" t="n"/>
      <c r="Q9" s="2" t="n"/>
      <c r="R9" s="2" t="n"/>
      <c r="S9" s="2" t="n"/>
      <c r="T9" s="2" t="n"/>
      <c r="U9" s="2">
        <f>IF(OR(AA9="fail",AC9="fail"),"P4",IF(N9="","",IF(N9&gt;=90,"P1",IF(N9&gt;=80,"P1",IF(N9&gt;=70,"P2",IF(N9&gt;=60,"P3","P4"))))))</f>
        <v/>
      </c>
      <c r="V9" s="2">
        <f>IF(OR(AA9="fail",AC9="fail"),"SKIP",IF(N9="","",IF(N9&gt;=90,"APPLY ASAP",IF(N9&gt;=80,"APPLY",IF(N9&gt;=70,"CONSIDER",IF(N9&gt;=60,"STRETCH","SKIP"))))))</f>
        <v/>
      </c>
      <c r="W9" s="2" t="n"/>
      <c r="X9" s="2" t="n"/>
      <c r="Y9" s="2" t="n"/>
      <c r="Z9" s="2" t="n"/>
    </row>
    <row r="10">
      <c r="A10" s="2" t="n"/>
      <c r="B10" s="2" t="n"/>
      <c r="C10" s="2" t="n"/>
      <c r="D10" s="2" t="n"/>
      <c r="E10" s="2" t="n"/>
      <c r="F10" s="2" t="n"/>
      <c r="G10" s="2" t="n"/>
      <c r="H10" s="2" t="n"/>
      <c r="I10" s="2" t="n"/>
      <c r="J10" s="2" t="n"/>
      <c r="K10" s="2" t="n"/>
      <c r="L10" s="2" t="n"/>
      <c r="M10" s="2" t="n"/>
      <c r="N10" s="2">
        <f>IF(COUNTA(O10:T10)&lt;6,"",ROUND(O10*0.3+P10*0.2+Q10*0.15+R10*0.15+S10*0.1+T10*0.1,0))</f>
        <v/>
      </c>
      <c r="O10" s="2" t="n"/>
      <c r="P10" s="2" t="n"/>
      <c r="Q10" s="2" t="n"/>
      <c r="R10" s="2" t="n"/>
      <c r="S10" s="2" t="n"/>
      <c r="T10" s="2" t="n"/>
      <c r="U10" s="2">
        <f>IF(OR(AA10="fail",AC10="fail"),"P4",IF(N10="","",IF(N10&gt;=90,"P1",IF(N10&gt;=80,"P1",IF(N10&gt;=70,"P2",IF(N10&gt;=60,"P3","P4"))))))</f>
        <v/>
      </c>
      <c r="V10" s="2">
        <f>IF(OR(AA10="fail",AC10="fail"),"SKIP",IF(N10="","",IF(N10&gt;=90,"APPLY ASAP",IF(N10&gt;=80,"APPLY",IF(N10&gt;=70,"CONSIDER",IF(N10&gt;=60,"STRETCH","SKIP"))))))</f>
        <v/>
      </c>
      <c r="W10" s="2" t="n"/>
      <c r="X10" s="2" t="n"/>
      <c r="Y10" s="2" t="n"/>
      <c r="Z10" s="2" t="n"/>
    </row>
    <row r="11">
      <c r="A11" s="2" t="n"/>
      <c r="B11" s="2" t="n"/>
      <c r="C11" s="2" t="n"/>
      <c r="D11" s="2" t="n"/>
      <c r="E11" s="2" t="n"/>
      <c r="F11" s="2" t="n"/>
      <c r="G11" s="2" t="n"/>
      <c r="H11" s="2" t="n"/>
      <c r="I11" s="2" t="n"/>
      <c r="J11" s="2" t="n"/>
      <c r="K11" s="2" t="n"/>
      <c r="L11" s="2" t="n"/>
      <c r="M11" s="2" t="n"/>
      <c r="N11" s="2">
        <f>IF(COUNTA(O11:T11)&lt;6,"",ROUND(O11*0.3+P11*0.2+Q11*0.15+R11*0.15+S11*0.1+T11*0.1,0))</f>
        <v/>
      </c>
      <c r="O11" s="2" t="n"/>
      <c r="P11" s="2" t="n"/>
      <c r="Q11" s="2" t="n"/>
      <c r="R11" s="2" t="n"/>
      <c r="S11" s="2" t="n"/>
      <c r="T11" s="2" t="n"/>
      <c r="U11" s="2">
        <f>IF(OR(AA11="fail",AC11="fail"),"P4",IF(N11="","",IF(N11&gt;=90,"P1",IF(N11&gt;=80,"P1",IF(N11&gt;=70,"P2",IF(N11&gt;=60,"P3","P4"))))))</f>
        <v/>
      </c>
      <c r="V11" s="2">
        <f>IF(OR(AA11="fail",AC11="fail"),"SKIP",IF(N11="","",IF(N11&gt;=90,"APPLY ASAP",IF(N11&gt;=80,"APPLY",IF(N11&gt;=70,"CONSIDER",IF(N11&gt;=60,"STRETCH","SKIP"))))))</f>
        <v/>
      </c>
      <c r="W11" s="2" t="n"/>
      <c r="X11" s="2" t="n"/>
      <c r="Y11" s="2" t="n"/>
      <c r="Z11" s="2" t="n"/>
    </row>
    <row r="12">
      <c r="A12" s="2" t="n"/>
      <c r="B12" s="2" t="n"/>
      <c r="C12" s="2" t="n"/>
      <c r="D12" s="2" t="n"/>
      <c r="E12" s="2" t="n"/>
      <c r="F12" s="2" t="n"/>
      <c r="G12" s="2" t="n"/>
      <c r="H12" s="2" t="n"/>
      <c r="I12" s="2" t="n"/>
      <c r="J12" s="2" t="n"/>
      <c r="K12" s="2" t="n"/>
      <c r="L12" s="2" t="n"/>
      <c r="M12" s="2" t="n"/>
      <c r="N12" s="2">
        <f>IF(COUNTA(O12:T12)&lt;6,"",ROUND(O12*0.3+P12*0.2+Q12*0.15+R12*0.15+S12*0.1+T12*0.1,0))</f>
        <v/>
      </c>
      <c r="O12" s="2" t="n"/>
      <c r="P12" s="2" t="n"/>
      <c r="Q12" s="2" t="n"/>
      <c r="R12" s="2" t="n"/>
      <c r="S12" s="2" t="n"/>
      <c r="T12" s="2" t="n"/>
      <c r="U12" s="2">
        <f>IF(OR(AA12="fail",AC12="fail"),"P4",IF(N12="","",IF(N12&gt;=90,"P1",IF(N12&gt;=80,"P1",IF(N12&gt;=70,"P2",IF(N12&gt;=60,"P3","P4"))))))</f>
        <v/>
      </c>
      <c r="V12" s="2">
        <f>IF(OR(AA12="fail",AC12="fail"),"SKIP",IF(N12="","",IF(N12&gt;=90,"APPLY ASAP",IF(N12&gt;=80,"APPLY",IF(N12&gt;=70,"CONSIDER",IF(N12&gt;=60,"STRETCH","SKIP"))))))</f>
        <v/>
      </c>
      <c r="W12" s="2" t="n"/>
      <c r="X12" s="2" t="n"/>
      <c r="Y12" s="2" t="n"/>
      <c r="Z12" s="2" t="n"/>
    </row>
    <row r="13">
      <c r="A13" s="2" t="n"/>
      <c r="B13" s="2" t="n"/>
      <c r="C13" s="2" t="n"/>
      <c r="D13" s="2" t="n"/>
      <c r="E13" s="2" t="n"/>
      <c r="F13" s="2" t="n"/>
      <c r="G13" s="2" t="n"/>
      <c r="H13" s="2" t="n"/>
      <c r="I13" s="2" t="n"/>
      <c r="J13" s="2" t="n"/>
      <c r="K13" s="2" t="n"/>
      <c r="L13" s="2" t="n"/>
      <c r="M13" s="2" t="n"/>
      <c r="N13" s="2">
        <f>IF(COUNTA(O13:T13)&lt;6,"",ROUND(O13*0.3+P13*0.2+Q13*0.15+R13*0.15+S13*0.1+T13*0.1,0))</f>
        <v/>
      </c>
      <c r="O13" s="2" t="n"/>
      <c r="P13" s="2" t="n"/>
      <c r="Q13" s="2" t="n"/>
      <c r="R13" s="2" t="n"/>
      <c r="S13" s="2" t="n"/>
      <c r="T13" s="2" t="n"/>
      <c r="U13" s="2">
        <f>IF(OR(AA13="fail",AC13="fail"),"P4",IF(N13="","",IF(N13&gt;=90,"P1",IF(N13&gt;=80,"P1",IF(N13&gt;=70,"P2",IF(N13&gt;=60,"P3","P4"))))))</f>
        <v/>
      </c>
      <c r="V13" s="2">
        <f>IF(OR(AA13="fail",AC13="fail"),"SKIP",IF(N13="","",IF(N13&gt;=90,"APPLY ASAP",IF(N13&gt;=80,"APPLY",IF(N13&gt;=70,"CONSIDER",IF(N13&gt;=60,"STRETCH","SKIP"))))))</f>
        <v/>
      </c>
      <c r="W13" s="2" t="n"/>
      <c r="X13" s="2" t="n"/>
      <c r="Y13" s="2" t="n"/>
      <c r="Z13" s="2" t="n"/>
    </row>
    <row r="14">
      <c r="A14" s="2" t="n"/>
      <c r="B14" s="2" t="n"/>
      <c r="C14" s="2" t="n"/>
      <c r="D14" s="2" t="n"/>
      <c r="E14" s="2" t="n"/>
      <c r="F14" s="2" t="n"/>
      <c r="G14" s="2" t="n"/>
      <c r="H14" s="2" t="n"/>
      <c r="I14" s="2" t="n"/>
      <c r="J14" s="2" t="n"/>
      <c r="K14" s="2" t="n"/>
      <c r="L14" s="2" t="n"/>
      <c r="M14" s="2" t="n"/>
      <c r="N14" s="2">
        <f>IF(COUNTA(O14:T14)&lt;6,"",ROUND(O14*0.3+P14*0.2+Q14*0.15+R14*0.15+S14*0.1+T14*0.1,0))</f>
        <v/>
      </c>
      <c r="O14" s="2" t="n"/>
      <c r="P14" s="2" t="n"/>
      <c r="Q14" s="2" t="n"/>
      <c r="R14" s="2" t="n"/>
      <c r="S14" s="2" t="n"/>
      <c r="T14" s="2" t="n"/>
      <c r="U14" s="2">
        <f>IF(OR(AA14="fail",AC14="fail"),"P4",IF(N14="","",IF(N14&gt;=90,"P1",IF(N14&gt;=80,"P1",IF(N14&gt;=70,"P2",IF(N14&gt;=60,"P3","P4"))))))</f>
        <v/>
      </c>
      <c r="V14" s="2">
        <f>IF(OR(AA14="fail",AC14="fail"),"SKIP",IF(N14="","",IF(N14&gt;=90,"APPLY ASAP",IF(N14&gt;=80,"APPLY",IF(N14&gt;=70,"CONSIDER",IF(N14&gt;=60,"STRETCH","SKIP"))))))</f>
        <v/>
      </c>
      <c r="W14" s="2" t="n"/>
      <c r="X14" s="2" t="n"/>
      <c r="Y14" s="2" t="n"/>
      <c r="Z14" s="2" t="n"/>
    </row>
    <row r="15">
      <c r="A15" s="2" t="n"/>
      <c r="B15" s="2" t="n"/>
      <c r="C15" s="2" t="n"/>
      <c r="D15" s="2" t="n"/>
      <c r="E15" s="2" t="n"/>
      <c r="F15" s="2" t="n"/>
      <c r="G15" s="2" t="n"/>
      <c r="H15" s="2" t="n"/>
      <c r="I15" s="2" t="n"/>
      <c r="J15" s="2" t="n"/>
      <c r="K15" s="2" t="n"/>
      <c r="L15" s="2" t="n"/>
      <c r="M15" s="2" t="n"/>
      <c r="N15" s="2">
        <f>IF(COUNTA(O15:T15)&lt;6,"",ROUND(O15*0.3+P15*0.2+Q15*0.15+R15*0.15+S15*0.1+T15*0.1,0))</f>
        <v/>
      </c>
      <c r="O15" s="2" t="n"/>
      <c r="P15" s="2" t="n"/>
      <c r="Q15" s="2" t="n"/>
      <c r="R15" s="2" t="n"/>
      <c r="S15" s="2" t="n"/>
      <c r="T15" s="2" t="n"/>
      <c r="U15" s="2">
        <f>IF(OR(AA15="fail",AC15="fail"),"P4",IF(N15="","",IF(N15&gt;=90,"P1",IF(N15&gt;=80,"P1",IF(N15&gt;=70,"P2",IF(N15&gt;=60,"P3","P4"))))))</f>
        <v/>
      </c>
      <c r="V15" s="2">
        <f>IF(OR(AA15="fail",AC15="fail"),"SKIP",IF(N15="","",IF(N15&gt;=90,"APPLY ASAP",IF(N15&gt;=80,"APPLY",IF(N15&gt;=70,"CONSIDER",IF(N15&gt;=60,"STRETCH","SKIP"))))))</f>
        <v/>
      </c>
      <c r="W15" s="2" t="n"/>
      <c r="X15" s="2" t="n"/>
      <c r="Y15" s="2" t="n"/>
      <c r="Z15" s="2" t="n"/>
    </row>
    <row r="16">
      <c r="A16" s="2" t="n"/>
      <c r="B16" s="2" t="n"/>
      <c r="C16" s="2" t="n"/>
      <c r="D16" s="2" t="n"/>
      <c r="E16" s="2" t="n"/>
      <c r="F16" s="2" t="n"/>
      <c r="G16" s="2" t="n"/>
      <c r="H16" s="2" t="n"/>
      <c r="I16" s="2" t="n"/>
      <c r="J16" s="2" t="n"/>
      <c r="K16" s="2" t="n"/>
      <c r="L16" s="2" t="n"/>
      <c r="M16" s="2" t="n"/>
      <c r="N16" s="2">
        <f>IF(COUNTA(O16:T16)&lt;6,"",ROUND(O16*0.3+P16*0.2+Q16*0.15+R16*0.15+S16*0.1+T16*0.1,0))</f>
        <v/>
      </c>
      <c r="O16" s="2" t="n"/>
      <c r="P16" s="2" t="n"/>
      <c r="Q16" s="2" t="n"/>
      <c r="R16" s="2" t="n"/>
      <c r="S16" s="2" t="n"/>
      <c r="T16" s="2" t="n"/>
      <c r="U16" s="2">
        <f>IF(OR(AA16="fail",AC16="fail"),"P4",IF(N16="","",IF(N16&gt;=90,"P1",IF(N16&gt;=80,"P1",IF(N16&gt;=70,"P2",IF(N16&gt;=60,"P3","P4"))))))</f>
        <v/>
      </c>
      <c r="V16" s="2">
        <f>IF(OR(AA16="fail",AC16="fail"),"SKIP",IF(N16="","",IF(N16&gt;=90,"APPLY ASAP",IF(N16&gt;=80,"APPLY",IF(N16&gt;=70,"CONSIDER",IF(N16&gt;=60,"STRETCH","SKIP"))))))</f>
        <v/>
      </c>
      <c r="W16" s="2" t="n"/>
      <c r="X16" s="2" t="n"/>
      <c r="Y16" s="2" t="n"/>
      <c r="Z16" s="2" t="n"/>
    </row>
    <row r="17">
      <c r="A17" s="2" t="n"/>
      <c r="B17" s="2" t="n"/>
      <c r="C17" s="2" t="n"/>
      <c r="D17" s="2" t="n"/>
      <c r="E17" s="2" t="n"/>
      <c r="F17" s="2" t="n"/>
      <c r="G17" s="2" t="n"/>
      <c r="H17" s="2" t="n"/>
      <c r="I17" s="2" t="n"/>
      <c r="J17" s="2" t="n"/>
      <c r="K17" s="2" t="n"/>
      <c r="L17" s="2" t="n"/>
      <c r="M17" s="2" t="n"/>
      <c r="N17" s="2">
        <f>IF(COUNTA(O17:T17)&lt;6,"",ROUND(O17*0.3+P17*0.2+Q17*0.15+R17*0.15+S17*0.1+T17*0.1,0))</f>
        <v/>
      </c>
      <c r="O17" s="2" t="n"/>
      <c r="P17" s="2" t="n"/>
      <c r="Q17" s="2" t="n"/>
      <c r="R17" s="2" t="n"/>
      <c r="S17" s="2" t="n"/>
      <c r="T17" s="2" t="n"/>
      <c r="U17" s="2">
        <f>IF(OR(AA17="fail",AC17="fail"),"P4",IF(N17="","",IF(N17&gt;=90,"P1",IF(N17&gt;=80,"P1",IF(N17&gt;=70,"P2",IF(N17&gt;=60,"P3","P4"))))))</f>
        <v/>
      </c>
      <c r="V17" s="2">
        <f>IF(OR(AA17="fail",AC17="fail"),"SKIP",IF(N17="","",IF(N17&gt;=90,"APPLY ASAP",IF(N17&gt;=80,"APPLY",IF(N17&gt;=70,"CONSIDER",IF(N17&gt;=60,"STRETCH","SKIP"))))))</f>
        <v/>
      </c>
      <c r="W17" s="2" t="n"/>
      <c r="X17" s="2" t="n"/>
      <c r="Y17" s="2" t="n"/>
      <c r="Z17" s="2" t="n"/>
    </row>
    <row r="18">
      <c r="A18" s="2" t="n"/>
      <c r="B18" s="2" t="n"/>
      <c r="C18" s="2" t="n"/>
      <c r="D18" s="2" t="n"/>
      <c r="E18" s="2" t="n"/>
      <c r="F18" s="2" t="n"/>
      <c r="G18" s="2" t="n"/>
      <c r="H18" s="2" t="n"/>
      <c r="I18" s="2" t="n"/>
      <c r="J18" s="2" t="n"/>
      <c r="K18" s="2" t="n"/>
      <c r="L18" s="2" t="n"/>
      <c r="M18" s="2" t="n"/>
      <c r="N18" s="2">
        <f>IF(COUNTA(O18:T18)&lt;6,"",ROUND(O18*0.3+P18*0.2+Q18*0.15+R18*0.15+S18*0.1+T18*0.1,0))</f>
        <v/>
      </c>
      <c r="O18" s="2" t="n"/>
      <c r="P18" s="2" t="n"/>
      <c r="Q18" s="2" t="n"/>
      <c r="R18" s="2" t="n"/>
      <c r="S18" s="2" t="n"/>
      <c r="T18" s="2" t="n"/>
      <c r="U18" s="2">
        <f>IF(OR(AA18="fail",AC18="fail"),"P4",IF(N18="","",IF(N18&gt;=90,"P1",IF(N18&gt;=80,"P1",IF(N18&gt;=70,"P2",IF(N18&gt;=60,"P3","P4"))))))</f>
        <v/>
      </c>
      <c r="V18" s="2">
        <f>IF(OR(AA18="fail",AC18="fail"),"SKIP",IF(N18="","",IF(N18&gt;=90,"APPLY ASAP",IF(N18&gt;=80,"APPLY",IF(N18&gt;=70,"CONSIDER",IF(N18&gt;=60,"STRETCH","SKIP"))))))</f>
        <v/>
      </c>
      <c r="W18" s="2" t="n"/>
      <c r="X18" s="2" t="n"/>
      <c r="Y18" s="2" t="n"/>
      <c r="Z18" s="2" t="n"/>
    </row>
    <row r="19">
      <c r="A19" s="2" t="n"/>
      <c r="B19" s="2" t="n"/>
      <c r="C19" s="2" t="n"/>
      <c r="D19" s="2" t="n"/>
      <c r="E19" s="2" t="n"/>
      <c r="F19" s="2" t="n"/>
      <c r="G19" s="2" t="n"/>
      <c r="H19" s="2" t="n"/>
      <c r="I19" s="2" t="n"/>
      <c r="J19" s="2" t="n"/>
      <c r="K19" s="2" t="n"/>
      <c r="L19" s="2" t="n"/>
      <c r="M19" s="2" t="n"/>
      <c r="N19" s="2">
        <f>IF(COUNTA(O19:T19)&lt;6,"",ROUND(O19*0.3+P19*0.2+Q19*0.15+R19*0.15+S19*0.1+T19*0.1,0))</f>
        <v/>
      </c>
      <c r="O19" s="2" t="n"/>
      <c r="P19" s="2" t="n"/>
      <c r="Q19" s="2" t="n"/>
      <c r="R19" s="2" t="n"/>
      <c r="S19" s="2" t="n"/>
      <c r="T19" s="2" t="n"/>
      <c r="U19" s="2">
        <f>IF(OR(AA19="fail",AC19="fail"),"P4",IF(N19="","",IF(N19&gt;=90,"P1",IF(N19&gt;=80,"P1",IF(N19&gt;=70,"P2",IF(N19&gt;=60,"P3","P4"))))))</f>
        <v/>
      </c>
      <c r="V19" s="2">
        <f>IF(OR(AA19="fail",AC19="fail"),"SKIP",IF(N19="","",IF(N19&gt;=90,"APPLY ASAP",IF(N19&gt;=80,"APPLY",IF(N19&gt;=70,"CONSIDER",IF(N19&gt;=60,"STRETCH","SKIP"))))))</f>
        <v/>
      </c>
      <c r="W19" s="2" t="n"/>
      <c r="X19" s="2" t="n"/>
      <c r="Y19" s="2" t="n"/>
      <c r="Z19" s="2" t="n"/>
    </row>
    <row r="20">
      <c r="A20" s="2" t="n"/>
      <c r="B20" s="2" t="n"/>
      <c r="C20" s="2" t="n"/>
      <c r="D20" s="2" t="n"/>
      <c r="E20" s="2" t="n"/>
      <c r="F20" s="2" t="n"/>
      <c r="G20" s="2" t="n"/>
      <c r="H20" s="2" t="n"/>
      <c r="I20" s="2" t="n"/>
      <c r="J20" s="2" t="n"/>
      <c r="K20" s="2" t="n"/>
      <c r="L20" s="2" t="n"/>
      <c r="M20" s="2" t="n"/>
      <c r="N20" s="2">
        <f>IF(COUNTA(O20:T20)&lt;6,"",ROUND(O20*0.3+P20*0.2+Q20*0.15+R20*0.15+S20*0.1+T20*0.1,0))</f>
        <v/>
      </c>
      <c r="O20" s="2" t="n"/>
      <c r="P20" s="2" t="n"/>
      <c r="Q20" s="2" t="n"/>
      <c r="R20" s="2" t="n"/>
      <c r="S20" s="2" t="n"/>
      <c r="T20" s="2" t="n"/>
      <c r="U20" s="2">
        <f>IF(OR(AA20="fail",AC20="fail"),"P4",IF(N20="","",IF(N20&gt;=90,"P1",IF(N20&gt;=80,"P1",IF(N20&gt;=70,"P2",IF(N20&gt;=60,"P3","P4"))))))</f>
        <v/>
      </c>
      <c r="V20" s="2">
        <f>IF(OR(AA20="fail",AC20="fail"),"SKIP",IF(N20="","",IF(N20&gt;=90,"APPLY ASAP",IF(N20&gt;=80,"APPLY",IF(N20&gt;=70,"CONSIDER",IF(N20&gt;=60,"STRETCH","SKIP"))))))</f>
        <v/>
      </c>
      <c r="W20" s="2" t="n"/>
      <c r="X20" s="2" t="n"/>
      <c r="Y20" s="2" t="n"/>
      <c r="Z20" s="2" t="n"/>
    </row>
    <row r="21">
      <c r="A21" s="2" t="n"/>
      <c r="B21" s="2" t="n"/>
      <c r="C21" s="2" t="n"/>
      <c r="D21" s="2" t="n"/>
      <c r="E21" s="2" t="n"/>
      <c r="F21" s="2" t="n"/>
      <c r="G21" s="2" t="n"/>
      <c r="H21" s="2" t="n"/>
      <c r="I21" s="2" t="n"/>
      <c r="J21" s="2" t="n"/>
      <c r="K21" s="2" t="n"/>
      <c r="L21" s="2" t="n"/>
      <c r="M21" s="2" t="n"/>
      <c r="N21" s="2">
        <f>IF(COUNTA(O21:T21)&lt;6,"",ROUND(O21*0.3+P21*0.2+Q21*0.15+R21*0.15+S21*0.1+T21*0.1,0))</f>
        <v/>
      </c>
      <c r="O21" s="2" t="n"/>
      <c r="P21" s="2" t="n"/>
      <c r="Q21" s="2" t="n"/>
      <c r="R21" s="2" t="n"/>
      <c r="S21" s="2" t="n"/>
      <c r="T21" s="2" t="n"/>
      <c r="U21" s="2">
        <f>IF(OR(AA21="fail",AC21="fail"),"P4",IF(N21="","",IF(N21&gt;=90,"P1",IF(N21&gt;=80,"P1",IF(N21&gt;=70,"P2",IF(N21&gt;=60,"P3","P4"))))))</f>
        <v/>
      </c>
      <c r="V21" s="2">
        <f>IF(OR(AA21="fail",AC21="fail"),"SKIP",IF(N21="","",IF(N21&gt;=90,"APPLY ASAP",IF(N21&gt;=80,"APPLY",IF(N21&gt;=70,"CONSIDER",IF(N21&gt;=60,"STRETCH","SKIP"))))))</f>
        <v/>
      </c>
      <c r="W21" s="2" t="n"/>
      <c r="X21" s="2" t="n"/>
      <c r="Y21" s="2" t="n"/>
      <c r="Z21" s="2" t="n"/>
    </row>
    <row r="22">
      <c r="A22" s="2" t="n"/>
      <c r="B22" s="2" t="n"/>
      <c r="C22" s="2" t="n"/>
      <c r="D22" s="2" t="n"/>
      <c r="E22" s="2" t="n"/>
      <c r="F22" s="2" t="n"/>
      <c r="G22" s="2" t="n"/>
      <c r="H22" s="2" t="n"/>
      <c r="I22" s="2" t="n"/>
      <c r="J22" s="2" t="n"/>
      <c r="K22" s="2" t="n"/>
      <c r="L22" s="2" t="n"/>
      <c r="M22" s="2" t="n"/>
      <c r="N22" s="2">
        <f>IF(COUNTA(O22:T22)&lt;6,"",ROUND(O22*0.3+P22*0.2+Q22*0.15+R22*0.15+S22*0.1+T22*0.1,0))</f>
        <v/>
      </c>
      <c r="O22" s="2" t="n"/>
      <c r="P22" s="2" t="n"/>
      <c r="Q22" s="2" t="n"/>
      <c r="R22" s="2" t="n"/>
      <c r="S22" s="2" t="n"/>
      <c r="T22" s="2" t="n"/>
      <c r="U22" s="2">
        <f>IF(OR(AA22="fail",AC22="fail"),"P4",IF(N22="","",IF(N22&gt;=90,"P1",IF(N22&gt;=80,"P1",IF(N22&gt;=70,"P2",IF(N22&gt;=60,"P3","P4"))))))</f>
        <v/>
      </c>
      <c r="V22" s="2">
        <f>IF(OR(AA22="fail",AC22="fail"),"SKIP",IF(N22="","",IF(N22&gt;=90,"APPLY ASAP",IF(N22&gt;=80,"APPLY",IF(N22&gt;=70,"CONSIDER",IF(N22&gt;=60,"STRETCH","SKIP"))))))</f>
        <v/>
      </c>
      <c r="W22" s="2" t="n"/>
      <c r="X22" s="2" t="n"/>
      <c r="Y22" s="2" t="n"/>
      <c r="Z22" s="2" t="n"/>
    </row>
    <row r="23">
      <c r="A23" s="2" t="n"/>
      <c r="B23" s="2" t="n"/>
      <c r="C23" s="2" t="n"/>
      <c r="D23" s="2" t="n"/>
      <c r="E23" s="2" t="n"/>
      <c r="F23" s="2" t="n"/>
      <c r="G23" s="2" t="n"/>
      <c r="H23" s="2" t="n"/>
      <c r="I23" s="2" t="n"/>
      <c r="J23" s="2" t="n"/>
      <c r="K23" s="2" t="n"/>
      <c r="L23" s="2" t="n"/>
      <c r="M23" s="2" t="n"/>
      <c r="N23" s="2">
        <f>IF(COUNTA(O23:T23)&lt;6,"",ROUND(O23*0.3+P23*0.2+Q23*0.15+R23*0.15+S23*0.1+T23*0.1,0))</f>
        <v/>
      </c>
      <c r="O23" s="2" t="n"/>
      <c r="P23" s="2" t="n"/>
      <c r="Q23" s="2" t="n"/>
      <c r="R23" s="2" t="n"/>
      <c r="S23" s="2" t="n"/>
      <c r="T23" s="2" t="n"/>
      <c r="U23" s="2">
        <f>IF(OR(AA23="fail",AC23="fail"),"P4",IF(N23="","",IF(N23&gt;=90,"P1",IF(N23&gt;=80,"P1",IF(N23&gt;=70,"P2",IF(N23&gt;=60,"P3","P4"))))))</f>
        <v/>
      </c>
      <c r="V23" s="2">
        <f>IF(OR(AA23="fail",AC23="fail"),"SKIP",IF(N23="","",IF(N23&gt;=90,"APPLY ASAP",IF(N23&gt;=80,"APPLY",IF(N23&gt;=70,"CONSIDER",IF(N23&gt;=60,"STRETCH","SKIP"))))))</f>
        <v/>
      </c>
      <c r="W23" s="2" t="n"/>
      <c r="X23" s="2" t="n"/>
      <c r="Y23" s="2" t="n"/>
      <c r="Z23" s="2" t="n"/>
    </row>
    <row r="24">
      <c r="A24" s="2" t="n"/>
      <c r="B24" s="2" t="n"/>
      <c r="C24" s="2" t="n"/>
      <c r="D24" s="2" t="n"/>
      <c r="E24" s="2" t="n"/>
      <c r="F24" s="2" t="n"/>
      <c r="G24" s="2" t="n"/>
      <c r="H24" s="2" t="n"/>
      <c r="I24" s="2" t="n"/>
      <c r="J24" s="2" t="n"/>
      <c r="K24" s="2" t="n"/>
      <c r="L24" s="2" t="n"/>
      <c r="M24" s="2" t="n"/>
      <c r="N24" s="2">
        <f>IF(COUNTA(O24:T24)&lt;6,"",ROUND(O24*0.3+P24*0.2+Q24*0.15+R24*0.15+S24*0.1+T24*0.1,0))</f>
        <v/>
      </c>
      <c r="O24" s="2" t="n"/>
      <c r="P24" s="2" t="n"/>
      <c r="Q24" s="2" t="n"/>
      <c r="R24" s="2" t="n"/>
      <c r="S24" s="2" t="n"/>
      <c r="T24" s="2" t="n"/>
      <c r="U24" s="2">
        <f>IF(OR(AA24="fail",AC24="fail"),"P4",IF(N24="","",IF(N24&gt;=90,"P1",IF(N24&gt;=80,"P1",IF(N24&gt;=70,"P2",IF(N24&gt;=60,"P3","P4"))))))</f>
        <v/>
      </c>
      <c r="V24" s="2">
        <f>IF(OR(AA24="fail",AC24="fail"),"SKIP",IF(N24="","",IF(N24&gt;=90,"APPLY ASAP",IF(N24&gt;=80,"APPLY",IF(N24&gt;=70,"CONSIDER",IF(N24&gt;=60,"STRETCH","SKIP"))))))</f>
        <v/>
      </c>
      <c r="W24" s="2" t="n"/>
      <c r="X24" s="2" t="n"/>
      <c r="Y24" s="2" t="n"/>
      <c r="Z24" s="2" t="n"/>
    </row>
    <row r="25">
      <c r="A25" s="2" t="n"/>
      <c r="B25" s="2" t="n"/>
      <c r="C25" s="2" t="n"/>
      <c r="D25" s="2" t="n"/>
      <c r="E25" s="2" t="n"/>
      <c r="F25" s="2" t="n"/>
      <c r="G25" s="2" t="n"/>
      <c r="H25" s="2" t="n"/>
      <c r="I25" s="2" t="n"/>
      <c r="J25" s="2" t="n"/>
      <c r="K25" s="2" t="n"/>
      <c r="L25" s="2" t="n"/>
      <c r="M25" s="2" t="n"/>
      <c r="N25" s="2">
        <f>IF(COUNTA(O25:T25)&lt;6,"",ROUND(O25*0.3+P25*0.2+Q25*0.15+R25*0.15+S25*0.1+T25*0.1,0))</f>
        <v/>
      </c>
      <c r="O25" s="2" t="n"/>
      <c r="P25" s="2" t="n"/>
      <c r="Q25" s="2" t="n"/>
      <c r="R25" s="2" t="n"/>
      <c r="S25" s="2" t="n"/>
      <c r="T25" s="2" t="n"/>
      <c r="U25" s="2">
        <f>IF(OR(AA25="fail",AC25="fail"),"P4",IF(N25="","",IF(N25&gt;=90,"P1",IF(N25&gt;=80,"P1",IF(N25&gt;=70,"P2",IF(N25&gt;=60,"P3","P4"))))))</f>
        <v/>
      </c>
      <c r="V25" s="2">
        <f>IF(OR(AA25="fail",AC25="fail"),"SKIP",IF(N25="","",IF(N25&gt;=90,"APPLY ASAP",IF(N25&gt;=80,"APPLY",IF(N25&gt;=70,"CONSIDER",IF(N25&gt;=60,"STRETCH","SKIP"))))))</f>
        <v/>
      </c>
      <c r="W25" s="2" t="n"/>
      <c r="X25" s="2" t="n"/>
      <c r="Y25" s="2" t="n"/>
      <c r="Z25" s="2" t="n"/>
    </row>
    <row r="26">
      <c r="A26" s="2" t="n"/>
      <c r="B26" s="2" t="n"/>
      <c r="C26" s="2" t="n"/>
      <c r="D26" s="2" t="n"/>
      <c r="E26" s="2" t="n"/>
      <c r="F26" s="2" t="n"/>
      <c r="G26" s="2" t="n"/>
      <c r="H26" s="2" t="n"/>
      <c r="I26" s="2" t="n"/>
      <c r="J26" s="2" t="n"/>
      <c r="K26" s="2" t="n"/>
      <c r="L26" s="2" t="n"/>
      <c r="M26" s="2" t="n"/>
      <c r="N26" s="2">
        <f>IF(COUNTA(O26:T26)&lt;6,"",ROUND(O26*0.3+P26*0.2+Q26*0.15+R26*0.15+S26*0.1+T26*0.1,0))</f>
        <v/>
      </c>
      <c r="O26" s="2" t="n"/>
      <c r="P26" s="2" t="n"/>
      <c r="Q26" s="2" t="n"/>
      <c r="R26" s="2" t="n"/>
      <c r="S26" s="2" t="n"/>
      <c r="T26" s="2" t="n"/>
      <c r="U26" s="2">
        <f>IF(OR(AA26="fail",AC26="fail"),"P4",IF(N26="","",IF(N26&gt;=90,"P1",IF(N26&gt;=80,"P1",IF(N26&gt;=70,"P2",IF(N26&gt;=60,"P3","P4"))))))</f>
        <v/>
      </c>
      <c r="V26" s="2">
        <f>IF(OR(AA26="fail",AC26="fail"),"SKIP",IF(N26="","",IF(N26&gt;=90,"APPLY ASAP",IF(N26&gt;=80,"APPLY",IF(N26&gt;=70,"CONSIDER",IF(N26&gt;=60,"STRETCH","SKIP"))))))</f>
        <v/>
      </c>
      <c r="W26" s="2" t="n"/>
      <c r="X26" s="2" t="n"/>
      <c r="Y26" s="2" t="n"/>
      <c r="Z26" s="2" t="n"/>
    </row>
    <row r="27">
      <c r="A27" s="2" t="n"/>
      <c r="B27" s="2" t="n"/>
      <c r="C27" s="2" t="n"/>
      <c r="D27" s="2" t="n"/>
      <c r="E27" s="2" t="n"/>
      <c r="F27" s="2" t="n"/>
      <c r="G27" s="2" t="n"/>
      <c r="H27" s="2" t="n"/>
      <c r="I27" s="2" t="n"/>
      <c r="J27" s="2" t="n"/>
      <c r="K27" s="2" t="n"/>
      <c r="L27" s="2" t="n"/>
      <c r="M27" s="2" t="n"/>
      <c r="N27" s="2">
        <f>IF(COUNTA(O27:T27)&lt;6,"",ROUND(O27*0.3+P27*0.2+Q27*0.15+R27*0.15+S27*0.1+T27*0.1,0))</f>
        <v/>
      </c>
      <c r="O27" s="2" t="n"/>
      <c r="P27" s="2" t="n"/>
      <c r="Q27" s="2" t="n"/>
      <c r="R27" s="2" t="n"/>
      <c r="S27" s="2" t="n"/>
      <c r="T27" s="2" t="n"/>
      <c r="U27" s="2">
        <f>IF(OR(AA27="fail",AC27="fail"),"P4",IF(N27="","",IF(N27&gt;=90,"P1",IF(N27&gt;=80,"P1",IF(N27&gt;=70,"P2",IF(N27&gt;=60,"P3","P4"))))))</f>
        <v/>
      </c>
      <c r="V27" s="2">
        <f>IF(OR(AA27="fail",AC27="fail"),"SKIP",IF(N27="","",IF(N27&gt;=90,"APPLY ASAP",IF(N27&gt;=80,"APPLY",IF(N27&gt;=70,"CONSIDER",IF(N27&gt;=60,"STRETCH","SKIP"))))))</f>
        <v/>
      </c>
      <c r="W27" s="2" t="n"/>
      <c r="X27" s="2" t="n"/>
      <c r="Y27" s="2" t="n"/>
      <c r="Z27" s="2" t="n"/>
    </row>
    <row r="28">
      <c r="A28" s="2" t="n"/>
      <c r="B28" s="2" t="n"/>
      <c r="C28" s="2" t="n"/>
      <c r="D28" s="2" t="n"/>
      <c r="E28" s="2" t="n"/>
      <c r="F28" s="2" t="n"/>
      <c r="G28" s="2" t="n"/>
      <c r="H28" s="2" t="n"/>
      <c r="I28" s="2" t="n"/>
      <c r="J28" s="2" t="n"/>
      <c r="K28" s="2" t="n"/>
      <c r="L28" s="2" t="n"/>
      <c r="M28" s="2" t="n"/>
      <c r="N28" s="2">
        <f>IF(COUNTA(O28:T28)&lt;6,"",ROUND(O28*0.3+P28*0.2+Q28*0.15+R28*0.15+S28*0.1+T28*0.1,0))</f>
        <v/>
      </c>
      <c r="O28" s="2" t="n"/>
      <c r="P28" s="2" t="n"/>
      <c r="Q28" s="2" t="n"/>
      <c r="R28" s="2" t="n"/>
      <c r="S28" s="2" t="n"/>
      <c r="T28" s="2" t="n"/>
      <c r="U28" s="2">
        <f>IF(OR(AA28="fail",AC28="fail"),"P4",IF(N28="","",IF(N28&gt;=90,"P1",IF(N28&gt;=80,"P1",IF(N28&gt;=70,"P2",IF(N28&gt;=60,"P3","P4"))))))</f>
        <v/>
      </c>
      <c r="V28" s="2">
        <f>IF(OR(AA28="fail",AC28="fail"),"SKIP",IF(N28="","",IF(N28&gt;=90,"APPLY ASAP",IF(N28&gt;=80,"APPLY",IF(N28&gt;=70,"CONSIDER",IF(N28&gt;=60,"STRETCH","SKIP"))))))</f>
        <v/>
      </c>
      <c r="W28" s="2" t="n"/>
      <c r="X28" s="2" t="n"/>
      <c r="Y28" s="2" t="n"/>
      <c r="Z28" s="2" t="n"/>
    </row>
    <row r="29">
      <c r="A29" s="2" t="n"/>
      <c r="B29" s="2" t="n"/>
      <c r="C29" s="2" t="n"/>
      <c r="D29" s="2" t="n"/>
      <c r="E29" s="2" t="n"/>
      <c r="F29" s="2" t="n"/>
      <c r="G29" s="2" t="n"/>
      <c r="H29" s="2" t="n"/>
      <c r="I29" s="2" t="n"/>
      <c r="J29" s="2" t="n"/>
      <c r="K29" s="2" t="n"/>
      <c r="L29" s="2" t="n"/>
      <c r="M29" s="2" t="n"/>
      <c r="N29" s="2">
        <f>IF(COUNTA(O29:T29)&lt;6,"",ROUND(O29*0.3+P29*0.2+Q29*0.15+R29*0.15+S29*0.1+T29*0.1,0))</f>
        <v/>
      </c>
      <c r="O29" s="2" t="n"/>
      <c r="P29" s="2" t="n"/>
      <c r="Q29" s="2" t="n"/>
      <c r="R29" s="2" t="n"/>
      <c r="S29" s="2" t="n"/>
      <c r="T29" s="2" t="n"/>
      <c r="U29" s="2">
        <f>IF(OR(AA29="fail",AC29="fail"),"P4",IF(N29="","",IF(N29&gt;=90,"P1",IF(N29&gt;=80,"P1",IF(N29&gt;=70,"P2",IF(N29&gt;=60,"P3","P4"))))))</f>
        <v/>
      </c>
      <c r="V29" s="2">
        <f>IF(OR(AA29="fail",AC29="fail"),"SKIP",IF(N29="","",IF(N29&gt;=90,"APPLY ASAP",IF(N29&gt;=80,"APPLY",IF(N29&gt;=70,"CONSIDER",IF(N29&gt;=60,"STRETCH","SKIP"))))))</f>
        <v/>
      </c>
      <c r="W29" s="2" t="n"/>
      <c r="X29" s="2" t="n"/>
      <c r="Y29" s="2" t="n"/>
      <c r="Z29" s="2" t="n"/>
    </row>
    <row r="30">
      <c r="A30" s="2" t="n"/>
      <c r="B30" s="2" t="n"/>
      <c r="C30" s="2" t="n"/>
      <c r="D30" s="2" t="n"/>
      <c r="E30" s="2" t="n"/>
      <c r="F30" s="2" t="n"/>
      <c r="G30" s="2" t="n"/>
      <c r="H30" s="2" t="n"/>
      <c r="I30" s="2" t="n"/>
      <c r="J30" s="2" t="n"/>
      <c r="K30" s="2" t="n"/>
      <c r="L30" s="2" t="n"/>
      <c r="M30" s="2" t="n"/>
      <c r="N30" s="2">
        <f>IF(COUNTA(O30:T30)&lt;6,"",ROUND(O30*0.3+P30*0.2+Q30*0.15+R30*0.15+S30*0.1+T30*0.1,0))</f>
        <v/>
      </c>
      <c r="O30" s="2" t="n"/>
      <c r="P30" s="2" t="n"/>
      <c r="Q30" s="2" t="n"/>
      <c r="R30" s="2" t="n"/>
      <c r="S30" s="2" t="n"/>
      <c r="T30" s="2" t="n"/>
      <c r="U30" s="2">
        <f>IF(OR(AA30="fail",AC30="fail"),"P4",IF(N30="","",IF(N30&gt;=90,"P1",IF(N30&gt;=80,"P1",IF(N30&gt;=70,"P2",IF(N30&gt;=60,"P3","P4"))))))</f>
        <v/>
      </c>
      <c r="V30" s="2">
        <f>IF(OR(AA30="fail",AC30="fail"),"SKIP",IF(N30="","",IF(N30&gt;=90,"APPLY ASAP",IF(N30&gt;=80,"APPLY",IF(N30&gt;=70,"CONSIDER",IF(N30&gt;=60,"STRETCH","SKIP"))))))</f>
        <v/>
      </c>
      <c r="W30" s="2" t="n"/>
      <c r="X30" s="2" t="n"/>
      <c r="Y30" s="2" t="n"/>
      <c r="Z30" s="2" t="n"/>
    </row>
    <row r="31">
      <c r="A31" s="2" t="n"/>
      <c r="B31" s="2" t="n"/>
      <c r="C31" s="2" t="n"/>
      <c r="D31" s="2" t="n"/>
      <c r="E31" s="2" t="n"/>
      <c r="F31" s="2" t="n"/>
      <c r="G31" s="2" t="n"/>
      <c r="H31" s="2" t="n"/>
      <c r="I31" s="2" t="n"/>
      <c r="J31" s="2" t="n"/>
      <c r="K31" s="2" t="n"/>
      <c r="L31" s="2" t="n"/>
      <c r="M31" s="2" t="n"/>
      <c r="N31" s="2">
        <f>IF(COUNTA(O31:T31)&lt;6,"",ROUND(O31*0.3+P31*0.2+Q31*0.15+R31*0.15+S31*0.1+T31*0.1,0))</f>
        <v/>
      </c>
      <c r="O31" s="2" t="n"/>
      <c r="P31" s="2" t="n"/>
      <c r="Q31" s="2" t="n"/>
      <c r="R31" s="2" t="n"/>
      <c r="S31" s="2" t="n"/>
      <c r="T31" s="2" t="n"/>
      <c r="U31" s="2">
        <f>IF(OR(AA31="fail",AC31="fail"),"P4",IF(N31="","",IF(N31&gt;=90,"P1",IF(N31&gt;=80,"P1",IF(N31&gt;=70,"P2",IF(N31&gt;=60,"P3","P4"))))))</f>
        <v/>
      </c>
      <c r="V31" s="2">
        <f>IF(OR(AA31="fail",AC31="fail"),"SKIP",IF(N31="","",IF(N31&gt;=90,"APPLY ASAP",IF(N31&gt;=80,"APPLY",IF(N31&gt;=70,"CONSIDER",IF(N31&gt;=60,"STRETCH","SKIP"))))))</f>
        <v/>
      </c>
      <c r="W31" s="2" t="n"/>
      <c r="X31" s="2" t="n"/>
      <c r="Y31" s="2" t="n"/>
      <c r="Z31" s="2" t="n"/>
    </row>
    <row r="32">
      <c r="A32" s="2" t="n"/>
      <c r="B32" s="2" t="n"/>
      <c r="C32" s="2" t="n"/>
      <c r="D32" s="2" t="n"/>
      <c r="E32" s="2" t="n"/>
      <c r="F32" s="2" t="n"/>
      <c r="G32" s="2" t="n"/>
      <c r="H32" s="2" t="n"/>
      <c r="I32" s="2" t="n"/>
      <c r="J32" s="2" t="n"/>
      <c r="K32" s="2" t="n"/>
      <c r="L32" s="2" t="n"/>
      <c r="M32" s="2" t="n"/>
      <c r="N32" s="2">
        <f>IF(COUNTA(O32:T32)&lt;6,"",ROUND(O32*0.3+P32*0.2+Q32*0.15+R32*0.15+S32*0.1+T32*0.1,0))</f>
        <v/>
      </c>
      <c r="O32" s="2" t="n"/>
      <c r="P32" s="2" t="n"/>
      <c r="Q32" s="2" t="n"/>
      <c r="R32" s="2" t="n"/>
      <c r="S32" s="2" t="n"/>
      <c r="T32" s="2" t="n"/>
      <c r="U32" s="2">
        <f>IF(OR(AA32="fail",AC32="fail"),"P4",IF(N32="","",IF(N32&gt;=90,"P1",IF(N32&gt;=80,"P1",IF(N32&gt;=70,"P2",IF(N32&gt;=60,"P3","P4"))))))</f>
        <v/>
      </c>
      <c r="V32" s="2">
        <f>IF(OR(AA32="fail",AC32="fail"),"SKIP",IF(N32="","",IF(N32&gt;=90,"APPLY ASAP",IF(N32&gt;=80,"APPLY",IF(N32&gt;=70,"CONSIDER",IF(N32&gt;=60,"STRETCH","SKIP"))))))</f>
        <v/>
      </c>
      <c r="W32" s="2" t="n"/>
      <c r="X32" s="2" t="n"/>
      <c r="Y32" s="2" t="n"/>
      <c r="Z32" s="2" t="n"/>
    </row>
    <row r="33">
      <c r="A33" s="2" t="n"/>
      <c r="B33" s="2" t="n"/>
      <c r="C33" s="2" t="n"/>
      <c r="D33" s="2" t="n"/>
      <c r="E33" s="2" t="n"/>
      <c r="F33" s="2" t="n"/>
      <c r="G33" s="2" t="n"/>
      <c r="H33" s="2" t="n"/>
      <c r="I33" s="2" t="n"/>
      <c r="J33" s="2" t="n"/>
      <c r="K33" s="2" t="n"/>
      <c r="L33" s="2" t="n"/>
      <c r="M33" s="2" t="n"/>
      <c r="N33" s="2">
        <f>IF(COUNTA(O33:T33)&lt;6,"",ROUND(O33*0.3+P33*0.2+Q33*0.15+R33*0.15+S33*0.1+T33*0.1,0))</f>
        <v/>
      </c>
      <c r="O33" s="2" t="n"/>
      <c r="P33" s="2" t="n"/>
      <c r="Q33" s="2" t="n"/>
      <c r="R33" s="2" t="n"/>
      <c r="S33" s="2" t="n"/>
      <c r="T33" s="2" t="n"/>
      <c r="U33" s="2">
        <f>IF(OR(AA33="fail",AC33="fail"),"P4",IF(N33="","",IF(N33&gt;=90,"P1",IF(N33&gt;=80,"P1",IF(N33&gt;=70,"P2",IF(N33&gt;=60,"P3","P4"))))))</f>
        <v/>
      </c>
      <c r="V33" s="2">
        <f>IF(OR(AA33="fail",AC33="fail"),"SKIP",IF(N33="","",IF(N33&gt;=90,"APPLY ASAP",IF(N33&gt;=80,"APPLY",IF(N33&gt;=70,"CONSIDER",IF(N33&gt;=60,"STRETCH","SKIP"))))))</f>
        <v/>
      </c>
      <c r="W33" s="2" t="n"/>
      <c r="X33" s="2" t="n"/>
      <c r="Y33" s="2" t="n"/>
      <c r="Z33" s="2" t="n"/>
    </row>
    <row r="34">
      <c r="A34" s="2" t="n"/>
      <c r="B34" s="2" t="n"/>
      <c r="C34" s="2" t="n"/>
      <c r="D34" s="2" t="n"/>
      <c r="E34" s="2" t="n"/>
      <c r="F34" s="2" t="n"/>
      <c r="G34" s="2" t="n"/>
      <c r="H34" s="2" t="n"/>
      <c r="I34" s="2" t="n"/>
      <c r="J34" s="2" t="n"/>
      <c r="K34" s="2" t="n"/>
      <c r="L34" s="2" t="n"/>
      <c r="M34" s="2" t="n"/>
      <c r="N34" s="2">
        <f>IF(COUNTA(O34:T34)&lt;6,"",ROUND(O34*0.3+P34*0.2+Q34*0.15+R34*0.15+S34*0.1+T34*0.1,0))</f>
        <v/>
      </c>
      <c r="O34" s="2" t="n"/>
      <c r="P34" s="2" t="n"/>
      <c r="Q34" s="2" t="n"/>
      <c r="R34" s="2" t="n"/>
      <c r="S34" s="2" t="n"/>
      <c r="T34" s="2" t="n"/>
      <c r="U34" s="2">
        <f>IF(OR(AA34="fail",AC34="fail"),"P4",IF(N34="","",IF(N34&gt;=90,"P1",IF(N34&gt;=80,"P1",IF(N34&gt;=70,"P2",IF(N34&gt;=60,"P3","P4"))))))</f>
        <v/>
      </c>
      <c r="V34" s="2">
        <f>IF(OR(AA34="fail",AC34="fail"),"SKIP",IF(N34="","",IF(N34&gt;=90,"APPLY ASAP",IF(N34&gt;=80,"APPLY",IF(N34&gt;=70,"CONSIDER",IF(N34&gt;=60,"STRETCH","SKIP"))))))</f>
        <v/>
      </c>
      <c r="W34" s="2" t="n"/>
      <c r="X34" s="2" t="n"/>
      <c r="Y34" s="2" t="n"/>
      <c r="Z34" s="2" t="n"/>
    </row>
    <row r="35">
      <c r="A35" s="2" t="n"/>
      <c r="B35" s="2" t="n"/>
      <c r="C35" s="2" t="n"/>
      <c r="D35" s="2" t="n"/>
      <c r="E35" s="2" t="n"/>
      <c r="F35" s="2" t="n"/>
      <c r="G35" s="2" t="n"/>
      <c r="H35" s="2" t="n"/>
      <c r="I35" s="2" t="n"/>
      <c r="J35" s="2" t="n"/>
      <c r="K35" s="2" t="n"/>
      <c r="L35" s="2" t="n"/>
      <c r="M35" s="2" t="n"/>
      <c r="N35" s="2">
        <f>IF(COUNTA(O35:T35)&lt;6,"",ROUND(O35*0.3+P35*0.2+Q35*0.15+R35*0.15+S35*0.1+T35*0.1,0))</f>
        <v/>
      </c>
      <c r="O35" s="2" t="n"/>
      <c r="P35" s="2" t="n"/>
      <c r="Q35" s="2" t="n"/>
      <c r="R35" s="2" t="n"/>
      <c r="S35" s="2" t="n"/>
      <c r="T35" s="2" t="n"/>
      <c r="U35" s="2">
        <f>IF(OR(AA35="fail",AC35="fail"),"P4",IF(N35="","",IF(N35&gt;=90,"P1",IF(N35&gt;=80,"P1",IF(N35&gt;=70,"P2",IF(N35&gt;=60,"P3","P4"))))))</f>
        <v/>
      </c>
      <c r="V35" s="2">
        <f>IF(OR(AA35="fail",AC35="fail"),"SKIP",IF(N35="","",IF(N35&gt;=90,"APPLY ASAP",IF(N35&gt;=80,"APPLY",IF(N35&gt;=70,"CONSIDER",IF(N35&gt;=60,"STRETCH","SKIP"))))))</f>
        <v/>
      </c>
      <c r="W35" s="2" t="n"/>
      <c r="X35" s="2" t="n"/>
      <c r="Y35" s="2" t="n"/>
      <c r="Z35" s="2" t="n"/>
    </row>
    <row r="36">
      <c r="A36" s="2" t="n"/>
      <c r="B36" s="2" t="n"/>
      <c r="C36" s="2" t="n"/>
      <c r="D36" s="2" t="n"/>
      <c r="E36" s="2" t="n"/>
      <c r="F36" s="2" t="n"/>
      <c r="G36" s="2" t="n"/>
      <c r="H36" s="2" t="n"/>
      <c r="I36" s="2" t="n"/>
      <c r="J36" s="2" t="n"/>
      <c r="K36" s="2" t="n"/>
      <c r="L36" s="2" t="n"/>
      <c r="M36" s="2" t="n"/>
      <c r="N36" s="2">
        <f>IF(COUNTA(O36:T36)&lt;6,"",ROUND(O36*0.3+P36*0.2+Q36*0.15+R36*0.15+S36*0.1+T36*0.1,0))</f>
        <v/>
      </c>
      <c r="O36" s="2" t="n"/>
      <c r="P36" s="2" t="n"/>
      <c r="Q36" s="2" t="n"/>
      <c r="R36" s="2" t="n"/>
      <c r="S36" s="2" t="n"/>
      <c r="T36" s="2" t="n"/>
      <c r="U36" s="2">
        <f>IF(OR(AA36="fail",AC36="fail"),"P4",IF(N36="","",IF(N36&gt;=90,"P1",IF(N36&gt;=80,"P1",IF(N36&gt;=70,"P2",IF(N36&gt;=60,"P3","P4"))))))</f>
        <v/>
      </c>
      <c r="V36" s="2">
        <f>IF(OR(AA36="fail",AC36="fail"),"SKIP",IF(N36="","",IF(N36&gt;=90,"APPLY ASAP",IF(N36&gt;=80,"APPLY",IF(N36&gt;=70,"CONSIDER",IF(N36&gt;=60,"STRETCH","SKIP"))))))</f>
        <v/>
      </c>
      <c r="W36" s="2" t="n"/>
      <c r="X36" s="2" t="n"/>
      <c r="Y36" s="2" t="n"/>
      <c r="Z36" s="2" t="n"/>
    </row>
    <row r="37">
      <c r="A37" s="2" t="n"/>
      <c r="B37" s="2" t="n"/>
      <c r="C37" s="2" t="n"/>
      <c r="D37" s="2" t="n"/>
      <c r="E37" s="2" t="n"/>
      <c r="F37" s="2" t="n"/>
      <c r="G37" s="2" t="n"/>
      <c r="H37" s="2" t="n"/>
      <c r="I37" s="2" t="n"/>
      <c r="J37" s="2" t="n"/>
      <c r="K37" s="2" t="n"/>
      <c r="L37" s="2" t="n"/>
      <c r="M37" s="2" t="n"/>
      <c r="N37" s="2">
        <f>IF(COUNTA(O37:T37)&lt;6,"",ROUND(O37*0.3+P37*0.2+Q37*0.15+R37*0.15+S37*0.1+T37*0.1,0))</f>
        <v/>
      </c>
      <c r="O37" s="2" t="n"/>
      <c r="P37" s="2" t="n"/>
      <c r="Q37" s="2" t="n"/>
      <c r="R37" s="2" t="n"/>
      <c r="S37" s="2" t="n"/>
      <c r="T37" s="2" t="n"/>
      <c r="U37" s="2">
        <f>IF(OR(AA37="fail",AC37="fail"),"P4",IF(N37="","",IF(N37&gt;=90,"P1",IF(N37&gt;=80,"P1",IF(N37&gt;=70,"P2",IF(N37&gt;=60,"P3","P4"))))))</f>
        <v/>
      </c>
      <c r="V37" s="2">
        <f>IF(OR(AA37="fail",AC37="fail"),"SKIP",IF(N37="","",IF(N37&gt;=90,"APPLY ASAP",IF(N37&gt;=80,"APPLY",IF(N37&gt;=70,"CONSIDER",IF(N37&gt;=60,"STRETCH","SKIP"))))))</f>
        <v/>
      </c>
      <c r="W37" s="2" t="n"/>
      <c r="X37" s="2" t="n"/>
      <c r="Y37" s="2" t="n"/>
      <c r="Z37" s="2" t="n"/>
    </row>
    <row r="38">
      <c r="A38" s="2" t="n"/>
      <c r="B38" s="2" t="n"/>
      <c r="C38" s="2" t="n"/>
      <c r="D38" s="2" t="n"/>
      <c r="E38" s="2" t="n"/>
      <c r="F38" s="2" t="n"/>
      <c r="G38" s="2" t="n"/>
      <c r="H38" s="2" t="n"/>
      <c r="I38" s="2" t="n"/>
      <c r="J38" s="2" t="n"/>
      <c r="K38" s="2" t="n"/>
      <c r="L38" s="2" t="n"/>
      <c r="M38" s="2" t="n"/>
      <c r="N38" s="2">
        <f>IF(COUNTA(O38:T38)&lt;6,"",ROUND(O38*0.3+P38*0.2+Q38*0.15+R38*0.15+S38*0.1+T38*0.1,0))</f>
        <v/>
      </c>
      <c r="O38" s="2" t="n"/>
      <c r="P38" s="2" t="n"/>
      <c r="Q38" s="2" t="n"/>
      <c r="R38" s="2" t="n"/>
      <c r="S38" s="2" t="n"/>
      <c r="T38" s="2" t="n"/>
      <c r="U38" s="2">
        <f>IF(OR(AA38="fail",AC38="fail"),"P4",IF(N38="","",IF(N38&gt;=90,"P1",IF(N38&gt;=80,"P1",IF(N38&gt;=70,"P2",IF(N38&gt;=60,"P3","P4"))))))</f>
        <v/>
      </c>
      <c r="V38" s="2">
        <f>IF(OR(AA38="fail",AC38="fail"),"SKIP",IF(N38="","",IF(N38&gt;=90,"APPLY ASAP",IF(N38&gt;=80,"APPLY",IF(N38&gt;=70,"CONSIDER",IF(N38&gt;=60,"STRETCH","SKIP"))))))</f>
        <v/>
      </c>
      <c r="W38" s="2" t="n"/>
      <c r="X38" s="2" t="n"/>
      <c r="Y38" s="2" t="n"/>
      <c r="Z38" s="2" t="n"/>
    </row>
    <row r="39">
      <c r="A39" s="2" t="n"/>
      <c r="B39" s="2" t="n"/>
      <c r="C39" s="2" t="n"/>
      <c r="D39" s="2" t="n"/>
      <c r="E39" s="2" t="n"/>
      <c r="F39" s="2" t="n"/>
      <c r="G39" s="2" t="n"/>
      <c r="H39" s="2" t="n"/>
      <c r="I39" s="2" t="n"/>
      <c r="J39" s="2" t="n"/>
      <c r="K39" s="2" t="n"/>
      <c r="L39" s="2" t="n"/>
      <c r="M39" s="2" t="n"/>
      <c r="N39" s="2">
        <f>IF(COUNTA(O39:T39)&lt;6,"",ROUND(O39*0.3+P39*0.2+Q39*0.15+R39*0.15+S39*0.1+T39*0.1,0))</f>
        <v/>
      </c>
      <c r="O39" s="2" t="n"/>
      <c r="P39" s="2" t="n"/>
      <c r="Q39" s="2" t="n"/>
      <c r="R39" s="2" t="n"/>
      <c r="S39" s="2" t="n"/>
      <c r="T39" s="2" t="n"/>
      <c r="U39" s="2">
        <f>IF(OR(AA39="fail",AC39="fail"),"P4",IF(N39="","",IF(N39&gt;=90,"P1",IF(N39&gt;=80,"P1",IF(N39&gt;=70,"P2",IF(N39&gt;=60,"P3","P4"))))))</f>
        <v/>
      </c>
      <c r="V39" s="2">
        <f>IF(OR(AA39="fail",AC39="fail"),"SKIP",IF(N39="","",IF(N39&gt;=90,"APPLY ASAP",IF(N39&gt;=80,"APPLY",IF(N39&gt;=70,"CONSIDER",IF(N39&gt;=60,"STRETCH","SKIP"))))))</f>
        <v/>
      </c>
      <c r="W39" s="2" t="n"/>
      <c r="X39" s="2" t="n"/>
      <c r="Y39" s="2" t="n"/>
      <c r="Z39" s="2" t="n"/>
    </row>
    <row r="40">
      <c r="A40" s="2" t="n"/>
      <c r="B40" s="2" t="n"/>
      <c r="C40" s="2" t="n"/>
      <c r="D40" s="2" t="n"/>
      <c r="E40" s="2" t="n"/>
      <c r="F40" s="2" t="n"/>
      <c r="G40" s="2" t="n"/>
      <c r="H40" s="2" t="n"/>
      <c r="I40" s="2" t="n"/>
      <c r="J40" s="2" t="n"/>
      <c r="K40" s="2" t="n"/>
      <c r="L40" s="2" t="n"/>
      <c r="M40" s="2" t="n"/>
      <c r="N40" s="2">
        <f>IF(COUNTA(O40:T40)&lt;6,"",ROUND(O40*0.3+P40*0.2+Q40*0.15+R40*0.15+S40*0.1+T40*0.1,0))</f>
        <v/>
      </c>
      <c r="O40" s="2" t="n"/>
      <c r="P40" s="2" t="n"/>
      <c r="Q40" s="2" t="n"/>
      <c r="R40" s="2" t="n"/>
      <c r="S40" s="2" t="n"/>
      <c r="T40" s="2" t="n"/>
      <c r="U40" s="2">
        <f>IF(OR(AA40="fail",AC40="fail"),"P4",IF(N40="","",IF(N40&gt;=90,"P1",IF(N40&gt;=80,"P1",IF(N40&gt;=70,"P2",IF(N40&gt;=60,"P3","P4"))))))</f>
        <v/>
      </c>
      <c r="V40" s="2">
        <f>IF(OR(AA40="fail",AC40="fail"),"SKIP",IF(N40="","",IF(N40&gt;=90,"APPLY ASAP",IF(N40&gt;=80,"APPLY",IF(N40&gt;=70,"CONSIDER",IF(N40&gt;=60,"STRETCH","SKIP"))))))</f>
        <v/>
      </c>
      <c r="W40" s="2" t="n"/>
      <c r="X40" s="2" t="n"/>
      <c r="Y40" s="2" t="n"/>
      <c r="Z40" s="2" t="n"/>
    </row>
    <row r="41">
      <c r="A41" s="2" t="n"/>
      <c r="B41" s="2" t="n"/>
      <c r="C41" s="2" t="n"/>
      <c r="D41" s="2" t="n"/>
      <c r="E41" s="2" t="n"/>
      <c r="F41" s="2" t="n"/>
      <c r="G41" s="2" t="n"/>
      <c r="H41" s="2" t="n"/>
      <c r="I41" s="2" t="n"/>
      <c r="J41" s="2" t="n"/>
      <c r="K41" s="2" t="n"/>
      <c r="L41" s="2" t="n"/>
      <c r="M41" s="2" t="n"/>
      <c r="N41" s="2">
        <f>IF(COUNTA(O41:T41)&lt;6,"",ROUND(O41*0.3+P41*0.2+Q41*0.15+R41*0.15+S41*0.1+T41*0.1,0))</f>
        <v/>
      </c>
      <c r="O41" s="2" t="n"/>
      <c r="P41" s="2" t="n"/>
      <c r="Q41" s="2" t="n"/>
      <c r="R41" s="2" t="n"/>
      <c r="S41" s="2" t="n"/>
      <c r="T41" s="2" t="n"/>
      <c r="U41" s="2">
        <f>IF(OR(AA41="fail",AC41="fail"),"P4",IF(N41="","",IF(N41&gt;=90,"P1",IF(N41&gt;=80,"P1",IF(N41&gt;=70,"P2",IF(N41&gt;=60,"P3","P4"))))))</f>
        <v/>
      </c>
      <c r="V41" s="2">
        <f>IF(OR(AA41="fail",AC41="fail"),"SKIP",IF(N41="","",IF(N41&gt;=90,"APPLY ASAP",IF(N41&gt;=80,"APPLY",IF(N41&gt;=70,"CONSIDER",IF(N41&gt;=60,"STRETCH","SKIP"))))))</f>
        <v/>
      </c>
      <c r="W41" s="2" t="n"/>
      <c r="X41" s="2" t="n"/>
      <c r="Y41" s="2" t="n"/>
      <c r="Z41" s="2" t="n"/>
    </row>
    <row r="42">
      <c r="A42" s="2" t="n"/>
      <c r="B42" s="2" t="n"/>
      <c r="C42" s="2" t="n"/>
      <c r="D42" s="2" t="n"/>
      <c r="E42" s="2" t="n"/>
      <c r="F42" s="2" t="n"/>
      <c r="G42" s="2" t="n"/>
      <c r="H42" s="2" t="n"/>
      <c r="I42" s="2" t="n"/>
      <c r="J42" s="2" t="n"/>
      <c r="K42" s="2" t="n"/>
      <c r="L42" s="2" t="n"/>
      <c r="M42" s="2" t="n"/>
      <c r="N42" s="2">
        <f>IF(COUNTA(O42:T42)&lt;6,"",ROUND(O42*0.3+P42*0.2+Q42*0.15+R42*0.15+S42*0.1+T42*0.1,0))</f>
        <v/>
      </c>
      <c r="O42" s="2" t="n"/>
      <c r="P42" s="2" t="n"/>
      <c r="Q42" s="2" t="n"/>
      <c r="R42" s="2" t="n"/>
      <c r="S42" s="2" t="n"/>
      <c r="T42" s="2" t="n"/>
      <c r="U42" s="2">
        <f>IF(OR(AA42="fail",AC42="fail"),"P4",IF(N42="","",IF(N42&gt;=90,"P1",IF(N42&gt;=80,"P1",IF(N42&gt;=70,"P2",IF(N42&gt;=60,"P3","P4"))))))</f>
        <v/>
      </c>
      <c r="V42" s="2">
        <f>IF(OR(AA42="fail",AC42="fail"),"SKIP",IF(N42="","",IF(N42&gt;=90,"APPLY ASAP",IF(N42&gt;=80,"APPLY",IF(N42&gt;=70,"CONSIDER",IF(N42&gt;=60,"STRETCH","SKIP"))))))</f>
        <v/>
      </c>
      <c r="W42" s="2" t="n"/>
      <c r="X42" s="2" t="n"/>
      <c r="Y42" s="2" t="n"/>
      <c r="Z42" s="2" t="n"/>
    </row>
    <row r="43">
      <c r="A43" s="2" t="n"/>
      <c r="B43" s="2" t="n"/>
      <c r="C43" s="2" t="n"/>
      <c r="D43" s="2" t="n"/>
      <c r="E43" s="2" t="n"/>
      <c r="F43" s="2" t="n"/>
      <c r="G43" s="2" t="n"/>
      <c r="H43" s="2" t="n"/>
      <c r="I43" s="2" t="n"/>
      <c r="J43" s="2" t="n"/>
      <c r="K43" s="2" t="n"/>
      <c r="L43" s="2" t="n"/>
      <c r="M43" s="2" t="n"/>
      <c r="N43" s="2">
        <f>IF(COUNTA(O43:T43)&lt;6,"",ROUND(O43*0.3+P43*0.2+Q43*0.15+R43*0.15+S43*0.1+T43*0.1,0))</f>
        <v/>
      </c>
      <c r="O43" s="2" t="n"/>
      <c r="P43" s="2" t="n"/>
      <c r="Q43" s="2" t="n"/>
      <c r="R43" s="2" t="n"/>
      <c r="S43" s="2" t="n"/>
      <c r="T43" s="2" t="n"/>
      <c r="U43" s="2">
        <f>IF(OR(AA43="fail",AC43="fail"),"P4",IF(N43="","",IF(N43&gt;=90,"P1",IF(N43&gt;=80,"P1",IF(N43&gt;=70,"P2",IF(N43&gt;=60,"P3","P4"))))))</f>
        <v/>
      </c>
      <c r="V43" s="2">
        <f>IF(OR(AA43="fail",AC43="fail"),"SKIP",IF(N43="","",IF(N43&gt;=90,"APPLY ASAP",IF(N43&gt;=80,"APPLY",IF(N43&gt;=70,"CONSIDER",IF(N43&gt;=60,"STRETCH","SKIP"))))))</f>
        <v/>
      </c>
      <c r="W43" s="2" t="n"/>
      <c r="X43" s="2" t="n"/>
      <c r="Y43" s="2" t="n"/>
      <c r="Z43" s="2" t="n"/>
    </row>
    <row r="44">
      <c r="A44" s="2" t="n"/>
      <c r="B44" s="2" t="n"/>
      <c r="C44" s="2" t="n"/>
      <c r="D44" s="2" t="n"/>
      <c r="E44" s="2" t="n"/>
      <c r="F44" s="2" t="n"/>
      <c r="G44" s="2" t="n"/>
      <c r="H44" s="2" t="n"/>
      <c r="I44" s="2" t="n"/>
      <c r="J44" s="2" t="n"/>
      <c r="K44" s="2" t="n"/>
      <c r="L44" s="2" t="n"/>
      <c r="M44" s="2" t="n"/>
      <c r="N44" s="2">
        <f>IF(COUNTA(O44:T44)&lt;6,"",ROUND(O44*0.3+P44*0.2+Q44*0.15+R44*0.15+S44*0.1+T44*0.1,0))</f>
        <v/>
      </c>
      <c r="O44" s="2" t="n"/>
      <c r="P44" s="2" t="n"/>
      <c r="Q44" s="2" t="n"/>
      <c r="R44" s="2" t="n"/>
      <c r="S44" s="2" t="n"/>
      <c r="T44" s="2" t="n"/>
      <c r="U44" s="2">
        <f>IF(OR(AA44="fail",AC44="fail"),"P4",IF(N44="","",IF(N44&gt;=90,"P1",IF(N44&gt;=80,"P1",IF(N44&gt;=70,"P2",IF(N44&gt;=60,"P3","P4"))))))</f>
        <v/>
      </c>
      <c r="V44" s="2">
        <f>IF(OR(AA44="fail",AC44="fail"),"SKIP",IF(N44="","",IF(N44&gt;=90,"APPLY ASAP",IF(N44&gt;=80,"APPLY",IF(N44&gt;=70,"CONSIDER",IF(N44&gt;=60,"STRETCH","SKIP"))))))</f>
        <v/>
      </c>
      <c r="W44" s="2" t="n"/>
      <c r="X44" s="2" t="n"/>
      <c r="Y44" s="2" t="n"/>
      <c r="Z44" s="2" t="n"/>
    </row>
    <row r="45">
      <c r="A45" s="2" t="n"/>
      <c r="B45" s="2" t="n"/>
      <c r="C45" s="2" t="n"/>
      <c r="D45" s="2" t="n"/>
      <c r="E45" s="2" t="n"/>
      <c r="F45" s="2" t="n"/>
      <c r="G45" s="2" t="n"/>
      <c r="H45" s="2" t="n"/>
      <c r="I45" s="2" t="n"/>
      <c r="J45" s="2" t="n"/>
      <c r="K45" s="2" t="n"/>
      <c r="L45" s="2" t="n"/>
      <c r="M45" s="2" t="n"/>
      <c r="N45" s="2">
        <f>IF(COUNTA(O45:T45)&lt;6,"",ROUND(O45*0.3+P45*0.2+Q45*0.15+R45*0.15+S45*0.1+T45*0.1,0))</f>
        <v/>
      </c>
      <c r="O45" s="2" t="n"/>
      <c r="P45" s="2" t="n"/>
      <c r="Q45" s="2" t="n"/>
      <c r="R45" s="2" t="n"/>
      <c r="S45" s="2" t="n"/>
      <c r="T45" s="2" t="n"/>
      <c r="U45" s="2">
        <f>IF(OR(AA45="fail",AC45="fail"),"P4",IF(N45="","",IF(N45&gt;=90,"P1",IF(N45&gt;=80,"P1",IF(N45&gt;=70,"P2",IF(N45&gt;=60,"P3","P4"))))))</f>
        <v/>
      </c>
      <c r="V45" s="2">
        <f>IF(OR(AA45="fail",AC45="fail"),"SKIP",IF(N45="","",IF(N45&gt;=90,"APPLY ASAP",IF(N45&gt;=80,"APPLY",IF(N45&gt;=70,"CONSIDER",IF(N45&gt;=60,"STRETCH","SKIP"))))))</f>
        <v/>
      </c>
      <c r="W45" s="2" t="n"/>
      <c r="X45" s="2" t="n"/>
      <c r="Y45" s="2" t="n"/>
      <c r="Z45" s="2" t="n"/>
    </row>
    <row r="46">
      <c r="A46" s="2" t="n"/>
      <c r="B46" s="2" t="n"/>
      <c r="C46" s="2" t="n"/>
      <c r="D46" s="2" t="n"/>
      <c r="E46" s="2" t="n"/>
      <c r="F46" s="2" t="n"/>
      <c r="G46" s="2" t="n"/>
      <c r="H46" s="2" t="n"/>
      <c r="I46" s="2" t="n"/>
      <c r="J46" s="2" t="n"/>
      <c r="K46" s="2" t="n"/>
      <c r="L46" s="2" t="n"/>
      <c r="M46" s="2" t="n"/>
      <c r="N46" s="2">
        <f>IF(COUNTA(O46:T46)&lt;6,"",ROUND(O46*0.3+P46*0.2+Q46*0.15+R46*0.15+S46*0.1+T46*0.1,0))</f>
        <v/>
      </c>
      <c r="O46" s="2" t="n"/>
      <c r="P46" s="2" t="n"/>
      <c r="Q46" s="2" t="n"/>
      <c r="R46" s="2" t="n"/>
      <c r="S46" s="2" t="n"/>
      <c r="T46" s="2" t="n"/>
      <c r="U46" s="2">
        <f>IF(OR(AA46="fail",AC46="fail"),"P4",IF(N46="","",IF(N46&gt;=90,"P1",IF(N46&gt;=80,"P1",IF(N46&gt;=70,"P2",IF(N46&gt;=60,"P3","P4"))))))</f>
        <v/>
      </c>
      <c r="V46" s="2">
        <f>IF(OR(AA46="fail",AC46="fail"),"SKIP",IF(N46="","",IF(N46&gt;=90,"APPLY ASAP",IF(N46&gt;=80,"APPLY",IF(N46&gt;=70,"CONSIDER",IF(N46&gt;=60,"STRETCH","SKIP"))))))</f>
        <v/>
      </c>
      <c r="W46" s="2" t="n"/>
      <c r="X46" s="2" t="n"/>
      <c r="Y46" s="2" t="n"/>
      <c r="Z46" s="2" t="n"/>
    </row>
    <row r="47">
      <c r="A47" s="2" t="n"/>
      <c r="B47" s="2" t="n"/>
      <c r="C47" s="2" t="n"/>
      <c r="D47" s="2" t="n"/>
      <c r="E47" s="2" t="n"/>
      <c r="F47" s="2" t="n"/>
      <c r="G47" s="2" t="n"/>
      <c r="H47" s="2" t="n"/>
      <c r="I47" s="2" t="n"/>
      <c r="J47" s="2" t="n"/>
      <c r="K47" s="2" t="n"/>
      <c r="L47" s="2" t="n"/>
      <c r="M47" s="2" t="n"/>
      <c r="N47" s="2">
        <f>IF(COUNTA(O47:T47)&lt;6,"",ROUND(O47*0.3+P47*0.2+Q47*0.15+R47*0.15+S47*0.1+T47*0.1,0))</f>
        <v/>
      </c>
      <c r="O47" s="2" t="n"/>
      <c r="P47" s="2" t="n"/>
      <c r="Q47" s="2" t="n"/>
      <c r="R47" s="2" t="n"/>
      <c r="S47" s="2" t="n"/>
      <c r="T47" s="2" t="n"/>
      <c r="U47" s="2">
        <f>IF(OR(AA47="fail",AC47="fail"),"P4",IF(N47="","",IF(N47&gt;=90,"P1",IF(N47&gt;=80,"P1",IF(N47&gt;=70,"P2",IF(N47&gt;=60,"P3","P4"))))))</f>
        <v/>
      </c>
      <c r="V47" s="2">
        <f>IF(OR(AA47="fail",AC47="fail"),"SKIP",IF(N47="","",IF(N47&gt;=90,"APPLY ASAP",IF(N47&gt;=80,"APPLY",IF(N47&gt;=70,"CONSIDER",IF(N47&gt;=60,"STRETCH","SKIP"))))))</f>
        <v/>
      </c>
      <c r="W47" s="2" t="n"/>
      <c r="X47" s="2" t="n"/>
      <c r="Y47" s="2" t="n"/>
      <c r="Z47" s="2" t="n"/>
    </row>
    <row r="48">
      <c r="A48" s="2" t="n"/>
      <c r="B48" s="2" t="n"/>
      <c r="C48" s="2" t="n"/>
      <c r="D48" s="2" t="n"/>
      <c r="E48" s="2" t="n"/>
      <c r="F48" s="2" t="n"/>
      <c r="G48" s="2" t="n"/>
      <c r="H48" s="2" t="n"/>
      <c r="I48" s="2" t="n"/>
      <c r="J48" s="2" t="n"/>
      <c r="K48" s="2" t="n"/>
      <c r="L48" s="2" t="n"/>
      <c r="M48" s="2" t="n"/>
      <c r="N48" s="2">
        <f>IF(COUNTA(O48:T48)&lt;6,"",ROUND(O48*0.3+P48*0.2+Q48*0.15+R48*0.15+S48*0.1+T48*0.1,0))</f>
        <v/>
      </c>
      <c r="O48" s="2" t="n"/>
      <c r="P48" s="2" t="n"/>
      <c r="Q48" s="2" t="n"/>
      <c r="R48" s="2" t="n"/>
      <c r="S48" s="2" t="n"/>
      <c r="T48" s="2" t="n"/>
      <c r="U48" s="2">
        <f>IF(OR(AA48="fail",AC48="fail"),"P4",IF(N48="","",IF(N48&gt;=90,"P1",IF(N48&gt;=80,"P1",IF(N48&gt;=70,"P2",IF(N48&gt;=60,"P3","P4"))))))</f>
        <v/>
      </c>
      <c r="V48" s="2">
        <f>IF(OR(AA48="fail",AC48="fail"),"SKIP",IF(N48="","",IF(N48&gt;=90,"APPLY ASAP",IF(N48&gt;=80,"APPLY",IF(N48&gt;=70,"CONSIDER",IF(N48&gt;=60,"STRETCH","SKIP"))))))</f>
        <v/>
      </c>
      <c r="W48" s="2" t="n"/>
      <c r="X48" s="2" t="n"/>
      <c r="Y48" s="2" t="n"/>
      <c r="Z48" s="2" t="n"/>
    </row>
    <row r="49">
      <c r="A49" s="2" t="n"/>
      <c r="B49" s="2" t="n"/>
      <c r="C49" s="2" t="n"/>
      <c r="D49" s="2" t="n"/>
      <c r="E49" s="2" t="n"/>
      <c r="F49" s="2" t="n"/>
      <c r="G49" s="2" t="n"/>
      <c r="H49" s="2" t="n"/>
      <c r="I49" s="2" t="n"/>
      <c r="J49" s="2" t="n"/>
      <c r="K49" s="2" t="n"/>
      <c r="L49" s="2" t="n"/>
      <c r="M49" s="2" t="n"/>
      <c r="N49" s="2">
        <f>IF(COUNTA(O49:T49)&lt;6,"",ROUND(O49*0.3+P49*0.2+Q49*0.15+R49*0.15+S49*0.1+T49*0.1,0))</f>
        <v/>
      </c>
      <c r="O49" s="2" t="n"/>
      <c r="P49" s="2" t="n"/>
      <c r="Q49" s="2" t="n"/>
      <c r="R49" s="2" t="n"/>
      <c r="S49" s="2" t="n"/>
      <c r="T49" s="2" t="n"/>
      <c r="U49" s="2">
        <f>IF(OR(AA49="fail",AC49="fail"),"P4",IF(N49="","",IF(N49&gt;=90,"P1",IF(N49&gt;=80,"P1",IF(N49&gt;=70,"P2",IF(N49&gt;=60,"P3","P4"))))))</f>
        <v/>
      </c>
      <c r="V49" s="2">
        <f>IF(OR(AA49="fail",AC49="fail"),"SKIP",IF(N49="","",IF(N49&gt;=90,"APPLY ASAP",IF(N49&gt;=80,"APPLY",IF(N49&gt;=70,"CONSIDER",IF(N49&gt;=60,"STRETCH","SKIP"))))))</f>
        <v/>
      </c>
      <c r="W49" s="2" t="n"/>
      <c r="X49" s="2" t="n"/>
      <c r="Y49" s="2" t="n"/>
      <c r="Z49" s="2" t="n"/>
    </row>
    <row r="50">
      <c r="A50" s="2" t="n"/>
      <c r="B50" s="2" t="n"/>
      <c r="C50" s="2" t="n"/>
      <c r="D50" s="2" t="n"/>
      <c r="E50" s="2" t="n"/>
      <c r="F50" s="2" t="n"/>
      <c r="G50" s="2" t="n"/>
      <c r="H50" s="2" t="n"/>
      <c r="I50" s="2" t="n"/>
      <c r="J50" s="2" t="n"/>
      <c r="K50" s="2" t="n"/>
      <c r="L50" s="2" t="n"/>
      <c r="M50" s="2" t="n"/>
      <c r="N50" s="2">
        <f>IF(COUNTA(O50:T50)&lt;6,"",ROUND(O50*0.3+P50*0.2+Q50*0.15+R50*0.15+S50*0.1+T50*0.1,0))</f>
        <v/>
      </c>
      <c r="O50" s="2" t="n"/>
      <c r="P50" s="2" t="n"/>
      <c r="Q50" s="2" t="n"/>
      <c r="R50" s="2" t="n"/>
      <c r="S50" s="2" t="n"/>
      <c r="T50" s="2" t="n"/>
      <c r="U50" s="2">
        <f>IF(OR(AA50="fail",AC50="fail"),"P4",IF(N50="","",IF(N50&gt;=90,"P1",IF(N50&gt;=80,"P1",IF(N50&gt;=70,"P2",IF(N50&gt;=60,"P3","P4"))))))</f>
        <v/>
      </c>
      <c r="V50" s="2">
        <f>IF(OR(AA50="fail",AC50="fail"),"SKIP",IF(N50="","",IF(N50&gt;=90,"APPLY ASAP",IF(N50&gt;=80,"APPLY",IF(N50&gt;=70,"CONSIDER",IF(N50&gt;=60,"STRETCH","SKIP"))))))</f>
        <v/>
      </c>
      <c r="W50" s="2" t="n"/>
      <c r="X50" s="2" t="n"/>
      <c r="Y50" s="2" t="n"/>
      <c r="Z50" s="2" t="n"/>
    </row>
    <row r="51">
      <c r="A51" s="2" t="n"/>
      <c r="B51" s="2" t="n"/>
      <c r="C51" s="2" t="n"/>
      <c r="D51" s="2" t="n"/>
      <c r="E51" s="2" t="n"/>
      <c r="F51" s="2" t="n"/>
      <c r="G51" s="2" t="n"/>
      <c r="H51" s="2" t="n"/>
      <c r="I51" s="2" t="n"/>
      <c r="J51" s="2" t="n"/>
      <c r="K51" s="2" t="n"/>
      <c r="L51" s="2" t="n"/>
      <c r="M51" s="2" t="n"/>
      <c r="N51" s="2">
        <f>IF(COUNTA(O51:T51)&lt;6,"",ROUND(O51*0.3+P51*0.2+Q51*0.15+R51*0.15+S51*0.1+T51*0.1,0))</f>
        <v/>
      </c>
      <c r="O51" s="2" t="n"/>
      <c r="P51" s="2" t="n"/>
      <c r="Q51" s="2" t="n"/>
      <c r="R51" s="2" t="n"/>
      <c r="S51" s="2" t="n"/>
      <c r="T51" s="2" t="n"/>
      <c r="U51" s="2">
        <f>IF(OR(AA51="fail",AC51="fail"),"P4",IF(N51="","",IF(N51&gt;=90,"P1",IF(N51&gt;=80,"P1",IF(N51&gt;=70,"P2",IF(N51&gt;=60,"P3","P4"))))))</f>
        <v/>
      </c>
      <c r="V51" s="2">
        <f>IF(OR(AA51="fail",AC51="fail"),"SKIP",IF(N51="","",IF(N51&gt;=90,"APPLY ASAP",IF(N51&gt;=80,"APPLY",IF(N51&gt;=70,"CONSIDER",IF(N51&gt;=60,"STRETCH","SKIP"))))))</f>
        <v/>
      </c>
      <c r="W51" s="2" t="n"/>
      <c r="X51" s="2" t="n"/>
      <c r="Y51" s="2" t="n"/>
      <c r="Z51" s="2" t="n"/>
    </row>
    <row r="52">
      <c r="A52" s="2" t="n"/>
      <c r="B52" s="2" t="n"/>
      <c r="C52" s="2" t="n"/>
      <c r="D52" s="2" t="n"/>
      <c r="E52" s="2" t="n"/>
      <c r="F52" s="2" t="n"/>
      <c r="G52" s="2" t="n"/>
      <c r="H52" s="2" t="n"/>
      <c r="I52" s="2" t="n"/>
      <c r="J52" s="2" t="n"/>
      <c r="K52" s="2" t="n"/>
      <c r="L52" s="2" t="n"/>
      <c r="M52" s="2" t="n"/>
      <c r="N52" s="2">
        <f>IF(COUNTA(O52:T52)&lt;6,"",ROUND(O52*0.3+P52*0.2+Q52*0.15+R52*0.15+S52*0.1+T52*0.1,0))</f>
        <v/>
      </c>
      <c r="O52" s="2" t="n"/>
      <c r="P52" s="2" t="n"/>
      <c r="Q52" s="2" t="n"/>
      <c r="R52" s="2" t="n"/>
      <c r="S52" s="2" t="n"/>
      <c r="T52" s="2" t="n"/>
      <c r="U52" s="2">
        <f>IF(OR(AA52="fail",AC52="fail"),"P4",IF(N52="","",IF(N52&gt;=90,"P1",IF(N52&gt;=80,"P1",IF(N52&gt;=70,"P2",IF(N52&gt;=60,"P3","P4"))))))</f>
        <v/>
      </c>
      <c r="V52" s="2">
        <f>IF(OR(AA52="fail",AC52="fail"),"SKIP",IF(N52="","",IF(N52&gt;=90,"APPLY ASAP",IF(N52&gt;=80,"APPLY",IF(N52&gt;=70,"CONSIDER",IF(N52&gt;=60,"STRETCH","SKIP"))))))</f>
        <v/>
      </c>
      <c r="W52" s="2" t="n"/>
      <c r="X52" s="2" t="n"/>
      <c r="Y52" s="2" t="n"/>
      <c r="Z52" s="2" t="n"/>
    </row>
    <row r="53">
      <c r="A53" s="2" t="n"/>
      <c r="B53" s="2" t="n"/>
      <c r="C53" s="2" t="n"/>
      <c r="D53" s="2" t="n"/>
      <c r="E53" s="2" t="n"/>
      <c r="F53" s="2" t="n"/>
      <c r="G53" s="2" t="n"/>
      <c r="H53" s="2" t="n"/>
      <c r="I53" s="2" t="n"/>
      <c r="J53" s="2" t="n"/>
      <c r="K53" s="2" t="n"/>
      <c r="L53" s="2" t="n"/>
      <c r="M53" s="2" t="n"/>
      <c r="N53" s="2">
        <f>IF(COUNTA(O53:T53)&lt;6,"",ROUND(O53*0.3+P53*0.2+Q53*0.15+R53*0.15+S53*0.1+T53*0.1,0))</f>
        <v/>
      </c>
      <c r="O53" s="2" t="n"/>
      <c r="P53" s="2" t="n"/>
      <c r="Q53" s="2" t="n"/>
      <c r="R53" s="2" t="n"/>
      <c r="S53" s="2" t="n"/>
      <c r="T53" s="2" t="n"/>
      <c r="U53" s="2">
        <f>IF(OR(AA53="fail",AC53="fail"),"P4",IF(N53="","",IF(N53&gt;=90,"P1",IF(N53&gt;=80,"P1",IF(N53&gt;=70,"P2",IF(N53&gt;=60,"P3","P4"))))))</f>
        <v/>
      </c>
      <c r="V53" s="2">
        <f>IF(OR(AA53="fail",AC53="fail"),"SKIP",IF(N53="","",IF(N53&gt;=90,"APPLY ASAP",IF(N53&gt;=80,"APPLY",IF(N53&gt;=70,"CONSIDER",IF(N53&gt;=60,"STRETCH","SKIP"))))))</f>
        <v/>
      </c>
      <c r="W53" s="2" t="n"/>
      <c r="X53" s="2" t="n"/>
      <c r="Y53" s="2" t="n"/>
      <c r="Z53" s="2" t="n"/>
    </row>
    <row r="54">
      <c r="A54" s="2" t="n"/>
      <c r="B54" s="2" t="n"/>
      <c r="C54" s="2" t="n"/>
      <c r="D54" s="2" t="n"/>
      <c r="E54" s="2" t="n"/>
      <c r="F54" s="2" t="n"/>
      <c r="G54" s="2" t="n"/>
      <c r="H54" s="2" t="n"/>
      <c r="I54" s="2" t="n"/>
      <c r="J54" s="2" t="n"/>
      <c r="K54" s="2" t="n"/>
      <c r="L54" s="2" t="n"/>
      <c r="M54" s="2" t="n"/>
      <c r="N54" s="2">
        <f>IF(COUNTA(O54:T54)&lt;6,"",ROUND(O54*0.3+P54*0.2+Q54*0.15+R54*0.15+S54*0.1+T54*0.1,0))</f>
        <v/>
      </c>
      <c r="O54" s="2" t="n"/>
      <c r="P54" s="2" t="n"/>
      <c r="Q54" s="2" t="n"/>
      <c r="R54" s="2" t="n"/>
      <c r="S54" s="2" t="n"/>
      <c r="T54" s="2" t="n"/>
      <c r="U54" s="2">
        <f>IF(OR(AA54="fail",AC54="fail"),"P4",IF(N54="","",IF(N54&gt;=90,"P1",IF(N54&gt;=80,"P1",IF(N54&gt;=70,"P2",IF(N54&gt;=60,"P3","P4"))))))</f>
        <v/>
      </c>
      <c r="V54" s="2">
        <f>IF(OR(AA54="fail",AC54="fail"),"SKIP",IF(N54="","",IF(N54&gt;=90,"APPLY ASAP",IF(N54&gt;=80,"APPLY",IF(N54&gt;=70,"CONSIDER",IF(N54&gt;=60,"STRETCH","SKIP"))))))</f>
        <v/>
      </c>
      <c r="W54" s="2" t="n"/>
      <c r="X54" s="2" t="n"/>
      <c r="Y54" s="2" t="n"/>
      <c r="Z54" s="2" t="n"/>
    </row>
    <row r="55">
      <c r="A55" s="2" t="n"/>
      <c r="B55" s="2" t="n"/>
      <c r="C55" s="2" t="n"/>
      <c r="D55" s="2" t="n"/>
      <c r="E55" s="2" t="n"/>
      <c r="F55" s="2" t="n"/>
      <c r="G55" s="2" t="n"/>
      <c r="H55" s="2" t="n"/>
      <c r="I55" s="2" t="n"/>
      <c r="J55" s="2" t="n"/>
      <c r="K55" s="2" t="n"/>
      <c r="L55" s="2" t="n"/>
      <c r="M55" s="2" t="n"/>
      <c r="N55" s="2">
        <f>IF(COUNTA(O55:T55)&lt;6,"",ROUND(O55*0.3+P55*0.2+Q55*0.15+R55*0.15+S55*0.1+T55*0.1,0))</f>
        <v/>
      </c>
      <c r="O55" s="2" t="n"/>
      <c r="P55" s="2" t="n"/>
      <c r="Q55" s="2" t="n"/>
      <c r="R55" s="2" t="n"/>
      <c r="S55" s="2" t="n"/>
      <c r="T55" s="2" t="n"/>
      <c r="U55" s="2">
        <f>IF(OR(AA55="fail",AC55="fail"),"P4",IF(N55="","",IF(N55&gt;=90,"P1",IF(N55&gt;=80,"P1",IF(N55&gt;=70,"P2",IF(N55&gt;=60,"P3","P4"))))))</f>
        <v/>
      </c>
      <c r="V55" s="2">
        <f>IF(OR(AA55="fail",AC55="fail"),"SKIP",IF(N55="","",IF(N55&gt;=90,"APPLY ASAP",IF(N55&gt;=80,"APPLY",IF(N55&gt;=70,"CONSIDER",IF(N55&gt;=60,"STRETCH","SKIP"))))))</f>
        <v/>
      </c>
      <c r="W55" s="2" t="n"/>
      <c r="X55" s="2" t="n"/>
      <c r="Y55" s="2" t="n"/>
      <c r="Z55" s="2" t="n"/>
    </row>
    <row r="56">
      <c r="A56" s="2" t="n"/>
      <c r="B56" s="2" t="n"/>
      <c r="C56" s="2" t="n"/>
      <c r="D56" s="2" t="n"/>
      <c r="E56" s="2" t="n"/>
      <c r="F56" s="2" t="n"/>
      <c r="G56" s="2" t="n"/>
      <c r="H56" s="2" t="n"/>
      <c r="I56" s="2" t="n"/>
      <c r="J56" s="2" t="n"/>
      <c r="K56" s="2" t="n"/>
      <c r="L56" s="2" t="n"/>
      <c r="M56" s="2" t="n"/>
      <c r="N56" s="2">
        <f>IF(COUNTA(O56:T56)&lt;6,"",ROUND(O56*0.3+P56*0.2+Q56*0.15+R56*0.15+S56*0.1+T56*0.1,0))</f>
        <v/>
      </c>
      <c r="O56" s="2" t="n"/>
      <c r="P56" s="2" t="n"/>
      <c r="Q56" s="2" t="n"/>
      <c r="R56" s="2" t="n"/>
      <c r="S56" s="2" t="n"/>
      <c r="T56" s="2" t="n"/>
      <c r="U56" s="2">
        <f>IF(OR(AA56="fail",AC56="fail"),"P4",IF(N56="","",IF(N56&gt;=90,"P1",IF(N56&gt;=80,"P1",IF(N56&gt;=70,"P2",IF(N56&gt;=60,"P3","P4"))))))</f>
        <v/>
      </c>
      <c r="V56" s="2">
        <f>IF(OR(AA56="fail",AC56="fail"),"SKIP",IF(N56="","",IF(N56&gt;=90,"APPLY ASAP",IF(N56&gt;=80,"APPLY",IF(N56&gt;=70,"CONSIDER",IF(N56&gt;=60,"STRETCH","SKIP"))))))</f>
        <v/>
      </c>
      <c r="W56" s="2" t="n"/>
      <c r="X56" s="2" t="n"/>
      <c r="Y56" s="2" t="n"/>
      <c r="Z56" s="2" t="n"/>
    </row>
    <row r="57">
      <c r="A57" s="2" t="n"/>
      <c r="B57" s="2" t="n"/>
      <c r="C57" s="2" t="n"/>
      <c r="D57" s="2" t="n"/>
      <c r="E57" s="2" t="n"/>
      <c r="F57" s="2" t="n"/>
      <c r="G57" s="2" t="n"/>
      <c r="H57" s="2" t="n"/>
      <c r="I57" s="2" t="n"/>
      <c r="J57" s="2" t="n"/>
      <c r="K57" s="2" t="n"/>
      <c r="L57" s="2" t="n"/>
      <c r="M57" s="2" t="n"/>
      <c r="N57" s="2">
        <f>IF(COUNTA(O57:T57)&lt;6,"",ROUND(O57*0.3+P57*0.2+Q57*0.15+R57*0.15+S57*0.1+T57*0.1,0))</f>
        <v/>
      </c>
      <c r="O57" s="2" t="n"/>
      <c r="P57" s="2" t="n"/>
      <c r="Q57" s="2" t="n"/>
      <c r="R57" s="2" t="n"/>
      <c r="S57" s="2" t="n"/>
      <c r="T57" s="2" t="n"/>
      <c r="U57" s="2">
        <f>IF(OR(AA57="fail",AC57="fail"),"P4",IF(N57="","",IF(N57&gt;=90,"P1",IF(N57&gt;=80,"P1",IF(N57&gt;=70,"P2",IF(N57&gt;=60,"P3","P4"))))))</f>
        <v/>
      </c>
      <c r="V57" s="2">
        <f>IF(OR(AA57="fail",AC57="fail"),"SKIP",IF(N57="","",IF(N57&gt;=90,"APPLY ASAP",IF(N57&gt;=80,"APPLY",IF(N57&gt;=70,"CONSIDER",IF(N57&gt;=60,"STRETCH","SKIP"))))))</f>
        <v/>
      </c>
      <c r="W57" s="2" t="n"/>
      <c r="X57" s="2" t="n"/>
      <c r="Y57" s="2" t="n"/>
      <c r="Z57" s="2" t="n"/>
    </row>
    <row r="58">
      <c r="A58" s="2" t="n"/>
      <c r="B58" s="2" t="n"/>
      <c r="C58" s="2" t="n"/>
      <c r="D58" s="2" t="n"/>
      <c r="E58" s="2" t="n"/>
      <c r="F58" s="2" t="n"/>
      <c r="G58" s="2" t="n"/>
      <c r="H58" s="2" t="n"/>
      <c r="I58" s="2" t="n"/>
      <c r="J58" s="2" t="n"/>
      <c r="K58" s="2" t="n"/>
      <c r="L58" s="2" t="n"/>
      <c r="M58" s="2" t="n"/>
      <c r="N58" s="2">
        <f>IF(COUNTA(O58:T58)&lt;6,"",ROUND(O58*0.3+P58*0.2+Q58*0.15+R58*0.15+S58*0.1+T58*0.1,0))</f>
        <v/>
      </c>
      <c r="O58" s="2" t="n"/>
      <c r="P58" s="2" t="n"/>
      <c r="Q58" s="2" t="n"/>
      <c r="R58" s="2" t="n"/>
      <c r="S58" s="2" t="n"/>
      <c r="T58" s="2" t="n"/>
      <c r="U58" s="2">
        <f>IF(OR(AA58="fail",AC58="fail"),"P4",IF(N58="","",IF(N58&gt;=90,"P1",IF(N58&gt;=80,"P1",IF(N58&gt;=70,"P2",IF(N58&gt;=60,"P3","P4"))))))</f>
        <v/>
      </c>
      <c r="V58" s="2">
        <f>IF(OR(AA58="fail",AC58="fail"),"SKIP",IF(N58="","",IF(N58&gt;=90,"APPLY ASAP",IF(N58&gt;=80,"APPLY",IF(N58&gt;=70,"CONSIDER",IF(N58&gt;=60,"STRETCH","SKIP"))))))</f>
        <v/>
      </c>
      <c r="W58" s="2" t="n"/>
      <c r="X58" s="2" t="n"/>
      <c r="Y58" s="2" t="n"/>
      <c r="Z58" s="2" t="n"/>
    </row>
    <row r="59">
      <c r="A59" s="2" t="n"/>
      <c r="B59" s="2" t="n"/>
      <c r="C59" s="2" t="n"/>
      <c r="D59" s="2" t="n"/>
      <c r="E59" s="2" t="n"/>
      <c r="F59" s="2" t="n"/>
      <c r="G59" s="2" t="n"/>
      <c r="H59" s="2" t="n"/>
      <c r="I59" s="2" t="n"/>
      <c r="J59" s="2" t="n"/>
      <c r="K59" s="2" t="n"/>
      <c r="L59" s="2" t="n"/>
      <c r="M59" s="2" t="n"/>
      <c r="N59" s="2">
        <f>IF(COUNTA(O59:T59)&lt;6,"",ROUND(O59*0.3+P59*0.2+Q59*0.15+R59*0.15+S59*0.1+T59*0.1,0))</f>
        <v/>
      </c>
      <c r="O59" s="2" t="n"/>
      <c r="P59" s="2" t="n"/>
      <c r="Q59" s="2" t="n"/>
      <c r="R59" s="2" t="n"/>
      <c r="S59" s="2" t="n"/>
      <c r="T59" s="2" t="n"/>
      <c r="U59" s="2">
        <f>IF(OR(AA59="fail",AC59="fail"),"P4",IF(N59="","",IF(N59&gt;=90,"P1",IF(N59&gt;=80,"P1",IF(N59&gt;=70,"P2",IF(N59&gt;=60,"P3","P4"))))))</f>
        <v/>
      </c>
      <c r="V59" s="2">
        <f>IF(OR(AA59="fail",AC59="fail"),"SKIP",IF(N59="","",IF(N59&gt;=90,"APPLY ASAP",IF(N59&gt;=80,"APPLY",IF(N59&gt;=70,"CONSIDER",IF(N59&gt;=60,"STRETCH","SKIP"))))))</f>
        <v/>
      </c>
      <c r="W59" s="2" t="n"/>
      <c r="X59" s="2" t="n"/>
      <c r="Y59" s="2" t="n"/>
      <c r="Z59" s="2" t="n"/>
    </row>
    <row r="60">
      <c r="A60" s="2" t="n"/>
      <c r="B60" s="2" t="n"/>
      <c r="C60" s="2" t="n"/>
      <c r="D60" s="2" t="n"/>
      <c r="E60" s="2" t="n"/>
      <c r="F60" s="2" t="n"/>
      <c r="G60" s="2" t="n"/>
      <c r="H60" s="2" t="n"/>
      <c r="I60" s="2" t="n"/>
      <c r="J60" s="2" t="n"/>
      <c r="K60" s="2" t="n"/>
      <c r="L60" s="2" t="n"/>
      <c r="M60" s="2" t="n"/>
      <c r="N60" s="2">
        <f>IF(COUNTA(O60:T60)&lt;6,"",ROUND(O60*0.3+P60*0.2+Q60*0.15+R60*0.15+S60*0.1+T60*0.1,0))</f>
        <v/>
      </c>
      <c r="O60" s="2" t="n"/>
      <c r="P60" s="2" t="n"/>
      <c r="Q60" s="2" t="n"/>
      <c r="R60" s="2" t="n"/>
      <c r="S60" s="2" t="n"/>
      <c r="T60" s="2" t="n"/>
      <c r="U60" s="2">
        <f>IF(OR(AA60="fail",AC60="fail"),"P4",IF(N60="","",IF(N60&gt;=90,"P1",IF(N60&gt;=80,"P1",IF(N60&gt;=70,"P2",IF(N60&gt;=60,"P3","P4"))))))</f>
        <v/>
      </c>
      <c r="V60" s="2">
        <f>IF(OR(AA60="fail",AC60="fail"),"SKIP",IF(N60="","",IF(N60&gt;=90,"APPLY ASAP",IF(N60&gt;=80,"APPLY",IF(N60&gt;=70,"CONSIDER",IF(N60&gt;=60,"STRETCH","SKIP"))))))</f>
        <v/>
      </c>
      <c r="W60" s="2" t="n"/>
      <c r="X60" s="2" t="n"/>
      <c r="Y60" s="2" t="n"/>
      <c r="Z60" s="2" t="n"/>
    </row>
    <row r="61">
      <c r="A61" s="2" t="n"/>
      <c r="B61" s="2" t="n"/>
      <c r="C61" s="2" t="n"/>
      <c r="D61" s="2" t="n"/>
      <c r="E61" s="2" t="n"/>
      <c r="F61" s="2" t="n"/>
      <c r="G61" s="2" t="n"/>
      <c r="H61" s="2" t="n"/>
      <c r="I61" s="2" t="n"/>
      <c r="J61" s="2" t="n"/>
      <c r="K61" s="2" t="n"/>
      <c r="L61" s="2" t="n"/>
      <c r="M61" s="2" t="n"/>
      <c r="N61" s="2">
        <f>IF(COUNTA(O61:T61)&lt;6,"",ROUND(O61*0.3+P61*0.2+Q61*0.15+R61*0.15+S61*0.1+T61*0.1,0))</f>
        <v/>
      </c>
      <c r="O61" s="2" t="n"/>
      <c r="P61" s="2" t="n"/>
      <c r="Q61" s="2" t="n"/>
      <c r="R61" s="2" t="n"/>
      <c r="S61" s="2" t="n"/>
      <c r="T61" s="2" t="n"/>
      <c r="U61" s="2">
        <f>IF(OR(AA61="fail",AC61="fail"),"P4",IF(N61="","",IF(N61&gt;=90,"P1",IF(N61&gt;=80,"P1",IF(N61&gt;=70,"P2",IF(N61&gt;=60,"P3","P4"))))))</f>
        <v/>
      </c>
      <c r="V61" s="2">
        <f>IF(OR(AA61="fail",AC61="fail"),"SKIP",IF(N61="","",IF(N61&gt;=90,"APPLY ASAP",IF(N61&gt;=80,"APPLY",IF(N61&gt;=70,"CONSIDER",IF(N61&gt;=60,"STRETCH","SKIP"))))))</f>
        <v/>
      </c>
      <c r="W61" s="2" t="n"/>
      <c r="X61" s="2" t="n"/>
      <c r="Y61" s="2" t="n"/>
      <c r="Z61" s="2" t="n"/>
    </row>
    <row r="62">
      <c r="A62" s="2" t="n"/>
      <c r="B62" s="2" t="n"/>
      <c r="C62" s="2" t="n"/>
      <c r="D62" s="2" t="n"/>
      <c r="E62" s="2" t="n"/>
      <c r="F62" s="2" t="n"/>
      <c r="G62" s="2" t="n"/>
      <c r="H62" s="2" t="n"/>
      <c r="I62" s="2" t="n"/>
      <c r="J62" s="2" t="n"/>
      <c r="K62" s="2" t="n"/>
      <c r="L62" s="2" t="n"/>
      <c r="M62" s="2" t="n"/>
      <c r="N62" s="2">
        <f>IF(COUNTA(O62:T62)&lt;6,"",ROUND(O62*0.3+P62*0.2+Q62*0.15+R62*0.15+S62*0.1+T62*0.1,0))</f>
        <v/>
      </c>
      <c r="O62" s="2" t="n"/>
      <c r="P62" s="2" t="n"/>
      <c r="Q62" s="2" t="n"/>
      <c r="R62" s="2" t="n"/>
      <c r="S62" s="2" t="n"/>
      <c r="T62" s="2" t="n"/>
      <c r="U62" s="2">
        <f>IF(OR(AA62="fail",AC62="fail"),"P4",IF(N62="","",IF(N62&gt;=90,"P1",IF(N62&gt;=80,"P1",IF(N62&gt;=70,"P2",IF(N62&gt;=60,"P3","P4"))))))</f>
        <v/>
      </c>
      <c r="V62" s="2">
        <f>IF(OR(AA62="fail",AC62="fail"),"SKIP",IF(N62="","",IF(N62&gt;=90,"APPLY ASAP",IF(N62&gt;=80,"APPLY",IF(N62&gt;=70,"CONSIDER",IF(N62&gt;=60,"STRETCH","SKIP"))))))</f>
        <v/>
      </c>
      <c r="W62" s="2" t="n"/>
      <c r="X62" s="2" t="n"/>
      <c r="Y62" s="2" t="n"/>
      <c r="Z62" s="2" t="n"/>
    </row>
    <row r="63">
      <c r="A63" s="2" t="n"/>
      <c r="B63" s="2" t="n"/>
      <c r="C63" s="2" t="n"/>
      <c r="D63" s="2" t="n"/>
      <c r="E63" s="2" t="n"/>
      <c r="F63" s="2" t="n"/>
      <c r="G63" s="2" t="n"/>
      <c r="H63" s="2" t="n"/>
      <c r="I63" s="2" t="n"/>
      <c r="J63" s="2" t="n"/>
      <c r="K63" s="2" t="n"/>
      <c r="L63" s="2" t="n"/>
      <c r="M63" s="2" t="n"/>
      <c r="N63" s="2">
        <f>IF(COUNTA(O63:T63)&lt;6,"",ROUND(O63*0.3+P63*0.2+Q63*0.15+R63*0.15+S63*0.1+T63*0.1,0))</f>
        <v/>
      </c>
      <c r="O63" s="2" t="n"/>
      <c r="P63" s="2" t="n"/>
      <c r="Q63" s="2" t="n"/>
      <c r="R63" s="2" t="n"/>
      <c r="S63" s="2" t="n"/>
      <c r="T63" s="2" t="n"/>
      <c r="U63" s="2">
        <f>IF(OR(AA63="fail",AC63="fail"),"P4",IF(N63="","",IF(N63&gt;=90,"P1",IF(N63&gt;=80,"P1",IF(N63&gt;=70,"P2",IF(N63&gt;=60,"P3","P4"))))))</f>
        <v/>
      </c>
      <c r="V63" s="2">
        <f>IF(OR(AA63="fail",AC63="fail"),"SKIP",IF(N63="","",IF(N63&gt;=90,"APPLY ASAP",IF(N63&gt;=80,"APPLY",IF(N63&gt;=70,"CONSIDER",IF(N63&gt;=60,"STRETCH","SKIP"))))))</f>
        <v/>
      </c>
      <c r="W63" s="2" t="n"/>
      <c r="X63" s="2" t="n"/>
      <c r="Y63" s="2" t="n"/>
      <c r="Z63" s="2" t="n"/>
    </row>
    <row r="64">
      <c r="A64" s="2" t="n"/>
      <c r="B64" s="2" t="n"/>
      <c r="C64" s="2" t="n"/>
      <c r="D64" s="2" t="n"/>
      <c r="E64" s="2" t="n"/>
      <c r="F64" s="2" t="n"/>
      <c r="G64" s="2" t="n"/>
      <c r="H64" s="2" t="n"/>
      <c r="I64" s="2" t="n"/>
      <c r="J64" s="2" t="n"/>
      <c r="K64" s="2" t="n"/>
      <c r="L64" s="2" t="n"/>
      <c r="M64" s="2" t="n"/>
      <c r="N64" s="2">
        <f>IF(COUNTA(O64:T64)&lt;6,"",ROUND(O64*0.3+P64*0.2+Q64*0.15+R64*0.15+S64*0.1+T64*0.1,0))</f>
        <v/>
      </c>
      <c r="O64" s="2" t="n"/>
      <c r="P64" s="2" t="n"/>
      <c r="Q64" s="2" t="n"/>
      <c r="R64" s="2" t="n"/>
      <c r="S64" s="2" t="n"/>
      <c r="T64" s="2" t="n"/>
      <c r="U64" s="2">
        <f>IF(OR(AA64="fail",AC64="fail"),"P4",IF(N64="","",IF(N64&gt;=90,"P1",IF(N64&gt;=80,"P1",IF(N64&gt;=70,"P2",IF(N64&gt;=60,"P3","P4"))))))</f>
        <v/>
      </c>
      <c r="V64" s="2">
        <f>IF(OR(AA64="fail",AC64="fail"),"SKIP",IF(N64="","",IF(N64&gt;=90,"APPLY ASAP",IF(N64&gt;=80,"APPLY",IF(N64&gt;=70,"CONSIDER",IF(N64&gt;=60,"STRETCH","SKIP"))))))</f>
        <v/>
      </c>
      <c r="W64" s="2" t="n"/>
      <c r="X64" s="2" t="n"/>
      <c r="Y64" s="2" t="n"/>
      <c r="Z64" s="2" t="n"/>
    </row>
    <row r="65">
      <c r="A65" s="2" t="n"/>
      <c r="B65" s="2" t="n"/>
      <c r="C65" s="2" t="n"/>
      <c r="D65" s="2" t="n"/>
      <c r="E65" s="2" t="n"/>
      <c r="F65" s="2" t="n"/>
      <c r="G65" s="2" t="n"/>
      <c r="H65" s="2" t="n"/>
      <c r="I65" s="2" t="n"/>
      <c r="J65" s="2" t="n"/>
      <c r="K65" s="2" t="n"/>
      <c r="L65" s="2" t="n"/>
      <c r="M65" s="2" t="n"/>
      <c r="N65" s="2">
        <f>IF(COUNTA(O65:T65)&lt;6,"",ROUND(O65*0.3+P65*0.2+Q65*0.15+R65*0.15+S65*0.1+T65*0.1,0))</f>
        <v/>
      </c>
      <c r="O65" s="2" t="n"/>
      <c r="P65" s="2" t="n"/>
      <c r="Q65" s="2" t="n"/>
      <c r="R65" s="2" t="n"/>
      <c r="S65" s="2" t="n"/>
      <c r="T65" s="2" t="n"/>
      <c r="U65" s="2">
        <f>IF(OR(AA65="fail",AC65="fail"),"P4",IF(N65="","",IF(N65&gt;=90,"P1",IF(N65&gt;=80,"P1",IF(N65&gt;=70,"P2",IF(N65&gt;=60,"P3","P4"))))))</f>
        <v/>
      </c>
      <c r="V65" s="2">
        <f>IF(OR(AA65="fail",AC65="fail"),"SKIP",IF(N65="","",IF(N65&gt;=90,"APPLY ASAP",IF(N65&gt;=80,"APPLY",IF(N65&gt;=70,"CONSIDER",IF(N65&gt;=60,"STRETCH","SKIP"))))))</f>
        <v/>
      </c>
      <c r="W65" s="2" t="n"/>
      <c r="X65" s="2" t="n"/>
      <c r="Y65" s="2" t="n"/>
      <c r="Z65" s="2" t="n"/>
    </row>
    <row r="66">
      <c r="A66" s="2" t="n"/>
      <c r="B66" s="2" t="n"/>
      <c r="C66" s="2" t="n"/>
      <c r="D66" s="2" t="n"/>
      <c r="E66" s="2" t="n"/>
      <c r="F66" s="2" t="n"/>
      <c r="G66" s="2" t="n"/>
      <c r="H66" s="2" t="n"/>
      <c r="I66" s="2" t="n"/>
      <c r="J66" s="2" t="n"/>
      <c r="K66" s="2" t="n"/>
      <c r="L66" s="2" t="n"/>
      <c r="M66" s="2" t="n"/>
      <c r="N66" s="2">
        <f>IF(COUNTA(O66:T66)&lt;6,"",ROUND(O66*0.3+P66*0.2+Q66*0.15+R66*0.15+S66*0.1+T66*0.1,0))</f>
        <v/>
      </c>
      <c r="O66" s="2" t="n"/>
      <c r="P66" s="2" t="n"/>
      <c r="Q66" s="2" t="n"/>
      <c r="R66" s="2" t="n"/>
      <c r="S66" s="2" t="n"/>
      <c r="T66" s="2" t="n"/>
      <c r="U66" s="2">
        <f>IF(OR(AA66="fail",AC66="fail"),"P4",IF(N66="","",IF(N66&gt;=90,"P1",IF(N66&gt;=80,"P1",IF(N66&gt;=70,"P2",IF(N66&gt;=60,"P3","P4"))))))</f>
        <v/>
      </c>
      <c r="V66" s="2">
        <f>IF(OR(AA66="fail",AC66="fail"),"SKIP",IF(N66="","",IF(N66&gt;=90,"APPLY ASAP",IF(N66&gt;=80,"APPLY",IF(N66&gt;=70,"CONSIDER",IF(N66&gt;=60,"STRETCH","SKIP"))))))</f>
        <v/>
      </c>
      <c r="W66" s="2" t="n"/>
      <c r="X66" s="2" t="n"/>
      <c r="Y66" s="2" t="n"/>
      <c r="Z66" s="2" t="n"/>
    </row>
    <row r="67">
      <c r="A67" s="2" t="n"/>
      <c r="B67" s="2" t="n"/>
      <c r="C67" s="2" t="n"/>
      <c r="D67" s="2" t="n"/>
      <c r="E67" s="2" t="n"/>
      <c r="F67" s="2" t="n"/>
      <c r="G67" s="2" t="n"/>
      <c r="H67" s="2" t="n"/>
      <c r="I67" s="2" t="n"/>
      <c r="J67" s="2" t="n"/>
      <c r="K67" s="2" t="n"/>
      <c r="L67" s="2" t="n"/>
      <c r="M67" s="2" t="n"/>
      <c r="N67" s="2">
        <f>IF(COUNTA(O67:T67)&lt;6,"",ROUND(O67*0.3+P67*0.2+Q67*0.15+R67*0.15+S67*0.1+T67*0.1,0))</f>
        <v/>
      </c>
      <c r="O67" s="2" t="n"/>
      <c r="P67" s="2" t="n"/>
      <c r="Q67" s="2" t="n"/>
      <c r="R67" s="2" t="n"/>
      <c r="S67" s="2" t="n"/>
      <c r="T67" s="2" t="n"/>
      <c r="U67" s="2">
        <f>IF(OR(AA67="fail",AC67="fail"),"P4",IF(N67="","",IF(N67&gt;=90,"P1",IF(N67&gt;=80,"P1",IF(N67&gt;=70,"P2",IF(N67&gt;=60,"P3","P4"))))))</f>
        <v/>
      </c>
      <c r="V67" s="2">
        <f>IF(OR(AA67="fail",AC67="fail"),"SKIP",IF(N67="","",IF(N67&gt;=90,"APPLY ASAP",IF(N67&gt;=80,"APPLY",IF(N67&gt;=70,"CONSIDER",IF(N67&gt;=60,"STRETCH","SKIP"))))))</f>
        <v/>
      </c>
      <c r="W67" s="2" t="n"/>
      <c r="X67" s="2" t="n"/>
      <c r="Y67" s="2" t="n"/>
      <c r="Z67" s="2" t="n"/>
    </row>
    <row r="68">
      <c r="A68" s="2" t="n"/>
      <c r="B68" s="2" t="n"/>
      <c r="C68" s="2" t="n"/>
      <c r="D68" s="2" t="n"/>
      <c r="E68" s="2" t="n"/>
      <c r="F68" s="2" t="n"/>
      <c r="G68" s="2" t="n"/>
      <c r="H68" s="2" t="n"/>
      <c r="I68" s="2" t="n"/>
      <c r="J68" s="2" t="n"/>
      <c r="K68" s="2" t="n"/>
      <c r="L68" s="2" t="n"/>
      <c r="M68" s="2" t="n"/>
      <c r="N68" s="2">
        <f>IF(COUNTA(O68:T68)&lt;6,"",ROUND(O68*0.3+P68*0.2+Q68*0.15+R68*0.15+S68*0.1+T68*0.1,0))</f>
        <v/>
      </c>
      <c r="O68" s="2" t="n"/>
      <c r="P68" s="2" t="n"/>
      <c r="Q68" s="2" t="n"/>
      <c r="R68" s="2" t="n"/>
      <c r="S68" s="2" t="n"/>
      <c r="T68" s="2" t="n"/>
      <c r="U68" s="2">
        <f>IF(OR(AA68="fail",AC68="fail"),"P4",IF(N68="","",IF(N68&gt;=90,"P1",IF(N68&gt;=80,"P1",IF(N68&gt;=70,"P2",IF(N68&gt;=60,"P3","P4"))))))</f>
        <v/>
      </c>
      <c r="V68" s="2">
        <f>IF(OR(AA68="fail",AC68="fail"),"SKIP",IF(N68="","",IF(N68&gt;=90,"APPLY ASAP",IF(N68&gt;=80,"APPLY",IF(N68&gt;=70,"CONSIDER",IF(N68&gt;=60,"STRETCH","SKIP"))))))</f>
        <v/>
      </c>
      <c r="W68" s="2" t="n"/>
      <c r="X68" s="2" t="n"/>
      <c r="Y68" s="2" t="n"/>
      <c r="Z68" s="2" t="n"/>
    </row>
    <row r="69">
      <c r="A69" s="2" t="n"/>
      <c r="B69" s="2" t="n"/>
      <c r="C69" s="2" t="n"/>
      <c r="D69" s="2" t="n"/>
      <c r="E69" s="2" t="n"/>
      <c r="F69" s="2" t="n"/>
      <c r="G69" s="2" t="n"/>
      <c r="H69" s="2" t="n"/>
      <c r="I69" s="2" t="n"/>
      <c r="J69" s="2" t="n"/>
      <c r="K69" s="2" t="n"/>
      <c r="L69" s="2" t="n"/>
      <c r="M69" s="2" t="n"/>
      <c r="N69" s="2">
        <f>IF(COUNTA(O69:T69)&lt;6,"",ROUND(O69*0.3+P69*0.2+Q69*0.15+R69*0.15+S69*0.1+T69*0.1,0))</f>
        <v/>
      </c>
      <c r="O69" s="2" t="n"/>
      <c r="P69" s="2" t="n"/>
      <c r="Q69" s="2" t="n"/>
      <c r="R69" s="2" t="n"/>
      <c r="S69" s="2" t="n"/>
      <c r="T69" s="2" t="n"/>
      <c r="U69" s="2">
        <f>IF(OR(AA69="fail",AC69="fail"),"P4",IF(N69="","",IF(N69&gt;=90,"P1",IF(N69&gt;=80,"P1",IF(N69&gt;=70,"P2",IF(N69&gt;=60,"P3","P4"))))))</f>
        <v/>
      </c>
      <c r="V69" s="2">
        <f>IF(OR(AA69="fail",AC69="fail"),"SKIP",IF(N69="","",IF(N69&gt;=90,"APPLY ASAP",IF(N69&gt;=80,"APPLY",IF(N69&gt;=70,"CONSIDER",IF(N69&gt;=60,"STRETCH","SKIP"))))))</f>
        <v/>
      </c>
      <c r="W69" s="2" t="n"/>
      <c r="X69" s="2" t="n"/>
      <c r="Y69" s="2" t="n"/>
      <c r="Z69" s="2" t="n"/>
    </row>
    <row r="70">
      <c r="A70" s="2" t="n"/>
      <c r="B70" s="2" t="n"/>
      <c r="C70" s="2" t="n"/>
      <c r="D70" s="2" t="n"/>
      <c r="E70" s="2" t="n"/>
      <c r="F70" s="2" t="n"/>
      <c r="G70" s="2" t="n"/>
      <c r="H70" s="2" t="n"/>
      <c r="I70" s="2" t="n"/>
      <c r="J70" s="2" t="n"/>
      <c r="K70" s="2" t="n"/>
      <c r="L70" s="2" t="n"/>
      <c r="M70" s="2" t="n"/>
      <c r="N70" s="2">
        <f>IF(COUNTA(O70:T70)&lt;6,"",ROUND(O70*0.3+P70*0.2+Q70*0.15+R70*0.15+S70*0.1+T70*0.1,0))</f>
        <v/>
      </c>
      <c r="O70" s="2" t="n"/>
      <c r="P70" s="2" t="n"/>
      <c r="Q70" s="2" t="n"/>
      <c r="R70" s="2" t="n"/>
      <c r="S70" s="2" t="n"/>
      <c r="T70" s="2" t="n"/>
      <c r="U70" s="2">
        <f>IF(OR(AA70="fail",AC70="fail"),"P4",IF(N70="","",IF(N70&gt;=90,"P1",IF(N70&gt;=80,"P1",IF(N70&gt;=70,"P2",IF(N70&gt;=60,"P3","P4"))))))</f>
        <v/>
      </c>
      <c r="V70" s="2">
        <f>IF(OR(AA70="fail",AC70="fail"),"SKIP",IF(N70="","",IF(N70&gt;=90,"APPLY ASAP",IF(N70&gt;=80,"APPLY",IF(N70&gt;=70,"CONSIDER",IF(N70&gt;=60,"STRETCH","SKIP"))))))</f>
        <v/>
      </c>
      <c r="W70" s="2" t="n"/>
      <c r="X70" s="2" t="n"/>
      <c r="Y70" s="2" t="n"/>
      <c r="Z70" s="2" t="n"/>
    </row>
    <row r="71">
      <c r="A71" s="2" t="n"/>
      <c r="B71" s="2" t="n"/>
      <c r="C71" s="2" t="n"/>
      <c r="D71" s="2" t="n"/>
      <c r="E71" s="2" t="n"/>
      <c r="F71" s="2" t="n"/>
      <c r="G71" s="2" t="n"/>
      <c r="H71" s="2" t="n"/>
      <c r="I71" s="2" t="n"/>
      <c r="J71" s="2" t="n"/>
      <c r="K71" s="2" t="n"/>
      <c r="L71" s="2" t="n"/>
      <c r="M71" s="2" t="n"/>
      <c r="N71" s="2">
        <f>IF(COUNTA(O71:T71)&lt;6,"",ROUND(O71*0.3+P71*0.2+Q71*0.15+R71*0.15+S71*0.1+T71*0.1,0))</f>
        <v/>
      </c>
      <c r="O71" s="2" t="n"/>
      <c r="P71" s="2" t="n"/>
      <c r="Q71" s="2" t="n"/>
      <c r="R71" s="2" t="n"/>
      <c r="S71" s="2" t="n"/>
      <c r="T71" s="2" t="n"/>
      <c r="U71" s="2">
        <f>IF(OR(AA71="fail",AC71="fail"),"P4",IF(N71="","",IF(N71&gt;=90,"P1",IF(N71&gt;=80,"P1",IF(N71&gt;=70,"P2",IF(N71&gt;=60,"P3","P4"))))))</f>
        <v/>
      </c>
      <c r="V71" s="2">
        <f>IF(OR(AA71="fail",AC71="fail"),"SKIP",IF(N71="","",IF(N71&gt;=90,"APPLY ASAP",IF(N71&gt;=80,"APPLY",IF(N71&gt;=70,"CONSIDER",IF(N71&gt;=60,"STRETCH","SKIP"))))))</f>
        <v/>
      </c>
      <c r="W71" s="2" t="n"/>
      <c r="X71" s="2" t="n"/>
      <c r="Y71" s="2" t="n"/>
      <c r="Z71" s="2" t="n"/>
    </row>
    <row r="72">
      <c r="A72" s="2" t="n"/>
      <c r="B72" s="2" t="n"/>
      <c r="C72" s="2" t="n"/>
      <c r="D72" s="2" t="n"/>
      <c r="E72" s="2" t="n"/>
      <c r="F72" s="2" t="n"/>
      <c r="G72" s="2" t="n"/>
      <c r="H72" s="2" t="n"/>
      <c r="I72" s="2" t="n"/>
      <c r="J72" s="2" t="n"/>
      <c r="K72" s="2" t="n"/>
      <c r="L72" s="2" t="n"/>
      <c r="M72" s="2" t="n"/>
      <c r="N72" s="2">
        <f>IF(COUNTA(O72:T72)&lt;6,"",ROUND(O72*0.3+P72*0.2+Q72*0.15+R72*0.15+S72*0.1+T72*0.1,0))</f>
        <v/>
      </c>
      <c r="O72" s="2" t="n"/>
      <c r="P72" s="2" t="n"/>
      <c r="Q72" s="2" t="n"/>
      <c r="R72" s="2" t="n"/>
      <c r="S72" s="2" t="n"/>
      <c r="T72" s="2" t="n"/>
      <c r="U72" s="2">
        <f>IF(OR(AA72="fail",AC72="fail"),"P4",IF(N72="","",IF(N72&gt;=90,"P1",IF(N72&gt;=80,"P1",IF(N72&gt;=70,"P2",IF(N72&gt;=60,"P3","P4"))))))</f>
        <v/>
      </c>
      <c r="V72" s="2">
        <f>IF(OR(AA72="fail",AC72="fail"),"SKIP",IF(N72="","",IF(N72&gt;=90,"APPLY ASAP",IF(N72&gt;=80,"APPLY",IF(N72&gt;=70,"CONSIDER",IF(N72&gt;=60,"STRETCH","SKIP"))))))</f>
        <v/>
      </c>
      <c r="W72" s="2" t="n"/>
      <c r="X72" s="2" t="n"/>
      <c r="Y72" s="2" t="n"/>
      <c r="Z72" s="2" t="n"/>
    </row>
    <row r="73">
      <c r="A73" s="2" t="n"/>
      <c r="B73" s="2" t="n"/>
      <c r="C73" s="2" t="n"/>
      <c r="D73" s="2" t="n"/>
      <c r="E73" s="2" t="n"/>
      <c r="F73" s="2" t="n"/>
      <c r="G73" s="2" t="n"/>
      <c r="H73" s="2" t="n"/>
      <c r="I73" s="2" t="n"/>
      <c r="J73" s="2" t="n"/>
      <c r="K73" s="2" t="n"/>
      <c r="L73" s="2" t="n"/>
      <c r="M73" s="2" t="n"/>
      <c r="N73" s="2">
        <f>IF(COUNTA(O73:T73)&lt;6,"",ROUND(O73*0.3+P73*0.2+Q73*0.15+R73*0.15+S73*0.1+T73*0.1,0))</f>
        <v/>
      </c>
      <c r="O73" s="2" t="n"/>
      <c r="P73" s="2" t="n"/>
      <c r="Q73" s="2" t="n"/>
      <c r="R73" s="2" t="n"/>
      <c r="S73" s="2" t="n"/>
      <c r="T73" s="2" t="n"/>
      <c r="U73" s="2">
        <f>IF(OR(AA73="fail",AC73="fail"),"P4",IF(N73="","",IF(N73&gt;=90,"P1",IF(N73&gt;=80,"P1",IF(N73&gt;=70,"P2",IF(N73&gt;=60,"P3","P4"))))))</f>
        <v/>
      </c>
      <c r="V73" s="2">
        <f>IF(OR(AA73="fail",AC73="fail"),"SKIP",IF(N73="","",IF(N73&gt;=90,"APPLY ASAP",IF(N73&gt;=80,"APPLY",IF(N73&gt;=70,"CONSIDER",IF(N73&gt;=60,"STRETCH","SKIP"))))))</f>
        <v/>
      </c>
      <c r="W73" s="2" t="n"/>
      <c r="X73" s="2" t="n"/>
      <c r="Y73" s="2" t="n"/>
      <c r="Z73" s="2" t="n"/>
    </row>
    <row r="74">
      <c r="A74" s="2" t="n"/>
      <c r="B74" s="2" t="n"/>
      <c r="C74" s="2" t="n"/>
      <c r="D74" s="2" t="n"/>
      <c r="E74" s="2" t="n"/>
      <c r="F74" s="2" t="n"/>
      <c r="G74" s="2" t="n"/>
      <c r="H74" s="2" t="n"/>
      <c r="I74" s="2" t="n"/>
      <c r="J74" s="2" t="n"/>
      <c r="K74" s="2" t="n"/>
      <c r="L74" s="2" t="n"/>
      <c r="M74" s="2" t="n"/>
      <c r="N74" s="2">
        <f>IF(COUNTA(O74:T74)&lt;6,"",ROUND(O74*0.3+P74*0.2+Q74*0.15+R74*0.15+S74*0.1+T74*0.1,0))</f>
        <v/>
      </c>
      <c r="O74" s="2" t="n"/>
      <c r="P74" s="2" t="n"/>
      <c r="Q74" s="2" t="n"/>
      <c r="R74" s="2" t="n"/>
      <c r="S74" s="2" t="n"/>
      <c r="T74" s="2" t="n"/>
      <c r="U74" s="2">
        <f>IF(OR(AA74="fail",AC74="fail"),"P4",IF(N74="","",IF(N74&gt;=90,"P1",IF(N74&gt;=80,"P1",IF(N74&gt;=70,"P2",IF(N74&gt;=60,"P3","P4"))))))</f>
        <v/>
      </c>
      <c r="V74" s="2">
        <f>IF(OR(AA74="fail",AC74="fail"),"SKIP",IF(N74="","",IF(N74&gt;=90,"APPLY ASAP",IF(N74&gt;=80,"APPLY",IF(N74&gt;=70,"CONSIDER",IF(N74&gt;=60,"STRETCH","SKIP"))))))</f>
        <v/>
      </c>
      <c r="W74" s="2" t="n"/>
      <c r="X74" s="2" t="n"/>
      <c r="Y74" s="2" t="n"/>
      <c r="Z74" s="2" t="n"/>
    </row>
    <row r="75">
      <c r="A75" s="2" t="n"/>
      <c r="B75" s="2" t="n"/>
      <c r="C75" s="2" t="n"/>
      <c r="D75" s="2" t="n"/>
      <c r="E75" s="2" t="n"/>
      <c r="F75" s="2" t="n"/>
      <c r="G75" s="2" t="n"/>
      <c r="H75" s="2" t="n"/>
      <c r="I75" s="2" t="n"/>
      <c r="J75" s="2" t="n"/>
      <c r="K75" s="2" t="n"/>
      <c r="L75" s="2" t="n"/>
      <c r="M75" s="2" t="n"/>
      <c r="N75" s="2">
        <f>IF(COUNTA(O75:T75)&lt;6,"",ROUND(O75*0.3+P75*0.2+Q75*0.15+R75*0.15+S75*0.1+T75*0.1,0))</f>
        <v/>
      </c>
      <c r="O75" s="2" t="n"/>
      <c r="P75" s="2" t="n"/>
      <c r="Q75" s="2" t="n"/>
      <c r="R75" s="2" t="n"/>
      <c r="S75" s="2" t="n"/>
      <c r="T75" s="2" t="n"/>
      <c r="U75" s="2">
        <f>IF(OR(AA75="fail",AC75="fail"),"P4",IF(N75="","",IF(N75&gt;=90,"P1",IF(N75&gt;=80,"P1",IF(N75&gt;=70,"P2",IF(N75&gt;=60,"P3","P4"))))))</f>
        <v/>
      </c>
      <c r="V75" s="2">
        <f>IF(OR(AA75="fail",AC75="fail"),"SKIP",IF(N75="","",IF(N75&gt;=90,"APPLY ASAP",IF(N75&gt;=80,"APPLY",IF(N75&gt;=70,"CONSIDER",IF(N75&gt;=60,"STRETCH","SKIP"))))))</f>
        <v/>
      </c>
      <c r="W75" s="2" t="n"/>
      <c r="X75" s="2" t="n"/>
      <c r="Y75" s="2" t="n"/>
      <c r="Z75" s="2" t="n"/>
    </row>
    <row r="76">
      <c r="A76" s="2" t="n"/>
      <c r="B76" s="2" t="n"/>
      <c r="C76" s="2" t="n"/>
      <c r="D76" s="2" t="n"/>
      <c r="E76" s="2" t="n"/>
      <c r="F76" s="2" t="n"/>
      <c r="G76" s="2" t="n"/>
      <c r="H76" s="2" t="n"/>
      <c r="I76" s="2" t="n"/>
      <c r="J76" s="2" t="n"/>
      <c r="K76" s="2" t="n"/>
      <c r="L76" s="2" t="n"/>
      <c r="M76" s="2" t="n"/>
      <c r="N76" s="2">
        <f>IF(COUNTA(O76:T76)&lt;6,"",ROUND(O76*0.3+P76*0.2+Q76*0.15+R76*0.15+S76*0.1+T76*0.1,0))</f>
        <v/>
      </c>
      <c r="O76" s="2" t="n"/>
      <c r="P76" s="2" t="n"/>
      <c r="Q76" s="2" t="n"/>
      <c r="R76" s="2" t="n"/>
      <c r="S76" s="2" t="n"/>
      <c r="T76" s="2" t="n"/>
      <c r="U76" s="2">
        <f>IF(OR(AA76="fail",AC76="fail"),"P4",IF(N76="","",IF(N76&gt;=90,"P1",IF(N76&gt;=80,"P1",IF(N76&gt;=70,"P2",IF(N76&gt;=60,"P3","P4"))))))</f>
        <v/>
      </c>
      <c r="V76" s="2">
        <f>IF(OR(AA76="fail",AC76="fail"),"SKIP",IF(N76="","",IF(N76&gt;=90,"APPLY ASAP",IF(N76&gt;=80,"APPLY",IF(N76&gt;=70,"CONSIDER",IF(N76&gt;=60,"STRETCH","SKIP"))))))</f>
        <v/>
      </c>
      <c r="W76" s="2" t="n"/>
      <c r="X76" s="2" t="n"/>
      <c r="Y76" s="2" t="n"/>
      <c r="Z76" s="2" t="n"/>
    </row>
    <row r="77">
      <c r="A77" s="2" t="n"/>
      <c r="B77" s="2" t="n"/>
      <c r="C77" s="2" t="n"/>
      <c r="D77" s="2" t="n"/>
      <c r="E77" s="2" t="n"/>
      <c r="F77" s="2" t="n"/>
      <c r="G77" s="2" t="n"/>
      <c r="H77" s="2" t="n"/>
      <c r="I77" s="2" t="n"/>
      <c r="J77" s="2" t="n"/>
      <c r="K77" s="2" t="n"/>
      <c r="L77" s="2" t="n"/>
      <c r="M77" s="2" t="n"/>
      <c r="N77" s="2">
        <f>IF(COUNTA(O77:T77)&lt;6,"",ROUND(O77*0.3+P77*0.2+Q77*0.15+R77*0.15+S77*0.1+T77*0.1,0))</f>
        <v/>
      </c>
      <c r="O77" s="2" t="n"/>
      <c r="P77" s="2" t="n"/>
      <c r="Q77" s="2" t="n"/>
      <c r="R77" s="2" t="n"/>
      <c r="S77" s="2" t="n"/>
      <c r="T77" s="2" t="n"/>
      <c r="U77" s="2">
        <f>IF(OR(AA77="fail",AC77="fail"),"P4",IF(N77="","",IF(N77&gt;=90,"P1",IF(N77&gt;=80,"P1",IF(N77&gt;=70,"P2",IF(N77&gt;=60,"P3","P4"))))))</f>
        <v/>
      </c>
      <c r="V77" s="2">
        <f>IF(OR(AA77="fail",AC77="fail"),"SKIP",IF(N77="","",IF(N77&gt;=90,"APPLY ASAP",IF(N77&gt;=80,"APPLY",IF(N77&gt;=70,"CONSIDER",IF(N77&gt;=60,"STRETCH","SKIP"))))))</f>
        <v/>
      </c>
      <c r="W77" s="2" t="n"/>
      <c r="X77" s="2" t="n"/>
      <c r="Y77" s="2" t="n"/>
      <c r="Z77" s="2" t="n"/>
    </row>
    <row r="78">
      <c r="A78" s="2" t="n"/>
      <c r="B78" s="2" t="n"/>
      <c r="C78" s="2" t="n"/>
      <c r="D78" s="2" t="n"/>
      <c r="E78" s="2" t="n"/>
      <c r="F78" s="2" t="n"/>
      <c r="G78" s="2" t="n"/>
      <c r="H78" s="2" t="n"/>
      <c r="I78" s="2" t="n"/>
      <c r="J78" s="2" t="n"/>
      <c r="K78" s="2" t="n"/>
      <c r="L78" s="2" t="n"/>
      <c r="M78" s="2" t="n"/>
      <c r="N78" s="2">
        <f>IF(COUNTA(O78:T78)&lt;6,"",ROUND(O78*0.3+P78*0.2+Q78*0.15+R78*0.15+S78*0.1+T78*0.1,0))</f>
        <v/>
      </c>
      <c r="O78" s="2" t="n"/>
      <c r="P78" s="2" t="n"/>
      <c r="Q78" s="2" t="n"/>
      <c r="R78" s="2" t="n"/>
      <c r="S78" s="2" t="n"/>
      <c r="T78" s="2" t="n"/>
      <c r="U78" s="2">
        <f>IF(OR(AA78="fail",AC78="fail"),"P4",IF(N78="","",IF(N78&gt;=90,"P1",IF(N78&gt;=80,"P1",IF(N78&gt;=70,"P2",IF(N78&gt;=60,"P3","P4"))))))</f>
        <v/>
      </c>
      <c r="V78" s="2">
        <f>IF(OR(AA78="fail",AC78="fail"),"SKIP",IF(N78="","",IF(N78&gt;=90,"APPLY ASAP",IF(N78&gt;=80,"APPLY",IF(N78&gt;=70,"CONSIDER",IF(N78&gt;=60,"STRETCH","SKIP"))))))</f>
        <v/>
      </c>
      <c r="W78" s="2" t="n"/>
      <c r="X78" s="2" t="n"/>
      <c r="Y78" s="2" t="n"/>
      <c r="Z78" s="2" t="n"/>
    </row>
    <row r="79">
      <c r="A79" s="2" t="n"/>
      <c r="B79" s="2" t="n"/>
      <c r="C79" s="2" t="n"/>
      <c r="D79" s="2" t="n"/>
      <c r="E79" s="2" t="n"/>
      <c r="F79" s="2" t="n"/>
      <c r="G79" s="2" t="n"/>
      <c r="H79" s="2" t="n"/>
      <c r="I79" s="2" t="n"/>
      <c r="J79" s="2" t="n"/>
      <c r="K79" s="2" t="n"/>
      <c r="L79" s="2" t="n"/>
      <c r="M79" s="2" t="n"/>
      <c r="N79" s="2">
        <f>IF(COUNTA(O79:T79)&lt;6,"",ROUND(O79*0.3+P79*0.2+Q79*0.15+R79*0.15+S79*0.1+T79*0.1,0))</f>
        <v/>
      </c>
      <c r="O79" s="2" t="n"/>
      <c r="P79" s="2" t="n"/>
      <c r="Q79" s="2" t="n"/>
      <c r="R79" s="2" t="n"/>
      <c r="S79" s="2" t="n"/>
      <c r="T79" s="2" t="n"/>
      <c r="U79" s="2">
        <f>IF(OR(AA79="fail",AC79="fail"),"P4",IF(N79="","",IF(N79&gt;=90,"P1",IF(N79&gt;=80,"P1",IF(N79&gt;=70,"P2",IF(N79&gt;=60,"P3","P4"))))))</f>
        <v/>
      </c>
      <c r="V79" s="2">
        <f>IF(OR(AA79="fail",AC79="fail"),"SKIP",IF(N79="","",IF(N79&gt;=90,"APPLY ASAP",IF(N79&gt;=80,"APPLY",IF(N79&gt;=70,"CONSIDER",IF(N79&gt;=60,"STRETCH","SKIP"))))))</f>
        <v/>
      </c>
      <c r="W79" s="2" t="n"/>
      <c r="X79" s="2" t="n"/>
      <c r="Y79" s="2" t="n"/>
      <c r="Z79" s="2" t="n"/>
    </row>
    <row r="80">
      <c r="A80" s="2" t="n"/>
      <c r="B80" s="2" t="n"/>
      <c r="C80" s="2" t="n"/>
      <c r="D80" s="2" t="n"/>
      <c r="E80" s="2" t="n"/>
      <c r="F80" s="2" t="n"/>
      <c r="G80" s="2" t="n"/>
      <c r="H80" s="2" t="n"/>
      <c r="I80" s="2" t="n"/>
      <c r="J80" s="2" t="n"/>
      <c r="K80" s="2" t="n"/>
      <c r="L80" s="2" t="n"/>
      <c r="M80" s="2" t="n"/>
      <c r="N80" s="2">
        <f>IF(COUNTA(O80:T80)&lt;6,"",ROUND(O80*0.3+P80*0.2+Q80*0.15+R80*0.15+S80*0.1+T80*0.1,0))</f>
        <v/>
      </c>
      <c r="O80" s="2" t="n"/>
      <c r="P80" s="2" t="n"/>
      <c r="Q80" s="2" t="n"/>
      <c r="R80" s="2" t="n"/>
      <c r="S80" s="2" t="n"/>
      <c r="T80" s="2" t="n"/>
      <c r="U80" s="2">
        <f>IF(OR(AA80="fail",AC80="fail"),"P4",IF(N80="","",IF(N80&gt;=90,"P1",IF(N80&gt;=80,"P1",IF(N80&gt;=70,"P2",IF(N80&gt;=60,"P3","P4"))))))</f>
        <v/>
      </c>
      <c r="V80" s="2">
        <f>IF(OR(AA80="fail",AC80="fail"),"SKIP",IF(N80="","",IF(N80&gt;=90,"APPLY ASAP",IF(N80&gt;=80,"APPLY",IF(N80&gt;=70,"CONSIDER",IF(N80&gt;=60,"STRETCH","SKIP"))))))</f>
        <v/>
      </c>
      <c r="W80" s="2" t="n"/>
      <c r="X80" s="2" t="n"/>
      <c r="Y80" s="2" t="n"/>
      <c r="Z80" s="2" t="n"/>
    </row>
    <row r="81">
      <c r="A81" s="2" t="n"/>
      <c r="B81" s="2" t="n"/>
      <c r="C81" s="2" t="n"/>
      <c r="D81" s="2" t="n"/>
      <c r="E81" s="2" t="n"/>
      <c r="F81" s="2" t="n"/>
      <c r="G81" s="2" t="n"/>
      <c r="H81" s="2" t="n"/>
      <c r="I81" s="2" t="n"/>
      <c r="J81" s="2" t="n"/>
      <c r="K81" s="2" t="n"/>
      <c r="L81" s="2" t="n"/>
      <c r="M81" s="2" t="n"/>
      <c r="N81" s="2">
        <f>IF(COUNTA(O81:T81)&lt;6,"",ROUND(O81*0.3+P81*0.2+Q81*0.15+R81*0.15+S81*0.1+T81*0.1,0))</f>
        <v/>
      </c>
      <c r="O81" s="2" t="n"/>
      <c r="P81" s="2" t="n"/>
      <c r="Q81" s="2" t="n"/>
      <c r="R81" s="2" t="n"/>
      <c r="S81" s="2" t="n"/>
      <c r="T81" s="2" t="n"/>
      <c r="U81" s="2">
        <f>IF(OR(AA81="fail",AC81="fail"),"P4",IF(N81="","",IF(N81&gt;=90,"P1",IF(N81&gt;=80,"P1",IF(N81&gt;=70,"P2",IF(N81&gt;=60,"P3","P4"))))))</f>
        <v/>
      </c>
      <c r="V81" s="2">
        <f>IF(OR(AA81="fail",AC81="fail"),"SKIP",IF(N81="","",IF(N81&gt;=90,"APPLY ASAP",IF(N81&gt;=80,"APPLY",IF(N81&gt;=70,"CONSIDER",IF(N81&gt;=60,"STRETCH","SKIP"))))))</f>
        <v/>
      </c>
      <c r="W81" s="2" t="n"/>
      <c r="X81" s="2" t="n"/>
      <c r="Y81" s="2" t="n"/>
      <c r="Z81" s="2" t="n"/>
    </row>
    <row r="82">
      <c r="A82" s="2" t="n"/>
      <c r="B82" s="2" t="n"/>
      <c r="C82" s="2" t="n"/>
      <c r="D82" s="2" t="n"/>
      <c r="E82" s="2" t="n"/>
      <c r="F82" s="2" t="n"/>
      <c r="G82" s="2" t="n"/>
      <c r="H82" s="2" t="n"/>
      <c r="I82" s="2" t="n"/>
      <c r="J82" s="2" t="n"/>
      <c r="K82" s="2" t="n"/>
      <c r="L82" s="2" t="n"/>
      <c r="M82" s="2" t="n"/>
      <c r="N82" s="2">
        <f>IF(COUNTA(O82:T82)&lt;6,"",ROUND(O82*0.3+P82*0.2+Q82*0.15+R82*0.15+S82*0.1+T82*0.1,0))</f>
        <v/>
      </c>
      <c r="O82" s="2" t="n"/>
      <c r="P82" s="2" t="n"/>
      <c r="Q82" s="2" t="n"/>
      <c r="R82" s="2" t="n"/>
      <c r="S82" s="2" t="n"/>
      <c r="T82" s="2" t="n"/>
      <c r="U82" s="2">
        <f>IF(OR(AA82="fail",AC82="fail"),"P4",IF(N82="","",IF(N82&gt;=90,"P1",IF(N82&gt;=80,"P1",IF(N82&gt;=70,"P2",IF(N82&gt;=60,"P3","P4"))))))</f>
        <v/>
      </c>
      <c r="V82" s="2">
        <f>IF(OR(AA82="fail",AC82="fail"),"SKIP",IF(N82="","",IF(N82&gt;=90,"APPLY ASAP",IF(N82&gt;=80,"APPLY",IF(N82&gt;=70,"CONSIDER",IF(N82&gt;=60,"STRETCH","SKIP"))))))</f>
        <v/>
      </c>
      <c r="W82" s="2" t="n"/>
      <c r="X82" s="2" t="n"/>
      <c r="Y82" s="2" t="n"/>
      <c r="Z82" s="2" t="n"/>
    </row>
    <row r="83">
      <c r="A83" s="2" t="n"/>
      <c r="B83" s="2" t="n"/>
      <c r="C83" s="2" t="n"/>
      <c r="D83" s="2" t="n"/>
      <c r="E83" s="2" t="n"/>
      <c r="F83" s="2" t="n"/>
      <c r="G83" s="2" t="n"/>
      <c r="H83" s="2" t="n"/>
      <c r="I83" s="2" t="n"/>
      <c r="J83" s="2" t="n"/>
      <c r="K83" s="2" t="n"/>
      <c r="L83" s="2" t="n"/>
      <c r="M83" s="2" t="n"/>
      <c r="N83" s="2">
        <f>IF(COUNTA(O83:T83)&lt;6,"",ROUND(O83*0.3+P83*0.2+Q83*0.15+R83*0.15+S83*0.1+T83*0.1,0))</f>
        <v/>
      </c>
      <c r="O83" s="2" t="n"/>
      <c r="P83" s="2" t="n"/>
      <c r="Q83" s="2" t="n"/>
      <c r="R83" s="2" t="n"/>
      <c r="S83" s="2" t="n"/>
      <c r="T83" s="2" t="n"/>
      <c r="U83" s="2">
        <f>IF(OR(AA83="fail",AC83="fail"),"P4",IF(N83="","",IF(N83&gt;=90,"P1",IF(N83&gt;=80,"P1",IF(N83&gt;=70,"P2",IF(N83&gt;=60,"P3","P4"))))))</f>
        <v/>
      </c>
      <c r="V83" s="2">
        <f>IF(OR(AA83="fail",AC83="fail"),"SKIP",IF(N83="","",IF(N83&gt;=90,"APPLY ASAP",IF(N83&gt;=80,"APPLY",IF(N83&gt;=70,"CONSIDER",IF(N83&gt;=60,"STRETCH","SKIP"))))))</f>
        <v/>
      </c>
      <c r="W83" s="2" t="n"/>
      <c r="X83" s="2" t="n"/>
      <c r="Y83" s="2" t="n"/>
      <c r="Z83" s="2" t="n"/>
    </row>
    <row r="84">
      <c r="A84" s="2" t="n"/>
      <c r="B84" s="2" t="n"/>
      <c r="C84" s="2" t="n"/>
      <c r="D84" s="2" t="n"/>
      <c r="E84" s="2" t="n"/>
      <c r="F84" s="2" t="n"/>
      <c r="G84" s="2" t="n"/>
      <c r="H84" s="2" t="n"/>
      <c r="I84" s="2" t="n"/>
      <c r="J84" s="2" t="n"/>
      <c r="K84" s="2" t="n"/>
      <c r="L84" s="2" t="n"/>
      <c r="M84" s="2" t="n"/>
      <c r="N84" s="2">
        <f>IF(COUNTA(O84:T84)&lt;6,"",ROUND(O84*0.3+P84*0.2+Q84*0.15+R84*0.15+S84*0.1+T84*0.1,0))</f>
        <v/>
      </c>
      <c r="O84" s="2" t="n"/>
      <c r="P84" s="2" t="n"/>
      <c r="Q84" s="2" t="n"/>
      <c r="R84" s="2" t="n"/>
      <c r="S84" s="2" t="n"/>
      <c r="T84" s="2" t="n"/>
      <c r="U84" s="2">
        <f>IF(OR(AA84="fail",AC84="fail"),"P4",IF(N84="","",IF(N84&gt;=90,"P1",IF(N84&gt;=80,"P1",IF(N84&gt;=70,"P2",IF(N84&gt;=60,"P3","P4"))))))</f>
        <v/>
      </c>
      <c r="V84" s="2">
        <f>IF(OR(AA84="fail",AC84="fail"),"SKIP",IF(N84="","",IF(N84&gt;=90,"APPLY ASAP",IF(N84&gt;=80,"APPLY",IF(N84&gt;=70,"CONSIDER",IF(N84&gt;=60,"STRETCH","SKIP"))))))</f>
        <v/>
      </c>
      <c r="W84" s="2" t="n"/>
      <c r="X84" s="2" t="n"/>
      <c r="Y84" s="2" t="n"/>
      <c r="Z84" s="2" t="n"/>
    </row>
    <row r="85">
      <c r="A85" s="2" t="n"/>
      <c r="B85" s="2" t="n"/>
      <c r="C85" s="2" t="n"/>
      <c r="D85" s="2" t="n"/>
      <c r="E85" s="2" t="n"/>
      <c r="F85" s="2" t="n"/>
      <c r="G85" s="2" t="n"/>
      <c r="H85" s="2" t="n"/>
      <c r="I85" s="2" t="n"/>
      <c r="J85" s="2" t="n"/>
      <c r="K85" s="2" t="n"/>
      <c r="L85" s="2" t="n"/>
      <c r="M85" s="2" t="n"/>
      <c r="N85" s="2">
        <f>IF(COUNTA(O85:T85)&lt;6,"",ROUND(O85*0.3+P85*0.2+Q85*0.15+R85*0.15+S85*0.1+T85*0.1,0))</f>
        <v/>
      </c>
      <c r="O85" s="2" t="n"/>
      <c r="P85" s="2" t="n"/>
      <c r="Q85" s="2" t="n"/>
      <c r="R85" s="2" t="n"/>
      <c r="S85" s="2" t="n"/>
      <c r="T85" s="2" t="n"/>
      <c r="U85" s="2">
        <f>IF(OR(AA85="fail",AC85="fail"),"P4",IF(N85="","",IF(N85&gt;=90,"P1",IF(N85&gt;=80,"P1",IF(N85&gt;=70,"P2",IF(N85&gt;=60,"P3","P4"))))))</f>
        <v/>
      </c>
      <c r="V85" s="2">
        <f>IF(OR(AA85="fail",AC85="fail"),"SKIP",IF(N85="","",IF(N85&gt;=90,"APPLY ASAP",IF(N85&gt;=80,"APPLY",IF(N85&gt;=70,"CONSIDER",IF(N85&gt;=60,"STRETCH","SKIP"))))))</f>
        <v/>
      </c>
      <c r="W85" s="2" t="n"/>
      <c r="X85" s="2" t="n"/>
      <c r="Y85" s="2" t="n"/>
      <c r="Z85" s="2" t="n"/>
    </row>
    <row r="86">
      <c r="A86" s="2" t="n"/>
      <c r="B86" s="2" t="n"/>
      <c r="C86" s="2" t="n"/>
      <c r="D86" s="2" t="n"/>
      <c r="E86" s="2" t="n"/>
      <c r="F86" s="2" t="n"/>
      <c r="G86" s="2" t="n"/>
      <c r="H86" s="2" t="n"/>
      <c r="I86" s="2" t="n"/>
      <c r="J86" s="2" t="n"/>
      <c r="K86" s="2" t="n"/>
      <c r="L86" s="2" t="n"/>
      <c r="M86" s="2" t="n"/>
      <c r="N86" s="2">
        <f>IF(COUNTA(O86:T86)&lt;6,"",ROUND(O86*0.3+P86*0.2+Q86*0.15+R86*0.15+S86*0.1+T86*0.1,0))</f>
        <v/>
      </c>
      <c r="O86" s="2" t="n"/>
      <c r="P86" s="2" t="n"/>
      <c r="Q86" s="2" t="n"/>
      <c r="R86" s="2" t="n"/>
      <c r="S86" s="2" t="n"/>
      <c r="T86" s="2" t="n"/>
      <c r="U86" s="2">
        <f>IF(OR(AA86="fail",AC86="fail"),"P4",IF(N86="","",IF(N86&gt;=90,"P1",IF(N86&gt;=80,"P1",IF(N86&gt;=70,"P2",IF(N86&gt;=60,"P3","P4"))))))</f>
        <v/>
      </c>
      <c r="V86" s="2">
        <f>IF(OR(AA86="fail",AC86="fail"),"SKIP",IF(N86="","",IF(N86&gt;=90,"APPLY ASAP",IF(N86&gt;=80,"APPLY",IF(N86&gt;=70,"CONSIDER",IF(N86&gt;=60,"STRETCH","SKIP"))))))</f>
        <v/>
      </c>
      <c r="W86" s="2" t="n"/>
      <c r="X86" s="2" t="n"/>
      <c r="Y86" s="2" t="n"/>
      <c r="Z86" s="2" t="n"/>
    </row>
    <row r="87">
      <c r="A87" s="2" t="n"/>
      <c r="B87" s="2" t="n"/>
      <c r="C87" s="2" t="n"/>
      <c r="D87" s="2" t="n"/>
      <c r="E87" s="2" t="n"/>
      <c r="F87" s="2" t="n"/>
      <c r="G87" s="2" t="n"/>
      <c r="H87" s="2" t="n"/>
      <c r="I87" s="2" t="n"/>
      <c r="J87" s="2" t="n"/>
      <c r="K87" s="2" t="n"/>
      <c r="L87" s="2" t="n"/>
      <c r="M87" s="2" t="n"/>
      <c r="N87" s="2">
        <f>IF(COUNTA(O87:T87)&lt;6,"",ROUND(O87*0.3+P87*0.2+Q87*0.15+R87*0.15+S87*0.1+T87*0.1,0))</f>
        <v/>
      </c>
      <c r="O87" s="2" t="n"/>
      <c r="P87" s="2" t="n"/>
      <c r="Q87" s="2" t="n"/>
      <c r="R87" s="2" t="n"/>
      <c r="S87" s="2" t="n"/>
      <c r="T87" s="2" t="n"/>
      <c r="U87" s="2">
        <f>IF(OR(AA87="fail",AC87="fail"),"P4",IF(N87="","",IF(N87&gt;=90,"P1",IF(N87&gt;=80,"P1",IF(N87&gt;=70,"P2",IF(N87&gt;=60,"P3","P4"))))))</f>
        <v/>
      </c>
      <c r="V87" s="2">
        <f>IF(OR(AA87="fail",AC87="fail"),"SKIP",IF(N87="","",IF(N87&gt;=90,"APPLY ASAP",IF(N87&gt;=80,"APPLY",IF(N87&gt;=70,"CONSIDER",IF(N87&gt;=60,"STRETCH","SKIP"))))))</f>
        <v/>
      </c>
      <c r="W87" s="2" t="n"/>
      <c r="X87" s="2" t="n"/>
      <c r="Y87" s="2" t="n"/>
      <c r="Z87" s="2" t="n"/>
    </row>
    <row r="88">
      <c r="A88" s="2" t="n"/>
      <c r="B88" s="2" t="n"/>
      <c r="C88" s="2" t="n"/>
      <c r="D88" s="2" t="n"/>
      <c r="E88" s="2" t="n"/>
      <c r="F88" s="2" t="n"/>
      <c r="G88" s="2" t="n"/>
      <c r="H88" s="2" t="n"/>
      <c r="I88" s="2" t="n"/>
      <c r="J88" s="2" t="n"/>
      <c r="K88" s="2" t="n"/>
      <c r="L88" s="2" t="n"/>
      <c r="M88" s="2" t="n"/>
      <c r="N88" s="2">
        <f>IF(COUNTA(O88:T88)&lt;6,"",ROUND(O88*0.3+P88*0.2+Q88*0.15+R88*0.15+S88*0.1+T88*0.1,0))</f>
        <v/>
      </c>
      <c r="O88" s="2" t="n"/>
      <c r="P88" s="2" t="n"/>
      <c r="Q88" s="2" t="n"/>
      <c r="R88" s="2" t="n"/>
      <c r="S88" s="2" t="n"/>
      <c r="T88" s="2" t="n"/>
      <c r="U88" s="2">
        <f>IF(OR(AA88="fail",AC88="fail"),"P4",IF(N88="","",IF(N88&gt;=90,"P1",IF(N88&gt;=80,"P1",IF(N88&gt;=70,"P2",IF(N88&gt;=60,"P3","P4"))))))</f>
        <v/>
      </c>
      <c r="V88" s="2">
        <f>IF(OR(AA88="fail",AC88="fail"),"SKIP",IF(N88="","",IF(N88&gt;=90,"APPLY ASAP",IF(N88&gt;=80,"APPLY",IF(N88&gt;=70,"CONSIDER",IF(N88&gt;=60,"STRETCH","SKIP"))))))</f>
        <v/>
      </c>
      <c r="W88" s="2" t="n"/>
      <c r="X88" s="2" t="n"/>
      <c r="Y88" s="2" t="n"/>
      <c r="Z88" s="2" t="n"/>
    </row>
    <row r="89">
      <c r="A89" s="2" t="n"/>
      <c r="B89" s="2" t="n"/>
      <c r="C89" s="2" t="n"/>
      <c r="D89" s="2" t="n"/>
      <c r="E89" s="2" t="n"/>
      <c r="F89" s="2" t="n"/>
      <c r="G89" s="2" t="n"/>
      <c r="H89" s="2" t="n"/>
      <c r="I89" s="2" t="n"/>
      <c r="J89" s="2" t="n"/>
      <c r="K89" s="2" t="n"/>
      <c r="L89" s="2" t="n"/>
      <c r="M89" s="2" t="n"/>
      <c r="N89" s="2">
        <f>IF(COUNTA(O89:T89)&lt;6,"",ROUND(O89*0.3+P89*0.2+Q89*0.15+R89*0.15+S89*0.1+T89*0.1,0))</f>
        <v/>
      </c>
      <c r="O89" s="2" t="n"/>
      <c r="P89" s="2" t="n"/>
      <c r="Q89" s="2" t="n"/>
      <c r="R89" s="2" t="n"/>
      <c r="S89" s="2" t="n"/>
      <c r="T89" s="2" t="n"/>
      <c r="U89" s="2">
        <f>IF(OR(AA89="fail",AC89="fail"),"P4",IF(N89="","",IF(N89&gt;=90,"P1",IF(N89&gt;=80,"P1",IF(N89&gt;=70,"P2",IF(N89&gt;=60,"P3","P4"))))))</f>
        <v/>
      </c>
      <c r="V89" s="2">
        <f>IF(OR(AA89="fail",AC89="fail"),"SKIP",IF(N89="","",IF(N89&gt;=90,"APPLY ASAP",IF(N89&gt;=80,"APPLY",IF(N89&gt;=70,"CONSIDER",IF(N89&gt;=60,"STRETCH","SKIP"))))))</f>
        <v/>
      </c>
      <c r="W89" s="2" t="n"/>
      <c r="X89" s="2" t="n"/>
      <c r="Y89" s="2" t="n"/>
      <c r="Z89" s="2" t="n"/>
    </row>
    <row r="90">
      <c r="A90" s="2" t="n"/>
      <c r="B90" s="2" t="n"/>
      <c r="C90" s="2" t="n"/>
      <c r="D90" s="2" t="n"/>
      <c r="E90" s="2" t="n"/>
      <c r="F90" s="2" t="n"/>
      <c r="G90" s="2" t="n"/>
      <c r="H90" s="2" t="n"/>
      <c r="I90" s="2" t="n"/>
      <c r="J90" s="2" t="n"/>
      <c r="K90" s="2" t="n"/>
      <c r="L90" s="2" t="n"/>
      <c r="M90" s="2" t="n"/>
      <c r="N90" s="2">
        <f>IF(COUNTA(O90:T90)&lt;6,"",ROUND(O90*0.3+P90*0.2+Q90*0.15+R90*0.15+S90*0.1+T90*0.1,0))</f>
        <v/>
      </c>
      <c r="O90" s="2" t="n"/>
      <c r="P90" s="2" t="n"/>
      <c r="Q90" s="2" t="n"/>
      <c r="R90" s="2" t="n"/>
      <c r="S90" s="2" t="n"/>
      <c r="T90" s="2" t="n"/>
      <c r="U90" s="2">
        <f>IF(OR(AA90="fail",AC90="fail"),"P4",IF(N90="","",IF(N90&gt;=90,"P1",IF(N90&gt;=80,"P1",IF(N90&gt;=70,"P2",IF(N90&gt;=60,"P3","P4"))))))</f>
        <v/>
      </c>
      <c r="V90" s="2">
        <f>IF(OR(AA90="fail",AC90="fail"),"SKIP",IF(N90="","",IF(N90&gt;=90,"APPLY ASAP",IF(N90&gt;=80,"APPLY",IF(N90&gt;=70,"CONSIDER",IF(N90&gt;=60,"STRETCH","SKIP"))))))</f>
        <v/>
      </c>
      <c r="W90" s="2" t="n"/>
      <c r="X90" s="2" t="n"/>
      <c r="Y90" s="2" t="n"/>
      <c r="Z90" s="2" t="n"/>
    </row>
    <row r="91">
      <c r="A91" s="2" t="n"/>
      <c r="B91" s="2" t="n"/>
      <c r="C91" s="2" t="n"/>
      <c r="D91" s="2" t="n"/>
      <c r="E91" s="2" t="n"/>
      <c r="F91" s="2" t="n"/>
      <c r="G91" s="2" t="n"/>
      <c r="H91" s="2" t="n"/>
      <c r="I91" s="2" t="n"/>
      <c r="J91" s="2" t="n"/>
      <c r="K91" s="2" t="n"/>
      <c r="L91" s="2" t="n"/>
      <c r="M91" s="2" t="n"/>
      <c r="N91" s="2">
        <f>IF(COUNTA(O91:T91)&lt;6,"",ROUND(O91*0.3+P91*0.2+Q91*0.15+R91*0.15+S91*0.1+T91*0.1,0))</f>
        <v/>
      </c>
      <c r="O91" s="2" t="n"/>
      <c r="P91" s="2" t="n"/>
      <c r="Q91" s="2" t="n"/>
      <c r="R91" s="2" t="n"/>
      <c r="S91" s="2" t="n"/>
      <c r="T91" s="2" t="n"/>
      <c r="U91" s="2">
        <f>IF(OR(AA91="fail",AC91="fail"),"P4",IF(N91="","",IF(N91&gt;=90,"P1",IF(N91&gt;=80,"P1",IF(N91&gt;=70,"P2",IF(N91&gt;=60,"P3","P4"))))))</f>
        <v/>
      </c>
      <c r="V91" s="2">
        <f>IF(OR(AA91="fail",AC91="fail"),"SKIP",IF(N91="","",IF(N91&gt;=90,"APPLY ASAP",IF(N91&gt;=80,"APPLY",IF(N91&gt;=70,"CONSIDER",IF(N91&gt;=60,"STRETCH","SKIP"))))))</f>
        <v/>
      </c>
      <c r="W91" s="2" t="n"/>
      <c r="X91" s="2" t="n"/>
      <c r="Y91" s="2" t="n"/>
      <c r="Z91" s="2" t="n"/>
    </row>
    <row r="92">
      <c r="A92" s="2" t="n"/>
      <c r="B92" s="2" t="n"/>
      <c r="C92" s="2" t="n"/>
      <c r="D92" s="2" t="n"/>
      <c r="E92" s="2" t="n"/>
      <c r="F92" s="2" t="n"/>
      <c r="G92" s="2" t="n"/>
      <c r="H92" s="2" t="n"/>
      <c r="I92" s="2" t="n"/>
      <c r="J92" s="2" t="n"/>
      <c r="K92" s="2" t="n"/>
      <c r="L92" s="2" t="n"/>
      <c r="M92" s="2" t="n"/>
      <c r="N92" s="2">
        <f>IF(COUNTA(O92:T92)&lt;6,"",ROUND(O92*0.3+P92*0.2+Q92*0.15+R92*0.15+S92*0.1+T92*0.1,0))</f>
        <v/>
      </c>
      <c r="O92" s="2" t="n"/>
      <c r="P92" s="2" t="n"/>
      <c r="Q92" s="2" t="n"/>
      <c r="R92" s="2" t="n"/>
      <c r="S92" s="2" t="n"/>
      <c r="T92" s="2" t="n"/>
      <c r="U92" s="2">
        <f>IF(OR(AA92="fail",AC92="fail"),"P4",IF(N92="","",IF(N92&gt;=90,"P1",IF(N92&gt;=80,"P1",IF(N92&gt;=70,"P2",IF(N92&gt;=60,"P3","P4"))))))</f>
        <v/>
      </c>
      <c r="V92" s="2">
        <f>IF(OR(AA92="fail",AC92="fail"),"SKIP",IF(N92="","",IF(N92&gt;=90,"APPLY ASAP",IF(N92&gt;=80,"APPLY",IF(N92&gt;=70,"CONSIDER",IF(N92&gt;=60,"STRETCH","SKIP"))))))</f>
        <v/>
      </c>
      <c r="W92" s="2" t="n"/>
      <c r="X92" s="2" t="n"/>
      <c r="Y92" s="2" t="n"/>
      <c r="Z92" s="2" t="n"/>
    </row>
    <row r="93">
      <c r="A93" s="2" t="n"/>
      <c r="B93" s="2" t="n"/>
      <c r="C93" s="2" t="n"/>
      <c r="D93" s="2" t="n"/>
      <c r="E93" s="2" t="n"/>
      <c r="F93" s="2" t="n"/>
      <c r="G93" s="2" t="n"/>
      <c r="H93" s="2" t="n"/>
      <c r="I93" s="2" t="n"/>
      <c r="J93" s="2" t="n"/>
      <c r="K93" s="2" t="n"/>
      <c r="L93" s="2" t="n"/>
      <c r="M93" s="2" t="n"/>
      <c r="N93" s="2">
        <f>IF(COUNTA(O93:T93)&lt;6,"",ROUND(O93*0.3+P93*0.2+Q93*0.15+R93*0.15+S93*0.1+T93*0.1,0))</f>
        <v/>
      </c>
      <c r="O93" s="2" t="n"/>
      <c r="P93" s="2" t="n"/>
      <c r="Q93" s="2" t="n"/>
      <c r="R93" s="2" t="n"/>
      <c r="S93" s="2" t="n"/>
      <c r="T93" s="2" t="n"/>
      <c r="U93" s="2">
        <f>IF(OR(AA93="fail",AC93="fail"),"P4",IF(N93="","",IF(N93&gt;=90,"P1",IF(N93&gt;=80,"P1",IF(N93&gt;=70,"P2",IF(N93&gt;=60,"P3","P4"))))))</f>
        <v/>
      </c>
      <c r="V93" s="2">
        <f>IF(OR(AA93="fail",AC93="fail"),"SKIP",IF(N93="","",IF(N93&gt;=90,"APPLY ASAP",IF(N93&gt;=80,"APPLY",IF(N93&gt;=70,"CONSIDER",IF(N93&gt;=60,"STRETCH","SKIP"))))))</f>
        <v/>
      </c>
      <c r="W93" s="2" t="n"/>
      <c r="X93" s="2" t="n"/>
      <c r="Y93" s="2" t="n"/>
      <c r="Z93" s="2" t="n"/>
    </row>
    <row r="94">
      <c r="A94" s="2" t="n"/>
      <c r="B94" s="2" t="n"/>
      <c r="C94" s="2" t="n"/>
      <c r="D94" s="2" t="n"/>
      <c r="E94" s="2" t="n"/>
      <c r="F94" s="2" t="n"/>
      <c r="G94" s="2" t="n"/>
      <c r="H94" s="2" t="n"/>
      <c r="I94" s="2" t="n"/>
      <c r="J94" s="2" t="n"/>
      <c r="K94" s="2" t="n"/>
      <c r="L94" s="2" t="n"/>
      <c r="M94" s="2" t="n"/>
      <c r="N94" s="2">
        <f>IF(COUNTA(O94:T94)&lt;6,"",ROUND(O94*0.3+P94*0.2+Q94*0.15+R94*0.15+S94*0.1+T94*0.1,0))</f>
        <v/>
      </c>
      <c r="O94" s="2" t="n"/>
      <c r="P94" s="2" t="n"/>
      <c r="Q94" s="2" t="n"/>
      <c r="R94" s="2" t="n"/>
      <c r="S94" s="2" t="n"/>
      <c r="T94" s="2" t="n"/>
      <c r="U94" s="2">
        <f>IF(OR(AA94="fail",AC94="fail"),"P4",IF(N94="","",IF(N94&gt;=90,"P1",IF(N94&gt;=80,"P1",IF(N94&gt;=70,"P2",IF(N94&gt;=60,"P3","P4"))))))</f>
        <v/>
      </c>
      <c r="V94" s="2">
        <f>IF(OR(AA94="fail",AC94="fail"),"SKIP",IF(N94="","",IF(N94&gt;=90,"APPLY ASAP",IF(N94&gt;=80,"APPLY",IF(N94&gt;=70,"CONSIDER",IF(N94&gt;=60,"STRETCH","SKIP"))))))</f>
        <v/>
      </c>
      <c r="W94" s="2" t="n"/>
      <c r="X94" s="2" t="n"/>
      <c r="Y94" s="2" t="n"/>
      <c r="Z94" s="2" t="n"/>
    </row>
    <row r="95">
      <c r="A95" s="2" t="n"/>
      <c r="B95" s="2" t="n"/>
      <c r="C95" s="2" t="n"/>
      <c r="D95" s="2" t="n"/>
      <c r="E95" s="2" t="n"/>
      <c r="F95" s="2" t="n"/>
      <c r="G95" s="2" t="n"/>
      <c r="H95" s="2" t="n"/>
      <c r="I95" s="2" t="n"/>
      <c r="J95" s="2" t="n"/>
      <c r="K95" s="2" t="n"/>
      <c r="L95" s="2" t="n"/>
      <c r="M95" s="2" t="n"/>
      <c r="N95" s="2">
        <f>IF(COUNTA(O95:T95)&lt;6,"",ROUND(O95*0.3+P95*0.2+Q95*0.15+R95*0.15+S95*0.1+T95*0.1,0))</f>
        <v/>
      </c>
      <c r="O95" s="2" t="n"/>
      <c r="P95" s="2" t="n"/>
      <c r="Q95" s="2" t="n"/>
      <c r="R95" s="2" t="n"/>
      <c r="S95" s="2" t="n"/>
      <c r="T95" s="2" t="n"/>
      <c r="U95" s="2">
        <f>IF(OR(AA95="fail",AC95="fail"),"P4",IF(N95="","",IF(N95&gt;=90,"P1",IF(N95&gt;=80,"P1",IF(N95&gt;=70,"P2",IF(N95&gt;=60,"P3","P4"))))))</f>
        <v/>
      </c>
      <c r="V95" s="2">
        <f>IF(OR(AA95="fail",AC95="fail"),"SKIP",IF(N95="","",IF(N95&gt;=90,"APPLY ASAP",IF(N95&gt;=80,"APPLY",IF(N95&gt;=70,"CONSIDER",IF(N95&gt;=60,"STRETCH","SKIP"))))))</f>
        <v/>
      </c>
      <c r="W95" s="2" t="n"/>
      <c r="X95" s="2" t="n"/>
      <c r="Y95" s="2" t="n"/>
      <c r="Z95" s="2" t="n"/>
    </row>
    <row r="96">
      <c r="A96" s="2" t="n"/>
      <c r="B96" s="2" t="n"/>
      <c r="C96" s="2" t="n"/>
      <c r="D96" s="2" t="n"/>
      <c r="E96" s="2" t="n"/>
      <c r="F96" s="2" t="n"/>
      <c r="G96" s="2" t="n"/>
      <c r="H96" s="2" t="n"/>
      <c r="I96" s="2" t="n"/>
      <c r="J96" s="2" t="n"/>
      <c r="K96" s="2" t="n"/>
      <c r="L96" s="2" t="n"/>
      <c r="M96" s="2" t="n"/>
      <c r="N96" s="2">
        <f>IF(COUNTA(O96:T96)&lt;6,"",ROUND(O96*0.3+P96*0.2+Q96*0.15+R96*0.15+S96*0.1+T96*0.1,0))</f>
        <v/>
      </c>
      <c r="O96" s="2" t="n"/>
      <c r="P96" s="2" t="n"/>
      <c r="Q96" s="2" t="n"/>
      <c r="R96" s="2" t="n"/>
      <c r="S96" s="2" t="n"/>
      <c r="T96" s="2" t="n"/>
      <c r="U96" s="2">
        <f>IF(OR(AA96="fail",AC96="fail"),"P4",IF(N96="","",IF(N96&gt;=90,"P1",IF(N96&gt;=80,"P1",IF(N96&gt;=70,"P2",IF(N96&gt;=60,"P3","P4"))))))</f>
        <v/>
      </c>
      <c r="V96" s="2">
        <f>IF(OR(AA96="fail",AC96="fail"),"SKIP",IF(N96="","",IF(N96&gt;=90,"APPLY ASAP",IF(N96&gt;=80,"APPLY",IF(N96&gt;=70,"CONSIDER",IF(N96&gt;=60,"STRETCH","SKIP"))))))</f>
        <v/>
      </c>
      <c r="W96" s="2" t="n"/>
      <c r="X96" s="2" t="n"/>
      <c r="Y96" s="2" t="n"/>
      <c r="Z96" s="2" t="n"/>
    </row>
    <row r="97">
      <c r="A97" s="2" t="n"/>
      <c r="B97" s="2" t="n"/>
      <c r="C97" s="2" t="n"/>
      <c r="D97" s="2" t="n"/>
      <c r="E97" s="2" t="n"/>
      <c r="F97" s="2" t="n"/>
      <c r="G97" s="2" t="n"/>
      <c r="H97" s="2" t="n"/>
      <c r="I97" s="2" t="n"/>
      <c r="J97" s="2" t="n"/>
      <c r="K97" s="2" t="n"/>
      <c r="L97" s="2" t="n"/>
      <c r="M97" s="2" t="n"/>
      <c r="N97" s="2">
        <f>IF(COUNTA(O97:T97)&lt;6,"",ROUND(O97*0.3+P97*0.2+Q97*0.15+R97*0.15+S97*0.1+T97*0.1,0))</f>
        <v/>
      </c>
      <c r="O97" s="2" t="n"/>
      <c r="P97" s="2" t="n"/>
      <c r="Q97" s="2" t="n"/>
      <c r="R97" s="2" t="n"/>
      <c r="S97" s="2" t="n"/>
      <c r="T97" s="2" t="n"/>
      <c r="U97" s="2">
        <f>IF(OR(AA97="fail",AC97="fail"),"P4",IF(N97="","",IF(N97&gt;=90,"P1",IF(N97&gt;=80,"P1",IF(N97&gt;=70,"P2",IF(N97&gt;=60,"P3","P4"))))))</f>
        <v/>
      </c>
      <c r="V97" s="2">
        <f>IF(OR(AA97="fail",AC97="fail"),"SKIP",IF(N97="","",IF(N97&gt;=90,"APPLY ASAP",IF(N97&gt;=80,"APPLY",IF(N97&gt;=70,"CONSIDER",IF(N97&gt;=60,"STRETCH","SKIP"))))))</f>
        <v/>
      </c>
      <c r="W97" s="2" t="n"/>
      <c r="X97" s="2" t="n"/>
      <c r="Y97" s="2" t="n"/>
      <c r="Z97" s="2" t="n"/>
    </row>
    <row r="98">
      <c r="A98" s="2" t="n"/>
      <c r="B98" s="2" t="n"/>
      <c r="C98" s="2" t="n"/>
      <c r="D98" s="2" t="n"/>
      <c r="E98" s="2" t="n"/>
      <c r="F98" s="2" t="n"/>
      <c r="G98" s="2" t="n"/>
      <c r="H98" s="2" t="n"/>
      <c r="I98" s="2" t="n"/>
      <c r="J98" s="2" t="n"/>
      <c r="K98" s="2" t="n"/>
      <c r="L98" s="2" t="n"/>
      <c r="M98" s="2" t="n"/>
      <c r="N98" s="2">
        <f>IF(COUNTA(O98:T98)&lt;6,"",ROUND(O98*0.3+P98*0.2+Q98*0.15+R98*0.15+S98*0.1+T98*0.1,0))</f>
        <v/>
      </c>
      <c r="O98" s="2" t="n"/>
      <c r="P98" s="2" t="n"/>
      <c r="Q98" s="2" t="n"/>
      <c r="R98" s="2" t="n"/>
      <c r="S98" s="2" t="n"/>
      <c r="T98" s="2" t="n"/>
      <c r="U98" s="2">
        <f>IF(OR(AA98="fail",AC98="fail"),"P4",IF(N98="","",IF(N98&gt;=90,"P1",IF(N98&gt;=80,"P1",IF(N98&gt;=70,"P2",IF(N98&gt;=60,"P3","P4"))))))</f>
        <v/>
      </c>
      <c r="V98" s="2">
        <f>IF(OR(AA98="fail",AC98="fail"),"SKIP",IF(N98="","",IF(N98&gt;=90,"APPLY ASAP",IF(N98&gt;=80,"APPLY",IF(N98&gt;=70,"CONSIDER",IF(N98&gt;=60,"STRETCH","SKIP"))))))</f>
        <v/>
      </c>
      <c r="W98" s="2" t="n"/>
      <c r="X98" s="2" t="n"/>
      <c r="Y98" s="2" t="n"/>
      <c r="Z98" s="2" t="n"/>
    </row>
    <row r="99">
      <c r="A99" s="2" t="n"/>
      <c r="B99" s="2" t="n"/>
      <c r="C99" s="2" t="n"/>
      <c r="D99" s="2" t="n"/>
      <c r="E99" s="2" t="n"/>
      <c r="F99" s="2" t="n"/>
      <c r="G99" s="2" t="n"/>
      <c r="H99" s="2" t="n"/>
      <c r="I99" s="2" t="n"/>
      <c r="J99" s="2" t="n"/>
      <c r="K99" s="2" t="n"/>
      <c r="L99" s="2" t="n"/>
      <c r="M99" s="2" t="n"/>
      <c r="N99" s="2">
        <f>IF(COUNTA(O99:T99)&lt;6,"",ROUND(O99*0.3+P99*0.2+Q99*0.15+R99*0.15+S99*0.1+T99*0.1,0))</f>
        <v/>
      </c>
      <c r="O99" s="2" t="n"/>
      <c r="P99" s="2" t="n"/>
      <c r="Q99" s="2" t="n"/>
      <c r="R99" s="2" t="n"/>
      <c r="S99" s="2" t="n"/>
      <c r="T99" s="2" t="n"/>
      <c r="U99" s="2">
        <f>IF(OR(AA99="fail",AC99="fail"),"P4",IF(N99="","",IF(N99&gt;=90,"P1",IF(N99&gt;=80,"P1",IF(N99&gt;=70,"P2",IF(N99&gt;=60,"P3","P4"))))))</f>
        <v/>
      </c>
      <c r="V99" s="2">
        <f>IF(OR(AA99="fail",AC99="fail"),"SKIP",IF(N99="","",IF(N99&gt;=90,"APPLY ASAP",IF(N99&gt;=80,"APPLY",IF(N99&gt;=70,"CONSIDER",IF(N99&gt;=60,"STRETCH","SKIP"))))))</f>
        <v/>
      </c>
      <c r="W99" s="2" t="n"/>
      <c r="X99" s="2" t="n"/>
      <c r="Y99" s="2" t="n"/>
      <c r="Z99" s="2" t="n"/>
    </row>
    <row r="100">
      <c r="A100" s="2" t="n"/>
      <c r="B100" s="2" t="n"/>
      <c r="C100" s="2" t="n"/>
      <c r="D100" s="2" t="n"/>
      <c r="E100" s="2" t="n"/>
      <c r="F100" s="2" t="n"/>
      <c r="G100" s="2" t="n"/>
      <c r="H100" s="2" t="n"/>
      <c r="I100" s="2" t="n"/>
      <c r="J100" s="2" t="n"/>
      <c r="K100" s="2" t="n"/>
      <c r="L100" s="2" t="n"/>
      <c r="M100" s="2" t="n"/>
      <c r="N100" s="2">
        <f>IF(COUNTA(O100:T100)&lt;6,"",ROUND(O100*0.3+P100*0.2+Q100*0.15+R100*0.15+S100*0.1+T100*0.1,0))</f>
        <v/>
      </c>
      <c r="O100" s="2" t="n"/>
      <c r="P100" s="2" t="n"/>
      <c r="Q100" s="2" t="n"/>
      <c r="R100" s="2" t="n"/>
      <c r="S100" s="2" t="n"/>
      <c r="T100" s="2" t="n"/>
      <c r="U100" s="2">
        <f>IF(OR(AA100="fail",AC100="fail"),"P4",IF(N100="","",IF(N100&gt;=90,"P1",IF(N100&gt;=80,"P1",IF(N100&gt;=70,"P2",IF(N100&gt;=60,"P3","P4"))))))</f>
        <v/>
      </c>
      <c r="V100" s="2">
        <f>IF(OR(AA100="fail",AC100="fail"),"SKIP",IF(N100="","",IF(N100&gt;=90,"APPLY ASAP",IF(N100&gt;=80,"APPLY",IF(N100&gt;=70,"CONSIDER",IF(N100&gt;=60,"STRETCH","SKIP"))))))</f>
        <v/>
      </c>
      <c r="W100" s="2" t="n"/>
      <c r="X100" s="2" t="n"/>
      <c r="Y100" s="2" t="n"/>
      <c r="Z100" s="2" t="n"/>
    </row>
    <row r="101">
      <c r="A101" s="2" t="n"/>
      <c r="B101" s="2" t="n"/>
      <c r="C101" s="2" t="n"/>
      <c r="D101" s="2" t="n"/>
      <c r="E101" s="2" t="n"/>
      <c r="F101" s="2" t="n"/>
      <c r="G101" s="2" t="n"/>
      <c r="H101" s="2" t="n"/>
      <c r="I101" s="2" t="n"/>
      <c r="J101" s="2" t="n"/>
      <c r="K101" s="2" t="n"/>
      <c r="L101" s="2" t="n"/>
      <c r="M101" s="2" t="n"/>
      <c r="N101" s="2">
        <f>IF(COUNTA(O101:T101)&lt;6,"",ROUND(O101*0.3+P101*0.2+Q101*0.15+R101*0.15+S101*0.1+T101*0.1,0))</f>
        <v/>
      </c>
      <c r="O101" s="2" t="n"/>
      <c r="P101" s="2" t="n"/>
      <c r="Q101" s="2" t="n"/>
      <c r="R101" s="2" t="n"/>
      <c r="S101" s="2" t="n"/>
      <c r="T101" s="2" t="n"/>
      <c r="U101" s="2">
        <f>IF(OR(AA101="fail",AC101="fail"),"P4",IF(N101="","",IF(N101&gt;=90,"P1",IF(N101&gt;=80,"P1",IF(N101&gt;=70,"P2",IF(N101&gt;=60,"P3","P4"))))))</f>
        <v/>
      </c>
      <c r="V101" s="2">
        <f>IF(OR(AA101="fail",AC101="fail"),"SKIP",IF(N101="","",IF(N101&gt;=90,"APPLY ASAP",IF(N101&gt;=80,"APPLY",IF(N101&gt;=70,"CONSIDER",IF(N101&gt;=60,"STRETCH","SKIP"))))))</f>
        <v/>
      </c>
      <c r="W101" s="2" t="n"/>
      <c r="X101" s="2" t="n"/>
      <c r="Y101" s="2" t="n"/>
      <c r="Z101" s="2" t="n"/>
    </row>
    <row r="102">
      <c r="A102" s="2" t="n"/>
      <c r="B102" s="2" t="n"/>
      <c r="C102" s="2" t="n"/>
      <c r="D102" s="2" t="n"/>
      <c r="E102" s="2" t="n"/>
      <c r="F102" s="2" t="n"/>
      <c r="G102" s="2" t="n"/>
      <c r="H102" s="2" t="n"/>
      <c r="I102" s="2" t="n"/>
      <c r="J102" s="2" t="n"/>
      <c r="K102" s="2" t="n"/>
      <c r="L102" s="2" t="n"/>
      <c r="M102" s="2" t="n"/>
      <c r="N102" s="2">
        <f>IF(COUNTA(O102:T102)&lt;6,"",ROUND(O102*0.3+P102*0.2+Q102*0.15+R102*0.15+S102*0.1+T102*0.1,0))</f>
        <v/>
      </c>
      <c r="O102" s="2" t="n"/>
      <c r="P102" s="2" t="n"/>
      <c r="Q102" s="2" t="n"/>
      <c r="R102" s="2" t="n"/>
      <c r="S102" s="2" t="n"/>
      <c r="T102" s="2" t="n"/>
      <c r="U102" s="2">
        <f>IF(OR(AA102="fail",AC102="fail"),"P4",IF(N102="","",IF(N102&gt;=90,"P1",IF(N102&gt;=80,"P1",IF(N102&gt;=70,"P2",IF(N102&gt;=60,"P3","P4"))))))</f>
        <v/>
      </c>
      <c r="V102" s="2">
        <f>IF(OR(AA102="fail",AC102="fail"),"SKIP",IF(N102="","",IF(N102&gt;=90,"APPLY ASAP",IF(N102&gt;=80,"APPLY",IF(N102&gt;=70,"CONSIDER",IF(N102&gt;=60,"STRETCH","SKIP"))))))</f>
        <v/>
      </c>
      <c r="W102" s="2" t="n"/>
      <c r="X102" s="2" t="n"/>
      <c r="Y102" s="2" t="n"/>
      <c r="Z102" s="2" t="n"/>
    </row>
    <row r="103">
      <c r="A103" s="2" t="n"/>
      <c r="B103" s="2" t="n"/>
      <c r="C103" s="2" t="n"/>
      <c r="D103" s="2" t="n"/>
      <c r="E103" s="2" t="n"/>
      <c r="F103" s="2" t="n"/>
      <c r="G103" s="2" t="n"/>
      <c r="H103" s="2" t="n"/>
      <c r="I103" s="2" t="n"/>
      <c r="J103" s="2" t="n"/>
      <c r="K103" s="2" t="n"/>
      <c r="L103" s="2" t="n"/>
      <c r="M103" s="2" t="n"/>
      <c r="N103" s="2">
        <f>IF(COUNTA(O103:T103)&lt;6,"",ROUND(O103*0.3+P103*0.2+Q103*0.15+R103*0.15+S103*0.1+T103*0.1,0))</f>
        <v/>
      </c>
      <c r="O103" s="2" t="n"/>
      <c r="P103" s="2" t="n"/>
      <c r="Q103" s="2" t="n"/>
      <c r="R103" s="2" t="n"/>
      <c r="S103" s="2" t="n"/>
      <c r="T103" s="2" t="n"/>
      <c r="U103" s="2">
        <f>IF(OR(AA103="fail",AC103="fail"),"P4",IF(N103="","",IF(N103&gt;=90,"P1",IF(N103&gt;=80,"P1",IF(N103&gt;=70,"P2",IF(N103&gt;=60,"P3","P4"))))))</f>
        <v/>
      </c>
      <c r="V103" s="2">
        <f>IF(OR(AA103="fail",AC103="fail"),"SKIP",IF(N103="","",IF(N103&gt;=90,"APPLY ASAP",IF(N103&gt;=80,"APPLY",IF(N103&gt;=70,"CONSIDER",IF(N103&gt;=60,"STRETCH","SKIP"))))))</f>
        <v/>
      </c>
      <c r="W103" s="2" t="n"/>
      <c r="X103" s="2" t="n"/>
      <c r="Y103" s="2" t="n"/>
      <c r="Z103" s="2" t="n"/>
    </row>
    <row r="104">
      <c r="A104" s="2" t="n"/>
      <c r="B104" s="2" t="n"/>
      <c r="C104" s="2" t="n"/>
      <c r="D104" s="2" t="n"/>
      <c r="E104" s="2" t="n"/>
      <c r="F104" s="2" t="n"/>
      <c r="G104" s="2" t="n"/>
      <c r="H104" s="2" t="n"/>
      <c r="I104" s="2" t="n"/>
      <c r="J104" s="2" t="n"/>
      <c r="K104" s="2" t="n"/>
      <c r="L104" s="2" t="n"/>
      <c r="M104" s="2" t="n"/>
      <c r="N104" s="2">
        <f>IF(COUNTA(O104:T104)&lt;6,"",ROUND(O104*0.3+P104*0.2+Q104*0.15+R104*0.15+S104*0.1+T104*0.1,0))</f>
        <v/>
      </c>
      <c r="O104" s="2" t="n"/>
      <c r="P104" s="2" t="n"/>
      <c r="Q104" s="2" t="n"/>
      <c r="R104" s="2" t="n"/>
      <c r="S104" s="2" t="n"/>
      <c r="T104" s="2" t="n"/>
      <c r="U104" s="2">
        <f>IF(OR(AA104="fail",AC104="fail"),"P4",IF(N104="","",IF(N104&gt;=90,"P1",IF(N104&gt;=80,"P1",IF(N104&gt;=70,"P2",IF(N104&gt;=60,"P3","P4"))))))</f>
        <v/>
      </c>
      <c r="V104" s="2">
        <f>IF(OR(AA104="fail",AC104="fail"),"SKIP",IF(N104="","",IF(N104&gt;=90,"APPLY ASAP",IF(N104&gt;=80,"APPLY",IF(N104&gt;=70,"CONSIDER",IF(N104&gt;=60,"STRETCH","SKIP"))))))</f>
        <v/>
      </c>
      <c r="W104" s="2" t="n"/>
      <c r="X104" s="2" t="n"/>
      <c r="Y104" s="2" t="n"/>
      <c r="Z104" s="2" t="n"/>
    </row>
    <row r="105">
      <c r="A105" s="2" t="n"/>
      <c r="B105" s="2" t="n"/>
      <c r="C105" s="2" t="n"/>
      <c r="D105" s="2" t="n"/>
      <c r="E105" s="2" t="n"/>
      <c r="F105" s="2" t="n"/>
      <c r="G105" s="2" t="n"/>
      <c r="H105" s="2" t="n"/>
      <c r="I105" s="2" t="n"/>
      <c r="J105" s="2" t="n"/>
      <c r="K105" s="2" t="n"/>
      <c r="L105" s="2" t="n"/>
      <c r="M105" s="2" t="n"/>
      <c r="N105" s="2">
        <f>IF(COUNTA(O105:T105)&lt;6,"",ROUND(O105*0.3+P105*0.2+Q105*0.15+R105*0.15+S105*0.1+T105*0.1,0))</f>
        <v/>
      </c>
      <c r="O105" s="2" t="n"/>
      <c r="P105" s="2" t="n"/>
      <c r="Q105" s="2" t="n"/>
      <c r="R105" s="2" t="n"/>
      <c r="S105" s="2" t="n"/>
      <c r="T105" s="2" t="n"/>
      <c r="U105" s="2">
        <f>IF(OR(AA105="fail",AC105="fail"),"P4",IF(N105="","",IF(N105&gt;=90,"P1",IF(N105&gt;=80,"P1",IF(N105&gt;=70,"P2",IF(N105&gt;=60,"P3","P4"))))))</f>
        <v/>
      </c>
      <c r="V105" s="2">
        <f>IF(OR(AA105="fail",AC105="fail"),"SKIP",IF(N105="","",IF(N105&gt;=90,"APPLY ASAP",IF(N105&gt;=80,"APPLY",IF(N105&gt;=70,"CONSIDER",IF(N105&gt;=60,"STRETCH","SKIP"))))))</f>
        <v/>
      </c>
      <c r="W105" s="2" t="n"/>
      <c r="X105" s="2" t="n"/>
      <c r="Y105" s="2" t="n"/>
      <c r="Z105" s="2" t="n"/>
    </row>
    <row r="106">
      <c r="A106" s="2" t="n"/>
      <c r="B106" s="2" t="n"/>
      <c r="C106" s="2" t="n"/>
      <c r="D106" s="2" t="n"/>
      <c r="E106" s="2" t="n"/>
      <c r="F106" s="2" t="n"/>
      <c r="G106" s="2" t="n"/>
      <c r="H106" s="2" t="n"/>
      <c r="I106" s="2" t="n"/>
      <c r="J106" s="2" t="n"/>
      <c r="K106" s="2" t="n"/>
      <c r="L106" s="2" t="n"/>
      <c r="M106" s="2" t="n"/>
      <c r="N106" s="2">
        <f>IF(COUNTA(O106:T106)&lt;6,"",ROUND(O106*0.3+P106*0.2+Q106*0.15+R106*0.15+S106*0.1+T106*0.1,0))</f>
        <v/>
      </c>
      <c r="O106" s="2" t="n"/>
      <c r="P106" s="2" t="n"/>
      <c r="Q106" s="2" t="n"/>
      <c r="R106" s="2" t="n"/>
      <c r="S106" s="2" t="n"/>
      <c r="T106" s="2" t="n"/>
      <c r="U106" s="2">
        <f>IF(OR(AA106="fail",AC106="fail"),"P4",IF(N106="","",IF(N106&gt;=90,"P1",IF(N106&gt;=80,"P1",IF(N106&gt;=70,"P2",IF(N106&gt;=60,"P3","P4"))))))</f>
        <v/>
      </c>
      <c r="V106" s="2">
        <f>IF(OR(AA106="fail",AC106="fail"),"SKIP",IF(N106="","",IF(N106&gt;=90,"APPLY ASAP",IF(N106&gt;=80,"APPLY",IF(N106&gt;=70,"CONSIDER",IF(N106&gt;=60,"STRETCH","SKIP"))))))</f>
        <v/>
      </c>
      <c r="W106" s="2" t="n"/>
      <c r="X106" s="2" t="n"/>
      <c r="Y106" s="2" t="n"/>
      <c r="Z106" s="2" t="n"/>
    </row>
    <row r="107">
      <c r="A107" s="2" t="n"/>
      <c r="B107" s="2" t="n"/>
      <c r="C107" s="2" t="n"/>
      <c r="D107" s="2" t="n"/>
      <c r="E107" s="2" t="n"/>
      <c r="F107" s="2" t="n"/>
      <c r="G107" s="2" t="n"/>
      <c r="H107" s="2" t="n"/>
      <c r="I107" s="2" t="n"/>
      <c r="J107" s="2" t="n"/>
      <c r="K107" s="2" t="n"/>
      <c r="L107" s="2" t="n"/>
      <c r="M107" s="2" t="n"/>
      <c r="N107" s="2">
        <f>IF(COUNTA(O107:T107)&lt;6,"",ROUND(O107*0.3+P107*0.2+Q107*0.15+R107*0.15+S107*0.1+T107*0.1,0))</f>
        <v/>
      </c>
      <c r="O107" s="2" t="n"/>
      <c r="P107" s="2" t="n"/>
      <c r="Q107" s="2" t="n"/>
      <c r="R107" s="2" t="n"/>
      <c r="S107" s="2" t="n"/>
      <c r="T107" s="2" t="n"/>
      <c r="U107" s="2">
        <f>IF(OR(AA107="fail",AC107="fail"),"P4",IF(N107="","",IF(N107&gt;=90,"P1",IF(N107&gt;=80,"P1",IF(N107&gt;=70,"P2",IF(N107&gt;=60,"P3","P4"))))))</f>
        <v/>
      </c>
      <c r="V107" s="2">
        <f>IF(OR(AA107="fail",AC107="fail"),"SKIP",IF(N107="","",IF(N107&gt;=90,"APPLY ASAP",IF(N107&gt;=80,"APPLY",IF(N107&gt;=70,"CONSIDER",IF(N107&gt;=60,"STRETCH","SKIP"))))))</f>
        <v/>
      </c>
      <c r="W107" s="2" t="n"/>
      <c r="X107" s="2" t="n"/>
      <c r="Y107" s="2" t="n"/>
      <c r="Z107" s="2" t="n"/>
    </row>
    <row r="108">
      <c r="A108" s="2" t="n"/>
      <c r="B108" s="2" t="n"/>
      <c r="C108" s="2" t="n"/>
      <c r="D108" s="2" t="n"/>
      <c r="E108" s="2" t="n"/>
      <c r="F108" s="2" t="n"/>
      <c r="G108" s="2" t="n"/>
      <c r="H108" s="2" t="n"/>
      <c r="I108" s="2" t="n"/>
      <c r="J108" s="2" t="n"/>
      <c r="K108" s="2" t="n"/>
      <c r="L108" s="2" t="n"/>
      <c r="M108" s="2" t="n"/>
      <c r="N108" s="2">
        <f>IF(COUNTA(O108:T108)&lt;6,"",ROUND(O108*0.3+P108*0.2+Q108*0.15+R108*0.15+S108*0.1+T108*0.1,0))</f>
        <v/>
      </c>
      <c r="O108" s="2" t="n"/>
      <c r="P108" s="2" t="n"/>
      <c r="Q108" s="2" t="n"/>
      <c r="R108" s="2" t="n"/>
      <c r="S108" s="2" t="n"/>
      <c r="T108" s="2" t="n"/>
      <c r="U108" s="2">
        <f>IF(OR(AA108="fail",AC108="fail"),"P4",IF(N108="","",IF(N108&gt;=90,"P1",IF(N108&gt;=80,"P1",IF(N108&gt;=70,"P2",IF(N108&gt;=60,"P3","P4"))))))</f>
        <v/>
      </c>
      <c r="V108" s="2">
        <f>IF(OR(AA108="fail",AC108="fail"),"SKIP",IF(N108="","",IF(N108&gt;=90,"APPLY ASAP",IF(N108&gt;=80,"APPLY",IF(N108&gt;=70,"CONSIDER",IF(N108&gt;=60,"STRETCH","SKIP"))))))</f>
        <v/>
      </c>
      <c r="W108" s="2" t="n"/>
      <c r="X108" s="2" t="n"/>
      <c r="Y108" s="2" t="n"/>
      <c r="Z108" s="2" t="n"/>
    </row>
    <row r="109">
      <c r="A109" s="2" t="n"/>
      <c r="B109" s="2" t="n"/>
      <c r="C109" s="2" t="n"/>
      <c r="D109" s="2" t="n"/>
      <c r="E109" s="2" t="n"/>
      <c r="F109" s="2" t="n"/>
      <c r="G109" s="2" t="n"/>
      <c r="H109" s="2" t="n"/>
      <c r="I109" s="2" t="n"/>
      <c r="J109" s="2" t="n"/>
      <c r="K109" s="2" t="n"/>
      <c r="L109" s="2" t="n"/>
      <c r="M109" s="2" t="n"/>
      <c r="N109" s="2">
        <f>IF(COUNTA(O109:T109)&lt;6,"",ROUND(O109*0.3+P109*0.2+Q109*0.15+R109*0.15+S109*0.1+T109*0.1,0))</f>
        <v/>
      </c>
      <c r="O109" s="2" t="n"/>
      <c r="P109" s="2" t="n"/>
      <c r="Q109" s="2" t="n"/>
      <c r="R109" s="2" t="n"/>
      <c r="S109" s="2" t="n"/>
      <c r="T109" s="2" t="n"/>
      <c r="U109" s="2">
        <f>IF(OR(AA109="fail",AC109="fail"),"P4",IF(N109="","",IF(N109&gt;=90,"P1",IF(N109&gt;=80,"P1",IF(N109&gt;=70,"P2",IF(N109&gt;=60,"P3","P4"))))))</f>
        <v/>
      </c>
      <c r="V109" s="2">
        <f>IF(OR(AA109="fail",AC109="fail"),"SKIP",IF(N109="","",IF(N109&gt;=90,"APPLY ASAP",IF(N109&gt;=80,"APPLY",IF(N109&gt;=70,"CONSIDER",IF(N109&gt;=60,"STRETCH","SKIP"))))))</f>
        <v/>
      </c>
      <c r="W109" s="2" t="n"/>
      <c r="X109" s="2" t="n"/>
      <c r="Y109" s="2" t="n"/>
      <c r="Z109" s="2" t="n"/>
    </row>
    <row r="110">
      <c r="A110" s="2" t="n"/>
      <c r="B110" s="2" t="n"/>
      <c r="C110" s="2" t="n"/>
      <c r="D110" s="2" t="n"/>
      <c r="E110" s="2" t="n"/>
      <c r="F110" s="2" t="n"/>
      <c r="G110" s="2" t="n"/>
      <c r="H110" s="2" t="n"/>
      <c r="I110" s="2" t="n"/>
      <c r="J110" s="2" t="n"/>
      <c r="K110" s="2" t="n"/>
      <c r="L110" s="2" t="n"/>
      <c r="M110" s="2" t="n"/>
      <c r="N110" s="2">
        <f>IF(COUNTA(O110:T110)&lt;6,"",ROUND(O110*0.3+P110*0.2+Q110*0.15+R110*0.15+S110*0.1+T110*0.1,0))</f>
        <v/>
      </c>
      <c r="O110" s="2" t="n"/>
      <c r="P110" s="2" t="n"/>
      <c r="Q110" s="2" t="n"/>
      <c r="R110" s="2" t="n"/>
      <c r="S110" s="2" t="n"/>
      <c r="T110" s="2" t="n"/>
      <c r="U110" s="2">
        <f>IF(OR(AA110="fail",AC110="fail"),"P4",IF(N110="","",IF(N110&gt;=90,"P1",IF(N110&gt;=80,"P1",IF(N110&gt;=70,"P2",IF(N110&gt;=60,"P3","P4"))))))</f>
        <v/>
      </c>
      <c r="V110" s="2">
        <f>IF(OR(AA110="fail",AC110="fail"),"SKIP",IF(N110="","",IF(N110&gt;=90,"APPLY ASAP",IF(N110&gt;=80,"APPLY",IF(N110&gt;=70,"CONSIDER",IF(N110&gt;=60,"STRETCH","SKIP"))))))</f>
        <v/>
      </c>
      <c r="W110" s="2" t="n"/>
      <c r="X110" s="2" t="n"/>
      <c r="Y110" s="2" t="n"/>
      <c r="Z110" s="2" t="n"/>
    </row>
    <row r="111">
      <c r="A111" s="2" t="n"/>
      <c r="B111" s="2" t="n"/>
      <c r="C111" s="2" t="n"/>
      <c r="D111" s="2" t="n"/>
      <c r="E111" s="2" t="n"/>
      <c r="F111" s="2" t="n"/>
      <c r="G111" s="2" t="n"/>
      <c r="H111" s="2" t="n"/>
      <c r="I111" s="2" t="n"/>
      <c r="J111" s="2" t="n"/>
      <c r="K111" s="2" t="n"/>
      <c r="L111" s="2" t="n"/>
      <c r="M111" s="2" t="n"/>
      <c r="N111" s="2">
        <f>IF(COUNTA(O111:T111)&lt;6,"",ROUND(O111*0.3+P111*0.2+Q111*0.15+R111*0.15+S111*0.1+T111*0.1,0))</f>
        <v/>
      </c>
      <c r="O111" s="2" t="n"/>
      <c r="P111" s="2" t="n"/>
      <c r="Q111" s="2" t="n"/>
      <c r="R111" s="2" t="n"/>
      <c r="S111" s="2" t="n"/>
      <c r="T111" s="2" t="n"/>
      <c r="U111" s="2">
        <f>IF(OR(AA111="fail",AC111="fail"),"P4",IF(N111="","",IF(N111&gt;=90,"P1",IF(N111&gt;=80,"P1",IF(N111&gt;=70,"P2",IF(N111&gt;=60,"P3","P4"))))))</f>
        <v/>
      </c>
      <c r="V111" s="2">
        <f>IF(OR(AA111="fail",AC111="fail"),"SKIP",IF(N111="","",IF(N111&gt;=90,"APPLY ASAP",IF(N111&gt;=80,"APPLY",IF(N111&gt;=70,"CONSIDER",IF(N111&gt;=60,"STRETCH","SKIP"))))))</f>
        <v/>
      </c>
      <c r="W111" s="2" t="n"/>
      <c r="X111" s="2" t="n"/>
      <c r="Y111" s="2" t="n"/>
      <c r="Z111" s="2" t="n"/>
    </row>
    <row r="112">
      <c r="A112" s="2" t="n"/>
      <c r="B112" s="2" t="n"/>
      <c r="C112" s="2" t="n"/>
      <c r="D112" s="2" t="n"/>
      <c r="E112" s="2" t="n"/>
      <c r="F112" s="2" t="n"/>
      <c r="G112" s="2" t="n"/>
      <c r="H112" s="2" t="n"/>
      <c r="I112" s="2" t="n"/>
      <c r="J112" s="2" t="n"/>
      <c r="K112" s="2" t="n"/>
      <c r="L112" s="2" t="n"/>
      <c r="M112" s="2" t="n"/>
      <c r="N112" s="2">
        <f>IF(COUNTA(O112:T112)&lt;6,"",ROUND(O112*0.3+P112*0.2+Q112*0.15+R112*0.15+S112*0.1+T112*0.1,0))</f>
        <v/>
      </c>
      <c r="O112" s="2" t="n"/>
      <c r="P112" s="2" t="n"/>
      <c r="Q112" s="2" t="n"/>
      <c r="R112" s="2" t="n"/>
      <c r="S112" s="2" t="n"/>
      <c r="T112" s="2" t="n"/>
      <c r="U112" s="2">
        <f>IF(OR(AA112="fail",AC112="fail"),"P4",IF(N112="","",IF(N112&gt;=90,"P1",IF(N112&gt;=80,"P1",IF(N112&gt;=70,"P2",IF(N112&gt;=60,"P3","P4"))))))</f>
        <v/>
      </c>
      <c r="V112" s="2">
        <f>IF(OR(AA112="fail",AC112="fail"),"SKIP",IF(N112="","",IF(N112&gt;=90,"APPLY ASAP",IF(N112&gt;=80,"APPLY",IF(N112&gt;=70,"CONSIDER",IF(N112&gt;=60,"STRETCH","SKIP"))))))</f>
        <v/>
      </c>
      <c r="W112" s="2" t="n"/>
      <c r="X112" s="2" t="n"/>
      <c r="Y112" s="2" t="n"/>
      <c r="Z112" s="2" t="n"/>
    </row>
    <row r="113">
      <c r="A113" s="2" t="n"/>
      <c r="B113" s="2" t="n"/>
      <c r="C113" s="2" t="n"/>
      <c r="D113" s="2" t="n"/>
      <c r="E113" s="2" t="n"/>
      <c r="F113" s="2" t="n"/>
      <c r="G113" s="2" t="n"/>
      <c r="H113" s="2" t="n"/>
      <c r="I113" s="2" t="n"/>
      <c r="J113" s="2" t="n"/>
      <c r="K113" s="2" t="n"/>
      <c r="L113" s="2" t="n"/>
      <c r="M113" s="2" t="n"/>
      <c r="N113" s="2">
        <f>IF(COUNTA(O113:T113)&lt;6,"",ROUND(O113*0.3+P113*0.2+Q113*0.15+R113*0.15+S113*0.1+T113*0.1,0))</f>
        <v/>
      </c>
      <c r="O113" s="2" t="n"/>
      <c r="P113" s="2" t="n"/>
      <c r="Q113" s="2" t="n"/>
      <c r="R113" s="2" t="n"/>
      <c r="S113" s="2" t="n"/>
      <c r="T113" s="2" t="n"/>
      <c r="U113" s="2">
        <f>IF(OR(AA113="fail",AC113="fail"),"P4",IF(N113="","",IF(N113&gt;=90,"P1",IF(N113&gt;=80,"P1",IF(N113&gt;=70,"P2",IF(N113&gt;=60,"P3","P4"))))))</f>
        <v/>
      </c>
      <c r="V113" s="2">
        <f>IF(OR(AA113="fail",AC113="fail"),"SKIP",IF(N113="","",IF(N113&gt;=90,"APPLY ASAP",IF(N113&gt;=80,"APPLY",IF(N113&gt;=70,"CONSIDER",IF(N113&gt;=60,"STRETCH","SKIP"))))))</f>
        <v/>
      </c>
      <c r="W113" s="2" t="n"/>
      <c r="X113" s="2" t="n"/>
      <c r="Y113" s="2" t="n"/>
      <c r="Z113" s="2" t="n"/>
    </row>
    <row r="114">
      <c r="A114" s="2" t="n"/>
      <c r="B114" s="2" t="n"/>
      <c r="C114" s="2" t="n"/>
      <c r="D114" s="2" t="n"/>
      <c r="E114" s="2" t="n"/>
      <c r="F114" s="2" t="n"/>
      <c r="G114" s="2" t="n"/>
      <c r="H114" s="2" t="n"/>
      <c r="I114" s="2" t="n"/>
      <c r="J114" s="2" t="n"/>
      <c r="K114" s="2" t="n"/>
      <c r="L114" s="2" t="n"/>
      <c r="M114" s="2" t="n"/>
      <c r="N114" s="2">
        <f>IF(COUNTA(O114:T114)&lt;6,"",ROUND(O114*0.3+P114*0.2+Q114*0.15+R114*0.15+S114*0.1+T114*0.1,0))</f>
        <v/>
      </c>
      <c r="O114" s="2" t="n"/>
      <c r="P114" s="2" t="n"/>
      <c r="Q114" s="2" t="n"/>
      <c r="R114" s="2" t="n"/>
      <c r="S114" s="2" t="n"/>
      <c r="T114" s="2" t="n"/>
      <c r="U114" s="2">
        <f>IF(OR(AA114="fail",AC114="fail"),"P4",IF(N114="","",IF(N114&gt;=90,"P1",IF(N114&gt;=80,"P1",IF(N114&gt;=70,"P2",IF(N114&gt;=60,"P3","P4"))))))</f>
        <v/>
      </c>
      <c r="V114" s="2">
        <f>IF(OR(AA114="fail",AC114="fail"),"SKIP",IF(N114="","",IF(N114&gt;=90,"APPLY ASAP",IF(N114&gt;=80,"APPLY",IF(N114&gt;=70,"CONSIDER",IF(N114&gt;=60,"STRETCH","SKIP"))))))</f>
        <v/>
      </c>
      <c r="W114" s="2" t="n"/>
      <c r="X114" s="2" t="n"/>
      <c r="Y114" s="2" t="n"/>
      <c r="Z114" s="2" t="n"/>
    </row>
    <row r="115">
      <c r="A115" s="2" t="n"/>
      <c r="B115" s="2" t="n"/>
      <c r="C115" s="2" t="n"/>
      <c r="D115" s="2" t="n"/>
      <c r="E115" s="2" t="n"/>
      <c r="F115" s="2" t="n"/>
      <c r="G115" s="2" t="n"/>
      <c r="H115" s="2" t="n"/>
      <c r="I115" s="2" t="n"/>
      <c r="J115" s="2" t="n"/>
      <c r="K115" s="2" t="n"/>
      <c r="L115" s="2" t="n"/>
      <c r="M115" s="2" t="n"/>
      <c r="N115" s="2">
        <f>IF(COUNTA(O115:T115)&lt;6,"",ROUND(O115*0.3+P115*0.2+Q115*0.15+R115*0.15+S115*0.1+T115*0.1,0))</f>
        <v/>
      </c>
      <c r="O115" s="2" t="n"/>
      <c r="P115" s="2" t="n"/>
      <c r="Q115" s="2" t="n"/>
      <c r="R115" s="2" t="n"/>
      <c r="S115" s="2" t="n"/>
      <c r="T115" s="2" t="n"/>
      <c r="U115" s="2">
        <f>IF(OR(AA115="fail",AC115="fail"),"P4",IF(N115="","",IF(N115&gt;=90,"P1",IF(N115&gt;=80,"P1",IF(N115&gt;=70,"P2",IF(N115&gt;=60,"P3","P4"))))))</f>
        <v/>
      </c>
      <c r="V115" s="2">
        <f>IF(OR(AA115="fail",AC115="fail"),"SKIP",IF(N115="","",IF(N115&gt;=90,"APPLY ASAP",IF(N115&gt;=80,"APPLY",IF(N115&gt;=70,"CONSIDER",IF(N115&gt;=60,"STRETCH","SKIP"))))))</f>
        <v/>
      </c>
      <c r="W115" s="2" t="n"/>
      <c r="X115" s="2" t="n"/>
      <c r="Y115" s="2" t="n"/>
      <c r="Z115" s="2" t="n"/>
    </row>
    <row r="116">
      <c r="A116" s="2" t="n"/>
      <c r="B116" s="2" t="n"/>
      <c r="C116" s="2" t="n"/>
      <c r="D116" s="2" t="n"/>
      <c r="E116" s="2" t="n"/>
      <c r="F116" s="2" t="n"/>
      <c r="G116" s="2" t="n"/>
      <c r="H116" s="2" t="n"/>
      <c r="I116" s="2" t="n"/>
      <c r="J116" s="2" t="n"/>
      <c r="K116" s="2" t="n"/>
      <c r="L116" s="2" t="n"/>
      <c r="M116" s="2" t="n"/>
      <c r="N116" s="2">
        <f>IF(COUNTA(O116:T116)&lt;6,"",ROUND(O116*0.3+P116*0.2+Q116*0.15+R116*0.15+S116*0.1+T116*0.1,0))</f>
        <v/>
      </c>
      <c r="O116" s="2" t="n"/>
      <c r="P116" s="2" t="n"/>
      <c r="Q116" s="2" t="n"/>
      <c r="R116" s="2" t="n"/>
      <c r="S116" s="2" t="n"/>
      <c r="T116" s="2" t="n"/>
      <c r="U116" s="2">
        <f>IF(OR(AA116="fail",AC116="fail"),"P4",IF(N116="","",IF(N116&gt;=90,"P1",IF(N116&gt;=80,"P1",IF(N116&gt;=70,"P2",IF(N116&gt;=60,"P3","P4"))))))</f>
        <v/>
      </c>
      <c r="V116" s="2">
        <f>IF(OR(AA116="fail",AC116="fail"),"SKIP",IF(N116="","",IF(N116&gt;=90,"APPLY ASAP",IF(N116&gt;=80,"APPLY",IF(N116&gt;=70,"CONSIDER",IF(N116&gt;=60,"STRETCH","SKIP"))))))</f>
        <v/>
      </c>
      <c r="W116" s="2" t="n"/>
      <c r="X116" s="2" t="n"/>
      <c r="Y116" s="2" t="n"/>
      <c r="Z116" s="2" t="n"/>
    </row>
    <row r="117">
      <c r="A117" s="2" t="n"/>
      <c r="B117" s="2" t="n"/>
      <c r="C117" s="2" t="n"/>
      <c r="D117" s="2" t="n"/>
      <c r="E117" s="2" t="n"/>
      <c r="F117" s="2" t="n"/>
      <c r="G117" s="2" t="n"/>
      <c r="H117" s="2" t="n"/>
      <c r="I117" s="2" t="n"/>
      <c r="J117" s="2" t="n"/>
      <c r="K117" s="2" t="n"/>
      <c r="L117" s="2" t="n"/>
      <c r="M117" s="2" t="n"/>
      <c r="N117" s="2">
        <f>IF(COUNTA(O117:T117)&lt;6,"",ROUND(O117*0.3+P117*0.2+Q117*0.15+R117*0.15+S117*0.1+T117*0.1,0))</f>
        <v/>
      </c>
      <c r="O117" s="2" t="n"/>
      <c r="P117" s="2" t="n"/>
      <c r="Q117" s="2" t="n"/>
      <c r="R117" s="2" t="n"/>
      <c r="S117" s="2" t="n"/>
      <c r="T117" s="2" t="n"/>
      <c r="U117" s="2">
        <f>IF(OR(AA117="fail",AC117="fail"),"P4",IF(N117="","",IF(N117&gt;=90,"P1",IF(N117&gt;=80,"P1",IF(N117&gt;=70,"P2",IF(N117&gt;=60,"P3","P4"))))))</f>
        <v/>
      </c>
      <c r="V117" s="2">
        <f>IF(OR(AA117="fail",AC117="fail"),"SKIP",IF(N117="","",IF(N117&gt;=90,"APPLY ASAP",IF(N117&gt;=80,"APPLY",IF(N117&gt;=70,"CONSIDER",IF(N117&gt;=60,"STRETCH","SKIP"))))))</f>
        <v/>
      </c>
      <c r="W117" s="2" t="n"/>
      <c r="X117" s="2" t="n"/>
      <c r="Y117" s="2" t="n"/>
      <c r="Z117" s="2" t="n"/>
    </row>
    <row r="118">
      <c r="A118" s="2" t="n"/>
      <c r="B118" s="2" t="n"/>
      <c r="C118" s="2" t="n"/>
      <c r="D118" s="2" t="n"/>
      <c r="E118" s="2" t="n"/>
      <c r="F118" s="2" t="n"/>
      <c r="G118" s="2" t="n"/>
      <c r="H118" s="2" t="n"/>
      <c r="I118" s="2" t="n"/>
      <c r="J118" s="2" t="n"/>
      <c r="K118" s="2" t="n"/>
      <c r="L118" s="2" t="n"/>
      <c r="M118" s="2" t="n"/>
      <c r="N118" s="2">
        <f>IF(COUNTA(O118:T118)&lt;6,"",ROUND(O118*0.3+P118*0.2+Q118*0.15+R118*0.15+S118*0.1+T118*0.1,0))</f>
        <v/>
      </c>
      <c r="O118" s="2" t="n"/>
      <c r="P118" s="2" t="n"/>
      <c r="Q118" s="2" t="n"/>
      <c r="R118" s="2" t="n"/>
      <c r="S118" s="2" t="n"/>
      <c r="T118" s="2" t="n"/>
      <c r="U118" s="2">
        <f>IF(OR(AA118="fail",AC118="fail"),"P4",IF(N118="","",IF(N118&gt;=90,"P1",IF(N118&gt;=80,"P1",IF(N118&gt;=70,"P2",IF(N118&gt;=60,"P3","P4"))))))</f>
        <v/>
      </c>
      <c r="V118" s="2">
        <f>IF(OR(AA118="fail",AC118="fail"),"SKIP",IF(N118="","",IF(N118&gt;=90,"APPLY ASAP",IF(N118&gt;=80,"APPLY",IF(N118&gt;=70,"CONSIDER",IF(N118&gt;=60,"STRETCH","SKIP"))))))</f>
        <v/>
      </c>
      <c r="W118" s="2" t="n"/>
      <c r="X118" s="2" t="n"/>
      <c r="Y118" s="2" t="n"/>
      <c r="Z118" s="2" t="n"/>
    </row>
    <row r="119">
      <c r="A119" s="2" t="n"/>
      <c r="B119" s="2" t="n"/>
      <c r="C119" s="2" t="n"/>
      <c r="D119" s="2" t="n"/>
      <c r="E119" s="2" t="n"/>
      <c r="F119" s="2" t="n"/>
      <c r="G119" s="2" t="n"/>
      <c r="H119" s="2" t="n"/>
      <c r="I119" s="2" t="n"/>
      <c r="J119" s="2" t="n"/>
      <c r="K119" s="2" t="n"/>
      <c r="L119" s="2" t="n"/>
      <c r="M119" s="2" t="n"/>
      <c r="N119" s="2">
        <f>IF(COUNTA(O119:T119)&lt;6,"",ROUND(O119*0.3+P119*0.2+Q119*0.15+R119*0.15+S119*0.1+T119*0.1,0))</f>
        <v/>
      </c>
      <c r="O119" s="2" t="n"/>
      <c r="P119" s="2" t="n"/>
      <c r="Q119" s="2" t="n"/>
      <c r="R119" s="2" t="n"/>
      <c r="S119" s="2" t="n"/>
      <c r="T119" s="2" t="n"/>
      <c r="U119" s="2">
        <f>IF(OR(AA119="fail",AC119="fail"),"P4",IF(N119="","",IF(N119&gt;=90,"P1",IF(N119&gt;=80,"P1",IF(N119&gt;=70,"P2",IF(N119&gt;=60,"P3","P4"))))))</f>
        <v/>
      </c>
      <c r="V119" s="2">
        <f>IF(OR(AA119="fail",AC119="fail"),"SKIP",IF(N119="","",IF(N119&gt;=90,"APPLY ASAP",IF(N119&gt;=80,"APPLY",IF(N119&gt;=70,"CONSIDER",IF(N119&gt;=60,"STRETCH","SKIP"))))))</f>
        <v/>
      </c>
      <c r="W119" s="2" t="n"/>
      <c r="X119" s="2" t="n"/>
      <c r="Y119" s="2" t="n"/>
      <c r="Z119" s="2" t="n"/>
    </row>
    <row r="120">
      <c r="A120" s="2" t="n"/>
      <c r="B120" s="2" t="n"/>
      <c r="C120" s="2" t="n"/>
      <c r="D120" s="2" t="n"/>
      <c r="E120" s="2" t="n"/>
      <c r="F120" s="2" t="n"/>
      <c r="G120" s="2" t="n"/>
      <c r="H120" s="2" t="n"/>
      <c r="I120" s="2" t="n"/>
      <c r="J120" s="2" t="n"/>
      <c r="K120" s="2" t="n"/>
      <c r="L120" s="2" t="n"/>
      <c r="M120" s="2" t="n"/>
      <c r="N120" s="2">
        <f>IF(COUNTA(O120:T120)&lt;6,"",ROUND(O120*0.3+P120*0.2+Q120*0.15+R120*0.15+S120*0.1+T120*0.1,0))</f>
        <v/>
      </c>
      <c r="O120" s="2" t="n"/>
      <c r="P120" s="2" t="n"/>
      <c r="Q120" s="2" t="n"/>
      <c r="R120" s="2" t="n"/>
      <c r="S120" s="2" t="n"/>
      <c r="T120" s="2" t="n"/>
      <c r="U120" s="2">
        <f>IF(OR(AA120="fail",AC120="fail"),"P4",IF(N120="","",IF(N120&gt;=90,"P1",IF(N120&gt;=80,"P1",IF(N120&gt;=70,"P2",IF(N120&gt;=60,"P3","P4"))))))</f>
        <v/>
      </c>
      <c r="V120" s="2">
        <f>IF(OR(AA120="fail",AC120="fail"),"SKIP",IF(N120="","",IF(N120&gt;=90,"APPLY ASAP",IF(N120&gt;=80,"APPLY",IF(N120&gt;=70,"CONSIDER",IF(N120&gt;=60,"STRETCH","SKIP"))))))</f>
        <v/>
      </c>
      <c r="W120" s="2" t="n"/>
      <c r="X120" s="2" t="n"/>
      <c r="Y120" s="2" t="n"/>
      <c r="Z120" s="2" t="n"/>
    </row>
    <row r="121">
      <c r="A121" s="2" t="n"/>
      <c r="B121" s="2" t="n"/>
      <c r="C121" s="2" t="n"/>
      <c r="D121" s="2" t="n"/>
      <c r="E121" s="2" t="n"/>
      <c r="F121" s="2" t="n"/>
      <c r="G121" s="2" t="n"/>
      <c r="H121" s="2" t="n"/>
      <c r="I121" s="2" t="n"/>
      <c r="J121" s="2" t="n"/>
      <c r="K121" s="2" t="n"/>
      <c r="L121" s="2" t="n"/>
      <c r="M121" s="2" t="n"/>
      <c r="N121" s="2">
        <f>IF(COUNTA(O121:T121)&lt;6,"",ROUND(O121*0.3+P121*0.2+Q121*0.15+R121*0.15+S121*0.1+T121*0.1,0))</f>
        <v/>
      </c>
      <c r="O121" s="2" t="n"/>
      <c r="P121" s="2" t="n"/>
      <c r="Q121" s="2" t="n"/>
      <c r="R121" s="2" t="n"/>
      <c r="S121" s="2" t="n"/>
      <c r="T121" s="2" t="n"/>
      <c r="U121" s="2">
        <f>IF(OR(AA121="fail",AC121="fail"),"P4",IF(N121="","",IF(N121&gt;=90,"P1",IF(N121&gt;=80,"P1",IF(N121&gt;=70,"P2",IF(N121&gt;=60,"P3","P4"))))))</f>
        <v/>
      </c>
      <c r="V121" s="2">
        <f>IF(OR(AA121="fail",AC121="fail"),"SKIP",IF(N121="","",IF(N121&gt;=90,"APPLY ASAP",IF(N121&gt;=80,"APPLY",IF(N121&gt;=70,"CONSIDER",IF(N121&gt;=60,"STRETCH","SKIP"))))))</f>
        <v/>
      </c>
      <c r="W121" s="2" t="n"/>
      <c r="X121" s="2" t="n"/>
      <c r="Y121" s="2" t="n"/>
      <c r="Z121" s="2" t="n"/>
    </row>
    <row r="122">
      <c r="A122" s="2" t="n"/>
      <c r="B122" s="2" t="n"/>
      <c r="C122" s="2" t="n"/>
      <c r="D122" s="2" t="n"/>
      <c r="E122" s="2" t="n"/>
      <c r="F122" s="2" t="n"/>
      <c r="G122" s="2" t="n"/>
      <c r="H122" s="2" t="n"/>
      <c r="I122" s="2" t="n"/>
      <c r="J122" s="2" t="n"/>
      <c r="K122" s="2" t="n"/>
      <c r="L122" s="2" t="n"/>
      <c r="M122" s="2" t="n"/>
      <c r="N122" s="2">
        <f>IF(COUNTA(O122:T122)&lt;6,"",ROUND(O122*0.3+P122*0.2+Q122*0.15+R122*0.15+S122*0.1+T122*0.1,0))</f>
        <v/>
      </c>
      <c r="O122" s="2" t="n"/>
      <c r="P122" s="2" t="n"/>
      <c r="Q122" s="2" t="n"/>
      <c r="R122" s="2" t="n"/>
      <c r="S122" s="2" t="n"/>
      <c r="T122" s="2" t="n"/>
      <c r="U122" s="2">
        <f>IF(OR(AA122="fail",AC122="fail"),"P4",IF(N122="","",IF(N122&gt;=90,"P1",IF(N122&gt;=80,"P1",IF(N122&gt;=70,"P2",IF(N122&gt;=60,"P3","P4"))))))</f>
        <v/>
      </c>
      <c r="V122" s="2">
        <f>IF(OR(AA122="fail",AC122="fail"),"SKIP",IF(N122="","",IF(N122&gt;=90,"APPLY ASAP",IF(N122&gt;=80,"APPLY",IF(N122&gt;=70,"CONSIDER",IF(N122&gt;=60,"STRETCH","SKIP"))))))</f>
        <v/>
      </c>
      <c r="W122" s="2" t="n"/>
      <c r="X122" s="2" t="n"/>
      <c r="Y122" s="2" t="n"/>
      <c r="Z122" s="2" t="n"/>
    </row>
    <row r="123">
      <c r="A123" s="2" t="n"/>
      <c r="B123" s="2" t="n"/>
      <c r="C123" s="2" t="n"/>
      <c r="D123" s="2" t="n"/>
      <c r="E123" s="2" t="n"/>
      <c r="F123" s="2" t="n"/>
      <c r="G123" s="2" t="n"/>
      <c r="H123" s="2" t="n"/>
      <c r="I123" s="2" t="n"/>
      <c r="J123" s="2" t="n"/>
      <c r="K123" s="2" t="n"/>
      <c r="L123" s="2" t="n"/>
      <c r="M123" s="2" t="n"/>
      <c r="N123" s="2">
        <f>IF(COUNTA(O123:T123)&lt;6,"",ROUND(O123*0.3+P123*0.2+Q123*0.15+R123*0.15+S123*0.1+T123*0.1,0))</f>
        <v/>
      </c>
      <c r="O123" s="2" t="n"/>
      <c r="P123" s="2" t="n"/>
      <c r="Q123" s="2" t="n"/>
      <c r="R123" s="2" t="n"/>
      <c r="S123" s="2" t="n"/>
      <c r="T123" s="2" t="n"/>
      <c r="U123" s="2">
        <f>IF(OR(AA123="fail",AC123="fail"),"P4",IF(N123="","",IF(N123&gt;=90,"P1",IF(N123&gt;=80,"P1",IF(N123&gt;=70,"P2",IF(N123&gt;=60,"P3","P4"))))))</f>
        <v/>
      </c>
      <c r="V123" s="2">
        <f>IF(OR(AA123="fail",AC123="fail"),"SKIP",IF(N123="","",IF(N123&gt;=90,"APPLY ASAP",IF(N123&gt;=80,"APPLY",IF(N123&gt;=70,"CONSIDER",IF(N123&gt;=60,"STRETCH","SKIP"))))))</f>
        <v/>
      </c>
      <c r="W123" s="2" t="n"/>
      <c r="X123" s="2" t="n"/>
      <c r="Y123" s="2" t="n"/>
      <c r="Z123" s="2" t="n"/>
    </row>
    <row r="124">
      <c r="A124" s="2" t="n"/>
      <c r="B124" s="2" t="n"/>
      <c r="C124" s="2" t="n"/>
      <c r="D124" s="2" t="n"/>
      <c r="E124" s="2" t="n"/>
      <c r="F124" s="2" t="n"/>
      <c r="G124" s="2" t="n"/>
      <c r="H124" s="2" t="n"/>
      <c r="I124" s="2" t="n"/>
      <c r="J124" s="2" t="n"/>
      <c r="K124" s="2" t="n"/>
      <c r="L124" s="2" t="n"/>
      <c r="M124" s="2" t="n"/>
      <c r="N124" s="2">
        <f>IF(COUNTA(O124:T124)&lt;6,"",ROUND(O124*0.3+P124*0.2+Q124*0.15+R124*0.15+S124*0.1+T124*0.1,0))</f>
        <v/>
      </c>
      <c r="O124" s="2" t="n"/>
      <c r="P124" s="2" t="n"/>
      <c r="Q124" s="2" t="n"/>
      <c r="R124" s="2" t="n"/>
      <c r="S124" s="2" t="n"/>
      <c r="T124" s="2" t="n"/>
      <c r="U124" s="2">
        <f>IF(OR(AA124="fail",AC124="fail"),"P4",IF(N124="","",IF(N124&gt;=90,"P1",IF(N124&gt;=80,"P1",IF(N124&gt;=70,"P2",IF(N124&gt;=60,"P3","P4"))))))</f>
        <v/>
      </c>
      <c r="V124" s="2">
        <f>IF(OR(AA124="fail",AC124="fail"),"SKIP",IF(N124="","",IF(N124&gt;=90,"APPLY ASAP",IF(N124&gt;=80,"APPLY",IF(N124&gt;=70,"CONSIDER",IF(N124&gt;=60,"STRETCH","SKIP"))))))</f>
        <v/>
      </c>
      <c r="W124" s="2" t="n"/>
      <c r="X124" s="2" t="n"/>
      <c r="Y124" s="2" t="n"/>
      <c r="Z124" s="2" t="n"/>
    </row>
    <row r="125">
      <c r="A125" s="2" t="n"/>
      <c r="B125" s="2" t="n"/>
      <c r="C125" s="2" t="n"/>
      <c r="D125" s="2" t="n"/>
      <c r="E125" s="2" t="n"/>
      <c r="F125" s="2" t="n"/>
      <c r="G125" s="2" t="n"/>
      <c r="H125" s="2" t="n"/>
      <c r="I125" s="2" t="n"/>
      <c r="J125" s="2" t="n"/>
      <c r="K125" s="2" t="n"/>
      <c r="L125" s="2" t="n"/>
      <c r="M125" s="2" t="n"/>
      <c r="N125" s="2">
        <f>IF(COUNTA(O125:T125)&lt;6,"",ROUND(O125*0.3+P125*0.2+Q125*0.15+R125*0.15+S125*0.1+T125*0.1,0))</f>
        <v/>
      </c>
      <c r="O125" s="2" t="n"/>
      <c r="P125" s="2" t="n"/>
      <c r="Q125" s="2" t="n"/>
      <c r="R125" s="2" t="n"/>
      <c r="S125" s="2" t="n"/>
      <c r="T125" s="2" t="n"/>
      <c r="U125" s="2">
        <f>IF(OR(AA125="fail",AC125="fail"),"P4",IF(N125="","",IF(N125&gt;=90,"P1",IF(N125&gt;=80,"P1",IF(N125&gt;=70,"P2",IF(N125&gt;=60,"P3","P4"))))))</f>
        <v/>
      </c>
      <c r="V125" s="2">
        <f>IF(OR(AA125="fail",AC125="fail"),"SKIP",IF(N125="","",IF(N125&gt;=90,"APPLY ASAP",IF(N125&gt;=80,"APPLY",IF(N125&gt;=70,"CONSIDER",IF(N125&gt;=60,"STRETCH","SKIP"))))))</f>
        <v/>
      </c>
      <c r="W125" s="2" t="n"/>
      <c r="X125" s="2" t="n"/>
      <c r="Y125" s="2" t="n"/>
      <c r="Z125" s="2" t="n"/>
    </row>
    <row r="126">
      <c r="A126" s="2" t="n"/>
      <c r="B126" s="2" t="n"/>
      <c r="C126" s="2" t="n"/>
      <c r="D126" s="2" t="n"/>
      <c r="E126" s="2" t="n"/>
      <c r="F126" s="2" t="n"/>
      <c r="G126" s="2" t="n"/>
      <c r="H126" s="2" t="n"/>
      <c r="I126" s="2" t="n"/>
      <c r="J126" s="2" t="n"/>
      <c r="K126" s="2" t="n"/>
      <c r="L126" s="2" t="n"/>
      <c r="M126" s="2" t="n"/>
      <c r="N126" s="2">
        <f>IF(COUNTA(O126:T126)&lt;6,"",ROUND(O126*0.3+P126*0.2+Q126*0.15+R126*0.15+S126*0.1+T126*0.1,0))</f>
        <v/>
      </c>
      <c r="O126" s="2" t="n"/>
      <c r="P126" s="2" t="n"/>
      <c r="Q126" s="2" t="n"/>
      <c r="R126" s="2" t="n"/>
      <c r="S126" s="2" t="n"/>
      <c r="T126" s="2" t="n"/>
      <c r="U126" s="2">
        <f>IF(OR(AA126="fail",AC126="fail"),"P4",IF(N126="","",IF(N126&gt;=90,"P1",IF(N126&gt;=80,"P1",IF(N126&gt;=70,"P2",IF(N126&gt;=60,"P3","P4"))))))</f>
        <v/>
      </c>
      <c r="V126" s="2">
        <f>IF(OR(AA126="fail",AC126="fail"),"SKIP",IF(N126="","",IF(N126&gt;=90,"APPLY ASAP",IF(N126&gt;=80,"APPLY",IF(N126&gt;=70,"CONSIDER",IF(N126&gt;=60,"STRETCH","SKIP"))))))</f>
        <v/>
      </c>
      <c r="W126" s="2" t="n"/>
      <c r="X126" s="2" t="n"/>
      <c r="Y126" s="2" t="n"/>
      <c r="Z126" s="2" t="n"/>
    </row>
    <row r="127">
      <c r="A127" s="2" t="n"/>
      <c r="B127" s="2" t="n"/>
      <c r="C127" s="2" t="n"/>
      <c r="D127" s="2" t="n"/>
      <c r="E127" s="2" t="n"/>
      <c r="F127" s="2" t="n"/>
      <c r="G127" s="2" t="n"/>
      <c r="H127" s="2" t="n"/>
      <c r="I127" s="2" t="n"/>
      <c r="J127" s="2" t="n"/>
      <c r="K127" s="2" t="n"/>
      <c r="L127" s="2" t="n"/>
      <c r="M127" s="2" t="n"/>
      <c r="N127" s="2">
        <f>IF(COUNTA(O127:T127)&lt;6,"",ROUND(O127*0.3+P127*0.2+Q127*0.15+R127*0.15+S127*0.1+T127*0.1,0))</f>
        <v/>
      </c>
      <c r="O127" s="2" t="n"/>
      <c r="P127" s="2" t="n"/>
      <c r="Q127" s="2" t="n"/>
      <c r="R127" s="2" t="n"/>
      <c r="S127" s="2" t="n"/>
      <c r="T127" s="2" t="n"/>
      <c r="U127" s="2">
        <f>IF(OR(AA127="fail",AC127="fail"),"P4",IF(N127="","",IF(N127&gt;=90,"P1",IF(N127&gt;=80,"P1",IF(N127&gt;=70,"P2",IF(N127&gt;=60,"P3","P4"))))))</f>
        <v/>
      </c>
      <c r="V127" s="2">
        <f>IF(OR(AA127="fail",AC127="fail"),"SKIP",IF(N127="","",IF(N127&gt;=90,"APPLY ASAP",IF(N127&gt;=80,"APPLY",IF(N127&gt;=70,"CONSIDER",IF(N127&gt;=60,"STRETCH","SKIP"))))))</f>
        <v/>
      </c>
      <c r="W127" s="2" t="n"/>
      <c r="X127" s="2" t="n"/>
      <c r="Y127" s="2" t="n"/>
      <c r="Z127" s="2" t="n"/>
    </row>
    <row r="128">
      <c r="A128" s="2" t="n"/>
      <c r="B128" s="2" t="n"/>
      <c r="C128" s="2" t="n"/>
      <c r="D128" s="2" t="n"/>
      <c r="E128" s="2" t="n"/>
      <c r="F128" s="2" t="n"/>
      <c r="G128" s="2" t="n"/>
      <c r="H128" s="2" t="n"/>
      <c r="I128" s="2" t="n"/>
      <c r="J128" s="2" t="n"/>
      <c r="K128" s="2" t="n"/>
      <c r="L128" s="2" t="n"/>
      <c r="M128" s="2" t="n"/>
      <c r="N128" s="2">
        <f>IF(COUNTA(O128:T128)&lt;6,"",ROUND(O128*0.3+P128*0.2+Q128*0.15+R128*0.15+S128*0.1+T128*0.1,0))</f>
        <v/>
      </c>
      <c r="O128" s="2" t="n"/>
      <c r="P128" s="2" t="n"/>
      <c r="Q128" s="2" t="n"/>
      <c r="R128" s="2" t="n"/>
      <c r="S128" s="2" t="n"/>
      <c r="T128" s="2" t="n"/>
      <c r="U128" s="2">
        <f>IF(OR(AA128="fail",AC128="fail"),"P4",IF(N128="","",IF(N128&gt;=90,"P1",IF(N128&gt;=80,"P1",IF(N128&gt;=70,"P2",IF(N128&gt;=60,"P3","P4"))))))</f>
        <v/>
      </c>
      <c r="V128" s="2">
        <f>IF(OR(AA128="fail",AC128="fail"),"SKIP",IF(N128="","",IF(N128&gt;=90,"APPLY ASAP",IF(N128&gt;=80,"APPLY",IF(N128&gt;=70,"CONSIDER",IF(N128&gt;=60,"STRETCH","SKIP"))))))</f>
        <v/>
      </c>
      <c r="W128" s="2" t="n"/>
      <c r="X128" s="2" t="n"/>
      <c r="Y128" s="2" t="n"/>
      <c r="Z128" s="2" t="n"/>
    </row>
    <row r="129">
      <c r="A129" s="2" t="n"/>
      <c r="B129" s="2" t="n"/>
      <c r="C129" s="2" t="n"/>
      <c r="D129" s="2" t="n"/>
      <c r="E129" s="2" t="n"/>
      <c r="F129" s="2" t="n"/>
      <c r="G129" s="2" t="n"/>
      <c r="H129" s="2" t="n"/>
      <c r="I129" s="2" t="n"/>
      <c r="J129" s="2" t="n"/>
      <c r="K129" s="2" t="n"/>
      <c r="L129" s="2" t="n"/>
      <c r="M129" s="2" t="n"/>
      <c r="N129" s="2">
        <f>IF(COUNTA(O129:T129)&lt;6,"",ROUND(O129*0.3+P129*0.2+Q129*0.15+R129*0.15+S129*0.1+T129*0.1,0))</f>
        <v/>
      </c>
      <c r="O129" s="2" t="n"/>
      <c r="P129" s="2" t="n"/>
      <c r="Q129" s="2" t="n"/>
      <c r="R129" s="2" t="n"/>
      <c r="S129" s="2" t="n"/>
      <c r="T129" s="2" t="n"/>
      <c r="U129" s="2">
        <f>IF(OR(AA129="fail",AC129="fail"),"P4",IF(N129="","",IF(N129&gt;=90,"P1",IF(N129&gt;=80,"P1",IF(N129&gt;=70,"P2",IF(N129&gt;=60,"P3","P4"))))))</f>
        <v/>
      </c>
      <c r="V129" s="2">
        <f>IF(OR(AA129="fail",AC129="fail"),"SKIP",IF(N129="","",IF(N129&gt;=90,"APPLY ASAP",IF(N129&gt;=80,"APPLY",IF(N129&gt;=70,"CONSIDER",IF(N129&gt;=60,"STRETCH","SKIP"))))))</f>
        <v/>
      </c>
      <c r="W129" s="2" t="n"/>
      <c r="X129" s="2" t="n"/>
      <c r="Y129" s="2" t="n"/>
      <c r="Z129" s="2" t="n"/>
    </row>
    <row r="130">
      <c r="A130" s="2" t="n"/>
      <c r="B130" s="2" t="n"/>
      <c r="C130" s="2" t="n"/>
      <c r="D130" s="2" t="n"/>
      <c r="E130" s="2" t="n"/>
      <c r="F130" s="2" t="n"/>
      <c r="G130" s="2" t="n"/>
      <c r="H130" s="2" t="n"/>
      <c r="I130" s="2" t="n"/>
      <c r="J130" s="2" t="n"/>
      <c r="K130" s="2" t="n"/>
      <c r="L130" s="2" t="n"/>
      <c r="M130" s="2" t="n"/>
      <c r="N130" s="2">
        <f>IF(COUNTA(O130:T130)&lt;6,"",ROUND(O130*0.3+P130*0.2+Q130*0.15+R130*0.15+S130*0.1+T130*0.1,0))</f>
        <v/>
      </c>
      <c r="O130" s="2" t="n"/>
      <c r="P130" s="2" t="n"/>
      <c r="Q130" s="2" t="n"/>
      <c r="R130" s="2" t="n"/>
      <c r="S130" s="2" t="n"/>
      <c r="T130" s="2" t="n"/>
      <c r="U130" s="2">
        <f>IF(OR(AA130="fail",AC130="fail"),"P4",IF(N130="","",IF(N130&gt;=90,"P1",IF(N130&gt;=80,"P1",IF(N130&gt;=70,"P2",IF(N130&gt;=60,"P3","P4"))))))</f>
        <v/>
      </c>
      <c r="V130" s="2">
        <f>IF(OR(AA130="fail",AC130="fail"),"SKIP",IF(N130="","",IF(N130&gt;=90,"APPLY ASAP",IF(N130&gt;=80,"APPLY",IF(N130&gt;=70,"CONSIDER",IF(N130&gt;=60,"STRETCH","SKIP"))))))</f>
        <v/>
      </c>
      <c r="W130" s="2" t="n"/>
      <c r="X130" s="2" t="n"/>
      <c r="Y130" s="2" t="n"/>
      <c r="Z130" s="2" t="n"/>
    </row>
    <row r="131">
      <c r="A131" s="2" t="n"/>
      <c r="B131" s="2" t="n"/>
      <c r="C131" s="2" t="n"/>
      <c r="D131" s="2" t="n"/>
      <c r="E131" s="2" t="n"/>
      <c r="F131" s="2" t="n"/>
      <c r="G131" s="2" t="n"/>
      <c r="H131" s="2" t="n"/>
      <c r="I131" s="2" t="n"/>
      <c r="J131" s="2" t="n"/>
      <c r="K131" s="2" t="n"/>
      <c r="L131" s="2" t="n"/>
      <c r="M131" s="2" t="n"/>
      <c r="N131" s="2">
        <f>IF(COUNTA(O131:T131)&lt;6,"",ROUND(O131*0.3+P131*0.2+Q131*0.15+R131*0.15+S131*0.1+T131*0.1,0))</f>
        <v/>
      </c>
      <c r="O131" s="2" t="n"/>
      <c r="P131" s="2" t="n"/>
      <c r="Q131" s="2" t="n"/>
      <c r="R131" s="2" t="n"/>
      <c r="S131" s="2" t="n"/>
      <c r="T131" s="2" t="n"/>
      <c r="U131" s="2">
        <f>IF(OR(AA131="fail",AC131="fail"),"P4",IF(N131="","",IF(N131&gt;=90,"P1",IF(N131&gt;=80,"P1",IF(N131&gt;=70,"P2",IF(N131&gt;=60,"P3","P4"))))))</f>
        <v/>
      </c>
      <c r="V131" s="2">
        <f>IF(OR(AA131="fail",AC131="fail"),"SKIP",IF(N131="","",IF(N131&gt;=90,"APPLY ASAP",IF(N131&gt;=80,"APPLY",IF(N131&gt;=70,"CONSIDER",IF(N131&gt;=60,"STRETCH","SKIP"))))))</f>
        <v/>
      </c>
      <c r="W131" s="2" t="n"/>
      <c r="X131" s="2" t="n"/>
      <c r="Y131" s="2" t="n"/>
      <c r="Z131" s="2" t="n"/>
    </row>
    <row r="132">
      <c r="A132" s="2" t="n"/>
      <c r="B132" s="2" t="n"/>
      <c r="C132" s="2" t="n"/>
      <c r="D132" s="2" t="n"/>
      <c r="E132" s="2" t="n"/>
      <c r="F132" s="2" t="n"/>
      <c r="G132" s="2" t="n"/>
      <c r="H132" s="2" t="n"/>
      <c r="I132" s="2" t="n"/>
      <c r="J132" s="2" t="n"/>
      <c r="K132" s="2" t="n"/>
      <c r="L132" s="2" t="n"/>
      <c r="M132" s="2" t="n"/>
      <c r="N132" s="2">
        <f>IF(COUNTA(O132:T132)&lt;6,"",ROUND(O132*0.3+P132*0.2+Q132*0.15+R132*0.15+S132*0.1+T132*0.1,0))</f>
        <v/>
      </c>
      <c r="O132" s="2" t="n"/>
      <c r="P132" s="2" t="n"/>
      <c r="Q132" s="2" t="n"/>
      <c r="R132" s="2" t="n"/>
      <c r="S132" s="2" t="n"/>
      <c r="T132" s="2" t="n"/>
      <c r="U132" s="2">
        <f>IF(OR(AA132="fail",AC132="fail"),"P4",IF(N132="","",IF(N132&gt;=90,"P1",IF(N132&gt;=80,"P1",IF(N132&gt;=70,"P2",IF(N132&gt;=60,"P3","P4"))))))</f>
        <v/>
      </c>
      <c r="V132" s="2">
        <f>IF(OR(AA132="fail",AC132="fail"),"SKIP",IF(N132="","",IF(N132&gt;=90,"APPLY ASAP",IF(N132&gt;=80,"APPLY",IF(N132&gt;=70,"CONSIDER",IF(N132&gt;=60,"STRETCH","SKIP"))))))</f>
        <v/>
      </c>
      <c r="W132" s="2" t="n"/>
      <c r="X132" s="2" t="n"/>
      <c r="Y132" s="2" t="n"/>
      <c r="Z132" s="2" t="n"/>
    </row>
    <row r="133">
      <c r="A133" s="2" t="n"/>
      <c r="B133" s="2" t="n"/>
      <c r="C133" s="2" t="n"/>
      <c r="D133" s="2" t="n"/>
      <c r="E133" s="2" t="n"/>
      <c r="F133" s="2" t="n"/>
      <c r="G133" s="2" t="n"/>
      <c r="H133" s="2" t="n"/>
      <c r="I133" s="2" t="n"/>
      <c r="J133" s="2" t="n"/>
      <c r="K133" s="2" t="n"/>
      <c r="L133" s="2" t="n"/>
      <c r="M133" s="2" t="n"/>
      <c r="N133" s="2">
        <f>IF(COUNTA(O133:T133)&lt;6,"",ROUND(O133*0.3+P133*0.2+Q133*0.15+R133*0.15+S133*0.1+T133*0.1,0))</f>
        <v/>
      </c>
      <c r="O133" s="2" t="n"/>
      <c r="P133" s="2" t="n"/>
      <c r="Q133" s="2" t="n"/>
      <c r="R133" s="2" t="n"/>
      <c r="S133" s="2" t="n"/>
      <c r="T133" s="2" t="n"/>
      <c r="U133" s="2">
        <f>IF(OR(AA133="fail",AC133="fail"),"P4",IF(N133="","",IF(N133&gt;=90,"P1",IF(N133&gt;=80,"P1",IF(N133&gt;=70,"P2",IF(N133&gt;=60,"P3","P4"))))))</f>
        <v/>
      </c>
      <c r="V133" s="2">
        <f>IF(OR(AA133="fail",AC133="fail"),"SKIP",IF(N133="","",IF(N133&gt;=90,"APPLY ASAP",IF(N133&gt;=80,"APPLY",IF(N133&gt;=70,"CONSIDER",IF(N133&gt;=60,"STRETCH","SKIP"))))))</f>
        <v/>
      </c>
      <c r="W133" s="2" t="n"/>
      <c r="X133" s="2" t="n"/>
      <c r="Y133" s="2" t="n"/>
      <c r="Z133" s="2" t="n"/>
    </row>
    <row r="134">
      <c r="A134" s="2" t="n"/>
      <c r="B134" s="2" t="n"/>
      <c r="C134" s="2" t="n"/>
      <c r="D134" s="2" t="n"/>
      <c r="E134" s="2" t="n"/>
      <c r="F134" s="2" t="n"/>
      <c r="G134" s="2" t="n"/>
      <c r="H134" s="2" t="n"/>
      <c r="I134" s="2" t="n"/>
      <c r="J134" s="2" t="n"/>
      <c r="K134" s="2" t="n"/>
      <c r="L134" s="2" t="n"/>
      <c r="M134" s="2" t="n"/>
      <c r="N134" s="2">
        <f>IF(COUNTA(O134:T134)&lt;6,"",ROUND(O134*0.3+P134*0.2+Q134*0.15+R134*0.15+S134*0.1+T134*0.1,0))</f>
        <v/>
      </c>
      <c r="O134" s="2" t="n"/>
      <c r="P134" s="2" t="n"/>
      <c r="Q134" s="2" t="n"/>
      <c r="R134" s="2" t="n"/>
      <c r="S134" s="2" t="n"/>
      <c r="T134" s="2" t="n"/>
      <c r="U134" s="2">
        <f>IF(OR(AA134="fail",AC134="fail"),"P4",IF(N134="","",IF(N134&gt;=90,"P1",IF(N134&gt;=80,"P1",IF(N134&gt;=70,"P2",IF(N134&gt;=60,"P3","P4"))))))</f>
        <v/>
      </c>
      <c r="V134" s="2">
        <f>IF(OR(AA134="fail",AC134="fail"),"SKIP",IF(N134="","",IF(N134&gt;=90,"APPLY ASAP",IF(N134&gt;=80,"APPLY",IF(N134&gt;=70,"CONSIDER",IF(N134&gt;=60,"STRETCH","SKIP"))))))</f>
        <v/>
      </c>
      <c r="W134" s="2" t="n"/>
      <c r="X134" s="2" t="n"/>
      <c r="Y134" s="2" t="n"/>
      <c r="Z134" s="2" t="n"/>
    </row>
    <row r="135">
      <c r="A135" s="2" t="n"/>
      <c r="B135" s="2" t="n"/>
      <c r="C135" s="2" t="n"/>
      <c r="D135" s="2" t="n"/>
      <c r="E135" s="2" t="n"/>
      <c r="F135" s="2" t="n"/>
      <c r="G135" s="2" t="n"/>
      <c r="H135" s="2" t="n"/>
      <c r="I135" s="2" t="n"/>
      <c r="J135" s="2" t="n"/>
      <c r="K135" s="2" t="n"/>
      <c r="L135" s="2" t="n"/>
      <c r="M135" s="2" t="n"/>
      <c r="N135" s="2">
        <f>IF(COUNTA(O135:T135)&lt;6,"",ROUND(O135*0.3+P135*0.2+Q135*0.15+R135*0.15+S135*0.1+T135*0.1,0))</f>
        <v/>
      </c>
      <c r="O135" s="2" t="n"/>
      <c r="P135" s="2" t="n"/>
      <c r="Q135" s="2" t="n"/>
      <c r="R135" s="2" t="n"/>
      <c r="S135" s="2" t="n"/>
      <c r="T135" s="2" t="n"/>
      <c r="U135" s="2">
        <f>IF(OR(AA135="fail",AC135="fail"),"P4",IF(N135="","",IF(N135&gt;=90,"P1",IF(N135&gt;=80,"P1",IF(N135&gt;=70,"P2",IF(N135&gt;=60,"P3","P4"))))))</f>
        <v/>
      </c>
      <c r="V135" s="2">
        <f>IF(OR(AA135="fail",AC135="fail"),"SKIP",IF(N135="","",IF(N135&gt;=90,"APPLY ASAP",IF(N135&gt;=80,"APPLY",IF(N135&gt;=70,"CONSIDER",IF(N135&gt;=60,"STRETCH","SKIP"))))))</f>
        <v/>
      </c>
      <c r="W135" s="2" t="n"/>
      <c r="X135" s="2" t="n"/>
      <c r="Y135" s="2" t="n"/>
      <c r="Z135" s="2" t="n"/>
    </row>
    <row r="136">
      <c r="A136" s="2" t="n"/>
      <c r="B136" s="2" t="n"/>
      <c r="C136" s="2" t="n"/>
      <c r="D136" s="2" t="n"/>
      <c r="E136" s="2" t="n"/>
      <c r="F136" s="2" t="n"/>
      <c r="G136" s="2" t="n"/>
      <c r="H136" s="2" t="n"/>
      <c r="I136" s="2" t="n"/>
      <c r="J136" s="2" t="n"/>
      <c r="K136" s="2" t="n"/>
      <c r="L136" s="2" t="n"/>
      <c r="M136" s="2" t="n"/>
      <c r="N136" s="2">
        <f>IF(COUNTA(O136:T136)&lt;6,"",ROUND(O136*0.3+P136*0.2+Q136*0.15+R136*0.15+S136*0.1+T136*0.1,0))</f>
        <v/>
      </c>
      <c r="O136" s="2" t="n"/>
      <c r="P136" s="2" t="n"/>
      <c r="Q136" s="2" t="n"/>
      <c r="R136" s="2" t="n"/>
      <c r="S136" s="2" t="n"/>
      <c r="T136" s="2" t="n"/>
      <c r="U136" s="2">
        <f>IF(OR(AA136="fail",AC136="fail"),"P4",IF(N136="","",IF(N136&gt;=90,"P1",IF(N136&gt;=80,"P1",IF(N136&gt;=70,"P2",IF(N136&gt;=60,"P3","P4"))))))</f>
        <v/>
      </c>
      <c r="V136" s="2">
        <f>IF(OR(AA136="fail",AC136="fail"),"SKIP",IF(N136="","",IF(N136&gt;=90,"APPLY ASAP",IF(N136&gt;=80,"APPLY",IF(N136&gt;=70,"CONSIDER",IF(N136&gt;=60,"STRETCH","SKIP"))))))</f>
        <v/>
      </c>
      <c r="W136" s="2" t="n"/>
      <c r="X136" s="2" t="n"/>
      <c r="Y136" s="2" t="n"/>
      <c r="Z136" s="2" t="n"/>
    </row>
    <row r="137">
      <c r="A137" s="2" t="n"/>
      <c r="B137" s="2" t="n"/>
      <c r="C137" s="2" t="n"/>
      <c r="D137" s="2" t="n"/>
      <c r="E137" s="2" t="n"/>
      <c r="F137" s="2" t="n"/>
      <c r="G137" s="2" t="n"/>
      <c r="H137" s="2" t="n"/>
      <c r="I137" s="2" t="n"/>
      <c r="J137" s="2" t="n"/>
      <c r="K137" s="2" t="n"/>
      <c r="L137" s="2" t="n"/>
      <c r="M137" s="2" t="n"/>
      <c r="N137" s="2">
        <f>IF(COUNTA(O137:T137)&lt;6,"",ROUND(O137*0.3+P137*0.2+Q137*0.15+R137*0.15+S137*0.1+T137*0.1,0))</f>
        <v/>
      </c>
      <c r="O137" s="2" t="n"/>
      <c r="P137" s="2" t="n"/>
      <c r="Q137" s="2" t="n"/>
      <c r="R137" s="2" t="n"/>
      <c r="S137" s="2" t="n"/>
      <c r="T137" s="2" t="n"/>
      <c r="U137" s="2">
        <f>IF(OR(AA137="fail",AC137="fail"),"P4",IF(N137="","",IF(N137&gt;=90,"P1",IF(N137&gt;=80,"P1",IF(N137&gt;=70,"P2",IF(N137&gt;=60,"P3","P4"))))))</f>
        <v/>
      </c>
      <c r="V137" s="2">
        <f>IF(OR(AA137="fail",AC137="fail"),"SKIP",IF(N137="","",IF(N137&gt;=90,"APPLY ASAP",IF(N137&gt;=80,"APPLY",IF(N137&gt;=70,"CONSIDER",IF(N137&gt;=60,"STRETCH","SKIP"))))))</f>
        <v/>
      </c>
      <c r="W137" s="2" t="n"/>
      <c r="X137" s="2" t="n"/>
      <c r="Y137" s="2" t="n"/>
      <c r="Z137" s="2" t="n"/>
    </row>
    <row r="138">
      <c r="A138" s="2" t="n"/>
      <c r="B138" s="2" t="n"/>
      <c r="C138" s="2" t="n"/>
      <c r="D138" s="2" t="n"/>
      <c r="E138" s="2" t="n"/>
      <c r="F138" s="2" t="n"/>
      <c r="G138" s="2" t="n"/>
      <c r="H138" s="2" t="n"/>
      <c r="I138" s="2" t="n"/>
      <c r="J138" s="2" t="n"/>
      <c r="K138" s="2" t="n"/>
      <c r="L138" s="2" t="n"/>
      <c r="M138" s="2" t="n"/>
      <c r="N138" s="2">
        <f>IF(COUNTA(O138:T138)&lt;6,"",ROUND(O138*0.3+P138*0.2+Q138*0.15+R138*0.15+S138*0.1+T138*0.1,0))</f>
        <v/>
      </c>
      <c r="O138" s="2" t="n"/>
      <c r="P138" s="2" t="n"/>
      <c r="Q138" s="2" t="n"/>
      <c r="R138" s="2" t="n"/>
      <c r="S138" s="2" t="n"/>
      <c r="T138" s="2" t="n"/>
      <c r="U138" s="2">
        <f>IF(OR(AA138="fail",AC138="fail"),"P4",IF(N138="","",IF(N138&gt;=90,"P1",IF(N138&gt;=80,"P1",IF(N138&gt;=70,"P2",IF(N138&gt;=60,"P3","P4"))))))</f>
        <v/>
      </c>
      <c r="V138" s="2">
        <f>IF(OR(AA138="fail",AC138="fail"),"SKIP",IF(N138="","",IF(N138&gt;=90,"APPLY ASAP",IF(N138&gt;=80,"APPLY",IF(N138&gt;=70,"CONSIDER",IF(N138&gt;=60,"STRETCH","SKIP"))))))</f>
        <v/>
      </c>
      <c r="W138" s="2" t="n"/>
      <c r="X138" s="2" t="n"/>
      <c r="Y138" s="2" t="n"/>
      <c r="Z138" s="2" t="n"/>
    </row>
    <row r="139">
      <c r="A139" s="2" t="n"/>
      <c r="B139" s="2" t="n"/>
      <c r="C139" s="2" t="n"/>
      <c r="D139" s="2" t="n"/>
      <c r="E139" s="2" t="n"/>
      <c r="F139" s="2" t="n"/>
      <c r="G139" s="2" t="n"/>
      <c r="H139" s="2" t="n"/>
      <c r="I139" s="2" t="n"/>
      <c r="J139" s="2" t="n"/>
      <c r="K139" s="2" t="n"/>
      <c r="L139" s="2" t="n"/>
      <c r="M139" s="2" t="n"/>
      <c r="N139" s="2">
        <f>IF(COUNTA(O139:T139)&lt;6,"",ROUND(O139*0.3+P139*0.2+Q139*0.15+R139*0.15+S139*0.1+T139*0.1,0))</f>
        <v/>
      </c>
      <c r="O139" s="2" t="n"/>
      <c r="P139" s="2" t="n"/>
      <c r="Q139" s="2" t="n"/>
      <c r="R139" s="2" t="n"/>
      <c r="S139" s="2" t="n"/>
      <c r="T139" s="2" t="n"/>
      <c r="U139" s="2">
        <f>IF(OR(AA139="fail",AC139="fail"),"P4",IF(N139="","",IF(N139&gt;=90,"P1",IF(N139&gt;=80,"P1",IF(N139&gt;=70,"P2",IF(N139&gt;=60,"P3","P4"))))))</f>
        <v/>
      </c>
      <c r="V139" s="2">
        <f>IF(OR(AA139="fail",AC139="fail"),"SKIP",IF(N139="","",IF(N139&gt;=90,"APPLY ASAP",IF(N139&gt;=80,"APPLY",IF(N139&gt;=70,"CONSIDER",IF(N139&gt;=60,"STRETCH","SKIP"))))))</f>
        <v/>
      </c>
      <c r="W139" s="2" t="n"/>
      <c r="X139" s="2" t="n"/>
      <c r="Y139" s="2" t="n"/>
      <c r="Z139" s="2" t="n"/>
    </row>
    <row r="140">
      <c r="A140" s="2" t="n"/>
      <c r="B140" s="2" t="n"/>
      <c r="C140" s="2" t="n"/>
      <c r="D140" s="2" t="n"/>
      <c r="E140" s="2" t="n"/>
      <c r="F140" s="2" t="n"/>
      <c r="G140" s="2" t="n"/>
      <c r="H140" s="2" t="n"/>
      <c r="I140" s="2" t="n"/>
      <c r="J140" s="2" t="n"/>
      <c r="K140" s="2" t="n"/>
      <c r="L140" s="2" t="n"/>
      <c r="M140" s="2" t="n"/>
      <c r="N140" s="2">
        <f>IF(COUNTA(O140:T140)&lt;6,"",ROUND(O140*0.3+P140*0.2+Q140*0.15+R140*0.15+S140*0.1+T140*0.1,0))</f>
        <v/>
      </c>
      <c r="O140" s="2" t="n"/>
      <c r="P140" s="2" t="n"/>
      <c r="Q140" s="2" t="n"/>
      <c r="R140" s="2" t="n"/>
      <c r="S140" s="2" t="n"/>
      <c r="T140" s="2" t="n"/>
      <c r="U140" s="2">
        <f>IF(OR(AA140="fail",AC140="fail"),"P4",IF(N140="","",IF(N140&gt;=90,"P1",IF(N140&gt;=80,"P1",IF(N140&gt;=70,"P2",IF(N140&gt;=60,"P3","P4"))))))</f>
        <v/>
      </c>
      <c r="V140" s="2">
        <f>IF(OR(AA140="fail",AC140="fail"),"SKIP",IF(N140="","",IF(N140&gt;=90,"APPLY ASAP",IF(N140&gt;=80,"APPLY",IF(N140&gt;=70,"CONSIDER",IF(N140&gt;=60,"STRETCH","SKIP"))))))</f>
        <v/>
      </c>
      <c r="W140" s="2" t="n"/>
      <c r="X140" s="2" t="n"/>
      <c r="Y140" s="2" t="n"/>
      <c r="Z140" s="2" t="n"/>
    </row>
    <row r="141">
      <c r="A141" s="2" t="n"/>
      <c r="B141" s="2" t="n"/>
      <c r="C141" s="2" t="n"/>
      <c r="D141" s="2" t="n"/>
      <c r="E141" s="2" t="n"/>
      <c r="F141" s="2" t="n"/>
      <c r="G141" s="2" t="n"/>
      <c r="H141" s="2" t="n"/>
      <c r="I141" s="2" t="n"/>
      <c r="J141" s="2" t="n"/>
      <c r="K141" s="2" t="n"/>
      <c r="L141" s="2" t="n"/>
      <c r="M141" s="2" t="n"/>
      <c r="N141" s="2">
        <f>IF(COUNTA(O141:T141)&lt;6,"",ROUND(O141*0.3+P141*0.2+Q141*0.15+R141*0.15+S141*0.1+T141*0.1,0))</f>
        <v/>
      </c>
      <c r="O141" s="2" t="n"/>
      <c r="P141" s="2" t="n"/>
      <c r="Q141" s="2" t="n"/>
      <c r="R141" s="2" t="n"/>
      <c r="S141" s="2" t="n"/>
      <c r="T141" s="2" t="n"/>
      <c r="U141" s="2">
        <f>IF(OR(AA141="fail",AC141="fail"),"P4",IF(N141="","",IF(N141&gt;=90,"P1",IF(N141&gt;=80,"P1",IF(N141&gt;=70,"P2",IF(N141&gt;=60,"P3","P4"))))))</f>
        <v/>
      </c>
      <c r="V141" s="2">
        <f>IF(OR(AA141="fail",AC141="fail"),"SKIP",IF(N141="","",IF(N141&gt;=90,"APPLY ASAP",IF(N141&gt;=80,"APPLY",IF(N141&gt;=70,"CONSIDER",IF(N141&gt;=60,"STRETCH","SKIP"))))))</f>
        <v/>
      </c>
      <c r="W141" s="2" t="n"/>
      <c r="X141" s="2" t="n"/>
      <c r="Y141" s="2" t="n"/>
      <c r="Z141" s="2" t="n"/>
    </row>
    <row r="142">
      <c r="A142" s="2" t="n"/>
      <c r="B142" s="2" t="n"/>
      <c r="C142" s="2" t="n"/>
      <c r="D142" s="2" t="n"/>
      <c r="E142" s="2" t="n"/>
      <c r="F142" s="2" t="n"/>
      <c r="G142" s="2" t="n"/>
      <c r="H142" s="2" t="n"/>
      <c r="I142" s="2" t="n"/>
      <c r="J142" s="2" t="n"/>
      <c r="K142" s="2" t="n"/>
      <c r="L142" s="2" t="n"/>
      <c r="M142" s="2" t="n"/>
      <c r="N142" s="2">
        <f>IF(COUNTA(O142:T142)&lt;6,"",ROUND(O142*0.3+P142*0.2+Q142*0.15+R142*0.15+S142*0.1+T142*0.1,0))</f>
        <v/>
      </c>
      <c r="O142" s="2" t="n"/>
      <c r="P142" s="2" t="n"/>
      <c r="Q142" s="2" t="n"/>
      <c r="R142" s="2" t="n"/>
      <c r="S142" s="2" t="n"/>
      <c r="T142" s="2" t="n"/>
      <c r="U142" s="2">
        <f>IF(OR(AA142="fail",AC142="fail"),"P4",IF(N142="","",IF(N142&gt;=90,"P1",IF(N142&gt;=80,"P1",IF(N142&gt;=70,"P2",IF(N142&gt;=60,"P3","P4"))))))</f>
        <v/>
      </c>
      <c r="V142" s="2">
        <f>IF(OR(AA142="fail",AC142="fail"),"SKIP",IF(N142="","",IF(N142&gt;=90,"APPLY ASAP",IF(N142&gt;=80,"APPLY",IF(N142&gt;=70,"CONSIDER",IF(N142&gt;=60,"STRETCH","SKIP"))))))</f>
        <v/>
      </c>
      <c r="W142" s="2" t="n"/>
      <c r="X142" s="2" t="n"/>
      <c r="Y142" s="2" t="n"/>
      <c r="Z142" s="2" t="n"/>
    </row>
    <row r="143">
      <c r="A143" s="2" t="n"/>
      <c r="B143" s="2" t="n"/>
      <c r="C143" s="2" t="n"/>
      <c r="D143" s="2" t="n"/>
      <c r="E143" s="2" t="n"/>
      <c r="F143" s="2" t="n"/>
      <c r="G143" s="2" t="n"/>
      <c r="H143" s="2" t="n"/>
      <c r="I143" s="2" t="n"/>
      <c r="J143" s="2" t="n"/>
      <c r="K143" s="2" t="n"/>
      <c r="L143" s="2" t="n"/>
      <c r="M143" s="2" t="n"/>
      <c r="N143" s="2">
        <f>IF(COUNTA(O143:T143)&lt;6,"",ROUND(O143*0.3+P143*0.2+Q143*0.15+R143*0.15+S143*0.1+T143*0.1,0))</f>
        <v/>
      </c>
      <c r="O143" s="2" t="n"/>
      <c r="P143" s="2" t="n"/>
      <c r="Q143" s="2" t="n"/>
      <c r="R143" s="2" t="n"/>
      <c r="S143" s="2" t="n"/>
      <c r="T143" s="2" t="n"/>
      <c r="U143" s="2">
        <f>IF(OR(AA143="fail",AC143="fail"),"P4",IF(N143="","",IF(N143&gt;=90,"P1",IF(N143&gt;=80,"P1",IF(N143&gt;=70,"P2",IF(N143&gt;=60,"P3","P4"))))))</f>
        <v/>
      </c>
      <c r="V143" s="2">
        <f>IF(OR(AA143="fail",AC143="fail"),"SKIP",IF(N143="","",IF(N143&gt;=90,"APPLY ASAP",IF(N143&gt;=80,"APPLY",IF(N143&gt;=70,"CONSIDER",IF(N143&gt;=60,"STRETCH","SKIP"))))))</f>
        <v/>
      </c>
      <c r="W143" s="2" t="n"/>
      <c r="X143" s="2" t="n"/>
      <c r="Y143" s="2" t="n"/>
      <c r="Z143" s="2" t="n"/>
    </row>
    <row r="144">
      <c r="A144" s="2" t="n"/>
      <c r="B144" s="2" t="n"/>
      <c r="C144" s="2" t="n"/>
      <c r="D144" s="2" t="n"/>
      <c r="E144" s="2" t="n"/>
      <c r="F144" s="2" t="n"/>
      <c r="G144" s="2" t="n"/>
      <c r="H144" s="2" t="n"/>
      <c r="I144" s="2" t="n"/>
      <c r="J144" s="2" t="n"/>
      <c r="K144" s="2" t="n"/>
      <c r="L144" s="2" t="n"/>
      <c r="M144" s="2" t="n"/>
      <c r="N144" s="2">
        <f>IF(COUNTA(O144:T144)&lt;6,"",ROUND(O144*0.3+P144*0.2+Q144*0.15+R144*0.15+S144*0.1+T144*0.1,0))</f>
        <v/>
      </c>
      <c r="O144" s="2" t="n"/>
      <c r="P144" s="2" t="n"/>
      <c r="Q144" s="2" t="n"/>
      <c r="R144" s="2" t="n"/>
      <c r="S144" s="2" t="n"/>
      <c r="T144" s="2" t="n"/>
      <c r="U144" s="2">
        <f>IF(OR(AA144="fail",AC144="fail"),"P4",IF(N144="","",IF(N144&gt;=90,"P1",IF(N144&gt;=80,"P1",IF(N144&gt;=70,"P2",IF(N144&gt;=60,"P3","P4"))))))</f>
        <v/>
      </c>
      <c r="V144" s="2">
        <f>IF(OR(AA144="fail",AC144="fail"),"SKIP",IF(N144="","",IF(N144&gt;=90,"APPLY ASAP",IF(N144&gt;=80,"APPLY",IF(N144&gt;=70,"CONSIDER",IF(N144&gt;=60,"STRETCH","SKIP"))))))</f>
        <v/>
      </c>
      <c r="W144" s="2" t="n"/>
      <c r="X144" s="2" t="n"/>
      <c r="Y144" s="2" t="n"/>
      <c r="Z144" s="2" t="n"/>
    </row>
    <row r="145">
      <c r="A145" s="2" t="n"/>
      <c r="B145" s="2" t="n"/>
      <c r="C145" s="2" t="n"/>
      <c r="D145" s="2" t="n"/>
      <c r="E145" s="2" t="n"/>
      <c r="F145" s="2" t="n"/>
      <c r="G145" s="2" t="n"/>
      <c r="H145" s="2" t="n"/>
      <c r="I145" s="2" t="n"/>
      <c r="J145" s="2" t="n"/>
      <c r="K145" s="2" t="n"/>
      <c r="L145" s="2" t="n"/>
      <c r="M145" s="2" t="n"/>
      <c r="N145" s="2">
        <f>IF(COUNTA(O145:T145)&lt;6,"",ROUND(O145*0.3+P145*0.2+Q145*0.15+R145*0.15+S145*0.1+T145*0.1,0))</f>
        <v/>
      </c>
      <c r="O145" s="2" t="n"/>
      <c r="P145" s="2" t="n"/>
      <c r="Q145" s="2" t="n"/>
      <c r="R145" s="2" t="n"/>
      <c r="S145" s="2" t="n"/>
      <c r="T145" s="2" t="n"/>
      <c r="U145" s="2">
        <f>IF(OR(AA145="fail",AC145="fail"),"P4",IF(N145="","",IF(N145&gt;=90,"P1",IF(N145&gt;=80,"P1",IF(N145&gt;=70,"P2",IF(N145&gt;=60,"P3","P4"))))))</f>
        <v/>
      </c>
      <c r="V145" s="2">
        <f>IF(OR(AA145="fail",AC145="fail"),"SKIP",IF(N145="","",IF(N145&gt;=90,"APPLY ASAP",IF(N145&gt;=80,"APPLY",IF(N145&gt;=70,"CONSIDER",IF(N145&gt;=60,"STRETCH","SKIP"))))))</f>
        <v/>
      </c>
      <c r="W145" s="2" t="n"/>
      <c r="X145" s="2" t="n"/>
      <c r="Y145" s="2" t="n"/>
      <c r="Z145" s="2" t="n"/>
    </row>
    <row r="146">
      <c r="A146" s="2" t="n"/>
      <c r="B146" s="2" t="n"/>
      <c r="C146" s="2" t="n"/>
      <c r="D146" s="2" t="n"/>
      <c r="E146" s="2" t="n"/>
      <c r="F146" s="2" t="n"/>
      <c r="G146" s="2" t="n"/>
      <c r="H146" s="2" t="n"/>
      <c r="I146" s="2" t="n"/>
      <c r="J146" s="2" t="n"/>
      <c r="K146" s="2" t="n"/>
      <c r="L146" s="2" t="n"/>
      <c r="M146" s="2" t="n"/>
      <c r="N146" s="2">
        <f>IF(COUNTA(O146:T146)&lt;6,"",ROUND(O146*0.3+P146*0.2+Q146*0.15+R146*0.15+S146*0.1+T146*0.1,0))</f>
        <v/>
      </c>
      <c r="O146" s="2" t="n"/>
      <c r="P146" s="2" t="n"/>
      <c r="Q146" s="2" t="n"/>
      <c r="R146" s="2" t="n"/>
      <c r="S146" s="2" t="n"/>
      <c r="T146" s="2" t="n"/>
      <c r="U146" s="2">
        <f>IF(OR(AA146="fail",AC146="fail"),"P4",IF(N146="","",IF(N146&gt;=90,"P1",IF(N146&gt;=80,"P1",IF(N146&gt;=70,"P2",IF(N146&gt;=60,"P3","P4"))))))</f>
        <v/>
      </c>
      <c r="V146" s="2">
        <f>IF(OR(AA146="fail",AC146="fail"),"SKIP",IF(N146="","",IF(N146&gt;=90,"APPLY ASAP",IF(N146&gt;=80,"APPLY",IF(N146&gt;=70,"CONSIDER",IF(N146&gt;=60,"STRETCH","SKIP"))))))</f>
        <v/>
      </c>
      <c r="W146" s="2" t="n"/>
      <c r="X146" s="2" t="n"/>
      <c r="Y146" s="2" t="n"/>
      <c r="Z146" s="2" t="n"/>
    </row>
    <row r="147">
      <c r="A147" s="2" t="n"/>
      <c r="B147" s="2" t="n"/>
      <c r="C147" s="2" t="n"/>
      <c r="D147" s="2" t="n"/>
      <c r="E147" s="2" t="n"/>
      <c r="F147" s="2" t="n"/>
      <c r="G147" s="2" t="n"/>
      <c r="H147" s="2" t="n"/>
      <c r="I147" s="2" t="n"/>
      <c r="J147" s="2" t="n"/>
      <c r="K147" s="2" t="n"/>
      <c r="L147" s="2" t="n"/>
      <c r="M147" s="2" t="n"/>
      <c r="N147" s="2">
        <f>IF(COUNTA(O147:T147)&lt;6,"",ROUND(O147*0.3+P147*0.2+Q147*0.15+R147*0.15+S147*0.1+T147*0.1,0))</f>
        <v/>
      </c>
      <c r="O147" s="2" t="n"/>
      <c r="P147" s="2" t="n"/>
      <c r="Q147" s="2" t="n"/>
      <c r="R147" s="2" t="n"/>
      <c r="S147" s="2" t="n"/>
      <c r="T147" s="2" t="n"/>
      <c r="U147" s="2">
        <f>IF(OR(AA147="fail",AC147="fail"),"P4",IF(N147="","",IF(N147&gt;=90,"P1",IF(N147&gt;=80,"P1",IF(N147&gt;=70,"P2",IF(N147&gt;=60,"P3","P4"))))))</f>
        <v/>
      </c>
      <c r="V147" s="2">
        <f>IF(OR(AA147="fail",AC147="fail"),"SKIP",IF(N147="","",IF(N147&gt;=90,"APPLY ASAP",IF(N147&gt;=80,"APPLY",IF(N147&gt;=70,"CONSIDER",IF(N147&gt;=60,"STRETCH","SKIP"))))))</f>
        <v/>
      </c>
      <c r="W147" s="2" t="n"/>
      <c r="X147" s="2" t="n"/>
      <c r="Y147" s="2" t="n"/>
      <c r="Z147" s="2" t="n"/>
    </row>
    <row r="148">
      <c r="A148" s="2" t="n"/>
      <c r="B148" s="2" t="n"/>
      <c r="C148" s="2" t="n"/>
      <c r="D148" s="2" t="n"/>
      <c r="E148" s="2" t="n"/>
      <c r="F148" s="2" t="n"/>
      <c r="G148" s="2" t="n"/>
      <c r="H148" s="2" t="n"/>
      <c r="I148" s="2" t="n"/>
      <c r="J148" s="2" t="n"/>
      <c r="K148" s="2" t="n"/>
      <c r="L148" s="2" t="n"/>
      <c r="M148" s="2" t="n"/>
      <c r="N148" s="2">
        <f>IF(COUNTA(O148:T148)&lt;6,"",ROUND(O148*0.3+P148*0.2+Q148*0.15+R148*0.15+S148*0.1+T148*0.1,0))</f>
        <v/>
      </c>
      <c r="O148" s="2" t="n"/>
      <c r="P148" s="2" t="n"/>
      <c r="Q148" s="2" t="n"/>
      <c r="R148" s="2" t="n"/>
      <c r="S148" s="2" t="n"/>
      <c r="T148" s="2" t="n"/>
      <c r="U148" s="2">
        <f>IF(OR(AA148="fail",AC148="fail"),"P4",IF(N148="","",IF(N148&gt;=90,"P1",IF(N148&gt;=80,"P1",IF(N148&gt;=70,"P2",IF(N148&gt;=60,"P3","P4"))))))</f>
        <v/>
      </c>
      <c r="V148" s="2">
        <f>IF(OR(AA148="fail",AC148="fail"),"SKIP",IF(N148="","",IF(N148&gt;=90,"APPLY ASAP",IF(N148&gt;=80,"APPLY",IF(N148&gt;=70,"CONSIDER",IF(N148&gt;=60,"STRETCH","SKIP"))))))</f>
        <v/>
      </c>
      <c r="W148" s="2" t="n"/>
      <c r="X148" s="2" t="n"/>
      <c r="Y148" s="2" t="n"/>
      <c r="Z148" s="2" t="n"/>
    </row>
    <row r="149">
      <c r="A149" s="2" t="n"/>
      <c r="B149" s="2" t="n"/>
      <c r="C149" s="2" t="n"/>
      <c r="D149" s="2" t="n"/>
      <c r="E149" s="2" t="n"/>
      <c r="F149" s="2" t="n"/>
      <c r="G149" s="2" t="n"/>
      <c r="H149" s="2" t="n"/>
      <c r="I149" s="2" t="n"/>
      <c r="J149" s="2" t="n"/>
      <c r="K149" s="2" t="n"/>
      <c r="L149" s="2" t="n"/>
      <c r="M149" s="2" t="n"/>
      <c r="N149" s="2">
        <f>IF(COUNTA(O149:T149)&lt;6,"",ROUND(O149*0.3+P149*0.2+Q149*0.15+R149*0.15+S149*0.1+T149*0.1,0))</f>
        <v/>
      </c>
      <c r="O149" s="2" t="n"/>
      <c r="P149" s="2" t="n"/>
      <c r="Q149" s="2" t="n"/>
      <c r="R149" s="2" t="n"/>
      <c r="S149" s="2" t="n"/>
      <c r="T149" s="2" t="n"/>
      <c r="U149" s="2">
        <f>IF(OR(AA149="fail",AC149="fail"),"P4",IF(N149="","",IF(N149&gt;=90,"P1",IF(N149&gt;=80,"P1",IF(N149&gt;=70,"P2",IF(N149&gt;=60,"P3","P4"))))))</f>
        <v/>
      </c>
      <c r="V149" s="2">
        <f>IF(OR(AA149="fail",AC149="fail"),"SKIP",IF(N149="","",IF(N149&gt;=90,"APPLY ASAP",IF(N149&gt;=80,"APPLY",IF(N149&gt;=70,"CONSIDER",IF(N149&gt;=60,"STRETCH","SKIP"))))))</f>
        <v/>
      </c>
      <c r="W149" s="2" t="n"/>
      <c r="X149" s="2" t="n"/>
      <c r="Y149" s="2" t="n"/>
      <c r="Z149" s="2" t="n"/>
    </row>
    <row r="150">
      <c r="A150" s="2" t="n"/>
      <c r="B150" s="2" t="n"/>
      <c r="C150" s="2" t="n"/>
      <c r="D150" s="2" t="n"/>
      <c r="E150" s="2" t="n"/>
      <c r="F150" s="2" t="n"/>
      <c r="G150" s="2" t="n"/>
      <c r="H150" s="2" t="n"/>
      <c r="I150" s="2" t="n"/>
      <c r="J150" s="2" t="n"/>
      <c r="K150" s="2" t="n"/>
      <c r="L150" s="2" t="n"/>
      <c r="M150" s="2" t="n"/>
      <c r="N150" s="2">
        <f>IF(COUNTA(O150:T150)&lt;6,"",ROUND(O150*0.3+P150*0.2+Q150*0.15+R150*0.15+S150*0.1+T150*0.1,0))</f>
        <v/>
      </c>
      <c r="O150" s="2" t="n"/>
      <c r="P150" s="2" t="n"/>
      <c r="Q150" s="2" t="n"/>
      <c r="R150" s="2" t="n"/>
      <c r="S150" s="2" t="n"/>
      <c r="T150" s="2" t="n"/>
      <c r="U150" s="2">
        <f>IF(OR(AA150="fail",AC150="fail"),"P4",IF(N150="","",IF(N150&gt;=90,"P1",IF(N150&gt;=80,"P1",IF(N150&gt;=70,"P2",IF(N150&gt;=60,"P3","P4"))))))</f>
        <v/>
      </c>
      <c r="V150" s="2">
        <f>IF(OR(AA150="fail",AC150="fail"),"SKIP",IF(N150="","",IF(N150&gt;=90,"APPLY ASAP",IF(N150&gt;=80,"APPLY",IF(N150&gt;=70,"CONSIDER",IF(N150&gt;=60,"STRETCH","SKIP"))))))</f>
        <v/>
      </c>
      <c r="W150" s="2" t="n"/>
      <c r="X150" s="2" t="n"/>
      <c r="Y150" s="2" t="n"/>
      <c r="Z150" s="2" t="n"/>
    </row>
    <row r="151">
      <c r="A151" s="2" t="n"/>
      <c r="B151" s="2" t="n"/>
      <c r="C151" s="2" t="n"/>
      <c r="D151" s="2" t="n"/>
      <c r="E151" s="2" t="n"/>
      <c r="F151" s="2" t="n"/>
      <c r="G151" s="2" t="n"/>
      <c r="H151" s="2" t="n"/>
      <c r="I151" s="2" t="n"/>
      <c r="J151" s="2" t="n"/>
      <c r="K151" s="2" t="n"/>
      <c r="L151" s="2" t="n"/>
      <c r="M151" s="2" t="n"/>
      <c r="N151" s="2">
        <f>IF(COUNTA(O151:T151)&lt;6,"",ROUND(O151*0.3+P151*0.2+Q151*0.15+R151*0.15+S151*0.1+T151*0.1,0))</f>
        <v/>
      </c>
      <c r="O151" s="2" t="n"/>
      <c r="P151" s="2" t="n"/>
      <c r="Q151" s="2" t="n"/>
      <c r="R151" s="2" t="n"/>
      <c r="S151" s="2" t="n"/>
      <c r="T151" s="2" t="n"/>
      <c r="U151" s="2">
        <f>IF(OR(AA151="fail",AC151="fail"),"P4",IF(N151="","",IF(N151&gt;=90,"P1",IF(N151&gt;=80,"P1",IF(N151&gt;=70,"P2",IF(N151&gt;=60,"P3","P4"))))))</f>
        <v/>
      </c>
      <c r="V151" s="2">
        <f>IF(OR(AA151="fail",AC151="fail"),"SKIP",IF(N151="","",IF(N151&gt;=90,"APPLY ASAP",IF(N151&gt;=80,"APPLY",IF(N151&gt;=70,"CONSIDER",IF(N151&gt;=60,"STRETCH","SKIP"))))))</f>
        <v/>
      </c>
      <c r="W151" s="2" t="n"/>
      <c r="X151" s="2" t="n"/>
      <c r="Y151" s="2" t="n"/>
      <c r="Z151" s="2" t="n"/>
    </row>
    <row r="152">
      <c r="A152" s="2" t="n"/>
      <c r="B152" s="2" t="n"/>
      <c r="C152" s="2" t="n"/>
      <c r="D152" s="2" t="n"/>
      <c r="E152" s="2" t="n"/>
      <c r="F152" s="2" t="n"/>
      <c r="G152" s="2" t="n"/>
      <c r="H152" s="2" t="n"/>
      <c r="I152" s="2" t="n"/>
      <c r="J152" s="2" t="n"/>
      <c r="K152" s="2" t="n"/>
      <c r="L152" s="2" t="n"/>
      <c r="M152" s="2" t="n"/>
      <c r="N152" s="2">
        <f>IF(COUNTA(O152:T152)&lt;6,"",ROUND(O152*0.3+P152*0.2+Q152*0.15+R152*0.15+S152*0.1+T152*0.1,0))</f>
        <v/>
      </c>
      <c r="O152" s="2" t="n"/>
      <c r="P152" s="2" t="n"/>
      <c r="Q152" s="2" t="n"/>
      <c r="R152" s="2" t="n"/>
      <c r="S152" s="2" t="n"/>
      <c r="T152" s="2" t="n"/>
      <c r="U152" s="2">
        <f>IF(OR(AA152="fail",AC152="fail"),"P4",IF(N152="","",IF(N152&gt;=90,"P1",IF(N152&gt;=80,"P1",IF(N152&gt;=70,"P2",IF(N152&gt;=60,"P3","P4"))))))</f>
        <v/>
      </c>
      <c r="V152" s="2">
        <f>IF(OR(AA152="fail",AC152="fail"),"SKIP",IF(N152="","",IF(N152&gt;=90,"APPLY ASAP",IF(N152&gt;=80,"APPLY",IF(N152&gt;=70,"CONSIDER",IF(N152&gt;=60,"STRETCH","SKIP"))))))</f>
        <v/>
      </c>
      <c r="W152" s="2" t="n"/>
      <c r="X152" s="2" t="n"/>
      <c r="Y152" s="2" t="n"/>
      <c r="Z152" s="2" t="n"/>
    </row>
    <row r="153">
      <c r="A153" s="2" t="n"/>
      <c r="B153" s="2" t="n"/>
      <c r="C153" s="2" t="n"/>
      <c r="D153" s="2" t="n"/>
      <c r="E153" s="2" t="n"/>
      <c r="F153" s="2" t="n"/>
      <c r="G153" s="2" t="n"/>
      <c r="H153" s="2" t="n"/>
      <c r="I153" s="2" t="n"/>
      <c r="J153" s="2" t="n"/>
      <c r="K153" s="2" t="n"/>
      <c r="L153" s="2" t="n"/>
      <c r="M153" s="2" t="n"/>
      <c r="N153" s="2">
        <f>IF(COUNTA(O153:T153)&lt;6,"",ROUND(O153*0.3+P153*0.2+Q153*0.15+R153*0.15+S153*0.1+T153*0.1,0))</f>
        <v/>
      </c>
      <c r="O153" s="2" t="n"/>
      <c r="P153" s="2" t="n"/>
      <c r="Q153" s="2" t="n"/>
      <c r="R153" s="2" t="n"/>
      <c r="S153" s="2" t="n"/>
      <c r="T153" s="2" t="n"/>
      <c r="U153" s="2">
        <f>IF(OR(AA153="fail",AC153="fail"),"P4",IF(N153="","",IF(N153&gt;=90,"P1",IF(N153&gt;=80,"P1",IF(N153&gt;=70,"P2",IF(N153&gt;=60,"P3","P4"))))))</f>
        <v/>
      </c>
      <c r="V153" s="2">
        <f>IF(OR(AA153="fail",AC153="fail"),"SKIP",IF(N153="","",IF(N153&gt;=90,"APPLY ASAP",IF(N153&gt;=80,"APPLY",IF(N153&gt;=70,"CONSIDER",IF(N153&gt;=60,"STRETCH","SKIP"))))))</f>
        <v/>
      </c>
      <c r="W153" s="2" t="n"/>
      <c r="X153" s="2" t="n"/>
      <c r="Y153" s="2" t="n"/>
      <c r="Z153" s="2" t="n"/>
    </row>
    <row r="154">
      <c r="A154" s="2" t="n"/>
      <c r="B154" s="2" t="n"/>
      <c r="C154" s="2" t="n"/>
      <c r="D154" s="2" t="n"/>
      <c r="E154" s="2" t="n"/>
      <c r="F154" s="2" t="n"/>
      <c r="G154" s="2" t="n"/>
      <c r="H154" s="2" t="n"/>
      <c r="I154" s="2" t="n"/>
      <c r="J154" s="2" t="n"/>
      <c r="K154" s="2" t="n"/>
      <c r="L154" s="2" t="n"/>
      <c r="M154" s="2" t="n"/>
      <c r="N154" s="2">
        <f>IF(COUNTA(O154:T154)&lt;6,"",ROUND(O154*0.3+P154*0.2+Q154*0.15+R154*0.15+S154*0.1+T154*0.1,0))</f>
        <v/>
      </c>
      <c r="O154" s="2" t="n"/>
      <c r="P154" s="2" t="n"/>
      <c r="Q154" s="2" t="n"/>
      <c r="R154" s="2" t="n"/>
      <c r="S154" s="2" t="n"/>
      <c r="T154" s="2" t="n"/>
      <c r="U154" s="2">
        <f>IF(OR(AA154="fail",AC154="fail"),"P4",IF(N154="","",IF(N154&gt;=90,"P1",IF(N154&gt;=80,"P1",IF(N154&gt;=70,"P2",IF(N154&gt;=60,"P3","P4"))))))</f>
        <v/>
      </c>
      <c r="V154" s="2">
        <f>IF(OR(AA154="fail",AC154="fail"),"SKIP",IF(N154="","",IF(N154&gt;=90,"APPLY ASAP",IF(N154&gt;=80,"APPLY",IF(N154&gt;=70,"CONSIDER",IF(N154&gt;=60,"STRETCH","SKIP"))))))</f>
        <v/>
      </c>
      <c r="W154" s="2" t="n"/>
      <c r="X154" s="2" t="n"/>
      <c r="Y154" s="2" t="n"/>
      <c r="Z154" s="2" t="n"/>
    </row>
    <row r="155">
      <c r="A155" s="2" t="n"/>
      <c r="B155" s="2" t="n"/>
      <c r="C155" s="2" t="n"/>
      <c r="D155" s="2" t="n"/>
      <c r="E155" s="2" t="n"/>
      <c r="F155" s="2" t="n"/>
      <c r="G155" s="2" t="n"/>
      <c r="H155" s="2" t="n"/>
      <c r="I155" s="2" t="n"/>
      <c r="J155" s="2" t="n"/>
      <c r="K155" s="2" t="n"/>
      <c r="L155" s="2" t="n"/>
      <c r="M155" s="2" t="n"/>
      <c r="N155" s="2">
        <f>IF(COUNTA(O155:T155)&lt;6,"",ROUND(O155*0.3+P155*0.2+Q155*0.15+R155*0.15+S155*0.1+T155*0.1,0))</f>
        <v/>
      </c>
      <c r="O155" s="2" t="n"/>
      <c r="P155" s="2" t="n"/>
      <c r="Q155" s="2" t="n"/>
      <c r="R155" s="2" t="n"/>
      <c r="S155" s="2" t="n"/>
      <c r="T155" s="2" t="n"/>
      <c r="U155" s="2">
        <f>IF(OR(AA155="fail",AC155="fail"),"P4",IF(N155="","",IF(N155&gt;=90,"P1",IF(N155&gt;=80,"P1",IF(N155&gt;=70,"P2",IF(N155&gt;=60,"P3","P4"))))))</f>
        <v/>
      </c>
      <c r="V155" s="2">
        <f>IF(OR(AA155="fail",AC155="fail"),"SKIP",IF(N155="","",IF(N155&gt;=90,"APPLY ASAP",IF(N155&gt;=80,"APPLY",IF(N155&gt;=70,"CONSIDER",IF(N155&gt;=60,"STRETCH","SKIP"))))))</f>
        <v/>
      </c>
      <c r="W155" s="2" t="n"/>
      <c r="X155" s="2" t="n"/>
      <c r="Y155" s="2" t="n"/>
      <c r="Z155" s="2" t="n"/>
    </row>
    <row r="156">
      <c r="A156" s="2" t="n"/>
      <c r="B156" s="2" t="n"/>
      <c r="C156" s="2" t="n"/>
      <c r="D156" s="2" t="n"/>
      <c r="E156" s="2" t="n"/>
      <c r="F156" s="2" t="n"/>
      <c r="G156" s="2" t="n"/>
      <c r="H156" s="2" t="n"/>
      <c r="I156" s="2" t="n"/>
      <c r="J156" s="2" t="n"/>
      <c r="K156" s="2" t="n"/>
      <c r="L156" s="2" t="n"/>
      <c r="M156" s="2" t="n"/>
      <c r="N156" s="2">
        <f>IF(COUNTA(O156:T156)&lt;6,"",ROUND(O156*0.3+P156*0.2+Q156*0.15+R156*0.15+S156*0.1+T156*0.1,0))</f>
        <v/>
      </c>
      <c r="O156" s="2" t="n"/>
      <c r="P156" s="2" t="n"/>
      <c r="Q156" s="2" t="n"/>
      <c r="R156" s="2" t="n"/>
      <c r="S156" s="2" t="n"/>
      <c r="T156" s="2" t="n"/>
      <c r="U156" s="2">
        <f>IF(OR(AA156="fail",AC156="fail"),"P4",IF(N156="","",IF(N156&gt;=90,"P1",IF(N156&gt;=80,"P1",IF(N156&gt;=70,"P2",IF(N156&gt;=60,"P3","P4"))))))</f>
        <v/>
      </c>
      <c r="V156" s="2">
        <f>IF(OR(AA156="fail",AC156="fail"),"SKIP",IF(N156="","",IF(N156&gt;=90,"APPLY ASAP",IF(N156&gt;=80,"APPLY",IF(N156&gt;=70,"CONSIDER",IF(N156&gt;=60,"STRETCH","SKIP"))))))</f>
        <v/>
      </c>
      <c r="W156" s="2" t="n"/>
      <c r="X156" s="2" t="n"/>
      <c r="Y156" s="2" t="n"/>
      <c r="Z156" s="2" t="n"/>
    </row>
    <row r="157">
      <c r="A157" s="2" t="n"/>
      <c r="B157" s="2" t="n"/>
      <c r="C157" s="2" t="n"/>
      <c r="D157" s="2" t="n"/>
      <c r="E157" s="2" t="n"/>
      <c r="F157" s="2" t="n"/>
      <c r="G157" s="2" t="n"/>
      <c r="H157" s="2" t="n"/>
      <c r="I157" s="2" t="n"/>
      <c r="J157" s="2" t="n"/>
      <c r="K157" s="2" t="n"/>
      <c r="L157" s="2" t="n"/>
      <c r="M157" s="2" t="n"/>
      <c r="N157" s="2">
        <f>IF(COUNTA(O157:T157)&lt;6,"",ROUND(O157*0.3+P157*0.2+Q157*0.15+R157*0.15+S157*0.1+T157*0.1,0))</f>
        <v/>
      </c>
      <c r="O157" s="2" t="n"/>
      <c r="P157" s="2" t="n"/>
      <c r="Q157" s="2" t="n"/>
      <c r="R157" s="2" t="n"/>
      <c r="S157" s="2" t="n"/>
      <c r="T157" s="2" t="n"/>
      <c r="U157" s="2">
        <f>IF(OR(AA157="fail",AC157="fail"),"P4",IF(N157="","",IF(N157&gt;=90,"P1",IF(N157&gt;=80,"P1",IF(N157&gt;=70,"P2",IF(N157&gt;=60,"P3","P4"))))))</f>
        <v/>
      </c>
      <c r="V157" s="2">
        <f>IF(OR(AA157="fail",AC157="fail"),"SKIP",IF(N157="","",IF(N157&gt;=90,"APPLY ASAP",IF(N157&gt;=80,"APPLY",IF(N157&gt;=70,"CONSIDER",IF(N157&gt;=60,"STRETCH","SKIP"))))))</f>
        <v/>
      </c>
      <c r="W157" s="2" t="n"/>
      <c r="X157" s="2" t="n"/>
      <c r="Y157" s="2" t="n"/>
      <c r="Z157" s="2" t="n"/>
    </row>
    <row r="158">
      <c r="A158" s="2" t="n"/>
      <c r="B158" s="2" t="n"/>
      <c r="C158" s="2" t="n"/>
      <c r="D158" s="2" t="n"/>
      <c r="E158" s="2" t="n"/>
      <c r="F158" s="2" t="n"/>
      <c r="G158" s="2" t="n"/>
      <c r="H158" s="2" t="n"/>
      <c r="I158" s="2" t="n"/>
      <c r="J158" s="2" t="n"/>
      <c r="K158" s="2" t="n"/>
      <c r="L158" s="2" t="n"/>
      <c r="M158" s="2" t="n"/>
      <c r="N158" s="2">
        <f>IF(COUNTA(O158:T158)&lt;6,"",ROUND(O158*0.3+P158*0.2+Q158*0.15+R158*0.15+S158*0.1+T158*0.1,0))</f>
        <v/>
      </c>
      <c r="O158" s="2" t="n"/>
      <c r="P158" s="2" t="n"/>
      <c r="Q158" s="2" t="n"/>
      <c r="R158" s="2" t="n"/>
      <c r="S158" s="2" t="n"/>
      <c r="T158" s="2" t="n"/>
      <c r="U158" s="2">
        <f>IF(OR(AA158="fail",AC158="fail"),"P4",IF(N158="","",IF(N158&gt;=90,"P1",IF(N158&gt;=80,"P1",IF(N158&gt;=70,"P2",IF(N158&gt;=60,"P3","P4"))))))</f>
        <v/>
      </c>
      <c r="V158" s="2">
        <f>IF(OR(AA158="fail",AC158="fail"),"SKIP",IF(N158="","",IF(N158&gt;=90,"APPLY ASAP",IF(N158&gt;=80,"APPLY",IF(N158&gt;=70,"CONSIDER",IF(N158&gt;=60,"STRETCH","SKIP"))))))</f>
        <v/>
      </c>
      <c r="W158" s="2" t="n"/>
      <c r="X158" s="2" t="n"/>
      <c r="Y158" s="2" t="n"/>
      <c r="Z158" s="2" t="n"/>
    </row>
    <row r="159">
      <c r="A159" s="2" t="n"/>
      <c r="B159" s="2" t="n"/>
      <c r="C159" s="2" t="n"/>
      <c r="D159" s="2" t="n"/>
      <c r="E159" s="2" t="n"/>
      <c r="F159" s="2" t="n"/>
      <c r="G159" s="2" t="n"/>
      <c r="H159" s="2" t="n"/>
      <c r="I159" s="2" t="n"/>
      <c r="J159" s="2" t="n"/>
      <c r="K159" s="2" t="n"/>
      <c r="L159" s="2" t="n"/>
      <c r="M159" s="2" t="n"/>
      <c r="N159" s="2">
        <f>IF(COUNTA(O159:T159)&lt;6,"",ROUND(O159*0.3+P159*0.2+Q159*0.15+R159*0.15+S159*0.1+T159*0.1,0))</f>
        <v/>
      </c>
      <c r="O159" s="2" t="n"/>
      <c r="P159" s="2" t="n"/>
      <c r="Q159" s="2" t="n"/>
      <c r="R159" s="2" t="n"/>
      <c r="S159" s="2" t="n"/>
      <c r="T159" s="2" t="n"/>
      <c r="U159" s="2">
        <f>IF(OR(AA159="fail",AC159="fail"),"P4",IF(N159="","",IF(N159&gt;=90,"P1",IF(N159&gt;=80,"P1",IF(N159&gt;=70,"P2",IF(N159&gt;=60,"P3","P4"))))))</f>
        <v/>
      </c>
      <c r="V159" s="2">
        <f>IF(OR(AA159="fail",AC159="fail"),"SKIP",IF(N159="","",IF(N159&gt;=90,"APPLY ASAP",IF(N159&gt;=80,"APPLY",IF(N159&gt;=70,"CONSIDER",IF(N159&gt;=60,"STRETCH","SKIP"))))))</f>
        <v/>
      </c>
      <c r="W159" s="2" t="n"/>
      <c r="X159" s="2" t="n"/>
      <c r="Y159" s="2" t="n"/>
      <c r="Z159" s="2" t="n"/>
    </row>
    <row r="160">
      <c r="A160" s="2" t="n"/>
      <c r="B160" s="2" t="n"/>
      <c r="C160" s="2" t="n"/>
      <c r="D160" s="2" t="n"/>
      <c r="E160" s="2" t="n"/>
      <c r="F160" s="2" t="n"/>
      <c r="G160" s="2" t="n"/>
      <c r="H160" s="2" t="n"/>
      <c r="I160" s="2" t="n"/>
      <c r="J160" s="2" t="n"/>
      <c r="K160" s="2" t="n"/>
      <c r="L160" s="2" t="n"/>
      <c r="M160" s="2" t="n"/>
      <c r="N160" s="2">
        <f>IF(COUNTA(O160:T160)&lt;6,"",ROUND(O160*0.3+P160*0.2+Q160*0.15+R160*0.15+S160*0.1+T160*0.1,0))</f>
        <v/>
      </c>
      <c r="O160" s="2" t="n"/>
      <c r="P160" s="2" t="n"/>
      <c r="Q160" s="2" t="n"/>
      <c r="R160" s="2" t="n"/>
      <c r="S160" s="2" t="n"/>
      <c r="T160" s="2" t="n"/>
      <c r="U160" s="2">
        <f>IF(OR(AA160="fail",AC160="fail"),"P4",IF(N160="","",IF(N160&gt;=90,"P1",IF(N160&gt;=80,"P1",IF(N160&gt;=70,"P2",IF(N160&gt;=60,"P3","P4"))))))</f>
        <v/>
      </c>
      <c r="V160" s="2">
        <f>IF(OR(AA160="fail",AC160="fail"),"SKIP",IF(N160="","",IF(N160&gt;=90,"APPLY ASAP",IF(N160&gt;=80,"APPLY",IF(N160&gt;=70,"CONSIDER",IF(N160&gt;=60,"STRETCH","SKIP"))))))</f>
        <v/>
      </c>
      <c r="W160" s="2" t="n"/>
      <c r="X160" s="2" t="n"/>
      <c r="Y160" s="2" t="n"/>
      <c r="Z160" s="2" t="n"/>
    </row>
    <row r="161">
      <c r="A161" s="2" t="n"/>
      <c r="B161" s="2" t="n"/>
      <c r="C161" s="2" t="n"/>
      <c r="D161" s="2" t="n"/>
      <c r="E161" s="2" t="n"/>
      <c r="F161" s="2" t="n"/>
      <c r="G161" s="2" t="n"/>
      <c r="H161" s="2" t="n"/>
      <c r="I161" s="2" t="n"/>
      <c r="J161" s="2" t="n"/>
      <c r="K161" s="2" t="n"/>
      <c r="L161" s="2" t="n"/>
      <c r="M161" s="2" t="n"/>
      <c r="N161" s="2">
        <f>IF(COUNTA(O161:T161)&lt;6,"",ROUND(O161*0.3+P161*0.2+Q161*0.15+R161*0.15+S161*0.1+T161*0.1,0))</f>
        <v/>
      </c>
      <c r="O161" s="2" t="n"/>
      <c r="P161" s="2" t="n"/>
      <c r="Q161" s="2" t="n"/>
      <c r="R161" s="2" t="n"/>
      <c r="S161" s="2" t="n"/>
      <c r="T161" s="2" t="n"/>
      <c r="U161" s="2">
        <f>IF(OR(AA161="fail",AC161="fail"),"P4",IF(N161="","",IF(N161&gt;=90,"P1",IF(N161&gt;=80,"P1",IF(N161&gt;=70,"P2",IF(N161&gt;=60,"P3","P4"))))))</f>
        <v/>
      </c>
      <c r="V161" s="2">
        <f>IF(OR(AA161="fail",AC161="fail"),"SKIP",IF(N161="","",IF(N161&gt;=90,"APPLY ASAP",IF(N161&gt;=80,"APPLY",IF(N161&gt;=70,"CONSIDER",IF(N161&gt;=60,"STRETCH","SKIP"))))))</f>
        <v/>
      </c>
      <c r="W161" s="2" t="n"/>
      <c r="X161" s="2" t="n"/>
      <c r="Y161" s="2" t="n"/>
      <c r="Z161" s="2" t="n"/>
    </row>
    <row r="162">
      <c r="A162" s="2" t="n"/>
      <c r="B162" s="2" t="n"/>
      <c r="C162" s="2" t="n"/>
      <c r="D162" s="2" t="n"/>
      <c r="E162" s="2" t="n"/>
      <c r="F162" s="2" t="n"/>
      <c r="G162" s="2" t="n"/>
      <c r="H162" s="2" t="n"/>
      <c r="I162" s="2" t="n"/>
      <c r="J162" s="2" t="n"/>
      <c r="K162" s="2" t="n"/>
      <c r="L162" s="2" t="n"/>
      <c r="M162" s="2" t="n"/>
      <c r="N162" s="2">
        <f>IF(COUNTA(O162:T162)&lt;6,"",ROUND(O162*0.3+P162*0.2+Q162*0.15+R162*0.15+S162*0.1+T162*0.1,0))</f>
        <v/>
      </c>
      <c r="O162" s="2" t="n"/>
      <c r="P162" s="2" t="n"/>
      <c r="Q162" s="2" t="n"/>
      <c r="R162" s="2" t="n"/>
      <c r="S162" s="2" t="n"/>
      <c r="T162" s="2" t="n"/>
      <c r="U162" s="2">
        <f>IF(OR(AA162="fail",AC162="fail"),"P4",IF(N162="","",IF(N162&gt;=90,"P1",IF(N162&gt;=80,"P1",IF(N162&gt;=70,"P2",IF(N162&gt;=60,"P3","P4"))))))</f>
        <v/>
      </c>
      <c r="V162" s="2">
        <f>IF(OR(AA162="fail",AC162="fail"),"SKIP",IF(N162="","",IF(N162&gt;=90,"APPLY ASAP",IF(N162&gt;=80,"APPLY",IF(N162&gt;=70,"CONSIDER",IF(N162&gt;=60,"STRETCH","SKIP"))))))</f>
        <v/>
      </c>
      <c r="W162" s="2" t="n"/>
      <c r="X162" s="2" t="n"/>
      <c r="Y162" s="2" t="n"/>
      <c r="Z162" s="2" t="n"/>
    </row>
    <row r="163">
      <c r="A163" s="2" t="n"/>
      <c r="B163" s="2" t="n"/>
      <c r="C163" s="2" t="n"/>
      <c r="D163" s="2" t="n"/>
      <c r="E163" s="2" t="n"/>
      <c r="F163" s="2" t="n"/>
      <c r="G163" s="2" t="n"/>
      <c r="H163" s="2" t="n"/>
      <c r="I163" s="2" t="n"/>
      <c r="J163" s="2" t="n"/>
      <c r="K163" s="2" t="n"/>
      <c r="L163" s="2" t="n"/>
      <c r="M163" s="2" t="n"/>
      <c r="N163" s="2">
        <f>IF(COUNTA(O163:T163)&lt;6,"",ROUND(O163*0.3+P163*0.2+Q163*0.15+R163*0.15+S163*0.1+T163*0.1,0))</f>
        <v/>
      </c>
      <c r="O163" s="2" t="n"/>
      <c r="P163" s="2" t="n"/>
      <c r="Q163" s="2" t="n"/>
      <c r="R163" s="2" t="n"/>
      <c r="S163" s="2" t="n"/>
      <c r="T163" s="2" t="n"/>
      <c r="U163" s="2">
        <f>IF(OR(AA163="fail",AC163="fail"),"P4",IF(N163="","",IF(N163&gt;=90,"P1",IF(N163&gt;=80,"P1",IF(N163&gt;=70,"P2",IF(N163&gt;=60,"P3","P4"))))))</f>
        <v/>
      </c>
      <c r="V163" s="2">
        <f>IF(OR(AA163="fail",AC163="fail"),"SKIP",IF(N163="","",IF(N163&gt;=90,"APPLY ASAP",IF(N163&gt;=80,"APPLY",IF(N163&gt;=70,"CONSIDER",IF(N163&gt;=60,"STRETCH","SKIP"))))))</f>
        <v/>
      </c>
      <c r="W163" s="2" t="n"/>
      <c r="X163" s="2" t="n"/>
      <c r="Y163" s="2" t="n"/>
      <c r="Z163" s="2" t="n"/>
    </row>
    <row r="164">
      <c r="A164" s="2" t="n"/>
      <c r="B164" s="2" t="n"/>
      <c r="C164" s="2" t="n"/>
      <c r="D164" s="2" t="n"/>
      <c r="E164" s="2" t="n"/>
      <c r="F164" s="2" t="n"/>
      <c r="G164" s="2" t="n"/>
      <c r="H164" s="2" t="n"/>
      <c r="I164" s="2" t="n"/>
      <c r="J164" s="2" t="n"/>
      <c r="K164" s="2" t="n"/>
      <c r="L164" s="2" t="n"/>
      <c r="M164" s="2" t="n"/>
      <c r="N164" s="2">
        <f>IF(COUNTA(O164:T164)&lt;6,"",ROUND(O164*0.3+P164*0.2+Q164*0.15+R164*0.15+S164*0.1+T164*0.1,0))</f>
        <v/>
      </c>
      <c r="O164" s="2" t="n"/>
      <c r="P164" s="2" t="n"/>
      <c r="Q164" s="2" t="n"/>
      <c r="R164" s="2" t="n"/>
      <c r="S164" s="2" t="n"/>
      <c r="T164" s="2" t="n"/>
      <c r="U164" s="2">
        <f>IF(OR(AA164="fail",AC164="fail"),"P4",IF(N164="","",IF(N164&gt;=90,"P1",IF(N164&gt;=80,"P1",IF(N164&gt;=70,"P2",IF(N164&gt;=60,"P3","P4"))))))</f>
        <v/>
      </c>
      <c r="V164" s="2">
        <f>IF(OR(AA164="fail",AC164="fail"),"SKIP",IF(N164="","",IF(N164&gt;=90,"APPLY ASAP",IF(N164&gt;=80,"APPLY",IF(N164&gt;=70,"CONSIDER",IF(N164&gt;=60,"STRETCH","SKIP"))))))</f>
        <v/>
      </c>
      <c r="W164" s="2" t="n"/>
      <c r="X164" s="2" t="n"/>
      <c r="Y164" s="2" t="n"/>
      <c r="Z164" s="2" t="n"/>
    </row>
    <row r="165">
      <c r="A165" s="2" t="n"/>
      <c r="B165" s="2" t="n"/>
      <c r="C165" s="2" t="n"/>
      <c r="D165" s="2" t="n"/>
      <c r="E165" s="2" t="n"/>
      <c r="F165" s="2" t="n"/>
      <c r="G165" s="2" t="n"/>
      <c r="H165" s="2" t="n"/>
      <c r="I165" s="2" t="n"/>
      <c r="J165" s="2" t="n"/>
      <c r="K165" s="2" t="n"/>
      <c r="L165" s="2" t="n"/>
      <c r="M165" s="2" t="n"/>
      <c r="N165" s="2">
        <f>IF(COUNTA(O165:T165)&lt;6,"",ROUND(O165*0.3+P165*0.2+Q165*0.15+R165*0.15+S165*0.1+T165*0.1,0))</f>
        <v/>
      </c>
      <c r="O165" s="2" t="n"/>
      <c r="P165" s="2" t="n"/>
      <c r="Q165" s="2" t="n"/>
      <c r="R165" s="2" t="n"/>
      <c r="S165" s="2" t="n"/>
      <c r="T165" s="2" t="n"/>
      <c r="U165" s="2">
        <f>IF(OR(AA165="fail",AC165="fail"),"P4",IF(N165="","",IF(N165&gt;=90,"P1",IF(N165&gt;=80,"P1",IF(N165&gt;=70,"P2",IF(N165&gt;=60,"P3","P4"))))))</f>
        <v/>
      </c>
      <c r="V165" s="2">
        <f>IF(OR(AA165="fail",AC165="fail"),"SKIP",IF(N165="","",IF(N165&gt;=90,"APPLY ASAP",IF(N165&gt;=80,"APPLY",IF(N165&gt;=70,"CONSIDER",IF(N165&gt;=60,"STRETCH","SKIP"))))))</f>
        <v/>
      </c>
      <c r="W165" s="2" t="n"/>
      <c r="X165" s="2" t="n"/>
      <c r="Y165" s="2" t="n"/>
      <c r="Z165" s="2" t="n"/>
    </row>
    <row r="166">
      <c r="A166" s="2" t="n"/>
      <c r="B166" s="2" t="n"/>
      <c r="C166" s="2" t="n"/>
      <c r="D166" s="2" t="n"/>
      <c r="E166" s="2" t="n"/>
      <c r="F166" s="2" t="n"/>
      <c r="G166" s="2" t="n"/>
      <c r="H166" s="2" t="n"/>
      <c r="I166" s="2" t="n"/>
      <c r="J166" s="2" t="n"/>
      <c r="K166" s="2" t="n"/>
      <c r="L166" s="2" t="n"/>
      <c r="M166" s="2" t="n"/>
      <c r="N166" s="2">
        <f>IF(COUNTA(O166:T166)&lt;6,"",ROUND(O166*0.3+P166*0.2+Q166*0.15+R166*0.15+S166*0.1+T166*0.1,0))</f>
        <v/>
      </c>
      <c r="O166" s="2" t="n"/>
      <c r="P166" s="2" t="n"/>
      <c r="Q166" s="2" t="n"/>
      <c r="R166" s="2" t="n"/>
      <c r="S166" s="2" t="n"/>
      <c r="T166" s="2" t="n"/>
      <c r="U166" s="2">
        <f>IF(OR(AA166="fail",AC166="fail"),"P4",IF(N166="","",IF(N166&gt;=90,"P1",IF(N166&gt;=80,"P1",IF(N166&gt;=70,"P2",IF(N166&gt;=60,"P3","P4"))))))</f>
        <v/>
      </c>
      <c r="V166" s="2">
        <f>IF(OR(AA166="fail",AC166="fail"),"SKIP",IF(N166="","",IF(N166&gt;=90,"APPLY ASAP",IF(N166&gt;=80,"APPLY",IF(N166&gt;=70,"CONSIDER",IF(N166&gt;=60,"STRETCH","SKIP"))))))</f>
        <v/>
      </c>
      <c r="W166" s="2" t="n"/>
      <c r="X166" s="2" t="n"/>
      <c r="Y166" s="2" t="n"/>
      <c r="Z166" s="2" t="n"/>
    </row>
    <row r="167">
      <c r="A167" s="2" t="n"/>
      <c r="B167" s="2" t="n"/>
      <c r="C167" s="2" t="n"/>
      <c r="D167" s="2" t="n"/>
      <c r="E167" s="2" t="n"/>
      <c r="F167" s="2" t="n"/>
      <c r="G167" s="2" t="n"/>
      <c r="H167" s="2" t="n"/>
      <c r="I167" s="2" t="n"/>
      <c r="J167" s="2" t="n"/>
      <c r="K167" s="2" t="n"/>
      <c r="L167" s="2" t="n"/>
      <c r="M167" s="2" t="n"/>
      <c r="N167" s="2">
        <f>IF(COUNTA(O167:T167)&lt;6,"",ROUND(O167*0.3+P167*0.2+Q167*0.15+R167*0.15+S167*0.1+T167*0.1,0))</f>
        <v/>
      </c>
      <c r="O167" s="2" t="n"/>
      <c r="P167" s="2" t="n"/>
      <c r="Q167" s="2" t="n"/>
      <c r="R167" s="2" t="n"/>
      <c r="S167" s="2" t="n"/>
      <c r="T167" s="2" t="n"/>
      <c r="U167" s="2">
        <f>IF(OR(AA167="fail",AC167="fail"),"P4",IF(N167="","",IF(N167&gt;=90,"P1",IF(N167&gt;=80,"P1",IF(N167&gt;=70,"P2",IF(N167&gt;=60,"P3","P4"))))))</f>
        <v/>
      </c>
      <c r="V167" s="2">
        <f>IF(OR(AA167="fail",AC167="fail"),"SKIP",IF(N167="","",IF(N167&gt;=90,"APPLY ASAP",IF(N167&gt;=80,"APPLY",IF(N167&gt;=70,"CONSIDER",IF(N167&gt;=60,"STRETCH","SKIP"))))))</f>
        <v/>
      </c>
      <c r="W167" s="2" t="n"/>
      <c r="X167" s="2" t="n"/>
      <c r="Y167" s="2" t="n"/>
      <c r="Z167" s="2" t="n"/>
    </row>
    <row r="168">
      <c r="A168" s="2" t="n"/>
      <c r="B168" s="2" t="n"/>
      <c r="C168" s="2" t="n"/>
      <c r="D168" s="2" t="n"/>
      <c r="E168" s="2" t="n"/>
      <c r="F168" s="2" t="n"/>
      <c r="G168" s="2" t="n"/>
      <c r="H168" s="2" t="n"/>
      <c r="I168" s="2" t="n"/>
      <c r="J168" s="2" t="n"/>
      <c r="K168" s="2" t="n"/>
      <c r="L168" s="2" t="n"/>
      <c r="M168" s="2" t="n"/>
      <c r="N168" s="2">
        <f>IF(COUNTA(O168:T168)&lt;6,"",ROUND(O168*0.3+P168*0.2+Q168*0.15+R168*0.15+S168*0.1+T168*0.1,0))</f>
        <v/>
      </c>
      <c r="O168" s="2" t="n"/>
      <c r="P168" s="2" t="n"/>
      <c r="Q168" s="2" t="n"/>
      <c r="R168" s="2" t="n"/>
      <c r="S168" s="2" t="n"/>
      <c r="T168" s="2" t="n"/>
      <c r="U168" s="2">
        <f>IF(OR(AA168="fail",AC168="fail"),"P4",IF(N168="","",IF(N168&gt;=90,"P1",IF(N168&gt;=80,"P1",IF(N168&gt;=70,"P2",IF(N168&gt;=60,"P3","P4"))))))</f>
        <v/>
      </c>
      <c r="V168" s="2">
        <f>IF(OR(AA168="fail",AC168="fail"),"SKIP",IF(N168="","",IF(N168&gt;=90,"APPLY ASAP",IF(N168&gt;=80,"APPLY",IF(N168&gt;=70,"CONSIDER",IF(N168&gt;=60,"STRETCH","SKIP"))))))</f>
        <v/>
      </c>
      <c r="W168" s="2" t="n"/>
      <c r="X168" s="2" t="n"/>
      <c r="Y168" s="2" t="n"/>
      <c r="Z168" s="2" t="n"/>
    </row>
    <row r="169">
      <c r="A169" s="2" t="n"/>
      <c r="B169" s="2" t="n"/>
      <c r="C169" s="2" t="n"/>
      <c r="D169" s="2" t="n"/>
      <c r="E169" s="2" t="n"/>
      <c r="F169" s="2" t="n"/>
      <c r="G169" s="2" t="n"/>
      <c r="H169" s="2" t="n"/>
      <c r="I169" s="2" t="n"/>
      <c r="J169" s="2" t="n"/>
      <c r="K169" s="2" t="n"/>
      <c r="L169" s="2" t="n"/>
      <c r="M169" s="2" t="n"/>
      <c r="N169" s="2">
        <f>IF(COUNTA(O169:T169)&lt;6,"",ROUND(O169*0.3+P169*0.2+Q169*0.15+R169*0.15+S169*0.1+T169*0.1,0))</f>
        <v/>
      </c>
      <c r="O169" s="2" t="n"/>
      <c r="P169" s="2" t="n"/>
      <c r="Q169" s="2" t="n"/>
      <c r="R169" s="2" t="n"/>
      <c r="S169" s="2" t="n"/>
      <c r="T169" s="2" t="n"/>
      <c r="U169" s="2">
        <f>IF(OR(AA169="fail",AC169="fail"),"P4",IF(N169="","",IF(N169&gt;=90,"P1",IF(N169&gt;=80,"P1",IF(N169&gt;=70,"P2",IF(N169&gt;=60,"P3","P4"))))))</f>
        <v/>
      </c>
      <c r="V169" s="2">
        <f>IF(OR(AA169="fail",AC169="fail"),"SKIP",IF(N169="","",IF(N169&gt;=90,"APPLY ASAP",IF(N169&gt;=80,"APPLY",IF(N169&gt;=70,"CONSIDER",IF(N169&gt;=60,"STRETCH","SKIP"))))))</f>
        <v/>
      </c>
      <c r="W169" s="2" t="n"/>
      <c r="X169" s="2" t="n"/>
      <c r="Y169" s="2" t="n"/>
      <c r="Z169" s="2" t="n"/>
    </row>
    <row r="170">
      <c r="A170" s="2" t="n"/>
      <c r="B170" s="2" t="n"/>
      <c r="C170" s="2" t="n"/>
      <c r="D170" s="2" t="n"/>
      <c r="E170" s="2" t="n"/>
      <c r="F170" s="2" t="n"/>
      <c r="G170" s="2" t="n"/>
      <c r="H170" s="2" t="n"/>
      <c r="I170" s="2" t="n"/>
      <c r="J170" s="2" t="n"/>
      <c r="K170" s="2" t="n"/>
      <c r="L170" s="2" t="n"/>
      <c r="M170" s="2" t="n"/>
      <c r="N170" s="2">
        <f>IF(COUNTA(O170:T170)&lt;6,"",ROUND(O170*0.3+P170*0.2+Q170*0.15+R170*0.15+S170*0.1+T170*0.1,0))</f>
        <v/>
      </c>
      <c r="O170" s="2" t="n"/>
      <c r="P170" s="2" t="n"/>
      <c r="Q170" s="2" t="n"/>
      <c r="R170" s="2" t="n"/>
      <c r="S170" s="2" t="n"/>
      <c r="T170" s="2" t="n"/>
      <c r="U170" s="2">
        <f>IF(OR(AA170="fail",AC170="fail"),"P4",IF(N170="","",IF(N170&gt;=90,"P1",IF(N170&gt;=80,"P1",IF(N170&gt;=70,"P2",IF(N170&gt;=60,"P3","P4"))))))</f>
        <v/>
      </c>
      <c r="V170" s="2">
        <f>IF(OR(AA170="fail",AC170="fail"),"SKIP",IF(N170="","",IF(N170&gt;=90,"APPLY ASAP",IF(N170&gt;=80,"APPLY",IF(N170&gt;=70,"CONSIDER",IF(N170&gt;=60,"STRETCH","SKIP"))))))</f>
        <v/>
      </c>
      <c r="W170" s="2" t="n"/>
      <c r="X170" s="2" t="n"/>
      <c r="Y170" s="2" t="n"/>
      <c r="Z170" s="2" t="n"/>
    </row>
    <row r="171">
      <c r="A171" s="2" t="n"/>
      <c r="B171" s="2" t="n"/>
      <c r="C171" s="2" t="n"/>
      <c r="D171" s="2" t="n"/>
      <c r="E171" s="2" t="n"/>
      <c r="F171" s="2" t="n"/>
      <c r="G171" s="2" t="n"/>
      <c r="H171" s="2" t="n"/>
      <c r="I171" s="2" t="n"/>
      <c r="J171" s="2" t="n"/>
      <c r="K171" s="2" t="n"/>
      <c r="L171" s="2" t="n"/>
      <c r="M171" s="2" t="n"/>
      <c r="N171" s="2">
        <f>IF(COUNTA(O171:T171)&lt;6,"",ROUND(O171*0.3+P171*0.2+Q171*0.15+R171*0.15+S171*0.1+T171*0.1,0))</f>
        <v/>
      </c>
      <c r="O171" s="2" t="n"/>
      <c r="P171" s="2" t="n"/>
      <c r="Q171" s="2" t="n"/>
      <c r="R171" s="2" t="n"/>
      <c r="S171" s="2" t="n"/>
      <c r="T171" s="2" t="n"/>
      <c r="U171" s="2">
        <f>IF(OR(AA171="fail",AC171="fail"),"P4",IF(N171="","",IF(N171&gt;=90,"P1",IF(N171&gt;=80,"P1",IF(N171&gt;=70,"P2",IF(N171&gt;=60,"P3","P4"))))))</f>
        <v/>
      </c>
      <c r="V171" s="2">
        <f>IF(OR(AA171="fail",AC171="fail"),"SKIP",IF(N171="","",IF(N171&gt;=90,"APPLY ASAP",IF(N171&gt;=80,"APPLY",IF(N171&gt;=70,"CONSIDER",IF(N171&gt;=60,"STRETCH","SKIP"))))))</f>
        <v/>
      </c>
      <c r="W171" s="2" t="n"/>
      <c r="X171" s="2" t="n"/>
      <c r="Y171" s="2" t="n"/>
      <c r="Z171" s="2" t="n"/>
    </row>
    <row r="172">
      <c r="A172" s="2" t="n"/>
      <c r="B172" s="2" t="n"/>
      <c r="C172" s="2" t="n"/>
      <c r="D172" s="2" t="n"/>
      <c r="E172" s="2" t="n"/>
      <c r="F172" s="2" t="n"/>
      <c r="G172" s="2" t="n"/>
      <c r="H172" s="2" t="n"/>
      <c r="I172" s="2" t="n"/>
      <c r="J172" s="2" t="n"/>
      <c r="K172" s="2" t="n"/>
      <c r="L172" s="2" t="n"/>
      <c r="M172" s="2" t="n"/>
      <c r="N172" s="2">
        <f>IF(COUNTA(O172:T172)&lt;6,"",ROUND(O172*0.3+P172*0.2+Q172*0.15+R172*0.15+S172*0.1+T172*0.1,0))</f>
        <v/>
      </c>
      <c r="O172" s="2" t="n"/>
      <c r="P172" s="2" t="n"/>
      <c r="Q172" s="2" t="n"/>
      <c r="R172" s="2" t="n"/>
      <c r="S172" s="2" t="n"/>
      <c r="T172" s="2" t="n"/>
      <c r="U172" s="2">
        <f>IF(OR(AA172="fail",AC172="fail"),"P4",IF(N172="","",IF(N172&gt;=90,"P1",IF(N172&gt;=80,"P1",IF(N172&gt;=70,"P2",IF(N172&gt;=60,"P3","P4"))))))</f>
        <v/>
      </c>
      <c r="V172" s="2">
        <f>IF(OR(AA172="fail",AC172="fail"),"SKIP",IF(N172="","",IF(N172&gt;=90,"APPLY ASAP",IF(N172&gt;=80,"APPLY",IF(N172&gt;=70,"CONSIDER",IF(N172&gt;=60,"STRETCH","SKIP"))))))</f>
        <v/>
      </c>
      <c r="W172" s="2" t="n"/>
      <c r="X172" s="2" t="n"/>
      <c r="Y172" s="2" t="n"/>
      <c r="Z172" s="2" t="n"/>
    </row>
    <row r="173">
      <c r="A173" s="2" t="n"/>
      <c r="B173" s="2" t="n"/>
      <c r="C173" s="2" t="n"/>
      <c r="D173" s="2" t="n"/>
      <c r="E173" s="2" t="n"/>
      <c r="F173" s="2" t="n"/>
      <c r="G173" s="2" t="n"/>
      <c r="H173" s="2" t="n"/>
      <c r="I173" s="2" t="n"/>
      <c r="J173" s="2" t="n"/>
      <c r="K173" s="2" t="n"/>
      <c r="L173" s="2" t="n"/>
      <c r="M173" s="2" t="n"/>
      <c r="N173" s="2">
        <f>IF(COUNTA(O173:T173)&lt;6,"",ROUND(O173*0.3+P173*0.2+Q173*0.15+R173*0.15+S173*0.1+T173*0.1,0))</f>
        <v/>
      </c>
      <c r="O173" s="2" t="n"/>
      <c r="P173" s="2" t="n"/>
      <c r="Q173" s="2" t="n"/>
      <c r="R173" s="2" t="n"/>
      <c r="S173" s="2" t="n"/>
      <c r="T173" s="2" t="n"/>
      <c r="U173" s="2">
        <f>IF(OR(AA173="fail",AC173="fail"),"P4",IF(N173="","",IF(N173&gt;=90,"P1",IF(N173&gt;=80,"P1",IF(N173&gt;=70,"P2",IF(N173&gt;=60,"P3","P4"))))))</f>
        <v/>
      </c>
      <c r="V173" s="2">
        <f>IF(OR(AA173="fail",AC173="fail"),"SKIP",IF(N173="","",IF(N173&gt;=90,"APPLY ASAP",IF(N173&gt;=80,"APPLY",IF(N173&gt;=70,"CONSIDER",IF(N173&gt;=60,"STRETCH","SKIP"))))))</f>
        <v/>
      </c>
      <c r="W173" s="2" t="n"/>
      <c r="X173" s="2" t="n"/>
      <c r="Y173" s="2" t="n"/>
      <c r="Z173" s="2" t="n"/>
    </row>
    <row r="174">
      <c r="A174" s="2" t="n"/>
      <c r="B174" s="2" t="n"/>
      <c r="C174" s="2" t="n"/>
      <c r="D174" s="2" t="n"/>
      <c r="E174" s="2" t="n"/>
      <c r="F174" s="2" t="n"/>
      <c r="G174" s="2" t="n"/>
      <c r="H174" s="2" t="n"/>
      <c r="I174" s="2" t="n"/>
      <c r="J174" s="2" t="n"/>
      <c r="K174" s="2" t="n"/>
      <c r="L174" s="2" t="n"/>
      <c r="M174" s="2" t="n"/>
      <c r="N174" s="2">
        <f>IF(COUNTA(O174:T174)&lt;6,"",ROUND(O174*0.3+P174*0.2+Q174*0.15+R174*0.15+S174*0.1+T174*0.1,0))</f>
        <v/>
      </c>
      <c r="O174" s="2" t="n"/>
      <c r="P174" s="2" t="n"/>
      <c r="Q174" s="2" t="n"/>
      <c r="R174" s="2" t="n"/>
      <c r="S174" s="2" t="n"/>
      <c r="T174" s="2" t="n"/>
      <c r="U174" s="2">
        <f>IF(OR(AA174="fail",AC174="fail"),"P4",IF(N174="","",IF(N174&gt;=90,"P1",IF(N174&gt;=80,"P1",IF(N174&gt;=70,"P2",IF(N174&gt;=60,"P3","P4"))))))</f>
        <v/>
      </c>
      <c r="V174" s="2">
        <f>IF(OR(AA174="fail",AC174="fail"),"SKIP",IF(N174="","",IF(N174&gt;=90,"APPLY ASAP",IF(N174&gt;=80,"APPLY",IF(N174&gt;=70,"CONSIDER",IF(N174&gt;=60,"STRETCH","SKIP"))))))</f>
        <v/>
      </c>
      <c r="W174" s="2" t="n"/>
      <c r="X174" s="2" t="n"/>
      <c r="Y174" s="2" t="n"/>
      <c r="Z174" s="2" t="n"/>
    </row>
    <row r="175">
      <c r="A175" s="2" t="n"/>
      <c r="B175" s="2" t="n"/>
      <c r="C175" s="2" t="n"/>
      <c r="D175" s="2" t="n"/>
      <c r="E175" s="2" t="n"/>
      <c r="F175" s="2" t="n"/>
      <c r="G175" s="2" t="n"/>
      <c r="H175" s="2" t="n"/>
      <c r="I175" s="2" t="n"/>
      <c r="J175" s="2" t="n"/>
      <c r="K175" s="2" t="n"/>
      <c r="L175" s="2" t="n"/>
      <c r="M175" s="2" t="n"/>
      <c r="N175" s="2">
        <f>IF(COUNTA(O175:T175)&lt;6,"",ROUND(O175*0.3+P175*0.2+Q175*0.15+R175*0.15+S175*0.1+T175*0.1,0))</f>
        <v/>
      </c>
      <c r="O175" s="2" t="n"/>
      <c r="P175" s="2" t="n"/>
      <c r="Q175" s="2" t="n"/>
      <c r="R175" s="2" t="n"/>
      <c r="S175" s="2" t="n"/>
      <c r="T175" s="2" t="n"/>
      <c r="U175" s="2">
        <f>IF(OR(AA175="fail",AC175="fail"),"P4",IF(N175="","",IF(N175&gt;=90,"P1",IF(N175&gt;=80,"P1",IF(N175&gt;=70,"P2",IF(N175&gt;=60,"P3","P4"))))))</f>
        <v/>
      </c>
      <c r="V175" s="2">
        <f>IF(OR(AA175="fail",AC175="fail"),"SKIP",IF(N175="","",IF(N175&gt;=90,"APPLY ASAP",IF(N175&gt;=80,"APPLY",IF(N175&gt;=70,"CONSIDER",IF(N175&gt;=60,"STRETCH","SKIP"))))))</f>
        <v/>
      </c>
      <c r="W175" s="2" t="n"/>
      <c r="X175" s="2" t="n"/>
      <c r="Y175" s="2" t="n"/>
      <c r="Z175" s="2" t="n"/>
    </row>
    <row r="176">
      <c r="A176" s="2" t="n"/>
      <c r="B176" s="2" t="n"/>
      <c r="C176" s="2" t="n"/>
      <c r="D176" s="2" t="n"/>
      <c r="E176" s="2" t="n"/>
      <c r="F176" s="2" t="n"/>
      <c r="G176" s="2" t="n"/>
      <c r="H176" s="2" t="n"/>
      <c r="I176" s="2" t="n"/>
      <c r="J176" s="2" t="n"/>
      <c r="K176" s="2" t="n"/>
      <c r="L176" s="2" t="n"/>
      <c r="M176" s="2" t="n"/>
      <c r="N176" s="2">
        <f>IF(COUNTA(O176:T176)&lt;6,"",ROUND(O176*0.3+P176*0.2+Q176*0.15+R176*0.15+S176*0.1+T176*0.1,0))</f>
        <v/>
      </c>
      <c r="O176" s="2" t="n"/>
      <c r="P176" s="2" t="n"/>
      <c r="Q176" s="2" t="n"/>
      <c r="R176" s="2" t="n"/>
      <c r="S176" s="2" t="n"/>
      <c r="T176" s="2" t="n"/>
      <c r="U176" s="2">
        <f>IF(OR(AA176="fail",AC176="fail"),"P4",IF(N176="","",IF(N176&gt;=90,"P1",IF(N176&gt;=80,"P1",IF(N176&gt;=70,"P2",IF(N176&gt;=60,"P3","P4"))))))</f>
        <v/>
      </c>
      <c r="V176" s="2">
        <f>IF(OR(AA176="fail",AC176="fail"),"SKIP",IF(N176="","",IF(N176&gt;=90,"APPLY ASAP",IF(N176&gt;=80,"APPLY",IF(N176&gt;=70,"CONSIDER",IF(N176&gt;=60,"STRETCH","SKIP"))))))</f>
        <v/>
      </c>
      <c r="W176" s="2" t="n"/>
      <c r="X176" s="2" t="n"/>
      <c r="Y176" s="2" t="n"/>
      <c r="Z176" s="2" t="n"/>
    </row>
    <row r="177">
      <c r="A177" s="2" t="n"/>
      <c r="B177" s="2" t="n"/>
      <c r="C177" s="2" t="n"/>
      <c r="D177" s="2" t="n"/>
      <c r="E177" s="2" t="n"/>
      <c r="F177" s="2" t="n"/>
      <c r="G177" s="2" t="n"/>
      <c r="H177" s="2" t="n"/>
      <c r="I177" s="2" t="n"/>
      <c r="J177" s="2" t="n"/>
      <c r="K177" s="2" t="n"/>
      <c r="L177" s="2" t="n"/>
      <c r="M177" s="2" t="n"/>
      <c r="N177" s="2">
        <f>IF(COUNTA(O177:T177)&lt;6,"",ROUND(O177*0.3+P177*0.2+Q177*0.15+R177*0.15+S177*0.1+T177*0.1,0))</f>
        <v/>
      </c>
      <c r="O177" s="2" t="n"/>
      <c r="P177" s="2" t="n"/>
      <c r="Q177" s="2" t="n"/>
      <c r="R177" s="2" t="n"/>
      <c r="S177" s="2" t="n"/>
      <c r="T177" s="2" t="n"/>
      <c r="U177" s="2">
        <f>IF(OR(AA177="fail",AC177="fail"),"P4",IF(N177="","",IF(N177&gt;=90,"P1",IF(N177&gt;=80,"P1",IF(N177&gt;=70,"P2",IF(N177&gt;=60,"P3","P4"))))))</f>
        <v/>
      </c>
      <c r="V177" s="2">
        <f>IF(OR(AA177="fail",AC177="fail"),"SKIP",IF(N177="","",IF(N177&gt;=90,"APPLY ASAP",IF(N177&gt;=80,"APPLY",IF(N177&gt;=70,"CONSIDER",IF(N177&gt;=60,"STRETCH","SKIP"))))))</f>
        <v/>
      </c>
      <c r="W177" s="2" t="n"/>
      <c r="X177" s="2" t="n"/>
      <c r="Y177" s="2" t="n"/>
      <c r="Z177" s="2" t="n"/>
    </row>
    <row r="178">
      <c r="A178" s="2" t="n"/>
      <c r="B178" s="2" t="n"/>
      <c r="C178" s="2" t="n"/>
      <c r="D178" s="2" t="n"/>
      <c r="E178" s="2" t="n"/>
      <c r="F178" s="2" t="n"/>
      <c r="G178" s="2" t="n"/>
      <c r="H178" s="2" t="n"/>
      <c r="I178" s="2" t="n"/>
      <c r="J178" s="2" t="n"/>
      <c r="K178" s="2" t="n"/>
      <c r="L178" s="2" t="n"/>
      <c r="M178" s="2" t="n"/>
      <c r="N178" s="2">
        <f>IF(COUNTA(O178:T178)&lt;6,"",ROUND(O178*0.3+P178*0.2+Q178*0.15+R178*0.15+S178*0.1+T178*0.1,0))</f>
        <v/>
      </c>
      <c r="O178" s="2" t="n"/>
      <c r="P178" s="2" t="n"/>
      <c r="Q178" s="2" t="n"/>
      <c r="R178" s="2" t="n"/>
      <c r="S178" s="2" t="n"/>
      <c r="T178" s="2" t="n"/>
      <c r="U178" s="2">
        <f>IF(OR(AA178="fail",AC178="fail"),"P4",IF(N178="","",IF(N178&gt;=90,"P1",IF(N178&gt;=80,"P1",IF(N178&gt;=70,"P2",IF(N178&gt;=60,"P3","P4"))))))</f>
        <v/>
      </c>
      <c r="V178" s="2">
        <f>IF(OR(AA178="fail",AC178="fail"),"SKIP",IF(N178="","",IF(N178&gt;=90,"APPLY ASAP",IF(N178&gt;=80,"APPLY",IF(N178&gt;=70,"CONSIDER",IF(N178&gt;=60,"STRETCH","SKIP"))))))</f>
        <v/>
      </c>
      <c r="W178" s="2" t="n"/>
      <c r="X178" s="2" t="n"/>
      <c r="Y178" s="2" t="n"/>
      <c r="Z178" s="2" t="n"/>
    </row>
    <row r="179">
      <c r="A179" s="2" t="n"/>
      <c r="B179" s="2" t="n"/>
      <c r="C179" s="2" t="n"/>
      <c r="D179" s="2" t="n"/>
      <c r="E179" s="2" t="n"/>
      <c r="F179" s="2" t="n"/>
      <c r="G179" s="2" t="n"/>
      <c r="H179" s="2" t="n"/>
      <c r="I179" s="2" t="n"/>
      <c r="J179" s="2" t="n"/>
      <c r="K179" s="2" t="n"/>
      <c r="L179" s="2" t="n"/>
      <c r="M179" s="2" t="n"/>
      <c r="N179" s="2">
        <f>IF(COUNTA(O179:T179)&lt;6,"",ROUND(O179*0.3+P179*0.2+Q179*0.15+R179*0.15+S179*0.1+T179*0.1,0))</f>
        <v/>
      </c>
      <c r="O179" s="2" t="n"/>
      <c r="P179" s="2" t="n"/>
      <c r="Q179" s="2" t="n"/>
      <c r="R179" s="2" t="n"/>
      <c r="S179" s="2" t="n"/>
      <c r="T179" s="2" t="n"/>
      <c r="U179" s="2">
        <f>IF(OR(AA179="fail",AC179="fail"),"P4",IF(N179="","",IF(N179&gt;=90,"P1",IF(N179&gt;=80,"P1",IF(N179&gt;=70,"P2",IF(N179&gt;=60,"P3","P4"))))))</f>
        <v/>
      </c>
      <c r="V179" s="2">
        <f>IF(OR(AA179="fail",AC179="fail"),"SKIP",IF(N179="","",IF(N179&gt;=90,"APPLY ASAP",IF(N179&gt;=80,"APPLY",IF(N179&gt;=70,"CONSIDER",IF(N179&gt;=60,"STRETCH","SKIP"))))))</f>
        <v/>
      </c>
      <c r="W179" s="2" t="n"/>
      <c r="X179" s="2" t="n"/>
      <c r="Y179" s="2" t="n"/>
      <c r="Z179" s="2" t="n"/>
    </row>
    <row r="180">
      <c r="A180" s="2" t="n"/>
      <c r="B180" s="2" t="n"/>
      <c r="C180" s="2" t="n"/>
      <c r="D180" s="2" t="n"/>
      <c r="E180" s="2" t="n"/>
      <c r="F180" s="2" t="n"/>
      <c r="G180" s="2" t="n"/>
      <c r="H180" s="2" t="n"/>
      <c r="I180" s="2" t="n"/>
      <c r="J180" s="2" t="n"/>
      <c r="K180" s="2" t="n"/>
      <c r="L180" s="2" t="n"/>
      <c r="M180" s="2" t="n"/>
      <c r="N180" s="2">
        <f>IF(COUNTA(O180:T180)&lt;6,"",ROUND(O180*0.3+P180*0.2+Q180*0.15+R180*0.15+S180*0.1+T180*0.1,0))</f>
        <v/>
      </c>
      <c r="O180" s="2" t="n"/>
      <c r="P180" s="2" t="n"/>
      <c r="Q180" s="2" t="n"/>
      <c r="R180" s="2" t="n"/>
      <c r="S180" s="2" t="n"/>
      <c r="T180" s="2" t="n"/>
      <c r="U180" s="2">
        <f>IF(OR(AA180="fail",AC180="fail"),"P4",IF(N180="","",IF(N180&gt;=90,"P1",IF(N180&gt;=80,"P1",IF(N180&gt;=70,"P2",IF(N180&gt;=60,"P3","P4"))))))</f>
        <v/>
      </c>
      <c r="V180" s="2">
        <f>IF(OR(AA180="fail",AC180="fail"),"SKIP",IF(N180="","",IF(N180&gt;=90,"APPLY ASAP",IF(N180&gt;=80,"APPLY",IF(N180&gt;=70,"CONSIDER",IF(N180&gt;=60,"STRETCH","SKIP"))))))</f>
        <v/>
      </c>
      <c r="W180" s="2" t="n"/>
      <c r="X180" s="2" t="n"/>
      <c r="Y180" s="2" t="n"/>
      <c r="Z180" s="2" t="n"/>
    </row>
    <row r="181">
      <c r="A181" s="2" t="n"/>
      <c r="B181" s="2" t="n"/>
      <c r="C181" s="2" t="n"/>
      <c r="D181" s="2" t="n"/>
      <c r="E181" s="2" t="n"/>
      <c r="F181" s="2" t="n"/>
      <c r="G181" s="2" t="n"/>
      <c r="H181" s="2" t="n"/>
      <c r="I181" s="2" t="n"/>
      <c r="J181" s="2" t="n"/>
      <c r="K181" s="2" t="n"/>
      <c r="L181" s="2" t="n"/>
      <c r="M181" s="2" t="n"/>
      <c r="N181" s="2">
        <f>IF(COUNTA(O181:T181)&lt;6,"",ROUND(O181*0.3+P181*0.2+Q181*0.15+R181*0.15+S181*0.1+T181*0.1,0))</f>
        <v/>
      </c>
      <c r="O181" s="2" t="n"/>
      <c r="P181" s="2" t="n"/>
      <c r="Q181" s="2" t="n"/>
      <c r="R181" s="2" t="n"/>
      <c r="S181" s="2" t="n"/>
      <c r="T181" s="2" t="n"/>
      <c r="U181" s="2">
        <f>IF(OR(AA181="fail",AC181="fail"),"P4",IF(N181="","",IF(N181&gt;=90,"P1",IF(N181&gt;=80,"P1",IF(N181&gt;=70,"P2",IF(N181&gt;=60,"P3","P4"))))))</f>
        <v/>
      </c>
      <c r="V181" s="2">
        <f>IF(OR(AA181="fail",AC181="fail"),"SKIP",IF(N181="","",IF(N181&gt;=90,"APPLY ASAP",IF(N181&gt;=80,"APPLY",IF(N181&gt;=70,"CONSIDER",IF(N181&gt;=60,"STRETCH","SKIP"))))))</f>
        <v/>
      </c>
      <c r="W181" s="2" t="n"/>
      <c r="X181" s="2" t="n"/>
      <c r="Y181" s="2" t="n"/>
      <c r="Z181" s="2" t="n"/>
    </row>
    <row r="182">
      <c r="A182" s="2" t="n"/>
      <c r="B182" s="2" t="n"/>
      <c r="C182" s="2" t="n"/>
      <c r="D182" s="2" t="n"/>
      <c r="E182" s="2" t="n"/>
      <c r="F182" s="2" t="n"/>
      <c r="G182" s="2" t="n"/>
      <c r="H182" s="2" t="n"/>
      <c r="I182" s="2" t="n"/>
      <c r="J182" s="2" t="n"/>
      <c r="K182" s="2" t="n"/>
      <c r="L182" s="2" t="n"/>
      <c r="M182" s="2" t="n"/>
      <c r="N182" s="2">
        <f>IF(COUNTA(O182:T182)&lt;6,"",ROUND(O182*0.3+P182*0.2+Q182*0.15+R182*0.15+S182*0.1+T182*0.1,0))</f>
        <v/>
      </c>
      <c r="O182" s="2" t="n"/>
      <c r="P182" s="2" t="n"/>
      <c r="Q182" s="2" t="n"/>
      <c r="R182" s="2" t="n"/>
      <c r="S182" s="2" t="n"/>
      <c r="T182" s="2" t="n"/>
      <c r="U182" s="2">
        <f>IF(OR(AA182="fail",AC182="fail"),"P4",IF(N182="","",IF(N182&gt;=90,"P1",IF(N182&gt;=80,"P1",IF(N182&gt;=70,"P2",IF(N182&gt;=60,"P3","P4"))))))</f>
        <v/>
      </c>
      <c r="V182" s="2">
        <f>IF(OR(AA182="fail",AC182="fail"),"SKIP",IF(N182="","",IF(N182&gt;=90,"APPLY ASAP",IF(N182&gt;=80,"APPLY",IF(N182&gt;=70,"CONSIDER",IF(N182&gt;=60,"STRETCH","SKIP"))))))</f>
        <v/>
      </c>
      <c r="W182" s="2" t="n"/>
      <c r="X182" s="2" t="n"/>
      <c r="Y182" s="2" t="n"/>
      <c r="Z182" s="2" t="n"/>
    </row>
    <row r="183">
      <c r="A183" s="2" t="n"/>
      <c r="B183" s="2" t="n"/>
      <c r="C183" s="2" t="n"/>
      <c r="D183" s="2" t="n"/>
      <c r="E183" s="2" t="n"/>
      <c r="F183" s="2" t="n"/>
      <c r="G183" s="2" t="n"/>
      <c r="H183" s="2" t="n"/>
      <c r="I183" s="2" t="n"/>
      <c r="J183" s="2" t="n"/>
      <c r="K183" s="2" t="n"/>
      <c r="L183" s="2" t="n"/>
      <c r="M183" s="2" t="n"/>
      <c r="N183" s="2">
        <f>IF(COUNTA(O183:T183)&lt;6,"",ROUND(O183*0.3+P183*0.2+Q183*0.15+R183*0.15+S183*0.1+T183*0.1,0))</f>
        <v/>
      </c>
      <c r="O183" s="2" t="n"/>
      <c r="P183" s="2" t="n"/>
      <c r="Q183" s="2" t="n"/>
      <c r="R183" s="2" t="n"/>
      <c r="S183" s="2" t="n"/>
      <c r="T183" s="2" t="n"/>
      <c r="U183" s="2">
        <f>IF(OR(AA183="fail",AC183="fail"),"P4",IF(N183="","",IF(N183&gt;=90,"P1",IF(N183&gt;=80,"P1",IF(N183&gt;=70,"P2",IF(N183&gt;=60,"P3","P4"))))))</f>
        <v/>
      </c>
      <c r="V183" s="2">
        <f>IF(OR(AA183="fail",AC183="fail"),"SKIP",IF(N183="","",IF(N183&gt;=90,"APPLY ASAP",IF(N183&gt;=80,"APPLY",IF(N183&gt;=70,"CONSIDER",IF(N183&gt;=60,"STRETCH","SKIP"))))))</f>
        <v/>
      </c>
      <c r="W183" s="2" t="n"/>
      <c r="X183" s="2" t="n"/>
      <c r="Y183" s="2" t="n"/>
      <c r="Z183" s="2" t="n"/>
    </row>
    <row r="184">
      <c r="A184" s="2" t="n"/>
      <c r="B184" s="2" t="n"/>
      <c r="C184" s="2" t="n"/>
      <c r="D184" s="2" t="n"/>
      <c r="E184" s="2" t="n"/>
      <c r="F184" s="2" t="n"/>
      <c r="G184" s="2" t="n"/>
      <c r="H184" s="2" t="n"/>
      <c r="I184" s="2" t="n"/>
      <c r="J184" s="2" t="n"/>
      <c r="K184" s="2" t="n"/>
      <c r="L184" s="2" t="n"/>
      <c r="M184" s="2" t="n"/>
      <c r="N184" s="2">
        <f>IF(COUNTA(O184:T184)&lt;6,"",ROUND(O184*0.3+P184*0.2+Q184*0.15+R184*0.15+S184*0.1+T184*0.1,0))</f>
        <v/>
      </c>
      <c r="O184" s="2" t="n"/>
      <c r="P184" s="2" t="n"/>
      <c r="Q184" s="2" t="n"/>
      <c r="R184" s="2" t="n"/>
      <c r="S184" s="2" t="n"/>
      <c r="T184" s="2" t="n"/>
      <c r="U184" s="2">
        <f>IF(OR(AA184="fail",AC184="fail"),"P4",IF(N184="","",IF(N184&gt;=90,"P1",IF(N184&gt;=80,"P1",IF(N184&gt;=70,"P2",IF(N184&gt;=60,"P3","P4"))))))</f>
        <v/>
      </c>
      <c r="V184" s="2">
        <f>IF(OR(AA184="fail",AC184="fail"),"SKIP",IF(N184="","",IF(N184&gt;=90,"APPLY ASAP",IF(N184&gt;=80,"APPLY",IF(N184&gt;=70,"CONSIDER",IF(N184&gt;=60,"STRETCH","SKIP"))))))</f>
        <v/>
      </c>
      <c r="W184" s="2" t="n"/>
      <c r="X184" s="2" t="n"/>
      <c r="Y184" s="2" t="n"/>
      <c r="Z184" s="2" t="n"/>
    </row>
    <row r="185">
      <c r="A185" s="2" t="n"/>
      <c r="B185" s="2" t="n"/>
      <c r="C185" s="2" t="n"/>
      <c r="D185" s="2" t="n"/>
      <c r="E185" s="2" t="n"/>
      <c r="F185" s="2" t="n"/>
      <c r="G185" s="2" t="n"/>
      <c r="H185" s="2" t="n"/>
      <c r="I185" s="2" t="n"/>
      <c r="J185" s="2" t="n"/>
      <c r="K185" s="2" t="n"/>
      <c r="L185" s="2" t="n"/>
      <c r="M185" s="2" t="n"/>
      <c r="N185" s="2">
        <f>IF(COUNTA(O185:T185)&lt;6,"",ROUND(O185*0.3+P185*0.2+Q185*0.15+R185*0.15+S185*0.1+T185*0.1,0))</f>
        <v/>
      </c>
      <c r="O185" s="2" t="n"/>
      <c r="P185" s="2" t="n"/>
      <c r="Q185" s="2" t="n"/>
      <c r="R185" s="2" t="n"/>
      <c r="S185" s="2" t="n"/>
      <c r="T185" s="2" t="n"/>
      <c r="U185" s="2">
        <f>IF(OR(AA185="fail",AC185="fail"),"P4",IF(N185="","",IF(N185&gt;=90,"P1",IF(N185&gt;=80,"P1",IF(N185&gt;=70,"P2",IF(N185&gt;=60,"P3","P4"))))))</f>
        <v/>
      </c>
      <c r="V185" s="2">
        <f>IF(OR(AA185="fail",AC185="fail"),"SKIP",IF(N185="","",IF(N185&gt;=90,"APPLY ASAP",IF(N185&gt;=80,"APPLY",IF(N185&gt;=70,"CONSIDER",IF(N185&gt;=60,"STRETCH","SKIP"))))))</f>
        <v/>
      </c>
      <c r="W185" s="2" t="n"/>
      <c r="X185" s="2" t="n"/>
      <c r="Y185" s="2" t="n"/>
      <c r="Z185" s="2" t="n"/>
    </row>
    <row r="186">
      <c r="A186" s="2" t="n"/>
      <c r="B186" s="2" t="n"/>
      <c r="C186" s="2" t="n"/>
      <c r="D186" s="2" t="n"/>
      <c r="E186" s="2" t="n"/>
      <c r="F186" s="2" t="n"/>
      <c r="G186" s="2" t="n"/>
      <c r="H186" s="2" t="n"/>
      <c r="I186" s="2" t="n"/>
      <c r="J186" s="2" t="n"/>
      <c r="K186" s="2" t="n"/>
      <c r="L186" s="2" t="n"/>
      <c r="M186" s="2" t="n"/>
      <c r="N186" s="2">
        <f>IF(COUNTA(O186:T186)&lt;6,"",ROUND(O186*0.3+P186*0.2+Q186*0.15+R186*0.15+S186*0.1+T186*0.1,0))</f>
        <v/>
      </c>
      <c r="O186" s="2" t="n"/>
      <c r="P186" s="2" t="n"/>
      <c r="Q186" s="2" t="n"/>
      <c r="R186" s="2" t="n"/>
      <c r="S186" s="2" t="n"/>
      <c r="T186" s="2" t="n"/>
      <c r="U186" s="2">
        <f>IF(OR(AA186="fail",AC186="fail"),"P4",IF(N186="","",IF(N186&gt;=90,"P1",IF(N186&gt;=80,"P1",IF(N186&gt;=70,"P2",IF(N186&gt;=60,"P3","P4"))))))</f>
        <v/>
      </c>
      <c r="V186" s="2">
        <f>IF(OR(AA186="fail",AC186="fail"),"SKIP",IF(N186="","",IF(N186&gt;=90,"APPLY ASAP",IF(N186&gt;=80,"APPLY",IF(N186&gt;=70,"CONSIDER",IF(N186&gt;=60,"STRETCH","SKIP"))))))</f>
        <v/>
      </c>
      <c r="W186" s="2" t="n"/>
      <c r="X186" s="2" t="n"/>
      <c r="Y186" s="2" t="n"/>
      <c r="Z186" s="2" t="n"/>
    </row>
    <row r="187">
      <c r="A187" s="2" t="n"/>
      <c r="B187" s="2" t="n"/>
      <c r="C187" s="2" t="n"/>
      <c r="D187" s="2" t="n"/>
      <c r="E187" s="2" t="n"/>
      <c r="F187" s="2" t="n"/>
      <c r="G187" s="2" t="n"/>
      <c r="H187" s="2" t="n"/>
      <c r="I187" s="2" t="n"/>
      <c r="J187" s="2" t="n"/>
      <c r="K187" s="2" t="n"/>
      <c r="L187" s="2" t="n"/>
      <c r="M187" s="2" t="n"/>
      <c r="N187" s="2">
        <f>IF(COUNTA(O187:T187)&lt;6,"",ROUND(O187*0.3+P187*0.2+Q187*0.15+R187*0.15+S187*0.1+T187*0.1,0))</f>
        <v/>
      </c>
      <c r="O187" s="2" t="n"/>
      <c r="P187" s="2" t="n"/>
      <c r="Q187" s="2" t="n"/>
      <c r="R187" s="2" t="n"/>
      <c r="S187" s="2" t="n"/>
      <c r="T187" s="2" t="n"/>
      <c r="U187" s="2">
        <f>IF(OR(AA187="fail",AC187="fail"),"P4",IF(N187="","",IF(N187&gt;=90,"P1",IF(N187&gt;=80,"P1",IF(N187&gt;=70,"P2",IF(N187&gt;=60,"P3","P4"))))))</f>
        <v/>
      </c>
      <c r="V187" s="2">
        <f>IF(OR(AA187="fail",AC187="fail"),"SKIP",IF(N187="","",IF(N187&gt;=90,"APPLY ASAP",IF(N187&gt;=80,"APPLY",IF(N187&gt;=70,"CONSIDER",IF(N187&gt;=60,"STRETCH","SKIP"))))))</f>
        <v/>
      </c>
      <c r="W187" s="2" t="n"/>
      <c r="X187" s="2" t="n"/>
      <c r="Y187" s="2" t="n"/>
      <c r="Z187" s="2" t="n"/>
    </row>
    <row r="188">
      <c r="A188" s="2" t="n"/>
      <c r="B188" s="2" t="n"/>
      <c r="C188" s="2" t="n"/>
      <c r="D188" s="2" t="n"/>
      <c r="E188" s="2" t="n"/>
      <c r="F188" s="2" t="n"/>
      <c r="G188" s="2" t="n"/>
      <c r="H188" s="2" t="n"/>
      <c r="I188" s="2" t="n"/>
      <c r="J188" s="2" t="n"/>
      <c r="K188" s="2" t="n"/>
      <c r="L188" s="2" t="n"/>
      <c r="M188" s="2" t="n"/>
      <c r="N188" s="2">
        <f>IF(COUNTA(O188:T188)&lt;6,"",ROUND(O188*0.3+P188*0.2+Q188*0.15+R188*0.15+S188*0.1+T188*0.1,0))</f>
        <v/>
      </c>
      <c r="O188" s="2" t="n"/>
      <c r="P188" s="2" t="n"/>
      <c r="Q188" s="2" t="n"/>
      <c r="R188" s="2" t="n"/>
      <c r="S188" s="2" t="n"/>
      <c r="T188" s="2" t="n"/>
      <c r="U188" s="2">
        <f>IF(OR(AA188="fail",AC188="fail"),"P4",IF(N188="","",IF(N188&gt;=90,"P1",IF(N188&gt;=80,"P1",IF(N188&gt;=70,"P2",IF(N188&gt;=60,"P3","P4"))))))</f>
        <v/>
      </c>
      <c r="V188" s="2">
        <f>IF(OR(AA188="fail",AC188="fail"),"SKIP",IF(N188="","",IF(N188&gt;=90,"APPLY ASAP",IF(N188&gt;=80,"APPLY",IF(N188&gt;=70,"CONSIDER",IF(N188&gt;=60,"STRETCH","SKIP"))))))</f>
        <v/>
      </c>
      <c r="W188" s="2" t="n"/>
      <c r="X188" s="2" t="n"/>
      <c r="Y188" s="2" t="n"/>
      <c r="Z188" s="2" t="n"/>
    </row>
    <row r="189">
      <c r="A189" s="2" t="n"/>
      <c r="B189" s="2" t="n"/>
      <c r="C189" s="2" t="n"/>
      <c r="D189" s="2" t="n"/>
      <c r="E189" s="2" t="n"/>
      <c r="F189" s="2" t="n"/>
      <c r="G189" s="2" t="n"/>
      <c r="H189" s="2" t="n"/>
      <c r="I189" s="2" t="n"/>
      <c r="J189" s="2" t="n"/>
      <c r="K189" s="2" t="n"/>
      <c r="L189" s="2" t="n"/>
      <c r="M189" s="2" t="n"/>
      <c r="N189" s="2">
        <f>IF(COUNTA(O189:T189)&lt;6,"",ROUND(O189*0.3+P189*0.2+Q189*0.15+R189*0.15+S189*0.1+T189*0.1,0))</f>
        <v/>
      </c>
      <c r="O189" s="2" t="n"/>
      <c r="P189" s="2" t="n"/>
      <c r="Q189" s="2" t="n"/>
      <c r="R189" s="2" t="n"/>
      <c r="S189" s="2" t="n"/>
      <c r="T189" s="2" t="n"/>
      <c r="U189" s="2">
        <f>IF(OR(AA189="fail",AC189="fail"),"P4",IF(N189="","",IF(N189&gt;=90,"P1",IF(N189&gt;=80,"P1",IF(N189&gt;=70,"P2",IF(N189&gt;=60,"P3","P4"))))))</f>
        <v/>
      </c>
      <c r="V189" s="2">
        <f>IF(OR(AA189="fail",AC189="fail"),"SKIP",IF(N189="","",IF(N189&gt;=90,"APPLY ASAP",IF(N189&gt;=80,"APPLY",IF(N189&gt;=70,"CONSIDER",IF(N189&gt;=60,"STRETCH","SKIP"))))))</f>
        <v/>
      </c>
      <c r="W189" s="2" t="n"/>
      <c r="X189" s="2" t="n"/>
      <c r="Y189" s="2" t="n"/>
      <c r="Z189" s="2" t="n"/>
    </row>
    <row r="190">
      <c r="A190" s="2" t="n"/>
      <c r="B190" s="2" t="n"/>
      <c r="C190" s="2" t="n"/>
      <c r="D190" s="2" t="n"/>
      <c r="E190" s="2" t="n"/>
      <c r="F190" s="2" t="n"/>
      <c r="G190" s="2" t="n"/>
      <c r="H190" s="2" t="n"/>
      <c r="I190" s="2" t="n"/>
      <c r="J190" s="2" t="n"/>
      <c r="K190" s="2" t="n"/>
      <c r="L190" s="2" t="n"/>
      <c r="M190" s="2" t="n"/>
      <c r="N190" s="2">
        <f>IF(COUNTA(O190:T190)&lt;6,"",ROUND(O190*0.3+P190*0.2+Q190*0.15+R190*0.15+S190*0.1+T190*0.1,0))</f>
        <v/>
      </c>
      <c r="O190" s="2" t="n"/>
      <c r="P190" s="2" t="n"/>
      <c r="Q190" s="2" t="n"/>
      <c r="R190" s="2" t="n"/>
      <c r="S190" s="2" t="n"/>
      <c r="T190" s="2" t="n"/>
      <c r="U190" s="2">
        <f>IF(OR(AA190="fail",AC190="fail"),"P4",IF(N190="","",IF(N190&gt;=90,"P1",IF(N190&gt;=80,"P1",IF(N190&gt;=70,"P2",IF(N190&gt;=60,"P3","P4"))))))</f>
        <v/>
      </c>
      <c r="V190" s="2">
        <f>IF(OR(AA190="fail",AC190="fail"),"SKIP",IF(N190="","",IF(N190&gt;=90,"APPLY ASAP",IF(N190&gt;=80,"APPLY",IF(N190&gt;=70,"CONSIDER",IF(N190&gt;=60,"STRETCH","SKIP"))))))</f>
        <v/>
      </c>
      <c r="W190" s="2" t="n"/>
      <c r="X190" s="2" t="n"/>
      <c r="Y190" s="2" t="n"/>
      <c r="Z190" s="2" t="n"/>
    </row>
    <row r="191">
      <c r="A191" s="2" t="n"/>
      <c r="B191" s="2" t="n"/>
      <c r="C191" s="2" t="n"/>
      <c r="D191" s="2" t="n"/>
      <c r="E191" s="2" t="n"/>
      <c r="F191" s="2" t="n"/>
      <c r="G191" s="2" t="n"/>
      <c r="H191" s="2" t="n"/>
      <c r="I191" s="2" t="n"/>
      <c r="J191" s="2" t="n"/>
      <c r="K191" s="2" t="n"/>
      <c r="L191" s="2" t="n"/>
      <c r="M191" s="2" t="n"/>
      <c r="N191" s="2">
        <f>IF(COUNTA(O191:T191)&lt;6,"",ROUND(O191*0.3+P191*0.2+Q191*0.15+R191*0.15+S191*0.1+T191*0.1,0))</f>
        <v/>
      </c>
      <c r="O191" s="2" t="n"/>
      <c r="P191" s="2" t="n"/>
      <c r="Q191" s="2" t="n"/>
      <c r="R191" s="2" t="n"/>
      <c r="S191" s="2" t="n"/>
      <c r="T191" s="2" t="n"/>
      <c r="U191" s="2">
        <f>IF(OR(AA191="fail",AC191="fail"),"P4",IF(N191="","",IF(N191&gt;=90,"P1",IF(N191&gt;=80,"P1",IF(N191&gt;=70,"P2",IF(N191&gt;=60,"P3","P4"))))))</f>
        <v/>
      </c>
      <c r="V191" s="2">
        <f>IF(OR(AA191="fail",AC191="fail"),"SKIP",IF(N191="","",IF(N191&gt;=90,"APPLY ASAP",IF(N191&gt;=80,"APPLY",IF(N191&gt;=70,"CONSIDER",IF(N191&gt;=60,"STRETCH","SKIP"))))))</f>
        <v/>
      </c>
      <c r="W191" s="2" t="n"/>
      <c r="X191" s="2" t="n"/>
      <c r="Y191" s="2" t="n"/>
      <c r="Z191" s="2" t="n"/>
    </row>
    <row r="192">
      <c r="A192" s="2" t="n"/>
      <c r="B192" s="2" t="n"/>
      <c r="C192" s="2" t="n"/>
      <c r="D192" s="2" t="n"/>
      <c r="E192" s="2" t="n"/>
      <c r="F192" s="2" t="n"/>
      <c r="G192" s="2" t="n"/>
      <c r="H192" s="2" t="n"/>
      <c r="I192" s="2" t="n"/>
      <c r="J192" s="2" t="n"/>
      <c r="K192" s="2" t="n"/>
      <c r="L192" s="2" t="n"/>
      <c r="M192" s="2" t="n"/>
      <c r="N192" s="2">
        <f>IF(COUNTA(O192:T192)&lt;6,"",ROUND(O192*0.3+P192*0.2+Q192*0.15+R192*0.15+S192*0.1+T192*0.1,0))</f>
        <v/>
      </c>
      <c r="O192" s="2" t="n"/>
      <c r="P192" s="2" t="n"/>
      <c r="Q192" s="2" t="n"/>
      <c r="R192" s="2" t="n"/>
      <c r="S192" s="2" t="n"/>
      <c r="T192" s="2" t="n"/>
      <c r="U192" s="2">
        <f>IF(OR(AA192="fail",AC192="fail"),"P4",IF(N192="","",IF(N192&gt;=90,"P1",IF(N192&gt;=80,"P1",IF(N192&gt;=70,"P2",IF(N192&gt;=60,"P3","P4"))))))</f>
        <v/>
      </c>
      <c r="V192" s="2">
        <f>IF(OR(AA192="fail",AC192="fail"),"SKIP",IF(N192="","",IF(N192&gt;=90,"APPLY ASAP",IF(N192&gt;=80,"APPLY",IF(N192&gt;=70,"CONSIDER",IF(N192&gt;=60,"STRETCH","SKIP"))))))</f>
        <v/>
      </c>
      <c r="W192" s="2" t="n"/>
      <c r="X192" s="2" t="n"/>
      <c r="Y192" s="2" t="n"/>
      <c r="Z192" s="2" t="n"/>
    </row>
    <row r="193">
      <c r="A193" s="2" t="n"/>
      <c r="B193" s="2" t="n"/>
      <c r="C193" s="2" t="n"/>
      <c r="D193" s="2" t="n"/>
      <c r="E193" s="2" t="n"/>
      <c r="F193" s="2" t="n"/>
      <c r="G193" s="2" t="n"/>
      <c r="H193" s="2" t="n"/>
      <c r="I193" s="2" t="n"/>
      <c r="J193" s="2" t="n"/>
      <c r="K193" s="2" t="n"/>
      <c r="L193" s="2" t="n"/>
      <c r="M193" s="2" t="n"/>
      <c r="N193" s="2">
        <f>IF(COUNTA(O193:T193)&lt;6,"",ROUND(O193*0.3+P193*0.2+Q193*0.15+R193*0.15+S193*0.1+T193*0.1,0))</f>
        <v/>
      </c>
      <c r="O193" s="2" t="n"/>
      <c r="P193" s="2" t="n"/>
      <c r="Q193" s="2" t="n"/>
      <c r="R193" s="2" t="n"/>
      <c r="S193" s="2" t="n"/>
      <c r="T193" s="2" t="n"/>
      <c r="U193" s="2">
        <f>IF(OR(AA193="fail",AC193="fail"),"P4",IF(N193="","",IF(N193&gt;=90,"P1",IF(N193&gt;=80,"P1",IF(N193&gt;=70,"P2",IF(N193&gt;=60,"P3","P4"))))))</f>
        <v/>
      </c>
      <c r="V193" s="2">
        <f>IF(OR(AA193="fail",AC193="fail"),"SKIP",IF(N193="","",IF(N193&gt;=90,"APPLY ASAP",IF(N193&gt;=80,"APPLY",IF(N193&gt;=70,"CONSIDER",IF(N193&gt;=60,"STRETCH","SKIP"))))))</f>
        <v/>
      </c>
      <c r="W193" s="2" t="n"/>
      <c r="X193" s="2" t="n"/>
      <c r="Y193" s="2" t="n"/>
      <c r="Z193" s="2" t="n"/>
    </row>
    <row r="194">
      <c r="A194" s="2" t="n"/>
      <c r="B194" s="2" t="n"/>
      <c r="C194" s="2" t="n"/>
      <c r="D194" s="2" t="n"/>
      <c r="E194" s="2" t="n"/>
      <c r="F194" s="2" t="n"/>
      <c r="G194" s="2" t="n"/>
      <c r="H194" s="2" t="n"/>
      <c r="I194" s="2" t="n"/>
      <c r="J194" s="2" t="n"/>
      <c r="K194" s="2" t="n"/>
      <c r="L194" s="2" t="n"/>
      <c r="M194" s="2" t="n"/>
      <c r="N194" s="2">
        <f>IF(COUNTA(O194:T194)&lt;6,"",ROUND(O194*0.3+P194*0.2+Q194*0.15+R194*0.15+S194*0.1+T194*0.1,0))</f>
        <v/>
      </c>
      <c r="O194" s="2" t="n"/>
      <c r="P194" s="2" t="n"/>
      <c r="Q194" s="2" t="n"/>
      <c r="R194" s="2" t="n"/>
      <c r="S194" s="2" t="n"/>
      <c r="T194" s="2" t="n"/>
      <c r="U194" s="2">
        <f>IF(OR(AA194="fail",AC194="fail"),"P4",IF(N194="","",IF(N194&gt;=90,"P1",IF(N194&gt;=80,"P1",IF(N194&gt;=70,"P2",IF(N194&gt;=60,"P3","P4"))))))</f>
        <v/>
      </c>
      <c r="V194" s="2">
        <f>IF(OR(AA194="fail",AC194="fail"),"SKIP",IF(N194="","",IF(N194&gt;=90,"APPLY ASAP",IF(N194&gt;=80,"APPLY",IF(N194&gt;=70,"CONSIDER",IF(N194&gt;=60,"STRETCH","SKIP"))))))</f>
        <v/>
      </c>
      <c r="W194" s="2" t="n"/>
      <c r="X194" s="2" t="n"/>
      <c r="Y194" s="2" t="n"/>
      <c r="Z194" s="2" t="n"/>
    </row>
    <row r="195">
      <c r="A195" s="2" t="n"/>
      <c r="B195" s="2" t="n"/>
      <c r="C195" s="2" t="n"/>
      <c r="D195" s="2" t="n"/>
      <c r="E195" s="2" t="n"/>
      <c r="F195" s="2" t="n"/>
      <c r="G195" s="2" t="n"/>
      <c r="H195" s="2" t="n"/>
      <c r="I195" s="2" t="n"/>
      <c r="J195" s="2" t="n"/>
      <c r="K195" s="2" t="n"/>
      <c r="L195" s="2" t="n"/>
      <c r="M195" s="2" t="n"/>
      <c r="N195" s="2">
        <f>IF(COUNTA(O195:T195)&lt;6,"",ROUND(O195*0.3+P195*0.2+Q195*0.15+R195*0.15+S195*0.1+T195*0.1,0))</f>
        <v/>
      </c>
      <c r="O195" s="2" t="n"/>
      <c r="P195" s="2" t="n"/>
      <c r="Q195" s="2" t="n"/>
      <c r="R195" s="2" t="n"/>
      <c r="S195" s="2" t="n"/>
      <c r="T195" s="2" t="n"/>
      <c r="U195" s="2">
        <f>IF(OR(AA195="fail",AC195="fail"),"P4",IF(N195="","",IF(N195&gt;=90,"P1",IF(N195&gt;=80,"P1",IF(N195&gt;=70,"P2",IF(N195&gt;=60,"P3","P4"))))))</f>
        <v/>
      </c>
      <c r="V195" s="2">
        <f>IF(OR(AA195="fail",AC195="fail"),"SKIP",IF(N195="","",IF(N195&gt;=90,"APPLY ASAP",IF(N195&gt;=80,"APPLY",IF(N195&gt;=70,"CONSIDER",IF(N195&gt;=60,"STRETCH","SKIP"))))))</f>
        <v/>
      </c>
      <c r="W195" s="2" t="n"/>
      <c r="X195" s="2" t="n"/>
      <c r="Y195" s="2" t="n"/>
      <c r="Z195" s="2" t="n"/>
    </row>
    <row r="196">
      <c r="A196" s="2" t="n"/>
      <c r="B196" s="2" t="n"/>
      <c r="C196" s="2" t="n"/>
      <c r="D196" s="2" t="n"/>
      <c r="E196" s="2" t="n"/>
      <c r="F196" s="2" t="n"/>
      <c r="G196" s="2" t="n"/>
      <c r="H196" s="2" t="n"/>
      <c r="I196" s="2" t="n"/>
      <c r="J196" s="2" t="n"/>
      <c r="K196" s="2" t="n"/>
      <c r="L196" s="2" t="n"/>
      <c r="M196" s="2" t="n"/>
      <c r="N196" s="2">
        <f>IF(COUNTA(O196:T196)&lt;6,"",ROUND(O196*0.3+P196*0.2+Q196*0.15+R196*0.15+S196*0.1+T196*0.1,0))</f>
        <v/>
      </c>
      <c r="O196" s="2" t="n"/>
      <c r="P196" s="2" t="n"/>
      <c r="Q196" s="2" t="n"/>
      <c r="R196" s="2" t="n"/>
      <c r="S196" s="2" t="n"/>
      <c r="T196" s="2" t="n"/>
      <c r="U196" s="2">
        <f>IF(OR(AA196="fail",AC196="fail"),"P4",IF(N196="","",IF(N196&gt;=90,"P1",IF(N196&gt;=80,"P1",IF(N196&gt;=70,"P2",IF(N196&gt;=60,"P3","P4"))))))</f>
        <v/>
      </c>
      <c r="V196" s="2">
        <f>IF(OR(AA196="fail",AC196="fail"),"SKIP",IF(N196="","",IF(N196&gt;=90,"APPLY ASAP",IF(N196&gt;=80,"APPLY",IF(N196&gt;=70,"CONSIDER",IF(N196&gt;=60,"STRETCH","SKIP"))))))</f>
        <v/>
      </c>
      <c r="W196" s="2" t="n"/>
      <c r="X196" s="2" t="n"/>
      <c r="Y196" s="2" t="n"/>
      <c r="Z196" s="2" t="n"/>
    </row>
    <row r="197">
      <c r="A197" s="2" t="n"/>
      <c r="B197" s="2" t="n"/>
      <c r="C197" s="2" t="n"/>
      <c r="D197" s="2" t="n"/>
      <c r="E197" s="2" t="n"/>
      <c r="F197" s="2" t="n"/>
      <c r="G197" s="2" t="n"/>
      <c r="H197" s="2" t="n"/>
      <c r="I197" s="2" t="n"/>
      <c r="J197" s="2" t="n"/>
      <c r="K197" s="2" t="n"/>
      <c r="L197" s="2" t="n"/>
      <c r="M197" s="2" t="n"/>
      <c r="N197" s="2">
        <f>IF(COUNTA(O197:T197)&lt;6,"",ROUND(O197*0.3+P197*0.2+Q197*0.15+R197*0.15+S197*0.1+T197*0.1,0))</f>
        <v/>
      </c>
      <c r="O197" s="2" t="n"/>
      <c r="P197" s="2" t="n"/>
      <c r="Q197" s="2" t="n"/>
      <c r="R197" s="2" t="n"/>
      <c r="S197" s="2" t="n"/>
      <c r="T197" s="2" t="n"/>
      <c r="U197" s="2">
        <f>IF(OR(AA197="fail",AC197="fail"),"P4",IF(N197="","",IF(N197&gt;=90,"P1",IF(N197&gt;=80,"P1",IF(N197&gt;=70,"P2",IF(N197&gt;=60,"P3","P4"))))))</f>
        <v/>
      </c>
      <c r="V197" s="2">
        <f>IF(OR(AA197="fail",AC197="fail"),"SKIP",IF(N197="","",IF(N197&gt;=90,"APPLY ASAP",IF(N197&gt;=80,"APPLY",IF(N197&gt;=70,"CONSIDER",IF(N197&gt;=60,"STRETCH","SKIP"))))))</f>
        <v/>
      </c>
      <c r="W197" s="2" t="n"/>
      <c r="X197" s="2" t="n"/>
      <c r="Y197" s="2" t="n"/>
      <c r="Z197" s="2" t="n"/>
    </row>
    <row r="198">
      <c r="A198" s="2" t="n"/>
      <c r="B198" s="2" t="n"/>
      <c r="C198" s="2" t="n"/>
      <c r="D198" s="2" t="n"/>
      <c r="E198" s="2" t="n"/>
      <c r="F198" s="2" t="n"/>
      <c r="G198" s="2" t="n"/>
      <c r="H198" s="2" t="n"/>
      <c r="I198" s="2" t="n"/>
      <c r="J198" s="2" t="n"/>
      <c r="K198" s="2" t="n"/>
      <c r="L198" s="2" t="n"/>
      <c r="M198" s="2" t="n"/>
      <c r="N198" s="2">
        <f>IF(COUNTA(O198:T198)&lt;6,"",ROUND(O198*0.3+P198*0.2+Q198*0.15+R198*0.15+S198*0.1+T198*0.1,0))</f>
        <v/>
      </c>
      <c r="O198" s="2" t="n"/>
      <c r="P198" s="2" t="n"/>
      <c r="Q198" s="2" t="n"/>
      <c r="R198" s="2" t="n"/>
      <c r="S198" s="2" t="n"/>
      <c r="T198" s="2" t="n"/>
      <c r="U198" s="2">
        <f>IF(OR(AA198="fail",AC198="fail"),"P4",IF(N198="","",IF(N198&gt;=90,"P1",IF(N198&gt;=80,"P1",IF(N198&gt;=70,"P2",IF(N198&gt;=60,"P3","P4"))))))</f>
        <v/>
      </c>
      <c r="V198" s="2">
        <f>IF(OR(AA198="fail",AC198="fail"),"SKIP",IF(N198="","",IF(N198&gt;=90,"APPLY ASAP",IF(N198&gt;=80,"APPLY",IF(N198&gt;=70,"CONSIDER",IF(N198&gt;=60,"STRETCH","SKIP"))))))</f>
        <v/>
      </c>
      <c r="W198" s="2" t="n"/>
      <c r="X198" s="2" t="n"/>
      <c r="Y198" s="2" t="n"/>
      <c r="Z198" s="2" t="n"/>
    </row>
    <row r="199">
      <c r="A199" s="2" t="n"/>
      <c r="B199" s="2" t="n"/>
      <c r="C199" s="2" t="n"/>
      <c r="D199" s="2" t="n"/>
      <c r="E199" s="2" t="n"/>
      <c r="F199" s="2" t="n"/>
      <c r="G199" s="2" t="n"/>
      <c r="H199" s="2" t="n"/>
      <c r="I199" s="2" t="n"/>
      <c r="J199" s="2" t="n"/>
      <c r="K199" s="2" t="n"/>
      <c r="L199" s="2" t="n"/>
      <c r="M199" s="2" t="n"/>
      <c r="N199" s="2">
        <f>IF(COUNTA(O199:T199)&lt;6,"",ROUND(O199*0.3+P199*0.2+Q199*0.15+R199*0.15+S199*0.1+T199*0.1,0))</f>
        <v/>
      </c>
      <c r="O199" s="2" t="n"/>
      <c r="P199" s="2" t="n"/>
      <c r="Q199" s="2" t="n"/>
      <c r="R199" s="2" t="n"/>
      <c r="S199" s="2" t="n"/>
      <c r="T199" s="2" t="n"/>
      <c r="U199" s="2">
        <f>IF(OR(AA199="fail",AC199="fail"),"P4",IF(N199="","",IF(N199&gt;=90,"P1",IF(N199&gt;=80,"P1",IF(N199&gt;=70,"P2",IF(N199&gt;=60,"P3","P4"))))))</f>
        <v/>
      </c>
      <c r="V199" s="2">
        <f>IF(OR(AA199="fail",AC199="fail"),"SKIP",IF(N199="","",IF(N199&gt;=90,"APPLY ASAP",IF(N199&gt;=80,"APPLY",IF(N199&gt;=70,"CONSIDER",IF(N199&gt;=60,"STRETCH","SKIP"))))))</f>
        <v/>
      </c>
      <c r="W199" s="2" t="n"/>
      <c r="X199" s="2" t="n"/>
      <c r="Y199" s="2" t="n"/>
      <c r="Z199" s="2" t="n"/>
    </row>
    <row r="200">
      <c r="A200" s="2" t="n"/>
      <c r="B200" s="2" t="n"/>
      <c r="C200" s="2" t="n"/>
      <c r="D200" s="2" t="n"/>
      <c r="E200" s="2" t="n"/>
      <c r="F200" s="2" t="n"/>
      <c r="G200" s="2" t="n"/>
      <c r="H200" s="2" t="n"/>
      <c r="I200" s="2" t="n"/>
      <c r="J200" s="2" t="n"/>
      <c r="K200" s="2" t="n"/>
      <c r="L200" s="2" t="n"/>
      <c r="M200" s="2" t="n"/>
      <c r="N200" s="2">
        <f>IF(COUNTA(O200:T200)&lt;6,"",ROUND(O200*0.3+P200*0.2+Q200*0.15+R200*0.15+S200*0.1+T200*0.1,0))</f>
        <v/>
      </c>
      <c r="O200" s="2" t="n"/>
      <c r="P200" s="2" t="n"/>
      <c r="Q200" s="2" t="n"/>
      <c r="R200" s="2" t="n"/>
      <c r="S200" s="2" t="n"/>
      <c r="T200" s="2" t="n"/>
      <c r="U200" s="2">
        <f>IF(OR(AA200="fail",AC200="fail"),"P4",IF(N200="","",IF(N200&gt;=90,"P1",IF(N200&gt;=80,"P1",IF(N200&gt;=70,"P2",IF(N200&gt;=60,"P3","P4"))))))</f>
        <v/>
      </c>
      <c r="V200" s="2">
        <f>IF(OR(AA200="fail",AC200="fail"),"SKIP",IF(N200="","",IF(N200&gt;=90,"APPLY ASAP",IF(N200&gt;=80,"APPLY",IF(N200&gt;=70,"CONSIDER",IF(N200&gt;=60,"STRETCH","SKIP"))))))</f>
        <v/>
      </c>
      <c r="W200" s="2" t="n"/>
      <c r="X200" s="2" t="n"/>
      <c r="Y200" s="2" t="n"/>
      <c r="Z200" s="2" t="n"/>
    </row>
    <row r="201">
      <c r="A201" s="2" t="n"/>
      <c r="B201" s="2" t="n"/>
      <c r="C201" s="2" t="n"/>
      <c r="D201" s="2" t="n"/>
      <c r="E201" s="2" t="n"/>
      <c r="F201" s="2" t="n"/>
      <c r="G201" s="2" t="n"/>
      <c r="H201" s="2" t="n"/>
      <c r="I201" s="2" t="n"/>
      <c r="J201" s="2" t="n"/>
      <c r="K201" s="2" t="n"/>
      <c r="L201" s="2" t="n"/>
      <c r="M201" s="2" t="n"/>
      <c r="N201" s="2">
        <f>IF(COUNTA(O201:T201)&lt;6,"",ROUND(O201*0.3+P201*0.2+Q201*0.15+R201*0.15+S201*0.1+T201*0.1,0))</f>
        <v/>
      </c>
      <c r="O201" s="2" t="n"/>
      <c r="P201" s="2" t="n"/>
      <c r="Q201" s="2" t="n"/>
      <c r="R201" s="2" t="n"/>
      <c r="S201" s="2" t="n"/>
      <c r="T201" s="2" t="n"/>
      <c r="U201" s="2">
        <f>IF(OR(AA201="fail",AC201="fail"),"P4",IF(N201="","",IF(N201&gt;=90,"P1",IF(N201&gt;=80,"P1",IF(N201&gt;=70,"P2",IF(N201&gt;=60,"P3","P4"))))))</f>
        <v/>
      </c>
      <c r="V201" s="2">
        <f>IF(OR(AA201="fail",AC201="fail"),"SKIP",IF(N201="","",IF(N201&gt;=90,"APPLY ASAP",IF(N201&gt;=80,"APPLY",IF(N201&gt;=70,"CONSIDER",IF(N201&gt;=60,"STRETCH","SKIP"))))))</f>
        <v/>
      </c>
      <c r="W201" s="2" t="n"/>
      <c r="X201" s="2" t="n"/>
      <c r="Y201" s="2" t="n"/>
      <c r="Z201" s="2" t="n"/>
    </row>
    <row r="202">
      <c r="A202" s="2" t="n"/>
      <c r="B202" s="2" t="n"/>
      <c r="C202" s="2" t="n"/>
      <c r="D202" s="2" t="n"/>
      <c r="E202" s="2" t="n"/>
      <c r="F202" s="2" t="n"/>
      <c r="G202" s="2" t="n"/>
      <c r="H202" s="2" t="n"/>
      <c r="I202" s="2" t="n"/>
      <c r="J202" s="2" t="n"/>
      <c r="K202" s="2" t="n"/>
      <c r="L202" s="2" t="n"/>
      <c r="M202" s="2" t="n"/>
      <c r="N202" s="2">
        <f>IF(COUNTA(O202:T202)&lt;6,"",ROUND(O202*0.3+P202*0.2+Q202*0.15+R202*0.15+S202*0.1+T202*0.1,0))</f>
        <v/>
      </c>
      <c r="O202" s="2" t="n"/>
      <c r="P202" s="2" t="n"/>
      <c r="Q202" s="2" t="n"/>
      <c r="R202" s="2" t="n"/>
      <c r="S202" s="2" t="n"/>
      <c r="T202" s="2" t="n"/>
      <c r="U202" s="2">
        <f>IF(OR(AA202="fail",AC202="fail"),"P4",IF(N202="","",IF(N202&gt;=90,"P1",IF(N202&gt;=80,"P1",IF(N202&gt;=70,"P2",IF(N202&gt;=60,"P3","P4"))))))</f>
        <v/>
      </c>
      <c r="V202" s="2">
        <f>IF(OR(AA202="fail",AC202="fail"),"SKIP",IF(N202="","",IF(N202&gt;=90,"APPLY ASAP",IF(N202&gt;=80,"APPLY",IF(N202&gt;=70,"CONSIDER",IF(N202&gt;=60,"STRETCH","SKIP"))))))</f>
        <v/>
      </c>
      <c r="W202" s="2" t="n"/>
      <c r="X202" s="2" t="n"/>
      <c r="Y202" s="2" t="n"/>
      <c r="Z202" s="2" t="n"/>
    </row>
    <row r="203">
      <c r="A203" s="2" t="n"/>
      <c r="B203" s="2" t="n"/>
      <c r="C203" s="2" t="n"/>
      <c r="D203" s="2" t="n"/>
      <c r="E203" s="2" t="n"/>
      <c r="F203" s="2" t="n"/>
      <c r="G203" s="2" t="n"/>
      <c r="H203" s="2" t="n"/>
      <c r="I203" s="2" t="n"/>
      <c r="J203" s="2" t="n"/>
      <c r="K203" s="2" t="n"/>
      <c r="L203" s="2" t="n"/>
      <c r="M203" s="2" t="n"/>
      <c r="N203" s="2">
        <f>IF(COUNTA(O203:T203)&lt;6,"",ROUND(O203*0.3+P203*0.2+Q203*0.15+R203*0.15+S203*0.1+T203*0.1,0))</f>
        <v/>
      </c>
      <c r="O203" s="2" t="n"/>
      <c r="P203" s="2" t="n"/>
      <c r="Q203" s="2" t="n"/>
      <c r="R203" s="2" t="n"/>
      <c r="S203" s="2" t="n"/>
      <c r="T203" s="2" t="n"/>
      <c r="U203" s="2">
        <f>IF(OR(AA203="fail",AC203="fail"),"P4",IF(N203="","",IF(N203&gt;=90,"P1",IF(N203&gt;=80,"P1",IF(N203&gt;=70,"P2",IF(N203&gt;=60,"P3","P4"))))))</f>
        <v/>
      </c>
      <c r="V203" s="2">
        <f>IF(OR(AA203="fail",AC203="fail"),"SKIP",IF(N203="","",IF(N203&gt;=90,"APPLY ASAP",IF(N203&gt;=80,"APPLY",IF(N203&gt;=70,"CONSIDER",IF(N203&gt;=60,"STRETCH","SKIP"))))))</f>
        <v/>
      </c>
      <c r="W203" s="2" t="n"/>
      <c r="X203" s="2" t="n"/>
      <c r="Y203" s="2" t="n"/>
      <c r="Z203" s="2" t="n"/>
    </row>
    <row r="204">
      <c r="A204" s="2" t="n"/>
      <c r="B204" s="2" t="n"/>
      <c r="C204" s="2" t="n"/>
      <c r="D204" s="2" t="n"/>
      <c r="E204" s="2" t="n"/>
      <c r="F204" s="2" t="n"/>
      <c r="G204" s="2" t="n"/>
      <c r="H204" s="2" t="n"/>
      <c r="I204" s="2" t="n"/>
      <c r="J204" s="2" t="n"/>
      <c r="K204" s="2" t="n"/>
      <c r="L204" s="2" t="n"/>
      <c r="M204" s="2" t="n"/>
      <c r="N204" s="2">
        <f>IF(COUNTA(O204:T204)&lt;6,"",ROUND(O204*0.3+P204*0.2+Q204*0.15+R204*0.15+S204*0.1+T204*0.1,0))</f>
        <v/>
      </c>
      <c r="O204" s="2" t="n"/>
      <c r="P204" s="2" t="n"/>
      <c r="Q204" s="2" t="n"/>
      <c r="R204" s="2" t="n"/>
      <c r="S204" s="2" t="n"/>
      <c r="T204" s="2" t="n"/>
      <c r="U204" s="2">
        <f>IF(OR(AA204="fail",AC204="fail"),"P4",IF(N204="","",IF(N204&gt;=90,"P1",IF(N204&gt;=80,"P1",IF(N204&gt;=70,"P2",IF(N204&gt;=60,"P3","P4"))))))</f>
        <v/>
      </c>
      <c r="V204" s="2">
        <f>IF(OR(AA204="fail",AC204="fail"),"SKIP",IF(N204="","",IF(N204&gt;=90,"APPLY ASAP",IF(N204&gt;=80,"APPLY",IF(N204&gt;=70,"CONSIDER",IF(N204&gt;=60,"STRETCH","SKIP"))))))</f>
        <v/>
      </c>
      <c r="W204" s="2" t="n"/>
      <c r="X204" s="2" t="n"/>
      <c r="Y204" s="2" t="n"/>
      <c r="Z204" s="2" t="n"/>
    </row>
    <row r="205">
      <c r="A205" s="2" t="n"/>
      <c r="B205" s="2" t="n"/>
      <c r="C205" s="2" t="n"/>
      <c r="D205" s="2" t="n"/>
      <c r="E205" s="2" t="n"/>
      <c r="F205" s="2" t="n"/>
      <c r="G205" s="2" t="n"/>
      <c r="H205" s="2" t="n"/>
      <c r="I205" s="2" t="n"/>
      <c r="J205" s="2" t="n"/>
      <c r="K205" s="2" t="n"/>
      <c r="L205" s="2" t="n"/>
      <c r="M205" s="2" t="n"/>
      <c r="N205" s="2">
        <f>IF(COUNTA(O205:T205)&lt;6,"",ROUND(O205*0.3+P205*0.2+Q205*0.15+R205*0.15+S205*0.1+T205*0.1,0))</f>
        <v/>
      </c>
      <c r="O205" s="2" t="n"/>
      <c r="P205" s="2" t="n"/>
      <c r="Q205" s="2" t="n"/>
      <c r="R205" s="2" t="n"/>
      <c r="S205" s="2" t="n"/>
      <c r="T205" s="2" t="n"/>
      <c r="U205" s="2">
        <f>IF(OR(AA205="fail",AC205="fail"),"P4",IF(N205="","",IF(N205&gt;=90,"P1",IF(N205&gt;=80,"P1",IF(N205&gt;=70,"P2",IF(N205&gt;=60,"P3","P4"))))))</f>
        <v/>
      </c>
      <c r="V205" s="2">
        <f>IF(OR(AA205="fail",AC205="fail"),"SKIP",IF(N205="","",IF(N205&gt;=90,"APPLY ASAP",IF(N205&gt;=80,"APPLY",IF(N205&gt;=70,"CONSIDER",IF(N205&gt;=60,"STRETCH","SKIP"))))))</f>
        <v/>
      </c>
      <c r="W205" s="2" t="n"/>
      <c r="X205" s="2" t="n"/>
      <c r="Y205" s="2" t="n"/>
      <c r="Z205" s="2" t="n"/>
    </row>
    <row r="206">
      <c r="A206" s="2" t="n"/>
      <c r="B206" s="2" t="n"/>
      <c r="C206" s="2" t="n"/>
      <c r="D206" s="2" t="n"/>
      <c r="E206" s="2" t="n"/>
      <c r="F206" s="2" t="n"/>
      <c r="G206" s="2" t="n"/>
      <c r="H206" s="2" t="n"/>
      <c r="I206" s="2" t="n"/>
      <c r="J206" s="2" t="n"/>
      <c r="K206" s="2" t="n"/>
      <c r="L206" s="2" t="n"/>
      <c r="M206" s="2" t="n"/>
      <c r="N206" s="2">
        <f>IF(COUNTA(O206:T206)&lt;6,"",ROUND(O206*0.3+P206*0.2+Q206*0.15+R206*0.15+S206*0.1+T206*0.1,0))</f>
        <v/>
      </c>
      <c r="O206" s="2" t="n"/>
      <c r="P206" s="2" t="n"/>
      <c r="Q206" s="2" t="n"/>
      <c r="R206" s="2" t="n"/>
      <c r="S206" s="2" t="n"/>
      <c r="T206" s="2" t="n"/>
      <c r="U206" s="2">
        <f>IF(OR(AA206="fail",AC206="fail"),"P4",IF(N206="","",IF(N206&gt;=90,"P1",IF(N206&gt;=80,"P1",IF(N206&gt;=70,"P2",IF(N206&gt;=60,"P3","P4"))))))</f>
        <v/>
      </c>
      <c r="V206" s="2">
        <f>IF(OR(AA206="fail",AC206="fail"),"SKIP",IF(N206="","",IF(N206&gt;=90,"APPLY ASAP",IF(N206&gt;=80,"APPLY",IF(N206&gt;=70,"CONSIDER",IF(N206&gt;=60,"STRETCH","SKIP"))))))</f>
        <v/>
      </c>
      <c r="W206" s="2" t="n"/>
      <c r="X206" s="2" t="n"/>
      <c r="Y206" s="2" t="n"/>
      <c r="Z206" s="2" t="n"/>
    </row>
    <row r="207">
      <c r="A207" s="2" t="n"/>
      <c r="B207" s="2" t="n"/>
      <c r="C207" s="2" t="n"/>
      <c r="D207" s="2" t="n"/>
      <c r="E207" s="2" t="n"/>
      <c r="F207" s="2" t="n"/>
      <c r="G207" s="2" t="n"/>
      <c r="H207" s="2" t="n"/>
      <c r="I207" s="2" t="n"/>
      <c r="J207" s="2" t="n"/>
      <c r="K207" s="2" t="n"/>
      <c r="L207" s="2" t="n"/>
      <c r="M207" s="2" t="n"/>
      <c r="N207" s="2">
        <f>IF(COUNTA(O207:T207)&lt;6,"",ROUND(O207*0.3+P207*0.2+Q207*0.15+R207*0.15+S207*0.1+T207*0.1,0))</f>
        <v/>
      </c>
      <c r="O207" s="2" t="n"/>
      <c r="P207" s="2" t="n"/>
      <c r="Q207" s="2" t="n"/>
      <c r="R207" s="2" t="n"/>
      <c r="S207" s="2" t="n"/>
      <c r="T207" s="2" t="n"/>
      <c r="U207" s="2">
        <f>IF(OR(AA207="fail",AC207="fail"),"P4",IF(N207="","",IF(N207&gt;=90,"P1",IF(N207&gt;=80,"P1",IF(N207&gt;=70,"P2",IF(N207&gt;=60,"P3","P4"))))))</f>
        <v/>
      </c>
      <c r="V207" s="2">
        <f>IF(OR(AA207="fail",AC207="fail"),"SKIP",IF(N207="","",IF(N207&gt;=90,"APPLY ASAP",IF(N207&gt;=80,"APPLY",IF(N207&gt;=70,"CONSIDER",IF(N207&gt;=60,"STRETCH","SKIP"))))))</f>
        <v/>
      </c>
      <c r="W207" s="2" t="n"/>
      <c r="X207" s="2" t="n"/>
      <c r="Y207" s="2" t="n"/>
      <c r="Z207" s="2" t="n"/>
    </row>
    <row r="208">
      <c r="A208" s="2" t="n"/>
      <c r="B208" s="2" t="n"/>
      <c r="C208" s="2" t="n"/>
      <c r="D208" s="2" t="n"/>
      <c r="E208" s="2" t="n"/>
      <c r="F208" s="2" t="n"/>
      <c r="G208" s="2" t="n"/>
      <c r="H208" s="2" t="n"/>
      <c r="I208" s="2" t="n"/>
      <c r="J208" s="2" t="n"/>
      <c r="K208" s="2" t="n"/>
      <c r="L208" s="2" t="n"/>
      <c r="M208" s="2" t="n"/>
      <c r="N208" s="2">
        <f>IF(COUNTA(O208:T208)&lt;6,"",ROUND(O208*0.3+P208*0.2+Q208*0.15+R208*0.15+S208*0.1+T208*0.1,0))</f>
        <v/>
      </c>
      <c r="O208" s="2" t="n"/>
      <c r="P208" s="2" t="n"/>
      <c r="Q208" s="2" t="n"/>
      <c r="R208" s="2" t="n"/>
      <c r="S208" s="2" t="n"/>
      <c r="T208" s="2" t="n"/>
      <c r="U208" s="2">
        <f>IF(OR(AA208="fail",AC208="fail"),"P4",IF(N208="","",IF(N208&gt;=90,"P1",IF(N208&gt;=80,"P1",IF(N208&gt;=70,"P2",IF(N208&gt;=60,"P3","P4"))))))</f>
        <v/>
      </c>
      <c r="V208" s="2">
        <f>IF(OR(AA208="fail",AC208="fail"),"SKIP",IF(N208="","",IF(N208&gt;=90,"APPLY ASAP",IF(N208&gt;=80,"APPLY",IF(N208&gt;=70,"CONSIDER",IF(N208&gt;=60,"STRETCH","SKIP"))))))</f>
        <v/>
      </c>
      <c r="W208" s="2" t="n"/>
      <c r="X208" s="2" t="n"/>
      <c r="Y208" s="2" t="n"/>
      <c r="Z208" s="2" t="n"/>
    </row>
    <row r="209">
      <c r="A209" s="2" t="n"/>
      <c r="B209" s="2" t="n"/>
      <c r="C209" s="2" t="n"/>
      <c r="D209" s="2" t="n"/>
      <c r="E209" s="2" t="n"/>
      <c r="F209" s="2" t="n"/>
      <c r="G209" s="2" t="n"/>
      <c r="H209" s="2" t="n"/>
      <c r="I209" s="2" t="n"/>
      <c r="J209" s="2" t="n"/>
      <c r="K209" s="2" t="n"/>
      <c r="L209" s="2" t="n"/>
      <c r="M209" s="2" t="n"/>
      <c r="N209" s="2">
        <f>IF(COUNTA(O209:T209)&lt;6,"",ROUND(O209*0.3+P209*0.2+Q209*0.15+R209*0.15+S209*0.1+T209*0.1,0))</f>
        <v/>
      </c>
      <c r="O209" s="2" t="n"/>
      <c r="P209" s="2" t="n"/>
      <c r="Q209" s="2" t="n"/>
      <c r="R209" s="2" t="n"/>
      <c r="S209" s="2" t="n"/>
      <c r="T209" s="2" t="n"/>
      <c r="U209" s="2">
        <f>IF(OR(AA209="fail",AC209="fail"),"P4",IF(N209="","",IF(N209&gt;=90,"P1",IF(N209&gt;=80,"P1",IF(N209&gt;=70,"P2",IF(N209&gt;=60,"P3","P4"))))))</f>
        <v/>
      </c>
      <c r="V209" s="2">
        <f>IF(OR(AA209="fail",AC209="fail"),"SKIP",IF(N209="","",IF(N209&gt;=90,"APPLY ASAP",IF(N209&gt;=80,"APPLY",IF(N209&gt;=70,"CONSIDER",IF(N209&gt;=60,"STRETCH","SKIP"))))))</f>
        <v/>
      </c>
      <c r="W209" s="2" t="n"/>
      <c r="X209" s="2" t="n"/>
      <c r="Y209" s="2" t="n"/>
      <c r="Z209" s="2" t="n"/>
    </row>
    <row r="210">
      <c r="A210" s="2" t="n"/>
      <c r="B210" s="2" t="n"/>
      <c r="C210" s="2" t="n"/>
      <c r="D210" s="2" t="n"/>
      <c r="E210" s="2" t="n"/>
      <c r="F210" s="2" t="n"/>
      <c r="G210" s="2" t="n"/>
      <c r="H210" s="2" t="n"/>
      <c r="I210" s="2" t="n"/>
      <c r="J210" s="2" t="n"/>
      <c r="K210" s="2" t="n"/>
      <c r="L210" s="2" t="n"/>
      <c r="M210" s="2" t="n"/>
      <c r="N210" s="2">
        <f>IF(COUNTA(O210:T210)&lt;6,"",ROUND(O210*0.3+P210*0.2+Q210*0.15+R210*0.15+S210*0.1+T210*0.1,0))</f>
        <v/>
      </c>
      <c r="O210" s="2" t="n"/>
      <c r="P210" s="2" t="n"/>
      <c r="Q210" s="2" t="n"/>
      <c r="R210" s="2" t="n"/>
      <c r="S210" s="2" t="n"/>
      <c r="T210" s="2" t="n"/>
      <c r="U210" s="2">
        <f>IF(OR(AA210="fail",AC210="fail"),"P4",IF(N210="","",IF(N210&gt;=90,"P1",IF(N210&gt;=80,"P1",IF(N210&gt;=70,"P2",IF(N210&gt;=60,"P3","P4"))))))</f>
        <v/>
      </c>
      <c r="V210" s="2">
        <f>IF(OR(AA210="fail",AC210="fail"),"SKIP",IF(N210="","",IF(N210&gt;=90,"APPLY ASAP",IF(N210&gt;=80,"APPLY",IF(N210&gt;=70,"CONSIDER",IF(N210&gt;=60,"STRETCH","SKIP"))))))</f>
        <v/>
      </c>
      <c r="W210" s="2" t="n"/>
      <c r="X210" s="2" t="n"/>
      <c r="Y210" s="2" t="n"/>
      <c r="Z210" s="2" t="n"/>
    </row>
    <row r="211">
      <c r="A211" s="2" t="n"/>
      <c r="B211" s="2" t="n"/>
      <c r="C211" s="2" t="n"/>
      <c r="D211" s="2" t="n"/>
      <c r="E211" s="2" t="n"/>
      <c r="F211" s="2" t="n"/>
      <c r="G211" s="2" t="n"/>
      <c r="H211" s="2" t="n"/>
      <c r="I211" s="2" t="n"/>
      <c r="J211" s="2" t="n"/>
      <c r="K211" s="2" t="n"/>
      <c r="L211" s="2" t="n"/>
      <c r="M211" s="2" t="n"/>
      <c r="N211" s="2">
        <f>IF(COUNTA(O211:T211)&lt;6,"",ROUND(O211*0.3+P211*0.2+Q211*0.15+R211*0.15+S211*0.1+T211*0.1,0))</f>
        <v/>
      </c>
      <c r="O211" s="2" t="n"/>
      <c r="P211" s="2" t="n"/>
      <c r="Q211" s="2" t="n"/>
      <c r="R211" s="2" t="n"/>
      <c r="S211" s="2" t="n"/>
      <c r="T211" s="2" t="n"/>
      <c r="U211" s="2">
        <f>IF(OR(AA211="fail",AC211="fail"),"P4",IF(N211="","",IF(N211&gt;=90,"P1",IF(N211&gt;=80,"P1",IF(N211&gt;=70,"P2",IF(N211&gt;=60,"P3","P4"))))))</f>
        <v/>
      </c>
      <c r="V211" s="2">
        <f>IF(OR(AA211="fail",AC211="fail"),"SKIP",IF(N211="","",IF(N211&gt;=90,"APPLY ASAP",IF(N211&gt;=80,"APPLY",IF(N211&gt;=70,"CONSIDER",IF(N211&gt;=60,"STRETCH","SKIP"))))))</f>
        <v/>
      </c>
      <c r="W211" s="2" t="n"/>
      <c r="X211" s="2" t="n"/>
      <c r="Y211" s="2" t="n"/>
      <c r="Z211" s="2" t="n"/>
    </row>
    <row r="212">
      <c r="A212" s="2" t="n"/>
      <c r="B212" s="2" t="n"/>
      <c r="C212" s="2" t="n"/>
      <c r="D212" s="2" t="n"/>
      <c r="E212" s="2" t="n"/>
      <c r="F212" s="2" t="n"/>
      <c r="G212" s="2" t="n"/>
      <c r="H212" s="2" t="n"/>
      <c r="I212" s="2" t="n"/>
      <c r="J212" s="2" t="n"/>
      <c r="K212" s="2" t="n"/>
      <c r="L212" s="2" t="n"/>
      <c r="M212" s="2" t="n"/>
      <c r="N212" s="2">
        <f>IF(COUNTA(O212:T212)&lt;6,"",ROUND(O212*0.3+P212*0.2+Q212*0.15+R212*0.15+S212*0.1+T212*0.1,0))</f>
        <v/>
      </c>
      <c r="O212" s="2" t="n"/>
      <c r="P212" s="2" t="n"/>
      <c r="Q212" s="2" t="n"/>
      <c r="R212" s="2" t="n"/>
      <c r="S212" s="2" t="n"/>
      <c r="T212" s="2" t="n"/>
      <c r="U212" s="2">
        <f>IF(OR(AA212="fail",AC212="fail"),"P4",IF(N212="","",IF(N212&gt;=90,"P1",IF(N212&gt;=80,"P1",IF(N212&gt;=70,"P2",IF(N212&gt;=60,"P3","P4"))))))</f>
        <v/>
      </c>
      <c r="V212" s="2">
        <f>IF(OR(AA212="fail",AC212="fail"),"SKIP",IF(N212="","",IF(N212&gt;=90,"APPLY ASAP",IF(N212&gt;=80,"APPLY",IF(N212&gt;=70,"CONSIDER",IF(N212&gt;=60,"STRETCH","SKIP"))))))</f>
        <v/>
      </c>
      <c r="W212" s="2" t="n"/>
      <c r="X212" s="2" t="n"/>
      <c r="Y212" s="2" t="n"/>
      <c r="Z212" s="2" t="n"/>
    </row>
    <row r="213">
      <c r="A213" s="2" t="n"/>
      <c r="B213" s="2" t="n"/>
      <c r="C213" s="2" t="n"/>
      <c r="D213" s="2" t="n"/>
      <c r="E213" s="2" t="n"/>
      <c r="F213" s="2" t="n"/>
      <c r="G213" s="2" t="n"/>
      <c r="H213" s="2" t="n"/>
      <c r="I213" s="2" t="n"/>
      <c r="J213" s="2" t="n"/>
      <c r="K213" s="2" t="n"/>
      <c r="L213" s="2" t="n"/>
      <c r="M213" s="2" t="n"/>
      <c r="N213" s="2">
        <f>IF(COUNTA(O213:T213)&lt;6,"",ROUND(O213*0.3+P213*0.2+Q213*0.15+R213*0.15+S213*0.1+T213*0.1,0))</f>
        <v/>
      </c>
      <c r="O213" s="2" t="n"/>
      <c r="P213" s="2" t="n"/>
      <c r="Q213" s="2" t="n"/>
      <c r="R213" s="2" t="n"/>
      <c r="S213" s="2" t="n"/>
      <c r="T213" s="2" t="n"/>
      <c r="U213" s="2">
        <f>IF(OR(AA213="fail",AC213="fail"),"P4",IF(N213="","",IF(N213&gt;=90,"P1",IF(N213&gt;=80,"P1",IF(N213&gt;=70,"P2",IF(N213&gt;=60,"P3","P4"))))))</f>
        <v/>
      </c>
      <c r="V213" s="2">
        <f>IF(OR(AA213="fail",AC213="fail"),"SKIP",IF(N213="","",IF(N213&gt;=90,"APPLY ASAP",IF(N213&gt;=80,"APPLY",IF(N213&gt;=70,"CONSIDER",IF(N213&gt;=60,"STRETCH","SKIP"))))))</f>
        <v/>
      </c>
      <c r="W213" s="2" t="n"/>
      <c r="X213" s="2" t="n"/>
      <c r="Y213" s="2" t="n"/>
      <c r="Z213" s="2" t="n"/>
    </row>
    <row r="214">
      <c r="A214" s="2" t="n"/>
      <c r="B214" s="2" t="n"/>
      <c r="C214" s="2" t="n"/>
      <c r="D214" s="2" t="n"/>
      <c r="E214" s="2" t="n"/>
      <c r="F214" s="2" t="n"/>
      <c r="G214" s="2" t="n"/>
      <c r="H214" s="2" t="n"/>
      <c r="I214" s="2" t="n"/>
      <c r="J214" s="2" t="n"/>
      <c r="K214" s="2" t="n"/>
      <c r="L214" s="2" t="n"/>
      <c r="M214" s="2" t="n"/>
      <c r="N214" s="2">
        <f>IF(COUNTA(O214:T214)&lt;6,"",ROUND(O214*0.3+P214*0.2+Q214*0.15+R214*0.15+S214*0.1+T214*0.1,0))</f>
        <v/>
      </c>
      <c r="O214" s="2" t="n"/>
      <c r="P214" s="2" t="n"/>
      <c r="Q214" s="2" t="n"/>
      <c r="R214" s="2" t="n"/>
      <c r="S214" s="2" t="n"/>
      <c r="T214" s="2" t="n"/>
      <c r="U214" s="2">
        <f>IF(OR(AA214="fail",AC214="fail"),"P4",IF(N214="","",IF(N214&gt;=90,"P1",IF(N214&gt;=80,"P1",IF(N214&gt;=70,"P2",IF(N214&gt;=60,"P3","P4"))))))</f>
        <v/>
      </c>
      <c r="V214" s="2">
        <f>IF(OR(AA214="fail",AC214="fail"),"SKIP",IF(N214="","",IF(N214&gt;=90,"APPLY ASAP",IF(N214&gt;=80,"APPLY",IF(N214&gt;=70,"CONSIDER",IF(N214&gt;=60,"STRETCH","SKIP"))))))</f>
        <v/>
      </c>
      <c r="W214" s="2" t="n"/>
      <c r="X214" s="2" t="n"/>
      <c r="Y214" s="2" t="n"/>
      <c r="Z214" s="2" t="n"/>
    </row>
    <row r="215">
      <c r="A215" s="2" t="n"/>
      <c r="B215" s="2" t="n"/>
      <c r="C215" s="2" t="n"/>
      <c r="D215" s="2" t="n"/>
      <c r="E215" s="2" t="n"/>
      <c r="F215" s="2" t="n"/>
      <c r="G215" s="2" t="n"/>
      <c r="H215" s="2" t="n"/>
      <c r="I215" s="2" t="n"/>
      <c r="J215" s="2" t="n"/>
      <c r="K215" s="2" t="n"/>
      <c r="L215" s="2" t="n"/>
      <c r="M215" s="2" t="n"/>
      <c r="N215" s="2">
        <f>IF(COUNTA(O215:T215)&lt;6,"",ROUND(O215*0.3+P215*0.2+Q215*0.15+R215*0.15+S215*0.1+T215*0.1,0))</f>
        <v/>
      </c>
      <c r="O215" s="2" t="n"/>
      <c r="P215" s="2" t="n"/>
      <c r="Q215" s="2" t="n"/>
      <c r="R215" s="2" t="n"/>
      <c r="S215" s="2" t="n"/>
      <c r="T215" s="2" t="n"/>
      <c r="U215" s="2">
        <f>IF(OR(AA215="fail",AC215="fail"),"P4",IF(N215="","",IF(N215&gt;=90,"P1",IF(N215&gt;=80,"P1",IF(N215&gt;=70,"P2",IF(N215&gt;=60,"P3","P4"))))))</f>
        <v/>
      </c>
      <c r="V215" s="2">
        <f>IF(OR(AA215="fail",AC215="fail"),"SKIP",IF(N215="","",IF(N215&gt;=90,"APPLY ASAP",IF(N215&gt;=80,"APPLY",IF(N215&gt;=70,"CONSIDER",IF(N215&gt;=60,"STRETCH","SKIP"))))))</f>
        <v/>
      </c>
      <c r="W215" s="2" t="n"/>
      <c r="X215" s="2" t="n"/>
      <c r="Y215" s="2" t="n"/>
      <c r="Z215" s="2" t="n"/>
    </row>
    <row r="216">
      <c r="A216" s="2" t="n"/>
      <c r="B216" s="2" t="n"/>
      <c r="C216" s="2" t="n"/>
      <c r="D216" s="2" t="n"/>
      <c r="E216" s="2" t="n"/>
      <c r="F216" s="2" t="n"/>
      <c r="G216" s="2" t="n"/>
      <c r="H216" s="2" t="n"/>
      <c r="I216" s="2" t="n"/>
      <c r="J216" s="2" t="n"/>
      <c r="K216" s="2" t="n"/>
      <c r="L216" s="2" t="n"/>
      <c r="M216" s="2" t="n"/>
      <c r="N216" s="2">
        <f>IF(COUNTA(O216:T216)&lt;6,"",ROUND(O216*0.3+P216*0.2+Q216*0.15+R216*0.15+S216*0.1+T216*0.1,0))</f>
        <v/>
      </c>
      <c r="O216" s="2" t="n"/>
      <c r="P216" s="2" t="n"/>
      <c r="Q216" s="2" t="n"/>
      <c r="R216" s="2" t="n"/>
      <c r="S216" s="2" t="n"/>
      <c r="T216" s="2" t="n"/>
      <c r="U216" s="2">
        <f>IF(OR(AA216="fail",AC216="fail"),"P4",IF(N216="","",IF(N216&gt;=90,"P1",IF(N216&gt;=80,"P1",IF(N216&gt;=70,"P2",IF(N216&gt;=60,"P3","P4"))))))</f>
        <v/>
      </c>
      <c r="V216" s="2">
        <f>IF(OR(AA216="fail",AC216="fail"),"SKIP",IF(N216="","",IF(N216&gt;=90,"APPLY ASAP",IF(N216&gt;=80,"APPLY",IF(N216&gt;=70,"CONSIDER",IF(N216&gt;=60,"STRETCH","SKIP"))))))</f>
        <v/>
      </c>
      <c r="W216" s="2" t="n"/>
      <c r="X216" s="2" t="n"/>
      <c r="Y216" s="2" t="n"/>
      <c r="Z216" s="2" t="n"/>
    </row>
    <row r="217">
      <c r="A217" s="2" t="n"/>
      <c r="B217" s="2" t="n"/>
      <c r="C217" s="2" t="n"/>
      <c r="D217" s="2" t="n"/>
      <c r="E217" s="2" t="n"/>
      <c r="F217" s="2" t="n"/>
      <c r="G217" s="2" t="n"/>
      <c r="H217" s="2" t="n"/>
      <c r="I217" s="2" t="n"/>
      <c r="J217" s="2" t="n"/>
      <c r="K217" s="2" t="n"/>
      <c r="L217" s="2" t="n"/>
      <c r="M217" s="2" t="n"/>
      <c r="N217" s="2">
        <f>IF(COUNTA(O217:T217)&lt;6,"",ROUND(O217*0.3+P217*0.2+Q217*0.15+R217*0.15+S217*0.1+T217*0.1,0))</f>
        <v/>
      </c>
      <c r="O217" s="2" t="n"/>
      <c r="P217" s="2" t="n"/>
      <c r="Q217" s="2" t="n"/>
      <c r="R217" s="2" t="n"/>
      <c r="S217" s="2" t="n"/>
      <c r="T217" s="2" t="n"/>
      <c r="U217" s="2">
        <f>IF(OR(AA217="fail",AC217="fail"),"P4",IF(N217="","",IF(N217&gt;=90,"P1",IF(N217&gt;=80,"P1",IF(N217&gt;=70,"P2",IF(N217&gt;=60,"P3","P4"))))))</f>
        <v/>
      </c>
      <c r="V217" s="2">
        <f>IF(OR(AA217="fail",AC217="fail"),"SKIP",IF(N217="","",IF(N217&gt;=90,"APPLY ASAP",IF(N217&gt;=80,"APPLY",IF(N217&gt;=70,"CONSIDER",IF(N217&gt;=60,"STRETCH","SKIP"))))))</f>
        <v/>
      </c>
      <c r="W217" s="2" t="n"/>
      <c r="X217" s="2" t="n"/>
      <c r="Y217" s="2" t="n"/>
      <c r="Z217" s="2" t="n"/>
    </row>
    <row r="218">
      <c r="A218" s="2" t="n"/>
      <c r="B218" s="2" t="n"/>
      <c r="C218" s="2" t="n"/>
      <c r="D218" s="2" t="n"/>
      <c r="E218" s="2" t="n"/>
      <c r="F218" s="2" t="n"/>
      <c r="G218" s="2" t="n"/>
      <c r="H218" s="2" t="n"/>
      <c r="I218" s="2" t="n"/>
      <c r="J218" s="2" t="n"/>
      <c r="K218" s="2" t="n"/>
      <c r="L218" s="2" t="n"/>
      <c r="M218" s="2" t="n"/>
      <c r="N218" s="2">
        <f>IF(COUNTA(O218:T218)&lt;6,"",ROUND(O218*0.3+P218*0.2+Q218*0.15+R218*0.15+S218*0.1+T218*0.1,0))</f>
        <v/>
      </c>
      <c r="O218" s="2" t="n"/>
      <c r="P218" s="2" t="n"/>
      <c r="Q218" s="2" t="n"/>
      <c r="R218" s="2" t="n"/>
      <c r="S218" s="2" t="n"/>
      <c r="T218" s="2" t="n"/>
      <c r="U218" s="2">
        <f>IF(OR(AA218="fail",AC218="fail"),"P4",IF(N218="","",IF(N218&gt;=90,"P1",IF(N218&gt;=80,"P1",IF(N218&gt;=70,"P2",IF(N218&gt;=60,"P3","P4"))))))</f>
        <v/>
      </c>
      <c r="V218" s="2">
        <f>IF(OR(AA218="fail",AC218="fail"),"SKIP",IF(N218="","",IF(N218&gt;=90,"APPLY ASAP",IF(N218&gt;=80,"APPLY",IF(N218&gt;=70,"CONSIDER",IF(N218&gt;=60,"STRETCH","SKIP"))))))</f>
        <v/>
      </c>
      <c r="W218" s="2" t="n"/>
      <c r="X218" s="2" t="n"/>
      <c r="Y218" s="2" t="n"/>
      <c r="Z218" s="2" t="n"/>
    </row>
    <row r="219">
      <c r="A219" s="2" t="n"/>
      <c r="B219" s="2" t="n"/>
      <c r="C219" s="2" t="n"/>
      <c r="D219" s="2" t="n"/>
      <c r="E219" s="2" t="n"/>
      <c r="F219" s="2" t="n"/>
      <c r="G219" s="2" t="n"/>
      <c r="H219" s="2" t="n"/>
      <c r="I219" s="2" t="n"/>
      <c r="J219" s="2" t="n"/>
      <c r="K219" s="2" t="n"/>
      <c r="L219" s="2" t="n"/>
      <c r="M219" s="2" t="n"/>
      <c r="N219" s="2">
        <f>IF(COUNTA(O219:T219)&lt;6,"",ROUND(O219*0.3+P219*0.2+Q219*0.15+R219*0.15+S219*0.1+T219*0.1,0))</f>
        <v/>
      </c>
      <c r="O219" s="2" t="n"/>
      <c r="P219" s="2" t="n"/>
      <c r="Q219" s="2" t="n"/>
      <c r="R219" s="2" t="n"/>
      <c r="S219" s="2" t="n"/>
      <c r="T219" s="2" t="n"/>
      <c r="U219" s="2">
        <f>IF(OR(AA219="fail",AC219="fail"),"P4",IF(N219="","",IF(N219&gt;=90,"P1",IF(N219&gt;=80,"P1",IF(N219&gt;=70,"P2",IF(N219&gt;=60,"P3","P4"))))))</f>
        <v/>
      </c>
      <c r="V219" s="2">
        <f>IF(OR(AA219="fail",AC219="fail"),"SKIP",IF(N219="","",IF(N219&gt;=90,"APPLY ASAP",IF(N219&gt;=80,"APPLY",IF(N219&gt;=70,"CONSIDER",IF(N219&gt;=60,"STRETCH","SKIP"))))))</f>
        <v/>
      </c>
      <c r="W219" s="2" t="n"/>
      <c r="X219" s="2" t="n"/>
      <c r="Y219" s="2" t="n"/>
      <c r="Z219" s="2" t="n"/>
    </row>
    <row r="220">
      <c r="A220" s="2" t="n"/>
      <c r="B220" s="2" t="n"/>
      <c r="C220" s="2" t="n"/>
      <c r="D220" s="2" t="n"/>
      <c r="E220" s="2" t="n"/>
      <c r="F220" s="2" t="n"/>
      <c r="G220" s="2" t="n"/>
      <c r="H220" s="2" t="n"/>
      <c r="I220" s="2" t="n"/>
      <c r="J220" s="2" t="n"/>
      <c r="K220" s="2" t="n"/>
      <c r="L220" s="2" t="n"/>
      <c r="M220" s="2" t="n"/>
      <c r="N220" s="2">
        <f>IF(COUNTA(O220:T220)&lt;6,"",ROUND(O220*0.3+P220*0.2+Q220*0.15+R220*0.15+S220*0.1+T220*0.1,0))</f>
        <v/>
      </c>
      <c r="O220" s="2" t="n"/>
      <c r="P220" s="2" t="n"/>
      <c r="Q220" s="2" t="n"/>
      <c r="R220" s="2" t="n"/>
      <c r="S220" s="2" t="n"/>
      <c r="T220" s="2" t="n"/>
      <c r="U220" s="2">
        <f>IF(OR(AA220="fail",AC220="fail"),"P4",IF(N220="","",IF(N220&gt;=90,"P1",IF(N220&gt;=80,"P1",IF(N220&gt;=70,"P2",IF(N220&gt;=60,"P3","P4"))))))</f>
        <v/>
      </c>
      <c r="V220" s="2">
        <f>IF(OR(AA220="fail",AC220="fail"),"SKIP",IF(N220="","",IF(N220&gt;=90,"APPLY ASAP",IF(N220&gt;=80,"APPLY",IF(N220&gt;=70,"CONSIDER",IF(N220&gt;=60,"STRETCH","SKIP"))))))</f>
        <v/>
      </c>
      <c r="W220" s="2" t="n"/>
      <c r="X220" s="2" t="n"/>
      <c r="Y220" s="2" t="n"/>
      <c r="Z220" s="2" t="n"/>
    </row>
    <row r="221">
      <c r="A221" s="2" t="n"/>
      <c r="B221" s="2" t="n"/>
      <c r="C221" s="2" t="n"/>
      <c r="D221" s="2" t="n"/>
      <c r="E221" s="2" t="n"/>
      <c r="F221" s="2" t="n"/>
      <c r="G221" s="2" t="n"/>
      <c r="H221" s="2" t="n"/>
      <c r="I221" s="2" t="n"/>
      <c r="J221" s="2" t="n"/>
      <c r="K221" s="2" t="n"/>
      <c r="L221" s="2" t="n"/>
      <c r="M221" s="2" t="n"/>
      <c r="N221" s="2">
        <f>IF(COUNTA(O221:T221)&lt;6,"",ROUND(O221*0.3+P221*0.2+Q221*0.15+R221*0.15+S221*0.1+T221*0.1,0))</f>
        <v/>
      </c>
      <c r="O221" s="2" t="n"/>
      <c r="P221" s="2" t="n"/>
      <c r="Q221" s="2" t="n"/>
      <c r="R221" s="2" t="n"/>
      <c r="S221" s="2" t="n"/>
      <c r="T221" s="2" t="n"/>
      <c r="U221" s="2">
        <f>IF(OR(AA221="fail",AC221="fail"),"P4",IF(N221="","",IF(N221&gt;=90,"P1",IF(N221&gt;=80,"P1",IF(N221&gt;=70,"P2",IF(N221&gt;=60,"P3","P4"))))))</f>
        <v/>
      </c>
      <c r="V221" s="2">
        <f>IF(OR(AA221="fail",AC221="fail"),"SKIP",IF(N221="","",IF(N221&gt;=90,"APPLY ASAP",IF(N221&gt;=80,"APPLY",IF(N221&gt;=70,"CONSIDER",IF(N221&gt;=60,"STRETCH","SKIP"))))))</f>
        <v/>
      </c>
      <c r="W221" s="2" t="n"/>
      <c r="X221" s="2" t="n"/>
      <c r="Y221" s="2" t="n"/>
      <c r="Z221" s="2" t="n"/>
    </row>
    <row r="222">
      <c r="A222" s="2" t="n"/>
      <c r="B222" s="2" t="n"/>
      <c r="C222" s="2" t="n"/>
      <c r="D222" s="2" t="n"/>
      <c r="E222" s="2" t="n"/>
      <c r="F222" s="2" t="n"/>
      <c r="G222" s="2" t="n"/>
      <c r="H222" s="2" t="n"/>
      <c r="I222" s="2" t="n"/>
      <c r="J222" s="2" t="n"/>
      <c r="K222" s="2" t="n"/>
      <c r="L222" s="2" t="n"/>
      <c r="M222" s="2" t="n"/>
      <c r="N222" s="2">
        <f>IF(COUNTA(O222:T222)&lt;6,"",ROUND(O222*0.3+P222*0.2+Q222*0.15+R222*0.15+S222*0.1+T222*0.1,0))</f>
        <v/>
      </c>
      <c r="O222" s="2" t="n"/>
      <c r="P222" s="2" t="n"/>
      <c r="Q222" s="2" t="n"/>
      <c r="R222" s="2" t="n"/>
      <c r="S222" s="2" t="n"/>
      <c r="T222" s="2" t="n"/>
      <c r="U222" s="2">
        <f>IF(OR(AA222="fail",AC222="fail"),"P4",IF(N222="","",IF(N222&gt;=90,"P1",IF(N222&gt;=80,"P1",IF(N222&gt;=70,"P2",IF(N222&gt;=60,"P3","P4"))))))</f>
        <v/>
      </c>
      <c r="V222" s="2">
        <f>IF(OR(AA222="fail",AC222="fail"),"SKIP",IF(N222="","",IF(N222&gt;=90,"APPLY ASAP",IF(N222&gt;=80,"APPLY",IF(N222&gt;=70,"CONSIDER",IF(N222&gt;=60,"STRETCH","SKIP"))))))</f>
        <v/>
      </c>
      <c r="W222" s="2" t="n"/>
      <c r="X222" s="2" t="n"/>
      <c r="Y222" s="2" t="n"/>
      <c r="Z222" s="2" t="n"/>
    </row>
    <row r="223">
      <c r="A223" s="2" t="n"/>
      <c r="B223" s="2" t="n"/>
      <c r="C223" s="2" t="n"/>
      <c r="D223" s="2" t="n"/>
      <c r="E223" s="2" t="n"/>
      <c r="F223" s="2" t="n"/>
      <c r="G223" s="2" t="n"/>
      <c r="H223" s="2" t="n"/>
      <c r="I223" s="2" t="n"/>
      <c r="J223" s="2" t="n"/>
      <c r="K223" s="2" t="n"/>
      <c r="L223" s="2" t="n"/>
      <c r="M223" s="2" t="n"/>
      <c r="N223" s="2">
        <f>IF(COUNTA(O223:T223)&lt;6,"",ROUND(O223*0.3+P223*0.2+Q223*0.15+R223*0.15+S223*0.1+T223*0.1,0))</f>
        <v/>
      </c>
      <c r="O223" s="2" t="n"/>
      <c r="P223" s="2" t="n"/>
      <c r="Q223" s="2" t="n"/>
      <c r="R223" s="2" t="n"/>
      <c r="S223" s="2" t="n"/>
      <c r="T223" s="2" t="n"/>
      <c r="U223" s="2">
        <f>IF(OR(AA223="fail",AC223="fail"),"P4",IF(N223="","",IF(N223&gt;=90,"P1",IF(N223&gt;=80,"P1",IF(N223&gt;=70,"P2",IF(N223&gt;=60,"P3","P4"))))))</f>
        <v/>
      </c>
      <c r="V223" s="2">
        <f>IF(OR(AA223="fail",AC223="fail"),"SKIP",IF(N223="","",IF(N223&gt;=90,"APPLY ASAP",IF(N223&gt;=80,"APPLY",IF(N223&gt;=70,"CONSIDER",IF(N223&gt;=60,"STRETCH","SKIP"))))))</f>
        <v/>
      </c>
      <c r="W223" s="2" t="n"/>
      <c r="X223" s="2" t="n"/>
      <c r="Y223" s="2" t="n"/>
      <c r="Z223" s="2" t="n"/>
    </row>
    <row r="224">
      <c r="A224" s="2" t="n"/>
      <c r="B224" s="2" t="n"/>
      <c r="C224" s="2" t="n"/>
      <c r="D224" s="2" t="n"/>
      <c r="E224" s="2" t="n"/>
      <c r="F224" s="2" t="n"/>
      <c r="G224" s="2" t="n"/>
      <c r="H224" s="2" t="n"/>
      <c r="I224" s="2" t="n"/>
      <c r="J224" s="2" t="n"/>
      <c r="K224" s="2" t="n"/>
      <c r="L224" s="2" t="n"/>
      <c r="M224" s="2" t="n"/>
      <c r="N224" s="2">
        <f>IF(COUNTA(O224:T224)&lt;6,"",ROUND(O224*0.3+P224*0.2+Q224*0.15+R224*0.15+S224*0.1+T224*0.1,0))</f>
        <v/>
      </c>
      <c r="O224" s="2" t="n"/>
      <c r="P224" s="2" t="n"/>
      <c r="Q224" s="2" t="n"/>
      <c r="R224" s="2" t="n"/>
      <c r="S224" s="2" t="n"/>
      <c r="T224" s="2" t="n"/>
      <c r="U224" s="2">
        <f>IF(OR(AA224="fail",AC224="fail"),"P4",IF(N224="","",IF(N224&gt;=90,"P1",IF(N224&gt;=80,"P1",IF(N224&gt;=70,"P2",IF(N224&gt;=60,"P3","P4"))))))</f>
        <v/>
      </c>
      <c r="V224" s="2">
        <f>IF(OR(AA224="fail",AC224="fail"),"SKIP",IF(N224="","",IF(N224&gt;=90,"APPLY ASAP",IF(N224&gt;=80,"APPLY",IF(N224&gt;=70,"CONSIDER",IF(N224&gt;=60,"STRETCH","SKIP"))))))</f>
        <v/>
      </c>
      <c r="W224" s="2" t="n"/>
      <c r="X224" s="2" t="n"/>
      <c r="Y224" s="2" t="n"/>
      <c r="Z224" s="2" t="n"/>
    </row>
    <row r="225">
      <c r="A225" s="2" t="n"/>
      <c r="B225" s="2" t="n"/>
      <c r="C225" s="2" t="n"/>
      <c r="D225" s="2" t="n"/>
      <c r="E225" s="2" t="n"/>
      <c r="F225" s="2" t="n"/>
      <c r="G225" s="2" t="n"/>
      <c r="H225" s="2" t="n"/>
      <c r="I225" s="2" t="n"/>
      <c r="J225" s="2" t="n"/>
      <c r="K225" s="2" t="n"/>
      <c r="L225" s="2" t="n"/>
      <c r="M225" s="2" t="n"/>
      <c r="N225" s="2">
        <f>IF(COUNTA(O225:T225)&lt;6,"",ROUND(O225*0.3+P225*0.2+Q225*0.15+R225*0.15+S225*0.1+T225*0.1,0))</f>
        <v/>
      </c>
      <c r="O225" s="2" t="n"/>
      <c r="P225" s="2" t="n"/>
      <c r="Q225" s="2" t="n"/>
      <c r="R225" s="2" t="n"/>
      <c r="S225" s="2" t="n"/>
      <c r="T225" s="2" t="n"/>
      <c r="U225" s="2">
        <f>IF(OR(AA225="fail",AC225="fail"),"P4",IF(N225="","",IF(N225&gt;=90,"P1",IF(N225&gt;=80,"P1",IF(N225&gt;=70,"P2",IF(N225&gt;=60,"P3","P4"))))))</f>
        <v/>
      </c>
      <c r="V225" s="2">
        <f>IF(OR(AA225="fail",AC225="fail"),"SKIP",IF(N225="","",IF(N225&gt;=90,"APPLY ASAP",IF(N225&gt;=80,"APPLY",IF(N225&gt;=70,"CONSIDER",IF(N225&gt;=60,"STRETCH","SKIP"))))))</f>
        <v/>
      </c>
      <c r="W225" s="2" t="n"/>
      <c r="X225" s="2" t="n"/>
      <c r="Y225" s="2" t="n"/>
      <c r="Z225" s="2" t="n"/>
    </row>
    <row r="226">
      <c r="A226" s="2" t="n"/>
      <c r="B226" s="2" t="n"/>
      <c r="C226" s="2" t="n"/>
      <c r="D226" s="2" t="n"/>
      <c r="E226" s="2" t="n"/>
      <c r="F226" s="2" t="n"/>
      <c r="G226" s="2" t="n"/>
      <c r="H226" s="2" t="n"/>
      <c r="I226" s="2" t="n"/>
      <c r="J226" s="2" t="n"/>
      <c r="K226" s="2" t="n"/>
      <c r="L226" s="2" t="n"/>
      <c r="M226" s="2" t="n"/>
      <c r="N226" s="2">
        <f>IF(COUNTA(O226:T226)&lt;6,"",ROUND(O226*0.3+P226*0.2+Q226*0.15+R226*0.15+S226*0.1+T226*0.1,0))</f>
        <v/>
      </c>
      <c r="O226" s="2" t="n"/>
      <c r="P226" s="2" t="n"/>
      <c r="Q226" s="2" t="n"/>
      <c r="R226" s="2" t="n"/>
      <c r="S226" s="2" t="n"/>
      <c r="T226" s="2" t="n"/>
      <c r="U226" s="2">
        <f>IF(OR(AA226="fail",AC226="fail"),"P4",IF(N226="","",IF(N226&gt;=90,"P1",IF(N226&gt;=80,"P1",IF(N226&gt;=70,"P2",IF(N226&gt;=60,"P3","P4"))))))</f>
        <v/>
      </c>
      <c r="V226" s="2">
        <f>IF(OR(AA226="fail",AC226="fail"),"SKIP",IF(N226="","",IF(N226&gt;=90,"APPLY ASAP",IF(N226&gt;=80,"APPLY",IF(N226&gt;=70,"CONSIDER",IF(N226&gt;=60,"STRETCH","SKIP"))))))</f>
        <v/>
      </c>
      <c r="W226" s="2" t="n"/>
      <c r="X226" s="2" t="n"/>
      <c r="Y226" s="2" t="n"/>
      <c r="Z226" s="2" t="n"/>
    </row>
    <row r="227">
      <c r="A227" s="2" t="n"/>
      <c r="B227" s="2" t="n"/>
      <c r="C227" s="2" t="n"/>
      <c r="D227" s="2" t="n"/>
      <c r="E227" s="2" t="n"/>
      <c r="F227" s="2" t="n"/>
      <c r="G227" s="2" t="n"/>
      <c r="H227" s="2" t="n"/>
      <c r="I227" s="2" t="n"/>
      <c r="J227" s="2" t="n"/>
      <c r="K227" s="2" t="n"/>
      <c r="L227" s="2" t="n"/>
      <c r="M227" s="2" t="n"/>
      <c r="N227" s="2">
        <f>IF(COUNTA(O227:T227)&lt;6,"",ROUND(O227*0.3+P227*0.2+Q227*0.15+R227*0.15+S227*0.1+T227*0.1,0))</f>
        <v/>
      </c>
      <c r="O227" s="2" t="n"/>
      <c r="P227" s="2" t="n"/>
      <c r="Q227" s="2" t="n"/>
      <c r="R227" s="2" t="n"/>
      <c r="S227" s="2" t="n"/>
      <c r="T227" s="2" t="n"/>
      <c r="U227" s="2">
        <f>IF(OR(AA227="fail",AC227="fail"),"P4",IF(N227="","",IF(N227&gt;=90,"P1",IF(N227&gt;=80,"P1",IF(N227&gt;=70,"P2",IF(N227&gt;=60,"P3","P4"))))))</f>
        <v/>
      </c>
      <c r="V227" s="2">
        <f>IF(OR(AA227="fail",AC227="fail"),"SKIP",IF(N227="","",IF(N227&gt;=90,"APPLY ASAP",IF(N227&gt;=80,"APPLY",IF(N227&gt;=70,"CONSIDER",IF(N227&gt;=60,"STRETCH","SKIP"))))))</f>
        <v/>
      </c>
      <c r="W227" s="2" t="n"/>
      <c r="X227" s="2" t="n"/>
      <c r="Y227" s="2" t="n"/>
      <c r="Z227" s="2" t="n"/>
    </row>
    <row r="228">
      <c r="A228" s="2" t="n"/>
      <c r="B228" s="2" t="n"/>
      <c r="C228" s="2" t="n"/>
      <c r="D228" s="2" t="n"/>
      <c r="E228" s="2" t="n"/>
      <c r="F228" s="2" t="n"/>
      <c r="G228" s="2" t="n"/>
      <c r="H228" s="2" t="n"/>
      <c r="I228" s="2" t="n"/>
      <c r="J228" s="2" t="n"/>
      <c r="K228" s="2" t="n"/>
      <c r="L228" s="2" t="n"/>
      <c r="M228" s="2" t="n"/>
      <c r="N228" s="2">
        <f>IF(COUNTA(O228:T228)&lt;6,"",ROUND(O228*0.3+P228*0.2+Q228*0.15+R228*0.15+S228*0.1+T228*0.1,0))</f>
        <v/>
      </c>
      <c r="O228" s="2" t="n"/>
      <c r="P228" s="2" t="n"/>
      <c r="Q228" s="2" t="n"/>
      <c r="R228" s="2" t="n"/>
      <c r="S228" s="2" t="n"/>
      <c r="T228" s="2" t="n"/>
      <c r="U228" s="2">
        <f>IF(OR(AA228="fail",AC228="fail"),"P4",IF(N228="","",IF(N228&gt;=90,"P1",IF(N228&gt;=80,"P1",IF(N228&gt;=70,"P2",IF(N228&gt;=60,"P3","P4"))))))</f>
        <v/>
      </c>
      <c r="V228" s="2">
        <f>IF(OR(AA228="fail",AC228="fail"),"SKIP",IF(N228="","",IF(N228&gt;=90,"APPLY ASAP",IF(N228&gt;=80,"APPLY",IF(N228&gt;=70,"CONSIDER",IF(N228&gt;=60,"STRETCH","SKIP"))))))</f>
        <v/>
      </c>
      <c r="W228" s="2" t="n"/>
      <c r="X228" s="2" t="n"/>
      <c r="Y228" s="2" t="n"/>
      <c r="Z228" s="2" t="n"/>
    </row>
    <row r="229">
      <c r="A229" s="2" t="n"/>
      <c r="B229" s="2" t="n"/>
      <c r="C229" s="2" t="n"/>
      <c r="D229" s="2" t="n"/>
      <c r="E229" s="2" t="n"/>
      <c r="F229" s="2" t="n"/>
      <c r="G229" s="2" t="n"/>
      <c r="H229" s="2" t="n"/>
      <c r="I229" s="2" t="n"/>
      <c r="J229" s="2" t="n"/>
      <c r="K229" s="2" t="n"/>
      <c r="L229" s="2" t="n"/>
      <c r="M229" s="2" t="n"/>
      <c r="N229" s="2">
        <f>IF(COUNTA(O229:T229)&lt;6,"",ROUND(O229*0.3+P229*0.2+Q229*0.15+R229*0.15+S229*0.1+T229*0.1,0))</f>
        <v/>
      </c>
      <c r="O229" s="2" t="n"/>
      <c r="P229" s="2" t="n"/>
      <c r="Q229" s="2" t="n"/>
      <c r="R229" s="2" t="n"/>
      <c r="S229" s="2" t="n"/>
      <c r="T229" s="2" t="n"/>
      <c r="U229" s="2">
        <f>IF(OR(AA229="fail",AC229="fail"),"P4",IF(N229="","",IF(N229&gt;=90,"P1",IF(N229&gt;=80,"P1",IF(N229&gt;=70,"P2",IF(N229&gt;=60,"P3","P4"))))))</f>
        <v/>
      </c>
      <c r="V229" s="2">
        <f>IF(OR(AA229="fail",AC229="fail"),"SKIP",IF(N229="","",IF(N229&gt;=90,"APPLY ASAP",IF(N229&gt;=80,"APPLY",IF(N229&gt;=70,"CONSIDER",IF(N229&gt;=60,"STRETCH","SKIP"))))))</f>
        <v/>
      </c>
      <c r="W229" s="2" t="n"/>
      <c r="X229" s="2" t="n"/>
      <c r="Y229" s="2" t="n"/>
      <c r="Z229" s="2" t="n"/>
    </row>
    <row r="230">
      <c r="A230" s="2" t="n"/>
      <c r="B230" s="2" t="n"/>
      <c r="C230" s="2" t="n"/>
      <c r="D230" s="2" t="n"/>
      <c r="E230" s="2" t="n"/>
      <c r="F230" s="2" t="n"/>
      <c r="G230" s="2" t="n"/>
      <c r="H230" s="2" t="n"/>
      <c r="I230" s="2" t="n"/>
      <c r="J230" s="2" t="n"/>
      <c r="K230" s="2" t="n"/>
      <c r="L230" s="2" t="n"/>
      <c r="M230" s="2" t="n"/>
      <c r="N230" s="2">
        <f>IF(COUNTA(O230:T230)&lt;6,"",ROUND(O230*0.3+P230*0.2+Q230*0.15+R230*0.15+S230*0.1+T230*0.1,0))</f>
        <v/>
      </c>
      <c r="O230" s="2" t="n"/>
      <c r="P230" s="2" t="n"/>
      <c r="Q230" s="2" t="n"/>
      <c r="R230" s="2" t="n"/>
      <c r="S230" s="2" t="n"/>
      <c r="T230" s="2" t="n"/>
      <c r="U230" s="2">
        <f>IF(OR(AA230="fail",AC230="fail"),"P4",IF(N230="","",IF(N230&gt;=90,"P1",IF(N230&gt;=80,"P1",IF(N230&gt;=70,"P2",IF(N230&gt;=60,"P3","P4"))))))</f>
        <v/>
      </c>
      <c r="V230" s="2">
        <f>IF(OR(AA230="fail",AC230="fail"),"SKIP",IF(N230="","",IF(N230&gt;=90,"APPLY ASAP",IF(N230&gt;=80,"APPLY",IF(N230&gt;=70,"CONSIDER",IF(N230&gt;=60,"STRETCH","SKIP"))))))</f>
        <v/>
      </c>
      <c r="W230" s="2" t="n"/>
      <c r="X230" s="2" t="n"/>
      <c r="Y230" s="2" t="n"/>
      <c r="Z230" s="2" t="n"/>
    </row>
    <row r="231">
      <c r="A231" s="2" t="n"/>
      <c r="B231" s="2" t="n"/>
      <c r="C231" s="2" t="n"/>
      <c r="D231" s="2" t="n"/>
      <c r="E231" s="2" t="n"/>
      <c r="F231" s="2" t="n"/>
      <c r="G231" s="2" t="n"/>
      <c r="H231" s="2" t="n"/>
      <c r="I231" s="2" t="n"/>
      <c r="J231" s="2" t="n"/>
      <c r="K231" s="2" t="n"/>
      <c r="L231" s="2" t="n"/>
      <c r="M231" s="2" t="n"/>
      <c r="N231" s="2">
        <f>IF(COUNTA(O231:T231)&lt;6,"",ROUND(O231*0.3+P231*0.2+Q231*0.15+R231*0.15+S231*0.1+T231*0.1,0))</f>
        <v/>
      </c>
      <c r="O231" s="2" t="n"/>
      <c r="P231" s="2" t="n"/>
      <c r="Q231" s="2" t="n"/>
      <c r="R231" s="2" t="n"/>
      <c r="S231" s="2" t="n"/>
      <c r="T231" s="2" t="n"/>
      <c r="U231" s="2">
        <f>IF(OR(AA231="fail",AC231="fail"),"P4",IF(N231="","",IF(N231&gt;=90,"P1",IF(N231&gt;=80,"P1",IF(N231&gt;=70,"P2",IF(N231&gt;=60,"P3","P4"))))))</f>
        <v/>
      </c>
      <c r="V231" s="2">
        <f>IF(OR(AA231="fail",AC231="fail"),"SKIP",IF(N231="","",IF(N231&gt;=90,"APPLY ASAP",IF(N231&gt;=80,"APPLY",IF(N231&gt;=70,"CONSIDER",IF(N231&gt;=60,"STRETCH","SKIP"))))))</f>
        <v/>
      </c>
      <c r="W231" s="2" t="n"/>
      <c r="X231" s="2" t="n"/>
      <c r="Y231" s="2" t="n"/>
      <c r="Z231" s="2" t="n"/>
    </row>
    <row r="232">
      <c r="A232" s="2" t="n"/>
      <c r="B232" s="2" t="n"/>
      <c r="C232" s="2" t="n"/>
      <c r="D232" s="2" t="n"/>
      <c r="E232" s="2" t="n"/>
      <c r="F232" s="2" t="n"/>
      <c r="G232" s="2" t="n"/>
      <c r="H232" s="2" t="n"/>
      <c r="I232" s="2" t="n"/>
      <c r="J232" s="2" t="n"/>
      <c r="K232" s="2" t="n"/>
      <c r="L232" s="2" t="n"/>
      <c r="M232" s="2" t="n"/>
      <c r="N232" s="2">
        <f>IF(COUNTA(O232:T232)&lt;6,"",ROUND(O232*0.3+P232*0.2+Q232*0.15+R232*0.15+S232*0.1+T232*0.1,0))</f>
        <v/>
      </c>
      <c r="O232" s="2" t="n"/>
      <c r="P232" s="2" t="n"/>
      <c r="Q232" s="2" t="n"/>
      <c r="R232" s="2" t="n"/>
      <c r="S232" s="2" t="n"/>
      <c r="T232" s="2" t="n"/>
      <c r="U232" s="2">
        <f>IF(OR(AA232="fail",AC232="fail"),"P4",IF(N232="","",IF(N232&gt;=90,"P1",IF(N232&gt;=80,"P1",IF(N232&gt;=70,"P2",IF(N232&gt;=60,"P3","P4"))))))</f>
        <v/>
      </c>
      <c r="V232" s="2">
        <f>IF(OR(AA232="fail",AC232="fail"),"SKIP",IF(N232="","",IF(N232&gt;=90,"APPLY ASAP",IF(N232&gt;=80,"APPLY",IF(N232&gt;=70,"CONSIDER",IF(N232&gt;=60,"STRETCH","SKIP"))))))</f>
        <v/>
      </c>
      <c r="W232" s="2" t="n"/>
      <c r="X232" s="2" t="n"/>
      <c r="Y232" s="2" t="n"/>
      <c r="Z232" s="2" t="n"/>
    </row>
    <row r="233">
      <c r="A233" s="2" t="n"/>
      <c r="B233" s="2" t="n"/>
      <c r="C233" s="2" t="n"/>
      <c r="D233" s="2" t="n"/>
      <c r="E233" s="2" t="n"/>
      <c r="F233" s="2" t="n"/>
      <c r="G233" s="2" t="n"/>
      <c r="H233" s="2" t="n"/>
      <c r="I233" s="2" t="n"/>
      <c r="J233" s="2" t="n"/>
      <c r="K233" s="2" t="n"/>
      <c r="L233" s="2" t="n"/>
      <c r="M233" s="2" t="n"/>
      <c r="N233" s="2">
        <f>IF(COUNTA(O233:T233)&lt;6,"",ROUND(O233*0.3+P233*0.2+Q233*0.15+R233*0.15+S233*0.1+T233*0.1,0))</f>
        <v/>
      </c>
      <c r="O233" s="2" t="n"/>
      <c r="P233" s="2" t="n"/>
      <c r="Q233" s="2" t="n"/>
      <c r="R233" s="2" t="n"/>
      <c r="S233" s="2" t="n"/>
      <c r="T233" s="2" t="n"/>
      <c r="U233" s="2">
        <f>IF(OR(AA233="fail",AC233="fail"),"P4",IF(N233="","",IF(N233&gt;=90,"P1",IF(N233&gt;=80,"P1",IF(N233&gt;=70,"P2",IF(N233&gt;=60,"P3","P4"))))))</f>
        <v/>
      </c>
      <c r="V233" s="2">
        <f>IF(OR(AA233="fail",AC233="fail"),"SKIP",IF(N233="","",IF(N233&gt;=90,"APPLY ASAP",IF(N233&gt;=80,"APPLY",IF(N233&gt;=70,"CONSIDER",IF(N233&gt;=60,"STRETCH","SKIP"))))))</f>
        <v/>
      </c>
      <c r="W233" s="2" t="n"/>
      <c r="X233" s="2" t="n"/>
      <c r="Y233" s="2" t="n"/>
      <c r="Z233" s="2" t="n"/>
    </row>
    <row r="234">
      <c r="A234" s="2" t="n"/>
      <c r="B234" s="2" t="n"/>
      <c r="C234" s="2" t="n"/>
      <c r="D234" s="2" t="n"/>
      <c r="E234" s="2" t="n"/>
      <c r="F234" s="2" t="n"/>
      <c r="G234" s="2" t="n"/>
      <c r="H234" s="2" t="n"/>
      <c r="I234" s="2" t="n"/>
      <c r="J234" s="2" t="n"/>
      <c r="K234" s="2" t="n"/>
      <c r="L234" s="2" t="n"/>
      <c r="M234" s="2" t="n"/>
      <c r="N234" s="2">
        <f>IF(COUNTA(O234:T234)&lt;6,"",ROUND(O234*0.3+P234*0.2+Q234*0.15+R234*0.15+S234*0.1+T234*0.1,0))</f>
        <v/>
      </c>
      <c r="O234" s="2" t="n"/>
      <c r="P234" s="2" t="n"/>
      <c r="Q234" s="2" t="n"/>
      <c r="R234" s="2" t="n"/>
      <c r="S234" s="2" t="n"/>
      <c r="T234" s="2" t="n"/>
      <c r="U234" s="2">
        <f>IF(OR(AA234="fail",AC234="fail"),"P4",IF(N234="","",IF(N234&gt;=90,"P1",IF(N234&gt;=80,"P1",IF(N234&gt;=70,"P2",IF(N234&gt;=60,"P3","P4"))))))</f>
        <v/>
      </c>
      <c r="V234" s="2">
        <f>IF(OR(AA234="fail",AC234="fail"),"SKIP",IF(N234="","",IF(N234&gt;=90,"APPLY ASAP",IF(N234&gt;=80,"APPLY",IF(N234&gt;=70,"CONSIDER",IF(N234&gt;=60,"STRETCH","SKIP"))))))</f>
        <v/>
      </c>
      <c r="W234" s="2" t="n"/>
      <c r="X234" s="2" t="n"/>
      <c r="Y234" s="2" t="n"/>
      <c r="Z234" s="2" t="n"/>
    </row>
    <row r="235">
      <c r="A235" s="2" t="n"/>
      <c r="B235" s="2" t="n"/>
      <c r="C235" s="2" t="n"/>
      <c r="D235" s="2" t="n"/>
      <c r="E235" s="2" t="n"/>
      <c r="F235" s="2" t="n"/>
      <c r="G235" s="2" t="n"/>
      <c r="H235" s="2" t="n"/>
      <c r="I235" s="2" t="n"/>
      <c r="J235" s="2" t="n"/>
      <c r="K235" s="2" t="n"/>
      <c r="L235" s="2" t="n"/>
      <c r="M235" s="2" t="n"/>
      <c r="N235" s="2">
        <f>IF(COUNTA(O235:T235)&lt;6,"",ROUND(O235*0.3+P235*0.2+Q235*0.15+R235*0.15+S235*0.1+T235*0.1,0))</f>
        <v/>
      </c>
      <c r="O235" s="2" t="n"/>
      <c r="P235" s="2" t="n"/>
      <c r="Q235" s="2" t="n"/>
      <c r="R235" s="2" t="n"/>
      <c r="S235" s="2" t="n"/>
      <c r="T235" s="2" t="n"/>
      <c r="U235" s="2">
        <f>IF(OR(AA235="fail",AC235="fail"),"P4",IF(N235="","",IF(N235&gt;=90,"P1",IF(N235&gt;=80,"P1",IF(N235&gt;=70,"P2",IF(N235&gt;=60,"P3","P4"))))))</f>
        <v/>
      </c>
      <c r="V235" s="2">
        <f>IF(OR(AA235="fail",AC235="fail"),"SKIP",IF(N235="","",IF(N235&gt;=90,"APPLY ASAP",IF(N235&gt;=80,"APPLY",IF(N235&gt;=70,"CONSIDER",IF(N235&gt;=60,"STRETCH","SKIP"))))))</f>
        <v/>
      </c>
      <c r="W235" s="2" t="n"/>
      <c r="X235" s="2" t="n"/>
      <c r="Y235" s="2" t="n"/>
      <c r="Z235" s="2" t="n"/>
    </row>
    <row r="236">
      <c r="A236" s="2" t="n"/>
      <c r="B236" s="2" t="n"/>
      <c r="C236" s="2" t="n"/>
      <c r="D236" s="2" t="n"/>
      <c r="E236" s="2" t="n"/>
      <c r="F236" s="2" t="n"/>
      <c r="G236" s="2" t="n"/>
      <c r="H236" s="2" t="n"/>
      <c r="I236" s="2" t="n"/>
      <c r="J236" s="2" t="n"/>
      <c r="K236" s="2" t="n"/>
      <c r="L236" s="2" t="n"/>
      <c r="M236" s="2" t="n"/>
      <c r="N236" s="2">
        <f>IF(COUNTA(O236:T236)&lt;6,"",ROUND(O236*0.3+P236*0.2+Q236*0.15+R236*0.15+S236*0.1+T236*0.1,0))</f>
        <v/>
      </c>
      <c r="O236" s="2" t="n"/>
      <c r="P236" s="2" t="n"/>
      <c r="Q236" s="2" t="n"/>
      <c r="R236" s="2" t="n"/>
      <c r="S236" s="2" t="n"/>
      <c r="T236" s="2" t="n"/>
      <c r="U236" s="2">
        <f>IF(OR(AA236="fail",AC236="fail"),"P4",IF(N236="","",IF(N236&gt;=90,"P1",IF(N236&gt;=80,"P1",IF(N236&gt;=70,"P2",IF(N236&gt;=60,"P3","P4"))))))</f>
        <v/>
      </c>
      <c r="V236" s="2">
        <f>IF(OR(AA236="fail",AC236="fail"),"SKIP",IF(N236="","",IF(N236&gt;=90,"APPLY ASAP",IF(N236&gt;=80,"APPLY",IF(N236&gt;=70,"CONSIDER",IF(N236&gt;=60,"STRETCH","SKIP"))))))</f>
        <v/>
      </c>
      <c r="W236" s="2" t="n"/>
      <c r="X236" s="2" t="n"/>
      <c r="Y236" s="2" t="n"/>
      <c r="Z236" s="2" t="n"/>
    </row>
    <row r="237">
      <c r="A237" s="2" t="n"/>
      <c r="B237" s="2" t="n"/>
      <c r="C237" s="2" t="n"/>
      <c r="D237" s="2" t="n"/>
      <c r="E237" s="2" t="n"/>
      <c r="F237" s="2" t="n"/>
      <c r="G237" s="2" t="n"/>
      <c r="H237" s="2" t="n"/>
      <c r="I237" s="2" t="n"/>
      <c r="J237" s="2" t="n"/>
      <c r="K237" s="2" t="n"/>
      <c r="L237" s="2" t="n"/>
      <c r="M237" s="2" t="n"/>
      <c r="N237" s="2">
        <f>IF(COUNTA(O237:T237)&lt;6,"",ROUND(O237*0.3+P237*0.2+Q237*0.15+R237*0.15+S237*0.1+T237*0.1,0))</f>
        <v/>
      </c>
      <c r="O237" s="2" t="n"/>
      <c r="P237" s="2" t="n"/>
      <c r="Q237" s="2" t="n"/>
      <c r="R237" s="2" t="n"/>
      <c r="S237" s="2" t="n"/>
      <c r="T237" s="2" t="n"/>
      <c r="U237" s="2">
        <f>IF(OR(AA237="fail",AC237="fail"),"P4",IF(N237="","",IF(N237&gt;=90,"P1",IF(N237&gt;=80,"P1",IF(N237&gt;=70,"P2",IF(N237&gt;=60,"P3","P4"))))))</f>
        <v/>
      </c>
      <c r="V237" s="2">
        <f>IF(OR(AA237="fail",AC237="fail"),"SKIP",IF(N237="","",IF(N237&gt;=90,"APPLY ASAP",IF(N237&gt;=80,"APPLY",IF(N237&gt;=70,"CONSIDER",IF(N237&gt;=60,"STRETCH","SKIP"))))))</f>
        <v/>
      </c>
      <c r="W237" s="2" t="n"/>
      <c r="X237" s="2" t="n"/>
      <c r="Y237" s="2" t="n"/>
      <c r="Z237" s="2" t="n"/>
    </row>
    <row r="238">
      <c r="A238" s="2" t="n"/>
      <c r="B238" s="2" t="n"/>
      <c r="C238" s="2" t="n"/>
      <c r="D238" s="2" t="n"/>
      <c r="E238" s="2" t="n"/>
      <c r="F238" s="2" t="n"/>
      <c r="G238" s="2" t="n"/>
      <c r="H238" s="2" t="n"/>
      <c r="I238" s="2" t="n"/>
      <c r="J238" s="2" t="n"/>
      <c r="K238" s="2" t="n"/>
      <c r="L238" s="2" t="n"/>
      <c r="M238" s="2" t="n"/>
      <c r="N238" s="2">
        <f>IF(COUNTA(O238:T238)&lt;6,"",ROUND(O238*0.3+P238*0.2+Q238*0.15+R238*0.15+S238*0.1+T238*0.1,0))</f>
        <v/>
      </c>
      <c r="O238" s="2" t="n"/>
      <c r="P238" s="2" t="n"/>
      <c r="Q238" s="2" t="n"/>
      <c r="R238" s="2" t="n"/>
      <c r="S238" s="2" t="n"/>
      <c r="T238" s="2" t="n"/>
      <c r="U238" s="2">
        <f>IF(OR(AA238="fail",AC238="fail"),"P4",IF(N238="","",IF(N238&gt;=90,"P1",IF(N238&gt;=80,"P1",IF(N238&gt;=70,"P2",IF(N238&gt;=60,"P3","P4"))))))</f>
        <v/>
      </c>
      <c r="V238" s="2">
        <f>IF(OR(AA238="fail",AC238="fail"),"SKIP",IF(N238="","",IF(N238&gt;=90,"APPLY ASAP",IF(N238&gt;=80,"APPLY",IF(N238&gt;=70,"CONSIDER",IF(N238&gt;=60,"STRETCH","SKIP"))))))</f>
        <v/>
      </c>
      <c r="W238" s="2" t="n"/>
      <c r="X238" s="2" t="n"/>
      <c r="Y238" s="2" t="n"/>
      <c r="Z238" s="2" t="n"/>
    </row>
    <row r="239">
      <c r="A239" s="2" t="n"/>
      <c r="B239" s="2" t="n"/>
      <c r="C239" s="2" t="n"/>
      <c r="D239" s="2" t="n"/>
      <c r="E239" s="2" t="n"/>
      <c r="F239" s="2" t="n"/>
      <c r="G239" s="2" t="n"/>
      <c r="H239" s="2" t="n"/>
      <c r="I239" s="2" t="n"/>
      <c r="J239" s="2" t="n"/>
      <c r="K239" s="2" t="n"/>
      <c r="L239" s="2" t="n"/>
      <c r="M239" s="2" t="n"/>
      <c r="N239" s="2">
        <f>IF(COUNTA(O239:T239)&lt;6,"",ROUND(O239*0.3+P239*0.2+Q239*0.15+R239*0.15+S239*0.1+T239*0.1,0))</f>
        <v/>
      </c>
      <c r="O239" s="2" t="n"/>
      <c r="P239" s="2" t="n"/>
      <c r="Q239" s="2" t="n"/>
      <c r="R239" s="2" t="n"/>
      <c r="S239" s="2" t="n"/>
      <c r="T239" s="2" t="n"/>
      <c r="U239" s="2">
        <f>IF(OR(AA239="fail",AC239="fail"),"P4",IF(N239="","",IF(N239&gt;=90,"P1",IF(N239&gt;=80,"P1",IF(N239&gt;=70,"P2",IF(N239&gt;=60,"P3","P4"))))))</f>
        <v/>
      </c>
      <c r="V239" s="2">
        <f>IF(OR(AA239="fail",AC239="fail"),"SKIP",IF(N239="","",IF(N239&gt;=90,"APPLY ASAP",IF(N239&gt;=80,"APPLY",IF(N239&gt;=70,"CONSIDER",IF(N239&gt;=60,"STRETCH","SKIP"))))))</f>
        <v/>
      </c>
      <c r="W239" s="2" t="n"/>
      <c r="X239" s="2" t="n"/>
      <c r="Y239" s="2" t="n"/>
      <c r="Z239" s="2" t="n"/>
    </row>
    <row r="240">
      <c r="A240" s="2" t="n"/>
      <c r="B240" s="2" t="n"/>
      <c r="C240" s="2" t="n"/>
      <c r="D240" s="2" t="n"/>
      <c r="E240" s="2" t="n"/>
      <c r="F240" s="2" t="n"/>
      <c r="G240" s="2" t="n"/>
      <c r="H240" s="2" t="n"/>
      <c r="I240" s="2" t="n"/>
      <c r="J240" s="2" t="n"/>
      <c r="K240" s="2" t="n"/>
      <c r="L240" s="2" t="n"/>
      <c r="M240" s="2" t="n"/>
      <c r="N240" s="2">
        <f>IF(COUNTA(O240:T240)&lt;6,"",ROUND(O240*0.3+P240*0.2+Q240*0.15+R240*0.15+S240*0.1+T240*0.1,0))</f>
        <v/>
      </c>
      <c r="O240" s="2" t="n"/>
      <c r="P240" s="2" t="n"/>
      <c r="Q240" s="2" t="n"/>
      <c r="R240" s="2" t="n"/>
      <c r="S240" s="2" t="n"/>
      <c r="T240" s="2" t="n"/>
      <c r="U240" s="2">
        <f>IF(OR(AA240="fail",AC240="fail"),"P4",IF(N240="","",IF(N240&gt;=90,"P1",IF(N240&gt;=80,"P1",IF(N240&gt;=70,"P2",IF(N240&gt;=60,"P3","P4"))))))</f>
        <v/>
      </c>
      <c r="V240" s="2">
        <f>IF(OR(AA240="fail",AC240="fail"),"SKIP",IF(N240="","",IF(N240&gt;=90,"APPLY ASAP",IF(N240&gt;=80,"APPLY",IF(N240&gt;=70,"CONSIDER",IF(N240&gt;=60,"STRETCH","SKIP"))))))</f>
        <v/>
      </c>
      <c r="W240" s="2" t="n"/>
      <c r="X240" s="2" t="n"/>
      <c r="Y240" s="2" t="n"/>
      <c r="Z240" s="2" t="n"/>
    </row>
    <row r="241">
      <c r="A241" s="2" t="n"/>
      <c r="B241" s="2" t="n"/>
      <c r="C241" s="2" t="n"/>
      <c r="D241" s="2" t="n"/>
      <c r="E241" s="2" t="n"/>
      <c r="F241" s="2" t="n"/>
      <c r="G241" s="2" t="n"/>
      <c r="H241" s="2" t="n"/>
      <c r="I241" s="2" t="n"/>
      <c r="J241" s="2" t="n"/>
      <c r="K241" s="2" t="n"/>
      <c r="L241" s="2" t="n"/>
      <c r="M241" s="2" t="n"/>
      <c r="N241" s="2">
        <f>IF(COUNTA(O241:T241)&lt;6,"",ROUND(O241*0.3+P241*0.2+Q241*0.15+R241*0.15+S241*0.1+T241*0.1,0))</f>
        <v/>
      </c>
      <c r="O241" s="2" t="n"/>
      <c r="P241" s="2" t="n"/>
      <c r="Q241" s="2" t="n"/>
      <c r="R241" s="2" t="n"/>
      <c r="S241" s="2" t="n"/>
      <c r="T241" s="2" t="n"/>
      <c r="U241" s="2">
        <f>IF(OR(AA241="fail",AC241="fail"),"P4",IF(N241="","",IF(N241&gt;=90,"P1",IF(N241&gt;=80,"P1",IF(N241&gt;=70,"P2",IF(N241&gt;=60,"P3","P4"))))))</f>
        <v/>
      </c>
      <c r="V241" s="2">
        <f>IF(OR(AA241="fail",AC241="fail"),"SKIP",IF(N241="","",IF(N241&gt;=90,"APPLY ASAP",IF(N241&gt;=80,"APPLY",IF(N241&gt;=70,"CONSIDER",IF(N241&gt;=60,"STRETCH","SKIP"))))))</f>
        <v/>
      </c>
      <c r="W241" s="2" t="n"/>
      <c r="X241" s="2" t="n"/>
      <c r="Y241" s="2" t="n"/>
      <c r="Z241" s="2" t="n"/>
    </row>
    <row r="242">
      <c r="A242" s="2" t="n"/>
      <c r="B242" s="2" t="n"/>
      <c r="C242" s="2" t="n"/>
      <c r="D242" s="2" t="n"/>
      <c r="E242" s="2" t="n"/>
      <c r="F242" s="2" t="n"/>
      <c r="G242" s="2" t="n"/>
      <c r="H242" s="2" t="n"/>
      <c r="I242" s="2" t="n"/>
      <c r="J242" s="2" t="n"/>
      <c r="K242" s="2" t="n"/>
      <c r="L242" s="2" t="n"/>
      <c r="M242" s="2" t="n"/>
      <c r="N242" s="2">
        <f>IF(COUNTA(O242:T242)&lt;6,"",ROUND(O242*0.3+P242*0.2+Q242*0.15+R242*0.15+S242*0.1+T242*0.1,0))</f>
        <v/>
      </c>
      <c r="O242" s="2" t="n"/>
      <c r="P242" s="2" t="n"/>
      <c r="Q242" s="2" t="n"/>
      <c r="R242" s="2" t="n"/>
      <c r="S242" s="2" t="n"/>
      <c r="T242" s="2" t="n"/>
      <c r="U242" s="2">
        <f>IF(OR(AA242="fail",AC242="fail"),"P4",IF(N242="","",IF(N242&gt;=90,"P1",IF(N242&gt;=80,"P1",IF(N242&gt;=70,"P2",IF(N242&gt;=60,"P3","P4"))))))</f>
        <v/>
      </c>
      <c r="V242" s="2">
        <f>IF(OR(AA242="fail",AC242="fail"),"SKIP",IF(N242="","",IF(N242&gt;=90,"APPLY ASAP",IF(N242&gt;=80,"APPLY",IF(N242&gt;=70,"CONSIDER",IF(N242&gt;=60,"STRETCH","SKIP"))))))</f>
        <v/>
      </c>
      <c r="W242" s="2" t="n"/>
      <c r="X242" s="2" t="n"/>
      <c r="Y242" s="2" t="n"/>
      <c r="Z242" s="2" t="n"/>
    </row>
    <row r="243">
      <c r="A243" s="2" t="n"/>
      <c r="B243" s="2" t="n"/>
      <c r="C243" s="2" t="n"/>
      <c r="D243" s="2" t="n"/>
      <c r="E243" s="2" t="n"/>
      <c r="F243" s="2" t="n"/>
      <c r="G243" s="2" t="n"/>
      <c r="H243" s="2" t="n"/>
      <c r="I243" s="2" t="n"/>
      <c r="J243" s="2" t="n"/>
      <c r="K243" s="2" t="n"/>
      <c r="L243" s="2" t="n"/>
      <c r="M243" s="2" t="n"/>
      <c r="N243" s="2">
        <f>IF(COUNTA(O243:T243)&lt;6,"",ROUND(O243*0.3+P243*0.2+Q243*0.15+R243*0.15+S243*0.1+T243*0.1,0))</f>
        <v/>
      </c>
      <c r="O243" s="2" t="n"/>
      <c r="P243" s="2" t="n"/>
      <c r="Q243" s="2" t="n"/>
      <c r="R243" s="2" t="n"/>
      <c r="S243" s="2" t="n"/>
      <c r="T243" s="2" t="n"/>
      <c r="U243" s="2">
        <f>IF(OR(AA243="fail",AC243="fail"),"P4",IF(N243="","",IF(N243&gt;=90,"P1",IF(N243&gt;=80,"P1",IF(N243&gt;=70,"P2",IF(N243&gt;=60,"P3","P4"))))))</f>
        <v/>
      </c>
      <c r="V243" s="2">
        <f>IF(OR(AA243="fail",AC243="fail"),"SKIP",IF(N243="","",IF(N243&gt;=90,"APPLY ASAP",IF(N243&gt;=80,"APPLY",IF(N243&gt;=70,"CONSIDER",IF(N243&gt;=60,"STRETCH","SKIP"))))))</f>
        <v/>
      </c>
      <c r="W243" s="2" t="n"/>
      <c r="X243" s="2" t="n"/>
      <c r="Y243" s="2" t="n"/>
      <c r="Z243" s="2" t="n"/>
    </row>
    <row r="244">
      <c r="A244" s="2" t="n"/>
      <c r="B244" s="2" t="n"/>
      <c r="C244" s="2" t="n"/>
      <c r="D244" s="2" t="n"/>
      <c r="E244" s="2" t="n"/>
      <c r="F244" s="2" t="n"/>
      <c r="G244" s="2" t="n"/>
      <c r="H244" s="2" t="n"/>
      <c r="I244" s="2" t="n"/>
      <c r="J244" s="2" t="n"/>
      <c r="K244" s="2" t="n"/>
      <c r="L244" s="2" t="n"/>
      <c r="M244" s="2" t="n"/>
      <c r="N244" s="2">
        <f>IF(COUNTA(O244:T244)&lt;6,"",ROUND(O244*0.3+P244*0.2+Q244*0.15+R244*0.15+S244*0.1+T244*0.1,0))</f>
        <v/>
      </c>
      <c r="O244" s="2" t="n"/>
      <c r="P244" s="2" t="n"/>
      <c r="Q244" s="2" t="n"/>
      <c r="R244" s="2" t="n"/>
      <c r="S244" s="2" t="n"/>
      <c r="T244" s="2" t="n"/>
      <c r="U244" s="2">
        <f>IF(OR(AA244="fail",AC244="fail"),"P4",IF(N244="","",IF(N244&gt;=90,"P1",IF(N244&gt;=80,"P1",IF(N244&gt;=70,"P2",IF(N244&gt;=60,"P3","P4"))))))</f>
        <v/>
      </c>
      <c r="V244" s="2">
        <f>IF(OR(AA244="fail",AC244="fail"),"SKIP",IF(N244="","",IF(N244&gt;=90,"APPLY ASAP",IF(N244&gt;=80,"APPLY",IF(N244&gt;=70,"CONSIDER",IF(N244&gt;=60,"STRETCH","SKIP"))))))</f>
        <v/>
      </c>
      <c r="W244" s="2" t="n"/>
      <c r="X244" s="2" t="n"/>
      <c r="Y244" s="2" t="n"/>
      <c r="Z244" s="2" t="n"/>
    </row>
    <row r="245">
      <c r="A245" s="2" t="n"/>
      <c r="B245" s="2" t="n"/>
      <c r="C245" s="2" t="n"/>
      <c r="D245" s="2" t="n"/>
      <c r="E245" s="2" t="n"/>
      <c r="F245" s="2" t="n"/>
      <c r="G245" s="2" t="n"/>
      <c r="H245" s="2" t="n"/>
      <c r="I245" s="2" t="n"/>
      <c r="J245" s="2" t="n"/>
      <c r="K245" s="2" t="n"/>
      <c r="L245" s="2" t="n"/>
      <c r="M245" s="2" t="n"/>
      <c r="N245" s="2">
        <f>IF(COUNTA(O245:T245)&lt;6,"",ROUND(O245*0.3+P245*0.2+Q245*0.15+R245*0.15+S245*0.1+T245*0.1,0))</f>
        <v/>
      </c>
      <c r="O245" s="2" t="n"/>
      <c r="P245" s="2" t="n"/>
      <c r="Q245" s="2" t="n"/>
      <c r="R245" s="2" t="n"/>
      <c r="S245" s="2" t="n"/>
      <c r="T245" s="2" t="n"/>
      <c r="U245" s="2">
        <f>IF(OR(AA245="fail",AC245="fail"),"P4",IF(N245="","",IF(N245&gt;=90,"P1",IF(N245&gt;=80,"P1",IF(N245&gt;=70,"P2",IF(N245&gt;=60,"P3","P4"))))))</f>
        <v/>
      </c>
      <c r="V245" s="2">
        <f>IF(OR(AA245="fail",AC245="fail"),"SKIP",IF(N245="","",IF(N245&gt;=90,"APPLY ASAP",IF(N245&gt;=80,"APPLY",IF(N245&gt;=70,"CONSIDER",IF(N245&gt;=60,"STRETCH","SKIP"))))))</f>
        <v/>
      </c>
      <c r="W245" s="2" t="n"/>
      <c r="X245" s="2" t="n"/>
      <c r="Y245" s="2" t="n"/>
      <c r="Z245" s="2" t="n"/>
    </row>
    <row r="246">
      <c r="A246" s="2" t="n"/>
      <c r="B246" s="2" t="n"/>
      <c r="C246" s="2" t="n"/>
      <c r="D246" s="2" t="n"/>
      <c r="E246" s="2" t="n"/>
      <c r="F246" s="2" t="n"/>
      <c r="G246" s="2" t="n"/>
      <c r="H246" s="2" t="n"/>
      <c r="I246" s="2" t="n"/>
      <c r="J246" s="2" t="n"/>
      <c r="K246" s="2" t="n"/>
      <c r="L246" s="2" t="n"/>
      <c r="M246" s="2" t="n"/>
      <c r="N246" s="2">
        <f>IF(COUNTA(O246:T246)&lt;6,"",ROUND(O246*0.3+P246*0.2+Q246*0.15+R246*0.15+S246*0.1+T246*0.1,0))</f>
        <v/>
      </c>
      <c r="O246" s="2" t="n"/>
      <c r="P246" s="2" t="n"/>
      <c r="Q246" s="2" t="n"/>
      <c r="R246" s="2" t="n"/>
      <c r="S246" s="2" t="n"/>
      <c r="T246" s="2" t="n"/>
      <c r="U246" s="2">
        <f>IF(OR(AA246="fail",AC246="fail"),"P4",IF(N246="","",IF(N246&gt;=90,"P1",IF(N246&gt;=80,"P1",IF(N246&gt;=70,"P2",IF(N246&gt;=60,"P3","P4"))))))</f>
        <v/>
      </c>
      <c r="V246" s="2">
        <f>IF(OR(AA246="fail",AC246="fail"),"SKIP",IF(N246="","",IF(N246&gt;=90,"APPLY ASAP",IF(N246&gt;=80,"APPLY",IF(N246&gt;=70,"CONSIDER",IF(N246&gt;=60,"STRETCH","SKIP"))))))</f>
        <v/>
      </c>
      <c r="W246" s="2" t="n"/>
      <c r="X246" s="2" t="n"/>
      <c r="Y246" s="2" t="n"/>
      <c r="Z246" s="2" t="n"/>
    </row>
    <row r="247">
      <c r="A247" s="2" t="n"/>
      <c r="B247" s="2" t="n"/>
      <c r="C247" s="2" t="n"/>
      <c r="D247" s="2" t="n"/>
      <c r="E247" s="2" t="n"/>
      <c r="F247" s="2" t="n"/>
      <c r="G247" s="2" t="n"/>
      <c r="H247" s="2" t="n"/>
      <c r="I247" s="2" t="n"/>
      <c r="J247" s="2" t="n"/>
      <c r="K247" s="2" t="n"/>
      <c r="L247" s="2" t="n"/>
      <c r="M247" s="2" t="n"/>
      <c r="N247" s="2">
        <f>IF(COUNTA(O247:T247)&lt;6,"",ROUND(O247*0.3+P247*0.2+Q247*0.15+R247*0.15+S247*0.1+T247*0.1,0))</f>
        <v/>
      </c>
      <c r="O247" s="2" t="n"/>
      <c r="P247" s="2" t="n"/>
      <c r="Q247" s="2" t="n"/>
      <c r="R247" s="2" t="n"/>
      <c r="S247" s="2" t="n"/>
      <c r="T247" s="2" t="n"/>
      <c r="U247" s="2">
        <f>IF(OR(AA247="fail",AC247="fail"),"P4",IF(N247="","",IF(N247&gt;=90,"P1",IF(N247&gt;=80,"P1",IF(N247&gt;=70,"P2",IF(N247&gt;=60,"P3","P4"))))))</f>
        <v/>
      </c>
      <c r="V247" s="2">
        <f>IF(OR(AA247="fail",AC247="fail"),"SKIP",IF(N247="","",IF(N247&gt;=90,"APPLY ASAP",IF(N247&gt;=80,"APPLY",IF(N247&gt;=70,"CONSIDER",IF(N247&gt;=60,"STRETCH","SKIP"))))))</f>
        <v/>
      </c>
      <c r="W247" s="2" t="n"/>
      <c r="X247" s="2" t="n"/>
      <c r="Y247" s="2" t="n"/>
      <c r="Z247" s="2" t="n"/>
    </row>
    <row r="248">
      <c r="A248" s="2" t="n"/>
      <c r="B248" s="2" t="n"/>
      <c r="C248" s="2" t="n"/>
      <c r="D248" s="2" t="n"/>
      <c r="E248" s="2" t="n"/>
      <c r="F248" s="2" t="n"/>
      <c r="G248" s="2" t="n"/>
      <c r="H248" s="2" t="n"/>
      <c r="I248" s="2" t="n"/>
      <c r="J248" s="2" t="n"/>
      <c r="K248" s="2" t="n"/>
      <c r="L248" s="2" t="n"/>
      <c r="M248" s="2" t="n"/>
      <c r="N248" s="2">
        <f>IF(COUNTA(O248:T248)&lt;6,"",ROUND(O248*0.3+P248*0.2+Q248*0.15+R248*0.15+S248*0.1+T248*0.1,0))</f>
        <v/>
      </c>
      <c r="O248" s="2" t="n"/>
      <c r="P248" s="2" t="n"/>
      <c r="Q248" s="2" t="n"/>
      <c r="R248" s="2" t="n"/>
      <c r="S248" s="2" t="n"/>
      <c r="T248" s="2" t="n"/>
      <c r="U248" s="2">
        <f>IF(OR(AA248="fail",AC248="fail"),"P4",IF(N248="","",IF(N248&gt;=90,"P1",IF(N248&gt;=80,"P1",IF(N248&gt;=70,"P2",IF(N248&gt;=60,"P3","P4"))))))</f>
        <v/>
      </c>
      <c r="V248" s="2">
        <f>IF(OR(AA248="fail",AC248="fail"),"SKIP",IF(N248="","",IF(N248&gt;=90,"APPLY ASAP",IF(N248&gt;=80,"APPLY",IF(N248&gt;=70,"CONSIDER",IF(N248&gt;=60,"STRETCH","SKIP"))))))</f>
        <v/>
      </c>
      <c r="W248" s="2" t="n"/>
      <c r="X248" s="2" t="n"/>
      <c r="Y248" s="2" t="n"/>
      <c r="Z248" s="2" t="n"/>
    </row>
    <row r="249">
      <c r="A249" s="2" t="n"/>
      <c r="B249" s="2" t="n"/>
      <c r="C249" s="2" t="n"/>
      <c r="D249" s="2" t="n"/>
      <c r="E249" s="2" t="n"/>
      <c r="F249" s="2" t="n"/>
      <c r="G249" s="2" t="n"/>
      <c r="H249" s="2" t="n"/>
      <c r="I249" s="2" t="n"/>
      <c r="J249" s="2" t="n"/>
      <c r="K249" s="2" t="n"/>
      <c r="L249" s="2" t="n"/>
      <c r="M249" s="2" t="n"/>
      <c r="N249" s="2">
        <f>IF(COUNTA(O249:T249)&lt;6,"",ROUND(O249*0.3+P249*0.2+Q249*0.15+R249*0.15+S249*0.1+T249*0.1,0))</f>
        <v/>
      </c>
      <c r="O249" s="2" t="n"/>
      <c r="P249" s="2" t="n"/>
      <c r="Q249" s="2" t="n"/>
      <c r="R249" s="2" t="n"/>
      <c r="S249" s="2" t="n"/>
      <c r="T249" s="2" t="n"/>
      <c r="U249" s="2">
        <f>IF(OR(AA249="fail",AC249="fail"),"P4",IF(N249="","",IF(N249&gt;=90,"P1",IF(N249&gt;=80,"P1",IF(N249&gt;=70,"P2",IF(N249&gt;=60,"P3","P4"))))))</f>
        <v/>
      </c>
      <c r="V249" s="2">
        <f>IF(OR(AA249="fail",AC249="fail"),"SKIP",IF(N249="","",IF(N249&gt;=90,"APPLY ASAP",IF(N249&gt;=80,"APPLY",IF(N249&gt;=70,"CONSIDER",IF(N249&gt;=60,"STRETCH","SKIP"))))))</f>
        <v/>
      </c>
      <c r="W249" s="2" t="n"/>
      <c r="X249" s="2" t="n"/>
      <c r="Y249" s="2" t="n"/>
      <c r="Z249" s="2" t="n"/>
    </row>
    <row r="250">
      <c r="A250" s="2" t="n"/>
      <c r="B250" s="2" t="n"/>
      <c r="C250" s="2" t="n"/>
      <c r="D250" s="2" t="n"/>
      <c r="E250" s="2" t="n"/>
      <c r="F250" s="2" t="n"/>
      <c r="G250" s="2" t="n"/>
      <c r="H250" s="2" t="n"/>
      <c r="I250" s="2" t="n"/>
      <c r="J250" s="2" t="n"/>
      <c r="K250" s="2" t="n"/>
      <c r="L250" s="2" t="n"/>
      <c r="M250" s="2" t="n"/>
      <c r="N250" s="2">
        <f>IF(COUNTA(O250:T250)&lt;6,"",ROUND(O250*0.3+P250*0.2+Q250*0.15+R250*0.15+S250*0.1+T250*0.1,0))</f>
        <v/>
      </c>
      <c r="O250" s="2" t="n"/>
      <c r="P250" s="2" t="n"/>
      <c r="Q250" s="2" t="n"/>
      <c r="R250" s="2" t="n"/>
      <c r="S250" s="2" t="n"/>
      <c r="T250" s="2" t="n"/>
      <c r="U250" s="2">
        <f>IF(OR(AA250="fail",AC250="fail"),"P4",IF(N250="","",IF(N250&gt;=90,"P1",IF(N250&gt;=80,"P1",IF(N250&gt;=70,"P2",IF(N250&gt;=60,"P3","P4"))))))</f>
        <v/>
      </c>
      <c r="V250" s="2">
        <f>IF(OR(AA250="fail",AC250="fail"),"SKIP",IF(N250="","",IF(N250&gt;=90,"APPLY ASAP",IF(N250&gt;=80,"APPLY",IF(N250&gt;=70,"CONSIDER",IF(N250&gt;=60,"STRETCH","SKIP"))))))</f>
        <v/>
      </c>
      <c r="W250" s="2" t="n"/>
      <c r="X250" s="2" t="n"/>
      <c r="Y250" s="2" t="n"/>
      <c r="Z250" s="2" t="n"/>
    </row>
    <row r="251">
      <c r="A251" s="2" t="n"/>
      <c r="B251" s="2" t="n"/>
      <c r="C251" s="2" t="n"/>
      <c r="D251" s="2" t="n"/>
      <c r="E251" s="2" t="n"/>
      <c r="F251" s="2" t="n"/>
      <c r="G251" s="2" t="n"/>
      <c r="H251" s="2" t="n"/>
      <c r="I251" s="2" t="n"/>
      <c r="J251" s="2" t="n"/>
      <c r="K251" s="2" t="n"/>
      <c r="L251" s="2" t="n"/>
      <c r="M251" s="2" t="n"/>
      <c r="N251" s="2">
        <f>IF(COUNTA(O251:T251)&lt;6,"",ROUND(O251*0.3+P251*0.2+Q251*0.15+R251*0.15+S251*0.1+T251*0.1,0))</f>
        <v/>
      </c>
      <c r="O251" s="2" t="n"/>
      <c r="P251" s="2" t="n"/>
      <c r="Q251" s="2" t="n"/>
      <c r="R251" s="2" t="n"/>
      <c r="S251" s="2" t="n"/>
      <c r="T251" s="2" t="n"/>
      <c r="U251" s="2">
        <f>IF(OR(AA251="fail",AC251="fail"),"P4",IF(N251="","",IF(N251&gt;=90,"P1",IF(N251&gt;=80,"P1",IF(N251&gt;=70,"P2",IF(N251&gt;=60,"P3","P4"))))))</f>
        <v/>
      </c>
      <c r="V251" s="2">
        <f>IF(OR(AA251="fail",AC251="fail"),"SKIP",IF(N251="","",IF(N251&gt;=90,"APPLY ASAP",IF(N251&gt;=80,"APPLY",IF(N251&gt;=70,"CONSIDER",IF(N251&gt;=60,"STRETCH","SKIP"))))))</f>
        <v/>
      </c>
      <c r="W251" s="2" t="n"/>
      <c r="X251" s="2" t="n"/>
      <c r="Y251" s="2" t="n"/>
      <c r="Z251" s="2" t="n"/>
    </row>
    <row r="252">
      <c r="A252" s="2" t="n"/>
      <c r="B252" s="2" t="n"/>
      <c r="C252" s="2" t="n"/>
      <c r="D252" s="2" t="n"/>
      <c r="E252" s="2" t="n"/>
      <c r="F252" s="2" t="n"/>
      <c r="G252" s="2" t="n"/>
      <c r="H252" s="2" t="n"/>
      <c r="I252" s="2" t="n"/>
      <c r="J252" s="2" t="n"/>
      <c r="K252" s="2" t="n"/>
      <c r="L252" s="2" t="n"/>
      <c r="M252" s="2" t="n"/>
      <c r="N252" s="2">
        <f>IF(COUNTA(O252:T252)&lt;6,"",ROUND(O252*0.3+P252*0.2+Q252*0.15+R252*0.15+S252*0.1+T252*0.1,0))</f>
        <v/>
      </c>
      <c r="O252" s="2" t="n"/>
      <c r="P252" s="2" t="n"/>
      <c r="Q252" s="2" t="n"/>
      <c r="R252" s="2" t="n"/>
      <c r="S252" s="2" t="n"/>
      <c r="T252" s="2" t="n"/>
      <c r="U252" s="2">
        <f>IF(OR(AA252="fail",AC252="fail"),"P4",IF(N252="","",IF(N252&gt;=90,"P1",IF(N252&gt;=80,"P1",IF(N252&gt;=70,"P2",IF(N252&gt;=60,"P3","P4"))))))</f>
        <v/>
      </c>
      <c r="V252" s="2">
        <f>IF(OR(AA252="fail",AC252="fail"),"SKIP",IF(N252="","",IF(N252&gt;=90,"APPLY ASAP",IF(N252&gt;=80,"APPLY",IF(N252&gt;=70,"CONSIDER",IF(N252&gt;=60,"STRETCH","SKIP"))))))</f>
        <v/>
      </c>
      <c r="W252" s="2" t="n"/>
      <c r="X252" s="2" t="n"/>
      <c r="Y252" s="2" t="n"/>
      <c r="Z252" s="2" t="n"/>
    </row>
    <row r="253">
      <c r="A253" s="2" t="n"/>
      <c r="B253" s="2" t="n"/>
      <c r="C253" s="2" t="n"/>
      <c r="D253" s="2" t="n"/>
      <c r="E253" s="2" t="n"/>
      <c r="F253" s="2" t="n"/>
      <c r="G253" s="2" t="n"/>
      <c r="H253" s="2" t="n"/>
      <c r="I253" s="2" t="n"/>
      <c r="J253" s="2" t="n"/>
      <c r="K253" s="2" t="n"/>
      <c r="L253" s="2" t="n"/>
      <c r="M253" s="2" t="n"/>
      <c r="N253" s="2">
        <f>IF(COUNTA(O253:T253)&lt;6,"",ROUND(O253*0.3+P253*0.2+Q253*0.15+R253*0.15+S253*0.1+T253*0.1,0))</f>
        <v/>
      </c>
      <c r="O253" s="2" t="n"/>
      <c r="P253" s="2" t="n"/>
      <c r="Q253" s="2" t="n"/>
      <c r="R253" s="2" t="n"/>
      <c r="S253" s="2" t="n"/>
      <c r="T253" s="2" t="n"/>
      <c r="U253" s="2">
        <f>IF(OR(AA253="fail",AC253="fail"),"P4",IF(N253="","",IF(N253&gt;=90,"P1",IF(N253&gt;=80,"P1",IF(N253&gt;=70,"P2",IF(N253&gt;=60,"P3","P4"))))))</f>
        <v/>
      </c>
      <c r="V253" s="2">
        <f>IF(OR(AA253="fail",AC253="fail"),"SKIP",IF(N253="","",IF(N253&gt;=90,"APPLY ASAP",IF(N253&gt;=80,"APPLY",IF(N253&gt;=70,"CONSIDER",IF(N253&gt;=60,"STRETCH","SKIP"))))))</f>
        <v/>
      </c>
      <c r="W253" s="2" t="n"/>
      <c r="X253" s="2" t="n"/>
      <c r="Y253" s="2" t="n"/>
      <c r="Z253" s="2" t="n"/>
    </row>
    <row r="254">
      <c r="A254" s="2" t="n"/>
      <c r="B254" s="2" t="n"/>
      <c r="C254" s="2" t="n"/>
      <c r="D254" s="2" t="n"/>
      <c r="E254" s="2" t="n"/>
      <c r="F254" s="2" t="n"/>
      <c r="G254" s="2" t="n"/>
      <c r="H254" s="2" t="n"/>
      <c r="I254" s="2" t="n"/>
      <c r="J254" s="2" t="n"/>
      <c r="K254" s="2" t="n"/>
      <c r="L254" s="2" t="n"/>
      <c r="M254" s="2" t="n"/>
      <c r="N254" s="2">
        <f>IF(COUNTA(O254:T254)&lt;6,"",ROUND(O254*0.3+P254*0.2+Q254*0.15+R254*0.15+S254*0.1+T254*0.1,0))</f>
        <v/>
      </c>
      <c r="O254" s="2" t="n"/>
      <c r="P254" s="2" t="n"/>
      <c r="Q254" s="2" t="n"/>
      <c r="R254" s="2" t="n"/>
      <c r="S254" s="2" t="n"/>
      <c r="T254" s="2" t="n"/>
      <c r="U254" s="2">
        <f>IF(OR(AA254="fail",AC254="fail"),"P4",IF(N254="","",IF(N254&gt;=90,"P1",IF(N254&gt;=80,"P1",IF(N254&gt;=70,"P2",IF(N254&gt;=60,"P3","P4"))))))</f>
        <v/>
      </c>
      <c r="V254" s="2">
        <f>IF(OR(AA254="fail",AC254="fail"),"SKIP",IF(N254="","",IF(N254&gt;=90,"APPLY ASAP",IF(N254&gt;=80,"APPLY",IF(N254&gt;=70,"CONSIDER",IF(N254&gt;=60,"STRETCH","SKIP"))))))</f>
        <v/>
      </c>
      <c r="W254" s="2" t="n"/>
      <c r="X254" s="2" t="n"/>
      <c r="Y254" s="2" t="n"/>
      <c r="Z254" s="2" t="n"/>
    </row>
    <row r="255">
      <c r="A255" s="2" t="n"/>
      <c r="B255" s="2" t="n"/>
      <c r="C255" s="2" t="n"/>
      <c r="D255" s="2" t="n"/>
      <c r="E255" s="2" t="n"/>
      <c r="F255" s="2" t="n"/>
      <c r="G255" s="2" t="n"/>
      <c r="H255" s="2" t="n"/>
      <c r="I255" s="2" t="n"/>
      <c r="J255" s="2" t="n"/>
      <c r="K255" s="2" t="n"/>
      <c r="L255" s="2" t="n"/>
      <c r="M255" s="2" t="n"/>
      <c r="N255" s="2">
        <f>IF(COUNTA(O255:T255)&lt;6,"",ROUND(O255*0.3+P255*0.2+Q255*0.15+R255*0.15+S255*0.1+T255*0.1,0))</f>
        <v/>
      </c>
      <c r="O255" s="2" t="n"/>
      <c r="P255" s="2" t="n"/>
      <c r="Q255" s="2" t="n"/>
      <c r="R255" s="2" t="n"/>
      <c r="S255" s="2" t="n"/>
      <c r="T255" s="2" t="n"/>
      <c r="U255" s="2">
        <f>IF(OR(AA255="fail",AC255="fail"),"P4",IF(N255="","",IF(N255&gt;=90,"P1",IF(N255&gt;=80,"P1",IF(N255&gt;=70,"P2",IF(N255&gt;=60,"P3","P4"))))))</f>
        <v/>
      </c>
      <c r="V255" s="2">
        <f>IF(OR(AA255="fail",AC255="fail"),"SKIP",IF(N255="","",IF(N255&gt;=90,"APPLY ASAP",IF(N255&gt;=80,"APPLY",IF(N255&gt;=70,"CONSIDER",IF(N255&gt;=60,"STRETCH","SKIP"))))))</f>
        <v/>
      </c>
      <c r="W255" s="2" t="n"/>
      <c r="X255" s="2" t="n"/>
      <c r="Y255" s="2" t="n"/>
      <c r="Z255" s="2" t="n"/>
    </row>
    <row r="256">
      <c r="A256" s="2" t="n"/>
      <c r="B256" s="2" t="n"/>
      <c r="C256" s="2" t="n"/>
      <c r="D256" s="2" t="n"/>
      <c r="E256" s="2" t="n"/>
      <c r="F256" s="2" t="n"/>
      <c r="G256" s="2" t="n"/>
      <c r="H256" s="2" t="n"/>
      <c r="I256" s="2" t="n"/>
      <c r="J256" s="2" t="n"/>
      <c r="K256" s="2" t="n"/>
      <c r="L256" s="2" t="n"/>
      <c r="M256" s="2" t="n"/>
      <c r="N256" s="2">
        <f>IF(COUNTA(O256:T256)&lt;6,"",ROUND(O256*0.3+P256*0.2+Q256*0.15+R256*0.15+S256*0.1+T256*0.1,0))</f>
        <v/>
      </c>
      <c r="O256" s="2" t="n"/>
      <c r="P256" s="2" t="n"/>
      <c r="Q256" s="2" t="n"/>
      <c r="R256" s="2" t="n"/>
      <c r="S256" s="2" t="n"/>
      <c r="T256" s="2" t="n"/>
      <c r="U256" s="2">
        <f>IF(OR(AA256="fail",AC256="fail"),"P4",IF(N256="","",IF(N256&gt;=90,"P1",IF(N256&gt;=80,"P1",IF(N256&gt;=70,"P2",IF(N256&gt;=60,"P3","P4"))))))</f>
        <v/>
      </c>
      <c r="V256" s="2">
        <f>IF(OR(AA256="fail",AC256="fail"),"SKIP",IF(N256="","",IF(N256&gt;=90,"APPLY ASAP",IF(N256&gt;=80,"APPLY",IF(N256&gt;=70,"CONSIDER",IF(N256&gt;=60,"STRETCH","SKIP"))))))</f>
        <v/>
      </c>
      <c r="W256" s="2" t="n"/>
      <c r="X256" s="2" t="n"/>
      <c r="Y256" s="2" t="n"/>
      <c r="Z256" s="2" t="n"/>
    </row>
    <row r="257">
      <c r="A257" s="2" t="n"/>
      <c r="B257" s="2" t="n"/>
      <c r="C257" s="2" t="n"/>
      <c r="D257" s="2" t="n"/>
      <c r="E257" s="2" t="n"/>
      <c r="F257" s="2" t="n"/>
      <c r="G257" s="2" t="n"/>
      <c r="H257" s="2" t="n"/>
      <c r="I257" s="2" t="n"/>
      <c r="J257" s="2" t="n"/>
      <c r="K257" s="2" t="n"/>
      <c r="L257" s="2" t="n"/>
      <c r="M257" s="2" t="n"/>
      <c r="N257" s="2">
        <f>IF(COUNTA(O257:T257)&lt;6,"",ROUND(O257*0.3+P257*0.2+Q257*0.15+R257*0.15+S257*0.1+T257*0.1,0))</f>
        <v/>
      </c>
      <c r="O257" s="2" t="n"/>
      <c r="P257" s="2" t="n"/>
      <c r="Q257" s="2" t="n"/>
      <c r="R257" s="2" t="n"/>
      <c r="S257" s="2" t="n"/>
      <c r="T257" s="2" t="n"/>
      <c r="U257" s="2">
        <f>IF(OR(AA257="fail",AC257="fail"),"P4",IF(N257="","",IF(N257&gt;=90,"P1",IF(N257&gt;=80,"P1",IF(N257&gt;=70,"P2",IF(N257&gt;=60,"P3","P4"))))))</f>
        <v/>
      </c>
      <c r="V257" s="2">
        <f>IF(OR(AA257="fail",AC257="fail"),"SKIP",IF(N257="","",IF(N257&gt;=90,"APPLY ASAP",IF(N257&gt;=80,"APPLY",IF(N257&gt;=70,"CONSIDER",IF(N257&gt;=60,"STRETCH","SKIP"))))))</f>
        <v/>
      </c>
      <c r="W257" s="2" t="n"/>
      <c r="X257" s="2" t="n"/>
      <c r="Y257" s="2" t="n"/>
      <c r="Z257" s="2" t="n"/>
    </row>
    <row r="258">
      <c r="A258" s="2" t="n"/>
      <c r="B258" s="2" t="n"/>
      <c r="C258" s="2" t="n"/>
      <c r="D258" s="2" t="n"/>
      <c r="E258" s="2" t="n"/>
      <c r="F258" s="2" t="n"/>
      <c r="G258" s="2" t="n"/>
      <c r="H258" s="2" t="n"/>
      <c r="I258" s="2" t="n"/>
      <c r="J258" s="2" t="n"/>
      <c r="K258" s="2" t="n"/>
      <c r="L258" s="2" t="n"/>
      <c r="M258" s="2" t="n"/>
      <c r="N258" s="2">
        <f>IF(COUNTA(O258:T258)&lt;6,"",ROUND(O258*0.3+P258*0.2+Q258*0.15+R258*0.15+S258*0.1+T258*0.1,0))</f>
        <v/>
      </c>
      <c r="O258" s="2" t="n"/>
      <c r="P258" s="2" t="n"/>
      <c r="Q258" s="2" t="n"/>
      <c r="R258" s="2" t="n"/>
      <c r="S258" s="2" t="n"/>
      <c r="T258" s="2" t="n"/>
      <c r="U258" s="2">
        <f>IF(OR(AA258="fail",AC258="fail"),"P4",IF(N258="","",IF(N258&gt;=90,"P1",IF(N258&gt;=80,"P1",IF(N258&gt;=70,"P2",IF(N258&gt;=60,"P3","P4"))))))</f>
        <v/>
      </c>
      <c r="V258" s="2">
        <f>IF(OR(AA258="fail",AC258="fail"),"SKIP",IF(N258="","",IF(N258&gt;=90,"APPLY ASAP",IF(N258&gt;=80,"APPLY",IF(N258&gt;=70,"CONSIDER",IF(N258&gt;=60,"STRETCH","SKIP"))))))</f>
        <v/>
      </c>
      <c r="W258" s="2" t="n"/>
      <c r="X258" s="2" t="n"/>
      <c r="Y258" s="2" t="n"/>
      <c r="Z258" s="2" t="n"/>
    </row>
    <row r="259">
      <c r="A259" s="2" t="n"/>
      <c r="B259" s="2" t="n"/>
      <c r="C259" s="2" t="n"/>
      <c r="D259" s="2" t="n"/>
      <c r="E259" s="2" t="n"/>
      <c r="F259" s="2" t="n"/>
      <c r="G259" s="2" t="n"/>
      <c r="H259" s="2" t="n"/>
      <c r="I259" s="2" t="n"/>
      <c r="J259" s="2" t="n"/>
      <c r="K259" s="2" t="n"/>
      <c r="L259" s="2" t="n"/>
      <c r="M259" s="2" t="n"/>
      <c r="N259" s="2">
        <f>IF(COUNTA(O259:T259)&lt;6,"",ROUND(O259*0.3+P259*0.2+Q259*0.15+R259*0.15+S259*0.1+T259*0.1,0))</f>
        <v/>
      </c>
      <c r="O259" s="2" t="n"/>
      <c r="P259" s="2" t="n"/>
      <c r="Q259" s="2" t="n"/>
      <c r="R259" s="2" t="n"/>
      <c r="S259" s="2" t="n"/>
      <c r="T259" s="2" t="n"/>
      <c r="U259" s="2">
        <f>IF(OR(AA259="fail",AC259="fail"),"P4",IF(N259="","",IF(N259&gt;=90,"P1",IF(N259&gt;=80,"P1",IF(N259&gt;=70,"P2",IF(N259&gt;=60,"P3","P4"))))))</f>
        <v/>
      </c>
      <c r="V259" s="2">
        <f>IF(OR(AA259="fail",AC259="fail"),"SKIP",IF(N259="","",IF(N259&gt;=90,"APPLY ASAP",IF(N259&gt;=80,"APPLY",IF(N259&gt;=70,"CONSIDER",IF(N259&gt;=60,"STRETCH","SKIP"))))))</f>
        <v/>
      </c>
      <c r="W259" s="2" t="n"/>
      <c r="X259" s="2" t="n"/>
      <c r="Y259" s="2" t="n"/>
      <c r="Z259" s="2" t="n"/>
    </row>
    <row r="260">
      <c r="A260" s="2" t="n"/>
      <c r="B260" s="2" t="n"/>
      <c r="C260" s="2" t="n"/>
      <c r="D260" s="2" t="n"/>
      <c r="E260" s="2" t="n"/>
      <c r="F260" s="2" t="n"/>
      <c r="G260" s="2" t="n"/>
      <c r="H260" s="2" t="n"/>
      <c r="I260" s="2" t="n"/>
      <c r="J260" s="2" t="n"/>
      <c r="K260" s="2" t="n"/>
      <c r="L260" s="2" t="n"/>
      <c r="M260" s="2" t="n"/>
      <c r="N260" s="2">
        <f>IF(COUNTA(O260:T260)&lt;6,"",ROUND(O260*0.3+P260*0.2+Q260*0.15+R260*0.15+S260*0.1+T260*0.1,0))</f>
        <v/>
      </c>
      <c r="O260" s="2" t="n"/>
      <c r="P260" s="2" t="n"/>
      <c r="Q260" s="2" t="n"/>
      <c r="R260" s="2" t="n"/>
      <c r="S260" s="2" t="n"/>
      <c r="T260" s="2" t="n"/>
      <c r="U260" s="2">
        <f>IF(OR(AA260="fail",AC260="fail"),"P4",IF(N260="","",IF(N260&gt;=90,"P1",IF(N260&gt;=80,"P1",IF(N260&gt;=70,"P2",IF(N260&gt;=60,"P3","P4"))))))</f>
        <v/>
      </c>
      <c r="V260" s="2">
        <f>IF(OR(AA260="fail",AC260="fail"),"SKIP",IF(N260="","",IF(N260&gt;=90,"APPLY ASAP",IF(N260&gt;=80,"APPLY",IF(N260&gt;=70,"CONSIDER",IF(N260&gt;=60,"STRETCH","SKIP"))))))</f>
        <v/>
      </c>
      <c r="W260" s="2" t="n"/>
      <c r="X260" s="2" t="n"/>
      <c r="Y260" s="2" t="n"/>
      <c r="Z260" s="2" t="n"/>
    </row>
    <row r="261">
      <c r="A261" s="2" t="n"/>
      <c r="B261" s="2" t="n"/>
      <c r="C261" s="2" t="n"/>
      <c r="D261" s="2" t="n"/>
      <c r="E261" s="2" t="n"/>
      <c r="F261" s="2" t="n"/>
      <c r="G261" s="2" t="n"/>
      <c r="H261" s="2" t="n"/>
      <c r="I261" s="2" t="n"/>
      <c r="J261" s="2" t="n"/>
      <c r="K261" s="2" t="n"/>
      <c r="L261" s="2" t="n"/>
      <c r="M261" s="2" t="n"/>
      <c r="N261" s="2">
        <f>IF(COUNTA(O261:T261)&lt;6,"",ROUND(O261*0.3+P261*0.2+Q261*0.15+R261*0.15+S261*0.1+T261*0.1,0))</f>
        <v/>
      </c>
      <c r="O261" s="2" t="n"/>
      <c r="P261" s="2" t="n"/>
      <c r="Q261" s="2" t="n"/>
      <c r="R261" s="2" t="n"/>
      <c r="S261" s="2" t="n"/>
      <c r="T261" s="2" t="n"/>
      <c r="U261" s="2">
        <f>IF(OR(AA261="fail",AC261="fail"),"P4",IF(N261="","",IF(N261&gt;=90,"P1",IF(N261&gt;=80,"P1",IF(N261&gt;=70,"P2",IF(N261&gt;=60,"P3","P4"))))))</f>
        <v/>
      </c>
      <c r="V261" s="2">
        <f>IF(OR(AA261="fail",AC261="fail"),"SKIP",IF(N261="","",IF(N261&gt;=90,"APPLY ASAP",IF(N261&gt;=80,"APPLY",IF(N261&gt;=70,"CONSIDER",IF(N261&gt;=60,"STRETCH","SKIP"))))))</f>
        <v/>
      </c>
      <c r="W261" s="2" t="n"/>
      <c r="X261" s="2" t="n"/>
      <c r="Y261" s="2" t="n"/>
      <c r="Z261" s="2" t="n"/>
    </row>
    <row r="262">
      <c r="A262" s="2" t="n"/>
      <c r="B262" s="2" t="n"/>
      <c r="C262" s="2" t="n"/>
      <c r="D262" s="2" t="n"/>
      <c r="E262" s="2" t="n"/>
      <c r="F262" s="2" t="n"/>
      <c r="G262" s="2" t="n"/>
      <c r="H262" s="2" t="n"/>
      <c r="I262" s="2" t="n"/>
      <c r="J262" s="2" t="n"/>
      <c r="K262" s="2" t="n"/>
      <c r="L262" s="2" t="n"/>
      <c r="M262" s="2" t="n"/>
      <c r="N262" s="2">
        <f>IF(COUNTA(O262:T262)&lt;6,"",ROUND(O262*0.3+P262*0.2+Q262*0.15+R262*0.15+S262*0.1+T262*0.1,0))</f>
        <v/>
      </c>
      <c r="O262" s="2" t="n"/>
      <c r="P262" s="2" t="n"/>
      <c r="Q262" s="2" t="n"/>
      <c r="R262" s="2" t="n"/>
      <c r="S262" s="2" t="n"/>
      <c r="T262" s="2" t="n"/>
      <c r="U262" s="2">
        <f>IF(OR(AA262="fail",AC262="fail"),"P4",IF(N262="","",IF(N262&gt;=90,"P1",IF(N262&gt;=80,"P1",IF(N262&gt;=70,"P2",IF(N262&gt;=60,"P3","P4"))))))</f>
        <v/>
      </c>
      <c r="V262" s="2">
        <f>IF(OR(AA262="fail",AC262="fail"),"SKIP",IF(N262="","",IF(N262&gt;=90,"APPLY ASAP",IF(N262&gt;=80,"APPLY",IF(N262&gt;=70,"CONSIDER",IF(N262&gt;=60,"STRETCH","SKIP"))))))</f>
        <v/>
      </c>
      <c r="W262" s="2" t="n"/>
      <c r="X262" s="2" t="n"/>
      <c r="Y262" s="2" t="n"/>
      <c r="Z262" s="2" t="n"/>
    </row>
    <row r="263">
      <c r="A263" s="2" t="n"/>
      <c r="B263" s="2" t="n"/>
      <c r="C263" s="2" t="n"/>
      <c r="D263" s="2" t="n"/>
      <c r="E263" s="2" t="n"/>
      <c r="F263" s="2" t="n"/>
      <c r="G263" s="2" t="n"/>
      <c r="H263" s="2" t="n"/>
      <c r="I263" s="2" t="n"/>
      <c r="J263" s="2" t="n"/>
      <c r="K263" s="2" t="n"/>
      <c r="L263" s="2" t="n"/>
      <c r="M263" s="2" t="n"/>
      <c r="N263" s="2">
        <f>IF(COUNTA(O263:T263)&lt;6,"",ROUND(O263*0.3+P263*0.2+Q263*0.15+R263*0.15+S263*0.1+T263*0.1,0))</f>
        <v/>
      </c>
      <c r="O263" s="2" t="n"/>
      <c r="P263" s="2" t="n"/>
      <c r="Q263" s="2" t="n"/>
      <c r="R263" s="2" t="n"/>
      <c r="S263" s="2" t="n"/>
      <c r="T263" s="2" t="n"/>
      <c r="U263" s="2">
        <f>IF(OR(AA263="fail",AC263="fail"),"P4",IF(N263="","",IF(N263&gt;=90,"P1",IF(N263&gt;=80,"P1",IF(N263&gt;=70,"P2",IF(N263&gt;=60,"P3","P4"))))))</f>
        <v/>
      </c>
      <c r="V263" s="2">
        <f>IF(OR(AA263="fail",AC263="fail"),"SKIP",IF(N263="","",IF(N263&gt;=90,"APPLY ASAP",IF(N263&gt;=80,"APPLY",IF(N263&gt;=70,"CONSIDER",IF(N263&gt;=60,"STRETCH","SKIP"))))))</f>
        <v/>
      </c>
      <c r="W263" s="2" t="n"/>
      <c r="X263" s="2" t="n"/>
      <c r="Y263" s="2" t="n"/>
      <c r="Z263" s="2" t="n"/>
    </row>
    <row r="264">
      <c r="A264" s="2" t="n"/>
      <c r="B264" s="2" t="n"/>
      <c r="C264" s="2" t="n"/>
      <c r="D264" s="2" t="n"/>
      <c r="E264" s="2" t="n"/>
      <c r="F264" s="2" t="n"/>
      <c r="G264" s="2" t="n"/>
      <c r="H264" s="2" t="n"/>
      <c r="I264" s="2" t="n"/>
      <c r="J264" s="2" t="n"/>
      <c r="K264" s="2" t="n"/>
      <c r="L264" s="2" t="n"/>
      <c r="M264" s="2" t="n"/>
      <c r="N264" s="2">
        <f>IF(COUNTA(O264:T264)&lt;6,"",ROUND(O264*0.3+P264*0.2+Q264*0.15+R264*0.15+S264*0.1+T264*0.1,0))</f>
        <v/>
      </c>
      <c r="O264" s="2" t="n"/>
      <c r="P264" s="2" t="n"/>
      <c r="Q264" s="2" t="n"/>
      <c r="R264" s="2" t="n"/>
      <c r="S264" s="2" t="n"/>
      <c r="T264" s="2" t="n"/>
      <c r="U264" s="2">
        <f>IF(OR(AA264="fail",AC264="fail"),"P4",IF(N264="","",IF(N264&gt;=90,"P1",IF(N264&gt;=80,"P1",IF(N264&gt;=70,"P2",IF(N264&gt;=60,"P3","P4"))))))</f>
        <v/>
      </c>
      <c r="V264" s="2">
        <f>IF(OR(AA264="fail",AC264="fail"),"SKIP",IF(N264="","",IF(N264&gt;=90,"APPLY ASAP",IF(N264&gt;=80,"APPLY",IF(N264&gt;=70,"CONSIDER",IF(N264&gt;=60,"STRETCH","SKIP"))))))</f>
        <v/>
      </c>
      <c r="W264" s="2" t="n"/>
      <c r="X264" s="2" t="n"/>
      <c r="Y264" s="2" t="n"/>
      <c r="Z264" s="2" t="n"/>
    </row>
    <row r="265">
      <c r="A265" s="2" t="n"/>
      <c r="B265" s="2" t="n"/>
      <c r="C265" s="2" t="n"/>
      <c r="D265" s="2" t="n"/>
      <c r="E265" s="2" t="n"/>
      <c r="F265" s="2" t="n"/>
      <c r="G265" s="2" t="n"/>
      <c r="H265" s="2" t="n"/>
      <c r="I265" s="2" t="n"/>
      <c r="J265" s="2" t="n"/>
      <c r="K265" s="2" t="n"/>
      <c r="L265" s="2" t="n"/>
      <c r="M265" s="2" t="n"/>
      <c r="N265" s="2">
        <f>IF(COUNTA(O265:T265)&lt;6,"",ROUND(O265*0.3+P265*0.2+Q265*0.15+R265*0.15+S265*0.1+T265*0.1,0))</f>
        <v/>
      </c>
      <c r="O265" s="2" t="n"/>
      <c r="P265" s="2" t="n"/>
      <c r="Q265" s="2" t="n"/>
      <c r="R265" s="2" t="n"/>
      <c r="S265" s="2" t="n"/>
      <c r="T265" s="2" t="n"/>
      <c r="U265" s="2">
        <f>IF(OR(AA265="fail",AC265="fail"),"P4",IF(N265="","",IF(N265&gt;=90,"P1",IF(N265&gt;=80,"P1",IF(N265&gt;=70,"P2",IF(N265&gt;=60,"P3","P4"))))))</f>
        <v/>
      </c>
      <c r="V265" s="2">
        <f>IF(OR(AA265="fail",AC265="fail"),"SKIP",IF(N265="","",IF(N265&gt;=90,"APPLY ASAP",IF(N265&gt;=80,"APPLY",IF(N265&gt;=70,"CONSIDER",IF(N265&gt;=60,"STRETCH","SKIP"))))))</f>
        <v/>
      </c>
      <c r="W265" s="2" t="n"/>
      <c r="X265" s="2" t="n"/>
      <c r="Y265" s="2" t="n"/>
      <c r="Z265" s="2" t="n"/>
    </row>
    <row r="266">
      <c r="A266" s="2" t="n"/>
      <c r="B266" s="2" t="n"/>
      <c r="C266" s="2" t="n"/>
      <c r="D266" s="2" t="n"/>
      <c r="E266" s="2" t="n"/>
      <c r="F266" s="2" t="n"/>
      <c r="G266" s="2" t="n"/>
      <c r="H266" s="2" t="n"/>
      <c r="I266" s="2" t="n"/>
      <c r="J266" s="2" t="n"/>
      <c r="K266" s="2" t="n"/>
      <c r="L266" s="2" t="n"/>
      <c r="M266" s="2" t="n"/>
      <c r="N266" s="2">
        <f>IF(COUNTA(O266:T266)&lt;6,"",ROUND(O266*0.3+P266*0.2+Q266*0.15+R266*0.15+S266*0.1+T266*0.1,0))</f>
        <v/>
      </c>
      <c r="O266" s="2" t="n"/>
      <c r="P266" s="2" t="n"/>
      <c r="Q266" s="2" t="n"/>
      <c r="R266" s="2" t="n"/>
      <c r="S266" s="2" t="n"/>
      <c r="T266" s="2" t="n"/>
      <c r="U266" s="2">
        <f>IF(OR(AA266="fail",AC266="fail"),"P4",IF(N266="","",IF(N266&gt;=90,"P1",IF(N266&gt;=80,"P1",IF(N266&gt;=70,"P2",IF(N266&gt;=60,"P3","P4"))))))</f>
        <v/>
      </c>
      <c r="V266" s="2">
        <f>IF(OR(AA266="fail",AC266="fail"),"SKIP",IF(N266="","",IF(N266&gt;=90,"APPLY ASAP",IF(N266&gt;=80,"APPLY",IF(N266&gt;=70,"CONSIDER",IF(N266&gt;=60,"STRETCH","SKIP"))))))</f>
        <v/>
      </c>
      <c r="W266" s="2" t="n"/>
      <c r="X266" s="2" t="n"/>
      <c r="Y266" s="2" t="n"/>
      <c r="Z266" s="2" t="n"/>
    </row>
    <row r="267">
      <c r="A267" s="2" t="n"/>
      <c r="B267" s="2" t="n"/>
      <c r="C267" s="2" t="n"/>
      <c r="D267" s="2" t="n"/>
      <c r="E267" s="2" t="n"/>
      <c r="F267" s="2" t="n"/>
      <c r="G267" s="2" t="n"/>
      <c r="H267" s="2" t="n"/>
      <c r="I267" s="2" t="n"/>
      <c r="J267" s="2" t="n"/>
      <c r="K267" s="2" t="n"/>
      <c r="L267" s="2" t="n"/>
      <c r="M267" s="2" t="n"/>
      <c r="N267" s="2">
        <f>IF(COUNTA(O267:T267)&lt;6,"",ROUND(O267*0.3+P267*0.2+Q267*0.15+R267*0.15+S267*0.1+T267*0.1,0))</f>
        <v/>
      </c>
      <c r="O267" s="2" t="n"/>
      <c r="P267" s="2" t="n"/>
      <c r="Q267" s="2" t="n"/>
      <c r="R267" s="2" t="n"/>
      <c r="S267" s="2" t="n"/>
      <c r="T267" s="2" t="n"/>
      <c r="U267" s="2">
        <f>IF(OR(AA267="fail",AC267="fail"),"P4",IF(N267="","",IF(N267&gt;=90,"P1",IF(N267&gt;=80,"P1",IF(N267&gt;=70,"P2",IF(N267&gt;=60,"P3","P4"))))))</f>
        <v/>
      </c>
      <c r="V267" s="2">
        <f>IF(OR(AA267="fail",AC267="fail"),"SKIP",IF(N267="","",IF(N267&gt;=90,"APPLY ASAP",IF(N267&gt;=80,"APPLY",IF(N267&gt;=70,"CONSIDER",IF(N267&gt;=60,"STRETCH","SKIP"))))))</f>
        <v/>
      </c>
      <c r="W267" s="2" t="n"/>
      <c r="X267" s="2" t="n"/>
      <c r="Y267" s="2" t="n"/>
      <c r="Z267" s="2" t="n"/>
    </row>
    <row r="268">
      <c r="A268" s="2" t="n"/>
      <c r="B268" s="2" t="n"/>
      <c r="C268" s="2" t="n"/>
      <c r="D268" s="2" t="n"/>
      <c r="E268" s="2" t="n"/>
      <c r="F268" s="2" t="n"/>
      <c r="G268" s="2" t="n"/>
      <c r="H268" s="2" t="n"/>
      <c r="I268" s="2" t="n"/>
      <c r="J268" s="2" t="n"/>
      <c r="K268" s="2" t="n"/>
      <c r="L268" s="2" t="n"/>
      <c r="M268" s="2" t="n"/>
      <c r="N268" s="2">
        <f>IF(COUNTA(O268:T268)&lt;6,"",ROUND(O268*0.3+P268*0.2+Q268*0.15+R268*0.15+S268*0.1+T268*0.1,0))</f>
        <v/>
      </c>
      <c r="O268" s="2" t="n"/>
      <c r="P268" s="2" t="n"/>
      <c r="Q268" s="2" t="n"/>
      <c r="R268" s="2" t="n"/>
      <c r="S268" s="2" t="n"/>
      <c r="T268" s="2" t="n"/>
      <c r="U268" s="2">
        <f>IF(OR(AA268="fail",AC268="fail"),"P4",IF(N268="","",IF(N268&gt;=90,"P1",IF(N268&gt;=80,"P1",IF(N268&gt;=70,"P2",IF(N268&gt;=60,"P3","P4"))))))</f>
        <v/>
      </c>
      <c r="V268" s="2">
        <f>IF(OR(AA268="fail",AC268="fail"),"SKIP",IF(N268="","",IF(N268&gt;=90,"APPLY ASAP",IF(N268&gt;=80,"APPLY",IF(N268&gt;=70,"CONSIDER",IF(N268&gt;=60,"STRETCH","SKIP"))))))</f>
        <v/>
      </c>
      <c r="W268" s="2" t="n"/>
      <c r="X268" s="2" t="n"/>
      <c r="Y268" s="2" t="n"/>
      <c r="Z268" s="2" t="n"/>
    </row>
    <row r="269">
      <c r="A269" s="2" t="n"/>
      <c r="B269" s="2" t="n"/>
      <c r="C269" s="2" t="n"/>
      <c r="D269" s="2" t="n"/>
      <c r="E269" s="2" t="n"/>
      <c r="F269" s="2" t="n"/>
      <c r="G269" s="2" t="n"/>
      <c r="H269" s="2" t="n"/>
      <c r="I269" s="2" t="n"/>
      <c r="J269" s="2" t="n"/>
      <c r="K269" s="2" t="n"/>
      <c r="L269" s="2" t="n"/>
      <c r="M269" s="2" t="n"/>
      <c r="N269" s="2">
        <f>IF(COUNTA(O269:T269)&lt;6,"",ROUND(O269*0.3+P269*0.2+Q269*0.15+R269*0.15+S269*0.1+T269*0.1,0))</f>
        <v/>
      </c>
      <c r="O269" s="2" t="n"/>
      <c r="P269" s="2" t="n"/>
      <c r="Q269" s="2" t="n"/>
      <c r="R269" s="2" t="n"/>
      <c r="S269" s="2" t="n"/>
      <c r="T269" s="2" t="n"/>
      <c r="U269" s="2">
        <f>IF(OR(AA269="fail",AC269="fail"),"P4",IF(N269="","",IF(N269&gt;=90,"P1",IF(N269&gt;=80,"P1",IF(N269&gt;=70,"P2",IF(N269&gt;=60,"P3","P4"))))))</f>
        <v/>
      </c>
      <c r="V269" s="2">
        <f>IF(OR(AA269="fail",AC269="fail"),"SKIP",IF(N269="","",IF(N269&gt;=90,"APPLY ASAP",IF(N269&gt;=80,"APPLY",IF(N269&gt;=70,"CONSIDER",IF(N269&gt;=60,"STRETCH","SKIP"))))))</f>
        <v/>
      </c>
      <c r="W269" s="2" t="n"/>
      <c r="X269" s="2" t="n"/>
      <c r="Y269" s="2" t="n"/>
      <c r="Z269" s="2" t="n"/>
    </row>
    <row r="270">
      <c r="A270" s="2" t="n"/>
      <c r="B270" s="2" t="n"/>
      <c r="C270" s="2" t="n"/>
      <c r="D270" s="2" t="n"/>
      <c r="E270" s="2" t="n"/>
      <c r="F270" s="2" t="n"/>
      <c r="G270" s="2" t="n"/>
      <c r="H270" s="2" t="n"/>
      <c r="I270" s="2" t="n"/>
      <c r="J270" s="2" t="n"/>
      <c r="K270" s="2" t="n"/>
      <c r="L270" s="2" t="n"/>
      <c r="M270" s="2" t="n"/>
      <c r="N270" s="2">
        <f>IF(COUNTA(O270:T270)&lt;6,"",ROUND(O270*0.3+P270*0.2+Q270*0.15+R270*0.15+S270*0.1+T270*0.1,0))</f>
        <v/>
      </c>
      <c r="O270" s="2" t="n"/>
      <c r="P270" s="2" t="n"/>
      <c r="Q270" s="2" t="n"/>
      <c r="R270" s="2" t="n"/>
      <c r="S270" s="2" t="n"/>
      <c r="T270" s="2" t="n"/>
      <c r="U270" s="2">
        <f>IF(OR(AA270="fail",AC270="fail"),"P4",IF(N270="","",IF(N270&gt;=90,"P1",IF(N270&gt;=80,"P1",IF(N270&gt;=70,"P2",IF(N270&gt;=60,"P3","P4"))))))</f>
        <v/>
      </c>
      <c r="V270" s="2">
        <f>IF(OR(AA270="fail",AC270="fail"),"SKIP",IF(N270="","",IF(N270&gt;=90,"APPLY ASAP",IF(N270&gt;=80,"APPLY",IF(N270&gt;=70,"CONSIDER",IF(N270&gt;=60,"STRETCH","SKIP"))))))</f>
        <v/>
      </c>
      <c r="W270" s="2" t="n"/>
      <c r="X270" s="2" t="n"/>
      <c r="Y270" s="2" t="n"/>
      <c r="Z270" s="2" t="n"/>
    </row>
    <row r="271">
      <c r="A271" s="2" t="n"/>
      <c r="B271" s="2" t="n"/>
      <c r="C271" s="2" t="n"/>
      <c r="D271" s="2" t="n"/>
      <c r="E271" s="2" t="n"/>
      <c r="F271" s="2" t="n"/>
      <c r="G271" s="2" t="n"/>
      <c r="H271" s="2" t="n"/>
      <c r="I271" s="2" t="n"/>
      <c r="J271" s="2" t="n"/>
      <c r="K271" s="2" t="n"/>
      <c r="L271" s="2" t="n"/>
      <c r="M271" s="2" t="n"/>
      <c r="N271" s="2">
        <f>IF(COUNTA(O271:T271)&lt;6,"",ROUND(O271*0.3+P271*0.2+Q271*0.15+R271*0.15+S271*0.1+T271*0.1,0))</f>
        <v/>
      </c>
      <c r="O271" s="2" t="n"/>
      <c r="P271" s="2" t="n"/>
      <c r="Q271" s="2" t="n"/>
      <c r="R271" s="2" t="n"/>
      <c r="S271" s="2" t="n"/>
      <c r="T271" s="2" t="n"/>
      <c r="U271" s="2">
        <f>IF(OR(AA271="fail",AC271="fail"),"P4",IF(N271="","",IF(N271&gt;=90,"P1",IF(N271&gt;=80,"P1",IF(N271&gt;=70,"P2",IF(N271&gt;=60,"P3","P4"))))))</f>
        <v/>
      </c>
      <c r="V271" s="2">
        <f>IF(OR(AA271="fail",AC271="fail"),"SKIP",IF(N271="","",IF(N271&gt;=90,"APPLY ASAP",IF(N271&gt;=80,"APPLY",IF(N271&gt;=70,"CONSIDER",IF(N271&gt;=60,"STRETCH","SKIP"))))))</f>
        <v/>
      </c>
      <c r="W271" s="2" t="n"/>
      <c r="X271" s="2" t="n"/>
      <c r="Y271" s="2" t="n"/>
      <c r="Z271" s="2" t="n"/>
    </row>
    <row r="272">
      <c r="A272" s="2" t="n"/>
      <c r="B272" s="2" t="n"/>
      <c r="C272" s="2" t="n"/>
      <c r="D272" s="2" t="n"/>
      <c r="E272" s="2" t="n"/>
      <c r="F272" s="2" t="n"/>
      <c r="G272" s="2" t="n"/>
      <c r="H272" s="2" t="n"/>
      <c r="I272" s="2" t="n"/>
      <c r="J272" s="2" t="n"/>
      <c r="K272" s="2" t="n"/>
      <c r="L272" s="2" t="n"/>
      <c r="M272" s="2" t="n"/>
      <c r="N272" s="2">
        <f>IF(COUNTA(O272:T272)&lt;6,"",ROUND(O272*0.3+P272*0.2+Q272*0.15+R272*0.15+S272*0.1+T272*0.1,0))</f>
        <v/>
      </c>
      <c r="O272" s="2" t="n"/>
      <c r="P272" s="2" t="n"/>
      <c r="Q272" s="2" t="n"/>
      <c r="R272" s="2" t="n"/>
      <c r="S272" s="2" t="n"/>
      <c r="T272" s="2" t="n"/>
      <c r="U272" s="2">
        <f>IF(OR(AA272="fail",AC272="fail"),"P4",IF(N272="","",IF(N272&gt;=90,"P1",IF(N272&gt;=80,"P1",IF(N272&gt;=70,"P2",IF(N272&gt;=60,"P3","P4"))))))</f>
        <v/>
      </c>
      <c r="V272" s="2">
        <f>IF(OR(AA272="fail",AC272="fail"),"SKIP",IF(N272="","",IF(N272&gt;=90,"APPLY ASAP",IF(N272&gt;=80,"APPLY",IF(N272&gt;=70,"CONSIDER",IF(N272&gt;=60,"STRETCH","SKIP"))))))</f>
        <v/>
      </c>
      <c r="W272" s="2" t="n"/>
      <c r="X272" s="2" t="n"/>
      <c r="Y272" s="2" t="n"/>
      <c r="Z272" s="2" t="n"/>
    </row>
    <row r="273">
      <c r="A273" s="2" t="n"/>
      <c r="B273" s="2" t="n"/>
      <c r="C273" s="2" t="n"/>
      <c r="D273" s="2" t="n"/>
      <c r="E273" s="2" t="n"/>
      <c r="F273" s="2" t="n"/>
      <c r="G273" s="2" t="n"/>
      <c r="H273" s="2" t="n"/>
      <c r="I273" s="2" t="n"/>
      <c r="J273" s="2" t="n"/>
      <c r="K273" s="2" t="n"/>
      <c r="L273" s="2" t="n"/>
      <c r="M273" s="2" t="n"/>
      <c r="N273" s="2">
        <f>IF(COUNTA(O273:T273)&lt;6,"",ROUND(O273*0.3+P273*0.2+Q273*0.15+R273*0.15+S273*0.1+T273*0.1,0))</f>
        <v/>
      </c>
      <c r="O273" s="2" t="n"/>
      <c r="P273" s="2" t="n"/>
      <c r="Q273" s="2" t="n"/>
      <c r="R273" s="2" t="n"/>
      <c r="S273" s="2" t="n"/>
      <c r="T273" s="2" t="n"/>
      <c r="U273" s="2">
        <f>IF(OR(AA273="fail",AC273="fail"),"P4",IF(N273="","",IF(N273&gt;=90,"P1",IF(N273&gt;=80,"P1",IF(N273&gt;=70,"P2",IF(N273&gt;=60,"P3","P4"))))))</f>
        <v/>
      </c>
      <c r="V273" s="2">
        <f>IF(OR(AA273="fail",AC273="fail"),"SKIP",IF(N273="","",IF(N273&gt;=90,"APPLY ASAP",IF(N273&gt;=80,"APPLY",IF(N273&gt;=70,"CONSIDER",IF(N273&gt;=60,"STRETCH","SKIP"))))))</f>
        <v/>
      </c>
      <c r="W273" s="2" t="n"/>
      <c r="X273" s="2" t="n"/>
      <c r="Y273" s="2" t="n"/>
      <c r="Z273" s="2" t="n"/>
    </row>
    <row r="274">
      <c r="A274" s="2" t="n"/>
      <c r="B274" s="2" t="n"/>
      <c r="C274" s="2" t="n"/>
      <c r="D274" s="2" t="n"/>
      <c r="E274" s="2" t="n"/>
      <c r="F274" s="2" t="n"/>
      <c r="G274" s="2" t="n"/>
      <c r="H274" s="2" t="n"/>
      <c r="I274" s="2" t="n"/>
      <c r="J274" s="2" t="n"/>
      <c r="K274" s="2" t="n"/>
      <c r="L274" s="2" t="n"/>
      <c r="M274" s="2" t="n"/>
      <c r="N274" s="2">
        <f>IF(COUNTA(O274:T274)&lt;6,"",ROUND(O274*0.3+P274*0.2+Q274*0.15+R274*0.15+S274*0.1+T274*0.1,0))</f>
        <v/>
      </c>
      <c r="O274" s="2" t="n"/>
      <c r="P274" s="2" t="n"/>
      <c r="Q274" s="2" t="n"/>
      <c r="R274" s="2" t="n"/>
      <c r="S274" s="2" t="n"/>
      <c r="T274" s="2" t="n"/>
      <c r="U274" s="2">
        <f>IF(OR(AA274="fail",AC274="fail"),"P4",IF(N274="","",IF(N274&gt;=90,"P1",IF(N274&gt;=80,"P1",IF(N274&gt;=70,"P2",IF(N274&gt;=60,"P3","P4"))))))</f>
        <v/>
      </c>
      <c r="V274" s="2">
        <f>IF(OR(AA274="fail",AC274="fail"),"SKIP",IF(N274="","",IF(N274&gt;=90,"APPLY ASAP",IF(N274&gt;=80,"APPLY",IF(N274&gt;=70,"CONSIDER",IF(N274&gt;=60,"STRETCH","SKIP"))))))</f>
        <v/>
      </c>
      <c r="W274" s="2" t="n"/>
      <c r="X274" s="2" t="n"/>
      <c r="Y274" s="2" t="n"/>
      <c r="Z274" s="2" t="n"/>
    </row>
    <row r="275">
      <c r="A275" s="2" t="n"/>
      <c r="B275" s="2" t="n"/>
      <c r="C275" s="2" t="n"/>
      <c r="D275" s="2" t="n"/>
      <c r="E275" s="2" t="n"/>
      <c r="F275" s="2" t="n"/>
      <c r="G275" s="2" t="n"/>
      <c r="H275" s="2" t="n"/>
      <c r="I275" s="2" t="n"/>
      <c r="J275" s="2" t="n"/>
      <c r="K275" s="2" t="n"/>
      <c r="L275" s="2" t="n"/>
      <c r="M275" s="2" t="n"/>
      <c r="N275" s="2">
        <f>IF(COUNTA(O275:T275)&lt;6,"",ROUND(O275*0.3+P275*0.2+Q275*0.15+R275*0.15+S275*0.1+T275*0.1,0))</f>
        <v/>
      </c>
      <c r="O275" s="2" t="n"/>
      <c r="P275" s="2" t="n"/>
      <c r="Q275" s="2" t="n"/>
      <c r="R275" s="2" t="n"/>
      <c r="S275" s="2" t="n"/>
      <c r="T275" s="2" t="n"/>
      <c r="U275" s="2">
        <f>IF(OR(AA275="fail",AC275="fail"),"P4",IF(N275="","",IF(N275&gt;=90,"P1",IF(N275&gt;=80,"P1",IF(N275&gt;=70,"P2",IF(N275&gt;=60,"P3","P4"))))))</f>
        <v/>
      </c>
      <c r="V275" s="2">
        <f>IF(OR(AA275="fail",AC275="fail"),"SKIP",IF(N275="","",IF(N275&gt;=90,"APPLY ASAP",IF(N275&gt;=80,"APPLY",IF(N275&gt;=70,"CONSIDER",IF(N275&gt;=60,"STRETCH","SKIP"))))))</f>
        <v/>
      </c>
      <c r="W275" s="2" t="n"/>
      <c r="X275" s="2" t="n"/>
      <c r="Y275" s="2" t="n"/>
      <c r="Z275" s="2" t="n"/>
    </row>
    <row r="276">
      <c r="A276" s="2" t="n"/>
      <c r="B276" s="2" t="n"/>
      <c r="C276" s="2" t="n"/>
      <c r="D276" s="2" t="n"/>
      <c r="E276" s="2" t="n"/>
      <c r="F276" s="2" t="n"/>
      <c r="G276" s="2" t="n"/>
      <c r="H276" s="2" t="n"/>
      <c r="I276" s="2" t="n"/>
      <c r="J276" s="2" t="n"/>
      <c r="K276" s="2" t="n"/>
      <c r="L276" s="2" t="n"/>
      <c r="M276" s="2" t="n"/>
      <c r="N276" s="2">
        <f>IF(COUNTA(O276:T276)&lt;6,"",ROUND(O276*0.3+P276*0.2+Q276*0.15+R276*0.15+S276*0.1+T276*0.1,0))</f>
        <v/>
      </c>
      <c r="O276" s="2" t="n"/>
      <c r="P276" s="2" t="n"/>
      <c r="Q276" s="2" t="n"/>
      <c r="R276" s="2" t="n"/>
      <c r="S276" s="2" t="n"/>
      <c r="T276" s="2" t="n"/>
      <c r="U276" s="2">
        <f>IF(OR(AA276="fail",AC276="fail"),"P4",IF(N276="","",IF(N276&gt;=90,"P1",IF(N276&gt;=80,"P1",IF(N276&gt;=70,"P2",IF(N276&gt;=60,"P3","P4"))))))</f>
        <v/>
      </c>
      <c r="V276" s="2">
        <f>IF(OR(AA276="fail",AC276="fail"),"SKIP",IF(N276="","",IF(N276&gt;=90,"APPLY ASAP",IF(N276&gt;=80,"APPLY",IF(N276&gt;=70,"CONSIDER",IF(N276&gt;=60,"STRETCH","SKIP"))))))</f>
        <v/>
      </c>
      <c r="W276" s="2" t="n"/>
      <c r="X276" s="2" t="n"/>
      <c r="Y276" s="2" t="n"/>
      <c r="Z276" s="2" t="n"/>
    </row>
    <row r="277">
      <c r="A277" s="2" t="n"/>
      <c r="B277" s="2" t="n"/>
      <c r="C277" s="2" t="n"/>
      <c r="D277" s="2" t="n"/>
      <c r="E277" s="2" t="n"/>
      <c r="F277" s="2" t="n"/>
      <c r="G277" s="2" t="n"/>
      <c r="H277" s="2" t="n"/>
      <c r="I277" s="2" t="n"/>
      <c r="J277" s="2" t="n"/>
      <c r="K277" s="2" t="n"/>
      <c r="L277" s="2" t="n"/>
      <c r="M277" s="2" t="n"/>
      <c r="N277" s="2">
        <f>IF(COUNTA(O277:T277)&lt;6,"",ROUND(O277*0.3+P277*0.2+Q277*0.15+R277*0.15+S277*0.1+T277*0.1,0))</f>
        <v/>
      </c>
      <c r="O277" s="2" t="n"/>
      <c r="P277" s="2" t="n"/>
      <c r="Q277" s="2" t="n"/>
      <c r="R277" s="2" t="n"/>
      <c r="S277" s="2" t="n"/>
      <c r="T277" s="2" t="n"/>
      <c r="U277" s="2">
        <f>IF(OR(AA277="fail",AC277="fail"),"P4",IF(N277="","",IF(N277&gt;=90,"P1",IF(N277&gt;=80,"P1",IF(N277&gt;=70,"P2",IF(N277&gt;=60,"P3","P4"))))))</f>
        <v/>
      </c>
      <c r="V277" s="2">
        <f>IF(OR(AA277="fail",AC277="fail"),"SKIP",IF(N277="","",IF(N277&gt;=90,"APPLY ASAP",IF(N277&gt;=80,"APPLY",IF(N277&gt;=70,"CONSIDER",IF(N277&gt;=60,"STRETCH","SKIP"))))))</f>
        <v/>
      </c>
      <c r="W277" s="2" t="n"/>
      <c r="X277" s="2" t="n"/>
      <c r="Y277" s="2" t="n"/>
      <c r="Z277" s="2" t="n"/>
    </row>
    <row r="278">
      <c r="A278" s="2" t="n"/>
      <c r="B278" s="2" t="n"/>
      <c r="C278" s="2" t="n"/>
      <c r="D278" s="2" t="n"/>
      <c r="E278" s="2" t="n"/>
      <c r="F278" s="2" t="n"/>
      <c r="G278" s="2" t="n"/>
      <c r="H278" s="2" t="n"/>
      <c r="I278" s="2" t="n"/>
      <c r="J278" s="2" t="n"/>
      <c r="K278" s="2" t="n"/>
      <c r="L278" s="2" t="n"/>
      <c r="M278" s="2" t="n"/>
      <c r="N278" s="2">
        <f>IF(COUNTA(O278:T278)&lt;6,"",ROUND(O278*0.3+P278*0.2+Q278*0.15+R278*0.15+S278*0.1+T278*0.1,0))</f>
        <v/>
      </c>
      <c r="O278" s="2" t="n"/>
      <c r="P278" s="2" t="n"/>
      <c r="Q278" s="2" t="n"/>
      <c r="R278" s="2" t="n"/>
      <c r="S278" s="2" t="n"/>
      <c r="T278" s="2" t="n"/>
      <c r="U278" s="2">
        <f>IF(OR(AA278="fail",AC278="fail"),"P4",IF(N278="","",IF(N278&gt;=90,"P1",IF(N278&gt;=80,"P1",IF(N278&gt;=70,"P2",IF(N278&gt;=60,"P3","P4"))))))</f>
        <v/>
      </c>
      <c r="V278" s="2">
        <f>IF(OR(AA278="fail",AC278="fail"),"SKIP",IF(N278="","",IF(N278&gt;=90,"APPLY ASAP",IF(N278&gt;=80,"APPLY",IF(N278&gt;=70,"CONSIDER",IF(N278&gt;=60,"STRETCH","SKIP"))))))</f>
        <v/>
      </c>
      <c r="W278" s="2" t="n"/>
      <c r="X278" s="2" t="n"/>
      <c r="Y278" s="2" t="n"/>
      <c r="Z278" s="2" t="n"/>
    </row>
    <row r="279">
      <c r="A279" s="2" t="n"/>
      <c r="B279" s="2" t="n"/>
      <c r="C279" s="2" t="n"/>
      <c r="D279" s="2" t="n"/>
      <c r="E279" s="2" t="n"/>
      <c r="F279" s="2" t="n"/>
      <c r="G279" s="2" t="n"/>
      <c r="H279" s="2" t="n"/>
      <c r="I279" s="2" t="n"/>
      <c r="J279" s="2" t="n"/>
      <c r="K279" s="2" t="n"/>
      <c r="L279" s="2" t="n"/>
      <c r="M279" s="2" t="n"/>
      <c r="N279" s="2">
        <f>IF(COUNTA(O279:T279)&lt;6,"",ROUND(O279*0.3+P279*0.2+Q279*0.15+R279*0.15+S279*0.1+T279*0.1,0))</f>
        <v/>
      </c>
      <c r="O279" s="2" t="n"/>
      <c r="P279" s="2" t="n"/>
      <c r="Q279" s="2" t="n"/>
      <c r="R279" s="2" t="n"/>
      <c r="S279" s="2" t="n"/>
      <c r="T279" s="2" t="n"/>
      <c r="U279" s="2">
        <f>IF(OR(AA279="fail",AC279="fail"),"P4",IF(N279="","",IF(N279&gt;=90,"P1",IF(N279&gt;=80,"P1",IF(N279&gt;=70,"P2",IF(N279&gt;=60,"P3","P4"))))))</f>
        <v/>
      </c>
      <c r="V279" s="2">
        <f>IF(OR(AA279="fail",AC279="fail"),"SKIP",IF(N279="","",IF(N279&gt;=90,"APPLY ASAP",IF(N279&gt;=80,"APPLY",IF(N279&gt;=70,"CONSIDER",IF(N279&gt;=60,"STRETCH","SKIP"))))))</f>
        <v/>
      </c>
      <c r="W279" s="2" t="n"/>
      <c r="X279" s="2" t="n"/>
      <c r="Y279" s="2" t="n"/>
      <c r="Z279" s="2" t="n"/>
    </row>
    <row r="280">
      <c r="A280" s="2" t="n"/>
      <c r="B280" s="2" t="n"/>
      <c r="C280" s="2" t="n"/>
      <c r="D280" s="2" t="n"/>
      <c r="E280" s="2" t="n"/>
      <c r="F280" s="2" t="n"/>
      <c r="G280" s="2" t="n"/>
      <c r="H280" s="2" t="n"/>
      <c r="I280" s="2" t="n"/>
      <c r="J280" s="2" t="n"/>
      <c r="K280" s="2" t="n"/>
      <c r="L280" s="2" t="n"/>
      <c r="M280" s="2" t="n"/>
      <c r="N280" s="2">
        <f>IF(COUNTA(O280:T280)&lt;6,"",ROUND(O280*0.3+P280*0.2+Q280*0.15+R280*0.15+S280*0.1+T280*0.1,0))</f>
        <v/>
      </c>
      <c r="O280" s="2" t="n"/>
      <c r="P280" s="2" t="n"/>
      <c r="Q280" s="2" t="n"/>
      <c r="R280" s="2" t="n"/>
      <c r="S280" s="2" t="n"/>
      <c r="T280" s="2" t="n"/>
      <c r="U280" s="2">
        <f>IF(OR(AA280="fail",AC280="fail"),"P4",IF(N280="","",IF(N280&gt;=90,"P1",IF(N280&gt;=80,"P1",IF(N280&gt;=70,"P2",IF(N280&gt;=60,"P3","P4"))))))</f>
        <v/>
      </c>
      <c r="V280" s="2">
        <f>IF(OR(AA280="fail",AC280="fail"),"SKIP",IF(N280="","",IF(N280&gt;=90,"APPLY ASAP",IF(N280&gt;=80,"APPLY",IF(N280&gt;=70,"CONSIDER",IF(N280&gt;=60,"STRETCH","SKIP"))))))</f>
        <v/>
      </c>
      <c r="W280" s="2" t="n"/>
      <c r="X280" s="2" t="n"/>
      <c r="Y280" s="2" t="n"/>
      <c r="Z280" s="2" t="n"/>
    </row>
    <row r="281">
      <c r="A281" s="2" t="n"/>
      <c r="B281" s="2" t="n"/>
      <c r="C281" s="2" t="n"/>
      <c r="D281" s="2" t="n"/>
      <c r="E281" s="2" t="n"/>
      <c r="F281" s="2" t="n"/>
      <c r="G281" s="2" t="n"/>
      <c r="H281" s="2" t="n"/>
      <c r="I281" s="2" t="n"/>
      <c r="J281" s="2" t="n"/>
      <c r="K281" s="2" t="n"/>
      <c r="L281" s="2" t="n"/>
      <c r="M281" s="2" t="n"/>
      <c r="N281" s="2">
        <f>IF(COUNTA(O281:T281)&lt;6,"",ROUND(O281*0.3+P281*0.2+Q281*0.15+R281*0.15+S281*0.1+T281*0.1,0))</f>
        <v/>
      </c>
      <c r="O281" s="2" t="n"/>
      <c r="P281" s="2" t="n"/>
      <c r="Q281" s="2" t="n"/>
      <c r="R281" s="2" t="n"/>
      <c r="S281" s="2" t="n"/>
      <c r="T281" s="2" t="n"/>
      <c r="U281" s="2">
        <f>IF(OR(AA281="fail",AC281="fail"),"P4",IF(N281="","",IF(N281&gt;=90,"P1",IF(N281&gt;=80,"P1",IF(N281&gt;=70,"P2",IF(N281&gt;=60,"P3","P4"))))))</f>
        <v/>
      </c>
      <c r="V281" s="2">
        <f>IF(OR(AA281="fail",AC281="fail"),"SKIP",IF(N281="","",IF(N281&gt;=90,"APPLY ASAP",IF(N281&gt;=80,"APPLY",IF(N281&gt;=70,"CONSIDER",IF(N281&gt;=60,"STRETCH","SKIP"))))))</f>
        <v/>
      </c>
      <c r="W281" s="2" t="n"/>
      <c r="X281" s="2" t="n"/>
      <c r="Y281" s="2" t="n"/>
      <c r="Z281" s="2" t="n"/>
    </row>
    <row r="282">
      <c r="A282" s="2" t="n"/>
      <c r="B282" s="2" t="n"/>
      <c r="C282" s="2" t="n"/>
      <c r="D282" s="2" t="n"/>
      <c r="E282" s="2" t="n"/>
      <c r="F282" s="2" t="n"/>
      <c r="G282" s="2" t="n"/>
      <c r="H282" s="2" t="n"/>
      <c r="I282" s="2" t="n"/>
      <c r="J282" s="2" t="n"/>
      <c r="K282" s="2" t="n"/>
      <c r="L282" s="2" t="n"/>
      <c r="M282" s="2" t="n"/>
      <c r="N282" s="2">
        <f>IF(COUNTA(O282:T282)&lt;6,"",ROUND(O282*0.3+P282*0.2+Q282*0.15+R282*0.15+S282*0.1+T282*0.1,0))</f>
        <v/>
      </c>
      <c r="O282" s="2" t="n"/>
      <c r="P282" s="2" t="n"/>
      <c r="Q282" s="2" t="n"/>
      <c r="R282" s="2" t="n"/>
      <c r="S282" s="2" t="n"/>
      <c r="T282" s="2" t="n"/>
      <c r="U282" s="2">
        <f>IF(OR(AA282="fail",AC282="fail"),"P4",IF(N282="","",IF(N282&gt;=90,"P1",IF(N282&gt;=80,"P1",IF(N282&gt;=70,"P2",IF(N282&gt;=60,"P3","P4"))))))</f>
        <v/>
      </c>
      <c r="V282" s="2">
        <f>IF(OR(AA282="fail",AC282="fail"),"SKIP",IF(N282="","",IF(N282&gt;=90,"APPLY ASAP",IF(N282&gt;=80,"APPLY",IF(N282&gt;=70,"CONSIDER",IF(N282&gt;=60,"STRETCH","SKIP"))))))</f>
        <v/>
      </c>
      <c r="W282" s="2" t="n"/>
      <c r="X282" s="2" t="n"/>
      <c r="Y282" s="2" t="n"/>
      <c r="Z282" s="2" t="n"/>
    </row>
    <row r="283">
      <c r="A283" s="2" t="n"/>
      <c r="B283" s="2" t="n"/>
      <c r="C283" s="2" t="n"/>
      <c r="D283" s="2" t="n"/>
      <c r="E283" s="2" t="n"/>
      <c r="F283" s="2" t="n"/>
      <c r="G283" s="2" t="n"/>
      <c r="H283" s="2" t="n"/>
      <c r="I283" s="2" t="n"/>
      <c r="J283" s="2" t="n"/>
      <c r="K283" s="2" t="n"/>
      <c r="L283" s="2" t="n"/>
      <c r="M283" s="2" t="n"/>
      <c r="N283" s="2">
        <f>IF(COUNTA(O283:T283)&lt;6,"",ROUND(O283*0.3+P283*0.2+Q283*0.15+R283*0.15+S283*0.1+T283*0.1,0))</f>
        <v/>
      </c>
      <c r="O283" s="2" t="n"/>
      <c r="P283" s="2" t="n"/>
      <c r="Q283" s="2" t="n"/>
      <c r="R283" s="2" t="n"/>
      <c r="S283" s="2" t="n"/>
      <c r="T283" s="2" t="n"/>
      <c r="U283" s="2">
        <f>IF(OR(AA283="fail",AC283="fail"),"P4",IF(N283="","",IF(N283&gt;=90,"P1",IF(N283&gt;=80,"P1",IF(N283&gt;=70,"P2",IF(N283&gt;=60,"P3","P4"))))))</f>
        <v/>
      </c>
      <c r="V283" s="2">
        <f>IF(OR(AA283="fail",AC283="fail"),"SKIP",IF(N283="","",IF(N283&gt;=90,"APPLY ASAP",IF(N283&gt;=80,"APPLY",IF(N283&gt;=70,"CONSIDER",IF(N283&gt;=60,"STRETCH","SKIP"))))))</f>
        <v/>
      </c>
      <c r="W283" s="2" t="n"/>
      <c r="X283" s="2" t="n"/>
      <c r="Y283" s="2" t="n"/>
      <c r="Z283" s="2" t="n"/>
    </row>
    <row r="284">
      <c r="A284" s="2" t="n"/>
      <c r="B284" s="2" t="n"/>
      <c r="C284" s="2" t="n"/>
      <c r="D284" s="2" t="n"/>
      <c r="E284" s="2" t="n"/>
      <c r="F284" s="2" t="n"/>
      <c r="G284" s="2" t="n"/>
      <c r="H284" s="2" t="n"/>
      <c r="I284" s="2" t="n"/>
      <c r="J284" s="2" t="n"/>
      <c r="K284" s="2" t="n"/>
      <c r="L284" s="2" t="n"/>
      <c r="M284" s="2" t="n"/>
      <c r="N284" s="2">
        <f>IF(COUNTA(O284:T284)&lt;6,"",ROUND(O284*0.3+P284*0.2+Q284*0.15+R284*0.15+S284*0.1+T284*0.1,0))</f>
        <v/>
      </c>
      <c r="O284" s="2" t="n"/>
      <c r="P284" s="2" t="n"/>
      <c r="Q284" s="2" t="n"/>
      <c r="R284" s="2" t="n"/>
      <c r="S284" s="2" t="n"/>
      <c r="T284" s="2" t="n"/>
      <c r="U284" s="2">
        <f>IF(OR(AA284="fail",AC284="fail"),"P4",IF(N284="","",IF(N284&gt;=90,"P1",IF(N284&gt;=80,"P1",IF(N284&gt;=70,"P2",IF(N284&gt;=60,"P3","P4"))))))</f>
        <v/>
      </c>
      <c r="V284" s="2">
        <f>IF(OR(AA284="fail",AC284="fail"),"SKIP",IF(N284="","",IF(N284&gt;=90,"APPLY ASAP",IF(N284&gt;=80,"APPLY",IF(N284&gt;=70,"CONSIDER",IF(N284&gt;=60,"STRETCH","SKIP"))))))</f>
        <v/>
      </c>
      <c r="W284" s="2" t="n"/>
      <c r="X284" s="2" t="n"/>
      <c r="Y284" s="2" t="n"/>
      <c r="Z284" s="2" t="n"/>
    </row>
    <row r="285">
      <c r="A285" s="2" t="n"/>
      <c r="B285" s="2" t="n"/>
      <c r="C285" s="2" t="n"/>
      <c r="D285" s="2" t="n"/>
      <c r="E285" s="2" t="n"/>
      <c r="F285" s="2" t="n"/>
      <c r="G285" s="2" t="n"/>
      <c r="H285" s="2" t="n"/>
      <c r="I285" s="2" t="n"/>
      <c r="J285" s="2" t="n"/>
      <c r="K285" s="2" t="n"/>
      <c r="L285" s="2" t="n"/>
      <c r="M285" s="2" t="n"/>
      <c r="N285" s="2">
        <f>IF(COUNTA(O285:T285)&lt;6,"",ROUND(O285*0.3+P285*0.2+Q285*0.15+R285*0.15+S285*0.1+T285*0.1,0))</f>
        <v/>
      </c>
      <c r="O285" s="2" t="n"/>
      <c r="P285" s="2" t="n"/>
      <c r="Q285" s="2" t="n"/>
      <c r="R285" s="2" t="n"/>
      <c r="S285" s="2" t="n"/>
      <c r="T285" s="2" t="n"/>
      <c r="U285" s="2">
        <f>IF(OR(AA285="fail",AC285="fail"),"P4",IF(N285="","",IF(N285&gt;=90,"P1",IF(N285&gt;=80,"P1",IF(N285&gt;=70,"P2",IF(N285&gt;=60,"P3","P4"))))))</f>
        <v/>
      </c>
      <c r="V285" s="2">
        <f>IF(OR(AA285="fail",AC285="fail"),"SKIP",IF(N285="","",IF(N285&gt;=90,"APPLY ASAP",IF(N285&gt;=80,"APPLY",IF(N285&gt;=70,"CONSIDER",IF(N285&gt;=60,"STRETCH","SKIP"))))))</f>
        <v/>
      </c>
      <c r="W285" s="2" t="n"/>
      <c r="X285" s="2" t="n"/>
      <c r="Y285" s="2" t="n"/>
      <c r="Z285" s="2" t="n"/>
    </row>
    <row r="286">
      <c r="A286" s="2" t="n"/>
      <c r="B286" s="2" t="n"/>
      <c r="C286" s="2" t="n"/>
      <c r="D286" s="2" t="n"/>
      <c r="E286" s="2" t="n"/>
      <c r="F286" s="2" t="n"/>
      <c r="G286" s="2" t="n"/>
      <c r="H286" s="2" t="n"/>
      <c r="I286" s="2" t="n"/>
      <c r="J286" s="2" t="n"/>
      <c r="K286" s="2" t="n"/>
      <c r="L286" s="2" t="n"/>
      <c r="M286" s="2" t="n"/>
      <c r="N286" s="2">
        <f>IF(COUNTA(O286:T286)&lt;6,"",ROUND(O286*0.3+P286*0.2+Q286*0.15+R286*0.15+S286*0.1+T286*0.1,0))</f>
        <v/>
      </c>
      <c r="O286" s="2" t="n"/>
      <c r="P286" s="2" t="n"/>
      <c r="Q286" s="2" t="n"/>
      <c r="R286" s="2" t="n"/>
      <c r="S286" s="2" t="n"/>
      <c r="T286" s="2" t="n"/>
      <c r="U286" s="2">
        <f>IF(OR(AA286="fail",AC286="fail"),"P4",IF(N286="","",IF(N286&gt;=90,"P1",IF(N286&gt;=80,"P1",IF(N286&gt;=70,"P2",IF(N286&gt;=60,"P3","P4"))))))</f>
        <v/>
      </c>
      <c r="V286" s="2">
        <f>IF(OR(AA286="fail",AC286="fail"),"SKIP",IF(N286="","",IF(N286&gt;=90,"APPLY ASAP",IF(N286&gt;=80,"APPLY",IF(N286&gt;=70,"CONSIDER",IF(N286&gt;=60,"STRETCH","SKIP"))))))</f>
        <v/>
      </c>
      <c r="W286" s="2" t="n"/>
      <c r="X286" s="2" t="n"/>
      <c r="Y286" s="2" t="n"/>
      <c r="Z286" s="2" t="n"/>
    </row>
    <row r="287">
      <c r="A287" s="2" t="n"/>
      <c r="B287" s="2" t="n"/>
      <c r="C287" s="2" t="n"/>
      <c r="D287" s="2" t="n"/>
      <c r="E287" s="2" t="n"/>
      <c r="F287" s="2" t="n"/>
      <c r="G287" s="2" t="n"/>
      <c r="H287" s="2" t="n"/>
      <c r="I287" s="2" t="n"/>
      <c r="J287" s="2" t="n"/>
      <c r="K287" s="2" t="n"/>
      <c r="L287" s="2" t="n"/>
      <c r="M287" s="2" t="n"/>
      <c r="N287" s="2">
        <f>IF(COUNTA(O287:T287)&lt;6,"",ROUND(O287*0.3+P287*0.2+Q287*0.15+R287*0.15+S287*0.1+T287*0.1,0))</f>
        <v/>
      </c>
      <c r="O287" s="2" t="n"/>
      <c r="P287" s="2" t="n"/>
      <c r="Q287" s="2" t="n"/>
      <c r="R287" s="2" t="n"/>
      <c r="S287" s="2" t="n"/>
      <c r="T287" s="2" t="n"/>
      <c r="U287" s="2">
        <f>IF(OR(AA287="fail",AC287="fail"),"P4",IF(N287="","",IF(N287&gt;=90,"P1",IF(N287&gt;=80,"P1",IF(N287&gt;=70,"P2",IF(N287&gt;=60,"P3","P4"))))))</f>
        <v/>
      </c>
      <c r="V287" s="2">
        <f>IF(OR(AA287="fail",AC287="fail"),"SKIP",IF(N287="","",IF(N287&gt;=90,"APPLY ASAP",IF(N287&gt;=80,"APPLY",IF(N287&gt;=70,"CONSIDER",IF(N287&gt;=60,"STRETCH","SKIP"))))))</f>
        <v/>
      </c>
      <c r="W287" s="2" t="n"/>
      <c r="X287" s="2" t="n"/>
      <c r="Y287" s="2" t="n"/>
      <c r="Z287" s="2" t="n"/>
    </row>
    <row r="288">
      <c r="A288" s="2" t="n"/>
      <c r="B288" s="2" t="n"/>
      <c r="C288" s="2" t="n"/>
      <c r="D288" s="2" t="n"/>
      <c r="E288" s="2" t="n"/>
      <c r="F288" s="2" t="n"/>
      <c r="G288" s="2" t="n"/>
      <c r="H288" s="2" t="n"/>
      <c r="I288" s="2" t="n"/>
      <c r="J288" s="2" t="n"/>
      <c r="K288" s="2" t="n"/>
      <c r="L288" s="2" t="n"/>
      <c r="M288" s="2" t="n"/>
      <c r="N288" s="2">
        <f>IF(COUNTA(O288:T288)&lt;6,"",ROUND(O288*0.3+P288*0.2+Q288*0.15+R288*0.15+S288*0.1+T288*0.1,0))</f>
        <v/>
      </c>
      <c r="O288" s="2" t="n"/>
      <c r="P288" s="2" t="n"/>
      <c r="Q288" s="2" t="n"/>
      <c r="R288" s="2" t="n"/>
      <c r="S288" s="2" t="n"/>
      <c r="T288" s="2" t="n"/>
      <c r="U288" s="2">
        <f>IF(OR(AA288="fail",AC288="fail"),"P4",IF(N288="","",IF(N288&gt;=90,"P1",IF(N288&gt;=80,"P1",IF(N288&gt;=70,"P2",IF(N288&gt;=60,"P3","P4"))))))</f>
        <v/>
      </c>
      <c r="V288" s="2">
        <f>IF(OR(AA288="fail",AC288="fail"),"SKIP",IF(N288="","",IF(N288&gt;=90,"APPLY ASAP",IF(N288&gt;=80,"APPLY",IF(N288&gt;=70,"CONSIDER",IF(N288&gt;=60,"STRETCH","SKIP"))))))</f>
        <v/>
      </c>
      <c r="W288" s="2" t="n"/>
      <c r="X288" s="2" t="n"/>
      <c r="Y288" s="2" t="n"/>
      <c r="Z288" s="2" t="n"/>
    </row>
    <row r="289">
      <c r="A289" s="2" t="n"/>
      <c r="B289" s="2" t="n"/>
      <c r="C289" s="2" t="n"/>
      <c r="D289" s="2" t="n"/>
      <c r="E289" s="2" t="n"/>
      <c r="F289" s="2" t="n"/>
      <c r="G289" s="2" t="n"/>
      <c r="H289" s="2" t="n"/>
      <c r="I289" s="2" t="n"/>
      <c r="J289" s="2" t="n"/>
      <c r="K289" s="2" t="n"/>
      <c r="L289" s="2" t="n"/>
      <c r="M289" s="2" t="n"/>
      <c r="N289" s="2">
        <f>IF(COUNTA(O289:T289)&lt;6,"",ROUND(O289*0.3+P289*0.2+Q289*0.15+R289*0.15+S289*0.1+T289*0.1,0))</f>
        <v/>
      </c>
      <c r="O289" s="2" t="n"/>
      <c r="P289" s="2" t="n"/>
      <c r="Q289" s="2" t="n"/>
      <c r="R289" s="2" t="n"/>
      <c r="S289" s="2" t="n"/>
      <c r="T289" s="2" t="n"/>
      <c r="U289" s="2">
        <f>IF(OR(AA289="fail",AC289="fail"),"P4",IF(N289="","",IF(N289&gt;=90,"P1",IF(N289&gt;=80,"P1",IF(N289&gt;=70,"P2",IF(N289&gt;=60,"P3","P4"))))))</f>
        <v/>
      </c>
      <c r="V289" s="2">
        <f>IF(OR(AA289="fail",AC289="fail"),"SKIP",IF(N289="","",IF(N289&gt;=90,"APPLY ASAP",IF(N289&gt;=80,"APPLY",IF(N289&gt;=70,"CONSIDER",IF(N289&gt;=60,"STRETCH","SKIP"))))))</f>
        <v/>
      </c>
      <c r="W289" s="2" t="n"/>
      <c r="X289" s="2" t="n"/>
      <c r="Y289" s="2" t="n"/>
      <c r="Z289" s="2" t="n"/>
    </row>
    <row r="290">
      <c r="A290" s="2" t="n"/>
      <c r="B290" s="2" t="n"/>
      <c r="C290" s="2" t="n"/>
      <c r="D290" s="2" t="n"/>
      <c r="E290" s="2" t="n"/>
      <c r="F290" s="2" t="n"/>
      <c r="G290" s="2" t="n"/>
      <c r="H290" s="2" t="n"/>
      <c r="I290" s="2" t="n"/>
      <c r="J290" s="2" t="n"/>
      <c r="K290" s="2" t="n"/>
      <c r="L290" s="2" t="n"/>
      <c r="M290" s="2" t="n"/>
      <c r="N290" s="2">
        <f>IF(COUNTA(O290:T290)&lt;6,"",ROUND(O290*0.3+P290*0.2+Q290*0.15+R290*0.15+S290*0.1+T290*0.1,0))</f>
        <v/>
      </c>
      <c r="O290" s="2" t="n"/>
      <c r="P290" s="2" t="n"/>
      <c r="Q290" s="2" t="n"/>
      <c r="R290" s="2" t="n"/>
      <c r="S290" s="2" t="n"/>
      <c r="T290" s="2" t="n"/>
      <c r="U290" s="2">
        <f>IF(OR(AA290="fail",AC290="fail"),"P4",IF(N290="","",IF(N290&gt;=90,"P1",IF(N290&gt;=80,"P1",IF(N290&gt;=70,"P2",IF(N290&gt;=60,"P3","P4"))))))</f>
        <v/>
      </c>
      <c r="V290" s="2">
        <f>IF(OR(AA290="fail",AC290="fail"),"SKIP",IF(N290="","",IF(N290&gt;=90,"APPLY ASAP",IF(N290&gt;=80,"APPLY",IF(N290&gt;=70,"CONSIDER",IF(N290&gt;=60,"STRETCH","SKIP"))))))</f>
        <v/>
      </c>
      <c r="W290" s="2" t="n"/>
      <c r="X290" s="2" t="n"/>
      <c r="Y290" s="2" t="n"/>
      <c r="Z290" s="2" t="n"/>
    </row>
    <row r="291">
      <c r="A291" s="2" t="n"/>
      <c r="B291" s="2" t="n"/>
      <c r="C291" s="2" t="n"/>
      <c r="D291" s="2" t="n"/>
      <c r="E291" s="2" t="n"/>
      <c r="F291" s="2" t="n"/>
      <c r="G291" s="2" t="n"/>
      <c r="H291" s="2" t="n"/>
      <c r="I291" s="2" t="n"/>
      <c r="J291" s="2" t="n"/>
      <c r="K291" s="2" t="n"/>
      <c r="L291" s="2" t="n"/>
      <c r="M291" s="2" t="n"/>
      <c r="N291" s="2">
        <f>IF(COUNTA(O291:T291)&lt;6,"",ROUND(O291*0.3+P291*0.2+Q291*0.15+R291*0.15+S291*0.1+T291*0.1,0))</f>
        <v/>
      </c>
      <c r="O291" s="2" t="n"/>
      <c r="P291" s="2" t="n"/>
      <c r="Q291" s="2" t="n"/>
      <c r="R291" s="2" t="n"/>
      <c r="S291" s="2" t="n"/>
      <c r="T291" s="2" t="n"/>
      <c r="U291" s="2">
        <f>IF(OR(AA291="fail",AC291="fail"),"P4",IF(N291="","",IF(N291&gt;=90,"P1",IF(N291&gt;=80,"P1",IF(N291&gt;=70,"P2",IF(N291&gt;=60,"P3","P4"))))))</f>
        <v/>
      </c>
      <c r="V291" s="2">
        <f>IF(OR(AA291="fail",AC291="fail"),"SKIP",IF(N291="","",IF(N291&gt;=90,"APPLY ASAP",IF(N291&gt;=80,"APPLY",IF(N291&gt;=70,"CONSIDER",IF(N291&gt;=60,"STRETCH","SKIP"))))))</f>
        <v/>
      </c>
      <c r="W291" s="2" t="n"/>
      <c r="X291" s="2" t="n"/>
      <c r="Y291" s="2" t="n"/>
      <c r="Z291" s="2" t="n"/>
    </row>
    <row r="292">
      <c r="A292" s="2" t="n"/>
      <c r="B292" s="2" t="n"/>
      <c r="C292" s="2" t="n"/>
      <c r="D292" s="2" t="n"/>
      <c r="E292" s="2" t="n"/>
      <c r="F292" s="2" t="n"/>
      <c r="G292" s="2" t="n"/>
      <c r="H292" s="2" t="n"/>
      <c r="I292" s="2" t="n"/>
      <c r="J292" s="2" t="n"/>
      <c r="K292" s="2" t="n"/>
      <c r="L292" s="2" t="n"/>
      <c r="M292" s="2" t="n"/>
      <c r="N292" s="2">
        <f>IF(COUNTA(O292:T292)&lt;6,"",ROUND(O292*0.3+P292*0.2+Q292*0.15+R292*0.15+S292*0.1+T292*0.1,0))</f>
        <v/>
      </c>
      <c r="O292" s="2" t="n"/>
      <c r="P292" s="2" t="n"/>
      <c r="Q292" s="2" t="n"/>
      <c r="R292" s="2" t="n"/>
      <c r="S292" s="2" t="n"/>
      <c r="T292" s="2" t="n"/>
      <c r="U292" s="2">
        <f>IF(OR(AA292="fail",AC292="fail"),"P4",IF(N292="","",IF(N292&gt;=90,"P1",IF(N292&gt;=80,"P1",IF(N292&gt;=70,"P2",IF(N292&gt;=60,"P3","P4"))))))</f>
        <v/>
      </c>
      <c r="V292" s="2">
        <f>IF(OR(AA292="fail",AC292="fail"),"SKIP",IF(N292="","",IF(N292&gt;=90,"APPLY ASAP",IF(N292&gt;=80,"APPLY",IF(N292&gt;=70,"CONSIDER",IF(N292&gt;=60,"STRETCH","SKIP"))))))</f>
        <v/>
      </c>
      <c r="W292" s="2" t="n"/>
      <c r="X292" s="2" t="n"/>
      <c r="Y292" s="2" t="n"/>
      <c r="Z292" s="2" t="n"/>
    </row>
    <row r="293">
      <c r="A293" s="2" t="n"/>
      <c r="B293" s="2" t="n"/>
      <c r="C293" s="2" t="n"/>
      <c r="D293" s="2" t="n"/>
      <c r="E293" s="2" t="n"/>
      <c r="F293" s="2" t="n"/>
      <c r="G293" s="2" t="n"/>
      <c r="H293" s="2" t="n"/>
      <c r="I293" s="2" t="n"/>
      <c r="J293" s="2" t="n"/>
      <c r="K293" s="2" t="n"/>
      <c r="L293" s="2" t="n"/>
      <c r="M293" s="2" t="n"/>
      <c r="N293" s="2">
        <f>IF(COUNTA(O293:T293)&lt;6,"",ROUND(O293*0.3+P293*0.2+Q293*0.15+R293*0.15+S293*0.1+T293*0.1,0))</f>
        <v/>
      </c>
      <c r="O293" s="2" t="n"/>
      <c r="P293" s="2" t="n"/>
      <c r="Q293" s="2" t="n"/>
      <c r="R293" s="2" t="n"/>
      <c r="S293" s="2" t="n"/>
      <c r="T293" s="2" t="n"/>
      <c r="U293" s="2">
        <f>IF(OR(AA293="fail",AC293="fail"),"P4",IF(N293="","",IF(N293&gt;=90,"P1",IF(N293&gt;=80,"P1",IF(N293&gt;=70,"P2",IF(N293&gt;=60,"P3","P4"))))))</f>
        <v/>
      </c>
      <c r="V293" s="2">
        <f>IF(OR(AA293="fail",AC293="fail"),"SKIP",IF(N293="","",IF(N293&gt;=90,"APPLY ASAP",IF(N293&gt;=80,"APPLY",IF(N293&gt;=70,"CONSIDER",IF(N293&gt;=60,"STRETCH","SKIP"))))))</f>
        <v/>
      </c>
      <c r="W293" s="2" t="n"/>
      <c r="X293" s="2" t="n"/>
      <c r="Y293" s="2" t="n"/>
      <c r="Z293" s="2" t="n"/>
    </row>
    <row r="294">
      <c r="A294" s="2" t="n"/>
      <c r="B294" s="2" t="n"/>
      <c r="C294" s="2" t="n"/>
      <c r="D294" s="2" t="n"/>
      <c r="E294" s="2" t="n"/>
      <c r="F294" s="2" t="n"/>
      <c r="G294" s="2" t="n"/>
      <c r="H294" s="2" t="n"/>
      <c r="I294" s="2" t="n"/>
      <c r="J294" s="2" t="n"/>
      <c r="K294" s="2" t="n"/>
      <c r="L294" s="2" t="n"/>
      <c r="M294" s="2" t="n"/>
      <c r="N294" s="2">
        <f>IF(COUNTA(O294:T294)&lt;6,"",ROUND(O294*0.3+P294*0.2+Q294*0.15+R294*0.15+S294*0.1+T294*0.1,0))</f>
        <v/>
      </c>
      <c r="O294" s="2" t="n"/>
      <c r="P294" s="2" t="n"/>
      <c r="Q294" s="2" t="n"/>
      <c r="R294" s="2" t="n"/>
      <c r="S294" s="2" t="n"/>
      <c r="T294" s="2" t="n"/>
      <c r="U294" s="2">
        <f>IF(OR(AA294="fail",AC294="fail"),"P4",IF(N294="","",IF(N294&gt;=90,"P1",IF(N294&gt;=80,"P1",IF(N294&gt;=70,"P2",IF(N294&gt;=60,"P3","P4"))))))</f>
        <v/>
      </c>
      <c r="V294" s="2">
        <f>IF(OR(AA294="fail",AC294="fail"),"SKIP",IF(N294="","",IF(N294&gt;=90,"APPLY ASAP",IF(N294&gt;=80,"APPLY",IF(N294&gt;=70,"CONSIDER",IF(N294&gt;=60,"STRETCH","SKIP"))))))</f>
        <v/>
      </c>
      <c r="W294" s="2" t="n"/>
      <c r="X294" s="2" t="n"/>
      <c r="Y294" s="2" t="n"/>
      <c r="Z294" s="2" t="n"/>
    </row>
    <row r="295">
      <c r="A295" s="2" t="n"/>
      <c r="B295" s="2" t="n"/>
      <c r="C295" s="2" t="n"/>
      <c r="D295" s="2" t="n"/>
      <c r="E295" s="2" t="n"/>
      <c r="F295" s="2" t="n"/>
      <c r="G295" s="2" t="n"/>
      <c r="H295" s="2" t="n"/>
      <c r="I295" s="2" t="n"/>
      <c r="J295" s="2" t="n"/>
      <c r="K295" s="2" t="n"/>
      <c r="L295" s="2" t="n"/>
      <c r="M295" s="2" t="n"/>
      <c r="N295" s="2">
        <f>IF(COUNTA(O295:T295)&lt;6,"",ROUND(O295*0.3+P295*0.2+Q295*0.15+R295*0.15+S295*0.1+T295*0.1,0))</f>
        <v/>
      </c>
      <c r="O295" s="2" t="n"/>
      <c r="P295" s="2" t="n"/>
      <c r="Q295" s="2" t="n"/>
      <c r="R295" s="2" t="n"/>
      <c r="S295" s="2" t="n"/>
      <c r="T295" s="2" t="n"/>
      <c r="U295" s="2">
        <f>IF(OR(AA295="fail",AC295="fail"),"P4",IF(N295="","",IF(N295&gt;=90,"P1",IF(N295&gt;=80,"P1",IF(N295&gt;=70,"P2",IF(N295&gt;=60,"P3","P4"))))))</f>
        <v/>
      </c>
      <c r="V295" s="2">
        <f>IF(OR(AA295="fail",AC295="fail"),"SKIP",IF(N295="","",IF(N295&gt;=90,"APPLY ASAP",IF(N295&gt;=80,"APPLY",IF(N295&gt;=70,"CONSIDER",IF(N295&gt;=60,"STRETCH","SKIP"))))))</f>
        <v/>
      </c>
      <c r="W295" s="2" t="n"/>
      <c r="X295" s="2" t="n"/>
      <c r="Y295" s="2" t="n"/>
      <c r="Z295" s="2" t="n"/>
    </row>
    <row r="296">
      <c r="A296" s="2" t="n"/>
      <c r="B296" s="2" t="n"/>
      <c r="C296" s="2" t="n"/>
      <c r="D296" s="2" t="n"/>
      <c r="E296" s="2" t="n"/>
      <c r="F296" s="2" t="n"/>
      <c r="G296" s="2" t="n"/>
      <c r="H296" s="2" t="n"/>
      <c r="I296" s="2" t="n"/>
      <c r="J296" s="2" t="n"/>
      <c r="K296" s="2" t="n"/>
      <c r="L296" s="2" t="n"/>
      <c r="M296" s="2" t="n"/>
      <c r="N296" s="2">
        <f>IF(COUNTA(O296:T296)&lt;6,"",ROUND(O296*0.3+P296*0.2+Q296*0.15+R296*0.15+S296*0.1+T296*0.1,0))</f>
        <v/>
      </c>
      <c r="O296" s="2" t="n"/>
      <c r="P296" s="2" t="n"/>
      <c r="Q296" s="2" t="n"/>
      <c r="R296" s="2" t="n"/>
      <c r="S296" s="2" t="n"/>
      <c r="T296" s="2" t="n"/>
      <c r="U296" s="2">
        <f>IF(OR(AA296="fail",AC296="fail"),"P4",IF(N296="","",IF(N296&gt;=90,"P1",IF(N296&gt;=80,"P1",IF(N296&gt;=70,"P2",IF(N296&gt;=60,"P3","P4"))))))</f>
        <v/>
      </c>
      <c r="V296" s="2">
        <f>IF(OR(AA296="fail",AC296="fail"),"SKIP",IF(N296="","",IF(N296&gt;=90,"APPLY ASAP",IF(N296&gt;=80,"APPLY",IF(N296&gt;=70,"CONSIDER",IF(N296&gt;=60,"STRETCH","SKIP"))))))</f>
        <v/>
      </c>
      <c r="W296" s="2" t="n"/>
      <c r="X296" s="2" t="n"/>
      <c r="Y296" s="2" t="n"/>
      <c r="Z296" s="2" t="n"/>
    </row>
    <row r="297">
      <c r="A297" s="2" t="n"/>
      <c r="B297" s="2" t="n"/>
      <c r="C297" s="2" t="n"/>
      <c r="D297" s="2" t="n"/>
      <c r="E297" s="2" t="n"/>
      <c r="F297" s="2" t="n"/>
      <c r="G297" s="2" t="n"/>
      <c r="H297" s="2" t="n"/>
      <c r="I297" s="2" t="n"/>
      <c r="J297" s="2" t="n"/>
      <c r="K297" s="2" t="n"/>
      <c r="L297" s="2" t="n"/>
      <c r="M297" s="2" t="n"/>
      <c r="N297" s="2">
        <f>IF(COUNTA(O297:T297)&lt;6,"",ROUND(O297*0.3+P297*0.2+Q297*0.15+R297*0.15+S297*0.1+T297*0.1,0))</f>
        <v/>
      </c>
      <c r="O297" s="2" t="n"/>
      <c r="P297" s="2" t="n"/>
      <c r="Q297" s="2" t="n"/>
      <c r="R297" s="2" t="n"/>
      <c r="S297" s="2" t="n"/>
      <c r="T297" s="2" t="n"/>
      <c r="U297" s="2">
        <f>IF(OR(AA297="fail",AC297="fail"),"P4",IF(N297="","",IF(N297&gt;=90,"P1",IF(N297&gt;=80,"P1",IF(N297&gt;=70,"P2",IF(N297&gt;=60,"P3","P4"))))))</f>
        <v/>
      </c>
      <c r="V297" s="2">
        <f>IF(OR(AA297="fail",AC297="fail"),"SKIP",IF(N297="","",IF(N297&gt;=90,"APPLY ASAP",IF(N297&gt;=80,"APPLY",IF(N297&gt;=70,"CONSIDER",IF(N297&gt;=60,"STRETCH","SKIP"))))))</f>
        <v/>
      </c>
      <c r="W297" s="2" t="n"/>
      <c r="X297" s="2" t="n"/>
      <c r="Y297" s="2" t="n"/>
      <c r="Z297" s="2" t="n"/>
    </row>
    <row r="298">
      <c r="A298" s="2" t="n"/>
      <c r="B298" s="2" t="n"/>
      <c r="C298" s="2" t="n"/>
      <c r="D298" s="2" t="n"/>
      <c r="E298" s="2" t="n"/>
      <c r="F298" s="2" t="n"/>
      <c r="G298" s="2" t="n"/>
      <c r="H298" s="2" t="n"/>
      <c r="I298" s="2" t="n"/>
      <c r="J298" s="2" t="n"/>
      <c r="K298" s="2" t="n"/>
      <c r="L298" s="2" t="n"/>
      <c r="M298" s="2" t="n"/>
      <c r="N298" s="2">
        <f>IF(COUNTA(O298:T298)&lt;6,"",ROUND(O298*0.3+P298*0.2+Q298*0.15+R298*0.15+S298*0.1+T298*0.1,0))</f>
        <v/>
      </c>
      <c r="O298" s="2" t="n"/>
      <c r="P298" s="2" t="n"/>
      <c r="Q298" s="2" t="n"/>
      <c r="R298" s="2" t="n"/>
      <c r="S298" s="2" t="n"/>
      <c r="T298" s="2" t="n"/>
      <c r="U298" s="2">
        <f>IF(OR(AA298="fail",AC298="fail"),"P4",IF(N298="","",IF(N298&gt;=90,"P1",IF(N298&gt;=80,"P1",IF(N298&gt;=70,"P2",IF(N298&gt;=60,"P3","P4"))))))</f>
        <v/>
      </c>
      <c r="V298" s="2">
        <f>IF(OR(AA298="fail",AC298="fail"),"SKIP",IF(N298="","",IF(N298&gt;=90,"APPLY ASAP",IF(N298&gt;=80,"APPLY",IF(N298&gt;=70,"CONSIDER",IF(N298&gt;=60,"STRETCH","SKIP"))))))</f>
        <v/>
      </c>
      <c r="W298" s="2" t="n"/>
      <c r="X298" s="2" t="n"/>
      <c r="Y298" s="2" t="n"/>
      <c r="Z298" s="2" t="n"/>
    </row>
    <row r="299">
      <c r="A299" s="2" t="n"/>
      <c r="B299" s="2" t="n"/>
      <c r="C299" s="2" t="n"/>
      <c r="D299" s="2" t="n"/>
      <c r="E299" s="2" t="n"/>
      <c r="F299" s="2" t="n"/>
      <c r="G299" s="2" t="n"/>
      <c r="H299" s="2" t="n"/>
      <c r="I299" s="2" t="n"/>
      <c r="J299" s="2" t="n"/>
      <c r="K299" s="2" t="n"/>
      <c r="L299" s="2" t="n"/>
      <c r="M299" s="2" t="n"/>
      <c r="N299" s="2">
        <f>IF(COUNTA(O299:T299)&lt;6,"",ROUND(O299*0.3+P299*0.2+Q299*0.15+R299*0.15+S299*0.1+T299*0.1,0))</f>
        <v/>
      </c>
      <c r="O299" s="2" t="n"/>
      <c r="P299" s="2" t="n"/>
      <c r="Q299" s="2" t="n"/>
      <c r="R299" s="2" t="n"/>
      <c r="S299" s="2" t="n"/>
      <c r="T299" s="2" t="n"/>
      <c r="U299" s="2">
        <f>IF(OR(AA299="fail",AC299="fail"),"P4",IF(N299="","",IF(N299&gt;=90,"P1",IF(N299&gt;=80,"P1",IF(N299&gt;=70,"P2",IF(N299&gt;=60,"P3","P4"))))))</f>
        <v/>
      </c>
      <c r="V299" s="2">
        <f>IF(OR(AA299="fail",AC299="fail"),"SKIP",IF(N299="","",IF(N299&gt;=90,"APPLY ASAP",IF(N299&gt;=80,"APPLY",IF(N299&gt;=70,"CONSIDER",IF(N299&gt;=60,"STRETCH","SKIP"))))))</f>
        <v/>
      </c>
      <c r="W299" s="2" t="n"/>
      <c r="X299" s="2" t="n"/>
      <c r="Y299" s="2" t="n"/>
      <c r="Z299" s="2" t="n"/>
    </row>
    <row r="300">
      <c r="A300" s="2" t="n"/>
      <c r="B300" s="2" t="n"/>
      <c r="C300" s="2" t="n"/>
      <c r="D300" s="2" t="n"/>
      <c r="E300" s="2" t="n"/>
      <c r="F300" s="2" t="n"/>
      <c r="G300" s="2" t="n"/>
      <c r="H300" s="2" t="n"/>
      <c r="I300" s="2" t="n"/>
      <c r="J300" s="2" t="n"/>
      <c r="K300" s="2" t="n"/>
      <c r="L300" s="2" t="n"/>
      <c r="M300" s="2" t="n"/>
      <c r="N300" s="2">
        <f>IF(COUNTA(O300:T300)&lt;6,"",ROUND(O300*0.3+P300*0.2+Q300*0.15+R300*0.15+S300*0.1+T300*0.1,0))</f>
        <v/>
      </c>
      <c r="O300" s="2" t="n"/>
      <c r="P300" s="2" t="n"/>
      <c r="Q300" s="2" t="n"/>
      <c r="R300" s="2" t="n"/>
      <c r="S300" s="2" t="n"/>
      <c r="T300" s="2" t="n"/>
      <c r="U300" s="2">
        <f>IF(OR(AA300="fail",AC300="fail"),"P4",IF(N300="","",IF(N300&gt;=90,"P1",IF(N300&gt;=80,"P1",IF(N300&gt;=70,"P2",IF(N300&gt;=60,"P3","P4"))))))</f>
        <v/>
      </c>
      <c r="V300" s="2">
        <f>IF(OR(AA300="fail",AC300="fail"),"SKIP",IF(N300="","",IF(N300&gt;=90,"APPLY ASAP",IF(N300&gt;=80,"APPLY",IF(N300&gt;=70,"CONSIDER",IF(N300&gt;=60,"STRETCH","SKIP"))))))</f>
        <v/>
      </c>
      <c r="W300" s="2" t="n"/>
      <c r="X300" s="2" t="n"/>
      <c r="Y300" s="2" t="n"/>
      <c r="Z300" s="2" t="n"/>
    </row>
    <row r="301">
      <c r="A301" s="2" t="n"/>
      <c r="B301" s="2" t="n"/>
      <c r="C301" s="2" t="n"/>
      <c r="D301" s="2" t="n"/>
      <c r="E301" s="2" t="n"/>
      <c r="F301" s="2" t="n"/>
      <c r="G301" s="2" t="n"/>
      <c r="H301" s="2" t="n"/>
      <c r="I301" s="2" t="n"/>
      <c r="J301" s="2" t="n"/>
      <c r="K301" s="2" t="n"/>
      <c r="L301" s="2" t="n"/>
      <c r="M301" s="2" t="n"/>
      <c r="N301" s="2">
        <f>IF(COUNTA(O301:T301)&lt;6,"",ROUND(O301*0.3+P301*0.2+Q301*0.15+R301*0.15+S301*0.1+T301*0.1,0))</f>
        <v/>
      </c>
      <c r="O301" s="2" t="n"/>
      <c r="P301" s="2" t="n"/>
      <c r="Q301" s="2" t="n"/>
      <c r="R301" s="2" t="n"/>
      <c r="S301" s="2" t="n"/>
      <c r="T301" s="2" t="n"/>
      <c r="U301" s="2">
        <f>IF(OR(AA301="fail",AC301="fail"),"P4",IF(N301="","",IF(N301&gt;=90,"P1",IF(N301&gt;=80,"P1",IF(N301&gt;=70,"P2",IF(N301&gt;=60,"P3","P4"))))))</f>
        <v/>
      </c>
      <c r="V301" s="2">
        <f>IF(OR(AA301="fail",AC301="fail"),"SKIP",IF(N301="","",IF(N301&gt;=90,"APPLY ASAP",IF(N301&gt;=80,"APPLY",IF(N301&gt;=70,"CONSIDER",IF(N301&gt;=60,"STRETCH","SKIP"))))))</f>
        <v/>
      </c>
      <c r="W301" s="2" t="n"/>
      <c r="X301" s="2" t="n"/>
      <c r="Y301" s="2" t="n"/>
      <c r="Z301" s="2" t="n"/>
    </row>
    <row r="302">
      <c r="A302" s="2" t="n"/>
      <c r="B302" s="2" t="n"/>
      <c r="C302" s="2" t="n"/>
      <c r="D302" s="2" t="n"/>
      <c r="E302" s="2" t="n"/>
      <c r="F302" s="2" t="n"/>
      <c r="G302" s="2" t="n"/>
      <c r="H302" s="2" t="n"/>
      <c r="I302" s="2" t="n"/>
      <c r="J302" s="2" t="n"/>
      <c r="K302" s="2" t="n"/>
      <c r="L302" s="2" t="n"/>
      <c r="M302" s="2" t="n"/>
      <c r="N302" s="2">
        <f>IF(COUNTA(O302:T302)&lt;6,"",ROUND(O302*0.3+P302*0.2+Q302*0.15+R302*0.15+S302*0.1+T302*0.1,0))</f>
        <v/>
      </c>
      <c r="O302" s="2" t="n"/>
      <c r="P302" s="2" t="n"/>
      <c r="Q302" s="2" t="n"/>
      <c r="R302" s="2" t="n"/>
      <c r="S302" s="2" t="n"/>
      <c r="T302" s="2" t="n"/>
      <c r="U302" s="2">
        <f>IF(OR(AA302="fail",AC302="fail"),"P4",IF(N302="","",IF(N302&gt;=90,"P1",IF(N302&gt;=80,"P1",IF(N302&gt;=70,"P2",IF(N302&gt;=60,"P3","P4"))))))</f>
        <v/>
      </c>
      <c r="V302" s="2">
        <f>IF(OR(AA302="fail",AC302="fail"),"SKIP",IF(N302="","",IF(N302&gt;=90,"APPLY ASAP",IF(N302&gt;=80,"APPLY",IF(N302&gt;=70,"CONSIDER",IF(N302&gt;=60,"STRETCH","SKIP"))))))</f>
        <v/>
      </c>
      <c r="W302" s="2" t="n"/>
      <c r="X302" s="2" t="n"/>
      <c r="Y302" s="2" t="n"/>
      <c r="Z302" s="2" t="n"/>
    </row>
    <row r="303">
      <c r="A303" s="2" t="n"/>
      <c r="B303" s="2" t="n"/>
      <c r="C303" s="2" t="n"/>
      <c r="D303" s="2" t="n"/>
      <c r="E303" s="2" t="n"/>
      <c r="F303" s="2" t="n"/>
      <c r="G303" s="2" t="n"/>
      <c r="H303" s="2" t="n"/>
      <c r="I303" s="2" t="n"/>
      <c r="J303" s="2" t="n"/>
      <c r="K303" s="2" t="n"/>
      <c r="L303" s="2" t="n"/>
      <c r="M303" s="2" t="n"/>
      <c r="N303" s="2">
        <f>IF(COUNTA(O303:T303)&lt;6,"",ROUND(O303*0.3+P303*0.2+Q303*0.15+R303*0.15+S303*0.1+T303*0.1,0))</f>
        <v/>
      </c>
      <c r="O303" s="2" t="n"/>
      <c r="P303" s="2" t="n"/>
      <c r="Q303" s="2" t="n"/>
      <c r="R303" s="2" t="n"/>
      <c r="S303" s="2" t="n"/>
      <c r="T303" s="2" t="n"/>
      <c r="U303" s="2">
        <f>IF(OR(AA303="fail",AC303="fail"),"P4",IF(N303="","",IF(N303&gt;=90,"P1",IF(N303&gt;=80,"P1",IF(N303&gt;=70,"P2",IF(N303&gt;=60,"P3","P4"))))))</f>
        <v/>
      </c>
      <c r="V303" s="2">
        <f>IF(OR(AA303="fail",AC303="fail"),"SKIP",IF(N303="","",IF(N303&gt;=90,"APPLY ASAP",IF(N303&gt;=80,"APPLY",IF(N303&gt;=70,"CONSIDER",IF(N303&gt;=60,"STRETCH","SKIP"))))))</f>
        <v/>
      </c>
      <c r="W303" s="2" t="n"/>
      <c r="X303" s="2" t="n"/>
      <c r="Y303" s="2" t="n"/>
      <c r="Z303" s="2" t="n"/>
    </row>
    <row r="304">
      <c r="A304" s="2" t="n"/>
      <c r="B304" s="2" t="n"/>
      <c r="C304" s="2" t="n"/>
      <c r="D304" s="2" t="n"/>
      <c r="E304" s="2" t="n"/>
      <c r="F304" s="2" t="n"/>
      <c r="G304" s="2" t="n"/>
      <c r="H304" s="2" t="n"/>
      <c r="I304" s="2" t="n"/>
      <c r="J304" s="2" t="n"/>
      <c r="K304" s="2" t="n"/>
      <c r="L304" s="2" t="n"/>
      <c r="M304" s="2" t="n"/>
      <c r="N304" s="2">
        <f>IF(COUNTA(O304:T304)&lt;6,"",ROUND(O304*0.3+P304*0.2+Q304*0.15+R304*0.15+S304*0.1+T304*0.1,0))</f>
        <v/>
      </c>
      <c r="O304" s="2" t="n"/>
      <c r="P304" s="2" t="n"/>
      <c r="Q304" s="2" t="n"/>
      <c r="R304" s="2" t="n"/>
      <c r="S304" s="2" t="n"/>
      <c r="T304" s="2" t="n"/>
      <c r="U304" s="2">
        <f>IF(OR(AA304="fail",AC304="fail"),"P4",IF(N304="","",IF(N304&gt;=90,"P1",IF(N304&gt;=80,"P1",IF(N304&gt;=70,"P2",IF(N304&gt;=60,"P3","P4"))))))</f>
        <v/>
      </c>
      <c r="V304" s="2">
        <f>IF(OR(AA304="fail",AC304="fail"),"SKIP",IF(N304="","",IF(N304&gt;=90,"APPLY ASAP",IF(N304&gt;=80,"APPLY",IF(N304&gt;=70,"CONSIDER",IF(N304&gt;=60,"STRETCH","SKIP"))))))</f>
        <v/>
      </c>
      <c r="W304" s="2" t="n"/>
      <c r="X304" s="2" t="n"/>
      <c r="Y304" s="2" t="n"/>
      <c r="Z304" s="2" t="n"/>
    </row>
    <row r="305">
      <c r="A305" s="2" t="n"/>
      <c r="B305" s="2" t="n"/>
      <c r="C305" s="2" t="n"/>
      <c r="D305" s="2" t="n"/>
      <c r="E305" s="2" t="n"/>
      <c r="F305" s="2" t="n"/>
      <c r="G305" s="2" t="n"/>
      <c r="H305" s="2" t="n"/>
      <c r="I305" s="2" t="n"/>
      <c r="J305" s="2" t="n"/>
      <c r="K305" s="2" t="n"/>
      <c r="L305" s="2" t="n"/>
      <c r="M305" s="2" t="n"/>
      <c r="N305" s="2">
        <f>IF(COUNTA(O305:T305)&lt;6,"",ROUND(O305*0.3+P305*0.2+Q305*0.15+R305*0.15+S305*0.1+T305*0.1,0))</f>
        <v/>
      </c>
      <c r="O305" s="2" t="n"/>
      <c r="P305" s="2" t="n"/>
      <c r="Q305" s="2" t="n"/>
      <c r="R305" s="2" t="n"/>
      <c r="S305" s="2" t="n"/>
      <c r="T305" s="2" t="n"/>
      <c r="U305" s="2">
        <f>IF(OR(AA305="fail",AC305="fail"),"P4",IF(N305="","",IF(N305&gt;=90,"P1",IF(N305&gt;=80,"P1",IF(N305&gt;=70,"P2",IF(N305&gt;=60,"P3","P4"))))))</f>
        <v/>
      </c>
      <c r="V305" s="2">
        <f>IF(OR(AA305="fail",AC305="fail"),"SKIP",IF(N305="","",IF(N305&gt;=90,"APPLY ASAP",IF(N305&gt;=80,"APPLY",IF(N305&gt;=70,"CONSIDER",IF(N305&gt;=60,"STRETCH","SKIP"))))))</f>
        <v/>
      </c>
      <c r="W305" s="2" t="n"/>
      <c r="X305" s="2" t="n"/>
      <c r="Y305" s="2" t="n"/>
      <c r="Z305" s="2" t="n"/>
    </row>
    <row r="306">
      <c r="A306" s="2" t="n"/>
      <c r="B306" s="2" t="n"/>
      <c r="C306" s="2" t="n"/>
      <c r="D306" s="2" t="n"/>
      <c r="E306" s="2" t="n"/>
      <c r="F306" s="2" t="n"/>
      <c r="G306" s="2" t="n"/>
      <c r="H306" s="2" t="n"/>
      <c r="I306" s="2" t="n"/>
      <c r="J306" s="2" t="n"/>
      <c r="K306" s="2" t="n"/>
      <c r="L306" s="2" t="n"/>
      <c r="M306" s="2" t="n"/>
      <c r="N306" s="2">
        <f>IF(COUNTA(O306:T306)&lt;6,"",ROUND(O306*0.3+P306*0.2+Q306*0.15+R306*0.15+S306*0.1+T306*0.1,0))</f>
        <v/>
      </c>
      <c r="O306" s="2" t="n"/>
      <c r="P306" s="2" t="n"/>
      <c r="Q306" s="2" t="n"/>
      <c r="R306" s="2" t="n"/>
      <c r="S306" s="2" t="n"/>
      <c r="T306" s="2" t="n"/>
      <c r="U306" s="2">
        <f>IF(OR(AA306="fail",AC306="fail"),"P4",IF(N306="","",IF(N306&gt;=90,"P1",IF(N306&gt;=80,"P1",IF(N306&gt;=70,"P2",IF(N306&gt;=60,"P3","P4"))))))</f>
        <v/>
      </c>
      <c r="V306" s="2">
        <f>IF(OR(AA306="fail",AC306="fail"),"SKIP",IF(N306="","",IF(N306&gt;=90,"APPLY ASAP",IF(N306&gt;=80,"APPLY",IF(N306&gt;=70,"CONSIDER",IF(N306&gt;=60,"STRETCH","SKIP"))))))</f>
        <v/>
      </c>
      <c r="W306" s="2" t="n"/>
      <c r="X306" s="2" t="n"/>
      <c r="Y306" s="2" t="n"/>
      <c r="Z306" s="2" t="n"/>
    </row>
    <row r="307">
      <c r="A307" s="2" t="n"/>
      <c r="B307" s="2" t="n"/>
      <c r="C307" s="2" t="n"/>
      <c r="D307" s="2" t="n"/>
      <c r="E307" s="2" t="n"/>
      <c r="F307" s="2" t="n"/>
      <c r="G307" s="2" t="n"/>
      <c r="H307" s="2" t="n"/>
      <c r="I307" s="2" t="n"/>
      <c r="J307" s="2" t="n"/>
      <c r="K307" s="2" t="n"/>
      <c r="L307" s="2" t="n"/>
      <c r="M307" s="2" t="n"/>
      <c r="N307" s="2">
        <f>IF(COUNTA(O307:T307)&lt;6,"",ROUND(O307*0.3+P307*0.2+Q307*0.15+R307*0.15+S307*0.1+T307*0.1,0))</f>
        <v/>
      </c>
      <c r="O307" s="2" t="n"/>
      <c r="P307" s="2" t="n"/>
      <c r="Q307" s="2" t="n"/>
      <c r="R307" s="2" t="n"/>
      <c r="S307" s="2" t="n"/>
      <c r="T307" s="2" t="n"/>
      <c r="U307" s="2">
        <f>IF(OR(AA307="fail",AC307="fail"),"P4",IF(N307="","",IF(N307&gt;=90,"P1",IF(N307&gt;=80,"P1",IF(N307&gt;=70,"P2",IF(N307&gt;=60,"P3","P4"))))))</f>
        <v/>
      </c>
      <c r="V307" s="2">
        <f>IF(OR(AA307="fail",AC307="fail"),"SKIP",IF(N307="","",IF(N307&gt;=90,"APPLY ASAP",IF(N307&gt;=80,"APPLY",IF(N307&gt;=70,"CONSIDER",IF(N307&gt;=60,"STRETCH","SKIP"))))))</f>
        <v/>
      </c>
      <c r="W307" s="2" t="n"/>
      <c r="X307" s="2" t="n"/>
      <c r="Y307" s="2" t="n"/>
      <c r="Z307" s="2" t="n"/>
    </row>
    <row r="308">
      <c r="A308" s="2" t="n"/>
      <c r="B308" s="2" t="n"/>
      <c r="C308" s="2" t="n"/>
      <c r="D308" s="2" t="n"/>
      <c r="E308" s="2" t="n"/>
      <c r="F308" s="2" t="n"/>
      <c r="G308" s="2" t="n"/>
      <c r="H308" s="2" t="n"/>
      <c r="I308" s="2" t="n"/>
      <c r="J308" s="2" t="n"/>
      <c r="K308" s="2" t="n"/>
      <c r="L308" s="2" t="n"/>
      <c r="M308" s="2" t="n"/>
      <c r="N308" s="2">
        <f>IF(COUNTA(O308:T308)&lt;6,"",ROUND(O308*0.3+P308*0.2+Q308*0.15+R308*0.15+S308*0.1+T308*0.1,0))</f>
        <v/>
      </c>
      <c r="O308" s="2" t="n"/>
      <c r="P308" s="2" t="n"/>
      <c r="Q308" s="2" t="n"/>
      <c r="R308" s="2" t="n"/>
      <c r="S308" s="2" t="n"/>
      <c r="T308" s="2" t="n"/>
      <c r="U308" s="2">
        <f>IF(OR(AA308="fail",AC308="fail"),"P4",IF(N308="","",IF(N308&gt;=90,"P1",IF(N308&gt;=80,"P1",IF(N308&gt;=70,"P2",IF(N308&gt;=60,"P3","P4"))))))</f>
        <v/>
      </c>
      <c r="V308" s="2">
        <f>IF(OR(AA308="fail",AC308="fail"),"SKIP",IF(N308="","",IF(N308&gt;=90,"APPLY ASAP",IF(N308&gt;=80,"APPLY",IF(N308&gt;=70,"CONSIDER",IF(N308&gt;=60,"STRETCH","SKIP"))))))</f>
        <v/>
      </c>
      <c r="W308" s="2" t="n"/>
      <c r="X308" s="2" t="n"/>
      <c r="Y308" s="2" t="n"/>
      <c r="Z308" s="2" t="n"/>
    </row>
    <row r="309">
      <c r="A309" s="2" t="n"/>
      <c r="B309" s="2" t="n"/>
      <c r="C309" s="2" t="n"/>
      <c r="D309" s="2" t="n"/>
      <c r="E309" s="2" t="n"/>
      <c r="F309" s="2" t="n"/>
      <c r="G309" s="2" t="n"/>
      <c r="H309" s="2" t="n"/>
      <c r="I309" s="2" t="n"/>
      <c r="J309" s="2" t="n"/>
      <c r="K309" s="2" t="n"/>
      <c r="L309" s="2" t="n"/>
      <c r="M309" s="2" t="n"/>
      <c r="N309" s="2">
        <f>IF(COUNTA(O309:T309)&lt;6,"",ROUND(O309*0.3+P309*0.2+Q309*0.15+R309*0.15+S309*0.1+T309*0.1,0))</f>
        <v/>
      </c>
      <c r="O309" s="2" t="n"/>
      <c r="P309" s="2" t="n"/>
      <c r="Q309" s="2" t="n"/>
      <c r="R309" s="2" t="n"/>
      <c r="S309" s="2" t="n"/>
      <c r="T309" s="2" t="n"/>
      <c r="U309" s="2">
        <f>IF(OR(AA309="fail",AC309="fail"),"P4",IF(N309="","",IF(N309&gt;=90,"P1",IF(N309&gt;=80,"P1",IF(N309&gt;=70,"P2",IF(N309&gt;=60,"P3","P4"))))))</f>
        <v/>
      </c>
      <c r="V309" s="2">
        <f>IF(OR(AA309="fail",AC309="fail"),"SKIP",IF(N309="","",IF(N309&gt;=90,"APPLY ASAP",IF(N309&gt;=80,"APPLY",IF(N309&gt;=70,"CONSIDER",IF(N309&gt;=60,"STRETCH","SKIP"))))))</f>
        <v/>
      </c>
      <c r="W309" s="2" t="n"/>
      <c r="X309" s="2" t="n"/>
      <c r="Y309" s="2" t="n"/>
      <c r="Z309" s="2" t="n"/>
    </row>
    <row r="310">
      <c r="A310" s="2" t="n"/>
      <c r="B310" s="2" t="n"/>
      <c r="C310" s="2" t="n"/>
      <c r="D310" s="2" t="n"/>
      <c r="E310" s="2" t="n"/>
      <c r="F310" s="2" t="n"/>
      <c r="G310" s="2" t="n"/>
      <c r="H310" s="2" t="n"/>
      <c r="I310" s="2" t="n"/>
      <c r="J310" s="2" t="n"/>
      <c r="K310" s="2" t="n"/>
      <c r="L310" s="2" t="n"/>
      <c r="M310" s="2" t="n"/>
      <c r="N310" s="2">
        <f>IF(COUNTA(O310:T310)&lt;6,"",ROUND(O310*0.3+P310*0.2+Q310*0.15+R310*0.15+S310*0.1+T310*0.1,0))</f>
        <v/>
      </c>
      <c r="O310" s="2" t="n"/>
      <c r="P310" s="2" t="n"/>
      <c r="Q310" s="2" t="n"/>
      <c r="R310" s="2" t="n"/>
      <c r="S310" s="2" t="n"/>
      <c r="T310" s="2" t="n"/>
      <c r="U310" s="2">
        <f>IF(OR(AA310="fail",AC310="fail"),"P4",IF(N310="","",IF(N310&gt;=90,"P1",IF(N310&gt;=80,"P1",IF(N310&gt;=70,"P2",IF(N310&gt;=60,"P3","P4"))))))</f>
        <v/>
      </c>
      <c r="V310" s="2">
        <f>IF(OR(AA310="fail",AC310="fail"),"SKIP",IF(N310="","",IF(N310&gt;=90,"APPLY ASAP",IF(N310&gt;=80,"APPLY",IF(N310&gt;=70,"CONSIDER",IF(N310&gt;=60,"STRETCH","SKIP"))))))</f>
        <v/>
      </c>
      <c r="W310" s="2" t="n"/>
      <c r="X310" s="2" t="n"/>
      <c r="Y310" s="2" t="n"/>
      <c r="Z310" s="2" t="n"/>
    </row>
    <row r="311">
      <c r="A311" s="2" t="n"/>
      <c r="B311" s="2" t="n"/>
      <c r="C311" s="2" t="n"/>
      <c r="D311" s="2" t="n"/>
      <c r="E311" s="2" t="n"/>
      <c r="F311" s="2" t="n"/>
      <c r="G311" s="2" t="n"/>
      <c r="H311" s="2" t="n"/>
      <c r="I311" s="2" t="n"/>
      <c r="J311" s="2" t="n"/>
      <c r="K311" s="2" t="n"/>
      <c r="L311" s="2" t="n"/>
      <c r="M311" s="2" t="n"/>
      <c r="N311" s="2">
        <f>IF(COUNTA(O311:T311)&lt;6,"",ROUND(O311*0.3+P311*0.2+Q311*0.15+R311*0.15+S311*0.1+T311*0.1,0))</f>
        <v/>
      </c>
      <c r="O311" s="2" t="n"/>
      <c r="P311" s="2" t="n"/>
      <c r="Q311" s="2" t="n"/>
      <c r="R311" s="2" t="n"/>
      <c r="S311" s="2" t="n"/>
      <c r="T311" s="2" t="n"/>
      <c r="U311" s="2">
        <f>IF(OR(AA311="fail",AC311="fail"),"P4",IF(N311="","",IF(N311&gt;=90,"P1",IF(N311&gt;=80,"P1",IF(N311&gt;=70,"P2",IF(N311&gt;=60,"P3","P4"))))))</f>
        <v/>
      </c>
      <c r="V311" s="2">
        <f>IF(OR(AA311="fail",AC311="fail"),"SKIP",IF(N311="","",IF(N311&gt;=90,"APPLY ASAP",IF(N311&gt;=80,"APPLY",IF(N311&gt;=70,"CONSIDER",IF(N311&gt;=60,"STRETCH","SKIP"))))))</f>
        <v/>
      </c>
      <c r="W311" s="2" t="n"/>
      <c r="X311" s="2" t="n"/>
      <c r="Y311" s="2" t="n"/>
      <c r="Z311" s="2" t="n"/>
    </row>
    <row r="312">
      <c r="A312" s="2" t="n"/>
      <c r="B312" s="2" t="n"/>
      <c r="C312" s="2" t="n"/>
      <c r="D312" s="2" t="n"/>
      <c r="E312" s="2" t="n"/>
      <c r="F312" s="2" t="n"/>
      <c r="G312" s="2" t="n"/>
      <c r="H312" s="2" t="n"/>
      <c r="I312" s="2" t="n"/>
      <c r="J312" s="2" t="n"/>
      <c r="K312" s="2" t="n"/>
      <c r="L312" s="2" t="n"/>
      <c r="M312" s="2" t="n"/>
      <c r="N312" s="2">
        <f>IF(COUNTA(O312:T312)&lt;6,"",ROUND(O312*0.3+P312*0.2+Q312*0.15+R312*0.15+S312*0.1+T312*0.1,0))</f>
        <v/>
      </c>
      <c r="O312" s="2" t="n"/>
      <c r="P312" s="2" t="n"/>
      <c r="Q312" s="2" t="n"/>
      <c r="R312" s="2" t="n"/>
      <c r="S312" s="2" t="n"/>
      <c r="T312" s="2" t="n"/>
      <c r="U312" s="2">
        <f>IF(OR(AA312="fail",AC312="fail"),"P4",IF(N312="","",IF(N312&gt;=90,"P1",IF(N312&gt;=80,"P1",IF(N312&gt;=70,"P2",IF(N312&gt;=60,"P3","P4"))))))</f>
        <v/>
      </c>
      <c r="V312" s="2">
        <f>IF(OR(AA312="fail",AC312="fail"),"SKIP",IF(N312="","",IF(N312&gt;=90,"APPLY ASAP",IF(N312&gt;=80,"APPLY",IF(N312&gt;=70,"CONSIDER",IF(N312&gt;=60,"STRETCH","SKIP"))))))</f>
        <v/>
      </c>
      <c r="W312" s="2" t="n"/>
      <c r="X312" s="2" t="n"/>
      <c r="Y312" s="2" t="n"/>
      <c r="Z312" s="2" t="n"/>
    </row>
    <row r="313">
      <c r="A313" s="2" t="n"/>
      <c r="B313" s="2" t="n"/>
      <c r="C313" s="2" t="n"/>
      <c r="D313" s="2" t="n"/>
      <c r="E313" s="2" t="n"/>
      <c r="F313" s="2" t="n"/>
      <c r="G313" s="2" t="n"/>
      <c r="H313" s="2" t="n"/>
      <c r="I313" s="2" t="n"/>
      <c r="J313" s="2" t="n"/>
      <c r="K313" s="2" t="n"/>
      <c r="L313" s="2" t="n"/>
      <c r="M313" s="2" t="n"/>
      <c r="N313" s="2">
        <f>IF(COUNTA(O313:T313)&lt;6,"",ROUND(O313*0.3+P313*0.2+Q313*0.15+R313*0.15+S313*0.1+T313*0.1,0))</f>
        <v/>
      </c>
      <c r="O313" s="2" t="n"/>
      <c r="P313" s="2" t="n"/>
      <c r="Q313" s="2" t="n"/>
      <c r="R313" s="2" t="n"/>
      <c r="S313" s="2" t="n"/>
      <c r="T313" s="2" t="n"/>
      <c r="U313" s="2">
        <f>IF(OR(AA313="fail",AC313="fail"),"P4",IF(N313="","",IF(N313&gt;=90,"P1",IF(N313&gt;=80,"P1",IF(N313&gt;=70,"P2",IF(N313&gt;=60,"P3","P4"))))))</f>
        <v/>
      </c>
      <c r="V313" s="2">
        <f>IF(OR(AA313="fail",AC313="fail"),"SKIP",IF(N313="","",IF(N313&gt;=90,"APPLY ASAP",IF(N313&gt;=80,"APPLY",IF(N313&gt;=70,"CONSIDER",IF(N313&gt;=60,"STRETCH","SKIP"))))))</f>
        <v/>
      </c>
      <c r="W313" s="2" t="n"/>
      <c r="X313" s="2" t="n"/>
      <c r="Y313" s="2" t="n"/>
      <c r="Z313" s="2" t="n"/>
    </row>
    <row r="314">
      <c r="A314" s="2" t="n"/>
      <c r="B314" s="2" t="n"/>
      <c r="C314" s="2" t="n"/>
      <c r="D314" s="2" t="n"/>
      <c r="E314" s="2" t="n"/>
      <c r="F314" s="2" t="n"/>
      <c r="G314" s="2" t="n"/>
      <c r="H314" s="2" t="n"/>
      <c r="I314" s="2" t="n"/>
      <c r="J314" s="2" t="n"/>
      <c r="K314" s="2" t="n"/>
      <c r="L314" s="2" t="n"/>
      <c r="M314" s="2" t="n"/>
      <c r="N314" s="2">
        <f>IF(COUNTA(O314:T314)&lt;6,"",ROUND(O314*0.3+P314*0.2+Q314*0.15+R314*0.15+S314*0.1+T314*0.1,0))</f>
        <v/>
      </c>
      <c r="O314" s="2" t="n"/>
      <c r="P314" s="2" t="n"/>
      <c r="Q314" s="2" t="n"/>
      <c r="R314" s="2" t="n"/>
      <c r="S314" s="2" t="n"/>
      <c r="T314" s="2" t="n"/>
      <c r="U314" s="2">
        <f>IF(OR(AA314="fail",AC314="fail"),"P4",IF(N314="","",IF(N314&gt;=90,"P1",IF(N314&gt;=80,"P1",IF(N314&gt;=70,"P2",IF(N314&gt;=60,"P3","P4"))))))</f>
        <v/>
      </c>
      <c r="V314" s="2">
        <f>IF(OR(AA314="fail",AC314="fail"),"SKIP",IF(N314="","",IF(N314&gt;=90,"APPLY ASAP",IF(N314&gt;=80,"APPLY",IF(N314&gt;=70,"CONSIDER",IF(N314&gt;=60,"STRETCH","SKIP"))))))</f>
        <v/>
      </c>
      <c r="W314" s="2" t="n"/>
      <c r="X314" s="2" t="n"/>
      <c r="Y314" s="2" t="n"/>
      <c r="Z314" s="2" t="n"/>
    </row>
    <row r="315">
      <c r="A315" s="2" t="n"/>
      <c r="B315" s="2" t="n"/>
      <c r="C315" s="2" t="n"/>
      <c r="D315" s="2" t="n"/>
      <c r="E315" s="2" t="n"/>
      <c r="F315" s="2" t="n"/>
      <c r="G315" s="2" t="n"/>
      <c r="H315" s="2" t="n"/>
      <c r="I315" s="2" t="n"/>
      <c r="J315" s="2" t="n"/>
      <c r="K315" s="2" t="n"/>
      <c r="L315" s="2" t="n"/>
      <c r="M315" s="2" t="n"/>
      <c r="N315" s="2">
        <f>IF(COUNTA(O315:T315)&lt;6,"",ROUND(O315*0.3+P315*0.2+Q315*0.15+R315*0.15+S315*0.1+T315*0.1,0))</f>
        <v/>
      </c>
      <c r="O315" s="2" t="n"/>
      <c r="P315" s="2" t="n"/>
      <c r="Q315" s="2" t="n"/>
      <c r="R315" s="2" t="n"/>
      <c r="S315" s="2" t="n"/>
      <c r="T315" s="2" t="n"/>
      <c r="U315" s="2">
        <f>IF(OR(AA315="fail",AC315="fail"),"P4",IF(N315="","",IF(N315&gt;=90,"P1",IF(N315&gt;=80,"P1",IF(N315&gt;=70,"P2",IF(N315&gt;=60,"P3","P4"))))))</f>
        <v/>
      </c>
      <c r="V315" s="2">
        <f>IF(OR(AA315="fail",AC315="fail"),"SKIP",IF(N315="","",IF(N315&gt;=90,"APPLY ASAP",IF(N315&gt;=80,"APPLY",IF(N315&gt;=70,"CONSIDER",IF(N315&gt;=60,"STRETCH","SKIP"))))))</f>
        <v/>
      </c>
      <c r="W315" s="2" t="n"/>
      <c r="X315" s="2" t="n"/>
      <c r="Y315" s="2" t="n"/>
      <c r="Z315" s="2" t="n"/>
    </row>
    <row r="316">
      <c r="A316" s="2" t="n"/>
      <c r="B316" s="2" t="n"/>
      <c r="C316" s="2" t="n"/>
      <c r="D316" s="2" t="n"/>
      <c r="E316" s="2" t="n"/>
      <c r="F316" s="2" t="n"/>
      <c r="G316" s="2" t="n"/>
      <c r="H316" s="2" t="n"/>
      <c r="I316" s="2" t="n"/>
      <c r="J316" s="2" t="n"/>
      <c r="K316" s="2" t="n"/>
      <c r="L316" s="2" t="n"/>
      <c r="M316" s="2" t="n"/>
      <c r="N316" s="2">
        <f>IF(COUNTA(O316:T316)&lt;6,"",ROUND(O316*0.3+P316*0.2+Q316*0.15+R316*0.15+S316*0.1+T316*0.1,0))</f>
        <v/>
      </c>
      <c r="O316" s="2" t="n"/>
      <c r="P316" s="2" t="n"/>
      <c r="Q316" s="2" t="n"/>
      <c r="R316" s="2" t="n"/>
      <c r="S316" s="2" t="n"/>
      <c r="T316" s="2" t="n"/>
      <c r="U316" s="2">
        <f>IF(OR(AA316="fail",AC316="fail"),"P4",IF(N316="","",IF(N316&gt;=90,"P1",IF(N316&gt;=80,"P1",IF(N316&gt;=70,"P2",IF(N316&gt;=60,"P3","P4"))))))</f>
        <v/>
      </c>
      <c r="V316" s="2">
        <f>IF(OR(AA316="fail",AC316="fail"),"SKIP",IF(N316="","",IF(N316&gt;=90,"APPLY ASAP",IF(N316&gt;=80,"APPLY",IF(N316&gt;=70,"CONSIDER",IF(N316&gt;=60,"STRETCH","SKIP"))))))</f>
        <v/>
      </c>
      <c r="W316" s="2" t="n"/>
      <c r="X316" s="2" t="n"/>
      <c r="Y316" s="2" t="n"/>
      <c r="Z316" s="2" t="n"/>
    </row>
    <row r="317">
      <c r="A317" s="2" t="n"/>
      <c r="B317" s="2" t="n"/>
      <c r="C317" s="2" t="n"/>
      <c r="D317" s="2" t="n"/>
      <c r="E317" s="2" t="n"/>
      <c r="F317" s="2" t="n"/>
      <c r="G317" s="2" t="n"/>
      <c r="H317" s="2" t="n"/>
      <c r="I317" s="2" t="n"/>
      <c r="J317" s="2" t="n"/>
      <c r="K317" s="2" t="n"/>
      <c r="L317" s="2" t="n"/>
      <c r="M317" s="2" t="n"/>
      <c r="N317" s="2">
        <f>IF(COUNTA(O317:T317)&lt;6,"",ROUND(O317*0.3+P317*0.2+Q317*0.15+R317*0.15+S317*0.1+T317*0.1,0))</f>
        <v/>
      </c>
      <c r="O317" s="2" t="n"/>
      <c r="P317" s="2" t="n"/>
      <c r="Q317" s="2" t="n"/>
      <c r="R317" s="2" t="n"/>
      <c r="S317" s="2" t="n"/>
      <c r="T317" s="2" t="n"/>
      <c r="U317" s="2">
        <f>IF(OR(AA317="fail",AC317="fail"),"P4",IF(N317="","",IF(N317&gt;=90,"P1",IF(N317&gt;=80,"P1",IF(N317&gt;=70,"P2",IF(N317&gt;=60,"P3","P4"))))))</f>
        <v/>
      </c>
      <c r="V317" s="2">
        <f>IF(OR(AA317="fail",AC317="fail"),"SKIP",IF(N317="","",IF(N317&gt;=90,"APPLY ASAP",IF(N317&gt;=80,"APPLY",IF(N317&gt;=70,"CONSIDER",IF(N317&gt;=60,"STRETCH","SKIP"))))))</f>
        <v/>
      </c>
      <c r="W317" s="2" t="n"/>
      <c r="X317" s="2" t="n"/>
      <c r="Y317" s="2" t="n"/>
      <c r="Z317" s="2" t="n"/>
    </row>
    <row r="318">
      <c r="A318" s="2" t="n"/>
      <c r="B318" s="2" t="n"/>
      <c r="C318" s="2" t="n"/>
      <c r="D318" s="2" t="n"/>
      <c r="E318" s="2" t="n"/>
      <c r="F318" s="2" t="n"/>
      <c r="G318" s="2" t="n"/>
      <c r="H318" s="2" t="n"/>
      <c r="I318" s="2" t="n"/>
      <c r="J318" s="2" t="n"/>
      <c r="K318" s="2" t="n"/>
      <c r="L318" s="2" t="n"/>
      <c r="M318" s="2" t="n"/>
      <c r="N318" s="2">
        <f>IF(COUNTA(O318:T318)&lt;6,"",ROUND(O318*0.3+P318*0.2+Q318*0.15+R318*0.15+S318*0.1+T318*0.1,0))</f>
        <v/>
      </c>
      <c r="O318" s="2" t="n"/>
      <c r="P318" s="2" t="n"/>
      <c r="Q318" s="2" t="n"/>
      <c r="R318" s="2" t="n"/>
      <c r="S318" s="2" t="n"/>
      <c r="T318" s="2" t="n"/>
      <c r="U318" s="2">
        <f>IF(OR(AA318="fail",AC318="fail"),"P4",IF(N318="","",IF(N318&gt;=90,"P1",IF(N318&gt;=80,"P1",IF(N318&gt;=70,"P2",IF(N318&gt;=60,"P3","P4"))))))</f>
        <v/>
      </c>
      <c r="V318" s="2">
        <f>IF(OR(AA318="fail",AC318="fail"),"SKIP",IF(N318="","",IF(N318&gt;=90,"APPLY ASAP",IF(N318&gt;=80,"APPLY",IF(N318&gt;=70,"CONSIDER",IF(N318&gt;=60,"STRETCH","SKIP"))))))</f>
        <v/>
      </c>
      <c r="W318" s="2" t="n"/>
      <c r="X318" s="2" t="n"/>
      <c r="Y318" s="2" t="n"/>
      <c r="Z318" s="2" t="n"/>
    </row>
    <row r="319">
      <c r="A319" s="2" t="n"/>
      <c r="B319" s="2" t="n"/>
      <c r="C319" s="2" t="n"/>
      <c r="D319" s="2" t="n"/>
      <c r="E319" s="2" t="n"/>
      <c r="F319" s="2" t="n"/>
      <c r="G319" s="2" t="n"/>
      <c r="H319" s="2" t="n"/>
      <c r="I319" s="2" t="n"/>
      <c r="J319" s="2" t="n"/>
      <c r="K319" s="2" t="n"/>
      <c r="L319" s="2" t="n"/>
      <c r="M319" s="2" t="n"/>
      <c r="N319" s="2">
        <f>IF(COUNTA(O319:T319)&lt;6,"",ROUND(O319*0.3+P319*0.2+Q319*0.15+R319*0.15+S319*0.1+T319*0.1,0))</f>
        <v/>
      </c>
      <c r="O319" s="2" t="n"/>
      <c r="P319" s="2" t="n"/>
      <c r="Q319" s="2" t="n"/>
      <c r="R319" s="2" t="n"/>
      <c r="S319" s="2" t="n"/>
      <c r="T319" s="2" t="n"/>
      <c r="U319" s="2">
        <f>IF(OR(AA319="fail",AC319="fail"),"P4",IF(N319="","",IF(N319&gt;=90,"P1",IF(N319&gt;=80,"P1",IF(N319&gt;=70,"P2",IF(N319&gt;=60,"P3","P4"))))))</f>
        <v/>
      </c>
      <c r="V319" s="2">
        <f>IF(OR(AA319="fail",AC319="fail"),"SKIP",IF(N319="","",IF(N319&gt;=90,"APPLY ASAP",IF(N319&gt;=80,"APPLY",IF(N319&gt;=70,"CONSIDER",IF(N319&gt;=60,"STRETCH","SKIP"))))))</f>
        <v/>
      </c>
      <c r="W319" s="2" t="n"/>
      <c r="X319" s="2" t="n"/>
      <c r="Y319" s="2" t="n"/>
      <c r="Z319" s="2" t="n"/>
    </row>
    <row r="320">
      <c r="A320" s="2" t="n"/>
      <c r="B320" s="2" t="n"/>
      <c r="C320" s="2" t="n"/>
      <c r="D320" s="2" t="n"/>
      <c r="E320" s="2" t="n"/>
      <c r="F320" s="2" t="n"/>
      <c r="G320" s="2" t="n"/>
      <c r="H320" s="2" t="n"/>
      <c r="I320" s="2" t="n"/>
      <c r="J320" s="2" t="n"/>
      <c r="K320" s="2" t="n"/>
      <c r="L320" s="2" t="n"/>
      <c r="M320" s="2" t="n"/>
      <c r="N320" s="2">
        <f>IF(COUNTA(O320:T320)&lt;6,"",ROUND(O320*0.3+P320*0.2+Q320*0.15+R320*0.15+S320*0.1+T320*0.1,0))</f>
        <v/>
      </c>
      <c r="O320" s="2" t="n"/>
      <c r="P320" s="2" t="n"/>
      <c r="Q320" s="2" t="n"/>
      <c r="R320" s="2" t="n"/>
      <c r="S320" s="2" t="n"/>
      <c r="T320" s="2" t="n"/>
      <c r="U320" s="2">
        <f>IF(OR(AA320="fail",AC320="fail"),"P4",IF(N320="","",IF(N320&gt;=90,"P1",IF(N320&gt;=80,"P1",IF(N320&gt;=70,"P2",IF(N320&gt;=60,"P3","P4"))))))</f>
        <v/>
      </c>
      <c r="V320" s="2">
        <f>IF(OR(AA320="fail",AC320="fail"),"SKIP",IF(N320="","",IF(N320&gt;=90,"APPLY ASAP",IF(N320&gt;=80,"APPLY",IF(N320&gt;=70,"CONSIDER",IF(N320&gt;=60,"STRETCH","SKIP"))))))</f>
        <v/>
      </c>
      <c r="W320" s="2" t="n"/>
      <c r="X320" s="2" t="n"/>
      <c r="Y320" s="2" t="n"/>
      <c r="Z320" s="2" t="n"/>
    </row>
    <row r="321">
      <c r="A321" s="2" t="n"/>
      <c r="B321" s="2" t="n"/>
      <c r="C321" s="2" t="n"/>
      <c r="D321" s="2" t="n"/>
      <c r="E321" s="2" t="n"/>
      <c r="F321" s="2" t="n"/>
      <c r="G321" s="2" t="n"/>
      <c r="H321" s="2" t="n"/>
      <c r="I321" s="2" t="n"/>
      <c r="J321" s="2" t="n"/>
      <c r="K321" s="2" t="n"/>
      <c r="L321" s="2" t="n"/>
      <c r="M321" s="2" t="n"/>
      <c r="N321" s="2">
        <f>IF(COUNTA(O321:T321)&lt;6,"",ROUND(O321*0.3+P321*0.2+Q321*0.15+R321*0.15+S321*0.1+T321*0.1,0))</f>
        <v/>
      </c>
      <c r="O321" s="2" t="n"/>
      <c r="P321" s="2" t="n"/>
      <c r="Q321" s="2" t="n"/>
      <c r="R321" s="2" t="n"/>
      <c r="S321" s="2" t="n"/>
      <c r="T321" s="2" t="n"/>
      <c r="U321" s="2">
        <f>IF(OR(AA321="fail",AC321="fail"),"P4",IF(N321="","",IF(N321&gt;=90,"P1",IF(N321&gt;=80,"P1",IF(N321&gt;=70,"P2",IF(N321&gt;=60,"P3","P4"))))))</f>
        <v/>
      </c>
      <c r="V321" s="2">
        <f>IF(OR(AA321="fail",AC321="fail"),"SKIP",IF(N321="","",IF(N321&gt;=90,"APPLY ASAP",IF(N321&gt;=80,"APPLY",IF(N321&gt;=70,"CONSIDER",IF(N321&gt;=60,"STRETCH","SKIP"))))))</f>
        <v/>
      </c>
      <c r="W321" s="2" t="n"/>
      <c r="X321" s="2" t="n"/>
      <c r="Y321" s="2" t="n"/>
      <c r="Z321" s="2" t="n"/>
    </row>
    <row r="322">
      <c r="A322" s="2" t="n"/>
      <c r="B322" s="2" t="n"/>
      <c r="C322" s="2" t="n"/>
      <c r="D322" s="2" t="n"/>
      <c r="E322" s="2" t="n"/>
      <c r="F322" s="2" t="n"/>
      <c r="G322" s="2" t="n"/>
      <c r="H322" s="2" t="n"/>
      <c r="I322" s="2" t="n"/>
      <c r="J322" s="2" t="n"/>
      <c r="K322" s="2" t="n"/>
      <c r="L322" s="2" t="n"/>
      <c r="M322" s="2" t="n"/>
      <c r="N322" s="2">
        <f>IF(COUNTA(O322:T322)&lt;6,"",ROUND(O322*0.3+P322*0.2+Q322*0.15+R322*0.15+S322*0.1+T322*0.1,0))</f>
        <v/>
      </c>
      <c r="O322" s="2" t="n"/>
      <c r="P322" s="2" t="n"/>
      <c r="Q322" s="2" t="n"/>
      <c r="R322" s="2" t="n"/>
      <c r="S322" s="2" t="n"/>
      <c r="T322" s="2" t="n"/>
      <c r="U322" s="2">
        <f>IF(OR(AA322="fail",AC322="fail"),"P4",IF(N322="","",IF(N322&gt;=90,"P1",IF(N322&gt;=80,"P1",IF(N322&gt;=70,"P2",IF(N322&gt;=60,"P3","P4"))))))</f>
        <v/>
      </c>
      <c r="V322" s="2">
        <f>IF(OR(AA322="fail",AC322="fail"),"SKIP",IF(N322="","",IF(N322&gt;=90,"APPLY ASAP",IF(N322&gt;=80,"APPLY",IF(N322&gt;=70,"CONSIDER",IF(N322&gt;=60,"STRETCH","SKIP"))))))</f>
        <v/>
      </c>
      <c r="W322" s="2" t="n"/>
      <c r="X322" s="2" t="n"/>
      <c r="Y322" s="2" t="n"/>
      <c r="Z322" s="2" t="n"/>
    </row>
    <row r="323">
      <c r="A323" s="2" t="n"/>
      <c r="B323" s="2" t="n"/>
      <c r="C323" s="2" t="n"/>
      <c r="D323" s="2" t="n"/>
      <c r="E323" s="2" t="n"/>
      <c r="F323" s="2" t="n"/>
      <c r="G323" s="2" t="n"/>
      <c r="H323" s="2" t="n"/>
      <c r="I323" s="2" t="n"/>
      <c r="J323" s="2" t="n"/>
      <c r="K323" s="2" t="n"/>
      <c r="L323" s="2" t="n"/>
      <c r="M323" s="2" t="n"/>
      <c r="N323" s="2">
        <f>IF(COUNTA(O323:T323)&lt;6,"",ROUND(O323*0.3+P323*0.2+Q323*0.15+R323*0.15+S323*0.1+T323*0.1,0))</f>
        <v/>
      </c>
      <c r="O323" s="2" t="n"/>
      <c r="P323" s="2" t="n"/>
      <c r="Q323" s="2" t="n"/>
      <c r="R323" s="2" t="n"/>
      <c r="S323" s="2" t="n"/>
      <c r="T323" s="2" t="n"/>
      <c r="U323" s="2">
        <f>IF(OR(AA323="fail",AC323="fail"),"P4",IF(N323="","",IF(N323&gt;=90,"P1",IF(N323&gt;=80,"P1",IF(N323&gt;=70,"P2",IF(N323&gt;=60,"P3","P4"))))))</f>
        <v/>
      </c>
      <c r="V323" s="2">
        <f>IF(OR(AA323="fail",AC323="fail"),"SKIP",IF(N323="","",IF(N323&gt;=90,"APPLY ASAP",IF(N323&gt;=80,"APPLY",IF(N323&gt;=70,"CONSIDER",IF(N323&gt;=60,"STRETCH","SKIP"))))))</f>
        <v/>
      </c>
      <c r="W323" s="2" t="n"/>
      <c r="X323" s="2" t="n"/>
      <c r="Y323" s="2" t="n"/>
      <c r="Z323" s="2" t="n"/>
    </row>
    <row r="324">
      <c r="A324" s="2" t="n"/>
      <c r="B324" s="2" t="n"/>
      <c r="C324" s="2" t="n"/>
      <c r="D324" s="2" t="n"/>
      <c r="E324" s="2" t="n"/>
      <c r="F324" s="2" t="n"/>
      <c r="G324" s="2" t="n"/>
      <c r="H324" s="2" t="n"/>
      <c r="I324" s="2" t="n"/>
      <c r="J324" s="2" t="n"/>
      <c r="K324" s="2" t="n"/>
      <c r="L324" s="2" t="n"/>
      <c r="M324" s="2" t="n"/>
      <c r="N324" s="2">
        <f>IF(COUNTA(O324:T324)&lt;6,"",ROUND(O324*0.3+P324*0.2+Q324*0.15+R324*0.15+S324*0.1+T324*0.1,0))</f>
        <v/>
      </c>
      <c r="O324" s="2" t="n"/>
      <c r="P324" s="2" t="n"/>
      <c r="Q324" s="2" t="n"/>
      <c r="R324" s="2" t="n"/>
      <c r="S324" s="2" t="n"/>
      <c r="T324" s="2" t="n"/>
      <c r="U324" s="2">
        <f>IF(OR(AA324="fail",AC324="fail"),"P4",IF(N324="","",IF(N324&gt;=90,"P1",IF(N324&gt;=80,"P1",IF(N324&gt;=70,"P2",IF(N324&gt;=60,"P3","P4"))))))</f>
        <v/>
      </c>
      <c r="V324" s="2">
        <f>IF(OR(AA324="fail",AC324="fail"),"SKIP",IF(N324="","",IF(N324&gt;=90,"APPLY ASAP",IF(N324&gt;=80,"APPLY",IF(N324&gt;=70,"CONSIDER",IF(N324&gt;=60,"STRETCH","SKIP"))))))</f>
        <v/>
      </c>
      <c r="W324" s="2" t="n"/>
      <c r="X324" s="2" t="n"/>
      <c r="Y324" s="2" t="n"/>
      <c r="Z324" s="2" t="n"/>
    </row>
    <row r="325">
      <c r="A325" s="2" t="n"/>
      <c r="B325" s="2" t="n"/>
      <c r="C325" s="2" t="n"/>
      <c r="D325" s="2" t="n"/>
      <c r="E325" s="2" t="n"/>
      <c r="F325" s="2" t="n"/>
      <c r="G325" s="2" t="n"/>
      <c r="H325" s="2" t="n"/>
      <c r="I325" s="2" t="n"/>
      <c r="J325" s="2" t="n"/>
      <c r="K325" s="2" t="n"/>
      <c r="L325" s="2" t="n"/>
      <c r="M325" s="2" t="n"/>
      <c r="N325" s="2">
        <f>IF(COUNTA(O325:T325)&lt;6,"",ROUND(O325*0.3+P325*0.2+Q325*0.15+R325*0.15+S325*0.1+T325*0.1,0))</f>
        <v/>
      </c>
      <c r="O325" s="2" t="n"/>
      <c r="P325" s="2" t="n"/>
      <c r="Q325" s="2" t="n"/>
      <c r="R325" s="2" t="n"/>
      <c r="S325" s="2" t="n"/>
      <c r="T325" s="2" t="n"/>
      <c r="U325" s="2">
        <f>IF(OR(AA325="fail",AC325="fail"),"P4",IF(N325="","",IF(N325&gt;=90,"P1",IF(N325&gt;=80,"P1",IF(N325&gt;=70,"P2",IF(N325&gt;=60,"P3","P4"))))))</f>
        <v/>
      </c>
      <c r="V325" s="2">
        <f>IF(OR(AA325="fail",AC325="fail"),"SKIP",IF(N325="","",IF(N325&gt;=90,"APPLY ASAP",IF(N325&gt;=80,"APPLY",IF(N325&gt;=70,"CONSIDER",IF(N325&gt;=60,"STRETCH","SKIP"))))))</f>
        <v/>
      </c>
      <c r="W325" s="2" t="n"/>
      <c r="X325" s="2" t="n"/>
      <c r="Y325" s="2" t="n"/>
      <c r="Z325" s="2" t="n"/>
    </row>
    <row r="326">
      <c r="A326" s="2" t="n"/>
      <c r="B326" s="2" t="n"/>
      <c r="C326" s="2" t="n"/>
      <c r="D326" s="2" t="n"/>
      <c r="E326" s="2" t="n"/>
      <c r="F326" s="2" t="n"/>
      <c r="G326" s="2" t="n"/>
      <c r="H326" s="2" t="n"/>
      <c r="I326" s="2" t="n"/>
      <c r="J326" s="2" t="n"/>
      <c r="K326" s="2" t="n"/>
      <c r="L326" s="2" t="n"/>
      <c r="M326" s="2" t="n"/>
      <c r="N326" s="2">
        <f>IF(COUNTA(O326:T326)&lt;6,"",ROUND(O326*0.3+P326*0.2+Q326*0.15+R326*0.15+S326*0.1+T326*0.1,0))</f>
        <v/>
      </c>
      <c r="O326" s="2" t="n"/>
      <c r="P326" s="2" t="n"/>
      <c r="Q326" s="2" t="n"/>
      <c r="R326" s="2" t="n"/>
      <c r="S326" s="2" t="n"/>
      <c r="T326" s="2" t="n"/>
      <c r="U326" s="2">
        <f>IF(OR(AA326="fail",AC326="fail"),"P4",IF(N326="","",IF(N326&gt;=90,"P1",IF(N326&gt;=80,"P1",IF(N326&gt;=70,"P2",IF(N326&gt;=60,"P3","P4"))))))</f>
        <v/>
      </c>
      <c r="V326" s="2">
        <f>IF(OR(AA326="fail",AC326="fail"),"SKIP",IF(N326="","",IF(N326&gt;=90,"APPLY ASAP",IF(N326&gt;=80,"APPLY",IF(N326&gt;=70,"CONSIDER",IF(N326&gt;=60,"STRETCH","SKIP"))))))</f>
        <v/>
      </c>
      <c r="W326" s="2" t="n"/>
      <c r="X326" s="2" t="n"/>
      <c r="Y326" s="2" t="n"/>
      <c r="Z326" s="2" t="n"/>
    </row>
    <row r="327">
      <c r="A327" s="2" t="n"/>
      <c r="B327" s="2" t="n"/>
      <c r="C327" s="2" t="n"/>
      <c r="D327" s="2" t="n"/>
      <c r="E327" s="2" t="n"/>
      <c r="F327" s="2" t="n"/>
      <c r="G327" s="2" t="n"/>
      <c r="H327" s="2" t="n"/>
      <c r="I327" s="2" t="n"/>
      <c r="J327" s="2" t="n"/>
      <c r="K327" s="2" t="n"/>
      <c r="L327" s="2" t="n"/>
      <c r="M327" s="2" t="n"/>
      <c r="N327" s="2">
        <f>IF(COUNTA(O327:T327)&lt;6,"",ROUND(O327*0.3+P327*0.2+Q327*0.15+R327*0.15+S327*0.1+T327*0.1,0))</f>
        <v/>
      </c>
      <c r="O327" s="2" t="n"/>
      <c r="P327" s="2" t="n"/>
      <c r="Q327" s="2" t="n"/>
      <c r="R327" s="2" t="n"/>
      <c r="S327" s="2" t="n"/>
      <c r="T327" s="2" t="n"/>
      <c r="U327" s="2">
        <f>IF(OR(AA327="fail",AC327="fail"),"P4",IF(N327="","",IF(N327&gt;=90,"P1",IF(N327&gt;=80,"P1",IF(N327&gt;=70,"P2",IF(N327&gt;=60,"P3","P4"))))))</f>
        <v/>
      </c>
      <c r="V327" s="2">
        <f>IF(OR(AA327="fail",AC327="fail"),"SKIP",IF(N327="","",IF(N327&gt;=90,"APPLY ASAP",IF(N327&gt;=80,"APPLY",IF(N327&gt;=70,"CONSIDER",IF(N327&gt;=60,"STRETCH","SKIP"))))))</f>
        <v/>
      </c>
      <c r="W327" s="2" t="n"/>
      <c r="X327" s="2" t="n"/>
      <c r="Y327" s="2" t="n"/>
      <c r="Z327" s="2" t="n"/>
    </row>
    <row r="328">
      <c r="A328" s="2" t="n"/>
      <c r="B328" s="2" t="n"/>
      <c r="C328" s="2" t="n"/>
      <c r="D328" s="2" t="n"/>
      <c r="E328" s="2" t="n"/>
      <c r="F328" s="2" t="n"/>
      <c r="G328" s="2" t="n"/>
      <c r="H328" s="2" t="n"/>
      <c r="I328" s="2" t="n"/>
      <c r="J328" s="2" t="n"/>
      <c r="K328" s="2" t="n"/>
      <c r="L328" s="2" t="n"/>
      <c r="M328" s="2" t="n"/>
      <c r="N328" s="2">
        <f>IF(COUNTA(O328:T328)&lt;6,"",ROUND(O328*0.3+P328*0.2+Q328*0.15+R328*0.15+S328*0.1+T328*0.1,0))</f>
        <v/>
      </c>
      <c r="O328" s="2" t="n"/>
      <c r="P328" s="2" t="n"/>
      <c r="Q328" s="2" t="n"/>
      <c r="R328" s="2" t="n"/>
      <c r="S328" s="2" t="n"/>
      <c r="T328" s="2" t="n"/>
      <c r="U328" s="2">
        <f>IF(OR(AA328="fail",AC328="fail"),"P4",IF(N328="","",IF(N328&gt;=90,"P1",IF(N328&gt;=80,"P1",IF(N328&gt;=70,"P2",IF(N328&gt;=60,"P3","P4"))))))</f>
        <v/>
      </c>
      <c r="V328" s="2">
        <f>IF(OR(AA328="fail",AC328="fail"),"SKIP",IF(N328="","",IF(N328&gt;=90,"APPLY ASAP",IF(N328&gt;=80,"APPLY",IF(N328&gt;=70,"CONSIDER",IF(N328&gt;=60,"STRETCH","SKIP"))))))</f>
        <v/>
      </c>
      <c r="W328" s="2" t="n"/>
      <c r="X328" s="2" t="n"/>
      <c r="Y328" s="2" t="n"/>
      <c r="Z328" s="2" t="n"/>
    </row>
    <row r="329">
      <c r="A329" s="2" t="n"/>
      <c r="B329" s="2" t="n"/>
      <c r="C329" s="2" t="n"/>
      <c r="D329" s="2" t="n"/>
      <c r="E329" s="2" t="n"/>
      <c r="F329" s="2" t="n"/>
      <c r="G329" s="2" t="n"/>
      <c r="H329" s="2" t="n"/>
      <c r="I329" s="2" t="n"/>
      <c r="J329" s="2" t="n"/>
      <c r="K329" s="2" t="n"/>
      <c r="L329" s="2" t="n"/>
      <c r="M329" s="2" t="n"/>
      <c r="N329" s="2">
        <f>IF(COUNTA(O329:T329)&lt;6,"",ROUND(O329*0.3+P329*0.2+Q329*0.15+R329*0.15+S329*0.1+T329*0.1,0))</f>
        <v/>
      </c>
      <c r="O329" s="2" t="n"/>
      <c r="P329" s="2" t="n"/>
      <c r="Q329" s="2" t="n"/>
      <c r="R329" s="2" t="n"/>
      <c r="S329" s="2" t="n"/>
      <c r="T329" s="2" t="n"/>
      <c r="U329" s="2">
        <f>IF(OR(AA329="fail",AC329="fail"),"P4",IF(N329="","",IF(N329&gt;=90,"P1",IF(N329&gt;=80,"P1",IF(N329&gt;=70,"P2",IF(N329&gt;=60,"P3","P4"))))))</f>
        <v/>
      </c>
      <c r="V329" s="2">
        <f>IF(OR(AA329="fail",AC329="fail"),"SKIP",IF(N329="","",IF(N329&gt;=90,"APPLY ASAP",IF(N329&gt;=80,"APPLY",IF(N329&gt;=70,"CONSIDER",IF(N329&gt;=60,"STRETCH","SKIP"))))))</f>
        <v/>
      </c>
      <c r="W329" s="2" t="n"/>
      <c r="X329" s="2" t="n"/>
      <c r="Y329" s="2" t="n"/>
      <c r="Z329" s="2" t="n"/>
    </row>
    <row r="330">
      <c r="A330" s="2" t="n"/>
      <c r="B330" s="2" t="n"/>
      <c r="C330" s="2" t="n"/>
      <c r="D330" s="2" t="n"/>
      <c r="E330" s="2" t="n"/>
      <c r="F330" s="2" t="n"/>
      <c r="G330" s="2" t="n"/>
      <c r="H330" s="2" t="n"/>
      <c r="I330" s="2" t="n"/>
      <c r="J330" s="2" t="n"/>
      <c r="K330" s="2" t="n"/>
      <c r="L330" s="2" t="n"/>
      <c r="M330" s="2" t="n"/>
      <c r="N330" s="2">
        <f>IF(COUNTA(O330:T330)&lt;6,"",ROUND(O330*0.3+P330*0.2+Q330*0.15+R330*0.15+S330*0.1+T330*0.1,0))</f>
        <v/>
      </c>
      <c r="O330" s="2" t="n"/>
      <c r="P330" s="2" t="n"/>
      <c r="Q330" s="2" t="n"/>
      <c r="R330" s="2" t="n"/>
      <c r="S330" s="2" t="n"/>
      <c r="T330" s="2" t="n"/>
      <c r="U330" s="2">
        <f>IF(OR(AA330="fail",AC330="fail"),"P4",IF(N330="","",IF(N330&gt;=90,"P1",IF(N330&gt;=80,"P1",IF(N330&gt;=70,"P2",IF(N330&gt;=60,"P3","P4"))))))</f>
        <v/>
      </c>
      <c r="V330" s="2">
        <f>IF(OR(AA330="fail",AC330="fail"),"SKIP",IF(N330="","",IF(N330&gt;=90,"APPLY ASAP",IF(N330&gt;=80,"APPLY",IF(N330&gt;=70,"CONSIDER",IF(N330&gt;=60,"STRETCH","SKIP"))))))</f>
        <v/>
      </c>
      <c r="W330" s="2" t="n"/>
      <c r="X330" s="2" t="n"/>
      <c r="Y330" s="2" t="n"/>
      <c r="Z330" s="2" t="n"/>
    </row>
    <row r="331">
      <c r="A331" s="2" t="n"/>
      <c r="B331" s="2" t="n"/>
      <c r="C331" s="2" t="n"/>
      <c r="D331" s="2" t="n"/>
      <c r="E331" s="2" t="n"/>
      <c r="F331" s="2" t="n"/>
      <c r="G331" s="2" t="n"/>
      <c r="H331" s="2" t="n"/>
      <c r="I331" s="2" t="n"/>
      <c r="J331" s="2" t="n"/>
      <c r="K331" s="2" t="n"/>
      <c r="L331" s="2" t="n"/>
      <c r="M331" s="2" t="n"/>
      <c r="N331" s="2">
        <f>IF(COUNTA(O331:T331)&lt;6,"",ROUND(O331*0.3+P331*0.2+Q331*0.15+R331*0.15+S331*0.1+T331*0.1,0))</f>
        <v/>
      </c>
      <c r="O331" s="2" t="n"/>
      <c r="P331" s="2" t="n"/>
      <c r="Q331" s="2" t="n"/>
      <c r="R331" s="2" t="n"/>
      <c r="S331" s="2" t="n"/>
      <c r="T331" s="2" t="n"/>
      <c r="U331" s="2">
        <f>IF(OR(AA331="fail",AC331="fail"),"P4",IF(N331="","",IF(N331&gt;=90,"P1",IF(N331&gt;=80,"P1",IF(N331&gt;=70,"P2",IF(N331&gt;=60,"P3","P4"))))))</f>
        <v/>
      </c>
      <c r="V331" s="2">
        <f>IF(OR(AA331="fail",AC331="fail"),"SKIP",IF(N331="","",IF(N331&gt;=90,"APPLY ASAP",IF(N331&gt;=80,"APPLY",IF(N331&gt;=70,"CONSIDER",IF(N331&gt;=60,"STRETCH","SKIP"))))))</f>
        <v/>
      </c>
      <c r="W331" s="2" t="n"/>
      <c r="X331" s="2" t="n"/>
      <c r="Y331" s="2" t="n"/>
      <c r="Z331" s="2" t="n"/>
    </row>
    <row r="332">
      <c r="A332" s="2" t="n"/>
      <c r="B332" s="2" t="n"/>
      <c r="C332" s="2" t="n"/>
      <c r="D332" s="2" t="n"/>
      <c r="E332" s="2" t="n"/>
      <c r="F332" s="2" t="n"/>
      <c r="G332" s="2" t="n"/>
      <c r="H332" s="2" t="n"/>
      <c r="I332" s="2" t="n"/>
      <c r="J332" s="2" t="n"/>
      <c r="K332" s="2" t="n"/>
      <c r="L332" s="2" t="n"/>
      <c r="M332" s="2" t="n"/>
      <c r="N332" s="2">
        <f>IF(COUNTA(O332:T332)&lt;6,"",ROUND(O332*0.3+P332*0.2+Q332*0.15+R332*0.15+S332*0.1+T332*0.1,0))</f>
        <v/>
      </c>
      <c r="O332" s="2" t="n"/>
      <c r="P332" s="2" t="n"/>
      <c r="Q332" s="2" t="n"/>
      <c r="R332" s="2" t="n"/>
      <c r="S332" s="2" t="n"/>
      <c r="T332" s="2" t="n"/>
      <c r="U332" s="2">
        <f>IF(OR(AA332="fail",AC332="fail"),"P4",IF(N332="","",IF(N332&gt;=90,"P1",IF(N332&gt;=80,"P1",IF(N332&gt;=70,"P2",IF(N332&gt;=60,"P3","P4"))))))</f>
        <v/>
      </c>
      <c r="V332" s="2">
        <f>IF(OR(AA332="fail",AC332="fail"),"SKIP",IF(N332="","",IF(N332&gt;=90,"APPLY ASAP",IF(N332&gt;=80,"APPLY",IF(N332&gt;=70,"CONSIDER",IF(N332&gt;=60,"STRETCH","SKIP"))))))</f>
        <v/>
      </c>
      <c r="W332" s="2" t="n"/>
      <c r="X332" s="2" t="n"/>
      <c r="Y332" s="2" t="n"/>
      <c r="Z332" s="2" t="n"/>
    </row>
    <row r="333">
      <c r="A333" s="2" t="n"/>
      <c r="B333" s="2" t="n"/>
      <c r="C333" s="2" t="n"/>
      <c r="D333" s="2" t="n"/>
      <c r="E333" s="2" t="n"/>
      <c r="F333" s="2" t="n"/>
      <c r="G333" s="2" t="n"/>
      <c r="H333" s="2" t="n"/>
      <c r="I333" s="2" t="n"/>
      <c r="J333" s="2" t="n"/>
      <c r="K333" s="2" t="n"/>
      <c r="L333" s="2" t="n"/>
      <c r="M333" s="2" t="n"/>
      <c r="N333" s="2">
        <f>IF(COUNTA(O333:T333)&lt;6,"",ROUND(O333*0.3+P333*0.2+Q333*0.15+R333*0.15+S333*0.1+T333*0.1,0))</f>
        <v/>
      </c>
      <c r="O333" s="2" t="n"/>
      <c r="P333" s="2" t="n"/>
      <c r="Q333" s="2" t="n"/>
      <c r="R333" s="2" t="n"/>
      <c r="S333" s="2" t="n"/>
      <c r="T333" s="2" t="n"/>
      <c r="U333" s="2">
        <f>IF(OR(AA333="fail",AC333="fail"),"P4",IF(N333="","",IF(N333&gt;=90,"P1",IF(N333&gt;=80,"P1",IF(N333&gt;=70,"P2",IF(N333&gt;=60,"P3","P4"))))))</f>
        <v/>
      </c>
      <c r="V333" s="2">
        <f>IF(OR(AA333="fail",AC333="fail"),"SKIP",IF(N333="","",IF(N333&gt;=90,"APPLY ASAP",IF(N333&gt;=80,"APPLY",IF(N333&gt;=70,"CONSIDER",IF(N333&gt;=60,"STRETCH","SKIP"))))))</f>
        <v/>
      </c>
      <c r="W333" s="2" t="n"/>
      <c r="X333" s="2" t="n"/>
      <c r="Y333" s="2" t="n"/>
      <c r="Z333" s="2" t="n"/>
    </row>
    <row r="334">
      <c r="A334" s="2" t="n"/>
      <c r="B334" s="2" t="n"/>
      <c r="C334" s="2" t="n"/>
      <c r="D334" s="2" t="n"/>
      <c r="E334" s="2" t="n"/>
      <c r="F334" s="2" t="n"/>
      <c r="G334" s="2" t="n"/>
      <c r="H334" s="2" t="n"/>
      <c r="I334" s="2" t="n"/>
      <c r="J334" s="2" t="n"/>
      <c r="K334" s="2" t="n"/>
      <c r="L334" s="2" t="n"/>
      <c r="M334" s="2" t="n"/>
      <c r="N334" s="2">
        <f>IF(COUNTA(O334:T334)&lt;6,"",ROUND(O334*0.3+P334*0.2+Q334*0.15+R334*0.15+S334*0.1+T334*0.1,0))</f>
        <v/>
      </c>
      <c r="O334" s="2" t="n"/>
      <c r="P334" s="2" t="n"/>
      <c r="Q334" s="2" t="n"/>
      <c r="R334" s="2" t="n"/>
      <c r="S334" s="2" t="n"/>
      <c r="T334" s="2" t="n"/>
      <c r="U334" s="2">
        <f>IF(OR(AA334="fail",AC334="fail"),"P4",IF(N334="","",IF(N334&gt;=90,"P1",IF(N334&gt;=80,"P1",IF(N334&gt;=70,"P2",IF(N334&gt;=60,"P3","P4"))))))</f>
        <v/>
      </c>
      <c r="V334" s="2">
        <f>IF(OR(AA334="fail",AC334="fail"),"SKIP",IF(N334="","",IF(N334&gt;=90,"APPLY ASAP",IF(N334&gt;=80,"APPLY",IF(N334&gt;=70,"CONSIDER",IF(N334&gt;=60,"STRETCH","SKIP"))))))</f>
        <v/>
      </c>
      <c r="W334" s="2" t="n"/>
      <c r="X334" s="2" t="n"/>
      <c r="Y334" s="2" t="n"/>
      <c r="Z334" s="2" t="n"/>
    </row>
    <row r="335">
      <c r="A335" s="2" t="n"/>
      <c r="B335" s="2" t="n"/>
      <c r="C335" s="2" t="n"/>
      <c r="D335" s="2" t="n"/>
      <c r="E335" s="2" t="n"/>
      <c r="F335" s="2" t="n"/>
      <c r="G335" s="2" t="n"/>
      <c r="H335" s="2" t="n"/>
      <c r="I335" s="2" t="n"/>
      <c r="J335" s="2" t="n"/>
      <c r="K335" s="2" t="n"/>
      <c r="L335" s="2" t="n"/>
      <c r="M335" s="2" t="n"/>
      <c r="N335" s="2">
        <f>IF(COUNTA(O335:T335)&lt;6,"",ROUND(O335*0.3+P335*0.2+Q335*0.15+R335*0.15+S335*0.1+T335*0.1,0))</f>
        <v/>
      </c>
      <c r="O335" s="2" t="n"/>
      <c r="P335" s="2" t="n"/>
      <c r="Q335" s="2" t="n"/>
      <c r="R335" s="2" t="n"/>
      <c r="S335" s="2" t="n"/>
      <c r="T335" s="2" t="n"/>
      <c r="U335" s="2">
        <f>IF(OR(AA335="fail",AC335="fail"),"P4",IF(N335="","",IF(N335&gt;=90,"P1",IF(N335&gt;=80,"P1",IF(N335&gt;=70,"P2",IF(N335&gt;=60,"P3","P4"))))))</f>
        <v/>
      </c>
      <c r="V335" s="2">
        <f>IF(OR(AA335="fail",AC335="fail"),"SKIP",IF(N335="","",IF(N335&gt;=90,"APPLY ASAP",IF(N335&gt;=80,"APPLY",IF(N335&gt;=70,"CONSIDER",IF(N335&gt;=60,"STRETCH","SKIP"))))))</f>
        <v/>
      </c>
      <c r="W335" s="2" t="n"/>
      <c r="X335" s="2" t="n"/>
      <c r="Y335" s="2" t="n"/>
      <c r="Z335" s="2" t="n"/>
    </row>
    <row r="336">
      <c r="A336" s="2" t="n"/>
      <c r="B336" s="2" t="n"/>
      <c r="C336" s="2" t="n"/>
      <c r="D336" s="2" t="n"/>
      <c r="E336" s="2" t="n"/>
      <c r="F336" s="2" t="n"/>
      <c r="G336" s="2" t="n"/>
      <c r="H336" s="2" t="n"/>
      <c r="I336" s="2" t="n"/>
      <c r="J336" s="2" t="n"/>
      <c r="K336" s="2" t="n"/>
      <c r="L336" s="2" t="n"/>
      <c r="M336" s="2" t="n"/>
      <c r="N336" s="2">
        <f>IF(COUNTA(O336:T336)&lt;6,"",ROUND(O336*0.3+P336*0.2+Q336*0.15+R336*0.15+S336*0.1+T336*0.1,0))</f>
        <v/>
      </c>
      <c r="O336" s="2" t="n"/>
      <c r="P336" s="2" t="n"/>
      <c r="Q336" s="2" t="n"/>
      <c r="R336" s="2" t="n"/>
      <c r="S336" s="2" t="n"/>
      <c r="T336" s="2" t="n"/>
      <c r="U336" s="2">
        <f>IF(OR(AA336="fail",AC336="fail"),"P4",IF(N336="","",IF(N336&gt;=90,"P1",IF(N336&gt;=80,"P1",IF(N336&gt;=70,"P2",IF(N336&gt;=60,"P3","P4"))))))</f>
        <v/>
      </c>
      <c r="V336" s="2">
        <f>IF(OR(AA336="fail",AC336="fail"),"SKIP",IF(N336="","",IF(N336&gt;=90,"APPLY ASAP",IF(N336&gt;=80,"APPLY",IF(N336&gt;=70,"CONSIDER",IF(N336&gt;=60,"STRETCH","SKIP"))))))</f>
        <v/>
      </c>
      <c r="W336" s="2" t="n"/>
      <c r="X336" s="2" t="n"/>
      <c r="Y336" s="2" t="n"/>
      <c r="Z336" s="2" t="n"/>
    </row>
    <row r="337">
      <c r="A337" s="2" t="n"/>
      <c r="B337" s="2" t="n"/>
      <c r="C337" s="2" t="n"/>
      <c r="D337" s="2" t="n"/>
      <c r="E337" s="2" t="n"/>
      <c r="F337" s="2" t="n"/>
      <c r="G337" s="2" t="n"/>
      <c r="H337" s="2" t="n"/>
      <c r="I337" s="2" t="n"/>
      <c r="J337" s="2" t="n"/>
      <c r="K337" s="2" t="n"/>
      <c r="L337" s="2" t="n"/>
      <c r="M337" s="2" t="n"/>
      <c r="N337" s="2">
        <f>IF(COUNTA(O337:T337)&lt;6,"",ROUND(O337*0.3+P337*0.2+Q337*0.15+R337*0.15+S337*0.1+T337*0.1,0))</f>
        <v/>
      </c>
      <c r="O337" s="2" t="n"/>
      <c r="P337" s="2" t="n"/>
      <c r="Q337" s="2" t="n"/>
      <c r="R337" s="2" t="n"/>
      <c r="S337" s="2" t="n"/>
      <c r="T337" s="2" t="n"/>
      <c r="U337" s="2">
        <f>IF(OR(AA337="fail",AC337="fail"),"P4",IF(N337="","",IF(N337&gt;=90,"P1",IF(N337&gt;=80,"P1",IF(N337&gt;=70,"P2",IF(N337&gt;=60,"P3","P4"))))))</f>
        <v/>
      </c>
      <c r="V337" s="2">
        <f>IF(OR(AA337="fail",AC337="fail"),"SKIP",IF(N337="","",IF(N337&gt;=90,"APPLY ASAP",IF(N337&gt;=80,"APPLY",IF(N337&gt;=70,"CONSIDER",IF(N337&gt;=60,"STRETCH","SKIP"))))))</f>
        <v/>
      </c>
      <c r="W337" s="2" t="n"/>
      <c r="X337" s="2" t="n"/>
      <c r="Y337" s="2" t="n"/>
      <c r="Z337" s="2" t="n"/>
    </row>
    <row r="338">
      <c r="A338" s="2" t="n"/>
      <c r="B338" s="2" t="n"/>
      <c r="C338" s="2" t="n"/>
      <c r="D338" s="2" t="n"/>
      <c r="E338" s="2" t="n"/>
      <c r="F338" s="2" t="n"/>
      <c r="G338" s="2" t="n"/>
      <c r="H338" s="2" t="n"/>
      <c r="I338" s="2" t="n"/>
      <c r="J338" s="2" t="n"/>
      <c r="K338" s="2" t="n"/>
      <c r="L338" s="2" t="n"/>
      <c r="M338" s="2" t="n"/>
      <c r="N338" s="2">
        <f>IF(COUNTA(O338:T338)&lt;6,"",ROUND(O338*0.3+P338*0.2+Q338*0.15+R338*0.15+S338*0.1+T338*0.1,0))</f>
        <v/>
      </c>
      <c r="O338" s="2" t="n"/>
      <c r="P338" s="2" t="n"/>
      <c r="Q338" s="2" t="n"/>
      <c r="R338" s="2" t="n"/>
      <c r="S338" s="2" t="n"/>
      <c r="T338" s="2" t="n"/>
      <c r="U338" s="2">
        <f>IF(OR(AA338="fail",AC338="fail"),"P4",IF(N338="","",IF(N338&gt;=90,"P1",IF(N338&gt;=80,"P1",IF(N338&gt;=70,"P2",IF(N338&gt;=60,"P3","P4"))))))</f>
        <v/>
      </c>
      <c r="V338" s="2">
        <f>IF(OR(AA338="fail",AC338="fail"),"SKIP",IF(N338="","",IF(N338&gt;=90,"APPLY ASAP",IF(N338&gt;=80,"APPLY",IF(N338&gt;=70,"CONSIDER",IF(N338&gt;=60,"STRETCH","SKIP"))))))</f>
        <v/>
      </c>
      <c r="W338" s="2" t="n"/>
      <c r="X338" s="2" t="n"/>
      <c r="Y338" s="2" t="n"/>
      <c r="Z338" s="2" t="n"/>
    </row>
    <row r="339">
      <c r="A339" s="2" t="n"/>
      <c r="B339" s="2" t="n"/>
      <c r="C339" s="2" t="n"/>
      <c r="D339" s="2" t="n"/>
      <c r="E339" s="2" t="n"/>
      <c r="F339" s="2" t="n"/>
      <c r="G339" s="2" t="n"/>
      <c r="H339" s="2" t="n"/>
      <c r="I339" s="2" t="n"/>
      <c r="J339" s="2" t="n"/>
      <c r="K339" s="2" t="n"/>
      <c r="L339" s="2" t="n"/>
      <c r="M339" s="2" t="n"/>
      <c r="N339" s="2">
        <f>IF(COUNTA(O339:T339)&lt;6,"",ROUND(O339*0.3+P339*0.2+Q339*0.15+R339*0.15+S339*0.1+T339*0.1,0))</f>
        <v/>
      </c>
      <c r="O339" s="2" t="n"/>
      <c r="P339" s="2" t="n"/>
      <c r="Q339" s="2" t="n"/>
      <c r="R339" s="2" t="n"/>
      <c r="S339" s="2" t="n"/>
      <c r="T339" s="2" t="n"/>
      <c r="U339" s="2">
        <f>IF(OR(AA339="fail",AC339="fail"),"P4",IF(N339="","",IF(N339&gt;=90,"P1",IF(N339&gt;=80,"P1",IF(N339&gt;=70,"P2",IF(N339&gt;=60,"P3","P4"))))))</f>
        <v/>
      </c>
      <c r="V339" s="2">
        <f>IF(OR(AA339="fail",AC339="fail"),"SKIP",IF(N339="","",IF(N339&gt;=90,"APPLY ASAP",IF(N339&gt;=80,"APPLY",IF(N339&gt;=70,"CONSIDER",IF(N339&gt;=60,"STRETCH","SKIP"))))))</f>
        <v/>
      </c>
      <c r="W339" s="2" t="n"/>
      <c r="X339" s="2" t="n"/>
      <c r="Y339" s="2" t="n"/>
      <c r="Z339" s="2" t="n"/>
    </row>
    <row r="340">
      <c r="A340" s="2" t="n"/>
      <c r="B340" s="2" t="n"/>
      <c r="C340" s="2" t="n"/>
      <c r="D340" s="2" t="n"/>
      <c r="E340" s="2" t="n"/>
      <c r="F340" s="2" t="n"/>
      <c r="G340" s="2" t="n"/>
      <c r="H340" s="2" t="n"/>
      <c r="I340" s="2" t="n"/>
      <c r="J340" s="2" t="n"/>
      <c r="K340" s="2" t="n"/>
      <c r="L340" s="2" t="n"/>
      <c r="M340" s="2" t="n"/>
      <c r="N340" s="2">
        <f>IF(COUNTA(O340:T340)&lt;6,"",ROUND(O340*0.3+P340*0.2+Q340*0.15+R340*0.15+S340*0.1+T340*0.1,0))</f>
        <v/>
      </c>
      <c r="O340" s="2" t="n"/>
      <c r="P340" s="2" t="n"/>
      <c r="Q340" s="2" t="n"/>
      <c r="R340" s="2" t="n"/>
      <c r="S340" s="2" t="n"/>
      <c r="T340" s="2" t="n"/>
      <c r="U340" s="2">
        <f>IF(OR(AA340="fail",AC340="fail"),"P4",IF(N340="","",IF(N340&gt;=90,"P1",IF(N340&gt;=80,"P1",IF(N340&gt;=70,"P2",IF(N340&gt;=60,"P3","P4"))))))</f>
        <v/>
      </c>
      <c r="V340" s="2">
        <f>IF(OR(AA340="fail",AC340="fail"),"SKIP",IF(N340="","",IF(N340&gt;=90,"APPLY ASAP",IF(N340&gt;=80,"APPLY",IF(N340&gt;=70,"CONSIDER",IF(N340&gt;=60,"STRETCH","SKIP"))))))</f>
        <v/>
      </c>
      <c r="W340" s="2" t="n"/>
      <c r="X340" s="2" t="n"/>
      <c r="Y340" s="2" t="n"/>
      <c r="Z340" s="2" t="n"/>
    </row>
    <row r="341">
      <c r="A341" s="2" t="n"/>
      <c r="B341" s="2" t="n"/>
      <c r="C341" s="2" t="n"/>
      <c r="D341" s="2" t="n"/>
      <c r="E341" s="2" t="n"/>
      <c r="F341" s="2" t="n"/>
      <c r="G341" s="2" t="n"/>
      <c r="H341" s="2" t="n"/>
      <c r="I341" s="2" t="n"/>
      <c r="J341" s="2" t="n"/>
      <c r="K341" s="2" t="n"/>
      <c r="L341" s="2" t="n"/>
      <c r="M341" s="2" t="n"/>
      <c r="N341" s="2">
        <f>IF(COUNTA(O341:T341)&lt;6,"",ROUND(O341*0.3+P341*0.2+Q341*0.15+R341*0.15+S341*0.1+T341*0.1,0))</f>
        <v/>
      </c>
      <c r="O341" s="2" t="n"/>
      <c r="P341" s="2" t="n"/>
      <c r="Q341" s="2" t="n"/>
      <c r="R341" s="2" t="n"/>
      <c r="S341" s="2" t="n"/>
      <c r="T341" s="2" t="n"/>
      <c r="U341" s="2">
        <f>IF(OR(AA341="fail",AC341="fail"),"P4",IF(N341="","",IF(N341&gt;=90,"P1",IF(N341&gt;=80,"P1",IF(N341&gt;=70,"P2",IF(N341&gt;=60,"P3","P4"))))))</f>
        <v/>
      </c>
      <c r="V341" s="2">
        <f>IF(OR(AA341="fail",AC341="fail"),"SKIP",IF(N341="","",IF(N341&gt;=90,"APPLY ASAP",IF(N341&gt;=80,"APPLY",IF(N341&gt;=70,"CONSIDER",IF(N341&gt;=60,"STRETCH","SKIP"))))))</f>
        <v/>
      </c>
      <c r="W341" s="2" t="n"/>
      <c r="X341" s="2" t="n"/>
      <c r="Y341" s="2" t="n"/>
      <c r="Z341" s="2" t="n"/>
    </row>
    <row r="342">
      <c r="A342" s="2" t="n"/>
      <c r="B342" s="2" t="n"/>
      <c r="C342" s="2" t="n"/>
      <c r="D342" s="2" t="n"/>
      <c r="E342" s="2" t="n"/>
      <c r="F342" s="2" t="n"/>
      <c r="G342" s="2" t="n"/>
      <c r="H342" s="2" t="n"/>
      <c r="I342" s="2" t="n"/>
      <c r="J342" s="2" t="n"/>
      <c r="K342" s="2" t="n"/>
      <c r="L342" s="2" t="n"/>
      <c r="M342" s="2" t="n"/>
      <c r="N342" s="2">
        <f>IF(COUNTA(O342:T342)&lt;6,"",ROUND(O342*0.3+P342*0.2+Q342*0.15+R342*0.15+S342*0.1+T342*0.1,0))</f>
        <v/>
      </c>
      <c r="O342" s="2" t="n"/>
      <c r="P342" s="2" t="n"/>
      <c r="Q342" s="2" t="n"/>
      <c r="R342" s="2" t="n"/>
      <c r="S342" s="2" t="n"/>
      <c r="T342" s="2" t="n"/>
      <c r="U342" s="2">
        <f>IF(OR(AA342="fail",AC342="fail"),"P4",IF(N342="","",IF(N342&gt;=90,"P1",IF(N342&gt;=80,"P1",IF(N342&gt;=70,"P2",IF(N342&gt;=60,"P3","P4"))))))</f>
        <v/>
      </c>
      <c r="V342" s="2">
        <f>IF(OR(AA342="fail",AC342="fail"),"SKIP",IF(N342="","",IF(N342&gt;=90,"APPLY ASAP",IF(N342&gt;=80,"APPLY",IF(N342&gt;=70,"CONSIDER",IF(N342&gt;=60,"STRETCH","SKIP"))))))</f>
        <v/>
      </c>
      <c r="W342" s="2" t="n"/>
      <c r="X342" s="2" t="n"/>
      <c r="Y342" s="2" t="n"/>
      <c r="Z342" s="2" t="n"/>
    </row>
    <row r="343">
      <c r="A343" s="2" t="n"/>
      <c r="B343" s="2" t="n"/>
      <c r="C343" s="2" t="n"/>
      <c r="D343" s="2" t="n"/>
      <c r="E343" s="2" t="n"/>
      <c r="F343" s="2" t="n"/>
      <c r="G343" s="2" t="n"/>
      <c r="H343" s="2" t="n"/>
      <c r="I343" s="2" t="n"/>
      <c r="J343" s="2" t="n"/>
      <c r="K343" s="2" t="n"/>
      <c r="L343" s="2" t="n"/>
      <c r="M343" s="2" t="n"/>
      <c r="N343" s="2">
        <f>IF(COUNTA(O343:T343)&lt;6,"",ROUND(O343*0.3+P343*0.2+Q343*0.15+R343*0.15+S343*0.1+T343*0.1,0))</f>
        <v/>
      </c>
      <c r="O343" s="2" t="n"/>
      <c r="P343" s="2" t="n"/>
      <c r="Q343" s="2" t="n"/>
      <c r="R343" s="2" t="n"/>
      <c r="S343" s="2" t="n"/>
      <c r="T343" s="2" t="n"/>
      <c r="U343" s="2">
        <f>IF(OR(AA343="fail",AC343="fail"),"P4",IF(N343="","",IF(N343&gt;=90,"P1",IF(N343&gt;=80,"P1",IF(N343&gt;=70,"P2",IF(N343&gt;=60,"P3","P4"))))))</f>
        <v/>
      </c>
      <c r="V343" s="2">
        <f>IF(OR(AA343="fail",AC343="fail"),"SKIP",IF(N343="","",IF(N343&gt;=90,"APPLY ASAP",IF(N343&gt;=80,"APPLY",IF(N343&gt;=70,"CONSIDER",IF(N343&gt;=60,"STRETCH","SKIP"))))))</f>
        <v/>
      </c>
      <c r="W343" s="2" t="n"/>
      <c r="X343" s="2" t="n"/>
      <c r="Y343" s="2" t="n"/>
      <c r="Z343" s="2" t="n"/>
    </row>
    <row r="344">
      <c r="A344" s="2" t="n"/>
      <c r="B344" s="2" t="n"/>
      <c r="C344" s="2" t="n"/>
      <c r="D344" s="2" t="n"/>
      <c r="E344" s="2" t="n"/>
      <c r="F344" s="2" t="n"/>
      <c r="G344" s="2" t="n"/>
      <c r="H344" s="2" t="n"/>
      <c r="I344" s="2" t="n"/>
      <c r="J344" s="2" t="n"/>
      <c r="K344" s="2" t="n"/>
      <c r="L344" s="2" t="n"/>
      <c r="M344" s="2" t="n"/>
      <c r="N344" s="2">
        <f>IF(COUNTA(O344:T344)&lt;6,"",ROUND(O344*0.3+P344*0.2+Q344*0.15+R344*0.15+S344*0.1+T344*0.1,0))</f>
        <v/>
      </c>
      <c r="O344" s="2" t="n"/>
      <c r="P344" s="2" t="n"/>
      <c r="Q344" s="2" t="n"/>
      <c r="R344" s="2" t="n"/>
      <c r="S344" s="2" t="n"/>
      <c r="T344" s="2" t="n"/>
      <c r="U344" s="2">
        <f>IF(OR(AA344="fail",AC344="fail"),"P4",IF(N344="","",IF(N344&gt;=90,"P1",IF(N344&gt;=80,"P1",IF(N344&gt;=70,"P2",IF(N344&gt;=60,"P3","P4"))))))</f>
        <v/>
      </c>
      <c r="V344" s="2">
        <f>IF(OR(AA344="fail",AC344="fail"),"SKIP",IF(N344="","",IF(N344&gt;=90,"APPLY ASAP",IF(N344&gt;=80,"APPLY",IF(N344&gt;=70,"CONSIDER",IF(N344&gt;=60,"STRETCH","SKIP"))))))</f>
        <v/>
      </c>
      <c r="W344" s="2" t="n"/>
      <c r="X344" s="2" t="n"/>
      <c r="Y344" s="2" t="n"/>
      <c r="Z344" s="2" t="n"/>
    </row>
    <row r="345">
      <c r="A345" s="2" t="n"/>
      <c r="B345" s="2" t="n"/>
      <c r="C345" s="2" t="n"/>
      <c r="D345" s="2" t="n"/>
      <c r="E345" s="2" t="n"/>
      <c r="F345" s="2" t="n"/>
      <c r="G345" s="2" t="n"/>
      <c r="H345" s="2" t="n"/>
      <c r="I345" s="2" t="n"/>
      <c r="J345" s="2" t="n"/>
      <c r="K345" s="2" t="n"/>
      <c r="L345" s="2" t="n"/>
      <c r="M345" s="2" t="n"/>
      <c r="N345" s="2">
        <f>IF(COUNTA(O345:T345)&lt;6,"",ROUND(O345*0.3+P345*0.2+Q345*0.15+R345*0.15+S345*0.1+T345*0.1,0))</f>
        <v/>
      </c>
      <c r="O345" s="2" t="n"/>
      <c r="P345" s="2" t="n"/>
      <c r="Q345" s="2" t="n"/>
      <c r="R345" s="2" t="n"/>
      <c r="S345" s="2" t="n"/>
      <c r="T345" s="2" t="n"/>
      <c r="U345" s="2">
        <f>IF(OR(AA345="fail",AC345="fail"),"P4",IF(N345="","",IF(N345&gt;=90,"P1",IF(N345&gt;=80,"P1",IF(N345&gt;=70,"P2",IF(N345&gt;=60,"P3","P4"))))))</f>
        <v/>
      </c>
      <c r="V345" s="2">
        <f>IF(OR(AA345="fail",AC345="fail"),"SKIP",IF(N345="","",IF(N345&gt;=90,"APPLY ASAP",IF(N345&gt;=80,"APPLY",IF(N345&gt;=70,"CONSIDER",IF(N345&gt;=60,"STRETCH","SKIP"))))))</f>
        <v/>
      </c>
      <c r="W345" s="2" t="n"/>
      <c r="X345" s="2" t="n"/>
      <c r="Y345" s="2" t="n"/>
      <c r="Z345" s="2" t="n"/>
    </row>
    <row r="346">
      <c r="A346" s="2" t="n"/>
      <c r="B346" s="2" t="n"/>
      <c r="C346" s="2" t="n"/>
      <c r="D346" s="2" t="n"/>
      <c r="E346" s="2" t="n"/>
      <c r="F346" s="2" t="n"/>
      <c r="G346" s="2" t="n"/>
      <c r="H346" s="2" t="n"/>
      <c r="I346" s="2" t="n"/>
      <c r="J346" s="2" t="n"/>
      <c r="K346" s="2" t="n"/>
      <c r="L346" s="2" t="n"/>
      <c r="M346" s="2" t="n"/>
      <c r="N346" s="2">
        <f>IF(COUNTA(O346:T346)&lt;6,"",ROUND(O346*0.3+P346*0.2+Q346*0.15+R346*0.15+S346*0.1+T346*0.1,0))</f>
        <v/>
      </c>
      <c r="O346" s="2" t="n"/>
      <c r="P346" s="2" t="n"/>
      <c r="Q346" s="2" t="n"/>
      <c r="R346" s="2" t="n"/>
      <c r="S346" s="2" t="n"/>
      <c r="T346" s="2" t="n"/>
      <c r="U346" s="2">
        <f>IF(OR(AA346="fail",AC346="fail"),"P4",IF(N346="","",IF(N346&gt;=90,"P1",IF(N346&gt;=80,"P1",IF(N346&gt;=70,"P2",IF(N346&gt;=60,"P3","P4"))))))</f>
        <v/>
      </c>
      <c r="V346" s="2">
        <f>IF(OR(AA346="fail",AC346="fail"),"SKIP",IF(N346="","",IF(N346&gt;=90,"APPLY ASAP",IF(N346&gt;=80,"APPLY",IF(N346&gt;=70,"CONSIDER",IF(N346&gt;=60,"STRETCH","SKIP"))))))</f>
        <v/>
      </c>
      <c r="W346" s="2" t="n"/>
      <c r="X346" s="2" t="n"/>
      <c r="Y346" s="2" t="n"/>
      <c r="Z346" s="2" t="n"/>
    </row>
    <row r="347">
      <c r="A347" s="2" t="n"/>
      <c r="B347" s="2" t="n"/>
      <c r="C347" s="2" t="n"/>
      <c r="D347" s="2" t="n"/>
      <c r="E347" s="2" t="n"/>
      <c r="F347" s="2" t="n"/>
      <c r="G347" s="2" t="n"/>
      <c r="H347" s="2" t="n"/>
      <c r="I347" s="2" t="n"/>
      <c r="J347" s="2" t="n"/>
      <c r="K347" s="2" t="n"/>
      <c r="L347" s="2" t="n"/>
      <c r="M347" s="2" t="n"/>
      <c r="N347" s="2">
        <f>IF(COUNTA(O347:T347)&lt;6,"",ROUND(O347*0.3+P347*0.2+Q347*0.15+R347*0.15+S347*0.1+T347*0.1,0))</f>
        <v/>
      </c>
      <c r="O347" s="2" t="n"/>
      <c r="P347" s="2" t="n"/>
      <c r="Q347" s="2" t="n"/>
      <c r="R347" s="2" t="n"/>
      <c r="S347" s="2" t="n"/>
      <c r="T347" s="2" t="n"/>
      <c r="U347" s="2">
        <f>IF(OR(AA347="fail",AC347="fail"),"P4",IF(N347="","",IF(N347&gt;=90,"P1",IF(N347&gt;=80,"P1",IF(N347&gt;=70,"P2",IF(N347&gt;=60,"P3","P4"))))))</f>
        <v/>
      </c>
      <c r="V347" s="2">
        <f>IF(OR(AA347="fail",AC347="fail"),"SKIP",IF(N347="","",IF(N347&gt;=90,"APPLY ASAP",IF(N347&gt;=80,"APPLY",IF(N347&gt;=70,"CONSIDER",IF(N347&gt;=60,"STRETCH","SKIP"))))))</f>
        <v/>
      </c>
      <c r="W347" s="2" t="n"/>
      <c r="X347" s="2" t="n"/>
      <c r="Y347" s="2" t="n"/>
      <c r="Z347" s="2" t="n"/>
    </row>
    <row r="348">
      <c r="A348" s="2" t="n"/>
      <c r="B348" s="2" t="n"/>
      <c r="C348" s="2" t="n"/>
      <c r="D348" s="2" t="n"/>
      <c r="E348" s="2" t="n"/>
      <c r="F348" s="2" t="n"/>
      <c r="G348" s="2" t="n"/>
      <c r="H348" s="2" t="n"/>
      <c r="I348" s="2" t="n"/>
      <c r="J348" s="2" t="n"/>
      <c r="K348" s="2" t="n"/>
      <c r="L348" s="2" t="n"/>
      <c r="M348" s="2" t="n"/>
      <c r="N348" s="2">
        <f>IF(COUNTA(O348:T348)&lt;6,"",ROUND(O348*0.3+P348*0.2+Q348*0.15+R348*0.15+S348*0.1+T348*0.1,0))</f>
        <v/>
      </c>
      <c r="O348" s="2" t="n"/>
      <c r="P348" s="2" t="n"/>
      <c r="Q348" s="2" t="n"/>
      <c r="R348" s="2" t="n"/>
      <c r="S348" s="2" t="n"/>
      <c r="T348" s="2" t="n"/>
      <c r="U348" s="2">
        <f>IF(OR(AA348="fail",AC348="fail"),"P4",IF(N348="","",IF(N348&gt;=90,"P1",IF(N348&gt;=80,"P1",IF(N348&gt;=70,"P2",IF(N348&gt;=60,"P3","P4"))))))</f>
        <v/>
      </c>
      <c r="V348" s="2">
        <f>IF(OR(AA348="fail",AC348="fail"),"SKIP",IF(N348="","",IF(N348&gt;=90,"APPLY ASAP",IF(N348&gt;=80,"APPLY",IF(N348&gt;=70,"CONSIDER",IF(N348&gt;=60,"STRETCH","SKIP"))))))</f>
        <v/>
      </c>
      <c r="W348" s="2" t="n"/>
      <c r="X348" s="2" t="n"/>
      <c r="Y348" s="2" t="n"/>
      <c r="Z348" s="2" t="n"/>
    </row>
    <row r="349">
      <c r="A349" s="2" t="n"/>
      <c r="B349" s="2" t="n"/>
      <c r="C349" s="2" t="n"/>
      <c r="D349" s="2" t="n"/>
      <c r="E349" s="2" t="n"/>
      <c r="F349" s="2" t="n"/>
      <c r="G349" s="2" t="n"/>
      <c r="H349" s="2" t="n"/>
      <c r="I349" s="2" t="n"/>
      <c r="J349" s="2" t="n"/>
      <c r="K349" s="2" t="n"/>
      <c r="L349" s="2" t="n"/>
      <c r="M349" s="2" t="n"/>
      <c r="N349" s="2">
        <f>IF(COUNTA(O349:T349)&lt;6,"",ROUND(O349*0.3+P349*0.2+Q349*0.15+R349*0.15+S349*0.1+T349*0.1,0))</f>
        <v/>
      </c>
      <c r="O349" s="2" t="n"/>
      <c r="P349" s="2" t="n"/>
      <c r="Q349" s="2" t="n"/>
      <c r="R349" s="2" t="n"/>
      <c r="S349" s="2" t="n"/>
      <c r="T349" s="2" t="n"/>
      <c r="U349" s="2">
        <f>IF(OR(AA349="fail",AC349="fail"),"P4",IF(N349="","",IF(N349&gt;=90,"P1",IF(N349&gt;=80,"P1",IF(N349&gt;=70,"P2",IF(N349&gt;=60,"P3","P4"))))))</f>
        <v/>
      </c>
      <c r="V349" s="2">
        <f>IF(OR(AA349="fail",AC349="fail"),"SKIP",IF(N349="","",IF(N349&gt;=90,"APPLY ASAP",IF(N349&gt;=80,"APPLY",IF(N349&gt;=70,"CONSIDER",IF(N349&gt;=60,"STRETCH","SKIP"))))))</f>
        <v/>
      </c>
      <c r="W349" s="2" t="n"/>
      <c r="X349" s="2" t="n"/>
      <c r="Y349" s="2" t="n"/>
      <c r="Z349" s="2" t="n"/>
    </row>
    <row r="350">
      <c r="A350" s="2" t="n"/>
      <c r="B350" s="2" t="n"/>
      <c r="C350" s="2" t="n"/>
      <c r="D350" s="2" t="n"/>
      <c r="E350" s="2" t="n"/>
      <c r="F350" s="2" t="n"/>
      <c r="G350" s="2" t="n"/>
      <c r="H350" s="2" t="n"/>
      <c r="I350" s="2" t="n"/>
      <c r="J350" s="2" t="n"/>
      <c r="K350" s="2" t="n"/>
      <c r="L350" s="2" t="n"/>
      <c r="M350" s="2" t="n"/>
      <c r="N350" s="2">
        <f>IF(COUNTA(O350:T350)&lt;6,"",ROUND(O350*0.3+P350*0.2+Q350*0.15+R350*0.15+S350*0.1+T350*0.1,0))</f>
        <v/>
      </c>
      <c r="O350" s="2" t="n"/>
      <c r="P350" s="2" t="n"/>
      <c r="Q350" s="2" t="n"/>
      <c r="R350" s="2" t="n"/>
      <c r="S350" s="2" t="n"/>
      <c r="T350" s="2" t="n"/>
      <c r="U350" s="2">
        <f>IF(OR(AA350="fail",AC350="fail"),"P4",IF(N350="","",IF(N350&gt;=90,"P1",IF(N350&gt;=80,"P1",IF(N350&gt;=70,"P2",IF(N350&gt;=60,"P3","P4"))))))</f>
        <v/>
      </c>
      <c r="V350" s="2">
        <f>IF(OR(AA350="fail",AC350="fail"),"SKIP",IF(N350="","",IF(N350&gt;=90,"APPLY ASAP",IF(N350&gt;=80,"APPLY",IF(N350&gt;=70,"CONSIDER",IF(N350&gt;=60,"STRETCH","SKIP"))))))</f>
        <v/>
      </c>
      <c r="W350" s="2" t="n"/>
      <c r="X350" s="2" t="n"/>
      <c r="Y350" s="2" t="n"/>
      <c r="Z350" s="2" t="n"/>
    </row>
    <row r="351">
      <c r="A351" s="2" t="n"/>
      <c r="B351" s="2" t="n"/>
      <c r="C351" s="2" t="n"/>
      <c r="D351" s="2" t="n"/>
      <c r="E351" s="2" t="n"/>
      <c r="F351" s="2" t="n"/>
      <c r="G351" s="2" t="n"/>
      <c r="H351" s="2" t="n"/>
      <c r="I351" s="2" t="n"/>
      <c r="J351" s="2" t="n"/>
      <c r="K351" s="2" t="n"/>
      <c r="L351" s="2" t="n"/>
      <c r="M351" s="2" t="n"/>
      <c r="N351" s="2">
        <f>IF(COUNTA(O351:T351)&lt;6,"",ROUND(O351*0.3+P351*0.2+Q351*0.15+R351*0.15+S351*0.1+T351*0.1,0))</f>
        <v/>
      </c>
      <c r="O351" s="2" t="n"/>
      <c r="P351" s="2" t="n"/>
      <c r="Q351" s="2" t="n"/>
      <c r="R351" s="2" t="n"/>
      <c r="S351" s="2" t="n"/>
      <c r="T351" s="2" t="n"/>
      <c r="U351" s="2">
        <f>IF(OR(AA351="fail",AC351="fail"),"P4",IF(N351="","",IF(N351&gt;=90,"P1",IF(N351&gt;=80,"P1",IF(N351&gt;=70,"P2",IF(N351&gt;=60,"P3","P4"))))))</f>
        <v/>
      </c>
      <c r="V351" s="2">
        <f>IF(OR(AA351="fail",AC351="fail"),"SKIP",IF(N351="","",IF(N351&gt;=90,"APPLY ASAP",IF(N351&gt;=80,"APPLY",IF(N351&gt;=70,"CONSIDER",IF(N351&gt;=60,"STRETCH","SKIP"))))))</f>
        <v/>
      </c>
      <c r="W351" s="2" t="n"/>
      <c r="X351" s="2" t="n"/>
      <c r="Y351" s="2" t="n"/>
      <c r="Z351" s="2" t="n"/>
    </row>
    <row r="352">
      <c r="A352" s="2" t="n"/>
      <c r="B352" s="2" t="n"/>
      <c r="C352" s="2" t="n"/>
      <c r="D352" s="2" t="n"/>
      <c r="E352" s="2" t="n"/>
      <c r="F352" s="2" t="n"/>
      <c r="G352" s="2" t="n"/>
      <c r="H352" s="2" t="n"/>
      <c r="I352" s="2" t="n"/>
      <c r="J352" s="2" t="n"/>
      <c r="K352" s="2" t="n"/>
      <c r="L352" s="2" t="n"/>
      <c r="M352" s="2" t="n"/>
      <c r="N352" s="2">
        <f>IF(COUNTA(O352:T352)&lt;6,"",ROUND(O352*0.3+P352*0.2+Q352*0.15+R352*0.15+S352*0.1+T352*0.1,0))</f>
        <v/>
      </c>
      <c r="O352" s="2" t="n"/>
      <c r="P352" s="2" t="n"/>
      <c r="Q352" s="2" t="n"/>
      <c r="R352" s="2" t="n"/>
      <c r="S352" s="2" t="n"/>
      <c r="T352" s="2" t="n"/>
      <c r="U352" s="2">
        <f>IF(OR(AA352="fail",AC352="fail"),"P4",IF(N352="","",IF(N352&gt;=90,"P1",IF(N352&gt;=80,"P1",IF(N352&gt;=70,"P2",IF(N352&gt;=60,"P3","P4"))))))</f>
        <v/>
      </c>
      <c r="V352" s="2">
        <f>IF(OR(AA352="fail",AC352="fail"),"SKIP",IF(N352="","",IF(N352&gt;=90,"APPLY ASAP",IF(N352&gt;=80,"APPLY",IF(N352&gt;=70,"CONSIDER",IF(N352&gt;=60,"STRETCH","SKIP"))))))</f>
        <v/>
      </c>
      <c r="W352" s="2" t="n"/>
      <c r="X352" s="2" t="n"/>
      <c r="Y352" s="2" t="n"/>
      <c r="Z352" s="2" t="n"/>
    </row>
    <row r="353">
      <c r="A353" s="2" t="n"/>
      <c r="B353" s="2" t="n"/>
      <c r="C353" s="2" t="n"/>
      <c r="D353" s="2" t="n"/>
      <c r="E353" s="2" t="n"/>
      <c r="F353" s="2" t="n"/>
      <c r="G353" s="2" t="n"/>
      <c r="H353" s="2" t="n"/>
      <c r="I353" s="2" t="n"/>
      <c r="J353" s="2" t="n"/>
      <c r="K353" s="2" t="n"/>
      <c r="L353" s="2" t="n"/>
      <c r="M353" s="2" t="n"/>
      <c r="N353" s="2">
        <f>IF(COUNTA(O353:T353)&lt;6,"",ROUND(O353*0.3+P353*0.2+Q353*0.15+R353*0.15+S353*0.1+T353*0.1,0))</f>
        <v/>
      </c>
      <c r="O353" s="2" t="n"/>
      <c r="P353" s="2" t="n"/>
      <c r="Q353" s="2" t="n"/>
      <c r="R353" s="2" t="n"/>
      <c r="S353" s="2" t="n"/>
      <c r="T353" s="2" t="n"/>
      <c r="U353" s="2">
        <f>IF(OR(AA353="fail",AC353="fail"),"P4",IF(N353="","",IF(N353&gt;=90,"P1",IF(N353&gt;=80,"P1",IF(N353&gt;=70,"P2",IF(N353&gt;=60,"P3","P4"))))))</f>
        <v/>
      </c>
      <c r="V353" s="2">
        <f>IF(OR(AA353="fail",AC353="fail"),"SKIP",IF(N353="","",IF(N353&gt;=90,"APPLY ASAP",IF(N353&gt;=80,"APPLY",IF(N353&gt;=70,"CONSIDER",IF(N353&gt;=60,"STRETCH","SKIP"))))))</f>
        <v/>
      </c>
      <c r="W353" s="2" t="n"/>
      <c r="X353" s="2" t="n"/>
      <c r="Y353" s="2" t="n"/>
      <c r="Z353" s="2" t="n"/>
    </row>
    <row r="354">
      <c r="A354" s="2" t="n"/>
      <c r="B354" s="2" t="n"/>
      <c r="C354" s="2" t="n"/>
      <c r="D354" s="2" t="n"/>
      <c r="E354" s="2" t="n"/>
      <c r="F354" s="2" t="n"/>
      <c r="G354" s="2" t="n"/>
      <c r="H354" s="2" t="n"/>
      <c r="I354" s="2" t="n"/>
      <c r="J354" s="2" t="n"/>
      <c r="K354" s="2" t="n"/>
      <c r="L354" s="2" t="n"/>
      <c r="M354" s="2" t="n"/>
      <c r="N354" s="2">
        <f>IF(COUNTA(O354:T354)&lt;6,"",ROUND(O354*0.3+P354*0.2+Q354*0.15+R354*0.15+S354*0.1+T354*0.1,0))</f>
        <v/>
      </c>
      <c r="O354" s="2" t="n"/>
      <c r="P354" s="2" t="n"/>
      <c r="Q354" s="2" t="n"/>
      <c r="R354" s="2" t="n"/>
      <c r="S354" s="2" t="n"/>
      <c r="T354" s="2" t="n"/>
      <c r="U354" s="2">
        <f>IF(OR(AA354="fail",AC354="fail"),"P4",IF(N354="","",IF(N354&gt;=90,"P1",IF(N354&gt;=80,"P1",IF(N354&gt;=70,"P2",IF(N354&gt;=60,"P3","P4"))))))</f>
        <v/>
      </c>
      <c r="V354" s="2">
        <f>IF(OR(AA354="fail",AC354="fail"),"SKIP",IF(N354="","",IF(N354&gt;=90,"APPLY ASAP",IF(N354&gt;=80,"APPLY",IF(N354&gt;=70,"CONSIDER",IF(N354&gt;=60,"STRETCH","SKIP"))))))</f>
        <v/>
      </c>
      <c r="W354" s="2" t="n"/>
      <c r="X354" s="2" t="n"/>
      <c r="Y354" s="2" t="n"/>
      <c r="Z354" s="2" t="n"/>
    </row>
    <row r="355">
      <c r="A355" s="2" t="n"/>
      <c r="B355" s="2" t="n"/>
      <c r="C355" s="2" t="n"/>
      <c r="D355" s="2" t="n"/>
      <c r="E355" s="2" t="n"/>
      <c r="F355" s="2" t="n"/>
      <c r="G355" s="2" t="n"/>
      <c r="H355" s="2" t="n"/>
      <c r="I355" s="2" t="n"/>
      <c r="J355" s="2" t="n"/>
      <c r="K355" s="2" t="n"/>
      <c r="L355" s="2" t="n"/>
      <c r="M355" s="2" t="n"/>
      <c r="N355" s="2">
        <f>IF(COUNTA(O355:T355)&lt;6,"",ROUND(O355*0.3+P355*0.2+Q355*0.15+R355*0.15+S355*0.1+T355*0.1,0))</f>
        <v/>
      </c>
      <c r="O355" s="2" t="n"/>
      <c r="P355" s="2" t="n"/>
      <c r="Q355" s="2" t="n"/>
      <c r="R355" s="2" t="n"/>
      <c r="S355" s="2" t="n"/>
      <c r="T355" s="2" t="n"/>
      <c r="U355" s="2">
        <f>IF(OR(AA355="fail",AC355="fail"),"P4",IF(N355="","",IF(N355&gt;=90,"P1",IF(N355&gt;=80,"P1",IF(N355&gt;=70,"P2",IF(N355&gt;=60,"P3","P4"))))))</f>
        <v/>
      </c>
      <c r="V355" s="2">
        <f>IF(OR(AA355="fail",AC355="fail"),"SKIP",IF(N355="","",IF(N355&gt;=90,"APPLY ASAP",IF(N355&gt;=80,"APPLY",IF(N355&gt;=70,"CONSIDER",IF(N355&gt;=60,"STRETCH","SKIP"))))))</f>
        <v/>
      </c>
      <c r="W355" s="2" t="n"/>
      <c r="X355" s="2" t="n"/>
      <c r="Y355" s="2" t="n"/>
      <c r="Z355" s="2" t="n"/>
    </row>
    <row r="356">
      <c r="A356" s="2" t="n"/>
      <c r="B356" s="2" t="n"/>
      <c r="C356" s="2" t="n"/>
      <c r="D356" s="2" t="n"/>
      <c r="E356" s="2" t="n"/>
      <c r="F356" s="2" t="n"/>
      <c r="G356" s="2" t="n"/>
      <c r="H356" s="2" t="n"/>
      <c r="I356" s="2" t="n"/>
      <c r="J356" s="2" t="n"/>
      <c r="K356" s="2" t="n"/>
      <c r="L356" s="2" t="n"/>
      <c r="M356" s="2" t="n"/>
      <c r="N356" s="2">
        <f>IF(COUNTA(O356:T356)&lt;6,"",ROUND(O356*0.3+P356*0.2+Q356*0.15+R356*0.15+S356*0.1+T356*0.1,0))</f>
        <v/>
      </c>
      <c r="O356" s="2" t="n"/>
      <c r="P356" s="2" t="n"/>
      <c r="Q356" s="2" t="n"/>
      <c r="R356" s="2" t="n"/>
      <c r="S356" s="2" t="n"/>
      <c r="T356" s="2" t="n"/>
      <c r="U356" s="2">
        <f>IF(OR(AA356="fail",AC356="fail"),"P4",IF(N356="","",IF(N356&gt;=90,"P1",IF(N356&gt;=80,"P1",IF(N356&gt;=70,"P2",IF(N356&gt;=60,"P3","P4"))))))</f>
        <v/>
      </c>
      <c r="V356" s="2">
        <f>IF(OR(AA356="fail",AC356="fail"),"SKIP",IF(N356="","",IF(N356&gt;=90,"APPLY ASAP",IF(N356&gt;=80,"APPLY",IF(N356&gt;=70,"CONSIDER",IF(N356&gt;=60,"STRETCH","SKIP"))))))</f>
        <v/>
      </c>
      <c r="W356" s="2" t="n"/>
      <c r="X356" s="2" t="n"/>
      <c r="Y356" s="2" t="n"/>
      <c r="Z356" s="2" t="n"/>
    </row>
    <row r="357">
      <c r="A357" s="2" t="n"/>
      <c r="B357" s="2" t="n"/>
      <c r="C357" s="2" t="n"/>
      <c r="D357" s="2" t="n"/>
      <c r="E357" s="2" t="n"/>
      <c r="F357" s="2" t="n"/>
      <c r="G357" s="2" t="n"/>
      <c r="H357" s="2" t="n"/>
      <c r="I357" s="2" t="n"/>
      <c r="J357" s="2" t="n"/>
      <c r="K357" s="2" t="n"/>
      <c r="L357" s="2" t="n"/>
      <c r="M357" s="2" t="n"/>
      <c r="N357" s="2">
        <f>IF(COUNTA(O357:T357)&lt;6,"",ROUND(O357*0.3+P357*0.2+Q357*0.15+R357*0.15+S357*0.1+T357*0.1,0))</f>
        <v/>
      </c>
      <c r="O357" s="2" t="n"/>
      <c r="P357" s="2" t="n"/>
      <c r="Q357" s="2" t="n"/>
      <c r="R357" s="2" t="n"/>
      <c r="S357" s="2" t="n"/>
      <c r="T357" s="2" t="n"/>
      <c r="U357" s="2">
        <f>IF(OR(AA357="fail",AC357="fail"),"P4",IF(N357="","",IF(N357&gt;=90,"P1",IF(N357&gt;=80,"P1",IF(N357&gt;=70,"P2",IF(N357&gt;=60,"P3","P4"))))))</f>
        <v/>
      </c>
      <c r="V357" s="2">
        <f>IF(OR(AA357="fail",AC357="fail"),"SKIP",IF(N357="","",IF(N357&gt;=90,"APPLY ASAP",IF(N357&gt;=80,"APPLY",IF(N357&gt;=70,"CONSIDER",IF(N357&gt;=60,"STRETCH","SKIP"))))))</f>
        <v/>
      </c>
      <c r="W357" s="2" t="n"/>
      <c r="X357" s="2" t="n"/>
      <c r="Y357" s="2" t="n"/>
      <c r="Z357" s="2" t="n"/>
    </row>
    <row r="358">
      <c r="A358" s="2" t="n"/>
      <c r="B358" s="2" t="n"/>
      <c r="C358" s="2" t="n"/>
      <c r="D358" s="2" t="n"/>
      <c r="E358" s="2" t="n"/>
      <c r="F358" s="2" t="n"/>
      <c r="G358" s="2" t="n"/>
      <c r="H358" s="2" t="n"/>
      <c r="I358" s="2" t="n"/>
      <c r="J358" s="2" t="n"/>
      <c r="K358" s="2" t="n"/>
      <c r="L358" s="2" t="n"/>
      <c r="M358" s="2" t="n"/>
      <c r="N358" s="2">
        <f>IF(COUNTA(O358:T358)&lt;6,"",ROUND(O358*0.3+P358*0.2+Q358*0.15+R358*0.15+S358*0.1+T358*0.1,0))</f>
        <v/>
      </c>
      <c r="O358" s="2" t="n"/>
      <c r="P358" s="2" t="n"/>
      <c r="Q358" s="2" t="n"/>
      <c r="R358" s="2" t="n"/>
      <c r="S358" s="2" t="n"/>
      <c r="T358" s="2" t="n"/>
      <c r="U358" s="2">
        <f>IF(OR(AA358="fail",AC358="fail"),"P4",IF(N358="","",IF(N358&gt;=90,"P1",IF(N358&gt;=80,"P1",IF(N358&gt;=70,"P2",IF(N358&gt;=60,"P3","P4"))))))</f>
        <v/>
      </c>
      <c r="V358" s="2">
        <f>IF(OR(AA358="fail",AC358="fail"),"SKIP",IF(N358="","",IF(N358&gt;=90,"APPLY ASAP",IF(N358&gt;=80,"APPLY",IF(N358&gt;=70,"CONSIDER",IF(N358&gt;=60,"STRETCH","SKIP"))))))</f>
        <v/>
      </c>
      <c r="W358" s="2" t="n"/>
      <c r="X358" s="2" t="n"/>
      <c r="Y358" s="2" t="n"/>
      <c r="Z358" s="2" t="n"/>
    </row>
    <row r="359">
      <c r="A359" s="2" t="n"/>
      <c r="B359" s="2" t="n"/>
      <c r="C359" s="2" t="n"/>
      <c r="D359" s="2" t="n"/>
      <c r="E359" s="2" t="n"/>
      <c r="F359" s="2" t="n"/>
      <c r="G359" s="2" t="n"/>
      <c r="H359" s="2" t="n"/>
      <c r="I359" s="2" t="n"/>
      <c r="J359" s="2" t="n"/>
      <c r="K359" s="2" t="n"/>
      <c r="L359" s="2" t="n"/>
      <c r="M359" s="2" t="n"/>
      <c r="N359" s="2">
        <f>IF(COUNTA(O359:T359)&lt;6,"",ROUND(O359*0.3+P359*0.2+Q359*0.15+R359*0.15+S359*0.1+T359*0.1,0))</f>
        <v/>
      </c>
      <c r="O359" s="2" t="n"/>
      <c r="P359" s="2" t="n"/>
      <c r="Q359" s="2" t="n"/>
      <c r="R359" s="2" t="n"/>
      <c r="S359" s="2" t="n"/>
      <c r="T359" s="2" t="n"/>
      <c r="U359" s="2">
        <f>IF(OR(AA359="fail",AC359="fail"),"P4",IF(N359="","",IF(N359&gt;=90,"P1",IF(N359&gt;=80,"P1",IF(N359&gt;=70,"P2",IF(N359&gt;=60,"P3","P4"))))))</f>
        <v/>
      </c>
      <c r="V359" s="2">
        <f>IF(OR(AA359="fail",AC359="fail"),"SKIP",IF(N359="","",IF(N359&gt;=90,"APPLY ASAP",IF(N359&gt;=80,"APPLY",IF(N359&gt;=70,"CONSIDER",IF(N359&gt;=60,"STRETCH","SKIP"))))))</f>
        <v/>
      </c>
      <c r="W359" s="2" t="n"/>
      <c r="X359" s="2" t="n"/>
      <c r="Y359" s="2" t="n"/>
      <c r="Z359" s="2" t="n"/>
    </row>
    <row r="360">
      <c r="A360" s="2" t="n"/>
      <c r="B360" s="2" t="n"/>
      <c r="C360" s="2" t="n"/>
      <c r="D360" s="2" t="n"/>
      <c r="E360" s="2" t="n"/>
      <c r="F360" s="2" t="n"/>
      <c r="G360" s="2" t="n"/>
      <c r="H360" s="2" t="n"/>
      <c r="I360" s="2" t="n"/>
      <c r="J360" s="2" t="n"/>
      <c r="K360" s="2" t="n"/>
      <c r="L360" s="2" t="n"/>
      <c r="M360" s="2" t="n"/>
      <c r="N360" s="2">
        <f>IF(COUNTA(O360:T360)&lt;6,"",ROUND(O360*0.3+P360*0.2+Q360*0.15+R360*0.15+S360*0.1+T360*0.1,0))</f>
        <v/>
      </c>
      <c r="O360" s="2" t="n"/>
      <c r="P360" s="2" t="n"/>
      <c r="Q360" s="2" t="n"/>
      <c r="R360" s="2" t="n"/>
      <c r="S360" s="2" t="n"/>
      <c r="T360" s="2" t="n"/>
      <c r="U360" s="2">
        <f>IF(OR(AA360="fail",AC360="fail"),"P4",IF(N360="","",IF(N360&gt;=90,"P1",IF(N360&gt;=80,"P1",IF(N360&gt;=70,"P2",IF(N360&gt;=60,"P3","P4"))))))</f>
        <v/>
      </c>
      <c r="V360" s="2">
        <f>IF(OR(AA360="fail",AC360="fail"),"SKIP",IF(N360="","",IF(N360&gt;=90,"APPLY ASAP",IF(N360&gt;=80,"APPLY",IF(N360&gt;=70,"CONSIDER",IF(N360&gt;=60,"STRETCH","SKIP"))))))</f>
        <v/>
      </c>
      <c r="W360" s="2" t="n"/>
      <c r="X360" s="2" t="n"/>
      <c r="Y360" s="2" t="n"/>
      <c r="Z360" s="2" t="n"/>
    </row>
    <row r="361">
      <c r="A361" s="2" t="n"/>
      <c r="B361" s="2" t="n"/>
      <c r="C361" s="2" t="n"/>
      <c r="D361" s="2" t="n"/>
      <c r="E361" s="2" t="n"/>
      <c r="F361" s="2" t="n"/>
      <c r="G361" s="2" t="n"/>
      <c r="H361" s="2" t="n"/>
      <c r="I361" s="2" t="n"/>
      <c r="J361" s="2" t="n"/>
      <c r="K361" s="2" t="n"/>
      <c r="L361" s="2" t="n"/>
      <c r="M361" s="2" t="n"/>
      <c r="N361" s="2">
        <f>IF(COUNTA(O361:T361)&lt;6,"",ROUND(O361*0.3+P361*0.2+Q361*0.15+R361*0.15+S361*0.1+T361*0.1,0))</f>
        <v/>
      </c>
      <c r="O361" s="2" t="n"/>
      <c r="P361" s="2" t="n"/>
      <c r="Q361" s="2" t="n"/>
      <c r="R361" s="2" t="n"/>
      <c r="S361" s="2" t="n"/>
      <c r="T361" s="2" t="n"/>
      <c r="U361" s="2">
        <f>IF(OR(AA361="fail",AC361="fail"),"P4",IF(N361="","",IF(N361&gt;=90,"P1",IF(N361&gt;=80,"P1",IF(N361&gt;=70,"P2",IF(N361&gt;=60,"P3","P4"))))))</f>
        <v/>
      </c>
      <c r="V361" s="2">
        <f>IF(OR(AA361="fail",AC361="fail"),"SKIP",IF(N361="","",IF(N361&gt;=90,"APPLY ASAP",IF(N361&gt;=80,"APPLY",IF(N361&gt;=70,"CONSIDER",IF(N361&gt;=60,"STRETCH","SKIP"))))))</f>
        <v/>
      </c>
      <c r="W361" s="2" t="n"/>
      <c r="X361" s="2" t="n"/>
      <c r="Y361" s="2" t="n"/>
      <c r="Z361" s="2" t="n"/>
    </row>
    <row r="362">
      <c r="A362" s="2" t="n"/>
      <c r="B362" s="2" t="n"/>
      <c r="C362" s="2" t="n"/>
      <c r="D362" s="2" t="n"/>
      <c r="E362" s="2" t="n"/>
      <c r="F362" s="2" t="n"/>
      <c r="G362" s="2" t="n"/>
      <c r="H362" s="2" t="n"/>
      <c r="I362" s="2" t="n"/>
      <c r="J362" s="2" t="n"/>
      <c r="K362" s="2" t="n"/>
      <c r="L362" s="2" t="n"/>
      <c r="M362" s="2" t="n"/>
      <c r="N362" s="2">
        <f>IF(COUNTA(O362:T362)&lt;6,"",ROUND(O362*0.3+P362*0.2+Q362*0.15+R362*0.15+S362*0.1+T362*0.1,0))</f>
        <v/>
      </c>
      <c r="O362" s="2" t="n"/>
      <c r="P362" s="2" t="n"/>
      <c r="Q362" s="2" t="n"/>
      <c r="R362" s="2" t="n"/>
      <c r="S362" s="2" t="n"/>
      <c r="T362" s="2" t="n"/>
      <c r="U362" s="2">
        <f>IF(OR(AA362="fail",AC362="fail"),"P4",IF(N362="","",IF(N362&gt;=90,"P1",IF(N362&gt;=80,"P1",IF(N362&gt;=70,"P2",IF(N362&gt;=60,"P3","P4"))))))</f>
        <v/>
      </c>
      <c r="V362" s="2">
        <f>IF(OR(AA362="fail",AC362="fail"),"SKIP",IF(N362="","",IF(N362&gt;=90,"APPLY ASAP",IF(N362&gt;=80,"APPLY",IF(N362&gt;=70,"CONSIDER",IF(N362&gt;=60,"STRETCH","SKIP"))))))</f>
        <v/>
      </c>
      <c r="W362" s="2" t="n"/>
      <c r="X362" s="2" t="n"/>
      <c r="Y362" s="2" t="n"/>
      <c r="Z362" s="2" t="n"/>
    </row>
    <row r="363">
      <c r="A363" s="2" t="n"/>
      <c r="B363" s="2" t="n"/>
      <c r="C363" s="2" t="n"/>
      <c r="D363" s="2" t="n"/>
      <c r="E363" s="2" t="n"/>
      <c r="F363" s="2" t="n"/>
      <c r="G363" s="2" t="n"/>
      <c r="H363" s="2" t="n"/>
      <c r="I363" s="2" t="n"/>
      <c r="J363" s="2" t="n"/>
      <c r="K363" s="2" t="n"/>
      <c r="L363" s="2" t="n"/>
      <c r="M363" s="2" t="n"/>
      <c r="N363" s="2">
        <f>IF(COUNTA(O363:T363)&lt;6,"",ROUND(O363*0.3+P363*0.2+Q363*0.15+R363*0.15+S363*0.1+T363*0.1,0))</f>
        <v/>
      </c>
      <c r="O363" s="2" t="n"/>
      <c r="P363" s="2" t="n"/>
      <c r="Q363" s="2" t="n"/>
      <c r="R363" s="2" t="n"/>
      <c r="S363" s="2" t="n"/>
      <c r="T363" s="2" t="n"/>
      <c r="U363" s="2">
        <f>IF(OR(AA363="fail",AC363="fail"),"P4",IF(N363="","",IF(N363&gt;=90,"P1",IF(N363&gt;=80,"P1",IF(N363&gt;=70,"P2",IF(N363&gt;=60,"P3","P4"))))))</f>
        <v/>
      </c>
      <c r="V363" s="2">
        <f>IF(OR(AA363="fail",AC363="fail"),"SKIP",IF(N363="","",IF(N363&gt;=90,"APPLY ASAP",IF(N363&gt;=80,"APPLY",IF(N363&gt;=70,"CONSIDER",IF(N363&gt;=60,"STRETCH","SKIP"))))))</f>
        <v/>
      </c>
      <c r="W363" s="2" t="n"/>
      <c r="X363" s="2" t="n"/>
      <c r="Y363" s="2" t="n"/>
      <c r="Z363" s="2" t="n"/>
    </row>
    <row r="364">
      <c r="A364" s="2" t="n"/>
      <c r="B364" s="2" t="n"/>
      <c r="C364" s="2" t="n"/>
      <c r="D364" s="2" t="n"/>
      <c r="E364" s="2" t="n"/>
      <c r="F364" s="2" t="n"/>
      <c r="G364" s="2" t="n"/>
      <c r="H364" s="2" t="n"/>
      <c r="I364" s="2" t="n"/>
      <c r="J364" s="2" t="n"/>
      <c r="K364" s="2" t="n"/>
      <c r="L364" s="2" t="n"/>
      <c r="M364" s="2" t="n"/>
      <c r="N364" s="2">
        <f>IF(COUNTA(O364:T364)&lt;6,"",ROUND(O364*0.3+P364*0.2+Q364*0.15+R364*0.15+S364*0.1+T364*0.1,0))</f>
        <v/>
      </c>
      <c r="O364" s="2" t="n"/>
      <c r="P364" s="2" t="n"/>
      <c r="Q364" s="2" t="n"/>
      <c r="R364" s="2" t="n"/>
      <c r="S364" s="2" t="n"/>
      <c r="T364" s="2" t="n"/>
      <c r="U364" s="2">
        <f>IF(OR(AA364="fail",AC364="fail"),"P4",IF(N364="","",IF(N364&gt;=90,"P1",IF(N364&gt;=80,"P1",IF(N364&gt;=70,"P2",IF(N364&gt;=60,"P3","P4"))))))</f>
        <v/>
      </c>
      <c r="V364" s="2">
        <f>IF(OR(AA364="fail",AC364="fail"),"SKIP",IF(N364="","",IF(N364&gt;=90,"APPLY ASAP",IF(N364&gt;=80,"APPLY",IF(N364&gt;=70,"CONSIDER",IF(N364&gt;=60,"STRETCH","SKIP"))))))</f>
        <v/>
      </c>
      <c r="W364" s="2" t="n"/>
      <c r="X364" s="2" t="n"/>
      <c r="Y364" s="2" t="n"/>
      <c r="Z364" s="2" t="n"/>
    </row>
    <row r="365">
      <c r="A365" s="2" t="n"/>
      <c r="B365" s="2" t="n"/>
      <c r="C365" s="2" t="n"/>
      <c r="D365" s="2" t="n"/>
      <c r="E365" s="2" t="n"/>
      <c r="F365" s="2" t="n"/>
      <c r="G365" s="2" t="n"/>
      <c r="H365" s="2" t="n"/>
      <c r="I365" s="2" t="n"/>
      <c r="J365" s="2" t="n"/>
      <c r="K365" s="2" t="n"/>
      <c r="L365" s="2" t="n"/>
      <c r="M365" s="2" t="n"/>
      <c r="N365" s="2">
        <f>IF(COUNTA(O365:T365)&lt;6,"",ROUND(O365*0.3+P365*0.2+Q365*0.15+R365*0.15+S365*0.1+T365*0.1,0))</f>
        <v/>
      </c>
      <c r="O365" s="2" t="n"/>
      <c r="P365" s="2" t="n"/>
      <c r="Q365" s="2" t="n"/>
      <c r="R365" s="2" t="n"/>
      <c r="S365" s="2" t="n"/>
      <c r="T365" s="2" t="n"/>
      <c r="U365" s="2">
        <f>IF(OR(AA365="fail",AC365="fail"),"P4",IF(N365="","",IF(N365&gt;=90,"P1",IF(N365&gt;=80,"P1",IF(N365&gt;=70,"P2",IF(N365&gt;=60,"P3","P4"))))))</f>
        <v/>
      </c>
      <c r="V365" s="2">
        <f>IF(OR(AA365="fail",AC365="fail"),"SKIP",IF(N365="","",IF(N365&gt;=90,"APPLY ASAP",IF(N365&gt;=80,"APPLY",IF(N365&gt;=70,"CONSIDER",IF(N365&gt;=60,"STRETCH","SKIP"))))))</f>
        <v/>
      </c>
      <c r="W365" s="2" t="n"/>
      <c r="X365" s="2" t="n"/>
      <c r="Y365" s="2" t="n"/>
      <c r="Z365" s="2" t="n"/>
    </row>
    <row r="366">
      <c r="A366" s="2" t="n"/>
      <c r="B366" s="2" t="n"/>
      <c r="C366" s="2" t="n"/>
      <c r="D366" s="2" t="n"/>
      <c r="E366" s="2" t="n"/>
      <c r="F366" s="2" t="n"/>
      <c r="G366" s="2" t="n"/>
      <c r="H366" s="2" t="n"/>
      <c r="I366" s="2" t="n"/>
      <c r="J366" s="2" t="n"/>
      <c r="K366" s="2" t="n"/>
      <c r="L366" s="2" t="n"/>
      <c r="M366" s="2" t="n"/>
      <c r="N366" s="2">
        <f>IF(COUNTA(O366:T366)&lt;6,"",ROUND(O366*0.3+P366*0.2+Q366*0.15+R366*0.15+S366*0.1+T366*0.1,0))</f>
        <v/>
      </c>
      <c r="O366" s="2" t="n"/>
      <c r="P366" s="2" t="n"/>
      <c r="Q366" s="2" t="n"/>
      <c r="R366" s="2" t="n"/>
      <c r="S366" s="2" t="n"/>
      <c r="T366" s="2" t="n"/>
      <c r="U366" s="2">
        <f>IF(OR(AA366="fail",AC366="fail"),"P4",IF(N366="","",IF(N366&gt;=90,"P1",IF(N366&gt;=80,"P1",IF(N366&gt;=70,"P2",IF(N366&gt;=60,"P3","P4"))))))</f>
        <v/>
      </c>
      <c r="V366" s="2">
        <f>IF(OR(AA366="fail",AC366="fail"),"SKIP",IF(N366="","",IF(N366&gt;=90,"APPLY ASAP",IF(N366&gt;=80,"APPLY",IF(N366&gt;=70,"CONSIDER",IF(N366&gt;=60,"STRETCH","SKIP"))))))</f>
        <v/>
      </c>
      <c r="W366" s="2" t="n"/>
      <c r="X366" s="2" t="n"/>
      <c r="Y366" s="2" t="n"/>
      <c r="Z366" s="2" t="n"/>
    </row>
    <row r="367">
      <c r="A367" s="2" t="n"/>
      <c r="B367" s="2" t="n"/>
      <c r="C367" s="2" t="n"/>
      <c r="D367" s="2" t="n"/>
      <c r="E367" s="2" t="n"/>
      <c r="F367" s="2" t="n"/>
      <c r="G367" s="2" t="n"/>
      <c r="H367" s="2" t="n"/>
      <c r="I367" s="2" t="n"/>
      <c r="J367" s="2" t="n"/>
      <c r="K367" s="2" t="n"/>
      <c r="L367" s="2" t="n"/>
      <c r="M367" s="2" t="n"/>
      <c r="N367" s="2">
        <f>IF(COUNTA(O367:T367)&lt;6,"",ROUND(O367*0.3+P367*0.2+Q367*0.15+R367*0.15+S367*0.1+T367*0.1,0))</f>
        <v/>
      </c>
      <c r="O367" s="2" t="n"/>
      <c r="P367" s="2" t="n"/>
      <c r="Q367" s="2" t="n"/>
      <c r="R367" s="2" t="n"/>
      <c r="S367" s="2" t="n"/>
      <c r="T367" s="2" t="n"/>
      <c r="U367" s="2">
        <f>IF(OR(AA367="fail",AC367="fail"),"P4",IF(N367="","",IF(N367&gt;=90,"P1",IF(N367&gt;=80,"P1",IF(N367&gt;=70,"P2",IF(N367&gt;=60,"P3","P4"))))))</f>
        <v/>
      </c>
      <c r="V367" s="2">
        <f>IF(OR(AA367="fail",AC367="fail"),"SKIP",IF(N367="","",IF(N367&gt;=90,"APPLY ASAP",IF(N367&gt;=80,"APPLY",IF(N367&gt;=70,"CONSIDER",IF(N367&gt;=60,"STRETCH","SKIP"))))))</f>
        <v/>
      </c>
      <c r="W367" s="2" t="n"/>
      <c r="X367" s="2" t="n"/>
      <c r="Y367" s="2" t="n"/>
      <c r="Z367" s="2" t="n"/>
    </row>
    <row r="368">
      <c r="A368" s="2" t="n"/>
      <c r="B368" s="2" t="n"/>
      <c r="C368" s="2" t="n"/>
      <c r="D368" s="2" t="n"/>
      <c r="E368" s="2" t="n"/>
      <c r="F368" s="2" t="n"/>
      <c r="G368" s="2" t="n"/>
      <c r="H368" s="2" t="n"/>
      <c r="I368" s="2" t="n"/>
      <c r="J368" s="2" t="n"/>
      <c r="K368" s="2" t="n"/>
      <c r="L368" s="2" t="n"/>
      <c r="M368" s="2" t="n"/>
      <c r="N368" s="2">
        <f>IF(COUNTA(O368:T368)&lt;6,"",ROUND(O368*0.3+P368*0.2+Q368*0.15+R368*0.15+S368*0.1+T368*0.1,0))</f>
        <v/>
      </c>
      <c r="O368" s="2" t="n"/>
      <c r="P368" s="2" t="n"/>
      <c r="Q368" s="2" t="n"/>
      <c r="R368" s="2" t="n"/>
      <c r="S368" s="2" t="n"/>
      <c r="T368" s="2" t="n"/>
      <c r="U368" s="2">
        <f>IF(OR(AA368="fail",AC368="fail"),"P4",IF(N368="","",IF(N368&gt;=90,"P1",IF(N368&gt;=80,"P1",IF(N368&gt;=70,"P2",IF(N368&gt;=60,"P3","P4"))))))</f>
        <v/>
      </c>
      <c r="V368" s="2">
        <f>IF(OR(AA368="fail",AC368="fail"),"SKIP",IF(N368="","",IF(N368&gt;=90,"APPLY ASAP",IF(N368&gt;=80,"APPLY",IF(N368&gt;=70,"CONSIDER",IF(N368&gt;=60,"STRETCH","SKIP"))))))</f>
        <v/>
      </c>
      <c r="W368" s="2" t="n"/>
      <c r="X368" s="2" t="n"/>
      <c r="Y368" s="2" t="n"/>
      <c r="Z368" s="2" t="n"/>
    </row>
    <row r="369">
      <c r="A369" s="2" t="n"/>
      <c r="B369" s="2" t="n"/>
      <c r="C369" s="2" t="n"/>
      <c r="D369" s="2" t="n"/>
      <c r="E369" s="2" t="n"/>
      <c r="F369" s="2" t="n"/>
      <c r="G369" s="2" t="n"/>
      <c r="H369" s="2" t="n"/>
      <c r="I369" s="2" t="n"/>
      <c r="J369" s="2" t="n"/>
      <c r="K369" s="2" t="n"/>
      <c r="L369" s="2" t="n"/>
      <c r="M369" s="2" t="n"/>
      <c r="N369" s="2">
        <f>IF(COUNTA(O369:T369)&lt;6,"",ROUND(O369*0.3+P369*0.2+Q369*0.15+R369*0.15+S369*0.1+T369*0.1,0))</f>
        <v/>
      </c>
      <c r="O369" s="2" t="n"/>
      <c r="P369" s="2" t="n"/>
      <c r="Q369" s="2" t="n"/>
      <c r="R369" s="2" t="n"/>
      <c r="S369" s="2" t="n"/>
      <c r="T369" s="2" t="n"/>
      <c r="U369" s="2">
        <f>IF(OR(AA369="fail",AC369="fail"),"P4",IF(N369="","",IF(N369&gt;=90,"P1",IF(N369&gt;=80,"P1",IF(N369&gt;=70,"P2",IF(N369&gt;=60,"P3","P4"))))))</f>
        <v/>
      </c>
      <c r="V369" s="2">
        <f>IF(OR(AA369="fail",AC369="fail"),"SKIP",IF(N369="","",IF(N369&gt;=90,"APPLY ASAP",IF(N369&gt;=80,"APPLY",IF(N369&gt;=70,"CONSIDER",IF(N369&gt;=60,"STRETCH","SKIP"))))))</f>
        <v/>
      </c>
      <c r="W369" s="2" t="n"/>
      <c r="X369" s="2" t="n"/>
      <c r="Y369" s="2" t="n"/>
      <c r="Z369" s="2" t="n"/>
    </row>
    <row r="370">
      <c r="A370" s="2" t="n"/>
      <c r="B370" s="2" t="n"/>
      <c r="C370" s="2" t="n"/>
      <c r="D370" s="2" t="n"/>
      <c r="E370" s="2" t="n"/>
      <c r="F370" s="2" t="n"/>
      <c r="G370" s="2" t="n"/>
      <c r="H370" s="2" t="n"/>
      <c r="I370" s="2" t="n"/>
      <c r="J370" s="2" t="n"/>
      <c r="K370" s="2" t="n"/>
      <c r="L370" s="2" t="n"/>
      <c r="M370" s="2" t="n"/>
      <c r="N370" s="2">
        <f>IF(COUNTA(O370:T370)&lt;6,"",ROUND(O370*0.3+P370*0.2+Q370*0.15+R370*0.15+S370*0.1+T370*0.1,0))</f>
        <v/>
      </c>
      <c r="O370" s="2" t="n"/>
      <c r="P370" s="2" t="n"/>
      <c r="Q370" s="2" t="n"/>
      <c r="R370" s="2" t="n"/>
      <c r="S370" s="2" t="n"/>
      <c r="T370" s="2" t="n"/>
      <c r="U370" s="2">
        <f>IF(OR(AA370="fail",AC370="fail"),"P4",IF(N370="","",IF(N370&gt;=90,"P1",IF(N370&gt;=80,"P1",IF(N370&gt;=70,"P2",IF(N370&gt;=60,"P3","P4"))))))</f>
        <v/>
      </c>
      <c r="V370" s="2">
        <f>IF(OR(AA370="fail",AC370="fail"),"SKIP",IF(N370="","",IF(N370&gt;=90,"APPLY ASAP",IF(N370&gt;=80,"APPLY",IF(N370&gt;=70,"CONSIDER",IF(N370&gt;=60,"STRETCH","SKIP"))))))</f>
        <v/>
      </c>
      <c r="W370" s="2" t="n"/>
      <c r="X370" s="2" t="n"/>
      <c r="Y370" s="2" t="n"/>
      <c r="Z370" s="2" t="n"/>
    </row>
    <row r="371">
      <c r="A371" s="2" t="n"/>
      <c r="B371" s="2" t="n"/>
      <c r="C371" s="2" t="n"/>
      <c r="D371" s="2" t="n"/>
      <c r="E371" s="2" t="n"/>
      <c r="F371" s="2" t="n"/>
      <c r="G371" s="2" t="n"/>
      <c r="H371" s="2" t="n"/>
      <c r="I371" s="2" t="n"/>
      <c r="J371" s="2" t="n"/>
      <c r="K371" s="2" t="n"/>
      <c r="L371" s="2" t="n"/>
      <c r="M371" s="2" t="n"/>
      <c r="N371" s="2">
        <f>IF(COUNTA(O371:T371)&lt;6,"",ROUND(O371*0.3+P371*0.2+Q371*0.15+R371*0.15+S371*0.1+T371*0.1,0))</f>
        <v/>
      </c>
      <c r="O371" s="2" t="n"/>
      <c r="P371" s="2" t="n"/>
      <c r="Q371" s="2" t="n"/>
      <c r="R371" s="2" t="n"/>
      <c r="S371" s="2" t="n"/>
      <c r="T371" s="2" t="n"/>
      <c r="U371" s="2">
        <f>IF(OR(AA371="fail",AC371="fail"),"P4",IF(N371="","",IF(N371&gt;=90,"P1",IF(N371&gt;=80,"P1",IF(N371&gt;=70,"P2",IF(N371&gt;=60,"P3","P4"))))))</f>
        <v/>
      </c>
      <c r="V371" s="2">
        <f>IF(OR(AA371="fail",AC371="fail"),"SKIP",IF(N371="","",IF(N371&gt;=90,"APPLY ASAP",IF(N371&gt;=80,"APPLY",IF(N371&gt;=70,"CONSIDER",IF(N371&gt;=60,"STRETCH","SKIP"))))))</f>
        <v/>
      </c>
      <c r="W371" s="2" t="n"/>
      <c r="X371" s="2" t="n"/>
      <c r="Y371" s="2" t="n"/>
      <c r="Z371" s="2" t="n"/>
    </row>
    <row r="372">
      <c r="A372" s="2" t="n"/>
      <c r="B372" s="2" t="n"/>
      <c r="C372" s="2" t="n"/>
      <c r="D372" s="2" t="n"/>
      <c r="E372" s="2" t="n"/>
      <c r="F372" s="2" t="n"/>
      <c r="G372" s="2" t="n"/>
      <c r="H372" s="2" t="n"/>
      <c r="I372" s="2" t="n"/>
      <c r="J372" s="2" t="n"/>
      <c r="K372" s="2" t="n"/>
      <c r="L372" s="2" t="n"/>
      <c r="M372" s="2" t="n"/>
      <c r="N372" s="2">
        <f>IF(COUNTA(O372:T372)&lt;6,"",ROUND(O372*0.3+P372*0.2+Q372*0.15+R372*0.15+S372*0.1+T372*0.1,0))</f>
        <v/>
      </c>
      <c r="O372" s="2" t="n"/>
      <c r="P372" s="2" t="n"/>
      <c r="Q372" s="2" t="n"/>
      <c r="R372" s="2" t="n"/>
      <c r="S372" s="2" t="n"/>
      <c r="T372" s="2" t="n"/>
      <c r="U372" s="2">
        <f>IF(OR(AA372="fail",AC372="fail"),"P4",IF(N372="","",IF(N372&gt;=90,"P1",IF(N372&gt;=80,"P1",IF(N372&gt;=70,"P2",IF(N372&gt;=60,"P3","P4"))))))</f>
        <v/>
      </c>
      <c r="V372" s="2">
        <f>IF(OR(AA372="fail",AC372="fail"),"SKIP",IF(N372="","",IF(N372&gt;=90,"APPLY ASAP",IF(N372&gt;=80,"APPLY",IF(N372&gt;=70,"CONSIDER",IF(N372&gt;=60,"STRETCH","SKIP"))))))</f>
        <v/>
      </c>
      <c r="W372" s="2" t="n"/>
      <c r="X372" s="2" t="n"/>
      <c r="Y372" s="2" t="n"/>
      <c r="Z372" s="2" t="n"/>
    </row>
    <row r="373">
      <c r="A373" s="2" t="n"/>
      <c r="B373" s="2" t="n"/>
      <c r="C373" s="2" t="n"/>
      <c r="D373" s="2" t="n"/>
      <c r="E373" s="2" t="n"/>
      <c r="F373" s="2" t="n"/>
      <c r="G373" s="2" t="n"/>
      <c r="H373" s="2" t="n"/>
      <c r="I373" s="2" t="n"/>
      <c r="J373" s="2" t="n"/>
      <c r="K373" s="2" t="n"/>
      <c r="L373" s="2" t="n"/>
      <c r="M373" s="2" t="n"/>
      <c r="N373" s="2">
        <f>IF(COUNTA(O373:T373)&lt;6,"",ROUND(O373*0.3+P373*0.2+Q373*0.15+R373*0.15+S373*0.1+T373*0.1,0))</f>
        <v/>
      </c>
      <c r="O373" s="2" t="n"/>
      <c r="P373" s="2" t="n"/>
      <c r="Q373" s="2" t="n"/>
      <c r="R373" s="2" t="n"/>
      <c r="S373" s="2" t="n"/>
      <c r="T373" s="2" t="n"/>
      <c r="U373" s="2">
        <f>IF(OR(AA373="fail",AC373="fail"),"P4",IF(N373="","",IF(N373&gt;=90,"P1",IF(N373&gt;=80,"P1",IF(N373&gt;=70,"P2",IF(N373&gt;=60,"P3","P4"))))))</f>
        <v/>
      </c>
      <c r="V373" s="2">
        <f>IF(OR(AA373="fail",AC373="fail"),"SKIP",IF(N373="","",IF(N373&gt;=90,"APPLY ASAP",IF(N373&gt;=80,"APPLY",IF(N373&gt;=70,"CONSIDER",IF(N373&gt;=60,"STRETCH","SKIP"))))))</f>
        <v/>
      </c>
      <c r="W373" s="2" t="n"/>
      <c r="X373" s="2" t="n"/>
      <c r="Y373" s="2" t="n"/>
      <c r="Z373" s="2" t="n"/>
    </row>
    <row r="374">
      <c r="A374" s="2" t="n"/>
      <c r="B374" s="2" t="n"/>
      <c r="C374" s="2" t="n"/>
      <c r="D374" s="2" t="n"/>
      <c r="E374" s="2" t="n"/>
      <c r="F374" s="2" t="n"/>
      <c r="G374" s="2" t="n"/>
      <c r="H374" s="2" t="n"/>
      <c r="I374" s="2" t="n"/>
      <c r="J374" s="2" t="n"/>
      <c r="K374" s="2" t="n"/>
      <c r="L374" s="2" t="n"/>
      <c r="M374" s="2" t="n"/>
      <c r="N374" s="2">
        <f>IF(COUNTA(O374:T374)&lt;6,"",ROUND(O374*0.3+P374*0.2+Q374*0.15+R374*0.15+S374*0.1+T374*0.1,0))</f>
        <v/>
      </c>
      <c r="O374" s="2" t="n"/>
      <c r="P374" s="2" t="n"/>
      <c r="Q374" s="2" t="n"/>
      <c r="R374" s="2" t="n"/>
      <c r="S374" s="2" t="n"/>
      <c r="T374" s="2" t="n"/>
      <c r="U374" s="2">
        <f>IF(OR(AA374="fail",AC374="fail"),"P4",IF(N374="","",IF(N374&gt;=90,"P1",IF(N374&gt;=80,"P1",IF(N374&gt;=70,"P2",IF(N374&gt;=60,"P3","P4"))))))</f>
        <v/>
      </c>
      <c r="V374" s="2">
        <f>IF(OR(AA374="fail",AC374="fail"),"SKIP",IF(N374="","",IF(N374&gt;=90,"APPLY ASAP",IF(N374&gt;=80,"APPLY",IF(N374&gt;=70,"CONSIDER",IF(N374&gt;=60,"STRETCH","SKIP"))))))</f>
        <v/>
      </c>
      <c r="W374" s="2" t="n"/>
      <c r="X374" s="2" t="n"/>
      <c r="Y374" s="2" t="n"/>
      <c r="Z374" s="2" t="n"/>
    </row>
    <row r="375">
      <c r="A375" s="2" t="n"/>
      <c r="B375" s="2" t="n"/>
      <c r="C375" s="2" t="n"/>
      <c r="D375" s="2" t="n"/>
      <c r="E375" s="2" t="n"/>
      <c r="F375" s="2" t="n"/>
      <c r="G375" s="2" t="n"/>
      <c r="H375" s="2" t="n"/>
      <c r="I375" s="2" t="n"/>
      <c r="J375" s="2" t="n"/>
      <c r="K375" s="2" t="n"/>
      <c r="L375" s="2" t="n"/>
      <c r="M375" s="2" t="n"/>
      <c r="N375" s="2">
        <f>IF(COUNTA(O375:T375)&lt;6,"",ROUND(O375*0.3+P375*0.2+Q375*0.15+R375*0.15+S375*0.1+T375*0.1,0))</f>
        <v/>
      </c>
      <c r="O375" s="2" t="n"/>
      <c r="P375" s="2" t="n"/>
      <c r="Q375" s="2" t="n"/>
      <c r="R375" s="2" t="n"/>
      <c r="S375" s="2" t="n"/>
      <c r="T375" s="2" t="n"/>
      <c r="U375" s="2">
        <f>IF(OR(AA375="fail",AC375="fail"),"P4",IF(N375="","",IF(N375&gt;=90,"P1",IF(N375&gt;=80,"P1",IF(N375&gt;=70,"P2",IF(N375&gt;=60,"P3","P4"))))))</f>
        <v/>
      </c>
      <c r="V375" s="2">
        <f>IF(OR(AA375="fail",AC375="fail"),"SKIP",IF(N375="","",IF(N375&gt;=90,"APPLY ASAP",IF(N375&gt;=80,"APPLY",IF(N375&gt;=70,"CONSIDER",IF(N375&gt;=60,"STRETCH","SKIP"))))))</f>
        <v/>
      </c>
      <c r="W375" s="2" t="n"/>
      <c r="X375" s="2" t="n"/>
      <c r="Y375" s="2" t="n"/>
      <c r="Z375" s="2" t="n"/>
    </row>
    <row r="376">
      <c r="A376" s="2" t="n"/>
      <c r="B376" s="2" t="n"/>
      <c r="C376" s="2" t="n"/>
      <c r="D376" s="2" t="n"/>
      <c r="E376" s="2" t="n"/>
      <c r="F376" s="2" t="n"/>
      <c r="G376" s="2" t="n"/>
      <c r="H376" s="2" t="n"/>
      <c r="I376" s="2" t="n"/>
      <c r="J376" s="2" t="n"/>
      <c r="K376" s="2" t="n"/>
      <c r="L376" s="2" t="n"/>
      <c r="M376" s="2" t="n"/>
      <c r="N376" s="2">
        <f>IF(COUNTA(O376:T376)&lt;6,"",ROUND(O376*0.3+P376*0.2+Q376*0.15+R376*0.15+S376*0.1+T376*0.1,0))</f>
        <v/>
      </c>
      <c r="O376" s="2" t="n"/>
      <c r="P376" s="2" t="n"/>
      <c r="Q376" s="2" t="n"/>
      <c r="R376" s="2" t="n"/>
      <c r="S376" s="2" t="n"/>
      <c r="T376" s="2" t="n"/>
      <c r="U376" s="2">
        <f>IF(OR(AA376="fail",AC376="fail"),"P4",IF(N376="","",IF(N376&gt;=90,"P1",IF(N376&gt;=80,"P1",IF(N376&gt;=70,"P2",IF(N376&gt;=60,"P3","P4"))))))</f>
        <v/>
      </c>
      <c r="V376" s="2">
        <f>IF(OR(AA376="fail",AC376="fail"),"SKIP",IF(N376="","",IF(N376&gt;=90,"APPLY ASAP",IF(N376&gt;=80,"APPLY",IF(N376&gt;=70,"CONSIDER",IF(N376&gt;=60,"STRETCH","SKIP"))))))</f>
        <v/>
      </c>
      <c r="W376" s="2" t="n"/>
      <c r="X376" s="2" t="n"/>
      <c r="Y376" s="2" t="n"/>
      <c r="Z376" s="2" t="n"/>
    </row>
    <row r="377">
      <c r="A377" s="2" t="n"/>
      <c r="B377" s="2" t="n"/>
      <c r="C377" s="2" t="n"/>
      <c r="D377" s="2" t="n"/>
      <c r="E377" s="2" t="n"/>
      <c r="F377" s="2" t="n"/>
      <c r="G377" s="2" t="n"/>
      <c r="H377" s="2" t="n"/>
      <c r="I377" s="2" t="n"/>
      <c r="J377" s="2" t="n"/>
      <c r="K377" s="2" t="n"/>
      <c r="L377" s="2" t="n"/>
      <c r="M377" s="2" t="n"/>
      <c r="N377" s="2">
        <f>IF(COUNTA(O377:T377)&lt;6,"",ROUND(O377*0.3+P377*0.2+Q377*0.15+R377*0.15+S377*0.1+T377*0.1,0))</f>
        <v/>
      </c>
      <c r="O377" s="2" t="n"/>
      <c r="P377" s="2" t="n"/>
      <c r="Q377" s="2" t="n"/>
      <c r="R377" s="2" t="n"/>
      <c r="S377" s="2" t="n"/>
      <c r="T377" s="2" t="n"/>
      <c r="U377" s="2">
        <f>IF(OR(AA377="fail",AC377="fail"),"P4",IF(N377="","",IF(N377&gt;=90,"P1",IF(N377&gt;=80,"P1",IF(N377&gt;=70,"P2",IF(N377&gt;=60,"P3","P4"))))))</f>
        <v/>
      </c>
      <c r="V377" s="2">
        <f>IF(OR(AA377="fail",AC377="fail"),"SKIP",IF(N377="","",IF(N377&gt;=90,"APPLY ASAP",IF(N377&gt;=80,"APPLY",IF(N377&gt;=70,"CONSIDER",IF(N377&gt;=60,"STRETCH","SKIP"))))))</f>
        <v/>
      </c>
      <c r="W377" s="2" t="n"/>
      <c r="X377" s="2" t="n"/>
      <c r="Y377" s="2" t="n"/>
      <c r="Z377" s="2" t="n"/>
    </row>
    <row r="378">
      <c r="A378" s="2" t="n"/>
      <c r="B378" s="2" t="n"/>
      <c r="C378" s="2" t="n"/>
      <c r="D378" s="2" t="n"/>
      <c r="E378" s="2" t="n"/>
      <c r="F378" s="2" t="n"/>
      <c r="G378" s="2" t="n"/>
      <c r="H378" s="2" t="n"/>
      <c r="I378" s="2" t="n"/>
      <c r="J378" s="2" t="n"/>
      <c r="K378" s="2" t="n"/>
      <c r="L378" s="2" t="n"/>
      <c r="M378" s="2" t="n"/>
      <c r="N378" s="2">
        <f>IF(COUNTA(O378:T378)&lt;6,"",ROUND(O378*0.3+P378*0.2+Q378*0.15+R378*0.15+S378*0.1+T378*0.1,0))</f>
        <v/>
      </c>
      <c r="O378" s="2" t="n"/>
      <c r="P378" s="2" t="n"/>
      <c r="Q378" s="2" t="n"/>
      <c r="R378" s="2" t="n"/>
      <c r="S378" s="2" t="n"/>
      <c r="T378" s="2" t="n"/>
      <c r="U378" s="2">
        <f>IF(OR(AA378="fail",AC378="fail"),"P4",IF(N378="","",IF(N378&gt;=90,"P1",IF(N378&gt;=80,"P1",IF(N378&gt;=70,"P2",IF(N378&gt;=60,"P3","P4"))))))</f>
        <v/>
      </c>
      <c r="V378" s="2">
        <f>IF(OR(AA378="fail",AC378="fail"),"SKIP",IF(N378="","",IF(N378&gt;=90,"APPLY ASAP",IF(N378&gt;=80,"APPLY",IF(N378&gt;=70,"CONSIDER",IF(N378&gt;=60,"STRETCH","SKIP"))))))</f>
        <v/>
      </c>
      <c r="W378" s="2" t="n"/>
      <c r="X378" s="2" t="n"/>
      <c r="Y378" s="2" t="n"/>
      <c r="Z378" s="2" t="n"/>
    </row>
    <row r="379">
      <c r="A379" s="2" t="n"/>
      <c r="B379" s="2" t="n"/>
      <c r="C379" s="2" t="n"/>
      <c r="D379" s="2" t="n"/>
      <c r="E379" s="2" t="n"/>
      <c r="F379" s="2" t="n"/>
      <c r="G379" s="2" t="n"/>
      <c r="H379" s="2" t="n"/>
      <c r="I379" s="2" t="n"/>
      <c r="J379" s="2" t="n"/>
      <c r="K379" s="2" t="n"/>
      <c r="L379" s="2" t="n"/>
      <c r="M379" s="2" t="n"/>
      <c r="N379" s="2">
        <f>IF(COUNTA(O379:T379)&lt;6,"",ROUND(O379*0.3+P379*0.2+Q379*0.15+R379*0.15+S379*0.1+T379*0.1,0))</f>
        <v/>
      </c>
      <c r="O379" s="2" t="n"/>
      <c r="P379" s="2" t="n"/>
      <c r="Q379" s="2" t="n"/>
      <c r="R379" s="2" t="n"/>
      <c r="S379" s="2" t="n"/>
      <c r="T379" s="2" t="n"/>
      <c r="U379" s="2">
        <f>IF(OR(AA379="fail",AC379="fail"),"P4",IF(N379="","",IF(N379&gt;=90,"P1",IF(N379&gt;=80,"P1",IF(N379&gt;=70,"P2",IF(N379&gt;=60,"P3","P4"))))))</f>
        <v/>
      </c>
      <c r="V379" s="2">
        <f>IF(OR(AA379="fail",AC379="fail"),"SKIP",IF(N379="","",IF(N379&gt;=90,"APPLY ASAP",IF(N379&gt;=80,"APPLY",IF(N379&gt;=70,"CONSIDER",IF(N379&gt;=60,"STRETCH","SKIP"))))))</f>
        <v/>
      </c>
      <c r="W379" s="2" t="n"/>
      <c r="X379" s="2" t="n"/>
      <c r="Y379" s="2" t="n"/>
      <c r="Z379" s="2" t="n"/>
    </row>
    <row r="380">
      <c r="A380" s="2" t="n"/>
      <c r="B380" s="2" t="n"/>
      <c r="C380" s="2" t="n"/>
      <c r="D380" s="2" t="n"/>
      <c r="E380" s="2" t="n"/>
      <c r="F380" s="2" t="n"/>
      <c r="G380" s="2" t="n"/>
      <c r="H380" s="2" t="n"/>
      <c r="I380" s="2" t="n"/>
      <c r="J380" s="2" t="n"/>
      <c r="K380" s="2" t="n"/>
      <c r="L380" s="2" t="n"/>
      <c r="M380" s="2" t="n"/>
      <c r="N380" s="2">
        <f>IF(COUNTA(O380:T380)&lt;6,"",ROUND(O380*0.3+P380*0.2+Q380*0.15+R380*0.15+S380*0.1+T380*0.1,0))</f>
        <v/>
      </c>
      <c r="O380" s="2" t="n"/>
      <c r="P380" s="2" t="n"/>
      <c r="Q380" s="2" t="n"/>
      <c r="R380" s="2" t="n"/>
      <c r="S380" s="2" t="n"/>
      <c r="T380" s="2" t="n"/>
      <c r="U380" s="2">
        <f>IF(OR(AA380="fail",AC380="fail"),"P4",IF(N380="","",IF(N380&gt;=90,"P1",IF(N380&gt;=80,"P1",IF(N380&gt;=70,"P2",IF(N380&gt;=60,"P3","P4"))))))</f>
        <v/>
      </c>
      <c r="V380" s="2">
        <f>IF(OR(AA380="fail",AC380="fail"),"SKIP",IF(N380="","",IF(N380&gt;=90,"APPLY ASAP",IF(N380&gt;=80,"APPLY",IF(N380&gt;=70,"CONSIDER",IF(N380&gt;=60,"STRETCH","SKIP"))))))</f>
        <v/>
      </c>
      <c r="W380" s="2" t="n"/>
      <c r="X380" s="2" t="n"/>
      <c r="Y380" s="2" t="n"/>
      <c r="Z380" s="2" t="n"/>
    </row>
    <row r="381">
      <c r="A381" s="2" t="n"/>
      <c r="B381" s="2" t="n"/>
      <c r="C381" s="2" t="n"/>
      <c r="D381" s="2" t="n"/>
      <c r="E381" s="2" t="n"/>
      <c r="F381" s="2" t="n"/>
      <c r="G381" s="2" t="n"/>
      <c r="H381" s="2" t="n"/>
      <c r="I381" s="2" t="n"/>
      <c r="J381" s="2" t="n"/>
      <c r="K381" s="2" t="n"/>
      <c r="L381" s="2" t="n"/>
      <c r="M381" s="2" t="n"/>
      <c r="N381" s="2">
        <f>IF(COUNTA(O381:T381)&lt;6,"",ROUND(O381*0.3+P381*0.2+Q381*0.15+R381*0.15+S381*0.1+T381*0.1,0))</f>
        <v/>
      </c>
      <c r="O381" s="2" t="n"/>
      <c r="P381" s="2" t="n"/>
      <c r="Q381" s="2" t="n"/>
      <c r="R381" s="2" t="n"/>
      <c r="S381" s="2" t="n"/>
      <c r="T381" s="2" t="n"/>
      <c r="U381" s="2">
        <f>IF(OR(AA381="fail",AC381="fail"),"P4",IF(N381="","",IF(N381&gt;=90,"P1",IF(N381&gt;=80,"P1",IF(N381&gt;=70,"P2",IF(N381&gt;=60,"P3","P4"))))))</f>
        <v/>
      </c>
      <c r="V381" s="2">
        <f>IF(OR(AA381="fail",AC381="fail"),"SKIP",IF(N381="","",IF(N381&gt;=90,"APPLY ASAP",IF(N381&gt;=80,"APPLY",IF(N381&gt;=70,"CONSIDER",IF(N381&gt;=60,"STRETCH","SKIP"))))))</f>
        <v/>
      </c>
      <c r="W381" s="2" t="n"/>
      <c r="X381" s="2" t="n"/>
      <c r="Y381" s="2" t="n"/>
      <c r="Z381" s="2" t="n"/>
    </row>
    <row r="382">
      <c r="A382" s="2" t="n"/>
      <c r="B382" s="2" t="n"/>
      <c r="C382" s="2" t="n"/>
      <c r="D382" s="2" t="n"/>
      <c r="E382" s="2" t="n"/>
      <c r="F382" s="2" t="n"/>
      <c r="G382" s="2" t="n"/>
      <c r="H382" s="2" t="n"/>
      <c r="I382" s="2" t="n"/>
      <c r="J382" s="2" t="n"/>
      <c r="K382" s="2" t="n"/>
      <c r="L382" s="2" t="n"/>
      <c r="M382" s="2" t="n"/>
      <c r="N382" s="2">
        <f>IF(COUNTA(O382:T382)&lt;6,"",ROUND(O382*0.3+P382*0.2+Q382*0.15+R382*0.15+S382*0.1+T382*0.1,0))</f>
        <v/>
      </c>
      <c r="O382" s="2" t="n"/>
      <c r="P382" s="2" t="n"/>
      <c r="Q382" s="2" t="n"/>
      <c r="R382" s="2" t="n"/>
      <c r="S382" s="2" t="n"/>
      <c r="T382" s="2" t="n"/>
      <c r="U382" s="2">
        <f>IF(OR(AA382="fail",AC382="fail"),"P4",IF(N382="","",IF(N382&gt;=90,"P1",IF(N382&gt;=80,"P1",IF(N382&gt;=70,"P2",IF(N382&gt;=60,"P3","P4"))))))</f>
        <v/>
      </c>
      <c r="V382" s="2">
        <f>IF(OR(AA382="fail",AC382="fail"),"SKIP",IF(N382="","",IF(N382&gt;=90,"APPLY ASAP",IF(N382&gt;=80,"APPLY",IF(N382&gt;=70,"CONSIDER",IF(N382&gt;=60,"STRETCH","SKIP"))))))</f>
        <v/>
      </c>
      <c r="W382" s="2" t="n"/>
      <c r="X382" s="2" t="n"/>
      <c r="Y382" s="2" t="n"/>
      <c r="Z382" s="2" t="n"/>
    </row>
    <row r="383">
      <c r="A383" s="2" t="n"/>
      <c r="B383" s="2" t="n"/>
      <c r="C383" s="2" t="n"/>
      <c r="D383" s="2" t="n"/>
      <c r="E383" s="2" t="n"/>
      <c r="F383" s="2" t="n"/>
      <c r="G383" s="2" t="n"/>
      <c r="H383" s="2" t="n"/>
      <c r="I383" s="2" t="n"/>
      <c r="J383" s="2" t="n"/>
      <c r="K383" s="2" t="n"/>
      <c r="L383" s="2" t="n"/>
      <c r="M383" s="2" t="n"/>
      <c r="N383" s="2">
        <f>IF(COUNTA(O383:T383)&lt;6,"",ROUND(O383*0.3+P383*0.2+Q383*0.15+R383*0.15+S383*0.1+T383*0.1,0))</f>
        <v/>
      </c>
      <c r="O383" s="2" t="n"/>
      <c r="P383" s="2" t="n"/>
      <c r="Q383" s="2" t="n"/>
      <c r="R383" s="2" t="n"/>
      <c r="S383" s="2" t="n"/>
      <c r="T383" s="2" t="n"/>
      <c r="U383" s="2">
        <f>IF(OR(AA383="fail",AC383="fail"),"P4",IF(N383="","",IF(N383&gt;=90,"P1",IF(N383&gt;=80,"P1",IF(N383&gt;=70,"P2",IF(N383&gt;=60,"P3","P4"))))))</f>
        <v/>
      </c>
      <c r="V383" s="2">
        <f>IF(OR(AA383="fail",AC383="fail"),"SKIP",IF(N383="","",IF(N383&gt;=90,"APPLY ASAP",IF(N383&gt;=80,"APPLY",IF(N383&gt;=70,"CONSIDER",IF(N383&gt;=60,"STRETCH","SKIP"))))))</f>
        <v/>
      </c>
      <c r="W383" s="2" t="n"/>
      <c r="X383" s="2" t="n"/>
      <c r="Y383" s="2" t="n"/>
      <c r="Z383" s="2" t="n"/>
    </row>
    <row r="384">
      <c r="A384" s="2" t="n"/>
      <c r="B384" s="2" t="n"/>
      <c r="C384" s="2" t="n"/>
      <c r="D384" s="2" t="n"/>
      <c r="E384" s="2" t="n"/>
      <c r="F384" s="2" t="n"/>
      <c r="G384" s="2" t="n"/>
      <c r="H384" s="2" t="n"/>
      <c r="I384" s="2" t="n"/>
      <c r="J384" s="2" t="n"/>
      <c r="K384" s="2" t="n"/>
      <c r="L384" s="2" t="n"/>
      <c r="M384" s="2" t="n"/>
      <c r="N384" s="2">
        <f>IF(COUNTA(O384:T384)&lt;6,"",ROUND(O384*0.3+P384*0.2+Q384*0.15+R384*0.15+S384*0.1+T384*0.1,0))</f>
        <v/>
      </c>
      <c r="O384" s="2" t="n"/>
      <c r="P384" s="2" t="n"/>
      <c r="Q384" s="2" t="n"/>
      <c r="R384" s="2" t="n"/>
      <c r="S384" s="2" t="n"/>
      <c r="T384" s="2" t="n"/>
      <c r="U384" s="2">
        <f>IF(OR(AA384="fail",AC384="fail"),"P4",IF(N384="","",IF(N384&gt;=90,"P1",IF(N384&gt;=80,"P1",IF(N384&gt;=70,"P2",IF(N384&gt;=60,"P3","P4"))))))</f>
        <v/>
      </c>
      <c r="V384" s="2">
        <f>IF(OR(AA384="fail",AC384="fail"),"SKIP",IF(N384="","",IF(N384&gt;=90,"APPLY ASAP",IF(N384&gt;=80,"APPLY",IF(N384&gt;=70,"CONSIDER",IF(N384&gt;=60,"STRETCH","SKIP"))))))</f>
        <v/>
      </c>
      <c r="W384" s="2" t="n"/>
      <c r="X384" s="2" t="n"/>
      <c r="Y384" s="2" t="n"/>
      <c r="Z384" s="2" t="n"/>
    </row>
    <row r="385">
      <c r="A385" s="2" t="n"/>
      <c r="B385" s="2" t="n"/>
      <c r="C385" s="2" t="n"/>
      <c r="D385" s="2" t="n"/>
      <c r="E385" s="2" t="n"/>
      <c r="F385" s="2" t="n"/>
      <c r="G385" s="2" t="n"/>
      <c r="H385" s="2" t="n"/>
      <c r="I385" s="2" t="n"/>
      <c r="J385" s="2" t="n"/>
      <c r="K385" s="2" t="n"/>
      <c r="L385" s="2" t="n"/>
      <c r="M385" s="2" t="n"/>
      <c r="N385" s="2">
        <f>IF(COUNTA(O385:T385)&lt;6,"",ROUND(O385*0.3+P385*0.2+Q385*0.15+R385*0.15+S385*0.1+T385*0.1,0))</f>
        <v/>
      </c>
      <c r="O385" s="2" t="n"/>
      <c r="P385" s="2" t="n"/>
      <c r="Q385" s="2" t="n"/>
      <c r="R385" s="2" t="n"/>
      <c r="S385" s="2" t="n"/>
      <c r="T385" s="2" t="n"/>
      <c r="U385" s="2">
        <f>IF(OR(AA385="fail",AC385="fail"),"P4",IF(N385="","",IF(N385&gt;=90,"P1",IF(N385&gt;=80,"P1",IF(N385&gt;=70,"P2",IF(N385&gt;=60,"P3","P4"))))))</f>
        <v/>
      </c>
      <c r="V385" s="2">
        <f>IF(OR(AA385="fail",AC385="fail"),"SKIP",IF(N385="","",IF(N385&gt;=90,"APPLY ASAP",IF(N385&gt;=80,"APPLY",IF(N385&gt;=70,"CONSIDER",IF(N385&gt;=60,"STRETCH","SKIP"))))))</f>
        <v/>
      </c>
      <c r="W385" s="2" t="n"/>
      <c r="X385" s="2" t="n"/>
      <c r="Y385" s="2" t="n"/>
      <c r="Z385" s="2" t="n"/>
    </row>
    <row r="386">
      <c r="A386" s="2" t="n"/>
      <c r="B386" s="2" t="n"/>
      <c r="C386" s="2" t="n"/>
      <c r="D386" s="2" t="n"/>
      <c r="E386" s="2" t="n"/>
      <c r="F386" s="2" t="n"/>
      <c r="G386" s="2" t="n"/>
      <c r="H386" s="2" t="n"/>
      <c r="I386" s="2" t="n"/>
      <c r="J386" s="2" t="n"/>
      <c r="K386" s="2" t="n"/>
      <c r="L386" s="2" t="n"/>
      <c r="M386" s="2" t="n"/>
      <c r="N386" s="2">
        <f>IF(COUNTA(O386:T386)&lt;6,"",ROUND(O386*0.3+P386*0.2+Q386*0.15+R386*0.15+S386*0.1+T386*0.1,0))</f>
        <v/>
      </c>
      <c r="O386" s="2" t="n"/>
      <c r="P386" s="2" t="n"/>
      <c r="Q386" s="2" t="n"/>
      <c r="R386" s="2" t="n"/>
      <c r="S386" s="2" t="n"/>
      <c r="T386" s="2" t="n"/>
      <c r="U386" s="2">
        <f>IF(OR(AA386="fail",AC386="fail"),"P4",IF(N386="","",IF(N386&gt;=90,"P1",IF(N386&gt;=80,"P1",IF(N386&gt;=70,"P2",IF(N386&gt;=60,"P3","P4"))))))</f>
        <v/>
      </c>
      <c r="V386" s="2">
        <f>IF(OR(AA386="fail",AC386="fail"),"SKIP",IF(N386="","",IF(N386&gt;=90,"APPLY ASAP",IF(N386&gt;=80,"APPLY",IF(N386&gt;=70,"CONSIDER",IF(N386&gt;=60,"STRETCH","SKIP"))))))</f>
        <v/>
      </c>
      <c r="W386" s="2" t="n"/>
      <c r="X386" s="2" t="n"/>
      <c r="Y386" s="2" t="n"/>
      <c r="Z386" s="2" t="n"/>
    </row>
    <row r="387">
      <c r="A387" s="2" t="n"/>
      <c r="B387" s="2" t="n"/>
      <c r="C387" s="2" t="n"/>
      <c r="D387" s="2" t="n"/>
      <c r="E387" s="2" t="n"/>
      <c r="F387" s="2" t="n"/>
      <c r="G387" s="2" t="n"/>
      <c r="H387" s="2" t="n"/>
      <c r="I387" s="2" t="n"/>
      <c r="J387" s="2" t="n"/>
      <c r="K387" s="2" t="n"/>
      <c r="L387" s="2" t="n"/>
      <c r="M387" s="2" t="n"/>
      <c r="N387" s="2">
        <f>IF(COUNTA(O387:T387)&lt;6,"",ROUND(O387*0.3+P387*0.2+Q387*0.15+R387*0.15+S387*0.1+T387*0.1,0))</f>
        <v/>
      </c>
      <c r="O387" s="2" t="n"/>
      <c r="P387" s="2" t="n"/>
      <c r="Q387" s="2" t="n"/>
      <c r="R387" s="2" t="n"/>
      <c r="S387" s="2" t="n"/>
      <c r="T387" s="2" t="n"/>
      <c r="U387" s="2">
        <f>IF(OR(AA387="fail",AC387="fail"),"P4",IF(N387="","",IF(N387&gt;=90,"P1",IF(N387&gt;=80,"P1",IF(N387&gt;=70,"P2",IF(N387&gt;=60,"P3","P4"))))))</f>
        <v/>
      </c>
      <c r="V387" s="2">
        <f>IF(OR(AA387="fail",AC387="fail"),"SKIP",IF(N387="","",IF(N387&gt;=90,"APPLY ASAP",IF(N387&gt;=80,"APPLY",IF(N387&gt;=70,"CONSIDER",IF(N387&gt;=60,"STRETCH","SKIP"))))))</f>
        <v/>
      </c>
      <c r="W387" s="2" t="n"/>
      <c r="X387" s="2" t="n"/>
      <c r="Y387" s="2" t="n"/>
      <c r="Z387" s="2" t="n"/>
    </row>
    <row r="388">
      <c r="A388" s="2" t="n"/>
      <c r="B388" s="2" t="n"/>
      <c r="C388" s="2" t="n"/>
      <c r="D388" s="2" t="n"/>
      <c r="E388" s="2" t="n"/>
      <c r="F388" s="2" t="n"/>
      <c r="G388" s="2" t="n"/>
      <c r="H388" s="2" t="n"/>
      <c r="I388" s="2" t="n"/>
      <c r="J388" s="2" t="n"/>
      <c r="K388" s="2" t="n"/>
      <c r="L388" s="2" t="n"/>
      <c r="M388" s="2" t="n"/>
      <c r="N388" s="2">
        <f>IF(COUNTA(O388:T388)&lt;6,"",ROUND(O388*0.3+P388*0.2+Q388*0.15+R388*0.15+S388*0.1+T388*0.1,0))</f>
        <v/>
      </c>
      <c r="O388" s="2" t="n"/>
      <c r="P388" s="2" t="n"/>
      <c r="Q388" s="2" t="n"/>
      <c r="R388" s="2" t="n"/>
      <c r="S388" s="2" t="n"/>
      <c r="T388" s="2" t="n"/>
      <c r="U388" s="2">
        <f>IF(OR(AA388="fail",AC388="fail"),"P4",IF(N388="","",IF(N388&gt;=90,"P1",IF(N388&gt;=80,"P1",IF(N388&gt;=70,"P2",IF(N388&gt;=60,"P3","P4"))))))</f>
        <v/>
      </c>
      <c r="V388" s="2">
        <f>IF(OR(AA388="fail",AC388="fail"),"SKIP",IF(N388="","",IF(N388&gt;=90,"APPLY ASAP",IF(N388&gt;=80,"APPLY",IF(N388&gt;=70,"CONSIDER",IF(N388&gt;=60,"STRETCH","SKIP"))))))</f>
        <v/>
      </c>
      <c r="W388" s="2" t="n"/>
      <c r="X388" s="2" t="n"/>
      <c r="Y388" s="2" t="n"/>
      <c r="Z388" s="2" t="n"/>
    </row>
    <row r="389">
      <c r="A389" s="2" t="n"/>
      <c r="B389" s="2" t="n"/>
      <c r="C389" s="2" t="n"/>
      <c r="D389" s="2" t="n"/>
      <c r="E389" s="2" t="n"/>
      <c r="F389" s="2" t="n"/>
      <c r="G389" s="2" t="n"/>
      <c r="H389" s="2" t="n"/>
      <c r="I389" s="2" t="n"/>
      <c r="J389" s="2" t="n"/>
      <c r="K389" s="2" t="n"/>
      <c r="L389" s="2" t="n"/>
      <c r="M389" s="2" t="n"/>
      <c r="N389" s="2">
        <f>IF(COUNTA(O389:T389)&lt;6,"",ROUND(O389*0.3+P389*0.2+Q389*0.15+R389*0.15+S389*0.1+T389*0.1,0))</f>
        <v/>
      </c>
      <c r="O389" s="2" t="n"/>
      <c r="P389" s="2" t="n"/>
      <c r="Q389" s="2" t="n"/>
      <c r="R389" s="2" t="n"/>
      <c r="S389" s="2" t="n"/>
      <c r="T389" s="2" t="n"/>
      <c r="U389" s="2">
        <f>IF(OR(AA389="fail",AC389="fail"),"P4",IF(N389="","",IF(N389&gt;=90,"P1",IF(N389&gt;=80,"P1",IF(N389&gt;=70,"P2",IF(N389&gt;=60,"P3","P4"))))))</f>
        <v/>
      </c>
      <c r="V389" s="2">
        <f>IF(OR(AA389="fail",AC389="fail"),"SKIP",IF(N389="","",IF(N389&gt;=90,"APPLY ASAP",IF(N389&gt;=80,"APPLY",IF(N389&gt;=70,"CONSIDER",IF(N389&gt;=60,"STRETCH","SKIP"))))))</f>
        <v/>
      </c>
      <c r="W389" s="2" t="n"/>
      <c r="X389" s="2" t="n"/>
      <c r="Y389" s="2" t="n"/>
      <c r="Z389" s="2" t="n"/>
    </row>
    <row r="390">
      <c r="A390" s="2" t="n"/>
      <c r="B390" s="2" t="n"/>
      <c r="C390" s="2" t="n"/>
      <c r="D390" s="2" t="n"/>
      <c r="E390" s="2" t="n"/>
      <c r="F390" s="2" t="n"/>
      <c r="G390" s="2" t="n"/>
      <c r="H390" s="2" t="n"/>
      <c r="I390" s="2" t="n"/>
      <c r="J390" s="2" t="n"/>
      <c r="K390" s="2" t="n"/>
      <c r="L390" s="2" t="n"/>
      <c r="M390" s="2" t="n"/>
      <c r="N390" s="2">
        <f>IF(COUNTA(O390:T390)&lt;6,"",ROUND(O390*0.3+P390*0.2+Q390*0.15+R390*0.15+S390*0.1+T390*0.1,0))</f>
        <v/>
      </c>
      <c r="O390" s="2" t="n"/>
      <c r="P390" s="2" t="n"/>
      <c r="Q390" s="2" t="n"/>
      <c r="R390" s="2" t="n"/>
      <c r="S390" s="2" t="n"/>
      <c r="T390" s="2" t="n"/>
      <c r="U390" s="2">
        <f>IF(OR(AA390="fail",AC390="fail"),"P4",IF(N390="","",IF(N390&gt;=90,"P1",IF(N390&gt;=80,"P1",IF(N390&gt;=70,"P2",IF(N390&gt;=60,"P3","P4"))))))</f>
        <v/>
      </c>
      <c r="V390" s="2">
        <f>IF(OR(AA390="fail",AC390="fail"),"SKIP",IF(N390="","",IF(N390&gt;=90,"APPLY ASAP",IF(N390&gt;=80,"APPLY",IF(N390&gt;=70,"CONSIDER",IF(N390&gt;=60,"STRETCH","SKIP"))))))</f>
        <v/>
      </c>
      <c r="W390" s="2" t="n"/>
      <c r="X390" s="2" t="n"/>
      <c r="Y390" s="2" t="n"/>
      <c r="Z390" s="2" t="n"/>
    </row>
    <row r="391">
      <c r="A391" s="2" t="n"/>
      <c r="B391" s="2" t="n"/>
      <c r="C391" s="2" t="n"/>
      <c r="D391" s="2" t="n"/>
      <c r="E391" s="2" t="n"/>
      <c r="F391" s="2" t="n"/>
      <c r="G391" s="2" t="n"/>
      <c r="H391" s="2" t="n"/>
      <c r="I391" s="2" t="n"/>
      <c r="J391" s="2" t="n"/>
      <c r="K391" s="2" t="n"/>
      <c r="L391" s="2" t="n"/>
      <c r="M391" s="2" t="n"/>
      <c r="N391" s="2">
        <f>IF(COUNTA(O391:T391)&lt;6,"",ROUND(O391*0.3+P391*0.2+Q391*0.15+R391*0.15+S391*0.1+T391*0.1,0))</f>
        <v/>
      </c>
      <c r="O391" s="2" t="n"/>
      <c r="P391" s="2" t="n"/>
      <c r="Q391" s="2" t="n"/>
      <c r="R391" s="2" t="n"/>
      <c r="S391" s="2" t="n"/>
      <c r="T391" s="2" t="n"/>
      <c r="U391" s="2">
        <f>IF(OR(AA391="fail",AC391="fail"),"P4",IF(N391="","",IF(N391&gt;=90,"P1",IF(N391&gt;=80,"P1",IF(N391&gt;=70,"P2",IF(N391&gt;=60,"P3","P4"))))))</f>
        <v/>
      </c>
      <c r="V391" s="2">
        <f>IF(OR(AA391="fail",AC391="fail"),"SKIP",IF(N391="","",IF(N391&gt;=90,"APPLY ASAP",IF(N391&gt;=80,"APPLY",IF(N391&gt;=70,"CONSIDER",IF(N391&gt;=60,"STRETCH","SKIP"))))))</f>
        <v/>
      </c>
      <c r="W391" s="2" t="n"/>
      <c r="X391" s="2" t="n"/>
      <c r="Y391" s="2" t="n"/>
      <c r="Z391" s="2" t="n"/>
    </row>
    <row r="392">
      <c r="A392" s="2" t="n"/>
      <c r="B392" s="2" t="n"/>
      <c r="C392" s="2" t="n"/>
      <c r="D392" s="2" t="n"/>
      <c r="E392" s="2" t="n"/>
      <c r="F392" s="2" t="n"/>
      <c r="G392" s="2" t="n"/>
      <c r="H392" s="2" t="n"/>
      <c r="I392" s="2" t="n"/>
      <c r="J392" s="2" t="n"/>
      <c r="K392" s="2" t="n"/>
      <c r="L392" s="2" t="n"/>
      <c r="M392" s="2" t="n"/>
      <c r="N392" s="2">
        <f>IF(COUNTA(O392:T392)&lt;6,"",ROUND(O392*0.3+P392*0.2+Q392*0.15+R392*0.15+S392*0.1+T392*0.1,0))</f>
        <v/>
      </c>
      <c r="O392" s="2" t="n"/>
      <c r="P392" s="2" t="n"/>
      <c r="Q392" s="2" t="n"/>
      <c r="R392" s="2" t="n"/>
      <c r="S392" s="2" t="n"/>
      <c r="T392" s="2" t="n"/>
      <c r="U392" s="2">
        <f>IF(OR(AA392="fail",AC392="fail"),"P4",IF(N392="","",IF(N392&gt;=90,"P1",IF(N392&gt;=80,"P1",IF(N392&gt;=70,"P2",IF(N392&gt;=60,"P3","P4"))))))</f>
        <v/>
      </c>
      <c r="V392" s="2">
        <f>IF(OR(AA392="fail",AC392="fail"),"SKIP",IF(N392="","",IF(N392&gt;=90,"APPLY ASAP",IF(N392&gt;=80,"APPLY",IF(N392&gt;=70,"CONSIDER",IF(N392&gt;=60,"STRETCH","SKIP"))))))</f>
        <v/>
      </c>
      <c r="W392" s="2" t="n"/>
      <c r="X392" s="2" t="n"/>
      <c r="Y392" s="2" t="n"/>
      <c r="Z392" s="2" t="n"/>
    </row>
    <row r="393">
      <c r="A393" s="2" t="n"/>
      <c r="B393" s="2" t="n"/>
      <c r="C393" s="2" t="n"/>
      <c r="D393" s="2" t="n"/>
      <c r="E393" s="2" t="n"/>
      <c r="F393" s="2" t="n"/>
      <c r="G393" s="2" t="n"/>
      <c r="H393" s="2" t="n"/>
      <c r="I393" s="2" t="n"/>
      <c r="J393" s="2" t="n"/>
      <c r="K393" s="2" t="n"/>
      <c r="L393" s="2" t="n"/>
      <c r="M393" s="2" t="n"/>
      <c r="N393" s="2">
        <f>IF(COUNTA(O393:T393)&lt;6,"",ROUND(O393*0.3+P393*0.2+Q393*0.15+R393*0.15+S393*0.1+T393*0.1,0))</f>
        <v/>
      </c>
      <c r="O393" s="2" t="n"/>
      <c r="P393" s="2" t="n"/>
      <c r="Q393" s="2" t="n"/>
      <c r="R393" s="2" t="n"/>
      <c r="S393" s="2" t="n"/>
      <c r="T393" s="2" t="n"/>
      <c r="U393" s="2">
        <f>IF(OR(AA393="fail",AC393="fail"),"P4",IF(N393="","",IF(N393&gt;=90,"P1",IF(N393&gt;=80,"P1",IF(N393&gt;=70,"P2",IF(N393&gt;=60,"P3","P4"))))))</f>
        <v/>
      </c>
      <c r="V393" s="2">
        <f>IF(OR(AA393="fail",AC393="fail"),"SKIP",IF(N393="","",IF(N393&gt;=90,"APPLY ASAP",IF(N393&gt;=80,"APPLY",IF(N393&gt;=70,"CONSIDER",IF(N393&gt;=60,"STRETCH","SKIP"))))))</f>
        <v/>
      </c>
      <c r="W393" s="2" t="n"/>
      <c r="X393" s="2" t="n"/>
      <c r="Y393" s="2" t="n"/>
      <c r="Z393" s="2" t="n"/>
    </row>
    <row r="394">
      <c r="A394" s="2" t="n"/>
      <c r="B394" s="2" t="n"/>
      <c r="C394" s="2" t="n"/>
      <c r="D394" s="2" t="n"/>
      <c r="E394" s="2" t="n"/>
      <c r="F394" s="2" t="n"/>
      <c r="G394" s="2" t="n"/>
      <c r="H394" s="2" t="n"/>
      <c r="I394" s="2" t="n"/>
      <c r="J394" s="2" t="n"/>
      <c r="K394" s="2" t="n"/>
      <c r="L394" s="2" t="n"/>
      <c r="M394" s="2" t="n"/>
      <c r="N394" s="2">
        <f>IF(COUNTA(O394:T394)&lt;6,"",ROUND(O394*0.3+P394*0.2+Q394*0.15+R394*0.15+S394*0.1+T394*0.1,0))</f>
        <v/>
      </c>
      <c r="O394" s="2" t="n"/>
      <c r="P394" s="2" t="n"/>
      <c r="Q394" s="2" t="n"/>
      <c r="R394" s="2" t="n"/>
      <c r="S394" s="2" t="n"/>
      <c r="T394" s="2" t="n"/>
      <c r="U394" s="2">
        <f>IF(OR(AA394="fail",AC394="fail"),"P4",IF(N394="","",IF(N394&gt;=90,"P1",IF(N394&gt;=80,"P1",IF(N394&gt;=70,"P2",IF(N394&gt;=60,"P3","P4"))))))</f>
        <v/>
      </c>
      <c r="V394" s="2">
        <f>IF(OR(AA394="fail",AC394="fail"),"SKIP",IF(N394="","",IF(N394&gt;=90,"APPLY ASAP",IF(N394&gt;=80,"APPLY",IF(N394&gt;=70,"CONSIDER",IF(N394&gt;=60,"STRETCH","SKIP"))))))</f>
        <v/>
      </c>
      <c r="W394" s="2" t="n"/>
      <c r="X394" s="2" t="n"/>
      <c r="Y394" s="2" t="n"/>
      <c r="Z394" s="2" t="n"/>
    </row>
    <row r="395">
      <c r="A395" s="2" t="n"/>
      <c r="B395" s="2" t="n"/>
      <c r="C395" s="2" t="n"/>
      <c r="D395" s="2" t="n"/>
      <c r="E395" s="2" t="n"/>
      <c r="F395" s="2" t="n"/>
      <c r="G395" s="2" t="n"/>
      <c r="H395" s="2" t="n"/>
      <c r="I395" s="2" t="n"/>
      <c r="J395" s="2" t="n"/>
      <c r="K395" s="2" t="n"/>
      <c r="L395" s="2" t="n"/>
      <c r="M395" s="2" t="n"/>
      <c r="N395" s="2">
        <f>IF(COUNTA(O395:T395)&lt;6,"",ROUND(O395*0.3+P395*0.2+Q395*0.15+R395*0.15+S395*0.1+T395*0.1,0))</f>
        <v/>
      </c>
      <c r="O395" s="2" t="n"/>
      <c r="P395" s="2" t="n"/>
      <c r="Q395" s="2" t="n"/>
      <c r="R395" s="2" t="n"/>
      <c r="S395" s="2" t="n"/>
      <c r="T395" s="2" t="n"/>
      <c r="U395" s="2">
        <f>IF(OR(AA395="fail",AC395="fail"),"P4",IF(N395="","",IF(N395&gt;=90,"P1",IF(N395&gt;=80,"P1",IF(N395&gt;=70,"P2",IF(N395&gt;=60,"P3","P4"))))))</f>
        <v/>
      </c>
      <c r="V395" s="2">
        <f>IF(OR(AA395="fail",AC395="fail"),"SKIP",IF(N395="","",IF(N395&gt;=90,"APPLY ASAP",IF(N395&gt;=80,"APPLY",IF(N395&gt;=70,"CONSIDER",IF(N395&gt;=60,"STRETCH","SKIP"))))))</f>
        <v/>
      </c>
      <c r="W395" s="2" t="n"/>
      <c r="X395" s="2" t="n"/>
      <c r="Y395" s="2" t="n"/>
      <c r="Z395" s="2" t="n"/>
    </row>
    <row r="396">
      <c r="A396" s="2" t="n"/>
      <c r="B396" s="2" t="n"/>
      <c r="C396" s="2" t="n"/>
      <c r="D396" s="2" t="n"/>
      <c r="E396" s="2" t="n"/>
      <c r="F396" s="2" t="n"/>
      <c r="G396" s="2" t="n"/>
      <c r="H396" s="2" t="n"/>
      <c r="I396" s="2" t="n"/>
      <c r="J396" s="2" t="n"/>
      <c r="K396" s="2" t="n"/>
      <c r="L396" s="2" t="n"/>
      <c r="M396" s="2" t="n"/>
      <c r="N396" s="2">
        <f>IF(COUNTA(O396:T396)&lt;6,"",ROUND(O396*0.3+P396*0.2+Q396*0.15+R396*0.15+S396*0.1+T396*0.1,0))</f>
        <v/>
      </c>
      <c r="O396" s="2" t="n"/>
      <c r="P396" s="2" t="n"/>
      <c r="Q396" s="2" t="n"/>
      <c r="R396" s="2" t="n"/>
      <c r="S396" s="2" t="n"/>
      <c r="T396" s="2" t="n"/>
      <c r="U396" s="2">
        <f>IF(OR(AA396="fail",AC396="fail"),"P4",IF(N396="","",IF(N396&gt;=90,"P1",IF(N396&gt;=80,"P1",IF(N396&gt;=70,"P2",IF(N396&gt;=60,"P3","P4"))))))</f>
        <v/>
      </c>
      <c r="V396" s="2">
        <f>IF(OR(AA396="fail",AC396="fail"),"SKIP",IF(N396="","",IF(N396&gt;=90,"APPLY ASAP",IF(N396&gt;=80,"APPLY",IF(N396&gt;=70,"CONSIDER",IF(N396&gt;=60,"STRETCH","SKIP"))))))</f>
        <v/>
      </c>
      <c r="W396" s="2" t="n"/>
      <c r="X396" s="2" t="n"/>
      <c r="Y396" s="2" t="n"/>
      <c r="Z396" s="2" t="n"/>
    </row>
    <row r="397">
      <c r="A397" s="2" t="n"/>
      <c r="B397" s="2" t="n"/>
      <c r="C397" s="2" t="n"/>
      <c r="D397" s="2" t="n"/>
      <c r="E397" s="2" t="n"/>
      <c r="F397" s="2" t="n"/>
      <c r="G397" s="2" t="n"/>
      <c r="H397" s="2" t="n"/>
      <c r="I397" s="2" t="n"/>
      <c r="J397" s="2" t="n"/>
      <c r="K397" s="2" t="n"/>
      <c r="L397" s="2" t="n"/>
      <c r="M397" s="2" t="n"/>
      <c r="N397" s="2">
        <f>IF(COUNTA(O397:T397)&lt;6,"",ROUND(O397*0.3+P397*0.2+Q397*0.15+R397*0.15+S397*0.1+T397*0.1,0))</f>
        <v/>
      </c>
      <c r="O397" s="2" t="n"/>
      <c r="P397" s="2" t="n"/>
      <c r="Q397" s="2" t="n"/>
      <c r="R397" s="2" t="n"/>
      <c r="S397" s="2" t="n"/>
      <c r="T397" s="2" t="n"/>
      <c r="U397" s="2">
        <f>IF(OR(AA397="fail",AC397="fail"),"P4",IF(N397="","",IF(N397&gt;=90,"P1",IF(N397&gt;=80,"P1",IF(N397&gt;=70,"P2",IF(N397&gt;=60,"P3","P4"))))))</f>
        <v/>
      </c>
      <c r="V397" s="2">
        <f>IF(OR(AA397="fail",AC397="fail"),"SKIP",IF(N397="","",IF(N397&gt;=90,"APPLY ASAP",IF(N397&gt;=80,"APPLY",IF(N397&gt;=70,"CONSIDER",IF(N397&gt;=60,"STRETCH","SKIP"))))))</f>
        <v/>
      </c>
      <c r="W397" s="2" t="n"/>
      <c r="X397" s="2" t="n"/>
      <c r="Y397" s="2" t="n"/>
      <c r="Z397" s="2" t="n"/>
    </row>
    <row r="398">
      <c r="A398" s="2" t="n"/>
      <c r="B398" s="2" t="n"/>
      <c r="C398" s="2" t="n"/>
      <c r="D398" s="2" t="n"/>
      <c r="E398" s="2" t="n"/>
      <c r="F398" s="2" t="n"/>
      <c r="G398" s="2" t="n"/>
      <c r="H398" s="2" t="n"/>
      <c r="I398" s="2" t="n"/>
      <c r="J398" s="2" t="n"/>
      <c r="K398" s="2" t="n"/>
      <c r="L398" s="2" t="n"/>
      <c r="M398" s="2" t="n"/>
      <c r="N398" s="2">
        <f>IF(COUNTA(O398:T398)&lt;6,"",ROUND(O398*0.3+P398*0.2+Q398*0.15+R398*0.15+S398*0.1+T398*0.1,0))</f>
        <v/>
      </c>
      <c r="O398" s="2" t="n"/>
      <c r="P398" s="2" t="n"/>
      <c r="Q398" s="2" t="n"/>
      <c r="R398" s="2" t="n"/>
      <c r="S398" s="2" t="n"/>
      <c r="T398" s="2" t="n"/>
      <c r="U398" s="2">
        <f>IF(OR(AA398="fail",AC398="fail"),"P4",IF(N398="","",IF(N398&gt;=90,"P1",IF(N398&gt;=80,"P1",IF(N398&gt;=70,"P2",IF(N398&gt;=60,"P3","P4"))))))</f>
        <v/>
      </c>
      <c r="V398" s="2">
        <f>IF(OR(AA398="fail",AC398="fail"),"SKIP",IF(N398="","",IF(N398&gt;=90,"APPLY ASAP",IF(N398&gt;=80,"APPLY",IF(N398&gt;=70,"CONSIDER",IF(N398&gt;=60,"STRETCH","SKIP"))))))</f>
        <v/>
      </c>
      <c r="W398" s="2" t="n"/>
      <c r="X398" s="2" t="n"/>
      <c r="Y398" s="2" t="n"/>
      <c r="Z398" s="2" t="n"/>
    </row>
    <row r="399">
      <c r="A399" s="2" t="n"/>
      <c r="B399" s="2" t="n"/>
      <c r="C399" s="2" t="n"/>
      <c r="D399" s="2" t="n"/>
      <c r="E399" s="2" t="n"/>
      <c r="F399" s="2" t="n"/>
      <c r="G399" s="2" t="n"/>
      <c r="H399" s="2" t="n"/>
      <c r="I399" s="2" t="n"/>
      <c r="J399" s="2" t="n"/>
      <c r="K399" s="2" t="n"/>
      <c r="L399" s="2" t="n"/>
      <c r="M399" s="2" t="n"/>
      <c r="N399" s="2">
        <f>IF(COUNTA(O399:T399)&lt;6,"",ROUND(O399*0.3+P399*0.2+Q399*0.15+R399*0.15+S399*0.1+T399*0.1,0))</f>
        <v/>
      </c>
      <c r="O399" s="2" t="n"/>
      <c r="P399" s="2" t="n"/>
      <c r="Q399" s="2" t="n"/>
      <c r="R399" s="2" t="n"/>
      <c r="S399" s="2" t="n"/>
      <c r="T399" s="2" t="n"/>
      <c r="U399" s="2">
        <f>IF(OR(AA399="fail",AC399="fail"),"P4",IF(N399="","",IF(N399&gt;=90,"P1",IF(N399&gt;=80,"P1",IF(N399&gt;=70,"P2",IF(N399&gt;=60,"P3","P4"))))))</f>
        <v/>
      </c>
      <c r="V399" s="2">
        <f>IF(OR(AA399="fail",AC399="fail"),"SKIP",IF(N399="","",IF(N399&gt;=90,"APPLY ASAP",IF(N399&gt;=80,"APPLY",IF(N399&gt;=70,"CONSIDER",IF(N399&gt;=60,"STRETCH","SKIP"))))))</f>
        <v/>
      </c>
      <c r="W399" s="2" t="n"/>
      <c r="X399" s="2" t="n"/>
      <c r="Y399" s="2" t="n"/>
      <c r="Z399" s="2" t="n"/>
    </row>
    <row r="400">
      <c r="A400" s="2" t="n"/>
      <c r="B400" s="2" t="n"/>
      <c r="C400" s="2" t="n"/>
      <c r="D400" s="2" t="n"/>
      <c r="E400" s="2" t="n"/>
      <c r="F400" s="2" t="n"/>
      <c r="G400" s="2" t="n"/>
      <c r="H400" s="2" t="n"/>
      <c r="I400" s="2" t="n"/>
      <c r="J400" s="2" t="n"/>
      <c r="K400" s="2" t="n"/>
      <c r="L400" s="2" t="n"/>
      <c r="M400" s="2" t="n"/>
      <c r="N400" s="2">
        <f>IF(COUNTA(O400:T400)&lt;6,"",ROUND(O400*0.3+P400*0.2+Q400*0.15+R400*0.15+S400*0.1+T400*0.1,0))</f>
        <v/>
      </c>
      <c r="O400" s="2" t="n"/>
      <c r="P400" s="2" t="n"/>
      <c r="Q400" s="2" t="n"/>
      <c r="R400" s="2" t="n"/>
      <c r="S400" s="2" t="n"/>
      <c r="T400" s="2" t="n"/>
      <c r="U400" s="2">
        <f>IF(OR(AA400="fail",AC400="fail"),"P4",IF(N400="","",IF(N400&gt;=90,"P1",IF(N400&gt;=80,"P1",IF(N400&gt;=70,"P2",IF(N400&gt;=60,"P3","P4"))))))</f>
        <v/>
      </c>
      <c r="V400" s="2">
        <f>IF(OR(AA400="fail",AC400="fail"),"SKIP",IF(N400="","",IF(N400&gt;=90,"APPLY ASAP",IF(N400&gt;=80,"APPLY",IF(N400&gt;=70,"CONSIDER",IF(N400&gt;=60,"STRETCH","SKIP"))))))</f>
        <v/>
      </c>
      <c r="W400" s="2" t="n"/>
      <c r="X400" s="2" t="n"/>
      <c r="Y400" s="2" t="n"/>
      <c r="Z400" s="2" t="n"/>
    </row>
    <row r="401">
      <c r="A401" s="2" t="n"/>
      <c r="B401" s="2" t="n"/>
      <c r="C401" s="2" t="n"/>
      <c r="D401" s="2" t="n"/>
      <c r="E401" s="2" t="n"/>
      <c r="F401" s="2" t="n"/>
      <c r="G401" s="2" t="n"/>
      <c r="H401" s="2" t="n"/>
      <c r="I401" s="2" t="n"/>
      <c r="J401" s="2" t="n"/>
      <c r="K401" s="2" t="n"/>
      <c r="L401" s="2" t="n"/>
      <c r="M401" s="2" t="n"/>
      <c r="N401" s="2">
        <f>IF(COUNTA(O401:T401)&lt;6,"",ROUND(O401*0.3+P401*0.2+Q401*0.15+R401*0.15+S401*0.1+T401*0.1,0))</f>
        <v/>
      </c>
      <c r="O401" s="2" t="n"/>
      <c r="P401" s="2" t="n"/>
      <c r="Q401" s="2" t="n"/>
      <c r="R401" s="2" t="n"/>
      <c r="S401" s="2" t="n"/>
      <c r="T401" s="2" t="n"/>
      <c r="U401" s="2">
        <f>IF(OR(AA401="fail",AC401="fail"),"P4",IF(N401="","",IF(N401&gt;=90,"P1",IF(N401&gt;=80,"P1",IF(N401&gt;=70,"P2",IF(N401&gt;=60,"P3","P4"))))))</f>
        <v/>
      </c>
      <c r="V401" s="2">
        <f>IF(OR(AA401="fail",AC401="fail"),"SKIP",IF(N401="","",IF(N401&gt;=90,"APPLY ASAP",IF(N401&gt;=80,"APPLY",IF(N401&gt;=70,"CONSIDER",IF(N401&gt;=60,"STRETCH","SKIP"))))))</f>
        <v/>
      </c>
      <c r="W401" s="2" t="n"/>
      <c r="X401" s="2" t="n"/>
      <c r="Y401" s="2" t="n"/>
      <c r="Z401" s="2" t="n"/>
    </row>
    <row r="402">
      <c r="A402" s="2" t="n"/>
      <c r="B402" s="2" t="n"/>
      <c r="C402" s="2" t="n"/>
      <c r="D402" s="2" t="n"/>
      <c r="E402" s="2" t="n"/>
      <c r="F402" s="2" t="n"/>
      <c r="G402" s="2" t="n"/>
      <c r="H402" s="2" t="n"/>
      <c r="I402" s="2" t="n"/>
      <c r="J402" s="2" t="n"/>
      <c r="K402" s="2" t="n"/>
      <c r="L402" s="2" t="n"/>
      <c r="M402" s="2" t="n"/>
      <c r="N402" s="2">
        <f>IF(COUNTA(O402:T402)&lt;6,"",ROUND(O402*0.3+P402*0.2+Q402*0.15+R402*0.15+S402*0.1+T402*0.1,0))</f>
        <v/>
      </c>
      <c r="O402" s="2" t="n"/>
      <c r="P402" s="2" t="n"/>
      <c r="Q402" s="2" t="n"/>
      <c r="R402" s="2" t="n"/>
      <c r="S402" s="2" t="n"/>
      <c r="T402" s="2" t="n"/>
      <c r="U402" s="2">
        <f>IF(OR(AA402="fail",AC402="fail"),"P4",IF(N402="","",IF(N402&gt;=90,"P1",IF(N402&gt;=80,"P1",IF(N402&gt;=70,"P2",IF(N402&gt;=60,"P3","P4"))))))</f>
        <v/>
      </c>
      <c r="V402" s="2">
        <f>IF(OR(AA402="fail",AC402="fail"),"SKIP",IF(N402="","",IF(N402&gt;=90,"APPLY ASAP",IF(N402&gt;=80,"APPLY",IF(N402&gt;=70,"CONSIDER",IF(N402&gt;=60,"STRETCH","SKIP"))))))</f>
        <v/>
      </c>
      <c r="W402" s="2" t="n"/>
      <c r="X402" s="2" t="n"/>
      <c r="Y402" s="2" t="n"/>
      <c r="Z402" s="2" t="n"/>
    </row>
    <row r="403">
      <c r="A403" s="2" t="n"/>
      <c r="B403" s="2" t="n"/>
      <c r="C403" s="2" t="n"/>
      <c r="D403" s="2" t="n"/>
      <c r="E403" s="2" t="n"/>
      <c r="F403" s="2" t="n"/>
      <c r="G403" s="2" t="n"/>
      <c r="H403" s="2" t="n"/>
      <c r="I403" s="2" t="n"/>
      <c r="J403" s="2" t="n"/>
      <c r="K403" s="2" t="n"/>
      <c r="L403" s="2" t="n"/>
      <c r="M403" s="2" t="n"/>
      <c r="N403" s="2">
        <f>IF(COUNTA(O403:T403)&lt;6,"",ROUND(O403*0.3+P403*0.2+Q403*0.15+R403*0.15+S403*0.1+T403*0.1,0))</f>
        <v/>
      </c>
      <c r="O403" s="2" t="n"/>
      <c r="P403" s="2" t="n"/>
      <c r="Q403" s="2" t="n"/>
      <c r="R403" s="2" t="n"/>
      <c r="S403" s="2" t="n"/>
      <c r="T403" s="2" t="n"/>
      <c r="U403" s="2">
        <f>IF(OR(AA403="fail",AC403="fail"),"P4",IF(N403="","",IF(N403&gt;=90,"P1",IF(N403&gt;=80,"P1",IF(N403&gt;=70,"P2",IF(N403&gt;=60,"P3","P4"))))))</f>
        <v/>
      </c>
      <c r="V403" s="2">
        <f>IF(OR(AA403="fail",AC403="fail"),"SKIP",IF(N403="","",IF(N403&gt;=90,"APPLY ASAP",IF(N403&gt;=80,"APPLY",IF(N403&gt;=70,"CONSIDER",IF(N403&gt;=60,"STRETCH","SKIP"))))))</f>
        <v/>
      </c>
      <c r="W403" s="2" t="n"/>
      <c r="X403" s="2" t="n"/>
      <c r="Y403" s="2" t="n"/>
      <c r="Z403" s="2" t="n"/>
    </row>
    <row r="404">
      <c r="A404" s="2" t="n"/>
      <c r="B404" s="2" t="n"/>
      <c r="C404" s="2" t="n"/>
      <c r="D404" s="2" t="n"/>
      <c r="E404" s="2" t="n"/>
      <c r="F404" s="2" t="n"/>
      <c r="G404" s="2" t="n"/>
      <c r="H404" s="2" t="n"/>
      <c r="I404" s="2" t="n"/>
      <c r="J404" s="2" t="n"/>
      <c r="K404" s="2" t="n"/>
      <c r="L404" s="2" t="n"/>
      <c r="M404" s="2" t="n"/>
      <c r="N404" s="2">
        <f>IF(COUNTA(O404:T404)&lt;6,"",ROUND(O404*0.3+P404*0.2+Q404*0.15+R404*0.15+S404*0.1+T404*0.1,0))</f>
        <v/>
      </c>
      <c r="O404" s="2" t="n"/>
      <c r="P404" s="2" t="n"/>
      <c r="Q404" s="2" t="n"/>
      <c r="R404" s="2" t="n"/>
      <c r="S404" s="2" t="n"/>
      <c r="T404" s="2" t="n"/>
      <c r="U404" s="2">
        <f>IF(OR(AA404="fail",AC404="fail"),"P4",IF(N404="","",IF(N404&gt;=90,"P1",IF(N404&gt;=80,"P1",IF(N404&gt;=70,"P2",IF(N404&gt;=60,"P3","P4"))))))</f>
        <v/>
      </c>
      <c r="V404" s="2">
        <f>IF(OR(AA404="fail",AC404="fail"),"SKIP",IF(N404="","",IF(N404&gt;=90,"APPLY ASAP",IF(N404&gt;=80,"APPLY",IF(N404&gt;=70,"CONSIDER",IF(N404&gt;=60,"STRETCH","SKIP"))))))</f>
        <v/>
      </c>
      <c r="W404" s="2" t="n"/>
      <c r="X404" s="2" t="n"/>
      <c r="Y404" s="2" t="n"/>
      <c r="Z404" s="2" t="n"/>
    </row>
    <row r="405">
      <c r="A405" s="2" t="n"/>
      <c r="B405" s="2" t="n"/>
      <c r="C405" s="2" t="n"/>
      <c r="D405" s="2" t="n"/>
      <c r="E405" s="2" t="n"/>
      <c r="F405" s="2" t="n"/>
      <c r="G405" s="2" t="n"/>
      <c r="H405" s="2" t="n"/>
      <c r="I405" s="2" t="n"/>
      <c r="J405" s="2" t="n"/>
      <c r="K405" s="2" t="n"/>
      <c r="L405" s="2" t="n"/>
      <c r="M405" s="2" t="n"/>
      <c r="N405" s="2">
        <f>IF(COUNTA(O405:T405)&lt;6,"",ROUND(O405*0.3+P405*0.2+Q405*0.15+R405*0.15+S405*0.1+T405*0.1,0))</f>
        <v/>
      </c>
      <c r="O405" s="2" t="n"/>
      <c r="P405" s="2" t="n"/>
      <c r="Q405" s="2" t="n"/>
      <c r="R405" s="2" t="n"/>
      <c r="S405" s="2" t="n"/>
      <c r="T405" s="2" t="n"/>
      <c r="U405" s="2">
        <f>IF(OR(AA405="fail",AC405="fail"),"P4",IF(N405="","",IF(N405&gt;=90,"P1",IF(N405&gt;=80,"P1",IF(N405&gt;=70,"P2",IF(N405&gt;=60,"P3","P4"))))))</f>
        <v/>
      </c>
      <c r="V405" s="2">
        <f>IF(OR(AA405="fail",AC405="fail"),"SKIP",IF(N405="","",IF(N405&gt;=90,"APPLY ASAP",IF(N405&gt;=80,"APPLY",IF(N405&gt;=70,"CONSIDER",IF(N405&gt;=60,"STRETCH","SKIP"))))))</f>
        <v/>
      </c>
      <c r="W405" s="2" t="n"/>
      <c r="X405" s="2" t="n"/>
      <c r="Y405" s="2" t="n"/>
      <c r="Z405" s="2" t="n"/>
    </row>
    <row r="406">
      <c r="A406" s="2" t="n"/>
      <c r="B406" s="2" t="n"/>
      <c r="C406" s="2" t="n"/>
      <c r="D406" s="2" t="n"/>
      <c r="E406" s="2" t="n"/>
      <c r="F406" s="2" t="n"/>
      <c r="G406" s="2" t="n"/>
      <c r="H406" s="2" t="n"/>
      <c r="I406" s="2" t="n"/>
      <c r="J406" s="2" t="n"/>
      <c r="K406" s="2" t="n"/>
      <c r="L406" s="2" t="n"/>
      <c r="M406" s="2" t="n"/>
      <c r="N406" s="2">
        <f>IF(COUNTA(O406:T406)&lt;6,"",ROUND(O406*0.3+P406*0.2+Q406*0.15+R406*0.15+S406*0.1+T406*0.1,0))</f>
        <v/>
      </c>
      <c r="O406" s="2" t="n"/>
      <c r="P406" s="2" t="n"/>
      <c r="Q406" s="2" t="n"/>
      <c r="R406" s="2" t="n"/>
      <c r="S406" s="2" t="n"/>
      <c r="T406" s="2" t="n"/>
      <c r="U406" s="2">
        <f>IF(OR(AA406="fail",AC406="fail"),"P4",IF(N406="","",IF(N406&gt;=90,"P1",IF(N406&gt;=80,"P1",IF(N406&gt;=70,"P2",IF(N406&gt;=60,"P3","P4"))))))</f>
        <v/>
      </c>
      <c r="V406" s="2">
        <f>IF(OR(AA406="fail",AC406="fail"),"SKIP",IF(N406="","",IF(N406&gt;=90,"APPLY ASAP",IF(N406&gt;=80,"APPLY",IF(N406&gt;=70,"CONSIDER",IF(N406&gt;=60,"STRETCH","SKIP"))))))</f>
        <v/>
      </c>
      <c r="W406" s="2" t="n"/>
      <c r="X406" s="2" t="n"/>
      <c r="Y406" s="2" t="n"/>
      <c r="Z406" s="2" t="n"/>
    </row>
    <row r="407">
      <c r="A407" s="2" t="n"/>
      <c r="B407" s="2" t="n"/>
      <c r="C407" s="2" t="n"/>
      <c r="D407" s="2" t="n"/>
      <c r="E407" s="2" t="n"/>
      <c r="F407" s="2" t="n"/>
      <c r="G407" s="2" t="n"/>
      <c r="H407" s="2" t="n"/>
      <c r="I407" s="2" t="n"/>
      <c r="J407" s="2" t="n"/>
      <c r="K407" s="2" t="n"/>
      <c r="L407" s="2" t="n"/>
      <c r="M407" s="2" t="n"/>
      <c r="N407" s="2">
        <f>IF(COUNTA(O407:T407)&lt;6,"",ROUND(O407*0.3+P407*0.2+Q407*0.15+R407*0.15+S407*0.1+T407*0.1,0))</f>
        <v/>
      </c>
      <c r="O407" s="2" t="n"/>
      <c r="P407" s="2" t="n"/>
      <c r="Q407" s="2" t="n"/>
      <c r="R407" s="2" t="n"/>
      <c r="S407" s="2" t="n"/>
      <c r="T407" s="2" t="n"/>
      <c r="U407" s="2">
        <f>IF(OR(AA407="fail",AC407="fail"),"P4",IF(N407="","",IF(N407&gt;=90,"P1",IF(N407&gt;=80,"P1",IF(N407&gt;=70,"P2",IF(N407&gt;=60,"P3","P4"))))))</f>
        <v/>
      </c>
      <c r="V407" s="2">
        <f>IF(OR(AA407="fail",AC407="fail"),"SKIP",IF(N407="","",IF(N407&gt;=90,"APPLY ASAP",IF(N407&gt;=80,"APPLY",IF(N407&gt;=70,"CONSIDER",IF(N407&gt;=60,"STRETCH","SKIP"))))))</f>
        <v/>
      </c>
      <c r="W407" s="2" t="n"/>
      <c r="X407" s="2" t="n"/>
      <c r="Y407" s="2" t="n"/>
      <c r="Z407" s="2" t="n"/>
    </row>
    <row r="408">
      <c r="A408" s="2" t="n"/>
      <c r="B408" s="2" t="n"/>
      <c r="C408" s="2" t="n"/>
      <c r="D408" s="2" t="n"/>
      <c r="E408" s="2" t="n"/>
      <c r="F408" s="2" t="n"/>
      <c r="G408" s="2" t="n"/>
      <c r="H408" s="2" t="n"/>
      <c r="I408" s="2" t="n"/>
      <c r="J408" s="2" t="n"/>
      <c r="K408" s="2" t="n"/>
      <c r="L408" s="2" t="n"/>
      <c r="M408" s="2" t="n"/>
      <c r="N408" s="2">
        <f>IF(COUNTA(O408:T408)&lt;6,"",ROUND(O408*0.3+P408*0.2+Q408*0.15+R408*0.15+S408*0.1+T408*0.1,0))</f>
        <v/>
      </c>
      <c r="O408" s="2" t="n"/>
      <c r="P408" s="2" t="n"/>
      <c r="Q408" s="2" t="n"/>
      <c r="R408" s="2" t="n"/>
      <c r="S408" s="2" t="n"/>
      <c r="T408" s="2" t="n"/>
      <c r="U408" s="2">
        <f>IF(OR(AA408="fail",AC408="fail"),"P4",IF(N408="","",IF(N408&gt;=90,"P1",IF(N408&gt;=80,"P1",IF(N408&gt;=70,"P2",IF(N408&gt;=60,"P3","P4"))))))</f>
        <v/>
      </c>
      <c r="V408" s="2">
        <f>IF(OR(AA408="fail",AC408="fail"),"SKIP",IF(N408="","",IF(N408&gt;=90,"APPLY ASAP",IF(N408&gt;=80,"APPLY",IF(N408&gt;=70,"CONSIDER",IF(N408&gt;=60,"STRETCH","SKIP"))))))</f>
        <v/>
      </c>
      <c r="W408" s="2" t="n"/>
      <c r="X408" s="2" t="n"/>
      <c r="Y408" s="2" t="n"/>
      <c r="Z408" s="2" t="n"/>
    </row>
    <row r="409">
      <c r="A409" s="2" t="n"/>
      <c r="B409" s="2" t="n"/>
      <c r="C409" s="2" t="n"/>
      <c r="D409" s="2" t="n"/>
      <c r="E409" s="2" t="n"/>
      <c r="F409" s="2" t="n"/>
      <c r="G409" s="2" t="n"/>
      <c r="H409" s="2" t="n"/>
      <c r="I409" s="2" t="n"/>
      <c r="J409" s="2" t="n"/>
      <c r="K409" s="2" t="n"/>
      <c r="L409" s="2" t="n"/>
      <c r="M409" s="2" t="n"/>
      <c r="N409" s="2">
        <f>IF(COUNTA(O409:T409)&lt;6,"",ROUND(O409*0.3+P409*0.2+Q409*0.15+R409*0.15+S409*0.1+T409*0.1,0))</f>
        <v/>
      </c>
      <c r="O409" s="2" t="n"/>
      <c r="P409" s="2" t="n"/>
      <c r="Q409" s="2" t="n"/>
      <c r="R409" s="2" t="n"/>
      <c r="S409" s="2" t="n"/>
      <c r="T409" s="2" t="n"/>
      <c r="U409" s="2">
        <f>IF(OR(AA409="fail",AC409="fail"),"P4",IF(N409="","",IF(N409&gt;=90,"P1",IF(N409&gt;=80,"P1",IF(N409&gt;=70,"P2",IF(N409&gt;=60,"P3","P4"))))))</f>
        <v/>
      </c>
      <c r="V409" s="2">
        <f>IF(OR(AA409="fail",AC409="fail"),"SKIP",IF(N409="","",IF(N409&gt;=90,"APPLY ASAP",IF(N409&gt;=80,"APPLY",IF(N409&gt;=70,"CONSIDER",IF(N409&gt;=60,"STRETCH","SKIP"))))))</f>
        <v/>
      </c>
      <c r="W409" s="2" t="n"/>
      <c r="X409" s="2" t="n"/>
      <c r="Y409" s="2" t="n"/>
      <c r="Z409" s="2" t="n"/>
    </row>
    <row r="410">
      <c r="A410" s="2" t="n"/>
      <c r="B410" s="2" t="n"/>
      <c r="C410" s="2" t="n"/>
      <c r="D410" s="2" t="n"/>
      <c r="E410" s="2" t="n"/>
      <c r="F410" s="2" t="n"/>
      <c r="G410" s="2" t="n"/>
      <c r="H410" s="2" t="n"/>
      <c r="I410" s="2" t="n"/>
      <c r="J410" s="2" t="n"/>
      <c r="K410" s="2" t="n"/>
      <c r="L410" s="2" t="n"/>
      <c r="M410" s="2" t="n"/>
      <c r="N410" s="2">
        <f>IF(COUNTA(O410:T410)&lt;6,"",ROUND(O410*0.3+P410*0.2+Q410*0.15+R410*0.15+S410*0.1+T410*0.1,0))</f>
        <v/>
      </c>
      <c r="O410" s="2" t="n"/>
      <c r="P410" s="2" t="n"/>
      <c r="Q410" s="2" t="n"/>
      <c r="R410" s="2" t="n"/>
      <c r="S410" s="2" t="n"/>
      <c r="T410" s="2" t="n"/>
      <c r="U410" s="2">
        <f>IF(OR(AA410="fail",AC410="fail"),"P4",IF(N410="","",IF(N410&gt;=90,"P1",IF(N410&gt;=80,"P1",IF(N410&gt;=70,"P2",IF(N410&gt;=60,"P3","P4"))))))</f>
        <v/>
      </c>
      <c r="V410" s="2">
        <f>IF(OR(AA410="fail",AC410="fail"),"SKIP",IF(N410="","",IF(N410&gt;=90,"APPLY ASAP",IF(N410&gt;=80,"APPLY",IF(N410&gt;=70,"CONSIDER",IF(N410&gt;=60,"STRETCH","SKIP"))))))</f>
        <v/>
      </c>
      <c r="W410" s="2" t="n"/>
      <c r="X410" s="2" t="n"/>
      <c r="Y410" s="2" t="n"/>
      <c r="Z410" s="2" t="n"/>
    </row>
    <row r="411">
      <c r="A411" s="2" t="n"/>
      <c r="B411" s="2" t="n"/>
      <c r="C411" s="2" t="n"/>
      <c r="D411" s="2" t="n"/>
      <c r="E411" s="2" t="n"/>
      <c r="F411" s="2" t="n"/>
      <c r="G411" s="2" t="n"/>
      <c r="H411" s="2" t="n"/>
      <c r="I411" s="2" t="n"/>
      <c r="J411" s="2" t="n"/>
      <c r="K411" s="2" t="n"/>
      <c r="L411" s="2" t="n"/>
      <c r="M411" s="2" t="n"/>
      <c r="N411" s="2">
        <f>IF(COUNTA(O411:T411)&lt;6,"",ROUND(O411*0.3+P411*0.2+Q411*0.15+R411*0.15+S411*0.1+T411*0.1,0))</f>
        <v/>
      </c>
      <c r="O411" s="2" t="n"/>
      <c r="P411" s="2" t="n"/>
      <c r="Q411" s="2" t="n"/>
      <c r="R411" s="2" t="n"/>
      <c r="S411" s="2" t="n"/>
      <c r="T411" s="2" t="n"/>
      <c r="U411" s="2">
        <f>IF(OR(AA411="fail",AC411="fail"),"P4",IF(N411="","",IF(N411&gt;=90,"P1",IF(N411&gt;=80,"P1",IF(N411&gt;=70,"P2",IF(N411&gt;=60,"P3","P4"))))))</f>
        <v/>
      </c>
      <c r="V411" s="2">
        <f>IF(OR(AA411="fail",AC411="fail"),"SKIP",IF(N411="","",IF(N411&gt;=90,"APPLY ASAP",IF(N411&gt;=80,"APPLY",IF(N411&gt;=70,"CONSIDER",IF(N411&gt;=60,"STRETCH","SKIP"))))))</f>
        <v/>
      </c>
      <c r="W411" s="2" t="n"/>
      <c r="X411" s="2" t="n"/>
      <c r="Y411" s="2" t="n"/>
      <c r="Z411" s="2" t="n"/>
    </row>
    <row r="412">
      <c r="A412" s="2" t="n"/>
      <c r="B412" s="2" t="n"/>
      <c r="C412" s="2" t="n"/>
      <c r="D412" s="2" t="n"/>
      <c r="E412" s="2" t="n"/>
      <c r="F412" s="2" t="n"/>
      <c r="G412" s="2" t="n"/>
      <c r="H412" s="2" t="n"/>
      <c r="I412" s="2" t="n"/>
      <c r="J412" s="2" t="n"/>
      <c r="K412" s="2" t="n"/>
      <c r="L412" s="2" t="n"/>
      <c r="M412" s="2" t="n"/>
      <c r="N412" s="2">
        <f>IF(COUNTA(O412:T412)&lt;6,"",ROUND(O412*0.3+P412*0.2+Q412*0.15+R412*0.15+S412*0.1+T412*0.1,0))</f>
        <v/>
      </c>
      <c r="O412" s="2" t="n"/>
      <c r="P412" s="2" t="n"/>
      <c r="Q412" s="2" t="n"/>
      <c r="R412" s="2" t="n"/>
      <c r="S412" s="2" t="n"/>
      <c r="T412" s="2" t="n"/>
      <c r="U412" s="2">
        <f>IF(OR(AA412="fail",AC412="fail"),"P4",IF(N412="","",IF(N412&gt;=90,"P1",IF(N412&gt;=80,"P1",IF(N412&gt;=70,"P2",IF(N412&gt;=60,"P3","P4"))))))</f>
        <v/>
      </c>
      <c r="V412" s="2">
        <f>IF(OR(AA412="fail",AC412="fail"),"SKIP",IF(N412="","",IF(N412&gt;=90,"APPLY ASAP",IF(N412&gt;=80,"APPLY",IF(N412&gt;=70,"CONSIDER",IF(N412&gt;=60,"STRETCH","SKIP"))))))</f>
        <v/>
      </c>
      <c r="W412" s="2" t="n"/>
      <c r="X412" s="2" t="n"/>
      <c r="Y412" s="2" t="n"/>
      <c r="Z412" s="2" t="n"/>
    </row>
    <row r="413">
      <c r="A413" s="2" t="n"/>
      <c r="B413" s="2" t="n"/>
      <c r="C413" s="2" t="n"/>
      <c r="D413" s="2" t="n"/>
      <c r="E413" s="2" t="n"/>
      <c r="F413" s="2" t="n"/>
      <c r="G413" s="2" t="n"/>
      <c r="H413" s="2" t="n"/>
      <c r="I413" s="2" t="n"/>
      <c r="J413" s="2" t="n"/>
      <c r="K413" s="2" t="n"/>
      <c r="L413" s="2" t="n"/>
      <c r="M413" s="2" t="n"/>
      <c r="N413" s="2">
        <f>IF(COUNTA(O413:T413)&lt;6,"",ROUND(O413*0.3+P413*0.2+Q413*0.15+R413*0.15+S413*0.1+T413*0.1,0))</f>
        <v/>
      </c>
      <c r="O413" s="2" t="n"/>
      <c r="P413" s="2" t="n"/>
      <c r="Q413" s="2" t="n"/>
      <c r="R413" s="2" t="n"/>
      <c r="S413" s="2" t="n"/>
      <c r="T413" s="2" t="n"/>
      <c r="U413" s="2">
        <f>IF(OR(AA413="fail",AC413="fail"),"P4",IF(N413="","",IF(N413&gt;=90,"P1",IF(N413&gt;=80,"P1",IF(N413&gt;=70,"P2",IF(N413&gt;=60,"P3","P4"))))))</f>
        <v/>
      </c>
      <c r="V413" s="2">
        <f>IF(OR(AA413="fail",AC413="fail"),"SKIP",IF(N413="","",IF(N413&gt;=90,"APPLY ASAP",IF(N413&gt;=80,"APPLY",IF(N413&gt;=70,"CONSIDER",IF(N413&gt;=60,"STRETCH","SKIP"))))))</f>
        <v/>
      </c>
      <c r="W413" s="2" t="n"/>
      <c r="X413" s="2" t="n"/>
      <c r="Y413" s="2" t="n"/>
      <c r="Z413" s="2" t="n"/>
    </row>
    <row r="414">
      <c r="A414" s="2" t="n"/>
      <c r="B414" s="2" t="n"/>
      <c r="C414" s="2" t="n"/>
      <c r="D414" s="2" t="n"/>
      <c r="E414" s="2" t="n"/>
      <c r="F414" s="2" t="n"/>
      <c r="G414" s="2" t="n"/>
      <c r="H414" s="2" t="n"/>
      <c r="I414" s="2" t="n"/>
      <c r="J414" s="2" t="n"/>
      <c r="K414" s="2" t="n"/>
      <c r="L414" s="2" t="n"/>
      <c r="M414" s="2" t="n"/>
      <c r="N414" s="2">
        <f>IF(COUNTA(O414:T414)&lt;6,"",ROUND(O414*0.3+P414*0.2+Q414*0.15+R414*0.15+S414*0.1+T414*0.1,0))</f>
        <v/>
      </c>
      <c r="O414" s="2" t="n"/>
      <c r="P414" s="2" t="n"/>
      <c r="Q414" s="2" t="n"/>
      <c r="R414" s="2" t="n"/>
      <c r="S414" s="2" t="n"/>
      <c r="T414" s="2" t="n"/>
      <c r="U414" s="2">
        <f>IF(OR(AA414="fail",AC414="fail"),"P4",IF(N414="","",IF(N414&gt;=90,"P1",IF(N414&gt;=80,"P1",IF(N414&gt;=70,"P2",IF(N414&gt;=60,"P3","P4"))))))</f>
        <v/>
      </c>
      <c r="V414" s="2">
        <f>IF(OR(AA414="fail",AC414="fail"),"SKIP",IF(N414="","",IF(N414&gt;=90,"APPLY ASAP",IF(N414&gt;=80,"APPLY",IF(N414&gt;=70,"CONSIDER",IF(N414&gt;=60,"STRETCH","SKIP"))))))</f>
        <v/>
      </c>
      <c r="W414" s="2" t="n"/>
      <c r="X414" s="2" t="n"/>
      <c r="Y414" s="2" t="n"/>
      <c r="Z414" s="2" t="n"/>
    </row>
    <row r="415">
      <c r="A415" s="2" t="n"/>
      <c r="B415" s="2" t="n"/>
      <c r="C415" s="2" t="n"/>
      <c r="D415" s="2" t="n"/>
      <c r="E415" s="2" t="n"/>
      <c r="F415" s="2" t="n"/>
      <c r="G415" s="2" t="n"/>
      <c r="H415" s="2" t="n"/>
      <c r="I415" s="2" t="n"/>
      <c r="J415" s="2" t="n"/>
      <c r="K415" s="2" t="n"/>
      <c r="L415" s="2" t="n"/>
      <c r="M415" s="2" t="n"/>
      <c r="N415" s="2">
        <f>IF(COUNTA(O415:T415)&lt;6,"",ROUND(O415*0.3+P415*0.2+Q415*0.15+R415*0.15+S415*0.1+T415*0.1,0))</f>
        <v/>
      </c>
      <c r="O415" s="2" t="n"/>
      <c r="P415" s="2" t="n"/>
      <c r="Q415" s="2" t="n"/>
      <c r="R415" s="2" t="n"/>
      <c r="S415" s="2" t="n"/>
      <c r="T415" s="2" t="n"/>
      <c r="U415" s="2">
        <f>IF(OR(AA415="fail",AC415="fail"),"P4",IF(N415="","",IF(N415&gt;=90,"P1",IF(N415&gt;=80,"P1",IF(N415&gt;=70,"P2",IF(N415&gt;=60,"P3","P4"))))))</f>
        <v/>
      </c>
      <c r="V415" s="2">
        <f>IF(OR(AA415="fail",AC415="fail"),"SKIP",IF(N415="","",IF(N415&gt;=90,"APPLY ASAP",IF(N415&gt;=80,"APPLY",IF(N415&gt;=70,"CONSIDER",IF(N415&gt;=60,"STRETCH","SKIP"))))))</f>
        <v/>
      </c>
      <c r="W415" s="2" t="n"/>
      <c r="X415" s="2" t="n"/>
      <c r="Y415" s="2" t="n"/>
      <c r="Z415" s="2" t="n"/>
    </row>
    <row r="416">
      <c r="A416" s="2" t="n"/>
      <c r="B416" s="2" t="n"/>
      <c r="C416" s="2" t="n"/>
      <c r="D416" s="2" t="n"/>
      <c r="E416" s="2" t="n"/>
      <c r="F416" s="2" t="n"/>
      <c r="G416" s="2" t="n"/>
      <c r="H416" s="2" t="n"/>
      <c r="I416" s="2" t="n"/>
      <c r="J416" s="2" t="n"/>
      <c r="K416" s="2" t="n"/>
      <c r="L416" s="2" t="n"/>
      <c r="M416" s="2" t="n"/>
      <c r="N416" s="2">
        <f>IF(COUNTA(O416:T416)&lt;6,"",ROUND(O416*0.3+P416*0.2+Q416*0.15+R416*0.15+S416*0.1+T416*0.1,0))</f>
        <v/>
      </c>
      <c r="O416" s="2" t="n"/>
      <c r="P416" s="2" t="n"/>
      <c r="Q416" s="2" t="n"/>
      <c r="R416" s="2" t="n"/>
      <c r="S416" s="2" t="n"/>
      <c r="T416" s="2" t="n"/>
      <c r="U416" s="2">
        <f>IF(OR(AA416="fail",AC416="fail"),"P4",IF(N416="","",IF(N416&gt;=90,"P1",IF(N416&gt;=80,"P1",IF(N416&gt;=70,"P2",IF(N416&gt;=60,"P3","P4"))))))</f>
        <v/>
      </c>
      <c r="V416" s="2">
        <f>IF(OR(AA416="fail",AC416="fail"),"SKIP",IF(N416="","",IF(N416&gt;=90,"APPLY ASAP",IF(N416&gt;=80,"APPLY",IF(N416&gt;=70,"CONSIDER",IF(N416&gt;=60,"STRETCH","SKIP"))))))</f>
        <v/>
      </c>
      <c r="W416" s="2" t="n"/>
      <c r="X416" s="2" t="n"/>
      <c r="Y416" s="2" t="n"/>
      <c r="Z416" s="2" t="n"/>
    </row>
    <row r="417">
      <c r="A417" s="2" t="n"/>
      <c r="B417" s="2" t="n"/>
      <c r="C417" s="2" t="n"/>
      <c r="D417" s="2" t="n"/>
      <c r="E417" s="2" t="n"/>
      <c r="F417" s="2" t="n"/>
      <c r="G417" s="2" t="n"/>
      <c r="H417" s="2" t="n"/>
      <c r="I417" s="2" t="n"/>
      <c r="J417" s="2" t="n"/>
      <c r="K417" s="2" t="n"/>
      <c r="L417" s="2" t="n"/>
      <c r="M417" s="2" t="n"/>
      <c r="N417" s="2">
        <f>IF(COUNTA(O417:T417)&lt;6,"",ROUND(O417*0.3+P417*0.2+Q417*0.15+R417*0.15+S417*0.1+T417*0.1,0))</f>
        <v/>
      </c>
      <c r="O417" s="2" t="n"/>
      <c r="P417" s="2" t="n"/>
      <c r="Q417" s="2" t="n"/>
      <c r="R417" s="2" t="n"/>
      <c r="S417" s="2" t="n"/>
      <c r="T417" s="2" t="n"/>
      <c r="U417" s="2">
        <f>IF(OR(AA417="fail",AC417="fail"),"P4",IF(N417="","",IF(N417&gt;=90,"P1",IF(N417&gt;=80,"P1",IF(N417&gt;=70,"P2",IF(N417&gt;=60,"P3","P4"))))))</f>
        <v/>
      </c>
      <c r="V417" s="2">
        <f>IF(OR(AA417="fail",AC417="fail"),"SKIP",IF(N417="","",IF(N417&gt;=90,"APPLY ASAP",IF(N417&gt;=80,"APPLY",IF(N417&gt;=70,"CONSIDER",IF(N417&gt;=60,"STRETCH","SKIP"))))))</f>
        <v/>
      </c>
      <c r="W417" s="2" t="n"/>
      <c r="X417" s="2" t="n"/>
      <c r="Y417" s="2" t="n"/>
      <c r="Z417" s="2" t="n"/>
    </row>
    <row r="418">
      <c r="A418" s="2" t="n"/>
      <c r="B418" s="2" t="n"/>
      <c r="C418" s="2" t="n"/>
      <c r="D418" s="2" t="n"/>
      <c r="E418" s="2" t="n"/>
      <c r="F418" s="2" t="n"/>
      <c r="G418" s="2" t="n"/>
      <c r="H418" s="2" t="n"/>
      <c r="I418" s="2" t="n"/>
      <c r="J418" s="2" t="n"/>
      <c r="K418" s="2" t="n"/>
      <c r="L418" s="2" t="n"/>
      <c r="M418" s="2" t="n"/>
      <c r="N418" s="2">
        <f>IF(COUNTA(O418:T418)&lt;6,"",ROUND(O418*0.3+P418*0.2+Q418*0.15+R418*0.15+S418*0.1+T418*0.1,0))</f>
        <v/>
      </c>
      <c r="O418" s="2" t="n"/>
      <c r="P418" s="2" t="n"/>
      <c r="Q418" s="2" t="n"/>
      <c r="R418" s="2" t="n"/>
      <c r="S418" s="2" t="n"/>
      <c r="T418" s="2" t="n"/>
      <c r="U418" s="2">
        <f>IF(OR(AA418="fail",AC418="fail"),"P4",IF(N418="","",IF(N418&gt;=90,"P1",IF(N418&gt;=80,"P1",IF(N418&gt;=70,"P2",IF(N418&gt;=60,"P3","P4"))))))</f>
        <v/>
      </c>
      <c r="V418" s="2">
        <f>IF(OR(AA418="fail",AC418="fail"),"SKIP",IF(N418="","",IF(N418&gt;=90,"APPLY ASAP",IF(N418&gt;=80,"APPLY",IF(N418&gt;=70,"CONSIDER",IF(N418&gt;=60,"STRETCH","SKIP"))))))</f>
        <v/>
      </c>
      <c r="W418" s="2" t="n"/>
      <c r="X418" s="2" t="n"/>
      <c r="Y418" s="2" t="n"/>
      <c r="Z418" s="2" t="n"/>
    </row>
    <row r="419">
      <c r="A419" s="2" t="n"/>
      <c r="B419" s="2" t="n"/>
      <c r="C419" s="2" t="n"/>
      <c r="D419" s="2" t="n"/>
      <c r="E419" s="2" t="n"/>
      <c r="F419" s="2" t="n"/>
      <c r="G419" s="2" t="n"/>
      <c r="H419" s="2" t="n"/>
      <c r="I419" s="2" t="n"/>
      <c r="J419" s="2" t="n"/>
      <c r="K419" s="2" t="n"/>
      <c r="L419" s="2" t="n"/>
      <c r="M419" s="2" t="n"/>
      <c r="N419" s="2">
        <f>IF(COUNTA(O419:T419)&lt;6,"",ROUND(O419*0.3+P419*0.2+Q419*0.15+R419*0.15+S419*0.1+T419*0.1,0))</f>
        <v/>
      </c>
      <c r="O419" s="2" t="n"/>
      <c r="P419" s="2" t="n"/>
      <c r="Q419" s="2" t="n"/>
      <c r="R419" s="2" t="n"/>
      <c r="S419" s="2" t="n"/>
      <c r="T419" s="2" t="n"/>
      <c r="U419" s="2">
        <f>IF(OR(AA419="fail",AC419="fail"),"P4",IF(N419="","",IF(N419&gt;=90,"P1",IF(N419&gt;=80,"P1",IF(N419&gt;=70,"P2",IF(N419&gt;=60,"P3","P4"))))))</f>
        <v/>
      </c>
      <c r="V419" s="2">
        <f>IF(OR(AA419="fail",AC419="fail"),"SKIP",IF(N419="","",IF(N419&gt;=90,"APPLY ASAP",IF(N419&gt;=80,"APPLY",IF(N419&gt;=70,"CONSIDER",IF(N419&gt;=60,"STRETCH","SKIP"))))))</f>
        <v/>
      </c>
      <c r="W419" s="2" t="n"/>
      <c r="X419" s="2" t="n"/>
      <c r="Y419" s="2" t="n"/>
      <c r="Z419" s="2" t="n"/>
    </row>
    <row r="420">
      <c r="A420" s="2" t="n"/>
      <c r="B420" s="2" t="n"/>
      <c r="C420" s="2" t="n"/>
      <c r="D420" s="2" t="n"/>
      <c r="E420" s="2" t="n"/>
      <c r="F420" s="2" t="n"/>
      <c r="G420" s="2" t="n"/>
      <c r="H420" s="2" t="n"/>
      <c r="I420" s="2" t="n"/>
      <c r="J420" s="2" t="n"/>
      <c r="K420" s="2" t="n"/>
      <c r="L420" s="2" t="n"/>
      <c r="M420" s="2" t="n"/>
      <c r="N420" s="2">
        <f>IF(COUNTA(O420:T420)&lt;6,"",ROUND(O420*0.3+P420*0.2+Q420*0.15+R420*0.15+S420*0.1+T420*0.1,0))</f>
        <v/>
      </c>
      <c r="O420" s="2" t="n"/>
      <c r="P420" s="2" t="n"/>
      <c r="Q420" s="2" t="n"/>
      <c r="R420" s="2" t="n"/>
      <c r="S420" s="2" t="n"/>
      <c r="T420" s="2" t="n"/>
      <c r="U420" s="2">
        <f>IF(OR(AA420="fail",AC420="fail"),"P4",IF(N420="","",IF(N420&gt;=90,"P1",IF(N420&gt;=80,"P1",IF(N420&gt;=70,"P2",IF(N420&gt;=60,"P3","P4"))))))</f>
        <v/>
      </c>
      <c r="V420" s="2">
        <f>IF(OR(AA420="fail",AC420="fail"),"SKIP",IF(N420="","",IF(N420&gt;=90,"APPLY ASAP",IF(N420&gt;=80,"APPLY",IF(N420&gt;=70,"CONSIDER",IF(N420&gt;=60,"STRETCH","SKIP"))))))</f>
        <v/>
      </c>
      <c r="W420" s="2" t="n"/>
      <c r="X420" s="2" t="n"/>
      <c r="Y420" s="2" t="n"/>
      <c r="Z420" s="2" t="n"/>
    </row>
    <row r="421">
      <c r="A421" s="2" t="n"/>
      <c r="B421" s="2" t="n"/>
      <c r="C421" s="2" t="n"/>
      <c r="D421" s="2" t="n"/>
      <c r="E421" s="2" t="n"/>
      <c r="F421" s="2" t="n"/>
      <c r="G421" s="2" t="n"/>
      <c r="H421" s="2" t="n"/>
      <c r="I421" s="2" t="n"/>
      <c r="J421" s="2" t="n"/>
      <c r="K421" s="2" t="n"/>
      <c r="L421" s="2" t="n"/>
      <c r="M421" s="2" t="n"/>
      <c r="N421" s="2">
        <f>IF(COUNTA(O421:T421)&lt;6,"",ROUND(O421*0.3+P421*0.2+Q421*0.15+R421*0.15+S421*0.1+T421*0.1,0))</f>
        <v/>
      </c>
      <c r="O421" s="2" t="n"/>
      <c r="P421" s="2" t="n"/>
      <c r="Q421" s="2" t="n"/>
      <c r="R421" s="2" t="n"/>
      <c r="S421" s="2" t="n"/>
      <c r="T421" s="2" t="n"/>
      <c r="U421" s="2">
        <f>IF(OR(AA421="fail",AC421="fail"),"P4",IF(N421="","",IF(N421&gt;=90,"P1",IF(N421&gt;=80,"P1",IF(N421&gt;=70,"P2",IF(N421&gt;=60,"P3","P4"))))))</f>
        <v/>
      </c>
      <c r="V421" s="2">
        <f>IF(OR(AA421="fail",AC421="fail"),"SKIP",IF(N421="","",IF(N421&gt;=90,"APPLY ASAP",IF(N421&gt;=80,"APPLY",IF(N421&gt;=70,"CONSIDER",IF(N421&gt;=60,"STRETCH","SKIP"))))))</f>
        <v/>
      </c>
      <c r="W421" s="2" t="n"/>
      <c r="X421" s="2" t="n"/>
      <c r="Y421" s="2" t="n"/>
      <c r="Z421" s="2" t="n"/>
    </row>
    <row r="422">
      <c r="A422" s="2" t="n"/>
      <c r="B422" s="2" t="n"/>
      <c r="C422" s="2" t="n"/>
      <c r="D422" s="2" t="n"/>
      <c r="E422" s="2" t="n"/>
      <c r="F422" s="2" t="n"/>
      <c r="G422" s="2" t="n"/>
      <c r="H422" s="2" t="n"/>
      <c r="I422" s="2" t="n"/>
      <c r="J422" s="2" t="n"/>
      <c r="K422" s="2" t="n"/>
      <c r="L422" s="2" t="n"/>
      <c r="M422" s="2" t="n"/>
      <c r="N422" s="2">
        <f>IF(COUNTA(O422:T422)&lt;6,"",ROUND(O422*0.3+P422*0.2+Q422*0.15+R422*0.15+S422*0.1+T422*0.1,0))</f>
        <v/>
      </c>
      <c r="O422" s="2" t="n"/>
      <c r="P422" s="2" t="n"/>
      <c r="Q422" s="2" t="n"/>
      <c r="R422" s="2" t="n"/>
      <c r="S422" s="2" t="n"/>
      <c r="T422" s="2" t="n"/>
      <c r="U422" s="2">
        <f>IF(OR(AA422="fail",AC422="fail"),"P4",IF(N422="","",IF(N422&gt;=90,"P1",IF(N422&gt;=80,"P1",IF(N422&gt;=70,"P2",IF(N422&gt;=60,"P3","P4"))))))</f>
        <v/>
      </c>
      <c r="V422" s="2">
        <f>IF(OR(AA422="fail",AC422="fail"),"SKIP",IF(N422="","",IF(N422&gt;=90,"APPLY ASAP",IF(N422&gt;=80,"APPLY",IF(N422&gt;=70,"CONSIDER",IF(N422&gt;=60,"STRETCH","SKIP"))))))</f>
        <v/>
      </c>
      <c r="W422" s="2" t="n"/>
      <c r="X422" s="2" t="n"/>
      <c r="Y422" s="2" t="n"/>
      <c r="Z422" s="2" t="n"/>
    </row>
    <row r="423">
      <c r="A423" s="2" t="n"/>
      <c r="B423" s="2" t="n"/>
      <c r="C423" s="2" t="n"/>
      <c r="D423" s="2" t="n"/>
      <c r="E423" s="2" t="n"/>
      <c r="F423" s="2" t="n"/>
      <c r="G423" s="2" t="n"/>
      <c r="H423" s="2" t="n"/>
      <c r="I423" s="2" t="n"/>
      <c r="J423" s="2" t="n"/>
      <c r="K423" s="2" t="n"/>
      <c r="L423" s="2" t="n"/>
      <c r="M423" s="2" t="n"/>
      <c r="N423" s="2">
        <f>IF(COUNTA(O423:T423)&lt;6,"",ROUND(O423*0.3+P423*0.2+Q423*0.15+R423*0.15+S423*0.1+T423*0.1,0))</f>
        <v/>
      </c>
      <c r="O423" s="2" t="n"/>
      <c r="P423" s="2" t="n"/>
      <c r="Q423" s="2" t="n"/>
      <c r="R423" s="2" t="n"/>
      <c r="S423" s="2" t="n"/>
      <c r="T423" s="2" t="n"/>
      <c r="U423" s="2">
        <f>IF(OR(AA423="fail",AC423="fail"),"P4",IF(N423="","",IF(N423&gt;=90,"P1",IF(N423&gt;=80,"P1",IF(N423&gt;=70,"P2",IF(N423&gt;=60,"P3","P4"))))))</f>
        <v/>
      </c>
      <c r="V423" s="2">
        <f>IF(OR(AA423="fail",AC423="fail"),"SKIP",IF(N423="","",IF(N423&gt;=90,"APPLY ASAP",IF(N423&gt;=80,"APPLY",IF(N423&gt;=70,"CONSIDER",IF(N423&gt;=60,"STRETCH","SKIP"))))))</f>
        <v/>
      </c>
      <c r="W423" s="2" t="n"/>
      <c r="X423" s="2" t="n"/>
      <c r="Y423" s="2" t="n"/>
      <c r="Z423" s="2" t="n"/>
    </row>
    <row r="424">
      <c r="A424" s="2" t="n"/>
      <c r="B424" s="2" t="n"/>
      <c r="C424" s="2" t="n"/>
      <c r="D424" s="2" t="n"/>
      <c r="E424" s="2" t="n"/>
      <c r="F424" s="2" t="n"/>
      <c r="G424" s="2" t="n"/>
      <c r="H424" s="2" t="n"/>
      <c r="I424" s="2" t="n"/>
      <c r="J424" s="2" t="n"/>
      <c r="K424" s="2" t="n"/>
      <c r="L424" s="2" t="n"/>
      <c r="M424" s="2" t="n"/>
      <c r="N424" s="2">
        <f>IF(COUNTA(O424:T424)&lt;6,"",ROUND(O424*0.3+P424*0.2+Q424*0.15+R424*0.15+S424*0.1+T424*0.1,0))</f>
        <v/>
      </c>
      <c r="O424" s="2" t="n"/>
      <c r="P424" s="2" t="n"/>
      <c r="Q424" s="2" t="n"/>
      <c r="R424" s="2" t="n"/>
      <c r="S424" s="2" t="n"/>
      <c r="T424" s="2" t="n"/>
      <c r="U424" s="2">
        <f>IF(OR(AA424="fail",AC424="fail"),"P4",IF(N424="","",IF(N424&gt;=90,"P1",IF(N424&gt;=80,"P1",IF(N424&gt;=70,"P2",IF(N424&gt;=60,"P3","P4"))))))</f>
        <v/>
      </c>
      <c r="V424" s="2">
        <f>IF(OR(AA424="fail",AC424="fail"),"SKIP",IF(N424="","",IF(N424&gt;=90,"APPLY ASAP",IF(N424&gt;=80,"APPLY",IF(N424&gt;=70,"CONSIDER",IF(N424&gt;=60,"STRETCH","SKIP"))))))</f>
        <v/>
      </c>
      <c r="W424" s="2" t="n"/>
      <c r="X424" s="2" t="n"/>
      <c r="Y424" s="2" t="n"/>
      <c r="Z424" s="2" t="n"/>
    </row>
    <row r="425">
      <c r="A425" s="2" t="n"/>
      <c r="B425" s="2" t="n"/>
      <c r="C425" s="2" t="n"/>
      <c r="D425" s="2" t="n"/>
      <c r="E425" s="2" t="n"/>
      <c r="F425" s="2" t="n"/>
      <c r="G425" s="2" t="n"/>
      <c r="H425" s="2" t="n"/>
      <c r="I425" s="2" t="n"/>
      <c r="J425" s="2" t="n"/>
      <c r="K425" s="2" t="n"/>
      <c r="L425" s="2" t="n"/>
      <c r="M425" s="2" t="n"/>
      <c r="N425" s="2">
        <f>IF(COUNTA(O425:T425)&lt;6,"",ROUND(O425*0.3+P425*0.2+Q425*0.15+R425*0.15+S425*0.1+T425*0.1,0))</f>
        <v/>
      </c>
      <c r="O425" s="2" t="n"/>
      <c r="P425" s="2" t="n"/>
      <c r="Q425" s="2" t="n"/>
      <c r="R425" s="2" t="n"/>
      <c r="S425" s="2" t="n"/>
      <c r="T425" s="2" t="n"/>
      <c r="U425" s="2">
        <f>IF(OR(AA425="fail",AC425="fail"),"P4",IF(N425="","",IF(N425&gt;=90,"P1",IF(N425&gt;=80,"P1",IF(N425&gt;=70,"P2",IF(N425&gt;=60,"P3","P4"))))))</f>
        <v/>
      </c>
      <c r="V425" s="2">
        <f>IF(OR(AA425="fail",AC425="fail"),"SKIP",IF(N425="","",IF(N425&gt;=90,"APPLY ASAP",IF(N425&gt;=80,"APPLY",IF(N425&gt;=70,"CONSIDER",IF(N425&gt;=60,"STRETCH","SKIP"))))))</f>
        <v/>
      </c>
      <c r="W425" s="2" t="n"/>
      <c r="X425" s="2" t="n"/>
      <c r="Y425" s="2" t="n"/>
      <c r="Z425" s="2" t="n"/>
    </row>
    <row r="426">
      <c r="A426" s="2" t="n"/>
      <c r="B426" s="2" t="n"/>
      <c r="C426" s="2" t="n"/>
      <c r="D426" s="2" t="n"/>
      <c r="E426" s="2" t="n"/>
      <c r="F426" s="2" t="n"/>
      <c r="G426" s="2" t="n"/>
      <c r="H426" s="2" t="n"/>
      <c r="I426" s="2" t="n"/>
      <c r="J426" s="2" t="n"/>
      <c r="K426" s="2" t="n"/>
      <c r="L426" s="2" t="n"/>
      <c r="M426" s="2" t="n"/>
      <c r="N426" s="2">
        <f>IF(COUNTA(O426:T426)&lt;6,"",ROUND(O426*0.3+P426*0.2+Q426*0.15+R426*0.15+S426*0.1+T426*0.1,0))</f>
        <v/>
      </c>
      <c r="O426" s="2" t="n"/>
      <c r="P426" s="2" t="n"/>
      <c r="Q426" s="2" t="n"/>
      <c r="R426" s="2" t="n"/>
      <c r="S426" s="2" t="n"/>
      <c r="T426" s="2" t="n"/>
      <c r="U426" s="2">
        <f>IF(OR(AA426="fail",AC426="fail"),"P4",IF(N426="","",IF(N426&gt;=90,"P1",IF(N426&gt;=80,"P1",IF(N426&gt;=70,"P2",IF(N426&gt;=60,"P3","P4"))))))</f>
        <v/>
      </c>
      <c r="V426" s="2">
        <f>IF(OR(AA426="fail",AC426="fail"),"SKIP",IF(N426="","",IF(N426&gt;=90,"APPLY ASAP",IF(N426&gt;=80,"APPLY",IF(N426&gt;=70,"CONSIDER",IF(N426&gt;=60,"STRETCH","SKIP"))))))</f>
        <v/>
      </c>
      <c r="W426" s="2" t="n"/>
      <c r="X426" s="2" t="n"/>
      <c r="Y426" s="2" t="n"/>
      <c r="Z426" s="2" t="n"/>
    </row>
    <row r="427">
      <c r="A427" s="2" t="n"/>
      <c r="B427" s="2" t="n"/>
      <c r="C427" s="2" t="n"/>
      <c r="D427" s="2" t="n"/>
      <c r="E427" s="2" t="n"/>
      <c r="F427" s="2" t="n"/>
      <c r="G427" s="2" t="n"/>
      <c r="H427" s="2" t="n"/>
      <c r="I427" s="2" t="n"/>
      <c r="J427" s="2" t="n"/>
      <c r="K427" s="2" t="n"/>
      <c r="L427" s="2" t="n"/>
      <c r="M427" s="2" t="n"/>
      <c r="N427" s="2">
        <f>IF(COUNTA(O427:T427)&lt;6,"",ROUND(O427*0.3+P427*0.2+Q427*0.15+R427*0.15+S427*0.1+T427*0.1,0))</f>
        <v/>
      </c>
      <c r="O427" s="2" t="n"/>
      <c r="P427" s="2" t="n"/>
      <c r="Q427" s="2" t="n"/>
      <c r="R427" s="2" t="n"/>
      <c r="S427" s="2" t="n"/>
      <c r="T427" s="2" t="n"/>
      <c r="U427" s="2">
        <f>IF(OR(AA427="fail",AC427="fail"),"P4",IF(N427="","",IF(N427&gt;=90,"P1",IF(N427&gt;=80,"P1",IF(N427&gt;=70,"P2",IF(N427&gt;=60,"P3","P4"))))))</f>
        <v/>
      </c>
      <c r="V427" s="2">
        <f>IF(OR(AA427="fail",AC427="fail"),"SKIP",IF(N427="","",IF(N427&gt;=90,"APPLY ASAP",IF(N427&gt;=80,"APPLY",IF(N427&gt;=70,"CONSIDER",IF(N427&gt;=60,"STRETCH","SKIP"))))))</f>
        <v/>
      </c>
      <c r="W427" s="2" t="n"/>
      <c r="X427" s="2" t="n"/>
      <c r="Y427" s="2" t="n"/>
      <c r="Z427" s="2" t="n"/>
    </row>
    <row r="428">
      <c r="A428" s="2" t="n"/>
      <c r="B428" s="2" t="n"/>
      <c r="C428" s="2" t="n"/>
      <c r="D428" s="2" t="n"/>
      <c r="E428" s="2" t="n"/>
      <c r="F428" s="2" t="n"/>
      <c r="G428" s="2" t="n"/>
      <c r="H428" s="2" t="n"/>
      <c r="I428" s="2" t="n"/>
      <c r="J428" s="2" t="n"/>
      <c r="K428" s="2" t="n"/>
      <c r="L428" s="2" t="n"/>
      <c r="M428" s="2" t="n"/>
      <c r="N428" s="2">
        <f>IF(COUNTA(O428:T428)&lt;6,"",ROUND(O428*0.3+P428*0.2+Q428*0.15+R428*0.15+S428*0.1+T428*0.1,0))</f>
        <v/>
      </c>
      <c r="O428" s="2" t="n"/>
      <c r="P428" s="2" t="n"/>
      <c r="Q428" s="2" t="n"/>
      <c r="R428" s="2" t="n"/>
      <c r="S428" s="2" t="n"/>
      <c r="T428" s="2" t="n"/>
      <c r="U428" s="2">
        <f>IF(OR(AA428="fail",AC428="fail"),"P4",IF(N428="","",IF(N428&gt;=90,"P1",IF(N428&gt;=80,"P1",IF(N428&gt;=70,"P2",IF(N428&gt;=60,"P3","P4"))))))</f>
        <v/>
      </c>
      <c r="V428" s="2">
        <f>IF(OR(AA428="fail",AC428="fail"),"SKIP",IF(N428="","",IF(N428&gt;=90,"APPLY ASAP",IF(N428&gt;=80,"APPLY",IF(N428&gt;=70,"CONSIDER",IF(N428&gt;=60,"STRETCH","SKIP"))))))</f>
        <v/>
      </c>
      <c r="W428" s="2" t="n"/>
      <c r="X428" s="2" t="n"/>
      <c r="Y428" s="2" t="n"/>
      <c r="Z428" s="2" t="n"/>
    </row>
    <row r="429">
      <c r="A429" s="2" t="n"/>
      <c r="B429" s="2" t="n"/>
      <c r="C429" s="2" t="n"/>
      <c r="D429" s="2" t="n"/>
      <c r="E429" s="2" t="n"/>
      <c r="F429" s="2" t="n"/>
      <c r="G429" s="2" t="n"/>
      <c r="H429" s="2" t="n"/>
      <c r="I429" s="2" t="n"/>
      <c r="J429" s="2" t="n"/>
      <c r="K429" s="2" t="n"/>
      <c r="L429" s="2" t="n"/>
      <c r="M429" s="2" t="n"/>
      <c r="N429" s="2">
        <f>IF(COUNTA(O429:T429)&lt;6,"",ROUND(O429*0.3+P429*0.2+Q429*0.15+R429*0.15+S429*0.1+T429*0.1,0))</f>
        <v/>
      </c>
      <c r="O429" s="2" t="n"/>
      <c r="P429" s="2" t="n"/>
      <c r="Q429" s="2" t="n"/>
      <c r="R429" s="2" t="n"/>
      <c r="S429" s="2" t="n"/>
      <c r="T429" s="2" t="n"/>
      <c r="U429" s="2">
        <f>IF(OR(AA429="fail",AC429="fail"),"P4",IF(N429="","",IF(N429&gt;=90,"P1",IF(N429&gt;=80,"P1",IF(N429&gt;=70,"P2",IF(N429&gt;=60,"P3","P4"))))))</f>
        <v/>
      </c>
      <c r="V429" s="2">
        <f>IF(OR(AA429="fail",AC429="fail"),"SKIP",IF(N429="","",IF(N429&gt;=90,"APPLY ASAP",IF(N429&gt;=80,"APPLY",IF(N429&gt;=70,"CONSIDER",IF(N429&gt;=60,"STRETCH","SKIP"))))))</f>
        <v/>
      </c>
      <c r="W429" s="2" t="n"/>
      <c r="X429" s="2" t="n"/>
      <c r="Y429" s="2" t="n"/>
      <c r="Z429" s="2" t="n"/>
    </row>
    <row r="430">
      <c r="A430" s="2" t="n"/>
      <c r="B430" s="2" t="n"/>
      <c r="C430" s="2" t="n"/>
      <c r="D430" s="2" t="n"/>
      <c r="E430" s="2" t="n"/>
      <c r="F430" s="2" t="n"/>
      <c r="G430" s="2" t="n"/>
      <c r="H430" s="2" t="n"/>
      <c r="I430" s="2" t="n"/>
      <c r="J430" s="2" t="n"/>
      <c r="K430" s="2" t="n"/>
      <c r="L430" s="2" t="n"/>
      <c r="M430" s="2" t="n"/>
      <c r="N430" s="2">
        <f>IF(COUNTA(O430:T430)&lt;6,"",ROUND(O430*0.3+P430*0.2+Q430*0.15+R430*0.15+S430*0.1+T430*0.1,0))</f>
        <v/>
      </c>
      <c r="O430" s="2" t="n"/>
      <c r="P430" s="2" t="n"/>
      <c r="Q430" s="2" t="n"/>
      <c r="R430" s="2" t="n"/>
      <c r="S430" s="2" t="n"/>
      <c r="T430" s="2" t="n"/>
      <c r="U430" s="2">
        <f>IF(OR(AA430="fail",AC430="fail"),"P4",IF(N430="","",IF(N430&gt;=90,"P1",IF(N430&gt;=80,"P1",IF(N430&gt;=70,"P2",IF(N430&gt;=60,"P3","P4"))))))</f>
        <v/>
      </c>
      <c r="V430" s="2">
        <f>IF(OR(AA430="fail",AC430="fail"),"SKIP",IF(N430="","",IF(N430&gt;=90,"APPLY ASAP",IF(N430&gt;=80,"APPLY",IF(N430&gt;=70,"CONSIDER",IF(N430&gt;=60,"STRETCH","SKIP"))))))</f>
        <v/>
      </c>
      <c r="W430" s="2" t="n"/>
      <c r="X430" s="2" t="n"/>
      <c r="Y430" s="2" t="n"/>
      <c r="Z430" s="2" t="n"/>
    </row>
    <row r="431">
      <c r="A431" s="2" t="n"/>
      <c r="B431" s="2" t="n"/>
      <c r="C431" s="2" t="n"/>
      <c r="D431" s="2" t="n"/>
      <c r="E431" s="2" t="n"/>
      <c r="F431" s="2" t="n"/>
      <c r="G431" s="2" t="n"/>
      <c r="H431" s="2" t="n"/>
      <c r="I431" s="2" t="n"/>
      <c r="J431" s="2" t="n"/>
      <c r="K431" s="2" t="n"/>
      <c r="L431" s="2" t="n"/>
      <c r="M431" s="2" t="n"/>
      <c r="N431" s="2">
        <f>IF(COUNTA(O431:T431)&lt;6,"",ROUND(O431*0.3+P431*0.2+Q431*0.15+R431*0.15+S431*0.1+T431*0.1,0))</f>
        <v/>
      </c>
      <c r="O431" s="2" t="n"/>
      <c r="P431" s="2" t="n"/>
      <c r="Q431" s="2" t="n"/>
      <c r="R431" s="2" t="n"/>
      <c r="S431" s="2" t="n"/>
      <c r="T431" s="2" t="n"/>
      <c r="U431" s="2">
        <f>IF(OR(AA431="fail",AC431="fail"),"P4",IF(N431="","",IF(N431&gt;=90,"P1",IF(N431&gt;=80,"P1",IF(N431&gt;=70,"P2",IF(N431&gt;=60,"P3","P4"))))))</f>
        <v/>
      </c>
      <c r="V431" s="2">
        <f>IF(OR(AA431="fail",AC431="fail"),"SKIP",IF(N431="","",IF(N431&gt;=90,"APPLY ASAP",IF(N431&gt;=80,"APPLY",IF(N431&gt;=70,"CONSIDER",IF(N431&gt;=60,"STRETCH","SKIP"))))))</f>
        <v/>
      </c>
      <c r="W431" s="2" t="n"/>
      <c r="X431" s="2" t="n"/>
      <c r="Y431" s="2" t="n"/>
      <c r="Z431" s="2" t="n"/>
    </row>
    <row r="432">
      <c r="A432" s="2" t="n"/>
      <c r="B432" s="2" t="n"/>
      <c r="C432" s="2" t="n"/>
      <c r="D432" s="2" t="n"/>
      <c r="E432" s="2" t="n"/>
      <c r="F432" s="2" t="n"/>
      <c r="G432" s="2" t="n"/>
      <c r="H432" s="2" t="n"/>
      <c r="I432" s="2" t="n"/>
      <c r="J432" s="2" t="n"/>
      <c r="K432" s="2" t="n"/>
      <c r="L432" s="2" t="n"/>
      <c r="M432" s="2" t="n"/>
      <c r="N432" s="2">
        <f>IF(COUNTA(O432:T432)&lt;6,"",ROUND(O432*0.3+P432*0.2+Q432*0.15+R432*0.15+S432*0.1+T432*0.1,0))</f>
        <v/>
      </c>
      <c r="O432" s="2" t="n"/>
      <c r="P432" s="2" t="n"/>
      <c r="Q432" s="2" t="n"/>
      <c r="R432" s="2" t="n"/>
      <c r="S432" s="2" t="n"/>
      <c r="T432" s="2" t="n"/>
      <c r="U432" s="2">
        <f>IF(OR(AA432="fail",AC432="fail"),"P4",IF(N432="","",IF(N432&gt;=90,"P1",IF(N432&gt;=80,"P1",IF(N432&gt;=70,"P2",IF(N432&gt;=60,"P3","P4"))))))</f>
        <v/>
      </c>
      <c r="V432" s="2">
        <f>IF(OR(AA432="fail",AC432="fail"),"SKIP",IF(N432="","",IF(N432&gt;=90,"APPLY ASAP",IF(N432&gt;=80,"APPLY",IF(N432&gt;=70,"CONSIDER",IF(N432&gt;=60,"STRETCH","SKIP"))))))</f>
        <v/>
      </c>
      <c r="W432" s="2" t="n"/>
      <c r="X432" s="2" t="n"/>
      <c r="Y432" s="2" t="n"/>
      <c r="Z432" s="2" t="n"/>
    </row>
    <row r="433">
      <c r="A433" s="2" t="n"/>
      <c r="B433" s="2" t="n"/>
      <c r="C433" s="2" t="n"/>
      <c r="D433" s="2" t="n"/>
      <c r="E433" s="2" t="n"/>
      <c r="F433" s="2" t="n"/>
      <c r="G433" s="2" t="n"/>
      <c r="H433" s="2" t="n"/>
      <c r="I433" s="2" t="n"/>
      <c r="J433" s="2" t="n"/>
      <c r="K433" s="2" t="n"/>
      <c r="L433" s="2" t="n"/>
      <c r="M433" s="2" t="n"/>
      <c r="N433" s="2">
        <f>IF(COUNTA(O433:T433)&lt;6,"",ROUND(O433*0.3+P433*0.2+Q433*0.15+R433*0.15+S433*0.1+T433*0.1,0))</f>
        <v/>
      </c>
      <c r="O433" s="2" t="n"/>
      <c r="P433" s="2" t="n"/>
      <c r="Q433" s="2" t="n"/>
      <c r="R433" s="2" t="n"/>
      <c r="S433" s="2" t="n"/>
      <c r="T433" s="2" t="n"/>
      <c r="U433" s="2">
        <f>IF(OR(AA433="fail",AC433="fail"),"P4",IF(N433="","",IF(N433&gt;=90,"P1",IF(N433&gt;=80,"P1",IF(N433&gt;=70,"P2",IF(N433&gt;=60,"P3","P4"))))))</f>
        <v/>
      </c>
      <c r="V433" s="2">
        <f>IF(OR(AA433="fail",AC433="fail"),"SKIP",IF(N433="","",IF(N433&gt;=90,"APPLY ASAP",IF(N433&gt;=80,"APPLY",IF(N433&gt;=70,"CONSIDER",IF(N433&gt;=60,"STRETCH","SKIP"))))))</f>
        <v/>
      </c>
      <c r="W433" s="2" t="n"/>
      <c r="X433" s="2" t="n"/>
      <c r="Y433" s="2" t="n"/>
      <c r="Z433" s="2" t="n"/>
    </row>
    <row r="434">
      <c r="A434" s="2" t="n"/>
      <c r="B434" s="2" t="n"/>
      <c r="C434" s="2" t="n"/>
      <c r="D434" s="2" t="n"/>
      <c r="E434" s="2" t="n"/>
      <c r="F434" s="2" t="n"/>
      <c r="G434" s="2" t="n"/>
      <c r="H434" s="2" t="n"/>
      <c r="I434" s="2" t="n"/>
      <c r="J434" s="2" t="n"/>
      <c r="K434" s="2" t="n"/>
      <c r="L434" s="2" t="n"/>
      <c r="M434" s="2" t="n"/>
      <c r="N434" s="2">
        <f>IF(COUNTA(O434:T434)&lt;6,"",ROUND(O434*0.3+P434*0.2+Q434*0.15+R434*0.15+S434*0.1+T434*0.1,0))</f>
        <v/>
      </c>
      <c r="O434" s="2" t="n"/>
      <c r="P434" s="2" t="n"/>
      <c r="Q434" s="2" t="n"/>
      <c r="R434" s="2" t="n"/>
      <c r="S434" s="2" t="n"/>
      <c r="T434" s="2" t="n"/>
      <c r="U434" s="2">
        <f>IF(OR(AA434="fail",AC434="fail"),"P4",IF(N434="","",IF(N434&gt;=90,"P1",IF(N434&gt;=80,"P1",IF(N434&gt;=70,"P2",IF(N434&gt;=60,"P3","P4"))))))</f>
        <v/>
      </c>
      <c r="V434" s="2">
        <f>IF(OR(AA434="fail",AC434="fail"),"SKIP",IF(N434="","",IF(N434&gt;=90,"APPLY ASAP",IF(N434&gt;=80,"APPLY",IF(N434&gt;=70,"CONSIDER",IF(N434&gt;=60,"STRETCH","SKIP"))))))</f>
        <v/>
      </c>
      <c r="W434" s="2" t="n"/>
      <c r="X434" s="2" t="n"/>
      <c r="Y434" s="2" t="n"/>
      <c r="Z434" s="2" t="n"/>
    </row>
    <row r="435">
      <c r="A435" s="2" t="n"/>
      <c r="B435" s="2" t="n"/>
      <c r="C435" s="2" t="n"/>
      <c r="D435" s="2" t="n"/>
      <c r="E435" s="2" t="n"/>
      <c r="F435" s="2" t="n"/>
      <c r="G435" s="2" t="n"/>
      <c r="H435" s="2" t="n"/>
      <c r="I435" s="2" t="n"/>
      <c r="J435" s="2" t="n"/>
      <c r="K435" s="2" t="n"/>
      <c r="L435" s="2" t="n"/>
      <c r="M435" s="2" t="n"/>
      <c r="N435" s="2">
        <f>IF(COUNTA(O435:T435)&lt;6,"",ROUND(O435*0.3+P435*0.2+Q435*0.15+R435*0.15+S435*0.1+T435*0.1,0))</f>
        <v/>
      </c>
      <c r="O435" s="2" t="n"/>
      <c r="P435" s="2" t="n"/>
      <c r="Q435" s="2" t="n"/>
      <c r="R435" s="2" t="n"/>
      <c r="S435" s="2" t="n"/>
      <c r="T435" s="2" t="n"/>
      <c r="U435" s="2">
        <f>IF(OR(AA435="fail",AC435="fail"),"P4",IF(N435="","",IF(N435&gt;=90,"P1",IF(N435&gt;=80,"P1",IF(N435&gt;=70,"P2",IF(N435&gt;=60,"P3","P4"))))))</f>
        <v/>
      </c>
      <c r="V435" s="2">
        <f>IF(OR(AA435="fail",AC435="fail"),"SKIP",IF(N435="","",IF(N435&gt;=90,"APPLY ASAP",IF(N435&gt;=80,"APPLY",IF(N435&gt;=70,"CONSIDER",IF(N435&gt;=60,"STRETCH","SKIP"))))))</f>
        <v/>
      </c>
      <c r="W435" s="2" t="n"/>
      <c r="X435" s="2" t="n"/>
      <c r="Y435" s="2" t="n"/>
      <c r="Z435" s="2" t="n"/>
    </row>
    <row r="436">
      <c r="A436" s="2" t="n"/>
      <c r="B436" s="2" t="n"/>
      <c r="C436" s="2" t="n"/>
      <c r="D436" s="2" t="n"/>
      <c r="E436" s="2" t="n"/>
      <c r="F436" s="2" t="n"/>
      <c r="G436" s="2" t="n"/>
      <c r="H436" s="2" t="n"/>
      <c r="I436" s="2" t="n"/>
      <c r="J436" s="2" t="n"/>
      <c r="K436" s="2" t="n"/>
      <c r="L436" s="2" t="n"/>
      <c r="M436" s="2" t="n"/>
      <c r="N436" s="2">
        <f>IF(COUNTA(O436:T436)&lt;6,"",ROUND(O436*0.3+P436*0.2+Q436*0.15+R436*0.15+S436*0.1+T436*0.1,0))</f>
        <v/>
      </c>
      <c r="O436" s="2" t="n"/>
      <c r="P436" s="2" t="n"/>
      <c r="Q436" s="2" t="n"/>
      <c r="R436" s="2" t="n"/>
      <c r="S436" s="2" t="n"/>
      <c r="T436" s="2" t="n"/>
      <c r="U436" s="2">
        <f>IF(OR(AA436="fail",AC436="fail"),"P4",IF(N436="","",IF(N436&gt;=90,"P1",IF(N436&gt;=80,"P1",IF(N436&gt;=70,"P2",IF(N436&gt;=60,"P3","P4"))))))</f>
        <v/>
      </c>
      <c r="V436" s="2">
        <f>IF(OR(AA436="fail",AC436="fail"),"SKIP",IF(N436="","",IF(N436&gt;=90,"APPLY ASAP",IF(N436&gt;=80,"APPLY",IF(N436&gt;=70,"CONSIDER",IF(N436&gt;=60,"STRETCH","SKIP"))))))</f>
        <v/>
      </c>
      <c r="W436" s="2" t="n"/>
      <c r="X436" s="2" t="n"/>
      <c r="Y436" s="2" t="n"/>
      <c r="Z436" s="2" t="n"/>
    </row>
    <row r="437">
      <c r="A437" s="2" t="n"/>
      <c r="B437" s="2" t="n"/>
      <c r="C437" s="2" t="n"/>
      <c r="D437" s="2" t="n"/>
      <c r="E437" s="2" t="n"/>
      <c r="F437" s="2" t="n"/>
      <c r="G437" s="2" t="n"/>
      <c r="H437" s="2" t="n"/>
      <c r="I437" s="2" t="n"/>
      <c r="J437" s="2" t="n"/>
      <c r="K437" s="2" t="n"/>
      <c r="L437" s="2" t="n"/>
      <c r="M437" s="2" t="n"/>
      <c r="N437" s="2">
        <f>IF(COUNTA(O437:T437)&lt;6,"",ROUND(O437*0.3+P437*0.2+Q437*0.15+R437*0.15+S437*0.1+T437*0.1,0))</f>
        <v/>
      </c>
      <c r="O437" s="2" t="n"/>
      <c r="P437" s="2" t="n"/>
      <c r="Q437" s="2" t="n"/>
      <c r="R437" s="2" t="n"/>
      <c r="S437" s="2" t="n"/>
      <c r="T437" s="2" t="n"/>
      <c r="U437" s="2">
        <f>IF(OR(AA437="fail",AC437="fail"),"P4",IF(N437="","",IF(N437&gt;=90,"P1",IF(N437&gt;=80,"P1",IF(N437&gt;=70,"P2",IF(N437&gt;=60,"P3","P4"))))))</f>
        <v/>
      </c>
      <c r="V437" s="2">
        <f>IF(OR(AA437="fail",AC437="fail"),"SKIP",IF(N437="","",IF(N437&gt;=90,"APPLY ASAP",IF(N437&gt;=80,"APPLY",IF(N437&gt;=70,"CONSIDER",IF(N437&gt;=60,"STRETCH","SKIP"))))))</f>
        <v/>
      </c>
      <c r="W437" s="2" t="n"/>
      <c r="X437" s="2" t="n"/>
      <c r="Y437" s="2" t="n"/>
      <c r="Z437" s="2" t="n"/>
    </row>
    <row r="438">
      <c r="A438" s="2" t="n"/>
      <c r="B438" s="2" t="n"/>
      <c r="C438" s="2" t="n"/>
      <c r="D438" s="2" t="n"/>
      <c r="E438" s="2" t="n"/>
      <c r="F438" s="2" t="n"/>
      <c r="G438" s="2" t="n"/>
      <c r="H438" s="2" t="n"/>
      <c r="I438" s="2" t="n"/>
      <c r="J438" s="2" t="n"/>
      <c r="K438" s="2" t="n"/>
      <c r="L438" s="2" t="n"/>
      <c r="M438" s="2" t="n"/>
      <c r="N438" s="2">
        <f>IF(COUNTA(O438:T438)&lt;6,"",ROUND(O438*0.3+P438*0.2+Q438*0.15+R438*0.15+S438*0.1+T438*0.1,0))</f>
        <v/>
      </c>
      <c r="O438" s="2" t="n"/>
      <c r="P438" s="2" t="n"/>
      <c r="Q438" s="2" t="n"/>
      <c r="R438" s="2" t="n"/>
      <c r="S438" s="2" t="n"/>
      <c r="T438" s="2" t="n"/>
      <c r="U438" s="2">
        <f>IF(OR(AA438="fail",AC438="fail"),"P4",IF(N438="","",IF(N438&gt;=90,"P1",IF(N438&gt;=80,"P1",IF(N438&gt;=70,"P2",IF(N438&gt;=60,"P3","P4"))))))</f>
        <v/>
      </c>
      <c r="V438" s="2">
        <f>IF(OR(AA438="fail",AC438="fail"),"SKIP",IF(N438="","",IF(N438&gt;=90,"APPLY ASAP",IF(N438&gt;=80,"APPLY",IF(N438&gt;=70,"CONSIDER",IF(N438&gt;=60,"STRETCH","SKIP"))))))</f>
        <v/>
      </c>
      <c r="W438" s="2" t="n"/>
      <c r="X438" s="2" t="n"/>
      <c r="Y438" s="2" t="n"/>
      <c r="Z438" s="2" t="n"/>
    </row>
    <row r="439">
      <c r="A439" s="2" t="n"/>
      <c r="B439" s="2" t="n"/>
      <c r="C439" s="2" t="n"/>
      <c r="D439" s="2" t="n"/>
      <c r="E439" s="2" t="n"/>
      <c r="F439" s="2" t="n"/>
      <c r="G439" s="2" t="n"/>
      <c r="H439" s="2" t="n"/>
      <c r="I439" s="2" t="n"/>
      <c r="J439" s="2" t="n"/>
      <c r="K439" s="2" t="n"/>
      <c r="L439" s="2" t="n"/>
      <c r="M439" s="2" t="n"/>
      <c r="N439" s="2">
        <f>IF(COUNTA(O439:T439)&lt;6,"",ROUND(O439*0.3+P439*0.2+Q439*0.15+R439*0.15+S439*0.1+T439*0.1,0))</f>
        <v/>
      </c>
      <c r="O439" s="2" t="n"/>
      <c r="P439" s="2" t="n"/>
      <c r="Q439" s="2" t="n"/>
      <c r="R439" s="2" t="n"/>
      <c r="S439" s="2" t="n"/>
      <c r="T439" s="2" t="n"/>
      <c r="U439" s="2">
        <f>IF(OR(AA439="fail",AC439="fail"),"P4",IF(N439="","",IF(N439&gt;=90,"P1",IF(N439&gt;=80,"P1",IF(N439&gt;=70,"P2",IF(N439&gt;=60,"P3","P4"))))))</f>
        <v/>
      </c>
      <c r="V439" s="2">
        <f>IF(OR(AA439="fail",AC439="fail"),"SKIP",IF(N439="","",IF(N439&gt;=90,"APPLY ASAP",IF(N439&gt;=80,"APPLY",IF(N439&gt;=70,"CONSIDER",IF(N439&gt;=60,"STRETCH","SKIP"))))))</f>
        <v/>
      </c>
      <c r="W439" s="2" t="n"/>
      <c r="X439" s="2" t="n"/>
      <c r="Y439" s="2" t="n"/>
      <c r="Z439" s="2" t="n"/>
    </row>
    <row r="440">
      <c r="A440" s="2" t="n"/>
      <c r="B440" s="2" t="n"/>
      <c r="C440" s="2" t="n"/>
      <c r="D440" s="2" t="n"/>
      <c r="E440" s="2" t="n"/>
      <c r="F440" s="2" t="n"/>
      <c r="G440" s="2" t="n"/>
      <c r="H440" s="2" t="n"/>
      <c r="I440" s="2" t="n"/>
      <c r="J440" s="2" t="n"/>
      <c r="K440" s="2" t="n"/>
      <c r="L440" s="2" t="n"/>
      <c r="M440" s="2" t="n"/>
      <c r="N440" s="2">
        <f>IF(COUNTA(O440:T440)&lt;6,"",ROUND(O440*0.3+P440*0.2+Q440*0.15+R440*0.15+S440*0.1+T440*0.1,0))</f>
        <v/>
      </c>
      <c r="O440" s="2" t="n"/>
      <c r="P440" s="2" t="n"/>
      <c r="Q440" s="2" t="n"/>
      <c r="R440" s="2" t="n"/>
      <c r="S440" s="2" t="n"/>
      <c r="T440" s="2" t="n"/>
      <c r="U440" s="2">
        <f>IF(OR(AA440="fail",AC440="fail"),"P4",IF(N440="","",IF(N440&gt;=90,"P1",IF(N440&gt;=80,"P1",IF(N440&gt;=70,"P2",IF(N440&gt;=60,"P3","P4"))))))</f>
        <v/>
      </c>
      <c r="V440" s="2">
        <f>IF(OR(AA440="fail",AC440="fail"),"SKIP",IF(N440="","",IF(N440&gt;=90,"APPLY ASAP",IF(N440&gt;=80,"APPLY",IF(N440&gt;=70,"CONSIDER",IF(N440&gt;=60,"STRETCH","SKIP"))))))</f>
        <v/>
      </c>
      <c r="W440" s="2" t="n"/>
      <c r="X440" s="2" t="n"/>
      <c r="Y440" s="2" t="n"/>
      <c r="Z440" s="2" t="n"/>
    </row>
    <row r="441">
      <c r="A441" s="2" t="n"/>
      <c r="B441" s="2" t="n"/>
      <c r="C441" s="2" t="n"/>
      <c r="D441" s="2" t="n"/>
      <c r="E441" s="2" t="n"/>
      <c r="F441" s="2" t="n"/>
      <c r="G441" s="2" t="n"/>
      <c r="H441" s="2" t="n"/>
      <c r="I441" s="2" t="n"/>
      <c r="J441" s="2" t="n"/>
      <c r="K441" s="2" t="n"/>
      <c r="L441" s="2" t="n"/>
      <c r="M441" s="2" t="n"/>
      <c r="N441" s="2">
        <f>IF(COUNTA(O441:T441)&lt;6,"",ROUND(O441*0.3+P441*0.2+Q441*0.15+R441*0.15+S441*0.1+T441*0.1,0))</f>
        <v/>
      </c>
      <c r="O441" s="2" t="n"/>
      <c r="P441" s="2" t="n"/>
      <c r="Q441" s="2" t="n"/>
      <c r="R441" s="2" t="n"/>
      <c r="S441" s="2" t="n"/>
      <c r="T441" s="2" t="n"/>
      <c r="U441" s="2">
        <f>IF(OR(AA441="fail",AC441="fail"),"P4",IF(N441="","",IF(N441&gt;=90,"P1",IF(N441&gt;=80,"P1",IF(N441&gt;=70,"P2",IF(N441&gt;=60,"P3","P4"))))))</f>
        <v/>
      </c>
      <c r="V441" s="2">
        <f>IF(OR(AA441="fail",AC441="fail"),"SKIP",IF(N441="","",IF(N441&gt;=90,"APPLY ASAP",IF(N441&gt;=80,"APPLY",IF(N441&gt;=70,"CONSIDER",IF(N441&gt;=60,"STRETCH","SKIP"))))))</f>
        <v/>
      </c>
      <c r="W441" s="2" t="n"/>
      <c r="X441" s="2" t="n"/>
      <c r="Y441" s="2" t="n"/>
      <c r="Z441" s="2" t="n"/>
    </row>
    <row r="442">
      <c r="A442" s="2" t="n"/>
      <c r="B442" s="2" t="n"/>
      <c r="C442" s="2" t="n"/>
      <c r="D442" s="2" t="n"/>
      <c r="E442" s="2" t="n"/>
      <c r="F442" s="2" t="n"/>
      <c r="G442" s="2" t="n"/>
      <c r="H442" s="2" t="n"/>
      <c r="I442" s="2" t="n"/>
      <c r="J442" s="2" t="n"/>
      <c r="K442" s="2" t="n"/>
      <c r="L442" s="2" t="n"/>
      <c r="M442" s="2" t="n"/>
      <c r="N442" s="2">
        <f>IF(COUNTA(O442:T442)&lt;6,"",ROUND(O442*0.3+P442*0.2+Q442*0.15+R442*0.15+S442*0.1+T442*0.1,0))</f>
        <v/>
      </c>
      <c r="O442" s="2" t="n"/>
      <c r="P442" s="2" t="n"/>
      <c r="Q442" s="2" t="n"/>
      <c r="R442" s="2" t="n"/>
      <c r="S442" s="2" t="n"/>
      <c r="T442" s="2" t="n"/>
      <c r="U442" s="2">
        <f>IF(OR(AA442="fail",AC442="fail"),"P4",IF(N442="","",IF(N442&gt;=90,"P1",IF(N442&gt;=80,"P1",IF(N442&gt;=70,"P2",IF(N442&gt;=60,"P3","P4"))))))</f>
        <v/>
      </c>
      <c r="V442" s="2">
        <f>IF(OR(AA442="fail",AC442="fail"),"SKIP",IF(N442="","",IF(N442&gt;=90,"APPLY ASAP",IF(N442&gt;=80,"APPLY",IF(N442&gt;=70,"CONSIDER",IF(N442&gt;=60,"STRETCH","SKIP"))))))</f>
        <v/>
      </c>
      <c r="W442" s="2" t="n"/>
      <c r="X442" s="2" t="n"/>
      <c r="Y442" s="2" t="n"/>
      <c r="Z442" s="2" t="n"/>
    </row>
    <row r="443">
      <c r="A443" s="2" t="n"/>
      <c r="B443" s="2" t="n"/>
      <c r="C443" s="2" t="n"/>
      <c r="D443" s="2" t="n"/>
      <c r="E443" s="2" t="n"/>
      <c r="F443" s="2" t="n"/>
      <c r="G443" s="2" t="n"/>
      <c r="H443" s="2" t="n"/>
      <c r="I443" s="2" t="n"/>
      <c r="J443" s="2" t="n"/>
      <c r="K443" s="2" t="n"/>
      <c r="L443" s="2" t="n"/>
      <c r="M443" s="2" t="n"/>
      <c r="N443" s="2">
        <f>IF(COUNTA(O443:T443)&lt;6,"",ROUND(O443*0.3+P443*0.2+Q443*0.15+R443*0.15+S443*0.1+T443*0.1,0))</f>
        <v/>
      </c>
      <c r="O443" s="2" t="n"/>
      <c r="P443" s="2" t="n"/>
      <c r="Q443" s="2" t="n"/>
      <c r="R443" s="2" t="n"/>
      <c r="S443" s="2" t="n"/>
      <c r="T443" s="2" t="n"/>
      <c r="U443" s="2">
        <f>IF(OR(AA443="fail",AC443="fail"),"P4",IF(N443="","",IF(N443&gt;=90,"P1",IF(N443&gt;=80,"P1",IF(N443&gt;=70,"P2",IF(N443&gt;=60,"P3","P4"))))))</f>
        <v/>
      </c>
      <c r="V443" s="2">
        <f>IF(OR(AA443="fail",AC443="fail"),"SKIP",IF(N443="","",IF(N443&gt;=90,"APPLY ASAP",IF(N443&gt;=80,"APPLY",IF(N443&gt;=70,"CONSIDER",IF(N443&gt;=60,"STRETCH","SKIP"))))))</f>
        <v/>
      </c>
      <c r="W443" s="2" t="n"/>
      <c r="X443" s="2" t="n"/>
      <c r="Y443" s="2" t="n"/>
      <c r="Z443" s="2" t="n"/>
    </row>
    <row r="444">
      <c r="A444" s="2" t="n"/>
      <c r="B444" s="2" t="n"/>
      <c r="C444" s="2" t="n"/>
      <c r="D444" s="2" t="n"/>
      <c r="E444" s="2" t="n"/>
      <c r="F444" s="2" t="n"/>
      <c r="G444" s="2" t="n"/>
      <c r="H444" s="2" t="n"/>
      <c r="I444" s="2" t="n"/>
      <c r="J444" s="2" t="n"/>
      <c r="K444" s="2" t="n"/>
      <c r="L444" s="2" t="n"/>
      <c r="M444" s="2" t="n"/>
      <c r="N444" s="2">
        <f>IF(COUNTA(O444:T444)&lt;6,"",ROUND(O444*0.3+P444*0.2+Q444*0.15+R444*0.15+S444*0.1+T444*0.1,0))</f>
        <v/>
      </c>
      <c r="O444" s="2" t="n"/>
      <c r="P444" s="2" t="n"/>
      <c r="Q444" s="2" t="n"/>
      <c r="R444" s="2" t="n"/>
      <c r="S444" s="2" t="n"/>
      <c r="T444" s="2" t="n"/>
      <c r="U444" s="2">
        <f>IF(OR(AA444="fail",AC444="fail"),"P4",IF(N444="","",IF(N444&gt;=90,"P1",IF(N444&gt;=80,"P1",IF(N444&gt;=70,"P2",IF(N444&gt;=60,"P3","P4"))))))</f>
        <v/>
      </c>
      <c r="V444" s="2">
        <f>IF(OR(AA444="fail",AC444="fail"),"SKIP",IF(N444="","",IF(N444&gt;=90,"APPLY ASAP",IF(N444&gt;=80,"APPLY",IF(N444&gt;=70,"CONSIDER",IF(N444&gt;=60,"STRETCH","SKIP"))))))</f>
        <v/>
      </c>
      <c r="W444" s="2" t="n"/>
      <c r="X444" s="2" t="n"/>
      <c r="Y444" s="2" t="n"/>
      <c r="Z444" s="2" t="n"/>
    </row>
    <row r="445">
      <c r="A445" s="2" t="n"/>
      <c r="B445" s="2" t="n"/>
      <c r="C445" s="2" t="n"/>
      <c r="D445" s="2" t="n"/>
      <c r="E445" s="2" t="n"/>
      <c r="F445" s="2" t="n"/>
      <c r="G445" s="2" t="n"/>
      <c r="H445" s="2" t="n"/>
      <c r="I445" s="2" t="n"/>
      <c r="J445" s="2" t="n"/>
      <c r="K445" s="2" t="n"/>
      <c r="L445" s="2" t="n"/>
      <c r="M445" s="2" t="n"/>
      <c r="N445" s="2">
        <f>IF(COUNTA(O445:T445)&lt;6,"",ROUND(O445*0.3+P445*0.2+Q445*0.15+R445*0.15+S445*0.1+T445*0.1,0))</f>
        <v/>
      </c>
      <c r="O445" s="2" t="n"/>
      <c r="P445" s="2" t="n"/>
      <c r="Q445" s="2" t="n"/>
      <c r="R445" s="2" t="n"/>
      <c r="S445" s="2" t="n"/>
      <c r="T445" s="2" t="n"/>
      <c r="U445" s="2">
        <f>IF(OR(AA445="fail",AC445="fail"),"P4",IF(N445="","",IF(N445&gt;=90,"P1",IF(N445&gt;=80,"P1",IF(N445&gt;=70,"P2",IF(N445&gt;=60,"P3","P4"))))))</f>
        <v/>
      </c>
      <c r="V445" s="2">
        <f>IF(OR(AA445="fail",AC445="fail"),"SKIP",IF(N445="","",IF(N445&gt;=90,"APPLY ASAP",IF(N445&gt;=80,"APPLY",IF(N445&gt;=70,"CONSIDER",IF(N445&gt;=60,"STRETCH","SKIP"))))))</f>
        <v/>
      </c>
      <c r="W445" s="2" t="n"/>
      <c r="X445" s="2" t="n"/>
      <c r="Y445" s="2" t="n"/>
      <c r="Z445" s="2" t="n"/>
    </row>
    <row r="446">
      <c r="A446" s="2" t="n"/>
      <c r="B446" s="2" t="n"/>
      <c r="C446" s="2" t="n"/>
      <c r="D446" s="2" t="n"/>
      <c r="E446" s="2" t="n"/>
      <c r="F446" s="2" t="n"/>
      <c r="G446" s="2" t="n"/>
      <c r="H446" s="2" t="n"/>
      <c r="I446" s="2" t="n"/>
      <c r="J446" s="2" t="n"/>
      <c r="K446" s="2" t="n"/>
      <c r="L446" s="2" t="n"/>
      <c r="M446" s="2" t="n"/>
      <c r="N446" s="2">
        <f>IF(COUNTA(O446:T446)&lt;6,"",ROUND(O446*0.3+P446*0.2+Q446*0.15+R446*0.15+S446*0.1+T446*0.1,0))</f>
        <v/>
      </c>
      <c r="O446" s="2" t="n"/>
      <c r="P446" s="2" t="n"/>
      <c r="Q446" s="2" t="n"/>
      <c r="R446" s="2" t="n"/>
      <c r="S446" s="2" t="n"/>
      <c r="T446" s="2" t="n"/>
      <c r="U446" s="2">
        <f>IF(OR(AA446="fail",AC446="fail"),"P4",IF(N446="","",IF(N446&gt;=90,"P1",IF(N446&gt;=80,"P1",IF(N446&gt;=70,"P2",IF(N446&gt;=60,"P3","P4"))))))</f>
        <v/>
      </c>
      <c r="V446" s="2">
        <f>IF(OR(AA446="fail",AC446="fail"),"SKIP",IF(N446="","",IF(N446&gt;=90,"APPLY ASAP",IF(N446&gt;=80,"APPLY",IF(N446&gt;=70,"CONSIDER",IF(N446&gt;=60,"STRETCH","SKIP"))))))</f>
        <v/>
      </c>
      <c r="W446" s="2" t="n"/>
      <c r="X446" s="2" t="n"/>
      <c r="Y446" s="2" t="n"/>
      <c r="Z446" s="2" t="n"/>
    </row>
    <row r="447">
      <c r="A447" s="2" t="n"/>
      <c r="B447" s="2" t="n"/>
      <c r="C447" s="2" t="n"/>
      <c r="D447" s="2" t="n"/>
      <c r="E447" s="2" t="n"/>
      <c r="F447" s="2" t="n"/>
      <c r="G447" s="2" t="n"/>
      <c r="H447" s="2" t="n"/>
      <c r="I447" s="2" t="n"/>
      <c r="J447" s="2" t="n"/>
      <c r="K447" s="2" t="n"/>
      <c r="L447" s="2" t="n"/>
      <c r="M447" s="2" t="n"/>
      <c r="N447" s="2">
        <f>IF(COUNTA(O447:T447)&lt;6,"",ROUND(O447*0.3+P447*0.2+Q447*0.15+R447*0.15+S447*0.1+T447*0.1,0))</f>
        <v/>
      </c>
      <c r="O447" s="2" t="n"/>
      <c r="P447" s="2" t="n"/>
      <c r="Q447" s="2" t="n"/>
      <c r="R447" s="2" t="n"/>
      <c r="S447" s="2" t="n"/>
      <c r="T447" s="2" t="n"/>
      <c r="U447" s="2">
        <f>IF(OR(AA447="fail",AC447="fail"),"P4",IF(N447="","",IF(N447&gt;=90,"P1",IF(N447&gt;=80,"P1",IF(N447&gt;=70,"P2",IF(N447&gt;=60,"P3","P4"))))))</f>
        <v/>
      </c>
      <c r="V447" s="2">
        <f>IF(OR(AA447="fail",AC447="fail"),"SKIP",IF(N447="","",IF(N447&gt;=90,"APPLY ASAP",IF(N447&gt;=80,"APPLY",IF(N447&gt;=70,"CONSIDER",IF(N447&gt;=60,"STRETCH","SKIP"))))))</f>
        <v/>
      </c>
      <c r="W447" s="2" t="n"/>
      <c r="X447" s="2" t="n"/>
      <c r="Y447" s="2" t="n"/>
      <c r="Z447" s="2" t="n"/>
    </row>
    <row r="448">
      <c r="A448" s="2" t="n"/>
      <c r="B448" s="2" t="n"/>
      <c r="C448" s="2" t="n"/>
      <c r="D448" s="2" t="n"/>
      <c r="E448" s="2" t="n"/>
      <c r="F448" s="2" t="n"/>
      <c r="G448" s="2" t="n"/>
      <c r="H448" s="2" t="n"/>
      <c r="I448" s="2" t="n"/>
      <c r="J448" s="2" t="n"/>
      <c r="K448" s="2" t="n"/>
      <c r="L448" s="2" t="n"/>
      <c r="M448" s="2" t="n"/>
      <c r="N448" s="2">
        <f>IF(COUNTA(O448:T448)&lt;6,"",ROUND(O448*0.3+P448*0.2+Q448*0.15+R448*0.15+S448*0.1+T448*0.1,0))</f>
        <v/>
      </c>
      <c r="O448" s="2" t="n"/>
      <c r="P448" s="2" t="n"/>
      <c r="Q448" s="2" t="n"/>
      <c r="R448" s="2" t="n"/>
      <c r="S448" s="2" t="n"/>
      <c r="T448" s="2" t="n"/>
      <c r="U448" s="2">
        <f>IF(OR(AA448="fail",AC448="fail"),"P4",IF(N448="","",IF(N448&gt;=90,"P1",IF(N448&gt;=80,"P1",IF(N448&gt;=70,"P2",IF(N448&gt;=60,"P3","P4"))))))</f>
        <v/>
      </c>
      <c r="V448" s="2">
        <f>IF(OR(AA448="fail",AC448="fail"),"SKIP",IF(N448="","",IF(N448&gt;=90,"APPLY ASAP",IF(N448&gt;=80,"APPLY",IF(N448&gt;=70,"CONSIDER",IF(N448&gt;=60,"STRETCH","SKIP"))))))</f>
        <v/>
      </c>
      <c r="W448" s="2" t="n"/>
      <c r="X448" s="2" t="n"/>
      <c r="Y448" s="2" t="n"/>
      <c r="Z448" s="2" t="n"/>
    </row>
    <row r="449">
      <c r="A449" s="2" t="n"/>
      <c r="B449" s="2" t="n"/>
      <c r="C449" s="2" t="n"/>
      <c r="D449" s="2" t="n"/>
      <c r="E449" s="2" t="n"/>
      <c r="F449" s="2" t="n"/>
      <c r="G449" s="2" t="n"/>
      <c r="H449" s="2" t="n"/>
      <c r="I449" s="2" t="n"/>
      <c r="J449" s="2" t="n"/>
      <c r="K449" s="2" t="n"/>
      <c r="L449" s="2" t="n"/>
      <c r="M449" s="2" t="n"/>
      <c r="N449" s="2">
        <f>IF(COUNTA(O449:T449)&lt;6,"",ROUND(O449*0.3+P449*0.2+Q449*0.15+R449*0.15+S449*0.1+T449*0.1,0))</f>
        <v/>
      </c>
      <c r="O449" s="2" t="n"/>
      <c r="P449" s="2" t="n"/>
      <c r="Q449" s="2" t="n"/>
      <c r="R449" s="2" t="n"/>
      <c r="S449" s="2" t="n"/>
      <c r="T449" s="2" t="n"/>
      <c r="U449" s="2">
        <f>IF(OR(AA449="fail",AC449="fail"),"P4",IF(N449="","",IF(N449&gt;=90,"P1",IF(N449&gt;=80,"P1",IF(N449&gt;=70,"P2",IF(N449&gt;=60,"P3","P4"))))))</f>
        <v/>
      </c>
      <c r="V449" s="2">
        <f>IF(OR(AA449="fail",AC449="fail"),"SKIP",IF(N449="","",IF(N449&gt;=90,"APPLY ASAP",IF(N449&gt;=80,"APPLY",IF(N449&gt;=70,"CONSIDER",IF(N449&gt;=60,"STRETCH","SKIP"))))))</f>
        <v/>
      </c>
      <c r="W449" s="2" t="n"/>
      <c r="X449" s="2" t="n"/>
      <c r="Y449" s="2" t="n"/>
      <c r="Z449" s="2" t="n"/>
    </row>
    <row r="450">
      <c r="A450" s="2" t="n"/>
      <c r="B450" s="2" t="n"/>
      <c r="C450" s="2" t="n"/>
      <c r="D450" s="2" t="n"/>
      <c r="E450" s="2" t="n"/>
      <c r="F450" s="2" t="n"/>
      <c r="G450" s="2" t="n"/>
      <c r="H450" s="2" t="n"/>
      <c r="I450" s="2" t="n"/>
      <c r="J450" s="2" t="n"/>
      <c r="K450" s="2" t="n"/>
      <c r="L450" s="2" t="n"/>
      <c r="M450" s="2" t="n"/>
      <c r="N450" s="2">
        <f>IF(COUNTA(O450:T450)&lt;6,"",ROUND(O450*0.3+P450*0.2+Q450*0.15+R450*0.15+S450*0.1+T450*0.1,0))</f>
        <v/>
      </c>
      <c r="O450" s="2" t="n"/>
      <c r="P450" s="2" t="n"/>
      <c r="Q450" s="2" t="n"/>
      <c r="R450" s="2" t="n"/>
      <c r="S450" s="2" t="n"/>
      <c r="T450" s="2" t="n"/>
      <c r="U450" s="2">
        <f>IF(OR(AA450="fail",AC450="fail"),"P4",IF(N450="","",IF(N450&gt;=90,"P1",IF(N450&gt;=80,"P1",IF(N450&gt;=70,"P2",IF(N450&gt;=60,"P3","P4"))))))</f>
        <v/>
      </c>
      <c r="V450" s="2">
        <f>IF(OR(AA450="fail",AC450="fail"),"SKIP",IF(N450="","",IF(N450&gt;=90,"APPLY ASAP",IF(N450&gt;=80,"APPLY",IF(N450&gt;=70,"CONSIDER",IF(N450&gt;=60,"STRETCH","SKIP"))))))</f>
        <v/>
      </c>
      <c r="W450" s="2" t="n"/>
      <c r="X450" s="2" t="n"/>
      <c r="Y450" s="2" t="n"/>
      <c r="Z450" s="2" t="n"/>
    </row>
    <row r="451">
      <c r="A451" s="2" t="n"/>
      <c r="B451" s="2" t="n"/>
      <c r="C451" s="2" t="n"/>
      <c r="D451" s="2" t="n"/>
      <c r="E451" s="2" t="n"/>
      <c r="F451" s="2" t="n"/>
      <c r="G451" s="2" t="n"/>
      <c r="H451" s="2" t="n"/>
      <c r="I451" s="2" t="n"/>
      <c r="J451" s="2" t="n"/>
      <c r="K451" s="2" t="n"/>
      <c r="L451" s="2" t="n"/>
      <c r="M451" s="2" t="n"/>
      <c r="N451" s="2">
        <f>IF(COUNTA(O451:T451)&lt;6,"",ROUND(O451*0.3+P451*0.2+Q451*0.15+R451*0.15+S451*0.1+T451*0.1,0))</f>
        <v/>
      </c>
      <c r="O451" s="2" t="n"/>
      <c r="P451" s="2" t="n"/>
      <c r="Q451" s="2" t="n"/>
      <c r="R451" s="2" t="n"/>
      <c r="S451" s="2" t="n"/>
      <c r="T451" s="2" t="n"/>
      <c r="U451" s="2">
        <f>IF(OR(AA451="fail",AC451="fail"),"P4",IF(N451="","",IF(N451&gt;=90,"P1",IF(N451&gt;=80,"P1",IF(N451&gt;=70,"P2",IF(N451&gt;=60,"P3","P4"))))))</f>
        <v/>
      </c>
      <c r="V451" s="2">
        <f>IF(OR(AA451="fail",AC451="fail"),"SKIP",IF(N451="","",IF(N451&gt;=90,"APPLY ASAP",IF(N451&gt;=80,"APPLY",IF(N451&gt;=70,"CONSIDER",IF(N451&gt;=60,"STRETCH","SKIP"))))))</f>
        <v/>
      </c>
      <c r="W451" s="2" t="n"/>
      <c r="X451" s="2" t="n"/>
      <c r="Y451" s="2" t="n"/>
      <c r="Z451" s="2" t="n"/>
    </row>
    <row r="452">
      <c r="A452" s="2" t="n"/>
      <c r="B452" s="2" t="n"/>
      <c r="C452" s="2" t="n"/>
      <c r="D452" s="2" t="n"/>
      <c r="E452" s="2" t="n"/>
      <c r="F452" s="2" t="n"/>
      <c r="G452" s="2" t="n"/>
      <c r="H452" s="2" t="n"/>
      <c r="I452" s="2" t="n"/>
      <c r="J452" s="2" t="n"/>
      <c r="K452" s="2" t="n"/>
      <c r="L452" s="2" t="n"/>
      <c r="M452" s="2" t="n"/>
      <c r="N452" s="2">
        <f>IF(COUNTA(O452:T452)&lt;6,"",ROUND(O452*0.3+P452*0.2+Q452*0.15+R452*0.15+S452*0.1+T452*0.1,0))</f>
        <v/>
      </c>
      <c r="O452" s="2" t="n"/>
      <c r="P452" s="2" t="n"/>
      <c r="Q452" s="2" t="n"/>
      <c r="R452" s="2" t="n"/>
      <c r="S452" s="2" t="n"/>
      <c r="T452" s="2" t="n"/>
      <c r="U452" s="2">
        <f>IF(OR(AA452="fail",AC452="fail"),"P4",IF(N452="","",IF(N452&gt;=90,"P1",IF(N452&gt;=80,"P1",IF(N452&gt;=70,"P2",IF(N452&gt;=60,"P3","P4"))))))</f>
        <v/>
      </c>
      <c r="V452" s="2">
        <f>IF(OR(AA452="fail",AC452="fail"),"SKIP",IF(N452="","",IF(N452&gt;=90,"APPLY ASAP",IF(N452&gt;=80,"APPLY",IF(N452&gt;=70,"CONSIDER",IF(N452&gt;=60,"STRETCH","SKIP"))))))</f>
        <v/>
      </c>
      <c r="W452" s="2" t="n"/>
      <c r="X452" s="2" t="n"/>
      <c r="Y452" s="2" t="n"/>
      <c r="Z452" s="2" t="n"/>
    </row>
    <row r="453">
      <c r="A453" s="2" t="n"/>
      <c r="B453" s="2" t="n"/>
      <c r="C453" s="2" t="n"/>
      <c r="D453" s="2" t="n"/>
      <c r="E453" s="2" t="n"/>
      <c r="F453" s="2" t="n"/>
      <c r="G453" s="2" t="n"/>
      <c r="H453" s="2" t="n"/>
      <c r="I453" s="2" t="n"/>
      <c r="J453" s="2" t="n"/>
      <c r="K453" s="2" t="n"/>
      <c r="L453" s="2" t="n"/>
      <c r="M453" s="2" t="n"/>
      <c r="N453" s="2">
        <f>IF(COUNTA(O453:T453)&lt;6,"",ROUND(O453*0.3+P453*0.2+Q453*0.15+R453*0.15+S453*0.1+T453*0.1,0))</f>
        <v/>
      </c>
      <c r="O453" s="2" t="n"/>
      <c r="P453" s="2" t="n"/>
      <c r="Q453" s="2" t="n"/>
      <c r="R453" s="2" t="n"/>
      <c r="S453" s="2" t="n"/>
      <c r="T453" s="2" t="n"/>
      <c r="U453" s="2">
        <f>IF(OR(AA453="fail",AC453="fail"),"P4",IF(N453="","",IF(N453&gt;=90,"P1",IF(N453&gt;=80,"P1",IF(N453&gt;=70,"P2",IF(N453&gt;=60,"P3","P4"))))))</f>
        <v/>
      </c>
      <c r="V453" s="2">
        <f>IF(OR(AA453="fail",AC453="fail"),"SKIP",IF(N453="","",IF(N453&gt;=90,"APPLY ASAP",IF(N453&gt;=80,"APPLY",IF(N453&gt;=70,"CONSIDER",IF(N453&gt;=60,"STRETCH","SKIP"))))))</f>
        <v/>
      </c>
      <c r="W453" s="2" t="n"/>
      <c r="X453" s="2" t="n"/>
      <c r="Y453" s="2" t="n"/>
      <c r="Z453" s="2" t="n"/>
    </row>
    <row r="454">
      <c r="A454" s="2" t="n"/>
      <c r="B454" s="2" t="n"/>
      <c r="C454" s="2" t="n"/>
      <c r="D454" s="2" t="n"/>
      <c r="E454" s="2" t="n"/>
      <c r="F454" s="2" t="n"/>
      <c r="G454" s="2" t="n"/>
      <c r="H454" s="2" t="n"/>
      <c r="I454" s="2" t="n"/>
      <c r="J454" s="2" t="n"/>
      <c r="K454" s="2" t="n"/>
      <c r="L454" s="2" t="n"/>
      <c r="M454" s="2" t="n"/>
      <c r="N454" s="2">
        <f>IF(COUNTA(O454:T454)&lt;6,"",ROUND(O454*0.3+P454*0.2+Q454*0.15+R454*0.15+S454*0.1+T454*0.1,0))</f>
        <v/>
      </c>
      <c r="O454" s="2" t="n"/>
      <c r="P454" s="2" t="n"/>
      <c r="Q454" s="2" t="n"/>
      <c r="R454" s="2" t="n"/>
      <c r="S454" s="2" t="n"/>
      <c r="T454" s="2" t="n"/>
      <c r="U454" s="2">
        <f>IF(OR(AA454="fail",AC454="fail"),"P4",IF(N454="","",IF(N454&gt;=90,"P1",IF(N454&gt;=80,"P1",IF(N454&gt;=70,"P2",IF(N454&gt;=60,"P3","P4"))))))</f>
        <v/>
      </c>
      <c r="V454" s="2">
        <f>IF(OR(AA454="fail",AC454="fail"),"SKIP",IF(N454="","",IF(N454&gt;=90,"APPLY ASAP",IF(N454&gt;=80,"APPLY",IF(N454&gt;=70,"CONSIDER",IF(N454&gt;=60,"STRETCH","SKIP"))))))</f>
        <v/>
      </c>
      <c r="W454" s="2" t="n"/>
      <c r="X454" s="2" t="n"/>
      <c r="Y454" s="2" t="n"/>
      <c r="Z454" s="2" t="n"/>
    </row>
    <row r="455">
      <c r="A455" s="2" t="n"/>
      <c r="B455" s="2" t="n"/>
      <c r="C455" s="2" t="n"/>
      <c r="D455" s="2" t="n"/>
      <c r="E455" s="2" t="n"/>
      <c r="F455" s="2" t="n"/>
      <c r="G455" s="2" t="n"/>
      <c r="H455" s="2" t="n"/>
      <c r="I455" s="2" t="n"/>
      <c r="J455" s="2" t="n"/>
      <c r="K455" s="2" t="n"/>
      <c r="L455" s="2" t="n"/>
      <c r="M455" s="2" t="n"/>
      <c r="N455" s="2">
        <f>IF(COUNTA(O455:T455)&lt;6,"",ROUND(O455*0.3+P455*0.2+Q455*0.15+R455*0.15+S455*0.1+T455*0.1,0))</f>
        <v/>
      </c>
      <c r="O455" s="2" t="n"/>
      <c r="P455" s="2" t="n"/>
      <c r="Q455" s="2" t="n"/>
      <c r="R455" s="2" t="n"/>
      <c r="S455" s="2" t="n"/>
      <c r="T455" s="2" t="n"/>
      <c r="U455" s="2">
        <f>IF(OR(AA455="fail",AC455="fail"),"P4",IF(N455="","",IF(N455&gt;=90,"P1",IF(N455&gt;=80,"P1",IF(N455&gt;=70,"P2",IF(N455&gt;=60,"P3","P4"))))))</f>
        <v/>
      </c>
      <c r="V455" s="2">
        <f>IF(OR(AA455="fail",AC455="fail"),"SKIP",IF(N455="","",IF(N455&gt;=90,"APPLY ASAP",IF(N455&gt;=80,"APPLY",IF(N455&gt;=70,"CONSIDER",IF(N455&gt;=60,"STRETCH","SKIP"))))))</f>
        <v/>
      </c>
      <c r="W455" s="2" t="n"/>
      <c r="X455" s="2" t="n"/>
      <c r="Y455" s="2" t="n"/>
      <c r="Z455" s="2" t="n"/>
    </row>
    <row r="456">
      <c r="A456" s="2" t="n"/>
      <c r="B456" s="2" t="n"/>
      <c r="C456" s="2" t="n"/>
      <c r="D456" s="2" t="n"/>
      <c r="E456" s="2" t="n"/>
      <c r="F456" s="2" t="n"/>
      <c r="G456" s="2" t="n"/>
      <c r="H456" s="2" t="n"/>
      <c r="I456" s="2" t="n"/>
      <c r="J456" s="2" t="n"/>
      <c r="K456" s="2" t="n"/>
      <c r="L456" s="2" t="n"/>
      <c r="M456" s="2" t="n"/>
      <c r="N456" s="2">
        <f>IF(COUNTA(O456:T456)&lt;6,"",ROUND(O456*0.3+P456*0.2+Q456*0.15+R456*0.15+S456*0.1+T456*0.1,0))</f>
        <v/>
      </c>
      <c r="O456" s="2" t="n"/>
      <c r="P456" s="2" t="n"/>
      <c r="Q456" s="2" t="n"/>
      <c r="R456" s="2" t="n"/>
      <c r="S456" s="2" t="n"/>
      <c r="T456" s="2" t="n"/>
      <c r="U456" s="2">
        <f>IF(OR(AA456="fail",AC456="fail"),"P4",IF(N456="","",IF(N456&gt;=90,"P1",IF(N456&gt;=80,"P1",IF(N456&gt;=70,"P2",IF(N456&gt;=60,"P3","P4"))))))</f>
        <v/>
      </c>
      <c r="V456" s="2">
        <f>IF(OR(AA456="fail",AC456="fail"),"SKIP",IF(N456="","",IF(N456&gt;=90,"APPLY ASAP",IF(N456&gt;=80,"APPLY",IF(N456&gt;=70,"CONSIDER",IF(N456&gt;=60,"STRETCH","SKIP"))))))</f>
        <v/>
      </c>
      <c r="W456" s="2" t="n"/>
      <c r="X456" s="2" t="n"/>
      <c r="Y456" s="2" t="n"/>
      <c r="Z456" s="2" t="n"/>
    </row>
    <row r="457">
      <c r="A457" s="2" t="n"/>
      <c r="B457" s="2" t="n"/>
      <c r="C457" s="2" t="n"/>
      <c r="D457" s="2" t="n"/>
      <c r="E457" s="2" t="n"/>
      <c r="F457" s="2" t="n"/>
      <c r="G457" s="2" t="n"/>
      <c r="H457" s="2" t="n"/>
      <c r="I457" s="2" t="n"/>
      <c r="J457" s="2" t="n"/>
      <c r="K457" s="2" t="n"/>
      <c r="L457" s="2" t="n"/>
      <c r="M457" s="2" t="n"/>
      <c r="N457" s="2">
        <f>IF(COUNTA(O457:T457)&lt;6,"",ROUND(O457*0.3+P457*0.2+Q457*0.15+R457*0.15+S457*0.1+T457*0.1,0))</f>
        <v/>
      </c>
      <c r="O457" s="2" t="n"/>
      <c r="P457" s="2" t="n"/>
      <c r="Q457" s="2" t="n"/>
      <c r="R457" s="2" t="n"/>
      <c r="S457" s="2" t="n"/>
      <c r="T457" s="2" t="n"/>
      <c r="U457" s="2">
        <f>IF(OR(AA457="fail",AC457="fail"),"P4",IF(N457="","",IF(N457&gt;=90,"P1",IF(N457&gt;=80,"P1",IF(N457&gt;=70,"P2",IF(N457&gt;=60,"P3","P4"))))))</f>
        <v/>
      </c>
      <c r="V457" s="2">
        <f>IF(OR(AA457="fail",AC457="fail"),"SKIP",IF(N457="","",IF(N457&gt;=90,"APPLY ASAP",IF(N457&gt;=80,"APPLY",IF(N457&gt;=70,"CONSIDER",IF(N457&gt;=60,"STRETCH","SKIP"))))))</f>
        <v/>
      </c>
      <c r="W457" s="2" t="n"/>
      <c r="X457" s="2" t="n"/>
      <c r="Y457" s="2" t="n"/>
      <c r="Z457" s="2" t="n"/>
    </row>
    <row r="458">
      <c r="A458" s="2" t="n"/>
      <c r="B458" s="2" t="n"/>
      <c r="C458" s="2" t="n"/>
      <c r="D458" s="2" t="n"/>
      <c r="E458" s="2" t="n"/>
      <c r="F458" s="2" t="n"/>
      <c r="G458" s="2" t="n"/>
      <c r="H458" s="2" t="n"/>
      <c r="I458" s="2" t="n"/>
      <c r="J458" s="2" t="n"/>
      <c r="K458" s="2" t="n"/>
      <c r="L458" s="2" t="n"/>
      <c r="M458" s="2" t="n"/>
      <c r="N458" s="2">
        <f>IF(COUNTA(O458:T458)&lt;6,"",ROUND(O458*0.3+P458*0.2+Q458*0.15+R458*0.15+S458*0.1+T458*0.1,0))</f>
        <v/>
      </c>
      <c r="O458" s="2" t="n"/>
      <c r="P458" s="2" t="n"/>
      <c r="Q458" s="2" t="n"/>
      <c r="R458" s="2" t="n"/>
      <c r="S458" s="2" t="n"/>
      <c r="T458" s="2" t="n"/>
      <c r="U458" s="2">
        <f>IF(OR(AA458="fail",AC458="fail"),"P4",IF(N458="","",IF(N458&gt;=90,"P1",IF(N458&gt;=80,"P1",IF(N458&gt;=70,"P2",IF(N458&gt;=60,"P3","P4"))))))</f>
        <v/>
      </c>
      <c r="V458" s="2">
        <f>IF(OR(AA458="fail",AC458="fail"),"SKIP",IF(N458="","",IF(N458&gt;=90,"APPLY ASAP",IF(N458&gt;=80,"APPLY",IF(N458&gt;=70,"CONSIDER",IF(N458&gt;=60,"STRETCH","SKIP"))))))</f>
        <v/>
      </c>
      <c r="W458" s="2" t="n"/>
      <c r="X458" s="2" t="n"/>
      <c r="Y458" s="2" t="n"/>
      <c r="Z458" s="2" t="n"/>
    </row>
    <row r="459">
      <c r="A459" s="2" t="n"/>
      <c r="B459" s="2" t="n"/>
      <c r="C459" s="2" t="n"/>
      <c r="D459" s="2" t="n"/>
      <c r="E459" s="2" t="n"/>
      <c r="F459" s="2" t="n"/>
      <c r="G459" s="2" t="n"/>
      <c r="H459" s="2" t="n"/>
      <c r="I459" s="2" t="n"/>
      <c r="J459" s="2" t="n"/>
      <c r="K459" s="2" t="n"/>
      <c r="L459" s="2" t="n"/>
      <c r="M459" s="2" t="n"/>
      <c r="N459" s="2">
        <f>IF(COUNTA(O459:T459)&lt;6,"",ROUND(O459*0.3+P459*0.2+Q459*0.15+R459*0.15+S459*0.1+T459*0.1,0))</f>
        <v/>
      </c>
      <c r="O459" s="2" t="n"/>
      <c r="P459" s="2" t="n"/>
      <c r="Q459" s="2" t="n"/>
      <c r="R459" s="2" t="n"/>
      <c r="S459" s="2" t="n"/>
      <c r="T459" s="2" t="n"/>
      <c r="U459" s="2">
        <f>IF(OR(AA459="fail",AC459="fail"),"P4",IF(N459="","",IF(N459&gt;=90,"P1",IF(N459&gt;=80,"P1",IF(N459&gt;=70,"P2",IF(N459&gt;=60,"P3","P4"))))))</f>
        <v/>
      </c>
      <c r="V459" s="2">
        <f>IF(OR(AA459="fail",AC459="fail"),"SKIP",IF(N459="","",IF(N459&gt;=90,"APPLY ASAP",IF(N459&gt;=80,"APPLY",IF(N459&gt;=70,"CONSIDER",IF(N459&gt;=60,"STRETCH","SKIP"))))))</f>
        <v/>
      </c>
      <c r="W459" s="2" t="n"/>
      <c r="X459" s="2" t="n"/>
      <c r="Y459" s="2" t="n"/>
      <c r="Z459" s="2" t="n"/>
    </row>
    <row r="460">
      <c r="A460" s="2" t="n"/>
      <c r="B460" s="2" t="n"/>
      <c r="C460" s="2" t="n"/>
      <c r="D460" s="2" t="n"/>
      <c r="E460" s="2" t="n"/>
      <c r="F460" s="2" t="n"/>
      <c r="G460" s="2" t="n"/>
      <c r="H460" s="2" t="n"/>
      <c r="I460" s="2" t="n"/>
      <c r="J460" s="2" t="n"/>
      <c r="K460" s="2" t="n"/>
      <c r="L460" s="2" t="n"/>
      <c r="M460" s="2" t="n"/>
      <c r="N460" s="2">
        <f>IF(COUNTA(O460:T460)&lt;6,"",ROUND(O460*0.3+P460*0.2+Q460*0.15+R460*0.15+S460*0.1+T460*0.1,0))</f>
        <v/>
      </c>
      <c r="O460" s="2" t="n"/>
      <c r="P460" s="2" t="n"/>
      <c r="Q460" s="2" t="n"/>
      <c r="R460" s="2" t="n"/>
      <c r="S460" s="2" t="n"/>
      <c r="T460" s="2" t="n"/>
      <c r="U460" s="2">
        <f>IF(OR(AA460="fail",AC460="fail"),"P4",IF(N460="","",IF(N460&gt;=90,"P1",IF(N460&gt;=80,"P1",IF(N460&gt;=70,"P2",IF(N460&gt;=60,"P3","P4"))))))</f>
        <v/>
      </c>
      <c r="V460" s="2">
        <f>IF(OR(AA460="fail",AC460="fail"),"SKIP",IF(N460="","",IF(N460&gt;=90,"APPLY ASAP",IF(N460&gt;=80,"APPLY",IF(N460&gt;=70,"CONSIDER",IF(N460&gt;=60,"STRETCH","SKIP"))))))</f>
        <v/>
      </c>
      <c r="W460" s="2" t="n"/>
      <c r="X460" s="2" t="n"/>
      <c r="Y460" s="2" t="n"/>
      <c r="Z460" s="2" t="n"/>
    </row>
    <row r="461">
      <c r="A461" s="2" t="n"/>
      <c r="B461" s="2" t="n"/>
      <c r="C461" s="2" t="n"/>
      <c r="D461" s="2" t="n"/>
      <c r="E461" s="2" t="n"/>
      <c r="F461" s="2" t="n"/>
      <c r="G461" s="2" t="n"/>
      <c r="H461" s="2" t="n"/>
      <c r="I461" s="2" t="n"/>
      <c r="J461" s="2" t="n"/>
      <c r="K461" s="2" t="n"/>
      <c r="L461" s="2" t="n"/>
      <c r="M461" s="2" t="n"/>
      <c r="N461" s="2">
        <f>IF(COUNTA(O461:T461)&lt;6,"",ROUND(O461*0.3+P461*0.2+Q461*0.15+R461*0.15+S461*0.1+T461*0.1,0))</f>
        <v/>
      </c>
      <c r="O461" s="2" t="n"/>
      <c r="P461" s="2" t="n"/>
      <c r="Q461" s="2" t="n"/>
      <c r="R461" s="2" t="n"/>
      <c r="S461" s="2" t="n"/>
      <c r="T461" s="2" t="n"/>
      <c r="U461" s="2">
        <f>IF(OR(AA461="fail",AC461="fail"),"P4",IF(N461="","",IF(N461&gt;=90,"P1",IF(N461&gt;=80,"P1",IF(N461&gt;=70,"P2",IF(N461&gt;=60,"P3","P4"))))))</f>
        <v/>
      </c>
      <c r="V461" s="2">
        <f>IF(OR(AA461="fail",AC461="fail"),"SKIP",IF(N461="","",IF(N461&gt;=90,"APPLY ASAP",IF(N461&gt;=80,"APPLY",IF(N461&gt;=70,"CONSIDER",IF(N461&gt;=60,"STRETCH","SKIP"))))))</f>
        <v/>
      </c>
      <c r="W461" s="2" t="n"/>
      <c r="X461" s="2" t="n"/>
      <c r="Y461" s="2" t="n"/>
      <c r="Z461" s="2" t="n"/>
    </row>
    <row r="462">
      <c r="A462" s="2" t="n"/>
      <c r="B462" s="2" t="n"/>
      <c r="C462" s="2" t="n"/>
      <c r="D462" s="2" t="n"/>
      <c r="E462" s="2" t="n"/>
      <c r="F462" s="2" t="n"/>
      <c r="G462" s="2" t="n"/>
      <c r="H462" s="2" t="n"/>
      <c r="I462" s="2" t="n"/>
      <c r="J462" s="2" t="n"/>
      <c r="K462" s="2" t="n"/>
      <c r="L462" s="2" t="n"/>
      <c r="M462" s="2" t="n"/>
      <c r="N462" s="2">
        <f>IF(COUNTA(O462:T462)&lt;6,"",ROUND(O462*0.3+P462*0.2+Q462*0.15+R462*0.15+S462*0.1+T462*0.1,0))</f>
        <v/>
      </c>
      <c r="O462" s="2" t="n"/>
      <c r="P462" s="2" t="n"/>
      <c r="Q462" s="2" t="n"/>
      <c r="R462" s="2" t="n"/>
      <c r="S462" s="2" t="n"/>
      <c r="T462" s="2" t="n"/>
      <c r="U462" s="2">
        <f>IF(OR(AA462="fail",AC462="fail"),"P4",IF(N462="","",IF(N462&gt;=90,"P1",IF(N462&gt;=80,"P1",IF(N462&gt;=70,"P2",IF(N462&gt;=60,"P3","P4"))))))</f>
        <v/>
      </c>
      <c r="V462" s="2">
        <f>IF(OR(AA462="fail",AC462="fail"),"SKIP",IF(N462="","",IF(N462&gt;=90,"APPLY ASAP",IF(N462&gt;=80,"APPLY",IF(N462&gt;=70,"CONSIDER",IF(N462&gt;=60,"STRETCH","SKIP"))))))</f>
        <v/>
      </c>
      <c r="W462" s="2" t="n"/>
      <c r="X462" s="2" t="n"/>
      <c r="Y462" s="2" t="n"/>
      <c r="Z462" s="2" t="n"/>
    </row>
    <row r="463">
      <c r="A463" s="2" t="n"/>
      <c r="B463" s="2" t="n"/>
      <c r="C463" s="2" t="n"/>
      <c r="D463" s="2" t="n"/>
      <c r="E463" s="2" t="n"/>
      <c r="F463" s="2" t="n"/>
      <c r="G463" s="2" t="n"/>
      <c r="H463" s="2" t="n"/>
      <c r="I463" s="2" t="n"/>
      <c r="J463" s="2" t="n"/>
      <c r="K463" s="2" t="n"/>
      <c r="L463" s="2" t="n"/>
      <c r="M463" s="2" t="n"/>
      <c r="N463" s="2">
        <f>IF(COUNTA(O463:T463)&lt;6,"",ROUND(O463*0.3+P463*0.2+Q463*0.15+R463*0.15+S463*0.1+T463*0.1,0))</f>
        <v/>
      </c>
      <c r="O463" s="2" t="n"/>
      <c r="P463" s="2" t="n"/>
      <c r="Q463" s="2" t="n"/>
      <c r="R463" s="2" t="n"/>
      <c r="S463" s="2" t="n"/>
      <c r="T463" s="2" t="n"/>
      <c r="U463" s="2">
        <f>IF(OR(AA463="fail",AC463="fail"),"P4",IF(N463="","",IF(N463&gt;=90,"P1",IF(N463&gt;=80,"P1",IF(N463&gt;=70,"P2",IF(N463&gt;=60,"P3","P4"))))))</f>
        <v/>
      </c>
      <c r="V463" s="2">
        <f>IF(OR(AA463="fail",AC463="fail"),"SKIP",IF(N463="","",IF(N463&gt;=90,"APPLY ASAP",IF(N463&gt;=80,"APPLY",IF(N463&gt;=70,"CONSIDER",IF(N463&gt;=60,"STRETCH","SKIP"))))))</f>
        <v/>
      </c>
      <c r="W463" s="2" t="n"/>
      <c r="X463" s="2" t="n"/>
      <c r="Y463" s="2" t="n"/>
      <c r="Z463" s="2" t="n"/>
    </row>
    <row r="464">
      <c r="A464" s="2" t="n"/>
      <c r="B464" s="2" t="n"/>
      <c r="C464" s="2" t="n"/>
      <c r="D464" s="2" t="n"/>
      <c r="E464" s="2" t="n"/>
      <c r="F464" s="2" t="n"/>
      <c r="G464" s="2" t="n"/>
      <c r="H464" s="2" t="n"/>
      <c r="I464" s="2" t="n"/>
      <c r="J464" s="2" t="n"/>
      <c r="K464" s="2" t="n"/>
      <c r="L464" s="2" t="n"/>
      <c r="M464" s="2" t="n"/>
      <c r="N464" s="2">
        <f>IF(COUNTA(O464:T464)&lt;6,"",ROUND(O464*0.3+P464*0.2+Q464*0.15+R464*0.15+S464*0.1+T464*0.1,0))</f>
        <v/>
      </c>
      <c r="O464" s="2" t="n"/>
      <c r="P464" s="2" t="n"/>
      <c r="Q464" s="2" t="n"/>
      <c r="R464" s="2" t="n"/>
      <c r="S464" s="2" t="n"/>
      <c r="T464" s="2" t="n"/>
      <c r="U464" s="2">
        <f>IF(OR(AA464="fail",AC464="fail"),"P4",IF(N464="","",IF(N464&gt;=90,"P1",IF(N464&gt;=80,"P1",IF(N464&gt;=70,"P2",IF(N464&gt;=60,"P3","P4"))))))</f>
        <v/>
      </c>
      <c r="V464" s="2">
        <f>IF(OR(AA464="fail",AC464="fail"),"SKIP",IF(N464="","",IF(N464&gt;=90,"APPLY ASAP",IF(N464&gt;=80,"APPLY",IF(N464&gt;=70,"CONSIDER",IF(N464&gt;=60,"STRETCH","SKIP"))))))</f>
        <v/>
      </c>
      <c r="W464" s="2" t="n"/>
      <c r="X464" s="2" t="n"/>
      <c r="Y464" s="2" t="n"/>
      <c r="Z464" s="2" t="n"/>
    </row>
    <row r="465">
      <c r="A465" s="2" t="n"/>
      <c r="B465" s="2" t="n"/>
      <c r="C465" s="2" t="n"/>
      <c r="D465" s="2" t="n"/>
      <c r="E465" s="2" t="n"/>
      <c r="F465" s="2" t="n"/>
      <c r="G465" s="2" t="n"/>
      <c r="H465" s="2" t="n"/>
      <c r="I465" s="2" t="n"/>
      <c r="J465" s="2" t="n"/>
      <c r="K465" s="2" t="n"/>
      <c r="L465" s="2" t="n"/>
      <c r="M465" s="2" t="n"/>
      <c r="N465" s="2">
        <f>IF(COUNTA(O465:T465)&lt;6,"",ROUND(O465*0.3+P465*0.2+Q465*0.15+R465*0.15+S465*0.1+T465*0.1,0))</f>
        <v/>
      </c>
      <c r="O465" s="2" t="n"/>
      <c r="P465" s="2" t="n"/>
      <c r="Q465" s="2" t="n"/>
      <c r="R465" s="2" t="n"/>
      <c r="S465" s="2" t="n"/>
      <c r="T465" s="2" t="n"/>
      <c r="U465" s="2">
        <f>IF(OR(AA465="fail",AC465="fail"),"P4",IF(N465="","",IF(N465&gt;=90,"P1",IF(N465&gt;=80,"P1",IF(N465&gt;=70,"P2",IF(N465&gt;=60,"P3","P4"))))))</f>
        <v/>
      </c>
      <c r="V465" s="2">
        <f>IF(OR(AA465="fail",AC465="fail"),"SKIP",IF(N465="","",IF(N465&gt;=90,"APPLY ASAP",IF(N465&gt;=80,"APPLY",IF(N465&gt;=70,"CONSIDER",IF(N465&gt;=60,"STRETCH","SKIP"))))))</f>
        <v/>
      </c>
      <c r="W465" s="2" t="n"/>
      <c r="X465" s="2" t="n"/>
      <c r="Y465" s="2" t="n"/>
      <c r="Z465" s="2" t="n"/>
    </row>
    <row r="466">
      <c r="A466" s="2" t="n"/>
      <c r="B466" s="2" t="n"/>
      <c r="C466" s="2" t="n"/>
      <c r="D466" s="2" t="n"/>
      <c r="E466" s="2" t="n"/>
      <c r="F466" s="2" t="n"/>
      <c r="G466" s="2" t="n"/>
      <c r="H466" s="2" t="n"/>
      <c r="I466" s="2" t="n"/>
      <c r="J466" s="2" t="n"/>
      <c r="K466" s="2" t="n"/>
      <c r="L466" s="2" t="n"/>
      <c r="M466" s="2" t="n"/>
      <c r="N466" s="2">
        <f>IF(COUNTA(O466:T466)&lt;6,"",ROUND(O466*0.3+P466*0.2+Q466*0.15+R466*0.15+S466*0.1+T466*0.1,0))</f>
        <v/>
      </c>
      <c r="O466" s="2" t="n"/>
      <c r="P466" s="2" t="n"/>
      <c r="Q466" s="2" t="n"/>
      <c r="R466" s="2" t="n"/>
      <c r="S466" s="2" t="n"/>
      <c r="T466" s="2" t="n"/>
      <c r="U466" s="2">
        <f>IF(OR(AA466="fail",AC466="fail"),"P4",IF(N466="","",IF(N466&gt;=90,"P1",IF(N466&gt;=80,"P1",IF(N466&gt;=70,"P2",IF(N466&gt;=60,"P3","P4"))))))</f>
        <v/>
      </c>
      <c r="V466" s="2">
        <f>IF(OR(AA466="fail",AC466="fail"),"SKIP",IF(N466="","",IF(N466&gt;=90,"APPLY ASAP",IF(N466&gt;=80,"APPLY",IF(N466&gt;=70,"CONSIDER",IF(N466&gt;=60,"STRETCH","SKIP"))))))</f>
        <v/>
      </c>
      <c r="W466" s="2" t="n"/>
      <c r="X466" s="2" t="n"/>
      <c r="Y466" s="2" t="n"/>
      <c r="Z466" s="2" t="n"/>
    </row>
    <row r="467">
      <c r="A467" s="2" t="n"/>
      <c r="B467" s="2" t="n"/>
      <c r="C467" s="2" t="n"/>
      <c r="D467" s="2" t="n"/>
      <c r="E467" s="2" t="n"/>
      <c r="F467" s="2" t="n"/>
      <c r="G467" s="2" t="n"/>
      <c r="H467" s="2" t="n"/>
      <c r="I467" s="2" t="n"/>
      <c r="J467" s="2" t="n"/>
      <c r="K467" s="2" t="n"/>
      <c r="L467" s="2" t="n"/>
      <c r="M467" s="2" t="n"/>
      <c r="N467" s="2">
        <f>IF(COUNTA(O467:T467)&lt;6,"",ROUND(O467*0.3+P467*0.2+Q467*0.15+R467*0.15+S467*0.1+T467*0.1,0))</f>
        <v/>
      </c>
      <c r="O467" s="2" t="n"/>
      <c r="P467" s="2" t="n"/>
      <c r="Q467" s="2" t="n"/>
      <c r="R467" s="2" t="n"/>
      <c r="S467" s="2" t="n"/>
      <c r="T467" s="2" t="n"/>
      <c r="U467" s="2">
        <f>IF(OR(AA467="fail",AC467="fail"),"P4",IF(N467="","",IF(N467&gt;=90,"P1",IF(N467&gt;=80,"P1",IF(N467&gt;=70,"P2",IF(N467&gt;=60,"P3","P4"))))))</f>
        <v/>
      </c>
      <c r="V467" s="2">
        <f>IF(OR(AA467="fail",AC467="fail"),"SKIP",IF(N467="","",IF(N467&gt;=90,"APPLY ASAP",IF(N467&gt;=80,"APPLY",IF(N467&gt;=70,"CONSIDER",IF(N467&gt;=60,"STRETCH","SKIP"))))))</f>
        <v/>
      </c>
      <c r="W467" s="2" t="n"/>
      <c r="X467" s="2" t="n"/>
      <c r="Y467" s="2" t="n"/>
      <c r="Z467" s="2" t="n"/>
    </row>
    <row r="468">
      <c r="A468" s="2" t="n"/>
      <c r="B468" s="2" t="n"/>
      <c r="C468" s="2" t="n"/>
      <c r="D468" s="2" t="n"/>
      <c r="E468" s="2" t="n"/>
      <c r="F468" s="2" t="n"/>
      <c r="G468" s="2" t="n"/>
      <c r="H468" s="2" t="n"/>
      <c r="I468" s="2" t="n"/>
      <c r="J468" s="2" t="n"/>
      <c r="K468" s="2" t="n"/>
      <c r="L468" s="2" t="n"/>
      <c r="M468" s="2" t="n"/>
      <c r="N468" s="2">
        <f>IF(COUNTA(O468:T468)&lt;6,"",ROUND(O468*0.3+P468*0.2+Q468*0.15+R468*0.15+S468*0.1+T468*0.1,0))</f>
        <v/>
      </c>
      <c r="O468" s="2" t="n"/>
      <c r="P468" s="2" t="n"/>
      <c r="Q468" s="2" t="n"/>
      <c r="R468" s="2" t="n"/>
      <c r="S468" s="2" t="n"/>
      <c r="T468" s="2" t="n"/>
      <c r="U468" s="2">
        <f>IF(OR(AA468="fail",AC468="fail"),"P4",IF(N468="","",IF(N468&gt;=90,"P1",IF(N468&gt;=80,"P1",IF(N468&gt;=70,"P2",IF(N468&gt;=60,"P3","P4"))))))</f>
        <v/>
      </c>
      <c r="V468" s="2">
        <f>IF(OR(AA468="fail",AC468="fail"),"SKIP",IF(N468="","",IF(N468&gt;=90,"APPLY ASAP",IF(N468&gt;=80,"APPLY",IF(N468&gt;=70,"CONSIDER",IF(N468&gt;=60,"STRETCH","SKIP"))))))</f>
        <v/>
      </c>
      <c r="W468" s="2" t="n"/>
      <c r="X468" s="2" t="n"/>
      <c r="Y468" s="2" t="n"/>
      <c r="Z468" s="2" t="n"/>
    </row>
    <row r="469">
      <c r="A469" s="2" t="n"/>
      <c r="B469" s="2" t="n"/>
      <c r="C469" s="2" t="n"/>
      <c r="D469" s="2" t="n"/>
      <c r="E469" s="2" t="n"/>
      <c r="F469" s="2" t="n"/>
      <c r="G469" s="2" t="n"/>
      <c r="H469" s="2" t="n"/>
      <c r="I469" s="2" t="n"/>
      <c r="J469" s="2" t="n"/>
      <c r="K469" s="2" t="n"/>
      <c r="L469" s="2" t="n"/>
      <c r="M469" s="2" t="n"/>
      <c r="N469" s="2">
        <f>IF(COUNTA(O469:T469)&lt;6,"",ROUND(O469*0.3+P469*0.2+Q469*0.15+R469*0.15+S469*0.1+T469*0.1,0))</f>
        <v/>
      </c>
      <c r="O469" s="2" t="n"/>
      <c r="P469" s="2" t="n"/>
      <c r="Q469" s="2" t="n"/>
      <c r="R469" s="2" t="n"/>
      <c r="S469" s="2" t="n"/>
      <c r="T469" s="2" t="n"/>
      <c r="U469" s="2">
        <f>IF(OR(AA469="fail",AC469="fail"),"P4",IF(N469="","",IF(N469&gt;=90,"P1",IF(N469&gt;=80,"P1",IF(N469&gt;=70,"P2",IF(N469&gt;=60,"P3","P4"))))))</f>
        <v/>
      </c>
      <c r="V469" s="2">
        <f>IF(OR(AA469="fail",AC469="fail"),"SKIP",IF(N469="","",IF(N469&gt;=90,"APPLY ASAP",IF(N469&gt;=80,"APPLY",IF(N469&gt;=70,"CONSIDER",IF(N469&gt;=60,"STRETCH","SKIP"))))))</f>
        <v/>
      </c>
      <c r="W469" s="2" t="n"/>
      <c r="X469" s="2" t="n"/>
      <c r="Y469" s="2" t="n"/>
      <c r="Z469" s="2" t="n"/>
    </row>
    <row r="470">
      <c r="A470" s="2" t="n"/>
      <c r="B470" s="2" t="n"/>
      <c r="C470" s="2" t="n"/>
      <c r="D470" s="2" t="n"/>
      <c r="E470" s="2" t="n"/>
      <c r="F470" s="2" t="n"/>
      <c r="G470" s="2" t="n"/>
      <c r="H470" s="2" t="n"/>
      <c r="I470" s="2" t="n"/>
      <c r="J470" s="2" t="n"/>
      <c r="K470" s="2" t="n"/>
      <c r="L470" s="2" t="n"/>
      <c r="M470" s="2" t="n"/>
      <c r="N470" s="2">
        <f>IF(COUNTA(O470:T470)&lt;6,"",ROUND(O470*0.3+P470*0.2+Q470*0.15+R470*0.15+S470*0.1+T470*0.1,0))</f>
        <v/>
      </c>
      <c r="O470" s="2" t="n"/>
      <c r="P470" s="2" t="n"/>
      <c r="Q470" s="2" t="n"/>
      <c r="R470" s="2" t="n"/>
      <c r="S470" s="2" t="n"/>
      <c r="T470" s="2" t="n"/>
      <c r="U470" s="2">
        <f>IF(OR(AA470="fail",AC470="fail"),"P4",IF(N470="","",IF(N470&gt;=90,"P1",IF(N470&gt;=80,"P1",IF(N470&gt;=70,"P2",IF(N470&gt;=60,"P3","P4"))))))</f>
        <v/>
      </c>
      <c r="V470" s="2">
        <f>IF(OR(AA470="fail",AC470="fail"),"SKIP",IF(N470="","",IF(N470&gt;=90,"APPLY ASAP",IF(N470&gt;=80,"APPLY",IF(N470&gt;=70,"CONSIDER",IF(N470&gt;=60,"STRETCH","SKIP"))))))</f>
        <v/>
      </c>
      <c r="W470" s="2" t="n"/>
      <c r="X470" s="2" t="n"/>
      <c r="Y470" s="2" t="n"/>
      <c r="Z470" s="2" t="n"/>
    </row>
    <row r="471">
      <c r="A471" s="2" t="n"/>
      <c r="B471" s="2" t="n"/>
      <c r="C471" s="2" t="n"/>
      <c r="D471" s="2" t="n"/>
      <c r="E471" s="2" t="n"/>
      <c r="F471" s="2" t="n"/>
      <c r="G471" s="2" t="n"/>
      <c r="H471" s="2" t="n"/>
      <c r="I471" s="2" t="n"/>
      <c r="J471" s="2" t="n"/>
      <c r="K471" s="2" t="n"/>
      <c r="L471" s="2" t="n"/>
      <c r="M471" s="2" t="n"/>
      <c r="N471" s="2">
        <f>IF(COUNTA(O471:T471)&lt;6,"",ROUND(O471*0.3+P471*0.2+Q471*0.15+R471*0.15+S471*0.1+T471*0.1,0))</f>
        <v/>
      </c>
      <c r="O471" s="2" t="n"/>
      <c r="P471" s="2" t="n"/>
      <c r="Q471" s="2" t="n"/>
      <c r="R471" s="2" t="n"/>
      <c r="S471" s="2" t="n"/>
      <c r="T471" s="2" t="n"/>
      <c r="U471" s="2">
        <f>IF(OR(AA471="fail",AC471="fail"),"P4",IF(N471="","",IF(N471&gt;=90,"P1",IF(N471&gt;=80,"P1",IF(N471&gt;=70,"P2",IF(N471&gt;=60,"P3","P4"))))))</f>
        <v/>
      </c>
      <c r="V471" s="2">
        <f>IF(OR(AA471="fail",AC471="fail"),"SKIP",IF(N471="","",IF(N471&gt;=90,"APPLY ASAP",IF(N471&gt;=80,"APPLY",IF(N471&gt;=70,"CONSIDER",IF(N471&gt;=60,"STRETCH","SKIP"))))))</f>
        <v/>
      </c>
      <c r="W471" s="2" t="n"/>
      <c r="X471" s="2" t="n"/>
      <c r="Y471" s="2" t="n"/>
      <c r="Z471" s="2" t="n"/>
    </row>
    <row r="472">
      <c r="A472" s="2" t="n"/>
      <c r="B472" s="2" t="n"/>
      <c r="C472" s="2" t="n"/>
      <c r="D472" s="2" t="n"/>
      <c r="E472" s="2" t="n"/>
      <c r="F472" s="2" t="n"/>
      <c r="G472" s="2" t="n"/>
      <c r="H472" s="2" t="n"/>
      <c r="I472" s="2" t="n"/>
      <c r="J472" s="2" t="n"/>
      <c r="K472" s="2" t="n"/>
      <c r="L472" s="2" t="n"/>
      <c r="M472" s="2" t="n"/>
      <c r="N472" s="2">
        <f>IF(COUNTA(O472:T472)&lt;6,"",ROUND(O472*0.3+P472*0.2+Q472*0.15+R472*0.15+S472*0.1+T472*0.1,0))</f>
        <v/>
      </c>
      <c r="O472" s="2" t="n"/>
      <c r="P472" s="2" t="n"/>
      <c r="Q472" s="2" t="n"/>
      <c r="R472" s="2" t="n"/>
      <c r="S472" s="2" t="n"/>
      <c r="T472" s="2" t="n"/>
      <c r="U472" s="2">
        <f>IF(OR(AA472="fail",AC472="fail"),"P4",IF(N472="","",IF(N472&gt;=90,"P1",IF(N472&gt;=80,"P1",IF(N472&gt;=70,"P2",IF(N472&gt;=60,"P3","P4"))))))</f>
        <v/>
      </c>
      <c r="V472" s="2">
        <f>IF(OR(AA472="fail",AC472="fail"),"SKIP",IF(N472="","",IF(N472&gt;=90,"APPLY ASAP",IF(N472&gt;=80,"APPLY",IF(N472&gt;=70,"CONSIDER",IF(N472&gt;=60,"STRETCH","SKIP"))))))</f>
        <v/>
      </c>
      <c r="W472" s="2" t="n"/>
      <c r="X472" s="2" t="n"/>
      <c r="Y472" s="2" t="n"/>
      <c r="Z472" s="2" t="n"/>
    </row>
    <row r="473">
      <c r="A473" s="2" t="n"/>
      <c r="B473" s="2" t="n"/>
      <c r="C473" s="2" t="n"/>
      <c r="D473" s="2" t="n"/>
      <c r="E473" s="2" t="n"/>
      <c r="F473" s="2" t="n"/>
      <c r="G473" s="2" t="n"/>
      <c r="H473" s="2" t="n"/>
      <c r="I473" s="2" t="n"/>
      <c r="J473" s="2" t="n"/>
      <c r="K473" s="2" t="n"/>
      <c r="L473" s="2" t="n"/>
      <c r="M473" s="2" t="n"/>
      <c r="N473" s="2">
        <f>IF(COUNTA(O473:T473)&lt;6,"",ROUND(O473*0.3+P473*0.2+Q473*0.15+R473*0.15+S473*0.1+T473*0.1,0))</f>
        <v/>
      </c>
      <c r="O473" s="2" t="n"/>
      <c r="P473" s="2" t="n"/>
      <c r="Q473" s="2" t="n"/>
      <c r="R473" s="2" t="n"/>
      <c r="S473" s="2" t="n"/>
      <c r="T473" s="2" t="n"/>
      <c r="U473" s="2">
        <f>IF(OR(AA473="fail",AC473="fail"),"P4",IF(N473="","",IF(N473&gt;=90,"P1",IF(N473&gt;=80,"P1",IF(N473&gt;=70,"P2",IF(N473&gt;=60,"P3","P4"))))))</f>
        <v/>
      </c>
      <c r="V473" s="2">
        <f>IF(OR(AA473="fail",AC473="fail"),"SKIP",IF(N473="","",IF(N473&gt;=90,"APPLY ASAP",IF(N473&gt;=80,"APPLY",IF(N473&gt;=70,"CONSIDER",IF(N473&gt;=60,"STRETCH","SKIP"))))))</f>
        <v/>
      </c>
      <c r="W473" s="2" t="n"/>
      <c r="X473" s="2" t="n"/>
      <c r="Y473" s="2" t="n"/>
      <c r="Z473" s="2" t="n"/>
    </row>
    <row r="474">
      <c r="A474" s="2" t="n"/>
      <c r="B474" s="2" t="n"/>
      <c r="C474" s="2" t="n"/>
      <c r="D474" s="2" t="n"/>
      <c r="E474" s="2" t="n"/>
      <c r="F474" s="2" t="n"/>
      <c r="G474" s="2" t="n"/>
      <c r="H474" s="2" t="n"/>
      <c r="I474" s="2" t="n"/>
      <c r="J474" s="2" t="n"/>
      <c r="K474" s="2" t="n"/>
      <c r="L474" s="2" t="n"/>
      <c r="M474" s="2" t="n"/>
      <c r="N474" s="2">
        <f>IF(COUNTA(O474:T474)&lt;6,"",ROUND(O474*0.3+P474*0.2+Q474*0.15+R474*0.15+S474*0.1+T474*0.1,0))</f>
        <v/>
      </c>
      <c r="O474" s="2" t="n"/>
      <c r="P474" s="2" t="n"/>
      <c r="Q474" s="2" t="n"/>
      <c r="R474" s="2" t="n"/>
      <c r="S474" s="2" t="n"/>
      <c r="T474" s="2" t="n"/>
      <c r="U474" s="2">
        <f>IF(OR(AA474="fail",AC474="fail"),"P4",IF(N474="","",IF(N474&gt;=90,"P1",IF(N474&gt;=80,"P1",IF(N474&gt;=70,"P2",IF(N474&gt;=60,"P3","P4"))))))</f>
        <v/>
      </c>
      <c r="V474" s="2">
        <f>IF(OR(AA474="fail",AC474="fail"),"SKIP",IF(N474="","",IF(N474&gt;=90,"APPLY ASAP",IF(N474&gt;=80,"APPLY",IF(N474&gt;=70,"CONSIDER",IF(N474&gt;=60,"STRETCH","SKIP"))))))</f>
        <v/>
      </c>
      <c r="W474" s="2" t="n"/>
      <c r="X474" s="2" t="n"/>
      <c r="Y474" s="2" t="n"/>
      <c r="Z474" s="2" t="n"/>
    </row>
    <row r="475">
      <c r="A475" s="2" t="n"/>
      <c r="B475" s="2" t="n"/>
      <c r="C475" s="2" t="n"/>
      <c r="D475" s="2" t="n"/>
      <c r="E475" s="2" t="n"/>
      <c r="F475" s="2" t="n"/>
      <c r="G475" s="2" t="n"/>
      <c r="H475" s="2" t="n"/>
      <c r="I475" s="2" t="n"/>
      <c r="J475" s="2" t="n"/>
      <c r="K475" s="2" t="n"/>
      <c r="L475" s="2" t="n"/>
      <c r="M475" s="2" t="n"/>
      <c r="N475" s="2">
        <f>IF(COUNTA(O475:T475)&lt;6,"",ROUND(O475*0.3+P475*0.2+Q475*0.15+R475*0.15+S475*0.1+T475*0.1,0))</f>
        <v/>
      </c>
      <c r="O475" s="2" t="n"/>
      <c r="P475" s="2" t="n"/>
      <c r="Q475" s="2" t="n"/>
      <c r="R475" s="2" t="n"/>
      <c r="S475" s="2" t="n"/>
      <c r="T475" s="2" t="n"/>
      <c r="U475" s="2">
        <f>IF(OR(AA475="fail",AC475="fail"),"P4",IF(N475="","",IF(N475&gt;=90,"P1",IF(N475&gt;=80,"P1",IF(N475&gt;=70,"P2",IF(N475&gt;=60,"P3","P4"))))))</f>
        <v/>
      </c>
      <c r="V475" s="2">
        <f>IF(OR(AA475="fail",AC475="fail"),"SKIP",IF(N475="","",IF(N475&gt;=90,"APPLY ASAP",IF(N475&gt;=80,"APPLY",IF(N475&gt;=70,"CONSIDER",IF(N475&gt;=60,"STRETCH","SKIP"))))))</f>
        <v/>
      </c>
      <c r="W475" s="2" t="n"/>
      <c r="X475" s="2" t="n"/>
      <c r="Y475" s="2" t="n"/>
      <c r="Z475" s="2" t="n"/>
    </row>
    <row r="476">
      <c r="A476" s="2" t="n"/>
      <c r="B476" s="2" t="n"/>
      <c r="C476" s="2" t="n"/>
      <c r="D476" s="2" t="n"/>
      <c r="E476" s="2" t="n"/>
      <c r="F476" s="2" t="n"/>
      <c r="G476" s="2" t="n"/>
      <c r="H476" s="2" t="n"/>
      <c r="I476" s="2" t="n"/>
      <c r="J476" s="2" t="n"/>
      <c r="K476" s="2" t="n"/>
      <c r="L476" s="2" t="n"/>
      <c r="M476" s="2" t="n"/>
      <c r="N476" s="2">
        <f>IF(COUNTA(O476:T476)&lt;6,"",ROUND(O476*0.3+P476*0.2+Q476*0.15+R476*0.15+S476*0.1+T476*0.1,0))</f>
        <v/>
      </c>
      <c r="O476" s="2" t="n"/>
      <c r="P476" s="2" t="n"/>
      <c r="Q476" s="2" t="n"/>
      <c r="R476" s="2" t="n"/>
      <c r="S476" s="2" t="n"/>
      <c r="T476" s="2" t="n"/>
      <c r="U476" s="2">
        <f>IF(OR(AA476="fail",AC476="fail"),"P4",IF(N476="","",IF(N476&gt;=90,"P1",IF(N476&gt;=80,"P1",IF(N476&gt;=70,"P2",IF(N476&gt;=60,"P3","P4"))))))</f>
        <v/>
      </c>
      <c r="V476" s="2">
        <f>IF(OR(AA476="fail",AC476="fail"),"SKIP",IF(N476="","",IF(N476&gt;=90,"APPLY ASAP",IF(N476&gt;=80,"APPLY",IF(N476&gt;=70,"CONSIDER",IF(N476&gt;=60,"STRETCH","SKIP"))))))</f>
        <v/>
      </c>
      <c r="W476" s="2" t="n"/>
      <c r="X476" s="2" t="n"/>
      <c r="Y476" s="2" t="n"/>
      <c r="Z476" s="2" t="n"/>
    </row>
    <row r="477">
      <c r="A477" s="2" t="n"/>
      <c r="B477" s="2" t="n"/>
      <c r="C477" s="2" t="n"/>
      <c r="D477" s="2" t="n"/>
      <c r="E477" s="2" t="n"/>
      <c r="F477" s="2" t="n"/>
      <c r="G477" s="2" t="n"/>
      <c r="H477" s="2" t="n"/>
      <c r="I477" s="2" t="n"/>
      <c r="J477" s="2" t="n"/>
      <c r="K477" s="2" t="n"/>
      <c r="L477" s="2" t="n"/>
      <c r="M477" s="2" t="n"/>
      <c r="N477" s="2">
        <f>IF(COUNTA(O477:T477)&lt;6,"",ROUND(O477*0.3+P477*0.2+Q477*0.15+R477*0.15+S477*0.1+T477*0.1,0))</f>
        <v/>
      </c>
      <c r="O477" s="2" t="n"/>
      <c r="P477" s="2" t="n"/>
      <c r="Q477" s="2" t="n"/>
      <c r="R477" s="2" t="n"/>
      <c r="S477" s="2" t="n"/>
      <c r="T477" s="2" t="n"/>
      <c r="U477" s="2">
        <f>IF(OR(AA477="fail",AC477="fail"),"P4",IF(N477="","",IF(N477&gt;=90,"P1",IF(N477&gt;=80,"P1",IF(N477&gt;=70,"P2",IF(N477&gt;=60,"P3","P4"))))))</f>
        <v/>
      </c>
      <c r="V477" s="2">
        <f>IF(OR(AA477="fail",AC477="fail"),"SKIP",IF(N477="","",IF(N477&gt;=90,"APPLY ASAP",IF(N477&gt;=80,"APPLY",IF(N477&gt;=70,"CONSIDER",IF(N477&gt;=60,"STRETCH","SKIP"))))))</f>
        <v/>
      </c>
      <c r="W477" s="2" t="n"/>
      <c r="X477" s="2" t="n"/>
      <c r="Y477" s="2" t="n"/>
      <c r="Z477" s="2" t="n"/>
    </row>
    <row r="478">
      <c r="A478" s="2" t="n"/>
      <c r="B478" s="2" t="n"/>
      <c r="C478" s="2" t="n"/>
      <c r="D478" s="2" t="n"/>
      <c r="E478" s="2" t="n"/>
      <c r="F478" s="2" t="n"/>
      <c r="G478" s="2" t="n"/>
      <c r="H478" s="2" t="n"/>
      <c r="I478" s="2" t="n"/>
      <c r="J478" s="2" t="n"/>
      <c r="K478" s="2" t="n"/>
      <c r="L478" s="2" t="n"/>
      <c r="M478" s="2" t="n"/>
      <c r="N478" s="2">
        <f>IF(COUNTA(O478:T478)&lt;6,"",ROUND(O478*0.3+P478*0.2+Q478*0.15+R478*0.15+S478*0.1+T478*0.1,0))</f>
        <v/>
      </c>
      <c r="O478" s="2" t="n"/>
      <c r="P478" s="2" t="n"/>
      <c r="Q478" s="2" t="n"/>
      <c r="R478" s="2" t="n"/>
      <c r="S478" s="2" t="n"/>
      <c r="T478" s="2" t="n"/>
      <c r="U478" s="2">
        <f>IF(OR(AA478="fail",AC478="fail"),"P4",IF(N478="","",IF(N478&gt;=90,"P1",IF(N478&gt;=80,"P1",IF(N478&gt;=70,"P2",IF(N478&gt;=60,"P3","P4"))))))</f>
        <v/>
      </c>
      <c r="V478" s="2">
        <f>IF(OR(AA478="fail",AC478="fail"),"SKIP",IF(N478="","",IF(N478&gt;=90,"APPLY ASAP",IF(N478&gt;=80,"APPLY",IF(N478&gt;=70,"CONSIDER",IF(N478&gt;=60,"STRETCH","SKIP"))))))</f>
        <v/>
      </c>
      <c r="W478" s="2" t="n"/>
      <c r="X478" s="2" t="n"/>
      <c r="Y478" s="2" t="n"/>
      <c r="Z478" s="2" t="n"/>
    </row>
    <row r="479">
      <c r="A479" s="2" t="n"/>
      <c r="B479" s="2" t="n"/>
      <c r="C479" s="2" t="n"/>
      <c r="D479" s="2" t="n"/>
      <c r="E479" s="2" t="n"/>
      <c r="F479" s="2" t="n"/>
      <c r="G479" s="2" t="n"/>
      <c r="H479" s="2" t="n"/>
      <c r="I479" s="2" t="n"/>
      <c r="J479" s="2" t="n"/>
      <c r="K479" s="2" t="n"/>
      <c r="L479" s="2" t="n"/>
      <c r="M479" s="2" t="n"/>
      <c r="N479" s="2">
        <f>IF(COUNTA(O479:T479)&lt;6,"",ROUND(O479*0.3+P479*0.2+Q479*0.15+R479*0.15+S479*0.1+T479*0.1,0))</f>
        <v/>
      </c>
      <c r="O479" s="2" t="n"/>
      <c r="P479" s="2" t="n"/>
      <c r="Q479" s="2" t="n"/>
      <c r="R479" s="2" t="n"/>
      <c r="S479" s="2" t="n"/>
      <c r="T479" s="2" t="n"/>
      <c r="U479" s="2">
        <f>IF(OR(AA479="fail",AC479="fail"),"P4",IF(N479="","",IF(N479&gt;=90,"P1",IF(N479&gt;=80,"P1",IF(N479&gt;=70,"P2",IF(N479&gt;=60,"P3","P4"))))))</f>
        <v/>
      </c>
      <c r="V479" s="2">
        <f>IF(OR(AA479="fail",AC479="fail"),"SKIP",IF(N479="","",IF(N479&gt;=90,"APPLY ASAP",IF(N479&gt;=80,"APPLY",IF(N479&gt;=70,"CONSIDER",IF(N479&gt;=60,"STRETCH","SKIP"))))))</f>
        <v/>
      </c>
      <c r="W479" s="2" t="n"/>
      <c r="X479" s="2" t="n"/>
      <c r="Y479" s="2" t="n"/>
      <c r="Z479" s="2" t="n"/>
    </row>
    <row r="480">
      <c r="A480" s="2" t="n"/>
      <c r="B480" s="2" t="n"/>
      <c r="C480" s="2" t="n"/>
      <c r="D480" s="2" t="n"/>
      <c r="E480" s="2" t="n"/>
      <c r="F480" s="2" t="n"/>
      <c r="G480" s="2" t="n"/>
      <c r="H480" s="2" t="n"/>
      <c r="I480" s="2" t="n"/>
      <c r="J480" s="2" t="n"/>
      <c r="K480" s="2" t="n"/>
      <c r="L480" s="2" t="n"/>
      <c r="M480" s="2" t="n"/>
      <c r="N480" s="2">
        <f>IF(COUNTA(O480:T480)&lt;6,"",ROUND(O480*0.3+P480*0.2+Q480*0.15+R480*0.15+S480*0.1+T480*0.1,0))</f>
        <v/>
      </c>
      <c r="O480" s="2" t="n"/>
      <c r="P480" s="2" t="n"/>
      <c r="Q480" s="2" t="n"/>
      <c r="R480" s="2" t="n"/>
      <c r="S480" s="2" t="n"/>
      <c r="T480" s="2" t="n"/>
      <c r="U480" s="2">
        <f>IF(OR(AA480="fail",AC480="fail"),"P4",IF(N480="","",IF(N480&gt;=90,"P1",IF(N480&gt;=80,"P1",IF(N480&gt;=70,"P2",IF(N480&gt;=60,"P3","P4"))))))</f>
        <v/>
      </c>
      <c r="V480" s="2">
        <f>IF(OR(AA480="fail",AC480="fail"),"SKIP",IF(N480="","",IF(N480&gt;=90,"APPLY ASAP",IF(N480&gt;=80,"APPLY",IF(N480&gt;=70,"CONSIDER",IF(N480&gt;=60,"STRETCH","SKIP"))))))</f>
        <v/>
      </c>
      <c r="W480" s="2" t="n"/>
      <c r="X480" s="2" t="n"/>
      <c r="Y480" s="2" t="n"/>
      <c r="Z480" s="2" t="n"/>
    </row>
    <row r="481">
      <c r="A481" s="2" t="n"/>
      <c r="B481" s="2" t="n"/>
      <c r="C481" s="2" t="n"/>
      <c r="D481" s="2" t="n"/>
      <c r="E481" s="2" t="n"/>
      <c r="F481" s="2" t="n"/>
      <c r="G481" s="2" t="n"/>
      <c r="H481" s="2" t="n"/>
      <c r="I481" s="2" t="n"/>
      <c r="J481" s="2" t="n"/>
      <c r="K481" s="2" t="n"/>
      <c r="L481" s="2" t="n"/>
      <c r="M481" s="2" t="n"/>
      <c r="N481" s="2">
        <f>IF(COUNTA(O481:T481)&lt;6,"",ROUND(O481*0.3+P481*0.2+Q481*0.15+R481*0.15+S481*0.1+T481*0.1,0))</f>
        <v/>
      </c>
      <c r="O481" s="2" t="n"/>
      <c r="P481" s="2" t="n"/>
      <c r="Q481" s="2" t="n"/>
      <c r="R481" s="2" t="n"/>
      <c r="S481" s="2" t="n"/>
      <c r="T481" s="2" t="n"/>
      <c r="U481" s="2">
        <f>IF(OR(AA481="fail",AC481="fail"),"P4",IF(N481="","",IF(N481&gt;=90,"P1",IF(N481&gt;=80,"P1",IF(N481&gt;=70,"P2",IF(N481&gt;=60,"P3","P4"))))))</f>
        <v/>
      </c>
      <c r="V481" s="2">
        <f>IF(OR(AA481="fail",AC481="fail"),"SKIP",IF(N481="","",IF(N481&gt;=90,"APPLY ASAP",IF(N481&gt;=80,"APPLY",IF(N481&gt;=70,"CONSIDER",IF(N481&gt;=60,"STRETCH","SKIP"))))))</f>
        <v/>
      </c>
      <c r="W481" s="2" t="n"/>
      <c r="X481" s="2" t="n"/>
      <c r="Y481" s="2" t="n"/>
      <c r="Z481" s="2" t="n"/>
    </row>
    <row r="482">
      <c r="A482" s="2" t="n"/>
      <c r="B482" s="2" t="n"/>
      <c r="C482" s="2" t="n"/>
      <c r="D482" s="2" t="n"/>
      <c r="E482" s="2" t="n"/>
      <c r="F482" s="2" t="n"/>
      <c r="G482" s="2" t="n"/>
      <c r="H482" s="2" t="n"/>
      <c r="I482" s="2" t="n"/>
      <c r="J482" s="2" t="n"/>
      <c r="K482" s="2" t="n"/>
      <c r="L482" s="2" t="n"/>
      <c r="M482" s="2" t="n"/>
      <c r="N482" s="2">
        <f>IF(COUNTA(O482:T482)&lt;6,"",ROUND(O482*0.3+P482*0.2+Q482*0.15+R482*0.15+S482*0.1+T482*0.1,0))</f>
        <v/>
      </c>
      <c r="O482" s="2" t="n"/>
      <c r="P482" s="2" t="n"/>
      <c r="Q482" s="2" t="n"/>
      <c r="R482" s="2" t="n"/>
      <c r="S482" s="2" t="n"/>
      <c r="T482" s="2" t="n"/>
      <c r="U482" s="2">
        <f>IF(OR(AA482="fail",AC482="fail"),"P4",IF(N482="","",IF(N482&gt;=90,"P1",IF(N482&gt;=80,"P1",IF(N482&gt;=70,"P2",IF(N482&gt;=60,"P3","P4"))))))</f>
        <v/>
      </c>
      <c r="V482" s="2">
        <f>IF(OR(AA482="fail",AC482="fail"),"SKIP",IF(N482="","",IF(N482&gt;=90,"APPLY ASAP",IF(N482&gt;=80,"APPLY",IF(N482&gt;=70,"CONSIDER",IF(N482&gt;=60,"STRETCH","SKIP"))))))</f>
        <v/>
      </c>
      <c r="W482" s="2" t="n"/>
      <c r="X482" s="2" t="n"/>
      <c r="Y482" s="2" t="n"/>
      <c r="Z482" s="2" t="n"/>
    </row>
    <row r="483">
      <c r="A483" s="2" t="n"/>
      <c r="B483" s="2" t="n"/>
      <c r="C483" s="2" t="n"/>
      <c r="D483" s="2" t="n"/>
      <c r="E483" s="2" t="n"/>
      <c r="F483" s="2" t="n"/>
      <c r="G483" s="2" t="n"/>
      <c r="H483" s="2" t="n"/>
      <c r="I483" s="2" t="n"/>
      <c r="J483" s="2" t="n"/>
      <c r="K483" s="2" t="n"/>
      <c r="L483" s="2" t="n"/>
      <c r="M483" s="2" t="n"/>
      <c r="N483" s="2">
        <f>IF(COUNTA(O483:T483)&lt;6,"",ROUND(O483*0.3+P483*0.2+Q483*0.15+R483*0.15+S483*0.1+T483*0.1,0))</f>
        <v/>
      </c>
      <c r="O483" s="2" t="n"/>
      <c r="P483" s="2" t="n"/>
      <c r="Q483" s="2" t="n"/>
      <c r="R483" s="2" t="n"/>
      <c r="S483" s="2" t="n"/>
      <c r="T483" s="2" t="n"/>
      <c r="U483" s="2">
        <f>IF(OR(AA483="fail",AC483="fail"),"P4",IF(N483="","",IF(N483&gt;=90,"P1",IF(N483&gt;=80,"P1",IF(N483&gt;=70,"P2",IF(N483&gt;=60,"P3","P4"))))))</f>
        <v/>
      </c>
      <c r="V483" s="2">
        <f>IF(OR(AA483="fail",AC483="fail"),"SKIP",IF(N483="","",IF(N483&gt;=90,"APPLY ASAP",IF(N483&gt;=80,"APPLY",IF(N483&gt;=70,"CONSIDER",IF(N483&gt;=60,"STRETCH","SKIP"))))))</f>
        <v/>
      </c>
      <c r="W483" s="2" t="n"/>
      <c r="X483" s="2" t="n"/>
      <c r="Y483" s="2" t="n"/>
      <c r="Z483" s="2" t="n"/>
    </row>
    <row r="484">
      <c r="A484" s="2" t="n"/>
      <c r="B484" s="2" t="n"/>
      <c r="C484" s="2" t="n"/>
      <c r="D484" s="2" t="n"/>
      <c r="E484" s="2" t="n"/>
      <c r="F484" s="2" t="n"/>
      <c r="G484" s="2" t="n"/>
      <c r="H484" s="2" t="n"/>
      <c r="I484" s="2" t="n"/>
      <c r="J484" s="2" t="n"/>
      <c r="K484" s="2" t="n"/>
      <c r="L484" s="2" t="n"/>
      <c r="M484" s="2" t="n"/>
      <c r="N484" s="2">
        <f>IF(COUNTA(O484:T484)&lt;6,"",ROUND(O484*0.3+P484*0.2+Q484*0.15+R484*0.15+S484*0.1+T484*0.1,0))</f>
        <v/>
      </c>
      <c r="O484" s="2" t="n"/>
      <c r="P484" s="2" t="n"/>
      <c r="Q484" s="2" t="n"/>
      <c r="R484" s="2" t="n"/>
      <c r="S484" s="2" t="n"/>
      <c r="T484" s="2" t="n"/>
      <c r="U484" s="2">
        <f>IF(OR(AA484="fail",AC484="fail"),"P4",IF(N484="","",IF(N484&gt;=90,"P1",IF(N484&gt;=80,"P1",IF(N484&gt;=70,"P2",IF(N484&gt;=60,"P3","P4"))))))</f>
        <v/>
      </c>
      <c r="V484" s="2">
        <f>IF(OR(AA484="fail",AC484="fail"),"SKIP",IF(N484="","",IF(N484&gt;=90,"APPLY ASAP",IF(N484&gt;=80,"APPLY",IF(N484&gt;=70,"CONSIDER",IF(N484&gt;=60,"STRETCH","SKIP"))))))</f>
        <v/>
      </c>
      <c r="W484" s="2" t="n"/>
      <c r="X484" s="2" t="n"/>
      <c r="Y484" s="2" t="n"/>
      <c r="Z484" s="2" t="n"/>
    </row>
    <row r="485">
      <c r="A485" s="2" t="n"/>
      <c r="B485" s="2" t="n"/>
      <c r="C485" s="2" t="n"/>
      <c r="D485" s="2" t="n"/>
      <c r="E485" s="2" t="n"/>
      <c r="F485" s="2" t="n"/>
      <c r="G485" s="2" t="n"/>
      <c r="H485" s="2" t="n"/>
      <c r="I485" s="2" t="n"/>
      <c r="J485" s="2" t="n"/>
      <c r="K485" s="2" t="n"/>
      <c r="L485" s="2" t="n"/>
      <c r="M485" s="2" t="n"/>
      <c r="N485" s="2">
        <f>IF(COUNTA(O485:T485)&lt;6,"",ROUND(O485*0.3+P485*0.2+Q485*0.15+R485*0.15+S485*0.1+T485*0.1,0))</f>
        <v/>
      </c>
      <c r="O485" s="2" t="n"/>
      <c r="P485" s="2" t="n"/>
      <c r="Q485" s="2" t="n"/>
      <c r="R485" s="2" t="n"/>
      <c r="S485" s="2" t="n"/>
      <c r="T485" s="2" t="n"/>
      <c r="U485" s="2">
        <f>IF(OR(AA485="fail",AC485="fail"),"P4",IF(N485="","",IF(N485&gt;=90,"P1",IF(N485&gt;=80,"P1",IF(N485&gt;=70,"P2",IF(N485&gt;=60,"P3","P4"))))))</f>
        <v/>
      </c>
      <c r="V485" s="2">
        <f>IF(OR(AA485="fail",AC485="fail"),"SKIP",IF(N485="","",IF(N485&gt;=90,"APPLY ASAP",IF(N485&gt;=80,"APPLY",IF(N485&gt;=70,"CONSIDER",IF(N485&gt;=60,"STRETCH","SKIP"))))))</f>
        <v/>
      </c>
      <c r="W485" s="2" t="n"/>
      <c r="X485" s="2" t="n"/>
      <c r="Y485" s="2" t="n"/>
      <c r="Z485" s="2" t="n"/>
    </row>
    <row r="486">
      <c r="A486" s="2" t="n"/>
      <c r="B486" s="2" t="n"/>
      <c r="C486" s="2" t="n"/>
      <c r="D486" s="2" t="n"/>
      <c r="E486" s="2" t="n"/>
      <c r="F486" s="2" t="n"/>
      <c r="G486" s="2" t="n"/>
      <c r="H486" s="2" t="n"/>
      <c r="I486" s="2" t="n"/>
      <c r="J486" s="2" t="n"/>
      <c r="K486" s="2" t="n"/>
      <c r="L486" s="2" t="n"/>
      <c r="M486" s="2" t="n"/>
      <c r="N486" s="2">
        <f>IF(COUNTA(O486:T486)&lt;6,"",ROUND(O486*0.3+P486*0.2+Q486*0.15+R486*0.15+S486*0.1+T486*0.1,0))</f>
        <v/>
      </c>
      <c r="O486" s="2" t="n"/>
      <c r="P486" s="2" t="n"/>
      <c r="Q486" s="2" t="n"/>
      <c r="R486" s="2" t="n"/>
      <c r="S486" s="2" t="n"/>
      <c r="T486" s="2" t="n"/>
      <c r="U486" s="2">
        <f>IF(OR(AA486="fail",AC486="fail"),"P4",IF(N486="","",IF(N486&gt;=90,"P1",IF(N486&gt;=80,"P1",IF(N486&gt;=70,"P2",IF(N486&gt;=60,"P3","P4"))))))</f>
        <v/>
      </c>
      <c r="V486" s="2">
        <f>IF(OR(AA486="fail",AC486="fail"),"SKIP",IF(N486="","",IF(N486&gt;=90,"APPLY ASAP",IF(N486&gt;=80,"APPLY",IF(N486&gt;=70,"CONSIDER",IF(N486&gt;=60,"STRETCH","SKIP"))))))</f>
        <v/>
      </c>
      <c r="W486" s="2" t="n"/>
      <c r="X486" s="2" t="n"/>
      <c r="Y486" s="2" t="n"/>
      <c r="Z486" s="2" t="n"/>
    </row>
    <row r="487">
      <c r="A487" s="2" t="n"/>
      <c r="B487" s="2" t="n"/>
      <c r="C487" s="2" t="n"/>
      <c r="D487" s="2" t="n"/>
      <c r="E487" s="2" t="n"/>
      <c r="F487" s="2" t="n"/>
      <c r="G487" s="2" t="n"/>
      <c r="H487" s="2" t="n"/>
      <c r="I487" s="2" t="n"/>
      <c r="J487" s="2" t="n"/>
      <c r="K487" s="2" t="n"/>
      <c r="L487" s="2" t="n"/>
      <c r="M487" s="2" t="n"/>
      <c r="N487" s="2">
        <f>IF(COUNTA(O487:T487)&lt;6,"",ROUND(O487*0.3+P487*0.2+Q487*0.15+R487*0.15+S487*0.1+T487*0.1,0))</f>
        <v/>
      </c>
      <c r="O487" s="2" t="n"/>
      <c r="P487" s="2" t="n"/>
      <c r="Q487" s="2" t="n"/>
      <c r="R487" s="2" t="n"/>
      <c r="S487" s="2" t="n"/>
      <c r="T487" s="2" t="n"/>
      <c r="U487" s="2">
        <f>IF(OR(AA487="fail",AC487="fail"),"P4",IF(N487="","",IF(N487&gt;=90,"P1",IF(N487&gt;=80,"P1",IF(N487&gt;=70,"P2",IF(N487&gt;=60,"P3","P4"))))))</f>
        <v/>
      </c>
      <c r="V487" s="2">
        <f>IF(OR(AA487="fail",AC487="fail"),"SKIP",IF(N487="","",IF(N487&gt;=90,"APPLY ASAP",IF(N487&gt;=80,"APPLY",IF(N487&gt;=70,"CONSIDER",IF(N487&gt;=60,"STRETCH","SKIP"))))))</f>
        <v/>
      </c>
      <c r="W487" s="2" t="n"/>
      <c r="X487" s="2" t="n"/>
      <c r="Y487" s="2" t="n"/>
      <c r="Z487" s="2" t="n"/>
    </row>
    <row r="488">
      <c r="A488" s="2" t="n"/>
      <c r="B488" s="2" t="n"/>
      <c r="C488" s="2" t="n"/>
      <c r="D488" s="2" t="n"/>
      <c r="E488" s="2" t="n"/>
      <c r="F488" s="2" t="n"/>
      <c r="G488" s="2" t="n"/>
      <c r="H488" s="2" t="n"/>
      <c r="I488" s="2" t="n"/>
      <c r="J488" s="2" t="n"/>
      <c r="K488" s="2" t="n"/>
      <c r="L488" s="2" t="n"/>
      <c r="M488" s="2" t="n"/>
      <c r="N488" s="2">
        <f>IF(COUNTA(O488:T488)&lt;6,"",ROUND(O488*0.3+P488*0.2+Q488*0.15+R488*0.15+S488*0.1+T488*0.1,0))</f>
        <v/>
      </c>
      <c r="O488" s="2" t="n"/>
      <c r="P488" s="2" t="n"/>
      <c r="Q488" s="2" t="n"/>
      <c r="R488" s="2" t="n"/>
      <c r="S488" s="2" t="n"/>
      <c r="T488" s="2" t="n"/>
      <c r="U488" s="2">
        <f>IF(OR(AA488="fail",AC488="fail"),"P4",IF(N488="","",IF(N488&gt;=90,"P1",IF(N488&gt;=80,"P1",IF(N488&gt;=70,"P2",IF(N488&gt;=60,"P3","P4"))))))</f>
        <v/>
      </c>
      <c r="V488" s="2">
        <f>IF(OR(AA488="fail",AC488="fail"),"SKIP",IF(N488="","",IF(N488&gt;=90,"APPLY ASAP",IF(N488&gt;=80,"APPLY",IF(N488&gt;=70,"CONSIDER",IF(N488&gt;=60,"STRETCH","SKIP"))))))</f>
        <v/>
      </c>
      <c r="W488" s="2" t="n"/>
      <c r="X488" s="2" t="n"/>
      <c r="Y488" s="2" t="n"/>
      <c r="Z488" s="2" t="n"/>
    </row>
    <row r="489">
      <c r="A489" s="2" t="n"/>
      <c r="B489" s="2" t="n"/>
      <c r="C489" s="2" t="n"/>
      <c r="D489" s="2" t="n"/>
      <c r="E489" s="2" t="n"/>
      <c r="F489" s="2" t="n"/>
      <c r="G489" s="2" t="n"/>
      <c r="H489" s="2" t="n"/>
      <c r="I489" s="2" t="n"/>
      <c r="J489" s="2" t="n"/>
      <c r="K489" s="2" t="n"/>
      <c r="L489" s="2" t="n"/>
      <c r="M489" s="2" t="n"/>
      <c r="N489" s="2">
        <f>IF(COUNTA(O489:T489)&lt;6,"",ROUND(O489*0.3+P489*0.2+Q489*0.15+R489*0.15+S489*0.1+T489*0.1,0))</f>
        <v/>
      </c>
      <c r="O489" s="2" t="n"/>
      <c r="P489" s="2" t="n"/>
      <c r="Q489" s="2" t="n"/>
      <c r="R489" s="2" t="n"/>
      <c r="S489" s="2" t="n"/>
      <c r="T489" s="2" t="n"/>
      <c r="U489" s="2">
        <f>IF(OR(AA489="fail",AC489="fail"),"P4",IF(N489="","",IF(N489&gt;=90,"P1",IF(N489&gt;=80,"P1",IF(N489&gt;=70,"P2",IF(N489&gt;=60,"P3","P4"))))))</f>
        <v/>
      </c>
      <c r="V489" s="2">
        <f>IF(OR(AA489="fail",AC489="fail"),"SKIP",IF(N489="","",IF(N489&gt;=90,"APPLY ASAP",IF(N489&gt;=80,"APPLY",IF(N489&gt;=70,"CONSIDER",IF(N489&gt;=60,"STRETCH","SKIP"))))))</f>
        <v/>
      </c>
      <c r="W489" s="2" t="n"/>
      <c r="X489" s="2" t="n"/>
      <c r="Y489" s="2" t="n"/>
      <c r="Z489" s="2" t="n"/>
    </row>
    <row r="490">
      <c r="A490" s="2" t="n"/>
      <c r="B490" s="2" t="n"/>
      <c r="C490" s="2" t="n"/>
      <c r="D490" s="2" t="n"/>
      <c r="E490" s="2" t="n"/>
      <c r="F490" s="2" t="n"/>
      <c r="G490" s="2" t="n"/>
      <c r="H490" s="2" t="n"/>
      <c r="I490" s="2" t="n"/>
      <c r="J490" s="2" t="n"/>
      <c r="K490" s="2" t="n"/>
      <c r="L490" s="2" t="n"/>
      <c r="M490" s="2" t="n"/>
      <c r="N490" s="2">
        <f>IF(COUNTA(O490:T490)&lt;6,"",ROUND(O490*0.3+P490*0.2+Q490*0.15+R490*0.15+S490*0.1+T490*0.1,0))</f>
        <v/>
      </c>
      <c r="O490" s="2" t="n"/>
      <c r="P490" s="2" t="n"/>
      <c r="Q490" s="2" t="n"/>
      <c r="R490" s="2" t="n"/>
      <c r="S490" s="2" t="n"/>
      <c r="T490" s="2" t="n"/>
      <c r="U490" s="2">
        <f>IF(OR(AA490="fail",AC490="fail"),"P4",IF(N490="","",IF(N490&gt;=90,"P1",IF(N490&gt;=80,"P1",IF(N490&gt;=70,"P2",IF(N490&gt;=60,"P3","P4"))))))</f>
        <v/>
      </c>
      <c r="V490" s="2">
        <f>IF(OR(AA490="fail",AC490="fail"),"SKIP",IF(N490="","",IF(N490&gt;=90,"APPLY ASAP",IF(N490&gt;=80,"APPLY",IF(N490&gt;=70,"CONSIDER",IF(N490&gt;=60,"STRETCH","SKIP"))))))</f>
        <v/>
      </c>
      <c r="W490" s="2" t="n"/>
      <c r="X490" s="2" t="n"/>
      <c r="Y490" s="2" t="n"/>
      <c r="Z490" s="2" t="n"/>
    </row>
    <row r="491">
      <c r="A491" s="2" t="n"/>
      <c r="B491" s="2" t="n"/>
      <c r="C491" s="2" t="n"/>
      <c r="D491" s="2" t="n"/>
      <c r="E491" s="2" t="n"/>
      <c r="F491" s="2" t="n"/>
      <c r="G491" s="2" t="n"/>
      <c r="H491" s="2" t="n"/>
      <c r="I491" s="2" t="n"/>
      <c r="J491" s="2" t="n"/>
      <c r="K491" s="2" t="n"/>
      <c r="L491" s="2" t="n"/>
      <c r="M491" s="2" t="n"/>
      <c r="N491" s="2">
        <f>IF(COUNTA(O491:T491)&lt;6,"",ROUND(O491*0.3+P491*0.2+Q491*0.15+R491*0.15+S491*0.1+T491*0.1,0))</f>
        <v/>
      </c>
      <c r="O491" s="2" t="n"/>
      <c r="P491" s="2" t="n"/>
      <c r="Q491" s="2" t="n"/>
      <c r="R491" s="2" t="n"/>
      <c r="S491" s="2" t="n"/>
      <c r="T491" s="2" t="n"/>
      <c r="U491" s="2">
        <f>IF(OR(AA491="fail",AC491="fail"),"P4",IF(N491="","",IF(N491&gt;=90,"P1",IF(N491&gt;=80,"P1",IF(N491&gt;=70,"P2",IF(N491&gt;=60,"P3","P4"))))))</f>
        <v/>
      </c>
      <c r="V491" s="2">
        <f>IF(OR(AA491="fail",AC491="fail"),"SKIP",IF(N491="","",IF(N491&gt;=90,"APPLY ASAP",IF(N491&gt;=80,"APPLY",IF(N491&gt;=70,"CONSIDER",IF(N491&gt;=60,"STRETCH","SKIP"))))))</f>
        <v/>
      </c>
      <c r="W491" s="2" t="n"/>
      <c r="X491" s="2" t="n"/>
      <c r="Y491" s="2" t="n"/>
      <c r="Z491" s="2" t="n"/>
    </row>
    <row r="492">
      <c r="A492" s="2" t="n"/>
      <c r="B492" s="2" t="n"/>
      <c r="C492" s="2" t="n"/>
      <c r="D492" s="2" t="n"/>
      <c r="E492" s="2" t="n"/>
      <c r="F492" s="2" t="n"/>
      <c r="G492" s="2" t="n"/>
      <c r="H492" s="2" t="n"/>
      <c r="I492" s="2" t="n"/>
      <c r="J492" s="2" t="n"/>
      <c r="K492" s="2" t="n"/>
      <c r="L492" s="2" t="n"/>
      <c r="M492" s="2" t="n"/>
      <c r="N492" s="2">
        <f>IF(COUNTA(O492:T492)&lt;6,"",ROUND(O492*0.3+P492*0.2+Q492*0.15+R492*0.15+S492*0.1+T492*0.1,0))</f>
        <v/>
      </c>
      <c r="O492" s="2" t="n"/>
      <c r="P492" s="2" t="n"/>
      <c r="Q492" s="2" t="n"/>
      <c r="R492" s="2" t="n"/>
      <c r="S492" s="2" t="n"/>
      <c r="T492" s="2" t="n"/>
      <c r="U492" s="2">
        <f>IF(OR(AA492="fail",AC492="fail"),"P4",IF(N492="","",IF(N492&gt;=90,"P1",IF(N492&gt;=80,"P1",IF(N492&gt;=70,"P2",IF(N492&gt;=60,"P3","P4"))))))</f>
        <v/>
      </c>
      <c r="V492" s="2">
        <f>IF(OR(AA492="fail",AC492="fail"),"SKIP",IF(N492="","",IF(N492&gt;=90,"APPLY ASAP",IF(N492&gt;=80,"APPLY",IF(N492&gt;=70,"CONSIDER",IF(N492&gt;=60,"STRETCH","SKIP"))))))</f>
        <v/>
      </c>
      <c r="W492" s="2" t="n"/>
      <c r="X492" s="2" t="n"/>
      <c r="Y492" s="2" t="n"/>
      <c r="Z492" s="2" t="n"/>
    </row>
    <row r="493">
      <c r="A493" s="2" t="n"/>
      <c r="B493" s="2" t="n"/>
      <c r="C493" s="2" t="n"/>
      <c r="D493" s="2" t="n"/>
      <c r="E493" s="2" t="n"/>
      <c r="F493" s="2" t="n"/>
      <c r="G493" s="2" t="n"/>
      <c r="H493" s="2" t="n"/>
      <c r="I493" s="2" t="n"/>
      <c r="J493" s="2" t="n"/>
      <c r="K493" s="2" t="n"/>
      <c r="L493" s="2" t="n"/>
      <c r="M493" s="2" t="n"/>
      <c r="N493" s="2">
        <f>IF(COUNTA(O493:T493)&lt;6,"",ROUND(O493*0.3+P493*0.2+Q493*0.15+R493*0.15+S493*0.1+T493*0.1,0))</f>
        <v/>
      </c>
      <c r="O493" s="2" t="n"/>
      <c r="P493" s="2" t="n"/>
      <c r="Q493" s="2" t="n"/>
      <c r="R493" s="2" t="n"/>
      <c r="S493" s="2" t="n"/>
      <c r="T493" s="2" t="n"/>
      <c r="U493" s="2">
        <f>IF(OR(AA493="fail",AC493="fail"),"P4",IF(N493="","",IF(N493&gt;=90,"P1",IF(N493&gt;=80,"P1",IF(N493&gt;=70,"P2",IF(N493&gt;=60,"P3","P4"))))))</f>
        <v/>
      </c>
      <c r="V493" s="2">
        <f>IF(OR(AA493="fail",AC493="fail"),"SKIP",IF(N493="","",IF(N493&gt;=90,"APPLY ASAP",IF(N493&gt;=80,"APPLY",IF(N493&gt;=70,"CONSIDER",IF(N493&gt;=60,"STRETCH","SKIP"))))))</f>
        <v/>
      </c>
      <c r="W493" s="2" t="n"/>
      <c r="X493" s="2" t="n"/>
      <c r="Y493" s="2" t="n"/>
      <c r="Z493" s="2" t="n"/>
    </row>
    <row r="494">
      <c r="A494" s="2" t="n"/>
      <c r="B494" s="2" t="n"/>
      <c r="C494" s="2" t="n"/>
      <c r="D494" s="2" t="n"/>
      <c r="E494" s="2" t="n"/>
      <c r="F494" s="2" t="n"/>
      <c r="G494" s="2" t="n"/>
      <c r="H494" s="2" t="n"/>
      <c r="I494" s="2" t="n"/>
      <c r="J494" s="2" t="n"/>
      <c r="K494" s="2" t="n"/>
      <c r="L494" s="2" t="n"/>
      <c r="M494" s="2" t="n"/>
      <c r="N494" s="2">
        <f>IF(COUNTA(O494:T494)&lt;6,"",ROUND(O494*0.3+P494*0.2+Q494*0.15+R494*0.15+S494*0.1+T494*0.1,0))</f>
        <v/>
      </c>
      <c r="O494" s="2" t="n"/>
      <c r="P494" s="2" t="n"/>
      <c r="Q494" s="2" t="n"/>
      <c r="R494" s="2" t="n"/>
      <c r="S494" s="2" t="n"/>
      <c r="T494" s="2" t="n"/>
      <c r="U494" s="2">
        <f>IF(OR(AA494="fail",AC494="fail"),"P4",IF(N494="","",IF(N494&gt;=90,"P1",IF(N494&gt;=80,"P1",IF(N494&gt;=70,"P2",IF(N494&gt;=60,"P3","P4"))))))</f>
        <v/>
      </c>
      <c r="V494" s="2">
        <f>IF(OR(AA494="fail",AC494="fail"),"SKIP",IF(N494="","",IF(N494&gt;=90,"APPLY ASAP",IF(N494&gt;=80,"APPLY",IF(N494&gt;=70,"CONSIDER",IF(N494&gt;=60,"STRETCH","SKIP"))))))</f>
        <v/>
      </c>
      <c r="W494" s="2" t="n"/>
      <c r="X494" s="2" t="n"/>
      <c r="Y494" s="2" t="n"/>
      <c r="Z494" s="2" t="n"/>
    </row>
    <row r="495">
      <c r="A495" s="2" t="n"/>
      <c r="B495" s="2" t="n"/>
      <c r="C495" s="2" t="n"/>
      <c r="D495" s="2" t="n"/>
      <c r="E495" s="2" t="n"/>
      <c r="F495" s="2" t="n"/>
      <c r="G495" s="2" t="n"/>
      <c r="H495" s="2" t="n"/>
      <c r="I495" s="2" t="n"/>
      <c r="J495" s="2" t="n"/>
      <c r="K495" s="2" t="n"/>
      <c r="L495" s="2" t="n"/>
      <c r="M495" s="2" t="n"/>
      <c r="N495" s="2">
        <f>IF(COUNTA(O495:T495)&lt;6,"",ROUND(O495*0.3+P495*0.2+Q495*0.15+R495*0.15+S495*0.1+T495*0.1,0))</f>
        <v/>
      </c>
      <c r="O495" s="2" t="n"/>
      <c r="P495" s="2" t="n"/>
      <c r="Q495" s="2" t="n"/>
      <c r="R495" s="2" t="n"/>
      <c r="S495" s="2" t="n"/>
      <c r="T495" s="2" t="n"/>
      <c r="U495" s="2">
        <f>IF(OR(AA495="fail",AC495="fail"),"P4",IF(N495="","",IF(N495&gt;=90,"P1",IF(N495&gt;=80,"P1",IF(N495&gt;=70,"P2",IF(N495&gt;=60,"P3","P4"))))))</f>
        <v/>
      </c>
      <c r="V495" s="2">
        <f>IF(OR(AA495="fail",AC495="fail"),"SKIP",IF(N495="","",IF(N495&gt;=90,"APPLY ASAP",IF(N495&gt;=80,"APPLY",IF(N495&gt;=70,"CONSIDER",IF(N495&gt;=60,"STRETCH","SKIP"))))))</f>
        <v/>
      </c>
      <c r="W495" s="2" t="n"/>
      <c r="X495" s="2" t="n"/>
      <c r="Y495" s="2" t="n"/>
      <c r="Z495" s="2" t="n"/>
    </row>
    <row r="496">
      <c r="A496" s="2" t="n"/>
      <c r="B496" s="2" t="n"/>
      <c r="C496" s="2" t="n"/>
      <c r="D496" s="2" t="n"/>
      <c r="E496" s="2" t="n"/>
      <c r="F496" s="2" t="n"/>
      <c r="G496" s="2" t="n"/>
      <c r="H496" s="2" t="n"/>
      <c r="I496" s="2" t="n"/>
      <c r="J496" s="2" t="n"/>
      <c r="K496" s="2" t="n"/>
      <c r="L496" s="2" t="n"/>
      <c r="M496" s="2" t="n"/>
      <c r="N496" s="2">
        <f>IF(COUNTA(O496:T496)&lt;6,"",ROUND(O496*0.3+P496*0.2+Q496*0.15+R496*0.15+S496*0.1+T496*0.1,0))</f>
        <v/>
      </c>
      <c r="O496" s="2" t="n"/>
      <c r="P496" s="2" t="n"/>
      <c r="Q496" s="2" t="n"/>
      <c r="R496" s="2" t="n"/>
      <c r="S496" s="2" t="n"/>
      <c r="T496" s="2" t="n"/>
      <c r="U496" s="2">
        <f>IF(OR(AA496="fail",AC496="fail"),"P4",IF(N496="","",IF(N496&gt;=90,"P1",IF(N496&gt;=80,"P1",IF(N496&gt;=70,"P2",IF(N496&gt;=60,"P3","P4"))))))</f>
        <v/>
      </c>
      <c r="V496" s="2">
        <f>IF(OR(AA496="fail",AC496="fail"),"SKIP",IF(N496="","",IF(N496&gt;=90,"APPLY ASAP",IF(N496&gt;=80,"APPLY",IF(N496&gt;=70,"CONSIDER",IF(N496&gt;=60,"STRETCH","SKIP"))))))</f>
        <v/>
      </c>
      <c r="W496" s="2" t="n"/>
      <c r="X496" s="2" t="n"/>
      <c r="Y496" s="2" t="n"/>
      <c r="Z496" s="2" t="n"/>
    </row>
    <row r="497">
      <c r="A497" s="2" t="n"/>
      <c r="B497" s="2" t="n"/>
      <c r="C497" s="2" t="n"/>
      <c r="D497" s="2" t="n"/>
      <c r="E497" s="2" t="n"/>
      <c r="F497" s="2" t="n"/>
      <c r="G497" s="2" t="n"/>
      <c r="H497" s="2" t="n"/>
      <c r="I497" s="2" t="n"/>
      <c r="J497" s="2" t="n"/>
      <c r="K497" s="2" t="n"/>
      <c r="L497" s="2" t="n"/>
      <c r="M497" s="2" t="n"/>
      <c r="N497" s="2">
        <f>IF(COUNTA(O497:T497)&lt;6,"",ROUND(O497*0.3+P497*0.2+Q497*0.15+R497*0.15+S497*0.1+T497*0.1,0))</f>
        <v/>
      </c>
      <c r="O497" s="2" t="n"/>
      <c r="P497" s="2" t="n"/>
      <c r="Q497" s="2" t="n"/>
      <c r="R497" s="2" t="n"/>
      <c r="S497" s="2" t="n"/>
      <c r="T497" s="2" t="n"/>
      <c r="U497" s="2">
        <f>IF(OR(AA497="fail",AC497="fail"),"P4",IF(N497="","",IF(N497&gt;=90,"P1",IF(N497&gt;=80,"P1",IF(N497&gt;=70,"P2",IF(N497&gt;=60,"P3","P4"))))))</f>
        <v/>
      </c>
      <c r="V497" s="2">
        <f>IF(OR(AA497="fail",AC497="fail"),"SKIP",IF(N497="","",IF(N497&gt;=90,"APPLY ASAP",IF(N497&gt;=80,"APPLY",IF(N497&gt;=70,"CONSIDER",IF(N497&gt;=60,"STRETCH","SKIP"))))))</f>
        <v/>
      </c>
      <c r="W497" s="2" t="n"/>
      <c r="X497" s="2" t="n"/>
      <c r="Y497" s="2" t="n"/>
      <c r="Z497" s="2" t="n"/>
    </row>
    <row r="498">
      <c r="A498" s="2" t="n"/>
      <c r="B498" s="2" t="n"/>
      <c r="C498" s="2" t="n"/>
      <c r="D498" s="2" t="n"/>
      <c r="E498" s="2" t="n"/>
      <c r="F498" s="2" t="n"/>
      <c r="G498" s="2" t="n"/>
      <c r="H498" s="2" t="n"/>
      <c r="I498" s="2" t="n"/>
      <c r="J498" s="2" t="n"/>
      <c r="K498" s="2" t="n"/>
      <c r="L498" s="2" t="n"/>
      <c r="M498" s="2" t="n"/>
      <c r="N498" s="2">
        <f>IF(COUNTA(O498:T498)&lt;6,"",ROUND(O498*0.3+P498*0.2+Q498*0.15+R498*0.15+S498*0.1+T498*0.1,0))</f>
        <v/>
      </c>
      <c r="O498" s="2" t="n"/>
      <c r="P498" s="2" t="n"/>
      <c r="Q498" s="2" t="n"/>
      <c r="R498" s="2" t="n"/>
      <c r="S498" s="2" t="n"/>
      <c r="T498" s="2" t="n"/>
      <c r="U498" s="2">
        <f>IF(OR(AA498="fail",AC498="fail"),"P4",IF(N498="","",IF(N498&gt;=90,"P1",IF(N498&gt;=80,"P1",IF(N498&gt;=70,"P2",IF(N498&gt;=60,"P3","P4"))))))</f>
        <v/>
      </c>
      <c r="V498" s="2">
        <f>IF(OR(AA498="fail",AC498="fail"),"SKIP",IF(N498="","",IF(N498&gt;=90,"APPLY ASAP",IF(N498&gt;=80,"APPLY",IF(N498&gt;=70,"CONSIDER",IF(N498&gt;=60,"STRETCH","SKIP"))))))</f>
        <v/>
      </c>
      <c r="W498" s="2" t="n"/>
      <c r="X498" s="2" t="n"/>
      <c r="Y498" s="2" t="n"/>
      <c r="Z498" s="2" t="n"/>
    </row>
    <row r="499">
      <c r="A499" s="2" t="n"/>
      <c r="B499" s="2" t="n"/>
      <c r="C499" s="2" t="n"/>
      <c r="D499" s="2" t="n"/>
      <c r="E499" s="2" t="n"/>
      <c r="F499" s="2" t="n"/>
      <c r="G499" s="2" t="n"/>
      <c r="H499" s="2" t="n"/>
      <c r="I499" s="2" t="n"/>
      <c r="J499" s="2" t="n"/>
      <c r="K499" s="2" t="n"/>
      <c r="L499" s="2" t="n"/>
      <c r="M499" s="2" t="n"/>
      <c r="N499" s="2">
        <f>IF(COUNTA(O499:T499)&lt;6,"",ROUND(O499*0.3+P499*0.2+Q499*0.15+R499*0.15+S499*0.1+T499*0.1,0))</f>
        <v/>
      </c>
      <c r="O499" s="2" t="n"/>
      <c r="P499" s="2" t="n"/>
      <c r="Q499" s="2" t="n"/>
      <c r="R499" s="2" t="n"/>
      <c r="S499" s="2" t="n"/>
      <c r="T499" s="2" t="n"/>
      <c r="U499" s="2">
        <f>IF(OR(AA499="fail",AC499="fail"),"P4",IF(N499="","",IF(N499&gt;=90,"P1",IF(N499&gt;=80,"P1",IF(N499&gt;=70,"P2",IF(N499&gt;=60,"P3","P4"))))))</f>
        <v/>
      </c>
      <c r="V499" s="2">
        <f>IF(OR(AA499="fail",AC499="fail"),"SKIP",IF(N499="","",IF(N499&gt;=90,"APPLY ASAP",IF(N499&gt;=80,"APPLY",IF(N499&gt;=70,"CONSIDER",IF(N499&gt;=60,"STRETCH","SKIP"))))))</f>
        <v/>
      </c>
      <c r="W499" s="2" t="n"/>
      <c r="X499" s="2" t="n"/>
      <c r="Y499" s="2" t="n"/>
      <c r="Z499" s="2" t="n"/>
    </row>
    <row r="500">
      <c r="A500" s="2" t="n"/>
      <c r="B500" s="2" t="n"/>
      <c r="C500" s="2" t="n"/>
      <c r="D500" s="2" t="n"/>
      <c r="E500" s="2" t="n"/>
      <c r="F500" s="2" t="n"/>
      <c r="G500" s="2" t="n"/>
      <c r="H500" s="2" t="n"/>
      <c r="I500" s="2" t="n"/>
      <c r="J500" s="2" t="n"/>
      <c r="K500" s="2" t="n"/>
      <c r="L500" s="2" t="n"/>
      <c r="M500" s="2" t="n"/>
      <c r="N500" s="2">
        <f>IF(COUNTA(O500:T500)&lt;6,"",ROUND(O500*0.3+P500*0.2+Q500*0.15+R500*0.15+S500*0.1+T500*0.1,0))</f>
        <v/>
      </c>
      <c r="O500" s="2" t="n"/>
      <c r="P500" s="2" t="n"/>
      <c r="Q500" s="2" t="n"/>
      <c r="R500" s="2" t="n"/>
      <c r="S500" s="2" t="n"/>
      <c r="T500" s="2" t="n"/>
      <c r="U500" s="2">
        <f>IF(OR(AA500="fail",AC500="fail"),"P4",IF(N500="","",IF(N500&gt;=90,"P1",IF(N500&gt;=80,"P1",IF(N500&gt;=70,"P2",IF(N500&gt;=60,"P3","P4"))))))</f>
        <v/>
      </c>
      <c r="V500" s="2">
        <f>IF(OR(AA500="fail",AC500="fail"),"SKIP",IF(N500="","",IF(N500&gt;=90,"APPLY ASAP",IF(N500&gt;=80,"APPLY",IF(N500&gt;=70,"CONSIDER",IF(N500&gt;=60,"STRETCH","SKIP"))))))</f>
        <v/>
      </c>
      <c r="W500" s="2" t="n"/>
      <c r="X500" s="2" t="n"/>
      <c r="Y500" s="2" t="n"/>
      <c r="Z500" s="2" t="n"/>
    </row>
    <row r="501">
      <c r="B501" t="inlineStr">
        <is>
          <t>SubSpace</t>
        </is>
      </c>
      <c r="C501" t="inlineStr">
        <is>
          <t>Software Development</t>
        </is>
      </c>
      <c r="E501" t="inlineStr">
        <is>
          <t>AI Analyzer</t>
        </is>
      </c>
      <c r="F501" t="inlineStr">
        <is>
          <t>Bangalore</t>
        </is>
      </c>
      <c r="G501" t="inlineStr">
        <is>
          <t>Hybrid</t>
        </is>
      </c>
      <c r="H501" t="inlineStr">
        <is>
          <t>₹30,000–40,001 headline; fixed ₹20,000–30,000 + incentive ₹10,000–10,001</t>
        </is>
      </c>
      <c r="I501" t="inlineStr">
        <is>
          <t>6 months</t>
        </is>
      </c>
      <c r="AA501" t="inlineStr">
        <is>
          <t>risk</t>
        </is>
      </c>
      <c r="AB501" t="inlineStr">
        <is>
          <t>Full-time/in-office and specific start window require availability confirmation.</t>
        </is>
      </c>
      <c r="AC501" t="inlineStr">
        <is>
          <t>risk</t>
        </is>
      </c>
      <c r="AD501" t="inlineStr">
        <is>
          <t>Required start window must be confirmed against candidate availability.</t>
        </is>
      </c>
      <c r="AE501" t="inlineStr">
        <is>
          <t>verify</t>
        </is>
      </c>
      <c r="AF501" t="n">
        <v>20000</v>
      </c>
      <c r="AG501" t="inlineStr">
        <is>
          <t>Yes</t>
        </is>
      </c>
      <c r="AH501" t="inlineStr">
        <is>
          <t>strong</t>
        </is>
      </c>
      <c r="AI501" t="inlineStr">
        <is>
          <t>Job offer up to ₹11 LPA post internship.</t>
        </is>
      </c>
      <c r="AK501" t="inlineStr">
        <is>
          <t>Guaranteed stipend should be verified because headline total includes incentives.</t>
        </is>
      </c>
      <c r="AL501" t="inlineStr">
        <is>
          <t>Node.js; Express; JavaScript; REST APIs; Git/GitHub; React; SQL; WebSockets; DSA</t>
        </is>
      </c>
    </row>
    <row r="502">
      <c r="A502" t="inlineStr">
        <is>
          <t>SUBSPACE-260909</t>
        </is>
      </c>
      <c r="B502" t="inlineStr">
        <is>
          <t>SubSpace</t>
        </is>
      </c>
      <c r="C502" t="inlineStr">
        <is>
          <t>Software Development</t>
        </is>
      </c>
      <c r="E502" t="inlineStr">
        <is>
          <t>AI Analyzer</t>
        </is>
      </c>
      <c r="F502" t="inlineStr">
        <is>
          <t>Bangalore</t>
        </is>
      </c>
      <c r="G502" t="inlineStr">
        <is>
          <t>Hybrid</t>
        </is>
      </c>
      <c r="H502" t="inlineStr">
        <is>
          <t>₹30,000–40,001 headline; fixed ₹20,000–30,000 + incentive ₹10,000–10,001</t>
        </is>
      </c>
      <c r="I502" t="inlineStr">
        <is>
          <t>6 months</t>
        </is>
      </c>
      <c r="J502" t="inlineStr">
        <is>
          <t>Strong</t>
        </is>
      </c>
      <c r="K502" t="inlineStr">
        <is>
          <t>Node.js; Express.js; JavaScript; REST APIs; Git/GitHub; Go; GraphQL; WebSockets</t>
        </is>
      </c>
      <c r="L502" t="inlineStr">
        <is>
          <t>Next.js; React; SQL; Tailwind CSS; Python; Hasura; AI/Claude</t>
        </is>
      </c>
      <c r="N502" t="n">
        <v>94</v>
      </c>
      <c r="O502" t="n">
        <v>91</v>
      </c>
      <c r="P502" t="n">
        <v>94</v>
      </c>
      <c r="Q502" t="n">
        <v>98</v>
      </c>
      <c r="R502" t="n">
        <v>100</v>
      </c>
      <c r="S502" t="n">
        <v>90</v>
      </c>
      <c r="T502" t="n">
        <v>90</v>
      </c>
      <c r="U502" t="inlineStr">
        <is>
          <t>P1</t>
        </is>
      </c>
      <c r="V502" t="inlineStr">
        <is>
          <t>APPLY</t>
        </is>
      </c>
      <c r="W502" t="inlineStr">
        <is>
          <t>Go — candidate fit is stronger in Node.js</t>
        </is>
      </c>
      <c r="X502" t="inlineStr">
        <is>
          <t>Full Stack</t>
        </is>
      </c>
      <c r="Y502" t="inlineStr">
        <is>
          <t>2026-09-09</t>
        </is>
      </c>
      <c r="Z502" t="inlineStr">
        <is>
          <t>Guaranteed stipend should be verified; headline amount includes incentives.</t>
        </is>
      </c>
      <c r="AA502" t="inlineStr">
        <is>
          <t>risk</t>
        </is>
      </c>
      <c r="AB502" t="inlineStr">
        <is>
          <t>Full-time/in-office and specific start window require availability confirmation.</t>
        </is>
      </c>
      <c r="AC502" t="inlineStr">
        <is>
          <t>risk</t>
        </is>
      </c>
      <c r="AD502" t="inlineStr">
        <is>
          <t>Required start window must be confirmed against candidate availability.</t>
        </is>
      </c>
      <c r="AE502" t="inlineStr">
        <is>
          <t>verify</t>
        </is>
      </c>
      <c r="AF502" t="n">
        <v>20000</v>
      </c>
      <c r="AG502" t="inlineStr">
        <is>
          <t>Yes</t>
        </is>
      </c>
      <c r="AH502" t="inlineStr">
        <is>
          <t>strong</t>
        </is>
      </c>
      <c r="AI502" t="inlineStr">
        <is>
          <t>Job offer up to ₹11 LPA post internship.</t>
        </is>
      </c>
      <c r="AK502" t="inlineStr">
        <is>
          <t>Guaranteed stipend should be verified because headline total includes incentives.</t>
        </is>
      </c>
      <c r="AL502" t="inlineStr">
        <is>
          <t>Node.js; Express; JavaScript; REST APIs; Git/GitHub; React; SQL; WebSockets; DSA</t>
        </is>
      </c>
    </row>
    <row r="503">
      <c r="B503" t="inlineStr">
        <is>
          <t>SubSpace</t>
        </is>
      </c>
      <c r="C503" t="inlineStr">
        <is>
          <t>Software Development</t>
        </is>
      </c>
      <c r="E503" t="inlineStr">
        <is>
          <t>AI Analyzer</t>
        </is>
      </c>
      <c r="F503" t="inlineStr">
        <is>
          <t>Bangalore</t>
        </is>
      </c>
      <c r="G503" t="inlineStr">
        <is>
          <t>Hybrid</t>
        </is>
      </c>
      <c r="H503" t="inlineStr">
        <is>
          <t>₹30,000–40,001 headline; fixed ₹20,000–30,000 + incentive ₹10,000–10,001</t>
        </is>
      </c>
      <c r="I503" t="inlineStr">
        <is>
          <t>6 months</t>
        </is>
      </c>
      <c r="AA503" t="inlineStr">
        <is>
          <t>risk</t>
        </is>
      </c>
      <c r="AB503" t="inlineStr">
        <is>
          <t>Full-time/in-office and specific start window require availability confirmation.</t>
        </is>
      </c>
      <c r="AC503" t="inlineStr">
        <is>
          <t>risk</t>
        </is>
      </c>
      <c r="AD503" t="inlineStr">
        <is>
          <t>Required start window must be confirmed against candidate availability.</t>
        </is>
      </c>
      <c r="AE503" t="inlineStr">
        <is>
          <t>verify</t>
        </is>
      </c>
      <c r="AF503" t="n">
        <v>20000</v>
      </c>
      <c r="AG503" t="inlineStr">
        <is>
          <t>Yes</t>
        </is>
      </c>
      <c r="AH503" t="inlineStr">
        <is>
          <t>strong</t>
        </is>
      </c>
      <c r="AI503" t="inlineStr">
        <is>
          <t>Job offer up to ₹11 LPA post internship.</t>
        </is>
      </c>
      <c r="AK503" t="inlineStr">
        <is>
          <t>Guaranteed stipend should be verified because headline total includes incentives.</t>
        </is>
      </c>
      <c r="AL503" t="inlineStr">
        <is>
          <t>Node.js; Express; JavaScript; REST APIs; Git/GitHub; React; SQL; WebSockets; DSA</t>
        </is>
      </c>
    </row>
    <row r="504">
      <c r="B504" t="inlineStr">
        <is>
          <t>SubSpace</t>
        </is>
      </c>
      <c r="C504" t="inlineStr">
        <is>
          <t>Software Development Intern</t>
        </is>
      </c>
      <c r="E504" t="inlineStr">
        <is>
          <t>AI Analyzer</t>
        </is>
      </c>
      <c r="F504" t="inlineStr">
        <is>
          <t>Bangalore</t>
        </is>
      </c>
      <c r="G504" t="inlineStr">
        <is>
          <t>Hybrid</t>
        </is>
      </c>
      <c r="H504" t="inlineStr">
        <is>
          <t>₹30,000 – ₹40,001/month</t>
        </is>
      </c>
      <c r="I504" t="inlineStr">
        <is>
          <t>6 Months</t>
        </is>
      </c>
      <c r="AA504" t="inlineStr">
        <is>
          <t>eligible</t>
        </is>
      </c>
      <c r="AB504" t="inlineStr">
        <is>
          <t>Meets general qualification and skill criteria; Undergraduate degree requirement is a plus, not a hard blocker</t>
        </is>
      </c>
      <c r="AC504" t="inlineStr">
        <is>
          <t>unknown</t>
        </is>
      </c>
      <c r="AD504" t="inlineStr">
        <is>
          <t>Candidate availability dates not explicitly confirmed against immediate start.</t>
        </is>
      </c>
      <c r="AE504" t="inlineStr">
        <is>
          <t>disclosed</t>
        </is>
      </c>
      <c r="AF504" t="n">
        <v>30000</v>
      </c>
      <c r="AG504" t="inlineStr">
        <is>
          <t>No</t>
        </is>
      </c>
      <c r="AH504" t="inlineStr">
        <is>
          <t>available</t>
        </is>
      </c>
      <c r="AI504" t="inlineStr">
        <is>
          <t>On successful conversion to a permanent employee, the candidate can expect a salary of approximately ₹6 LPA to ₹11 LPA.</t>
        </is>
      </c>
      <c r="AL504" t="inlineStr">
        <is>
          <t>Node.js and Express architecture; RESTful APIs and WebSockets; JavaScript asynchronous programming; Git and GitHub workflow; Problem-solving and AI-assisted development</t>
        </is>
      </c>
    </row>
    <row r="505">
      <c r="B505" t="inlineStr">
        <is>
          <t>Joveo</t>
        </is>
      </c>
      <c r="C505" t="inlineStr">
        <is>
          <t>Software Engineering Intern (Full Stack)</t>
        </is>
      </c>
      <c r="D505" t="inlineStr">
        <is>
          <t>https://in.jooble.org/jdp/-1939946349168902640</t>
        </is>
      </c>
      <c r="E505" t="inlineStr">
        <is>
          <t>AI Analyzer</t>
        </is>
      </c>
      <c r="F505" t="inlineStr">
        <is>
          <t>Bangalore</t>
        </is>
      </c>
      <c r="G505" t="inlineStr">
        <is>
          <t>Unknown</t>
        </is>
      </c>
      <c r="H505" t="inlineStr">
        <is>
          <t>Competitive stipend</t>
        </is>
      </c>
      <c r="I505" t="inlineStr">
        <is>
          <t>Unknown</t>
        </is>
      </c>
      <c r="J505" t="inlineStr">
        <is>
          <t>Not Mentioned</t>
        </is>
      </c>
      <c r="K505" t="inlineStr">
        <is>
          <t>Full Stack Development</t>
        </is>
      </c>
      <c r="L505" t="inlineStr">
        <is>
          <t>AI recruitment tech</t>
        </is>
      </c>
      <c r="M505" t="inlineStr">
        <is>
          <t>&amp;nbsp;...Role  : &lt;b&gt;Software Engineering Intern &lt;/b&gt;(Full Stack)
 Payout  : Competitive stipend  Role Overview:  We are seeking a  Software Engineering Intern (Full Stack) to work on a full-time internship basis. Joblet is rewriting the rules of recruitment through AI, and this role sits...&amp;nbsp;</t>
        </is>
      </c>
      <c r="N505" t="n">
        <v>77</v>
      </c>
      <c r="O505" t="n">
        <v>27</v>
      </c>
      <c r="P505" t="n">
        <v>18</v>
      </c>
      <c r="Q505" t="n">
        <v>14</v>
      </c>
      <c r="R505" t="n">
        <v>5</v>
      </c>
      <c r="S505" t="n">
        <v>5</v>
      </c>
      <c r="T505" t="n">
        <v>8</v>
      </c>
      <c r="U505" t="inlineStr">
        <is>
          <t>CONSIDER</t>
        </is>
      </c>
      <c r="V505" t="inlineStr">
        <is>
          <t>CONSIDER</t>
        </is>
      </c>
      <c r="W505" t="inlineStr"/>
      <c r="X505" t="inlineStr">
        <is>
          <t>Amaanuddin_Ahmed_Fullstack_Resume.pdf</t>
        </is>
      </c>
      <c r="Y505" t="inlineStr">
        <is>
          <t>2026-09-09</t>
        </is>
      </c>
      <c r="Z505" t="inlineStr">
        <is>
          <t>Matches target role of Full Stack Development.; Located in Bangalore with a full-time internship format.; Aligns well with MERN stack projects like StaySphere and Zenvest.</t>
        </is>
      </c>
      <c r="AA505" t="inlineStr">
        <is>
          <t>Eligible</t>
        </is>
      </c>
      <c r="AB505" t="inlineStr">
        <is>
          <t>Candidate is pursuing MCA at PES University and fits software engineering intern profiles.</t>
        </is>
      </c>
      <c r="AC505" t="inlineStr">
        <is>
          <t>Unknown</t>
        </is>
      </c>
      <c r="AD505" t="inlineStr">
        <is>
          <t>Availability not specified in the profile or JD.</t>
        </is>
      </c>
      <c r="AE505" t="inlineStr">
        <is>
          <t>UNKNOWN</t>
        </is>
      </c>
      <c r="AF505" t="n">
        <v>0</v>
      </c>
      <c r="AG505" t="inlineStr">
        <is>
          <t>No</t>
        </is>
      </c>
      <c r="AH505" t="inlineStr">
        <is>
          <t>Not Mentioned</t>
        </is>
      </c>
      <c r="AI505" t="inlineStr">
        <is>
          <t>No explicit mention of PPO or conversion in the snippet.</t>
        </is>
      </c>
      <c r="AJ505" t="inlineStr"/>
      <c r="AK505" t="inlineStr">
        <is>
          <t>Stipend amount is not disclosed (Competitive stipend)</t>
        </is>
      </c>
      <c r="AL505" t="inlineStr">
        <is>
          <t>MERN stack architecture; RESTful API design; State management in React; Database indexing and queries in MongoDB</t>
        </is>
      </c>
    </row>
    <row r="506">
      <c r="B506" t="inlineStr">
        <is>
          <t>friday media tech india (fmg)</t>
        </is>
      </c>
      <c r="C506" t="inlineStr">
        <is>
          <t>Software Engineer Intern</t>
        </is>
      </c>
      <c r="D506" t="inlineStr">
        <is>
          <t>https://in.jooble.org/jdp/-5404656752169186420</t>
        </is>
      </c>
      <c r="E506" t="inlineStr">
        <is>
          <t>AI Analyzer</t>
        </is>
      </c>
      <c r="F506" t="inlineStr">
        <is>
          <t>Bangalore</t>
        </is>
      </c>
      <c r="G506" t="inlineStr">
        <is>
          <t>UNKNOWN</t>
        </is>
      </c>
      <c r="H506" t="inlineStr"/>
      <c r="I506" t="inlineStr">
        <is>
          <t>UNKNOWN</t>
        </is>
      </c>
      <c r="J506" t="inlineStr">
        <is>
          <t>UNKNOWN</t>
        </is>
      </c>
      <c r="K506" t="inlineStr">
        <is>
          <t>Modern web technologies; Frameworks</t>
        </is>
      </c>
      <c r="L506" t="inlineStr"/>
      <c r="M506" t="inlineStr">
        <is>
          <t>&amp;nbsp;...Job Description 
 We are looking for a passionate and driven  &lt;b&gt;Software Engineer Intern &lt;/b&gt; to join our development team. You will get hands-on experience working on real-world projects using modern web technologies and frameworks. This internship is ideal for candidates eager...&amp;nbsp;</t>
        </is>
      </c>
      <c r="N506" t="n">
        <v>57</v>
      </c>
      <c r="O506" t="n">
        <v>20</v>
      </c>
      <c r="P506" t="n">
        <v>15</v>
      </c>
      <c r="Q506" t="n">
        <v>12</v>
      </c>
      <c r="R506" t="n">
        <v>5</v>
      </c>
      <c r="S506" t="n">
        <v>0</v>
      </c>
      <c r="T506" t="n">
        <v>5</v>
      </c>
      <c r="U506" t="inlineStr">
        <is>
          <t>SKIP</t>
        </is>
      </c>
      <c r="V506" t="inlineStr">
        <is>
          <t>SKIP</t>
        </is>
      </c>
      <c r="W506" t="inlineStr"/>
      <c r="X506" t="inlineStr">
        <is>
          <t>Default Full Stack / Software Engineering Resume</t>
        </is>
      </c>
      <c r="Y506" t="inlineStr">
        <is>
          <t>2026-09-09</t>
        </is>
      </c>
      <c r="Z506" t="inlineStr">
        <is>
          <t>Aligns with target Software Engineering and Full Stack roles; Located in Bangalore</t>
        </is>
      </c>
      <c r="AA506" t="inlineStr">
        <is>
          <t>ELIGIBLE</t>
        </is>
      </c>
      <c r="AB506" t="inlineStr">
        <is>
          <t>No specific degree or experience blockers mentioned in the snippet</t>
        </is>
      </c>
      <c r="AC506" t="inlineStr">
        <is>
          <t>UNKNOWN</t>
        </is>
      </c>
      <c r="AD506" t="inlineStr">
        <is>
          <t>Availability not specified</t>
        </is>
      </c>
      <c r="AE506" t="inlineStr">
        <is>
          <t>UNKNOWN</t>
        </is>
      </c>
      <c r="AF506" t="n">
        <v>0</v>
      </c>
      <c r="AG506" t="inlineStr">
        <is>
          <t>No</t>
        </is>
      </c>
      <c r="AH506" t="inlineStr">
        <is>
          <t>UNKNOWN</t>
        </is>
      </c>
      <c r="AI506" t="inlineStr">
        <is>
          <t>PPO/conversion is not explicitly mentioned in the snippet</t>
        </is>
      </c>
      <c r="AJ506" t="inlineStr"/>
      <c r="AK506" t="inlineStr">
        <is>
          <t>Job description snippet is very brief and lacks specific details on compensation, duration, and stack</t>
        </is>
      </c>
      <c r="AL506" t="inlineStr">
        <is>
          <t>Web Development Fundamentals; JavaScript Frameworks; Project walkthrough</t>
        </is>
      </c>
    </row>
    <row r="507">
      <c r="B507" t="inlineStr">
        <is>
          <t>Stripe</t>
        </is>
      </c>
      <c r="C507" t="inlineStr">
        <is>
          <t>Software Engineer, Intern</t>
        </is>
      </c>
      <c r="D507" t="inlineStr">
        <is>
          <t>https://in.jooble.org/jdp/6361268409707951745</t>
        </is>
      </c>
      <c r="E507" t="inlineStr">
        <is>
          <t>AI Analyzer</t>
        </is>
      </c>
      <c r="F507" t="inlineStr">
        <is>
          <t>Bangalore</t>
        </is>
      </c>
      <c r="G507" t="inlineStr">
        <is>
          <t>Unknown</t>
        </is>
      </c>
      <c r="H507" t="inlineStr"/>
      <c r="I507" t="inlineStr">
        <is>
          <t>Unknown</t>
        </is>
      </c>
      <c r="J507" t="inlineStr">
        <is>
          <t>Unknown</t>
        </is>
      </c>
      <c r="K507" t="inlineStr"/>
      <c r="L507" t="inlineStr"/>
      <c r="M507" t="inlineStr">
        <is>
          <t>&amp;nbsp;...world works. 
 What you’ll do 
 As an &lt;b&gt;intern &lt;/b&gt;at Stripe you’ll work on projects across...&amp;nbsp;&amp;nbsp;...the most creative and technically rigorous &lt;b&gt;engineers &lt;/b&gt;in the industry and learn how to ship high...&amp;nbsp;&amp;nbsp;...the technical design process. 
 Write &lt;b&gt;software &lt;/b&gt;that will be used in production, and has...&amp;nbsp;</t>
        </is>
      </c>
      <c r="N507" t="n">
        <v>58</v>
      </c>
      <c r="O507" t="n">
        <v>50</v>
      </c>
      <c r="P507" t="n">
        <v>70</v>
      </c>
      <c r="Q507" t="n">
        <v>80</v>
      </c>
      <c r="R507" t="n">
        <v>50</v>
      </c>
      <c r="S507" t="n">
        <v>0</v>
      </c>
      <c r="T507" t="n">
        <v>80</v>
      </c>
      <c r="U507" t="inlineStr">
        <is>
          <t>SKIP</t>
        </is>
      </c>
      <c r="V507" t="inlineStr">
        <is>
          <t>SKIP</t>
        </is>
      </c>
      <c r="W507" t="inlineStr"/>
      <c r="X507" t="inlineStr">
        <is>
          <t>Default Full Stack / Software Engineering Resume</t>
        </is>
      </c>
      <c r="Y507" t="inlineStr">
        <is>
          <t>2026-09-09</t>
        </is>
      </c>
      <c r="Z507" t="inlineStr">
        <is>
          <t>Stripe is a top-tier tech company with high opportunity quality.; Role aligns with target Software Engineering internships.</t>
        </is>
      </c>
      <c r="AA507" t="inlineStr">
        <is>
          <t>Eligible</t>
        </is>
      </c>
      <c r="AB507" t="inlineStr">
        <is>
          <t>No specific hard blockers like graduation year or degree restrictions were mentioned in the snippet.</t>
        </is>
      </c>
      <c r="AC507" t="inlineStr">
        <is>
          <t>Unknown</t>
        </is>
      </c>
      <c r="AD507" t="inlineStr">
        <is>
          <t>Candidate availability timeline not specified in the career brain.</t>
        </is>
      </c>
      <c r="AE507" t="inlineStr">
        <is>
          <t>UNKNOWN</t>
        </is>
      </c>
      <c r="AF507" t="n">
        <v>0</v>
      </c>
      <c r="AG507" t="inlineStr">
        <is>
          <t>No</t>
        </is>
      </c>
      <c r="AH507" t="inlineStr">
        <is>
          <t>Unknown</t>
        </is>
      </c>
      <c r="AI507" t="inlineStr">
        <is>
          <t>No explicit PPO or conversion mention found in the truncated JD snippet.</t>
        </is>
      </c>
      <c r="AJ507" t="inlineStr"/>
      <c r="AK507" t="inlineStr">
        <is>
          <t>Job description snippet is heavily truncated and lacks technical details.</t>
        </is>
      </c>
      <c r="AL507" t="inlineStr">
        <is>
          <t>System Design; Production-grade Software Engineering; Data Structures and Algorithms</t>
        </is>
      </c>
    </row>
    <row r="508">
      <c r="B508" t="inlineStr">
        <is>
          <t>Ecera System</t>
        </is>
      </c>
      <c r="C508" t="inlineStr">
        <is>
          <t>Software Engineer Intern</t>
        </is>
      </c>
      <c r="D508" t="inlineStr">
        <is>
          <t>https://in.jooble.org/jdp/-4076037738651150701</t>
        </is>
      </c>
      <c r="E508" t="inlineStr">
        <is>
          <t>AI Analyzer</t>
        </is>
      </c>
      <c r="F508" t="inlineStr">
        <is>
          <t>Bangalore</t>
        </is>
      </c>
      <c r="G508" t="inlineStr">
        <is>
          <t>UNKNOWN</t>
        </is>
      </c>
      <c r="H508" t="inlineStr">
        <is>
          <t>Paid</t>
        </is>
      </c>
      <c r="I508" t="inlineStr">
        <is>
          <t>UNKNOWN</t>
        </is>
      </c>
      <c r="J508" t="inlineStr">
        <is>
          <t>UNKNOWN</t>
        </is>
      </c>
      <c r="K508" t="inlineStr">
        <is>
          <t>Software Development; Testing</t>
        </is>
      </c>
      <c r="L508" t="inlineStr"/>
      <c r="M508" t="inlineStr">
        <is>
          <t>&amp;nbsp;...streamlined, time-conscious process designed to ensure high-quality placements and complete satisfaction. 
 Role Description  The &lt;b&gt;Software Engineer Intern &lt;/b&gt;(Paid) will support the design, development, and testing of software applications as part of a collaborative engineering team...&amp;nbsp;</t>
        </is>
      </c>
      <c r="N508" t="n">
        <v>68</v>
      </c>
      <c r="O508" t="n">
        <v>70</v>
      </c>
      <c r="P508" t="n">
        <v>80</v>
      </c>
      <c r="Q508" t="n">
        <v>80</v>
      </c>
      <c r="R508" t="n">
        <v>50</v>
      </c>
      <c r="S508" t="n">
        <v>50</v>
      </c>
      <c r="T508" t="n">
        <v>60</v>
      </c>
      <c r="U508" t="inlineStr">
        <is>
          <t>STRETCH</t>
        </is>
      </c>
      <c r="V508" t="inlineStr">
        <is>
          <t>STRETCH</t>
        </is>
      </c>
      <c r="W508" t="inlineStr"/>
      <c r="X508" t="inlineStr">
        <is>
          <t>Amaanuddin_Ahmed_Software_Engineering_Resume.pdf</t>
        </is>
      </c>
      <c r="Y508" t="inlineStr">
        <is>
          <t>2026-09-09</t>
        </is>
      </c>
      <c r="Z508" t="inlineStr">
        <is>
          <t>Matches general software engineering intern profile; Located in Bangalore</t>
        </is>
      </c>
      <c r="AA508" t="inlineStr">
        <is>
          <t>ELIGIBLE</t>
        </is>
      </c>
      <c r="AB508" t="inlineStr">
        <is>
          <t>Candidate is pursuing MCA at PES University and fits general software engineering intern criteria.</t>
        </is>
      </c>
      <c r="AC508" t="inlineStr">
        <is>
          <t>UNKNOWN</t>
        </is>
      </c>
      <c r="AD508" t="inlineStr">
        <is>
          <t>Availability not explicitly stated in JD or career brain profile.</t>
        </is>
      </c>
      <c r="AE508" t="inlineStr">
        <is>
          <t>UNKNOWN</t>
        </is>
      </c>
      <c r="AF508" t="n">
        <v>0</v>
      </c>
      <c r="AG508" t="inlineStr">
        <is>
          <t>No</t>
        </is>
      </c>
      <c r="AH508" t="inlineStr">
        <is>
          <t>UNKNOWN</t>
        </is>
      </c>
      <c r="AI508" t="inlineStr">
        <is>
          <t>No mention of PPO or conversion in the job snippet.</t>
        </is>
      </c>
      <c r="AJ508" t="inlineStr"/>
      <c r="AK508" t="inlineStr">
        <is>
          <t>Vague job description snippet without specific technology requirements or stipend amounts</t>
        </is>
      </c>
      <c r="AL508" t="inlineStr">
        <is>
          <t>Software development lifecycle; Testing methodologies; Problem solving and coding fundamentals</t>
        </is>
      </c>
    </row>
    <row r="509">
      <c r="B509" t="inlineStr">
        <is>
          <t>allen digital</t>
        </is>
      </c>
      <c r="C509" t="inlineStr">
        <is>
          <t>Software Engineer Intern</t>
        </is>
      </c>
      <c r="D509" t="inlineStr">
        <is>
          <t>https://in.jooble.org/jdp/5384164569259953805</t>
        </is>
      </c>
      <c r="E509" t="inlineStr">
        <is>
          <t>AI Analyzer</t>
        </is>
      </c>
      <c r="F509" t="inlineStr">
        <is>
          <t>Bangalore</t>
        </is>
      </c>
      <c r="G509" t="inlineStr">
        <is>
          <t>Unknown</t>
        </is>
      </c>
      <c r="H509" t="inlineStr">
        <is>
          <t>Not specified</t>
        </is>
      </c>
      <c r="I509" t="inlineStr">
        <is>
          <t>Unknown</t>
        </is>
      </c>
      <c r="J509" t="inlineStr">
        <is>
          <t>UNKNOWN</t>
        </is>
      </c>
      <c r="K509" t="inlineStr">
        <is>
          <t>Go; Backend programming language</t>
        </is>
      </c>
      <c r="L509" t="inlineStr"/>
      <c r="M509" t="inlineStr">
        <is>
          <t>&amp;nbsp;...technologies related to Go development. 
 Qualifications 
 Currently pursuing a Bachelor's or Master's degree in Computer Science, &lt;b&gt;Engineering,&lt;/b&gt; or a related technical field, scheduled to complete in 2026
 Familiarity with at least one backend programming language (e.g.,...&amp;nbsp;</t>
        </is>
      </c>
      <c r="N509" t="n">
        <v>64</v>
      </c>
      <c r="O509" t="n">
        <v>60</v>
      </c>
      <c r="P509" t="n">
        <v>80</v>
      </c>
      <c r="Q509" t="n">
        <v>75</v>
      </c>
      <c r="R509" t="n">
        <v>50</v>
      </c>
      <c r="S509" t="n">
        <v>40</v>
      </c>
      <c r="T509" t="n">
        <v>60</v>
      </c>
      <c r="U509" t="inlineStr">
        <is>
          <t>STRETCH</t>
        </is>
      </c>
      <c r="V509" t="inlineStr">
        <is>
          <t>STRETCH</t>
        </is>
      </c>
      <c r="W509" t="inlineStr">
        <is>
          <t>Go</t>
        </is>
      </c>
      <c r="X509" t="inlineStr">
        <is>
          <t>Amaanuddin_Ahmed_Software_Engineer_Resume.pdf</t>
        </is>
      </c>
      <c r="Y509" t="inlineStr">
        <is>
          <t>2026-09-09</t>
        </is>
      </c>
      <c r="Z509" t="inlineStr">
        <is>
          <t>Matches education and graduation timeline criteria (Master's in 2026).; Good alignment with Software Engineering internship role.</t>
        </is>
      </c>
      <c r="AA509" t="inlineStr">
        <is>
          <t>ELIGIBLE</t>
        </is>
      </c>
      <c r="AB509" t="inlineStr">
        <is>
          <t>Currently pursuing a Master's degree in a technical field (MCA) scheduled to complete in 2026.</t>
        </is>
      </c>
      <c r="AC509" t="inlineStr">
        <is>
          <t>UNKNOWN</t>
        </is>
      </c>
      <c r="AD509" t="inlineStr">
        <is>
          <t>Not mentioned in the job snippet.</t>
        </is>
      </c>
      <c r="AE509" t="inlineStr">
        <is>
          <t>UNKNOWN</t>
        </is>
      </c>
      <c r="AF509" t="n">
        <v>0</v>
      </c>
      <c r="AG509" t="inlineStr">
        <is>
          <t>No</t>
        </is>
      </c>
      <c r="AH509" t="inlineStr">
        <is>
          <t>UNKNOWN</t>
        </is>
      </c>
      <c r="AI509" t="inlineStr">
        <is>
          <t>No mention of PPO or conversion in the snippet.</t>
        </is>
      </c>
      <c r="AJ509" t="inlineStr"/>
      <c r="AK509" t="inlineStr">
        <is>
          <t>Stipend is not disclosed; Go development is mentioned</t>
        </is>
      </c>
      <c r="AL509" t="inlineStr">
        <is>
          <t>Backend fundamentals; Go vs Node.js/Java/Python comparison; System design basics; Project walkthrough from portfolio</t>
        </is>
      </c>
    </row>
    <row r="510">
      <c r="B510" t="inlineStr">
        <is>
          <t>IONIC (Under Rebranding)</t>
        </is>
      </c>
      <c r="C510" t="inlineStr">
        <is>
          <t>Full Stack Engineer / Tech Intern</t>
        </is>
      </c>
      <c r="D510" t="inlineStr">
        <is>
          <t>https://in.jooble.org/jdp/6509585558078273655</t>
        </is>
      </c>
      <c r="E510" t="inlineStr">
        <is>
          <t>AI Analyzer</t>
        </is>
      </c>
      <c r="F510" t="inlineStr">
        <is>
          <t>Bangalore (also Gurgaon)</t>
        </is>
      </c>
      <c r="G510" t="inlineStr">
        <is>
          <t>On-site</t>
        </is>
      </c>
      <c r="H510" t="inlineStr">
        <is>
          <t>INR 25K to 50K</t>
        </is>
      </c>
      <c r="I510" t="inlineStr">
        <is>
          <t>Not Specified</t>
        </is>
      </c>
      <c r="J510" t="inlineStr">
        <is>
          <t>NOT_MENTIONED</t>
        </is>
      </c>
      <c r="K510" t="inlineStr">
        <is>
          <t>Full Stack Development; Software Engineering</t>
        </is>
      </c>
      <c r="L510" t="inlineStr"/>
      <c r="M510" t="inlineStr">
        <is>
          <t>&amp;nbsp;...We're Hiring: SDE1 and Tech &lt;b&gt;Intern &lt;/b&gt;(Paid - INR 25K to 50K)
 Location: Gurgaon, Bangalore...&amp;nbsp;&amp;nbsp;...internship on-site role for a Full Stack &lt;b&gt;Engineer.&lt;/b&gt; 
 The Full Stack Engineer will be responsible...&amp;nbsp;&amp;nbsp;...code, troubleshooting and debugging &lt;b&gt;software,&lt;/b&gt; collaborating with cross-functional...&amp;nbsp;</t>
        </is>
      </c>
      <c r="N510" t="n">
        <v>83</v>
      </c>
      <c r="O510" t="n">
        <v>27</v>
      </c>
      <c r="P510" t="n">
        <v>18</v>
      </c>
      <c r="Q510" t="n">
        <v>14</v>
      </c>
      <c r="R510" t="n">
        <v>7</v>
      </c>
      <c r="S510" t="n">
        <v>10</v>
      </c>
      <c r="T510" t="n">
        <v>7</v>
      </c>
      <c r="U510" t="inlineStr">
        <is>
          <t>APPLY</t>
        </is>
      </c>
      <c r="V510" t="inlineStr">
        <is>
          <t>APPLY</t>
        </is>
      </c>
      <c r="W510" t="inlineStr"/>
      <c r="X510" t="inlineStr">
        <is>
          <t>Amaanuddin_Ahmed_Full_Stack_Resume.pdf</t>
        </is>
      </c>
      <c r="Y510" t="inlineStr">
        <is>
          <t>2026-09-09</t>
        </is>
      </c>
      <c r="Z510" t="inlineStr">
        <is>
          <t>Stipend range of 25K to 50K meets the minimum target of ₹25,000/month.; Located in Bangalore with an on-site role matching target domains.; Good technical alignment with full stack development.</t>
        </is>
      </c>
      <c r="AA510" t="inlineStr">
        <is>
          <t>ELIGIBLE</t>
        </is>
      </c>
      <c r="AB510" t="inlineStr">
        <is>
          <t>No restrictive experience or degree requirements stated in the snippet.; Matches tech stack context.</t>
        </is>
      </c>
      <c r="AC510" t="inlineStr">
        <is>
          <t>UNKNOWN</t>
        </is>
      </c>
      <c r="AD510" t="inlineStr">
        <is>
          <t>Candidate availability details are not provided in the Career Brain.</t>
        </is>
      </c>
      <c r="AE510" t="inlineStr">
        <is>
          <t>EXPLICIT</t>
        </is>
      </c>
      <c r="AF510" t="n">
        <v>25000</v>
      </c>
      <c r="AG510" t="inlineStr">
        <is>
          <t>No</t>
        </is>
      </c>
      <c r="AH510" t="inlineStr">
        <is>
          <t>NOT_MENTIONED</t>
        </is>
      </c>
      <c r="AI510" t="inlineStr">
        <is>
          <t>No explicit mention of PPO or conversion in the snippet.</t>
        </is>
      </c>
      <c r="AJ510" t="inlineStr"/>
      <c r="AK510" t="inlineStr">
        <is>
          <t>Company name states 'Under Rebranding'</t>
        </is>
      </c>
      <c r="AL510" t="inlineStr">
        <is>
          <t>Full stack system architecture; Debugging and troubleshooting methodologies; MERN or relevant stack project deep-dive; Collaborative development and REST APIs</t>
        </is>
      </c>
    </row>
    <row r="511">
      <c r="B511" t="inlineStr">
        <is>
          <t>Rubrik</t>
        </is>
      </c>
      <c r="C511" t="inlineStr">
        <is>
          <t>Software Engineer - Winter Intern</t>
        </is>
      </c>
      <c r="D511" t="inlineStr">
        <is>
          <t>https://in.jooble.org/jdp/-1777843382272607488</t>
        </is>
      </c>
      <c r="E511" t="inlineStr">
        <is>
          <t>AI Analyzer</t>
        </is>
      </c>
      <c r="F511" t="inlineStr">
        <is>
          <t>Bangalore</t>
        </is>
      </c>
      <c r="G511" t="inlineStr">
        <is>
          <t>Unknown</t>
        </is>
      </c>
      <c r="H511" t="inlineStr">
        <is>
          <t>Not specified</t>
        </is>
      </c>
      <c r="I511" t="inlineStr">
        <is>
          <t>Winter Internship</t>
        </is>
      </c>
      <c r="O511" t="n">
        <v>70</v>
      </c>
      <c r="P511" t="n">
        <v>75</v>
      </c>
      <c r="Q511" t="n">
        <v>80</v>
      </c>
      <c r="R511" t="n">
        <v>50</v>
      </c>
      <c r="S511" t="n">
        <v>0</v>
      </c>
      <c r="T511" t="n">
        <v>75</v>
      </c>
      <c r="V511" t="inlineStr">
        <is>
          <t>STRETCH</t>
        </is>
      </c>
      <c r="AA511" t="inlineStr">
        <is>
          <t>Eligible</t>
        </is>
      </c>
      <c r="AB511" t="inlineStr">
        <is>
          <t>Location matches target city (Bangalore); Role aligns with Software Engineering target</t>
        </is>
      </c>
      <c r="AC511" t="inlineStr">
        <is>
          <t>Unknown</t>
        </is>
      </c>
      <c r="AD511" t="inlineStr">
        <is>
          <t>Candidate availability details are not provided in the career brain.</t>
        </is>
      </c>
      <c r="AE511" t="inlineStr">
        <is>
          <t>UNKNOWN</t>
        </is>
      </c>
      <c r="AF511" t="n">
        <v>0</v>
      </c>
      <c r="AG511" t="inlineStr">
        <is>
          <t>No</t>
        </is>
      </c>
      <c r="AH511" t="inlineStr">
        <is>
          <t>Not Mentioned</t>
        </is>
      </c>
      <c r="AI511" t="inlineStr">
        <is>
          <t>The job description snippet does not explicitly mention PPO or conversion opportunities.</t>
        </is>
      </c>
      <c r="AK511" t="inlineStr">
        <is>
          <t>Very brief job snippet with no explicit stack, stipend, or requirements mentioned</t>
        </is>
      </c>
      <c r="AL511" t="inlineStr">
        <is>
          <t>General software engineering principles; Problem solving and data structures; Past project architectures and design</t>
        </is>
      </c>
    </row>
    <row r="512">
      <c r="B512" t="inlineStr">
        <is>
          <t>Repowise</t>
        </is>
      </c>
      <c r="C512" t="inlineStr">
        <is>
          <t>SDE Intern (Founding Team) | AI x Developer Tools</t>
        </is>
      </c>
      <c r="D512" t="inlineStr">
        <is>
          <t>https://in.jooble.org/jdp/8042308166668747854</t>
        </is>
      </c>
      <c r="E512" t="inlineStr">
        <is>
          <t>AI Analyzer</t>
        </is>
      </c>
      <c r="F512" t="inlineStr">
        <is>
          <t>Bangalore</t>
        </is>
      </c>
      <c r="G512" t="inlineStr">
        <is>
          <t>Remote</t>
        </is>
      </c>
      <c r="H512" t="inlineStr">
        <is>
          <t>Not specified</t>
        </is>
      </c>
      <c r="I512" t="inlineStr">
        <is>
          <t>UNKNOWN</t>
        </is>
      </c>
      <c r="J512" t="inlineStr">
        <is>
          <t>UNKNOWN</t>
        </is>
      </c>
      <c r="K512" t="inlineStr">
        <is>
          <t>Python; FastAPI; tree-sitter; git internals; vector search; Docker; MCP; LLM integrations</t>
        </is>
      </c>
      <c r="L512" t="inlineStr">
        <is>
          <t>AI-agent tooling</t>
        </is>
      </c>
      <c r="M512" t="inlineStr">
        <is>
          <t>&amp;nbsp;...Build and ship production-grade features across the indexing &lt;b&gt;engine &lt;/b&gt;and AI-agent tooling 
 Work on core platform systems: code parsing...&amp;nbsp;&amp;nbsp;...Stack (Exposure You'll Get)
 Python, FastAPI, tree-sitter, git &lt;b&gt;internals,&lt;/b&gt; vector search, Docker, MCP, and LLM integrations, applied to static...&amp;nbsp;</t>
        </is>
      </c>
      <c r="N512" t="n">
        <v>40</v>
      </c>
      <c r="O512" t="n">
        <v>40</v>
      </c>
      <c r="P512" t="n">
        <v>50</v>
      </c>
      <c r="Q512" t="n">
        <v>50</v>
      </c>
      <c r="R512" t="n">
        <v>0</v>
      </c>
      <c r="S512" t="n">
        <v>0</v>
      </c>
      <c r="T512" t="n">
        <v>60</v>
      </c>
      <c r="U512" t="inlineStr">
        <is>
          <t>SKIP</t>
        </is>
      </c>
      <c r="V512" t="inlineStr">
        <is>
          <t>SKIP</t>
        </is>
      </c>
      <c r="W512" t="inlineStr">
        <is>
          <t>FastAPI; tree-sitter; git internals; vector search; Docker; MCP; LLM integrations</t>
        </is>
      </c>
      <c r="X512" t="inlineStr">
        <is>
          <t>Amaanuddin_Ahmed_Software_Engineer_Resume.pdf</t>
        </is>
      </c>
      <c r="Y512" t="inlineStr">
        <is>
          <t>2026-09-09</t>
        </is>
      </c>
      <c r="Z512" t="inlineStr">
        <is>
          <t>High-impact founding team opportunity in AI x Developer Tools.; Remote work mode aligns well with preferences.</t>
        </is>
      </c>
      <c r="AA512" t="inlineStr">
        <is>
          <t>ELIGIBLE</t>
        </is>
      </c>
      <c r="AB512" t="inlineStr">
        <is>
          <t>No explicit graduation year or degree blockers mentioned in the snippet.</t>
        </is>
      </c>
      <c r="AC512" t="inlineStr">
        <is>
          <t>UNKNOWN</t>
        </is>
      </c>
      <c r="AD512" t="inlineStr">
        <is>
          <t>Not enough information to determine exact availability constraints.</t>
        </is>
      </c>
      <c r="AE512" t="inlineStr">
        <is>
          <t>UNKNOWN</t>
        </is>
      </c>
      <c r="AF512" t="n">
        <v>0</v>
      </c>
      <c r="AG512" t="inlineStr">
        <is>
          <t>No</t>
        </is>
      </c>
      <c r="AH512" t="inlineStr">
        <is>
          <t>UNKNOWN</t>
        </is>
      </c>
      <c r="AI512" t="inlineStr">
        <is>
          <t>No explicit PPO or conversion mention found in the snippet.</t>
        </is>
      </c>
      <c r="AJ512" t="inlineStr"/>
      <c r="AK512" t="inlineStr">
        <is>
          <t>Unspecified stipend</t>
        </is>
      </c>
      <c r="AL512" t="inlineStr">
        <is>
          <t>Python fundamentals; Vector search concepts; LLM integration and AI agents; System architecture for developer tools</t>
        </is>
      </c>
    </row>
    <row r="513">
      <c r="B513" t="inlineStr">
        <is>
          <t>Codingal</t>
        </is>
      </c>
      <c r="C513" t="inlineStr">
        <is>
          <t>Software Engineer Intern</t>
        </is>
      </c>
      <c r="D513" t="inlineStr">
        <is>
          <t>https://in.jooble.org/jdp/3561679318189260784</t>
        </is>
      </c>
      <c r="E513" t="inlineStr">
        <is>
          <t>AI Analyzer</t>
        </is>
      </c>
      <c r="F513" t="inlineStr">
        <is>
          <t>Bangalore</t>
        </is>
      </c>
      <c r="G513" t="inlineStr">
        <is>
          <t>UNKNOWN</t>
        </is>
      </c>
      <c r="H513" t="inlineStr">
        <is>
          <t>Not specified</t>
        </is>
      </c>
      <c r="I513" t="inlineStr">
        <is>
          <t>UNKNOWN</t>
        </is>
      </c>
      <c r="J513" t="inlineStr">
        <is>
          <t>UNKNOWN</t>
        </is>
      </c>
      <c r="K513" t="inlineStr">
        <is>
          <t>Python; Django; React</t>
        </is>
      </c>
      <c r="L513" t="inlineStr"/>
      <c r="M513" t="inlineStr">
        <is>
          <t>&amp;nbsp;...prepare them to become future-ready creators - entrepreneurs, &lt;b&gt;engineers,&lt;/b&gt; and scientists. With a curriculum accredited by  STEM.org...&amp;nbsp;&amp;nbsp;...for coding and AI education. 
 We are seeking a  &lt;b&gt;Software &lt;/b&gt;Engineering &lt;b&gt;Intern &lt;/b&gt;(Fullstack - Python, Django, React) to join the passionate...&amp;nbsp;</t>
        </is>
      </c>
      <c r="N513" t="n">
        <v>65</v>
      </c>
      <c r="O513" t="n">
        <v>20</v>
      </c>
      <c r="P513" t="n">
        <v>20</v>
      </c>
      <c r="Q513" t="n">
        <v>15</v>
      </c>
      <c r="R513" t="n">
        <v>5</v>
      </c>
      <c r="S513" t="n">
        <v>0</v>
      </c>
      <c r="T513" t="n">
        <v>5</v>
      </c>
      <c r="U513" t="inlineStr">
        <is>
          <t>STRETCH</t>
        </is>
      </c>
      <c r="V513" t="inlineStr">
        <is>
          <t>STRETCH</t>
        </is>
      </c>
      <c r="W513" t="inlineStr">
        <is>
          <t>Django</t>
        </is>
      </c>
      <c r="X513" t="inlineStr">
        <is>
          <t>Amaanuddin_Ahmed_Fullstack_Resume.pdf</t>
        </is>
      </c>
      <c r="Y513" t="inlineStr">
        <is>
          <t>2026-09-09</t>
        </is>
      </c>
      <c r="Z513" t="inlineStr">
        <is>
          <t>Matches target role of Software Engineering / Full Stack Development; Candidate has demonstrated experience in Python and React</t>
        </is>
      </c>
      <c r="AA513" t="inlineStr">
        <is>
          <t>ELIGIBLE</t>
        </is>
      </c>
      <c r="AB513" t="inlineStr">
        <is>
          <t>No specific graduation year, strict degree, or explicit experience blockers mentioned in snippet</t>
        </is>
      </c>
      <c r="AC513" t="inlineStr">
        <is>
          <t>UNKNOWN</t>
        </is>
      </c>
      <c r="AD513" t="inlineStr">
        <is>
          <t>Not specified in candidate profile</t>
        </is>
      </c>
      <c r="AE513" t="inlineStr">
        <is>
          <t>UNKNOWN</t>
        </is>
      </c>
      <c r="AF513" t="n">
        <v>0</v>
      </c>
      <c r="AG513" t="inlineStr">
        <is>
          <t>No</t>
        </is>
      </c>
      <c r="AH513" t="inlineStr">
        <is>
          <t>UNKNOWN</t>
        </is>
      </c>
      <c r="AI513" t="inlineStr">
        <is>
          <t>No mention of PPO or conversion in the job description snippet</t>
        </is>
      </c>
      <c r="AJ513" t="inlineStr"/>
      <c r="AK513" t="inlineStr">
        <is>
          <t>Incomplete job description snippet providing limited details on stipend and duration</t>
        </is>
      </c>
      <c r="AL513" t="inlineStr">
        <is>
          <t>Python fundamentals; Django framework experience; React state management; Full stack web development projects</t>
        </is>
      </c>
    </row>
    <row r="514">
      <c r="B514" t="inlineStr">
        <is>
          <t>merklescience</t>
        </is>
      </c>
      <c r="C514" t="inlineStr">
        <is>
          <t>Software Engineer (Intern) - Backend</t>
        </is>
      </c>
      <c r="D514" t="inlineStr">
        <is>
          <t>https://in.jooble.org/jdp/-4009572167721000675</t>
        </is>
      </c>
      <c r="E514" t="inlineStr">
        <is>
          <t>AI Analyzer</t>
        </is>
      </c>
      <c r="F514" t="inlineStr">
        <is>
          <t>Bangalore</t>
        </is>
      </c>
      <c r="G514" t="inlineStr">
        <is>
          <t>Unknown</t>
        </is>
      </c>
      <c r="H514" t="inlineStr"/>
      <c r="I514" t="inlineStr">
        <is>
          <t>Unknown</t>
        </is>
      </c>
      <c r="J514" t="inlineStr">
        <is>
          <t>Not Mentioned</t>
        </is>
      </c>
      <c r="K514" t="inlineStr">
        <is>
          <t>PostgreSQL; Redis; Backend Development</t>
        </is>
      </c>
      <c r="L514" t="inlineStr">
        <is>
          <t>Caching; Queue management; Testing; Debugging</t>
        </is>
      </c>
      <c r="M514" t="inlineStr">
        <is>
          <t>&amp;nbsp;...models in  PostgreSQL 
 Work with  Redis  for caching, queues, and improving service performance 
 Collaborate with frontend and QA &lt;b&gt;engineers &lt;/b&gt;to ship end-to-end features 
 Write clean, tested, well-documented code and participate in code reviews 
 Debug and optimize...&amp;nbsp;</t>
        </is>
      </c>
      <c r="N514" t="n">
        <v>53</v>
      </c>
      <c r="O514" t="n">
        <v>60</v>
      </c>
      <c r="P514" t="n">
        <v>70</v>
      </c>
      <c r="Q514" t="n">
        <v>75</v>
      </c>
      <c r="R514" t="n">
        <v>0</v>
      </c>
      <c r="S514" t="n">
        <v>0</v>
      </c>
      <c r="T514" t="n">
        <v>60</v>
      </c>
      <c r="U514" t="inlineStr">
        <is>
          <t>SKIP</t>
        </is>
      </c>
      <c r="V514" t="inlineStr">
        <is>
          <t>SKIP</t>
        </is>
      </c>
      <c r="W514" t="inlineStr">
        <is>
          <t>PostgreSQL; Redis</t>
        </is>
      </c>
      <c r="X514" t="inlineStr">
        <is>
          <t>Amaanuddin_Ahmed_Backend_Resume</t>
        </is>
      </c>
      <c r="Y514" t="inlineStr">
        <is>
          <t>2026-09-09</t>
        </is>
      </c>
      <c r="Z514" t="inlineStr">
        <is>
          <t>Matches backend engineering interests; Located in Bangalore</t>
        </is>
      </c>
      <c r="AA514" t="inlineStr">
        <is>
          <t>Eligible</t>
        </is>
      </c>
      <c r="AB514" t="inlineStr">
        <is>
          <t>Location matches target city (Bangalore); Role aligns with Backend Development</t>
        </is>
      </c>
      <c r="AC514" t="inlineStr">
        <is>
          <t>Unknown</t>
        </is>
      </c>
      <c r="AD514" t="inlineStr">
        <is>
          <t>Availability not explicitly specified in the job snippet</t>
        </is>
      </c>
      <c r="AE514" t="inlineStr">
        <is>
          <t>UNKNOWN</t>
        </is>
      </c>
      <c r="AF514" t="n">
        <v>0</v>
      </c>
      <c r="AG514" t="inlineStr">
        <is>
          <t>No</t>
        </is>
      </c>
      <c r="AH514" t="inlineStr">
        <is>
          <t>Not Mentioned</t>
        </is>
      </c>
      <c r="AI514" t="inlineStr">
        <is>
          <t>No explicit mention of PPO or conversion in the snippet</t>
        </is>
      </c>
      <c r="AJ514" t="inlineStr"/>
      <c r="AK514" t="inlineStr">
        <is>
          <t>Stipend information is missing</t>
        </is>
      </c>
      <c r="AL514" t="inlineStr">
        <is>
          <t>PostgreSQL relational modeling and query optimization; Redis for caching and message queues; REST API design and backend architecture; Testing and debugging strategies in backend systems</t>
        </is>
      </c>
    </row>
    <row r="515">
      <c r="B515" t="inlineStr">
        <is>
          <t>Saffronbizz Solutions</t>
        </is>
      </c>
      <c r="C515" t="inlineStr">
        <is>
          <t>Software Developer Intern</t>
        </is>
      </c>
      <c r="D515" t="inlineStr">
        <is>
          <t>https://in.jooble.org/jdp/-6825957623175668188</t>
        </is>
      </c>
      <c r="E515" t="inlineStr">
        <is>
          <t>AI Analyzer</t>
        </is>
      </c>
      <c r="F515" t="inlineStr">
        <is>
          <t>Bangalore</t>
        </is>
      </c>
      <c r="G515" t="inlineStr">
        <is>
          <t>Unknown</t>
        </is>
      </c>
      <c r="H515" t="inlineStr">
        <is>
          <t>Rs 2 - 5 lakhs p.a.</t>
        </is>
      </c>
      <c r="I515" t="inlineStr">
        <is>
          <t>Unknown</t>
        </is>
      </c>
      <c r="J515" t="inlineStr">
        <is>
          <t>NOT_MENTIONED</t>
        </is>
      </c>
      <c r="K515" t="inlineStr">
        <is>
          <t>Agile; Modern programming languages</t>
        </is>
      </c>
      <c r="L515" t="inlineStr"/>
      <c r="M515" t="inlineStr">
        <is>
          <t>&amp;nbsp;...Job description  As a &lt;b&gt;Software &lt;/b&gt;Developer &lt;b&gt;Intern,&lt;/b&gt; you will: 
 Work alongside our experienced software developers on one of our small, energetic &lt;b&gt;development &lt;/b&gt;teams. 
 Learn the process of software development using modern languages like Agile to help full-time work in designing...&amp;nbsp;</t>
        </is>
      </c>
      <c r="N515" t="n">
        <v>62</v>
      </c>
      <c r="O515" t="n">
        <v>70</v>
      </c>
      <c r="P515" t="n">
        <v>80</v>
      </c>
      <c r="Q515" t="n">
        <v>80</v>
      </c>
      <c r="R515" t="n">
        <v>0</v>
      </c>
      <c r="S515" t="n">
        <v>60</v>
      </c>
      <c r="T515" t="n">
        <v>60</v>
      </c>
      <c r="U515" t="inlineStr">
        <is>
          <t>STRETCH</t>
        </is>
      </c>
      <c r="V515" t="inlineStr">
        <is>
          <t>STRETCH</t>
        </is>
      </c>
      <c r="W515" t="inlineStr"/>
      <c r="X515" t="inlineStr">
        <is>
          <t>Amaanuddin_Ahmed_Software_Engineer_Resume.pdf</t>
        </is>
      </c>
      <c r="Y515" t="inlineStr">
        <is>
          <t>2026-09-09</t>
        </is>
      </c>
      <c r="Z515" t="inlineStr">
        <is>
          <t>Matches the target Software Engineering internship role; Located in Bangalore</t>
        </is>
      </c>
      <c r="AA515" t="inlineStr">
        <is>
          <t>ELIGIBLE</t>
        </is>
      </c>
      <c r="AB515" t="inlineStr">
        <is>
          <t>No strict degree or hard blockers specified in the snippet</t>
        </is>
      </c>
      <c r="AC515" t="inlineStr">
        <is>
          <t>UNKNOWN</t>
        </is>
      </c>
      <c r="AD515" t="inlineStr">
        <is>
          <t>Candidate availability not specified in job description</t>
        </is>
      </c>
      <c r="AE515" t="inlineStr">
        <is>
          <t>EXPLICIT</t>
        </is>
      </c>
      <c r="AF515" t="n">
        <v>16666</v>
      </c>
      <c r="AG515" t="inlineStr">
        <is>
          <t>No</t>
        </is>
      </c>
      <c r="AH515" t="inlineStr">
        <is>
          <t>NOT_MENTIONED</t>
        </is>
      </c>
      <c r="AI515" t="inlineStr">
        <is>
          <t>No mention of PPO or conversion in the job description snippet</t>
        </is>
      </c>
      <c r="AJ515" t="inlineStr"/>
      <c r="AK515" t="inlineStr">
        <is>
          <t>Job description snippet is very vague</t>
        </is>
      </c>
      <c r="AL515" t="inlineStr">
        <is>
          <t>Agile methodology; Software development life cycle; Basic programming and problem solving</t>
        </is>
      </c>
    </row>
    <row r="516">
      <c r="B516" t="inlineStr">
        <is>
          <t>Chai Point</t>
        </is>
      </c>
      <c r="C516" t="inlineStr">
        <is>
          <t>Software Development Engineering (Web) Intern</t>
        </is>
      </c>
      <c r="D516" t="inlineStr">
        <is>
          <t>https://in.jooble.org/jdp/2483334524981365185</t>
        </is>
      </c>
      <c r="E516" t="inlineStr">
        <is>
          <t>AI Analyzer</t>
        </is>
      </c>
      <c r="F516" t="inlineStr">
        <is>
          <t>Bangalore</t>
        </is>
      </c>
      <c r="G516" t="inlineStr">
        <is>
          <t>Unknown</t>
        </is>
      </c>
      <c r="H516" t="inlineStr">
        <is>
          <t>Not specified</t>
        </is>
      </c>
      <c r="I516" t="inlineStr">
        <is>
          <t>Unknown</t>
        </is>
      </c>
      <c r="J516" t="inlineStr">
        <is>
          <t>Not Mentioned</t>
        </is>
      </c>
      <c r="K516" t="inlineStr">
        <is>
          <t>Web Development; QA and Testing</t>
        </is>
      </c>
      <c r="L516" t="inlineStr">
        <is>
          <t>AI Adoption; Technical Documentation</t>
        </is>
      </c>
      <c r="M516" t="inlineStr">
        <is>
          <t>&amp;nbsp;...&lt;b&gt;Intern'&lt;/b&gt;s Day-to-day Responsibilities Include 
 Assist with &lt;b&gt;development &lt;/b&gt;and implementation activities. 
 Support QA, testing, and bug identification. 
 Prepare and maintain technical documentation. 
 Explore and support AI adoption and AI-driven initiatives. 
 About Company...&amp;nbsp;</t>
        </is>
      </c>
      <c r="N516" t="n">
        <v>58</v>
      </c>
      <c r="O516" t="n">
        <v>70</v>
      </c>
      <c r="P516" t="n">
        <v>70</v>
      </c>
      <c r="Q516" t="n">
        <v>75</v>
      </c>
      <c r="R516" t="n">
        <v>30</v>
      </c>
      <c r="S516" t="n">
        <v>0</v>
      </c>
      <c r="T516" t="n">
        <v>50</v>
      </c>
      <c r="U516" t="inlineStr">
        <is>
          <t>SKIP</t>
        </is>
      </c>
      <c r="V516" t="inlineStr">
        <is>
          <t>SKIP</t>
        </is>
      </c>
      <c r="W516" t="inlineStr"/>
      <c r="X516" t="inlineStr">
        <is>
          <t>Amaan_Ahmed_Fullstack_Resume.pdf</t>
        </is>
      </c>
      <c r="Y516" t="inlineStr">
        <is>
          <t>2026-09-09</t>
        </is>
      </c>
      <c r="Z516" t="inlineStr">
        <is>
          <t>Located in Bangalore; Matches general Full Stack/Software Engineering profile</t>
        </is>
      </c>
      <c r="AA516" t="inlineStr">
        <is>
          <t>Eligible</t>
        </is>
      </c>
      <c r="AB516" t="inlineStr">
        <is>
          <t>No explicit degree or graduation-year blockers mentioned in the snippet.</t>
        </is>
      </c>
      <c r="AC516" t="inlineStr">
        <is>
          <t>Unknown</t>
        </is>
      </c>
      <c r="AD516" t="inlineStr">
        <is>
          <t>Not specified in candidate profile or job description.</t>
        </is>
      </c>
      <c r="AE516" t="inlineStr">
        <is>
          <t>UNKNOWN</t>
        </is>
      </c>
      <c r="AF516" t="n">
        <v>0</v>
      </c>
      <c r="AG516" t="inlineStr">
        <is>
          <t>No</t>
        </is>
      </c>
      <c r="AH516" t="inlineStr">
        <is>
          <t>Not Mentioned</t>
        </is>
      </c>
      <c r="AI516" t="inlineStr">
        <is>
          <t>No explicit mention of PPO or conversion in the job description snippet.</t>
        </is>
      </c>
      <c r="AJ516" t="inlineStr"/>
      <c r="AK516" t="inlineStr">
        <is>
          <t>Stipend details not provided; Vague and brief job description snippet</t>
        </is>
      </c>
      <c r="AL516" t="inlineStr">
        <is>
          <t>Web Development Fundamentals; Testing and QA processes; AI adoption in software development</t>
        </is>
      </c>
    </row>
    <row r="517">
      <c r="B517" t="inlineStr">
        <is>
          <t>Outbox.vc</t>
        </is>
      </c>
      <c r="C517" t="inlineStr">
        <is>
          <t>Software Developer - Intern</t>
        </is>
      </c>
      <c r="D517" t="inlineStr">
        <is>
          <t>https://in.jooble.org/jdp/5089802996613037634</t>
        </is>
      </c>
      <c r="E517" t="inlineStr">
        <is>
          <t>AI Analyzer</t>
        </is>
      </c>
      <c r="F517" t="inlineStr">
        <is>
          <t>Bangalore</t>
        </is>
      </c>
      <c r="G517" t="inlineStr">
        <is>
          <t>Unknown</t>
        </is>
      </c>
      <c r="H517" t="inlineStr">
        <is>
          <t>Rs 30000 - Rs 35000 per month</t>
        </is>
      </c>
      <c r="I517" t="inlineStr">
        <is>
          <t>Unknown</t>
        </is>
      </c>
      <c r="J517" t="inlineStr">
        <is>
          <t>not mentioned</t>
        </is>
      </c>
      <c r="K517" t="inlineStr">
        <is>
          <t>NodeJS; Typescript; Git; MySQL</t>
        </is>
      </c>
      <c r="L517" t="inlineStr"/>
      <c r="M517" t="inlineStr">
        <is>
          <t>&amp;nbsp;...Job Description 
 We are seeking  SDE &lt;b&gt;Interns,&lt;/b&gt;  talented individuals with strong knowledge of NodeJS, Typescript, Git and MySQL to...&amp;nbsp;&amp;nbsp;...opportunity to work on cutting-edge technologies and contribute to the &lt;b&gt;development &lt;/b&gt;of our innovative outbound marketing system. 
 If you are...&amp;nbsp;</t>
        </is>
      </c>
      <c r="N517" t="n">
        <v>77</v>
      </c>
      <c r="O517" t="n">
        <v>22</v>
      </c>
      <c r="P517" t="n">
        <v>18</v>
      </c>
      <c r="Q517" t="n">
        <v>14</v>
      </c>
      <c r="R517" t="n">
        <v>5</v>
      </c>
      <c r="S517" t="n">
        <v>10</v>
      </c>
      <c r="T517" t="n">
        <v>8</v>
      </c>
      <c r="U517" t="inlineStr">
        <is>
          <t>CONSIDER</t>
        </is>
      </c>
      <c r="V517" t="inlineStr">
        <is>
          <t>CONSIDER</t>
        </is>
      </c>
      <c r="W517" t="inlineStr">
        <is>
          <t>Typescript</t>
        </is>
      </c>
      <c r="X517" t="inlineStr">
        <is>
          <t>Full Stack / Backend Resume</t>
        </is>
      </c>
      <c r="Y517" t="inlineStr">
        <is>
          <t>2026-09-09</t>
        </is>
      </c>
      <c r="Z517" t="inlineStr">
        <is>
          <t>Stipend is above the minimum target of ₹25,000/month.; Matches primary tech stack skills like Node.js and MySQL.; Located in Bangalore.</t>
        </is>
      </c>
      <c r="AA517" t="inlineStr">
        <is>
          <t>eligible</t>
        </is>
      </c>
      <c r="AB517" t="inlineStr">
        <is>
          <t>Meets degree and graduation year constraints implicitly by being an MCA student looking for internships.; Location matches Bangalore.</t>
        </is>
      </c>
      <c r="AC517" t="inlineStr">
        <is>
          <t>unknown</t>
        </is>
      </c>
      <c r="AD517" t="inlineStr">
        <is>
          <t>Candidate availability start date is not specified in the career brain.</t>
        </is>
      </c>
      <c r="AE517" t="inlineStr">
        <is>
          <t>paid</t>
        </is>
      </c>
      <c r="AF517" t="n">
        <v>30000</v>
      </c>
      <c r="AG517" t="inlineStr">
        <is>
          <t>No</t>
        </is>
      </c>
      <c r="AH517" t="inlineStr">
        <is>
          <t>not mentioned</t>
        </is>
      </c>
      <c r="AI517" t="inlineStr">
        <is>
          <t>Job description does not explicitly mention PPO or conversion.</t>
        </is>
      </c>
      <c r="AJ517" t="inlineStr"/>
      <c r="AK517" t="inlineStr"/>
      <c r="AL517" t="inlineStr">
        <is>
          <t>Node.js architecture and event loop; TypeScript fundamentals and migration from JS; MySQL queries, indexing, and joins; Git workflows and branch management</t>
        </is>
      </c>
    </row>
    <row r="518">
      <c r="B518" t="inlineStr">
        <is>
          <t>Nxtwave Disruptive Technologies Private Limited</t>
        </is>
      </c>
      <c r="C518" t="inlineStr">
        <is>
          <t>MERN Developer - Intern</t>
        </is>
      </c>
      <c r="D518" t="inlineStr">
        <is>
          <t>https://in.jooble.org/jdp/7218822007534742956</t>
        </is>
      </c>
      <c r="E518" t="inlineStr">
        <is>
          <t>AI Analyzer</t>
        </is>
      </c>
      <c r="F518" t="inlineStr">
        <is>
          <t>Bangalore</t>
        </is>
      </c>
      <c r="G518" t="inlineStr">
        <is>
          <t>On-site</t>
        </is>
      </c>
      <c r="H518" t="inlineStr">
        <is>
          <t>20,000/month</t>
        </is>
      </c>
      <c r="I518" t="inlineStr">
        <is>
          <t>6 Months</t>
        </is>
      </c>
      <c r="J518" t="inlineStr">
        <is>
          <t>Yes</t>
        </is>
      </c>
      <c r="K518" t="inlineStr">
        <is>
          <t>MERN; MongoDB; Express.js; React.js; Node.js</t>
        </is>
      </c>
      <c r="L518" t="inlineStr"/>
      <c r="M518" t="inlineStr">
        <is>
          <t>&amp;nbsp;...MERN Developer – Internship + Full-Time Opportunity  Apply Link:    Apply Here 
 Role:  MERN Developer – &lt;b&gt;Intern &lt;/b&gt;
  Job Type:  Internship + Full-Time 
  Location:  Bangalore 
  CTC:  3.6 – 4.2 LPA 
  Internship Duration:  6 Months 
  Internship Stipend:  20,000/month...&amp;nbsp;</t>
        </is>
      </c>
      <c r="N518" t="n">
        <v>91</v>
      </c>
      <c r="O518" t="n">
        <v>30</v>
      </c>
      <c r="P518" t="n">
        <v>18</v>
      </c>
      <c r="Q518" t="n">
        <v>15</v>
      </c>
      <c r="R518" t="n">
        <v>15</v>
      </c>
      <c r="S518" t="n">
        <v>5</v>
      </c>
      <c r="T518" t="n">
        <v>8</v>
      </c>
      <c r="U518" t="inlineStr">
        <is>
          <t>APPLY ASAP</t>
        </is>
      </c>
      <c r="V518" t="inlineStr">
        <is>
          <t>APPLY ASAP</t>
        </is>
      </c>
      <c r="W518" t="inlineStr"/>
      <c r="X518" t="inlineStr">
        <is>
          <t>Amaan_FullStack_MERN_Resume.pdf</t>
        </is>
      </c>
      <c r="Y518" t="inlineStr">
        <is>
          <t>2026-09-09</t>
        </is>
      </c>
      <c r="Z518" t="inlineStr">
        <is>
          <t>Exact match for MERN stack role which aligns with Amaan's core skills and StaySphere project; Explicit Full-Time conversion opportunity (PPO) included with CTC of 3.6 - 4.2 LPA; Bangalore location matches preference</t>
        </is>
      </c>
      <c r="AA518" t="inlineStr">
        <is>
          <t>Eligible</t>
        </is>
      </c>
      <c r="AB518" t="inlineStr"/>
      <c r="AC518" t="inlineStr">
        <is>
          <t>Unknown</t>
        </is>
      </c>
      <c r="AD518" t="inlineStr">
        <is>
          <t>Not specified in the candidate profile.</t>
        </is>
      </c>
      <c r="AE518" t="inlineStr">
        <is>
          <t>Below Target</t>
        </is>
      </c>
      <c r="AF518" t="n">
        <v>20000</v>
      </c>
      <c r="AG518" t="inlineStr">
        <is>
          <t>No</t>
        </is>
      </c>
      <c r="AH518" t="inlineStr">
        <is>
          <t>Yes</t>
        </is>
      </c>
      <c r="AI518" t="inlineStr">
        <is>
          <t>Internship + Full-Time Opportunity / CTC: 3.6 - 4.2 LPA</t>
        </is>
      </c>
      <c r="AJ518" t="inlineStr"/>
      <c r="AK518" t="inlineStr">
        <is>
          <t>Stipend of Rs 20,000/month is below Amaan's minimum target of ₹25,000/month</t>
        </is>
      </c>
      <c r="AL518" t="inlineStr">
        <is>
          <t>MERN Stack Architecture; RESTful APIs and Authentication; State Management in React; MongoDB Aggregation and Schema Design; StaySphere Project Architecture</t>
        </is>
      </c>
    </row>
    <row r="519">
      <c r="B519" t="inlineStr">
        <is>
          <t>dodo payments</t>
        </is>
      </c>
      <c r="C519" t="inlineStr">
        <is>
          <t>Developer Relations Intern</t>
        </is>
      </c>
      <c r="D519" t="inlineStr">
        <is>
          <t>https://in.jooble.org/jdp/-6984745115447187577</t>
        </is>
      </c>
      <c r="E519" t="inlineStr">
        <is>
          <t>AI Analyzer</t>
        </is>
      </c>
      <c r="F519" t="inlineStr">
        <is>
          <t>Bangalore</t>
        </is>
      </c>
      <c r="G519" t="inlineStr">
        <is>
          <t>Unknown</t>
        </is>
      </c>
      <c r="H519" t="inlineStr">
        <is>
          <t>Not specified</t>
        </is>
      </c>
      <c r="I519" t="inlineStr">
        <is>
          <t>Unknown</t>
        </is>
      </c>
      <c r="J519" t="inlineStr">
        <is>
          <t>Not Mentioned</t>
        </is>
      </c>
      <c r="K519" t="inlineStr">
        <is>
          <t>Communication; Management; Coding; CRM systems; Technical support; Software development; APIs; Documentation; Community engagement; Workflow</t>
        </is>
      </c>
      <c r="L519" t="inlineStr"/>
      <c r="M519" t="inlineStr">
        <is>
          <t>&amp;nbsp;...About Us 
 Dodo Payments is an &lt;b&gt;international &lt;/b&gt;payments platform (Merchant-of-record) that enables digital-first businesses to collect...&amp;nbsp;&amp;nbsp;...communication,management,coding,crm systems,technical support,&lt;b&gt;software development,&lt;/b&gt;apis,documentation,community engagement,workflow...&amp;nbsp;</t>
        </is>
      </c>
      <c r="N519" t="n">
        <v>35</v>
      </c>
      <c r="O519" t="n">
        <v>40</v>
      </c>
      <c r="P519" t="n">
        <v>50</v>
      </c>
      <c r="Q519" t="n">
        <v>30</v>
      </c>
      <c r="R519" t="n">
        <v>0</v>
      </c>
      <c r="S519" t="n">
        <v>0</v>
      </c>
      <c r="T519" t="n">
        <v>50</v>
      </c>
      <c r="U519" t="inlineStr">
        <is>
          <t>SKIP</t>
        </is>
      </c>
      <c r="V519" t="inlineStr">
        <is>
          <t>SKIP</t>
        </is>
      </c>
      <c r="W519" t="inlineStr">
        <is>
          <t>Developer Relations; CRM systems; Technical support; Community engagement; Documentation</t>
        </is>
      </c>
      <c r="X519" t="inlineStr">
        <is>
          <t>Default / General</t>
        </is>
      </c>
      <c r="Y519" t="inlineStr">
        <is>
          <t>2026-09-09</t>
        </is>
      </c>
      <c r="Z519" t="inlineStr">
        <is>
          <t>Located in Bangalore</t>
        </is>
      </c>
      <c r="AA519" t="inlineStr">
        <is>
          <t>Eligible</t>
        </is>
      </c>
      <c r="AB519" t="inlineStr"/>
      <c r="AC519" t="inlineStr">
        <is>
          <t>Unknown</t>
        </is>
      </c>
      <c r="AD519" t="inlineStr">
        <is>
          <t>Not specified in candidate profile or job description</t>
        </is>
      </c>
      <c r="AE519" t="inlineStr">
        <is>
          <t>UNKNOWN</t>
        </is>
      </c>
      <c r="AF519" t="n">
        <v>0</v>
      </c>
      <c r="AG519" t="inlineStr">
        <is>
          <t>No</t>
        </is>
      </c>
      <c r="AH519" t="inlineStr">
        <is>
          <t>Not Mentioned</t>
        </is>
      </c>
      <c r="AI519" t="inlineStr">
        <is>
          <t>No mention of PPO or conversion in the job snippet</t>
        </is>
      </c>
      <c r="AJ519" t="inlineStr"/>
      <c r="AK519" t="inlineStr">
        <is>
          <t>Role is Developer Relations rather than core Software Engineering or Full Stack Development</t>
        </is>
      </c>
      <c r="AL519" t="inlineStr">
        <is>
          <t>API documentation experience; Community engagement and technical writing; Developer support workflows</t>
        </is>
      </c>
    </row>
    <row r="520">
      <c r="B520" t="inlineStr">
        <is>
          <t>Continental Industry</t>
        </is>
      </c>
      <c r="C520" t="inlineStr">
        <is>
          <t>Intern - AI Engineer</t>
        </is>
      </c>
      <c r="D520" t="inlineStr">
        <is>
          <t>https://in.jooble.org/jdp/-8151250632548540664</t>
        </is>
      </c>
      <c r="E520" t="inlineStr">
        <is>
          <t>AI Analyzer</t>
        </is>
      </c>
      <c r="F520" t="inlineStr">
        <is>
          <t>Bangalore</t>
        </is>
      </c>
      <c r="G520" t="inlineStr">
        <is>
          <t>UNKNOWN</t>
        </is>
      </c>
      <c r="H520" t="inlineStr">
        <is>
          <t>Not specified</t>
        </is>
      </c>
      <c r="I520" t="inlineStr">
        <is>
          <t>UNKNOWN</t>
        </is>
      </c>
      <c r="J520" t="inlineStr">
        <is>
          <t>UNKNOWN</t>
        </is>
      </c>
      <c r="K520" t="inlineStr">
        <is>
          <t>AI; Machine Learning</t>
        </is>
      </c>
      <c r="L520" t="inlineStr"/>
      <c r="M520" t="inlineStr">
        <is>
          <t xml:space="preserve"> Company Description 
 At ContiTech, we are building a world-class Business Hub in Bangalore that supports global business functions and enables excellence across finance, technology, and corporate services. 
 We are inviting students for internship opportunities in the space...</t>
        </is>
      </c>
      <c r="N520" t="n">
        <v>49</v>
      </c>
      <c r="O520" t="n">
        <v>40</v>
      </c>
      <c r="P520" t="n">
        <v>70</v>
      </c>
      <c r="Q520" t="n">
        <v>50</v>
      </c>
      <c r="R520" t="n">
        <v>50</v>
      </c>
      <c r="S520" t="n">
        <v>0</v>
      </c>
      <c r="T520" t="n">
        <v>60</v>
      </c>
      <c r="U520" t="inlineStr">
        <is>
          <t>SKIP</t>
        </is>
      </c>
      <c r="V520" t="inlineStr">
        <is>
          <t>SKIP</t>
        </is>
      </c>
      <c r="W520" t="inlineStr">
        <is>
          <t>AI Model Training; Deep Learning frameworks</t>
        </is>
      </c>
      <c r="X520" t="inlineStr">
        <is>
          <t>Amaan_Software_Engineer_Resume.pdf</t>
        </is>
      </c>
      <c r="Y520" t="inlineStr">
        <is>
          <t>2026-09-09</t>
        </is>
      </c>
      <c r="Z520" t="inlineStr">
        <is>
          <t>Located in Bangalore; Internship opportunity for students</t>
        </is>
      </c>
      <c r="AA520" t="inlineStr">
        <is>
          <t>ELIGIBLE</t>
        </is>
      </c>
      <c r="AB520" t="inlineStr">
        <is>
          <t>Student internship opportunity in Bangalore matching location preference</t>
        </is>
      </c>
      <c r="AC520" t="inlineStr">
        <is>
          <t>UNKNOWN</t>
        </is>
      </c>
      <c r="AD520" t="inlineStr">
        <is>
          <t>Not specified in candidate profile</t>
        </is>
      </c>
      <c r="AE520" t="inlineStr">
        <is>
          <t>UNKNOWN</t>
        </is>
      </c>
      <c r="AF520" t="n">
        <v>0</v>
      </c>
      <c r="AG520" t="inlineStr">
        <is>
          <t>No</t>
        </is>
      </c>
      <c r="AH520" t="inlineStr">
        <is>
          <t>UNKNOWN</t>
        </is>
      </c>
      <c r="AI520" t="inlineStr">
        <is>
          <t>Not mentioned in the truncated job snippet</t>
        </is>
      </c>
      <c r="AJ520" t="inlineStr"/>
      <c r="AK520" t="inlineStr">
        <is>
          <t>Truncated job description snippet; Missing stipend information</t>
        </is>
      </c>
      <c r="AL520" t="inlineStr">
        <is>
          <t>Python fundamentals; Basic AI/ML concepts; Student project walkthrough</t>
        </is>
      </c>
    </row>
    <row r="521">
      <c r="B521" t="inlineStr">
        <is>
          <t>Globalfoundries Engineering Private Limited</t>
        </is>
      </c>
      <c r="C521" t="inlineStr">
        <is>
          <t>Intern - QA Engineer</t>
        </is>
      </c>
      <c r="D521" t="inlineStr">
        <is>
          <t>https://in.jooble.org/jdp/-8396505595416879628</t>
        </is>
      </c>
      <c r="E521" t="inlineStr">
        <is>
          <t>AI Analyzer</t>
        </is>
      </c>
      <c r="F521" t="inlineStr">
        <is>
          <t>Bangalore</t>
        </is>
      </c>
      <c r="G521" t="inlineStr">
        <is>
          <t>Unknown</t>
        </is>
      </c>
      <c r="H521" t="inlineStr">
        <is>
          <t>Rs 2.5 - 5.5 lakhs p.a.</t>
        </is>
      </c>
      <c r="I521" t="inlineStr">
        <is>
          <t>Unknown</t>
        </is>
      </c>
      <c r="J521" t="inlineStr">
        <is>
          <t>UNKNOWN</t>
        </is>
      </c>
      <c r="K521" t="inlineStr">
        <is>
          <t>Software QA methodologies; Software development life cycle; Object-oriented principles</t>
        </is>
      </c>
      <c r="L521" t="inlineStr">
        <is>
          <t>Testing tools and processes</t>
        </is>
      </c>
      <c r="M521" t="inlineStr">
        <is>
          <t>&amp;nbsp;...wide range of applications and with specific efficient solutions based on the AUT.  
 Your Job: 
 Good understanding of the &lt;b&gt;software development/&lt;/b&gt;test life cycle and quality assurance 
 Strong knowledge of software QA methodologies tools and processes 
 Strong, object-oriented...&amp;nbsp;</t>
        </is>
      </c>
      <c r="N521" t="n">
        <v>35</v>
      </c>
      <c r="O521" t="n">
        <v>20</v>
      </c>
      <c r="P521" t="n">
        <v>50</v>
      </c>
      <c r="Q521" t="n">
        <v>20</v>
      </c>
      <c r="R521" t="n">
        <v>0</v>
      </c>
      <c r="S521" t="n">
        <v>80</v>
      </c>
      <c r="T521" t="n">
        <v>60</v>
      </c>
      <c r="U521" t="inlineStr">
        <is>
          <t>SKIP</t>
        </is>
      </c>
      <c r="V521" t="inlineStr">
        <is>
          <t>SKIP</t>
        </is>
      </c>
      <c r="W521" t="inlineStr">
        <is>
          <t>QA Engineering; Software testing methodologies; AUT testing</t>
        </is>
      </c>
      <c r="X521" t="inlineStr">
        <is>
          <t>Default MCA Resume</t>
        </is>
      </c>
      <c r="Y521" t="inlineStr">
        <is>
          <t>2026-09-09</t>
        </is>
      </c>
      <c r="Z521" t="inlineStr">
        <is>
          <t>Decent compensation range.</t>
        </is>
      </c>
      <c r="AA521" t="inlineStr">
        <is>
          <t>ELIGIBLE</t>
        </is>
      </c>
      <c r="AB521" t="inlineStr">
        <is>
          <t>No explicit graduation year or degree blockers mentioned in the snippet.</t>
        </is>
      </c>
      <c r="AC521" t="inlineStr">
        <is>
          <t>UNKNOWN</t>
        </is>
      </c>
      <c r="AD521" t="inlineStr">
        <is>
          <t>Not specified in career brain.</t>
        </is>
      </c>
      <c r="AE521" t="inlineStr">
        <is>
          <t>PAID</t>
        </is>
      </c>
      <c r="AF521" t="n">
        <v>20833</v>
      </c>
      <c r="AG521" t="inlineStr">
        <is>
          <t>No</t>
        </is>
      </c>
      <c r="AH521" t="inlineStr">
        <is>
          <t>UNKNOWN</t>
        </is>
      </c>
      <c r="AI521" t="inlineStr">
        <is>
          <t>No mention of PPO or conversion in the job snippet.</t>
        </is>
      </c>
      <c r="AJ521" t="inlineStr"/>
      <c r="AK521" t="inlineStr">
        <is>
          <t>Role is QA Engineer, which does not align well with target roles like Full Stack, Backend, Software Engineering, DevOps, or AI.</t>
        </is>
      </c>
      <c r="AL521" t="inlineStr">
        <is>
          <t>Software testing life cycle; QA methodologies; Object-oriented programming basics</t>
        </is>
      </c>
    </row>
    <row r="522">
      <c r="B522" t="inlineStr">
        <is>
          <t>emo.energy</t>
        </is>
      </c>
      <c r="C522" t="inlineStr">
        <is>
          <t>Full-Stack Developer</t>
        </is>
      </c>
      <c r="D522" t="inlineStr">
        <is>
          <t>https://in.jooble.org/jdp/3071963684124717842</t>
        </is>
      </c>
      <c r="E522" t="inlineStr">
        <is>
          <t>AI Analyzer</t>
        </is>
      </c>
      <c r="F522" t="inlineStr">
        <is>
          <t>Bangalore</t>
        </is>
      </c>
      <c r="G522" t="inlineStr">
        <is>
          <t>Unknown</t>
        </is>
      </c>
      <c r="H522" t="inlineStr">
        <is>
          <t>Not specified</t>
        </is>
      </c>
      <c r="I522" t="inlineStr">
        <is>
          <t>Unknown</t>
        </is>
      </c>
      <c r="J522" t="inlineStr">
        <is>
          <t>NOT_MENTIONED</t>
        </is>
      </c>
      <c r="K522" t="inlineStr">
        <is>
          <t>Full-Stack Development</t>
        </is>
      </c>
      <c r="L522" t="inlineStr"/>
      <c r="M522" t="inlineStr">
        <is>
          <t>&amp;nbsp;...Position: &lt;b&gt;Full-Stack Developer &lt;/b&gt;
  Location:  Bangalore 
 About Us 
 At EMO Energy, we're a fast-moving deep-tech startup revolutionizing...&amp;nbsp;&amp;nbsp;...Summary 
 We're looking for a passionate Full-Stack Developer (&lt;b&gt;Intern &lt;/b&gt;or Entry Level: 0–2 years) who can work with minimal guidance...&amp;nbsp;</t>
        </is>
      </c>
      <c r="N522" t="n">
        <v>72</v>
      </c>
      <c r="O522" t="n">
        <v>24</v>
      </c>
      <c r="P522" t="n">
        <v>18</v>
      </c>
      <c r="Q522" t="n">
        <v>13</v>
      </c>
      <c r="R522" t="n">
        <v>5</v>
      </c>
      <c r="S522" t="n">
        <v>5</v>
      </c>
      <c r="T522" t="n">
        <v>7</v>
      </c>
      <c r="U522" t="inlineStr">
        <is>
          <t>CONSIDER</t>
        </is>
      </c>
      <c r="V522" t="inlineStr">
        <is>
          <t>CONSIDER</t>
        </is>
      </c>
      <c r="W522" t="inlineStr"/>
      <c r="X522" t="inlineStr">
        <is>
          <t>Amaan_Ahmed_Full_Stack_Resume.pdf</t>
        </is>
      </c>
      <c r="Y522" t="inlineStr">
        <is>
          <t>2026-09-09</t>
        </is>
      </c>
      <c r="Z522" t="inlineStr">
        <is>
          <t>Matches target role for Full Stack Development; Experience range (0-2 years) fits well; Deep-tech startup environment offers good learning opportunity</t>
        </is>
      </c>
      <c r="AA522" t="inlineStr">
        <is>
          <t>ELIGIBLE</t>
        </is>
      </c>
      <c r="AB522" t="inlineStr">
        <is>
          <t>Experience requirement of 0-2 years aligns with candidate profile; Location Bangalore is acceptable</t>
        </is>
      </c>
      <c r="AC522" t="inlineStr">
        <is>
          <t>UNKNOWN</t>
        </is>
      </c>
      <c r="AD522" t="inlineStr">
        <is>
          <t>Not specified in candidate profile</t>
        </is>
      </c>
      <c r="AE522" t="inlineStr">
        <is>
          <t>UNKNOWN</t>
        </is>
      </c>
      <c r="AF522" t="n">
        <v>0</v>
      </c>
      <c r="AG522" t="inlineStr">
        <is>
          <t>No</t>
        </is>
      </c>
      <c r="AH522" t="inlineStr">
        <is>
          <t>NOT_MENTIONED</t>
        </is>
      </c>
      <c r="AI522" t="inlineStr">
        <is>
          <t>No mention of PPO or conversion in the job snippet</t>
        </is>
      </c>
      <c r="AJ522" t="inlineStr"/>
      <c r="AK522" t="inlineStr">
        <is>
          <t>Stipend not disclosed; PPO terms not disclosed</t>
        </is>
      </c>
      <c r="AL522" t="inlineStr">
        <is>
          <t>Full stack system architecture; MERN stack hands-on experience; Minimal guidance execution capability</t>
        </is>
      </c>
    </row>
    <row r="523">
      <c r="B523" t="inlineStr">
        <is>
          <t>panikcure</t>
        </is>
      </c>
      <c r="C523" t="inlineStr">
        <is>
          <t>Full Stack Developer Intern</t>
        </is>
      </c>
      <c r="D523" t="inlineStr">
        <is>
          <t>https://in.jooble.org/jdp/-3123247519826094573</t>
        </is>
      </c>
      <c r="E523" t="inlineStr">
        <is>
          <t>AI Analyzer</t>
        </is>
      </c>
      <c r="F523" t="inlineStr">
        <is>
          <t>Bangalore</t>
        </is>
      </c>
      <c r="G523" t="inlineStr">
        <is>
          <t>UNKNOWN</t>
        </is>
      </c>
      <c r="H523" t="inlineStr"/>
      <c r="I523" t="inlineStr">
        <is>
          <t>UNKNOWN</t>
        </is>
      </c>
      <c r="J523" t="inlineStr">
        <is>
          <t>UNKNOWN</t>
        </is>
      </c>
      <c r="K523" t="inlineStr">
        <is>
          <t>Full Stack Development; Web Development; UI/UX Implementation</t>
        </is>
      </c>
      <c r="L523" t="inlineStr"/>
      <c r="M523" t="inlineStr">
        <is>
          <t>&amp;nbsp;...™ is an early-stage innovation project exploring AI-driven, non-addictive mental-health solutions. 
 We're looking for a  &lt;b&gt;Full Stack Developer Intern &lt;/b&gt; . You'll work closely with a small, cross-functional team to turn UI/UX designs into a functional web product that demonstrates...&amp;nbsp;</t>
        </is>
      </c>
      <c r="N523" t="n">
        <v>57</v>
      </c>
      <c r="O523" t="n">
        <v>24</v>
      </c>
      <c r="P523" t="n">
        <v>16</v>
      </c>
      <c r="Q523" t="n">
        <v>12</v>
      </c>
      <c r="R523" t="n">
        <v>0</v>
      </c>
      <c r="S523" t="n">
        <v>0</v>
      </c>
      <c r="T523" t="n">
        <v>5</v>
      </c>
      <c r="U523" t="inlineStr">
        <is>
          <t>SKIP</t>
        </is>
      </c>
      <c r="V523" t="inlineStr">
        <is>
          <t>SKIP</t>
        </is>
      </c>
      <c r="W523" t="inlineStr"/>
      <c r="X523" t="inlineStr">
        <is>
          <t>Amaan_FullStack_Resume</t>
        </is>
      </c>
      <c r="Y523" t="inlineStr">
        <is>
          <t>2026-09-09</t>
        </is>
      </c>
      <c r="Z523" t="inlineStr">
        <is>
          <t>Matches target Full Stack Developer internship role.; Located in Bangalore.</t>
        </is>
      </c>
      <c r="AA523" t="inlineStr">
        <is>
          <t>ELIGIBLE</t>
        </is>
      </c>
      <c r="AB523" t="inlineStr">
        <is>
          <t>No explicit degree or graduation-year blockers mentioned.</t>
        </is>
      </c>
      <c r="AC523" t="inlineStr">
        <is>
          <t>UNKNOWN</t>
        </is>
      </c>
      <c r="AD523" t="inlineStr">
        <is>
          <t>Not specified in JD or candidate profile.</t>
        </is>
      </c>
      <c r="AE523" t="inlineStr">
        <is>
          <t>UNKNOWN</t>
        </is>
      </c>
      <c r="AF523" t="n">
        <v>0</v>
      </c>
      <c r="AG523" t="inlineStr">
        <is>
          <t>No</t>
        </is>
      </c>
      <c r="AH523" t="inlineStr">
        <is>
          <t>UNKNOWN</t>
        </is>
      </c>
      <c r="AI523" t="inlineStr">
        <is>
          <t>No mention of PPO or conversion.</t>
        </is>
      </c>
      <c r="AJ523" t="inlineStr"/>
      <c r="AK523" t="inlineStr">
        <is>
          <t>Early-stage innovation project with sparse details on compensation and duration.</t>
        </is>
      </c>
      <c r="AL523" t="inlineStr">
        <is>
          <t>Full stack web development experience; Translating UI/UX designs to functional code; Project architecture for mental-health solutions</t>
        </is>
      </c>
    </row>
    <row r="524">
      <c r="B524" t="inlineStr">
        <is>
          <t>emo.energy</t>
        </is>
      </c>
      <c r="C524" t="inlineStr">
        <is>
          <t>Full-Stack Developer Intern</t>
        </is>
      </c>
      <c r="D524" t="inlineStr">
        <is>
          <t>https://in.jooble.org/jdp/-2588912263494949841</t>
        </is>
      </c>
      <c r="E524" t="inlineStr">
        <is>
          <t>AI Analyzer</t>
        </is>
      </c>
      <c r="F524" t="inlineStr">
        <is>
          <t>Bangalore</t>
        </is>
      </c>
      <c r="G524" t="inlineStr">
        <is>
          <t>UNKNOWN</t>
        </is>
      </c>
      <c r="H524" t="inlineStr"/>
      <c r="I524" t="inlineStr">
        <is>
          <t>UNKNOWN</t>
        </is>
      </c>
      <c r="J524" t="inlineStr">
        <is>
          <t>UNKNOWN</t>
        </is>
      </c>
      <c r="K524" t="inlineStr">
        <is>
          <t>Front-end development; Full-Stack Development</t>
        </is>
      </c>
      <c r="L524" t="inlineStr"/>
      <c r="M524" t="inlineStr">
        <is>
          <t>&amp;nbsp;...future of mobility by building a comprehensive end-to-end EV &lt;b&gt;Stack.&lt;/b&gt; From high-performance battery systems to cutting-edge...&amp;nbsp;&amp;nbsp;...sustainable and electrified transportation. 
 Job Overview 
 As a &lt;b&gt;Full-&lt;/b&gt;Stack &lt;b&gt;Developer Intern,&lt;/b&gt; you will work primarily on front-end development while also...&amp;nbsp;</t>
        </is>
      </c>
      <c r="N524" t="n">
        <v>64</v>
      </c>
      <c r="O524" t="n">
        <v>21</v>
      </c>
      <c r="P524" t="n">
        <v>14</v>
      </c>
      <c r="Q524" t="n">
        <v>11</v>
      </c>
      <c r="R524" t="n">
        <v>7</v>
      </c>
      <c r="S524" t="n">
        <v>5</v>
      </c>
      <c r="T524" t="n">
        <v>6</v>
      </c>
      <c r="U524" t="inlineStr">
        <is>
          <t>STRETCH</t>
        </is>
      </c>
      <c r="V524" t="inlineStr">
        <is>
          <t>STRETCH</t>
        </is>
      </c>
      <c r="W524" t="inlineStr"/>
      <c r="X524" t="inlineStr">
        <is>
          <t>Amaanuddin_Ahmed_Software_Engineer_Resume.pdf</t>
        </is>
      </c>
      <c r="Y524" t="inlineStr">
        <is>
          <t>2026-09-09</t>
        </is>
      </c>
      <c r="Z524" t="inlineStr">
        <is>
          <t>Role aligns well with Full Stack Development targets; Located in Bangalore</t>
        </is>
      </c>
      <c r="AA524" t="inlineStr">
        <is>
          <t>ELIGIBLE</t>
        </is>
      </c>
      <c r="AB524" t="inlineStr">
        <is>
          <t>No explicit degree or hard graduation-year blockers mentioned in the snippet</t>
        </is>
      </c>
      <c r="AC524" t="inlineStr">
        <is>
          <t>UNKNOWN</t>
        </is>
      </c>
      <c r="AD524" t="inlineStr">
        <is>
          <t>Not specified in candidate profile</t>
        </is>
      </c>
      <c r="AE524" t="inlineStr">
        <is>
          <t>UNKNOWN</t>
        </is>
      </c>
      <c r="AF524" t="n">
        <v>0</v>
      </c>
      <c r="AG524" t="inlineStr">
        <is>
          <t>No</t>
        </is>
      </c>
      <c r="AH524" t="inlineStr">
        <is>
          <t>UNKNOWN</t>
        </is>
      </c>
      <c r="AI524" t="inlineStr">
        <is>
          <t>No explicit mention of PPO or conversion in the job description snippet</t>
        </is>
      </c>
      <c r="AJ524" t="inlineStr"/>
      <c r="AK524" t="inlineStr">
        <is>
          <t>Incomplete job description snippet provided; Stipend information missing</t>
        </is>
      </c>
      <c r="AL524" t="inlineStr">
        <is>
          <t>Front-end frameworks and architecture; Full-stack web application development; EV domain interest and past project experience</t>
        </is>
      </c>
    </row>
    <row r="525">
      <c r="B525" t="inlineStr">
        <is>
          <t>tradegospel</t>
        </is>
      </c>
      <c r="C525" t="inlineStr">
        <is>
          <t>Full Stack Developer Intern</t>
        </is>
      </c>
      <c r="D525" t="inlineStr">
        <is>
          <t>https://in.jooble.org/jdp/-4062499930695493919</t>
        </is>
      </c>
      <c r="E525" t="inlineStr">
        <is>
          <t>AI Analyzer</t>
        </is>
      </c>
      <c r="F525" t="inlineStr">
        <is>
          <t>Bengaluru</t>
        </is>
      </c>
      <c r="G525" t="inlineStr">
        <is>
          <t>On-site</t>
        </is>
      </c>
      <c r="H525" t="inlineStr"/>
      <c r="I525" t="inlineStr">
        <is>
          <t>3 months</t>
        </is>
      </c>
      <c r="J525" t="inlineStr">
        <is>
          <t>NOT_MENTIONED</t>
        </is>
      </c>
      <c r="K525" t="inlineStr">
        <is>
          <t>Full Stack Development</t>
        </is>
      </c>
      <c r="L525" t="inlineStr"/>
      <c r="M525" t="inlineStr">
        <is>
          <t>&amp;nbsp;...collaborate, and grow. Our team is passionate about innovation and creating impactful digital solutions.  We are looking for a  &lt;b&gt;Full Stack Developer Intern &lt;/b&gt; to join us for a 3-month internship  at our Bengaluru office. This is a great opportunity to gain hands-on experience...&amp;nbsp;</t>
        </is>
      </c>
      <c r="N525" t="n">
        <v>62</v>
      </c>
      <c r="O525" t="n">
        <v>24</v>
      </c>
      <c r="P525" t="n">
        <v>16</v>
      </c>
      <c r="Q525" t="n">
        <v>12</v>
      </c>
      <c r="R525" t="n">
        <v>5</v>
      </c>
      <c r="S525" t="n">
        <v>0</v>
      </c>
      <c r="T525" t="n">
        <v>5</v>
      </c>
      <c r="U525" t="inlineStr">
        <is>
          <t>STRETCH</t>
        </is>
      </c>
      <c r="V525" t="inlineStr">
        <is>
          <t>STRETCH</t>
        </is>
      </c>
      <c r="W525" t="inlineStr"/>
      <c r="X525" t="inlineStr">
        <is>
          <t>Full Stack Developer Resume</t>
        </is>
      </c>
      <c r="Y525" t="inlineStr">
        <is>
          <t>2026-09-09</t>
        </is>
      </c>
      <c r="Z525" t="inlineStr">
        <is>
          <t>Aligns well with target Full Stack Developer role.; Located in Bengaluru which matches regional preferences.</t>
        </is>
      </c>
      <c r="AA525" t="inlineStr">
        <is>
          <t>ELIGIBLE</t>
        </is>
      </c>
      <c r="AB525" t="inlineStr">
        <is>
          <t>No explicit degree or hard eligibility blockers mentioned in the snippet.</t>
        </is>
      </c>
      <c r="AC525" t="inlineStr">
        <is>
          <t>UNKNOWN</t>
        </is>
      </c>
      <c r="AD525" t="inlineStr">
        <is>
          <t>Candidate availability dates are not specified relative to the internship term.</t>
        </is>
      </c>
      <c r="AE525" t="inlineStr">
        <is>
          <t>UNKNOWN</t>
        </is>
      </c>
      <c r="AF525" t="n">
        <v>0</v>
      </c>
      <c r="AG525" t="inlineStr">
        <is>
          <t>No</t>
        </is>
      </c>
      <c r="AH525" t="inlineStr">
        <is>
          <t>NOT_MENTIONED</t>
        </is>
      </c>
      <c r="AI525" t="inlineStr">
        <is>
          <t>No mention of PPO or conversion in the job snippet.</t>
        </is>
      </c>
      <c r="AJ525" t="inlineStr"/>
      <c r="AK525" t="inlineStr">
        <is>
          <t>Stipend details are not provided.</t>
        </is>
      </c>
      <c r="AL525" t="inlineStr">
        <is>
          <t>MERN stack architecture; Full-stack project walkthrough (StaySphere or Zenvest); RESTful API design and database management</t>
        </is>
      </c>
    </row>
    <row r="526">
      <c r="B526" t="inlineStr">
        <is>
          <t>rp infocare pvt ltd</t>
        </is>
      </c>
      <c r="C526" t="inlineStr">
        <is>
          <t>Full Stack Web developer Intern- React, PHP</t>
        </is>
      </c>
      <c r="D526" t="inlineStr">
        <is>
          <t>https://in.jooble.org/jdp/-5507068087024381505</t>
        </is>
      </c>
      <c r="E526" t="inlineStr">
        <is>
          <t>AI Analyzer</t>
        </is>
      </c>
      <c r="F526" t="inlineStr">
        <is>
          <t>Bangalore</t>
        </is>
      </c>
      <c r="G526" t="inlineStr">
        <is>
          <t>On-site</t>
        </is>
      </c>
      <c r="H526" t="inlineStr">
        <is>
          <t>NON PAID</t>
        </is>
      </c>
      <c r="I526" t="inlineStr">
        <is>
          <t>Not Specified</t>
        </is>
      </c>
      <c r="J526" t="inlineStr">
        <is>
          <t>NOT_MENTIONED</t>
        </is>
      </c>
      <c r="K526" t="inlineStr">
        <is>
          <t>React; PHP; Front-end Development; Back-end Development</t>
        </is>
      </c>
      <c r="L526" t="inlineStr"/>
      <c r="M526" t="inlineStr">
        <is>
          <t>&amp;nbsp;...ensure an exceptional user experience and secure transactions. 
 Role Description 
 This is a &lt;b&gt;full-&lt;/b&gt;time, on-site role located in Bengaluru for a Full &lt;b&gt;Stack &lt;/b&gt;Web &lt;b&gt;Developer Intern-&lt;/b&gt; React, PHP (NON PAID). The intern will be responsible for assisting in both front-end and back-...&amp;nbsp;</t>
        </is>
      </c>
      <c r="N526" t="n">
        <v>35</v>
      </c>
      <c r="O526" t="n">
        <v>40</v>
      </c>
      <c r="P526" t="n">
        <v>50</v>
      </c>
      <c r="Q526" t="n">
        <v>50</v>
      </c>
      <c r="R526" t="n">
        <v>0</v>
      </c>
      <c r="S526" t="n">
        <v>0</v>
      </c>
      <c r="T526" t="n">
        <v>20</v>
      </c>
      <c r="U526" t="inlineStr">
        <is>
          <t>SKIP</t>
        </is>
      </c>
      <c r="V526" t="inlineStr">
        <is>
          <t>SKIP</t>
        </is>
      </c>
      <c r="W526" t="inlineStr">
        <is>
          <t>PHP</t>
        </is>
      </c>
      <c r="X526" t="inlineStr">
        <is>
          <t>Amaanuddin_Ahmed_Standard_Resume</t>
        </is>
      </c>
      <c r="Y526" t="inlineStr">
        <is>
          <t>2026-09-09</t>
        </is>
      </c>
      <c r="Z526" t="inlineStr">
        <is>
          <t>Located in Bangalore; Full stack internship role</t>
        </is>
      </c>
      <c r="AA526" t="inlineStr">
        <is>
          <t>ELIGIBLE</t>
        </is>
      </c>
      <c r="AB526" t="inlineStr"/>
      <c r="AC526" t="inlineStr">
        <is>
          <t>UNKNOWN</t>
        </is>
      </c>
      <c r="AD526" t="inlineStr">
        <is>
          <t>Candidate availability details are not provided.</t>
        </is>
      </c>
      <c r="AE526" t="inlineStr">
        <is>
          <t>UNPAID</t>
        </is>
      </c>
      <c r="AF526" t="n">
        <v>0</v>
      </c>
      <c r="AG526" t="inlineStr">
        <is>
          <t>No</t>
        </is>
      </c>
      <c r="AH526" t="inlineStr">
        <is>
          <t>NOT_MENTIONED</t>
        </is>
      </c>
      <c r="AI526" t="inlineStr">
        <is>
          <t>No mention of PPO or conversion in the job description snippet.</t>
        </is>
      </c>
      <c r="AJ526" t="inlineStr"/>
      <c r="AK526" t="inlineStr">
        <is>
          <t>Non-paid internship; Requires PHP which is not in candidate primary demonstrated stack</t>
        </is>
      </c>
      <c r="AL526" t="inlineStr">
        <is>
          <t>React.js state management; PHP fundamentals; Full-stack web architecture</t>
        </is>
      </c>
    </row>
    <row r="527">
      <c r="B527" t="inlineStr">
        <is>
          <t>ai4sees private ltd</t>
        </is>
      </c>
      <c r="C527" t="inlineStr">
        <is>
          <t>Full Stack Web Developer Intern</t>
        </is>
      </c>
      <c r="D527" t="inlineStr">
        <is>
          <t>https://in.jooble.org/jdp/4356507815804547926</t>
        </is>
      </c>
      <c r="E527" t="inlineStr">
        <is>
          <t>AI Analyzer</t>
        </is>
      </c>
      <c r="F527" t="inlineStr">
        <is>
          <t>Bengaluru</t>
        </is>
      </c>
      <c r="G527" t="inlineStr">
        <is>
          <t>On-site</t>
        </is>
      </c>
      <c r="H527" t="inlineStr">
        <is>
          <t>Not specified</t>
        </is>
      </c>
      <c r="I527" t="inlineStr">
        <is>
          <t>UNKNOWN</t>
        </is>
      </c>
      <c r="J527" t="inlineStr">
        <is>
          <t>NOT_MENTIONED</t>
        </is>
      </c>
      <c r="K527" t="inlineStr">
        <is>
          <t>Full Stack Web Development</t>
        </is>
      </c>
      <c r="L527" t="inlineStr"/>
      <c r="M527" t="inlineStr">
        <is>
          <t>&amp;nbsp;...application development, and digital marketing. AI4SEES also &lt;b&gt;develops &lt;/b&gt;SaaS and PaaS products, IoT and cloud technology...&amp;nbsp;&amp;nbsp;...and clients. 
 Role Description  This is a &lt;b&gt;full-&lt;/b&gt;time, on-site Full &lt;b&gt;Stack &lt;/b&gt;Web Developer &lt;b&gt;Intern &lt;/b&gt;role based in Bengaluru. The intern will assist in designing...&amp;nbsp;</t>
        </is>
      </c>
      <c r="N527" t="n">
        <v>62</v>
      </c>
      <c r="O527" t="n">
        <v>24</v>
      </c>
      <c r="P527" t="n">
        <v>16</v>
      </c>
      <c r="Q527" t="n">
        <v>12</v>
      </c>
      <c r="R527" t="n">
        <v>5</v>
      </c>
      <c r="S527" t="n">
        <v>0</v>
      </c>
      <c r="T527" t="n">
        <v>5</v>
      </c>
      <c r="U527" t="inlineStr">
        <is>
          <t>STRETCH</t>
        </is>
      </c>
      <c r="V527" t="inlineStr">
        <is>
          <t>STRETCH</t>
        </is>
      </c>
      <c r="W527" t="inlineStr"/>
      <c r="X527" t="inlineStr">
        <is>
          <t>Amaanuddin_Ahmed_Fullstack_Resume.pdf</t>
        </is>
      </c>
      <c r="Y527" t="inlineStr">
        <is>
          <t>2026-09-09</t>
        </is>
      </c>
      <c r="Z527" t="inlineStr">
        <is>
          <t>Matches target Full Stack Development role; Requires stack overlapping with Amaan's MERN expertise</t>
        </is>
      </c>
      <c r="AA527" t="inlineStr">
        <is>
          <t>ELIGIBLE</t>
        </is>
      </c>
      <c r="AB527" t="inlineStr">
        <is>
          <t>Role aligns with MCA student profile; No specific hard experience blockers mentioned in the snippet</t>
        </is>
      </c>
      <c r="AC527" t="inlineStr">
        <is>
          <t>UNKNOWN</t>
        </is>
      </c>
      <c r="AD527" t="inlineStr">
        <is>
          <t>Candidate availability timeline not explicitly matched against company requirements.</t>
        </is>
      </c>
      <c r="AE527" t="inlineStr">
        <is>
          <t>UNKNOWN</t>
        </is>
      </c>
      <c r="AF527" t="n">
        <v>0</v>
      </c>
      <c r="AG527" t="inlineStr">
        <is>
          <t>No</t>
        </is>
      </c>
      <c r="AH527" t="inlineStr">
        <is>
          <t>NOT_MENTIONED</t>
        </is>
      </c>
      <c r="AI527" t="inlineStr">
        <is>
          <t>No mention of PPO or conversion in the job description snippet.</t>
        </is>
      </c>
      <c r="AJ527" t="inlineStr"/>
      <c r="AK527" t="inlineStr">
        <is>
          <t>Incomplete job description snippet with missing stipend and duration details</t>
        </is>
      </c>
      <c r="AL527" t="inlineStr">
        <is>
          <t>MERN stack architecture; REST API design; Database modeling with MongoDB; Past projects like StaySphere and Zenvest</t>
        </is>
      </c>
    </row>
    <row r="528">
      <c r="B528" t="inlineStr">
        <is>
          <t>Equilibrium</t>
        </is>
      </c>
      <c r="C528" t="inlineStr">
        <is>
          <t>GIS Intern</t>
        </is>
      </c>
      <c r="D528" t="inlineStr">
        <is>
          <t>https://in.jooble.org/jdp/-4605506488581299335</t>
        </is>
      </c>
      <c r="E528" t="inlineStr">
        <is>
          <t>AI Analyzer</t>
        </is>
      </c>
      <c r="F528" t="inlineStr">
        <is>
          <t>Bangalore</t>
        </is>
      </c>
      <c r="G528" t="inlineStr">
        <is>
          <t>Unknown</t>
        </is>
      </c>
      <c r="H528" t="inlineStr">
        <is>
          <t>Not specified</t>
        </is>
      </c>
      <c r="I528" t="inlineStr">
        <is>
          <t>Unknown</t>
        </is>
      </c>
      <c r="J528" t="inlineStr">
        <is>
          <t>Not Mentioned</t>
        </is>
      </c>
      <c r="K528" t="inlineStr">
        <is>
          <t>GIS; Geospatial Data; Mapping; Remote Sensing</t>
        </is>
      </c>
      <c r="L528" t="inlineStr"/>
      <c r="M528" t="inlineStr">
        <is>
          <t>&amp;nbsp;...Location: Bangalore 
 About Equilibrium: 
 Equilibrium is a &lt;b&gt;full-stack &lt;/b&gt;carbon removal &lt;b&gt;developer &lt;/b&gt;building one of the largest high-integrity carbon...&amp;nbsp;&amp;nbsp;...operations. 
 Key Responsibilities: 
 We are looking for a GIS &lt;b&gt;Intern &lt;/b&gt;to support our geospatial data, mapping, remote sensing,...&amp;nbsp;</t>
        </is>
      </c>
      <c r="N528" t="n">
        <v>26</v>
      </c>
      <c r="O528" t="n">
        <v>20</v>
      </c>
      <c r="P528" t="n">
        <v>50</v>
      </c>
      <c r="Q528" t="n">
        <v>30</v>
      </c>
      <c r="R528" t="n">
        <v>0</v>
      </c>
      <c r="S528" t="n">
        <v>0</v>
      </c>
      <c r="T528" t="n">
        <v>50</v>
      </c>
      <c r="U528" t="inlineStr">
        <is>
          <t>SKIP</t>
        </is>
      </c>
      <c r="V528" t="inlineStr">
        <is>
          <t>SKIP</t>
        </is>
      </c>
      <c r="W528" t="inlineStr">
        <is>
          <t>GIS; Geospatial Data; Mapping; Remote Sensing</t>
        </is>
      </c>
      <c r="X528" t="inlineStr">
        <is>
          <t>Default Resume</t>
        </is>
      </c>
      <c r="Y528" t="inlineStr">
        <is>
          <t>2026-09-09</t>
        </is>
      </c>
      <c r="Z528" t="inlineStr">
        <is>
          <t>Located in Bangalore</t>
        </is>
      </c>
      <c r="AA528" t="inlineStr">
        <is>
          <t>Eligible</t>
        </is>
      </c>
      <c r="AB528" t="inlineStr">
        <is>
          <t>Location matches Bangalore preference; Internship role aligns with current student status</t>
        </is>
      </c>
      <c r="AC528" t="inlineStr">
        <is>
          <t>Unknown</t>
        </is>
      </c>
      <c r="AD528" t="inlineStr">
        <is>
          <t>Not specified in candidate profile</t>
        </is>
      </c>
      <c r="AE528" t="inlineStr">
        <is>
          <t>UNKNOWN</t>
        </is>
      </c>
      <c r="AF528" t="n">
        <v>0</v>
      </c>
      <c r="AG528" t="inlineStr">
        <is>
          <t>No</t>
        </is>
      </c>
      <c r="AH528" t="inlineStr">
        <is>
          <t>Not Mentioned</t>
        </is>
      </c>
      <c r="AI528" t="inlineStr">
        <is>
          <t>No mention of conversion to full-time employment or PPO in the job snippet.</t>
        </is>
      </c>
      <c r="AJ528" t="inlineStr"/>
      <c r="AK528" t="inlineStr">
        <is>
          <t>Role is heavily focused on GIS and Remote Sensing which is outside Amaan's core software engineering skill set.</t>
        </is>
      </c>
      <c r="AL528" t="inlineStr">
        <is>
          <t>GIS fundamentals; Geospatial data handling; Remote sensing techniques</t>
        </is>
      </c>
    </row>
    <row r="529">
      <c r="B529" t="inlineStr">
        <is>
          <t>Impacto Digifin Technologies Pvt. Ltd.</t>
        </is>
      </c>
      <c r="C529" t="inlineStr">
        <is>
          <t>Full Stack Developer Intern</t>
        </is>
      </c>
      <c r="D529" t="inlineStr">
        <is>
          <t>https://in.jooble.org/jdp/-3040557102943083105</t>
        </is>
      </c>
      <c r="E529" t="inlineStr">
        <is>
          <t>AI Analyzer</t>
        </is>
      </c>
      <c r="F529" t="inlineStr">
        <is>
          <t>Brookefield, Bangalore</t>
        </is>
      </c>
      <c r="G529" t="inlineStr">
        <is>
          <t>Work From Office</t>
        </is>
      </c>
      <c r="H529" t="inlineStr">
        <is>
          <t>₹15,000 per Month</t>
        </is>
      </c>
      <c r="I529" t="inlineStr">
        <is>
          <t>6 Months</t>
        </is>
      </c>
      <c r="J529" t="inlineStr">
        <is>
          <t>UNKNOWN</t>
        </is>
      </c>
      <c r="K529" t="inlineStr">
        <is>
          <t>Full Stack Development</t>
        </is>
      </c>
      <c r="L529" t="inlineStr"/>
      <c r="M529" t="inlineStr">
        <is>
          <t>&amp;nbsp;...&lt;b&gt;Full Stack Developer Intern &lt;/b&gt; Company:  Impacto Digifin Technologies Pvt. Ltd. 
 Position:  Full Stack Developer Intern 
 Location:  Brookefield, Bangalore (Work From Office)
 Duration:  6 Months 
 Stipend:  ₹15,000 per Month 
 Working Hours:  9:00 AM – 6:00 PM 
 Working...&amp;nbsp;</t>
        </is>
      </c>
      <c r="N529" t="n">
        <v>71</v>
      </c>
      <c r="O529" t="n">
        <v>25</v>
      </c>
      <c r="P529" t="n">
        <v>20</v>
      </c>
      <c r="Q529" t="n">
        <v>15</v>
      </c>
      <c r="R529" t="n">
        <v>5</v>
      </c>
      <c r="S529" t="n">
        <v>0</v>
      </c>
      <c r="T529" t="n">
        <v>6</v>
      </c>
      <c r="U529" t="inlineStr">
        <is>
          <t>CONSIDER</t>
        </is>
      </c>
      <c r="V529" t="inlineStr">
        <is>
          <t>CONSIDER</t>
        </is>
      </c>
      <c r="W529" t="inlineStr"/>
      <c r="X529" t="inlineStr">
        <is>
          <t>Default Full Stack Resume</t>
        </is>
      </c>
      <c r="Y529" t="inlineStr">
        <is>
          <t>2026-09-09</t>
        </is>
      </c>
      <c r="Z529" t="inlineStr">
        <is>
          <t>Matches target role of Full Stack Developer Intern.; Located in Bangalore with work from office mode.</t>
        </is>
      </c>
      <c r="AA529" t="inlineStr">
        <is>
          <t>ELIGIBLE</t>
        </is>
      </c>
      <c r="AB529" t="inlineStr">
        <is>
          <t>Location is Bangalore, matching candidate preference for work from office.; No specific degree or experience blockers mentioned in the snippet.</t>
        </is>
      </c>
      <c r="AC529" t="inlineStr">
        <is>
          <t>UNKNOWN</t>
        </is>
      </c>
      <c r="AD529" t="inlineStr">
        <is>
          <t>Availability requirements not specified in the job description.</t>
        </is>
      </c>
      <c r="AE529" t="inlineStr">
        <is>
          <t>PAID</t>
        </is>
      </c>
      <c r="AF529" t="n">
        <v>15000</v>
      </c>
      <c r="AG529" t="inlineStr">
        <is>
          <t>No</t>
        </is>
      </c>
      <c r="AH529" t="inlineStr">
        <is>
          <t>UNKNOWN</t>
        </is>
      </c>
      <c r="AI529" t="inlineStr">
        <is>
          <t>No mention of PPO or conversion in the job snippet.</t>
        </is>
      </c>
      <c r="AJ529" t="inlineStr">
        <is>
          <t>Stipend is ₹15,000 per month, which is below Amaan's minimum stipend target of ₹25,000/month.</t>
        </is>
      </c>
      <c r="AK529" t="inlineStr">
        <is>
          <t>Stipend below target threshold.</t>
        </is>
      </c>
      <c r="AL529" t="inlineStr">
        <is>
          <t>MERN stack fundamentals; REST API design; State management in React; Database schema design</t>
        </is>
      </c>
    </row>
    <row r="530">
      <c r="B530" t="inlineStr">
        <is>
          <t>Equilibrium</t>
        </is>
      </c>
      <c r="C530" t="inlineStr">
        <is>
          <t>Intern - Accounts &amp; Compliance</t>
        </is>
      </c>
      <c r="D530" t="inlineStr">
        <is>
          <t>https://in.jooble.org/jdp/3513868326605286801</t>
        </is>
      </c>
      <c r="E530" t="inlineStr">
        <is>
          <t>AI Analyzer</t>
        </is>
      </c>
      <c r="F530" t="inlineStr">
        <is>
          <t>Bangalore</t>
        </is>
      </c>
      <c r="G530" t="inlineStr">
        <is>
          <t>UNKNOWN</t>
        </is>
      </c>
      <c r="H530" t="inlineStr">
        <is>
          <t>Not specified</t>
        </is>
      </c>
      <c r="I530" t="inlineStr">
        <is>
          <t>UNKNOWN</t>
        </is>
      </c>
      <c r="J530" t="inlineStr">
        <is>
          <t>UNKNOWN</t>
        </is>
      </c>
      <c r="K530" t="inlineStr">
        <is>
          <t>Accounts; Compliance; Audits</t>
        </is>
      </c>
      <c r="L530" t="inlineStr"/>
      <c r="M530" t="inlineStr">
        <is>
          <t>&amp;nbsp;...Location: Bangalore 
 About Equilibrium: 
 Equilibrium is a &lt;b&gt;full-stack &lt;/b&gt;carbon removal &lt;b&gt;developer &lt;/b&gt;building one of the largest high-integrity carbon...&amp;nbsp;&amp;nbsp;...compliance-related documents 
 Support the Accounts team during &lt;b&gt;internal &lt;/b&gt;and statutory audits by preparing schedules,...&amp;nbsp;</t>
        </is>
      </c>
      <c r="N530" t="n">
        <v>0</v>
      </c>
      <c r="O530" t="n">
        <v>0</v>
      </c>
      <c r="P530" t="n">
        <v>0</v>
      </c>
      <c r="Q530" t="n">
        <v>0</v>
      </c>
      <c r="R530" t="n">
        <v>0</v>
      </c>
      <c r="S530" t="n">
        <v>0</v>
      </c>
      <c r="T530" t="n">
        <v>0</v>
      </c>
      <c r="U530" t="inlineStr">
        <is>
          <t>SKIP</t>
        </is>
      </c>
      <c r="V530" t="inlineStr">
        <is>
          <t>SKIP</t>
        </is>
      </c>
      <c r="W530" t="inlineStr">
        <is>
          <t>Accounts; Compliance; Audits</t>
        </is>
      </c>
      <c r="X530" t="inlineStr">
        <is>
          <t>Amaanuddin_Ahmed_MCA_Resume</t>
        </is>
      </c>
      <c r="Y530" t="inlineStr">
        <is>
          <t>2026-09-09</t>
        </is>
      </c>
      <c r="Z530" t="inlineStr"/>
      <c r="AA530" t="inlineStr">
        <is>
          <t>NOT ELIGIBLE</t>
        </is>
      </c>
      <c r="AB530" t="inlineStr">
        <is>
          <t>Role is in Accounts &amp; Compliance, which does not match candidate's target engineering and development roles.</t>
        </is>
      </c>
      <c r="AC530" t="inlineStr">
        <is>
          <t>UNKNOWN</t>
        </is>
      </c>
      <c r="AD530" t="inlineStr">
        <is>
          <t>Not provided</t>
        </is>
      </c>
      <c r="AE530" t="inlineStr">
        <is>
          <t>UNKNOWN</t>
        </is>
      </c>
      <c r="AF530" t="n">
        <v>0</v>
      </c>
      <c r="AG530" t="inlineStr">
        <is>
          <t>No</t>
        </is>
      </c>
      <c r="AH530" t="inlineStr">
        <is>
          <t>UNKNOWN</t>
        </is>
      </c>
      <c r="AI530" t="inlineStr">
        <is>
          <t>No PPO mentioned in the job description snippet.</t>
        </is>
      </c>
      <c r="AJ530" t="inlineStr">
        <is>
          <t>Non-engineering role (Accounts &amp; Compliance instead of Software Engineering/Development)</t>
        </is>
      </c>
      <c r="AK530" t="inlineStr">
        <is>
          <t>Mismatch in domain (Finance/Compliance vs Computer Applications/Software Engineering)</t>
        </is>
      </c>
      <c r="AL530" t="inlineStr"/>
    </row>
    <row r="531">
      <c r="B531" t="inlineStr">
        <is>
          <t>AppScrip</t>
        </is>
      </c>
      <c r="C531" t="inlineStr">
        <is>
          <t>Python Backend Developer Intern (FastAPI)</t>
        </is>
      </c>
      <c r="D531" t="inlineStr">
        <is>
          <t>https://in.jooble.org/jdp/-283288305107251489</t>
        </is>
      </c>
      <c r="E531" t="inlineStr">
        <is>
          <t>AI Analyzer</t>
        </is>
      </c>
      <c r="F531" t="inlineStr">
        <is>
          <t>Bangalore</t>
        </is>
      </c>
      <c r="G531" t="inlineStr">
        <is>
          <t>Unknown</t>
        </is>
      </c>
      <c r="H531" t="inlineStr">
        <is>
          <t>Not specified</t>
        </is>
      </c>
      <c r="I531" t="inlineStr">
        <is>
          <t>Unknown</t>
        </is>
      </c>
      <c r="J531" t="inlineStr">
        <is>
          <t>Unknown</t>
        </is>
      </c>
      <c r="K531" t="inlineStr">
        <is>
          <t>Python; FastAPI</t>
        </is>
      </c>
      <c r="L531" t="inlineStr">
        <is>
          <t>AI; Cloud infrastructure</t>
        </is>
      </c>
      <c r="M531" t="inlineStr">
        <is>
          <t>&amp;nbsp;...products that solve real business problems using modern technologies like AI, cloud infrastructure, and scalable &lt;b&gt;backend &lt;/b&gt;systems. We're looking for &lt;b&gt;developers &lt;/b&gt;who enjoy building things, learning quickly, and aren't afraid to dive into new technologies. 
 If you've built projects...&amp;nbsp;</t>
        </is>
      </c>
      <c r="N531" t="n">
        <v>60</v>
      </c>
      <c r="O531" t="n">
        <v>20</v>
      </c>
      <c r="P531" t="n">
        <v>20</v>
      </c>
      <c r="Q531" t="n">
        <v>15</v>
      </c>
      <c r="R531" t="n">
        <v>0</v>
      </c>
      <c r="S531" t="n">
        <v>0</v>
      </c>
      <c r="T531" t="n">
        <v>5</v>
      </c>
      <c r="U531" t="inlineStr">
        <is>
          <t>STRETCH</t>
        </is>
      </c>
      <c r="V531" t="inlineStr">
        <is>
          <t>STRETCH</t>
        </is>
      </c>
      <c r="W531" t="inlineStr">
        <is>
          <t>FastAPI</t>
        </is>
      </c>
      <c r="X531" t="inlineStr">
        <is>
          <t>Amaanuddin_Ahmed_Software_Engineering_Resume.pdf</t>
        </is>
      </c>
      <c r="Y531" t="inlineStr">
        <is>
          <t>2026-09-09</t>
        </is>
      </c>
      <c r="Z531" t="inlineStr">
        <is>
          <t>Matches target backend development role; Located in Bangalore; Involves Python which is in candidate skill set</t>
        </is>
      </c>
      <c r="AA531" t="inlineStr">
        <is>
          <t>Eligible</t>
        </is>
      </c>
      <c r="AB531" t="inlineStr">
        <is>
          <t>No explicit degree or graduation-year blockers found in the snippet.</t>
        </is>
      </c>
      <c r="AC531" t="inlineStr">
        <is>
          <t>Unknown</t>
        </is>
      </c>
      <c r="AD531" t="inlineStr">
        <is>
          <t>Candidate availability relative to start date not specified in JD or Career Brain.</t>
        </is>
      </c>
      <c r="AE531" t="inlineStr">
        <is>
          <t>UNKNOWN</t>
        </is>
      </c>
      <c r="AF531" t="n">
        <v>0</v>
      </c>
      <c r="AG531" t="inlineStr">
        <is>
          <t>No</t>
        </is>
      </c>
      <c r="AH531" t="inlineStr">
        <is>
          <t>Unknown</t>
        </is>
      </c>
      <c r="AI531" t="inlineStr">
        <is>
          <t>No explicit PPO or conversion mention found in the job description snippet.</t>
        </is>
      </c>
      <c r="AJ531" t="inlineStr"/>
      <c r="AK531" t="inlineStr">
        <is>
          <t>Stipend information missing; PPO information missing</t>
        </is>
      </c>
      <c r="AL531" t="inlineStr">
        <is>
          <t>Python fundamentals and OOP; FastAPI framework and asynchronous programming; RESTful API design; Backend scalability and cloud infrastructure</t>
        </is>
      </c>
    </row>
    <row r="532">
      <c r="B532" t="inlineStr">
        <is>
          <t>Vetifi</t>
        </is>
      </c>
      <c r="C532" t="inlineStr">
        <is>
          <t>Flutter SDE Intern</t>
        </is>
      </c>
      <c r="D532" t="inlineStr">
        <is>
          <t>https://in.jooble.org/jdp/-1529116818359291845</t>
        </is>
      </c>
      <c r="E532" t="inlineStr">
        <is>
          <t>AI Analyzer</t>
        </is>
      </c>
      <c r="F532" t="inlineStr">
        <is>
          <t>Remote</t>
        </is>
      </c>
      <c r="G532" t="inlineStr">
        <is>
          <t>Remote</t>
        </is>
      </c>
      <c r="H532" t="inlineStr">
        <is>
          <t>Unpaid Internship</t>
        </is>
      </c>
      <c r="I532" t="inlineStr">
        <is>
          <t>3-6 months preferred</t>
        </is>
      </c>
      <c r="J532" t="inlineStr">
        <is>
          <t>Not Mentioned</t>
        </is>
      </c>
      <c r="K532" t="inlineStr">
        <is>
          <t>Flutter; Mobile App Development</t>
        </is>
      </c>
      <c r="L532" t="inlineStr"/>
      <c r="M532" t="inlineStr">
        <is>
          <t>Job Description: Flutter &lt;b&gt;SDE Intern &lt;/b&gt;(Mobile App Development)
 Company:  Vetifi 
  Location:  Remote 
  Internship Type:  Unpaid Internship 
  Duration:  Flexible (3–6 months preferred)
 About Vetifi 
 Vetifi is an innovative veterinary-focused application built...&amp;nbsp;</t>
        </is>
      </c>
      <c r="N532" t="n">
        <v>7</v>
      </c>
      <c r="O532" t="n">
        <v>0</v>
      </c>
      <c r="P532" t="n">
        <v>0</v>
      </c>
      <c r="Q532" t="n">
        <v>20</v>
      </c>
      <c r="R532" t="n">
        <v>0</v>
      </c>
      <c r="S532" t="n">
        <v>0</v>
      </c>
      <c r="T532" t="n">
        <v>20</v>
      </c>
      <c r="U532" t="inlineStr">
        <is>
          <t>SKIP</t>
        </is>
      </c>
      <c r="V532" t="inlineStr">
        <is>
          <t>SKIP</t>
        </is>
      </c>
      <c r="W532" t="inlineStr">
        <is>
          <t>Flutter; Mobile App Development</t>
        </is>
      </c>
      <c r="X532" t="inlineStr">
        <is>
          <t>Amaanuddin_Ahmed_General_SDE_Resume.pdf</t>
        </is>
      </c>
      <c r="Y532" t="inlineStr">
        <is>
          <t>2026-09-09</t>
        </is>
      </c>
      <c r="Z532" t="inlineStr"/>
      <c r="AA532" t="inlineStr">
        <is>
          <t>Eligible</t>
        </is>
      </c>
      <c r="AB532" t="inlineStr">
        <is>
          <t>No specific degree or graduation year hard blockers mentioned in the snippet</t>
        </is>
      </c>
      <c r="AC532" t="inlineStr">
        <is>
          <t>UNKNOWN</t>
        </is>
      </c>
      <c r="AD532" t="inlineStr">
        <is>
          <t>Not specified in the candidate profile or job description</t>
        </is>
      </c>
      <c r="AE532" t="inlineStr">
        <is>
          <t>Unpaid</t>
        </is>
      </c>
      <c r="AF532" t="n">
        <v>0</v>
      </c>
      <c r="AG532" t="inlineStr">
        <is>
          <t>No</t>
        </is>
      </c>
      <c r="AH532" t="inlineStr">
        <is>
          <t>Not Mentioned</t>
        </is>
      </c>
      <c r="AI532" t="inlineStr">
        <is>
          <t>No mention of PPO or conversion in the job description snippet</t>
        </is>
      </c>
      <c r="AJ532" t="inlineStr">
        <is>
          <t>Unpaid internship below minimum stipend target; Missing core required skill: Flutter</t>
        </is>
      </c>
      <c r="AK532" t="inlineStr">
        <is>
          <t>Unpaid internship; Mismatch in core technology stack (Flutter vs MERN/Java/Python/Angular)</t>
        </is>
      </c>
      <c r="AL532" t="inlineStr">
        <is>
          <t>Flutter framework fundamentals; Mobile app state management; Cross-platform development experience</t>
        </is>
      </c>
    </row>
    <row r="533">
      <c r="B533" t="inlineStr">
        <is>
          <t>epifi</t>
        </is>
      </c>
      <c r="C533" t="inlineStr">
        <is>
          <t>Ai Engg Intern</t>
        </is>
      </c>
      <c r="D533" t="inlineStr">
        <is>
          <t>https://in.jooble.org/jdp/458763758895582905</t>
        </is>
      </c>
      <c r="E533" t="inlineStr">
        <is>
          <t>AI Analyzer</t>
        </is>
      </c>
      <c r="F533" t="inlineStr">
        <is>
          <t>Bangalore</t>
        </is>
      </c>
      <c r="G533" t="inlineStr">
        <is>
          <t>UNKNOWN</t>
        </is>
      </c>
      <c r="H533" t="inlineStr"/>
      <c r="I533" t="inlineStr">
        <is>
          <t>UNKNOWN</t>
        </is>
      </c>
      <c r="J533" t="inlineStr">
        <is>
          <t>UNKNOWN</t>
        </is>
      </c>
      <c r="K533" t="inlineStr">
        <is>
          <t>Python; Go; Node.js</t>
        </is>
      </c>
      <c r="L533" t="inlineStr">
        <is>
          <t>Independent learning; Problem solving</t>
        </is>
      </c>
      <c r="M533" t="inlineStr">
        <is>
          <t>&amp;nbsp;...least one meaningful project outside of coursework. 
 Strong programming fundamentals in a backend or full-stack language (Python, Go, &lt;b&gt;Node.js,&lt;/b&gt; etc.). 
 The ability to learn independently, solve unfamiliar problems, and figure things out. 
 A self-directed builder who doesn...&amp;nbsp;</t>
        </is>
      </c>
      <c r="N533" t="n">
        <v>76</v>
      </c>
      <c r="O533" t="n">
        <v>25</v>
      </c>
      <c r="P533" t="n">
        <v>18</v>
      </c>
      <c r="Q533" t="n">
        <v>12</v>
      </c>
      <c r="R533" t="n">
        <v>8</v>
      </c>
      <c r="S533" t="n">
        <v>5</v>
      </c>
      <c r="T533" t="n">
        <v>8</v>
      </c>
      <c r="U533" t="inlineStr">
        <is>
          <t>CONSIDER</t>
        </is>
      </c>
      <c r="V533" t="inlineStr">
        <is>
          <t>CONSIDER</t>
        </is>
      </c>
      <c r="W533" t="inlineStr"/>
      <c r="X533" t="inlineStr">
        <is>
          <t>Default Full Stack / Backend Resume</t>
        </is>
      </c>
      <c r="Y533" t="inlineStr">
        <is>
          <t>2026-09-09</t>
        </is>
      </c>
      <c r="Z533" t="inlineStr">
        <is>
          <t>Matches technical requirements for Node.js and Python backend/full-stack development.; Aligns with candidate's target roles in Software Engineering and Backend Development.</t>
        </is>
      </c>
      <c r="AA533" t="inlineStr">
        <is>
          <t>ELIGIBLE</t>
        </is>
      </c>
      <c r="AB533" t="inlineStr">
        <is>
          <t>Candidate possesses required Node.js backend/full-stack programming fundamentals.; Candidate has meaningful projects outside of coursework.</t>
        </is>
      </c>
      <c r="AC533" t="inlineStr">
        <is>
          <t>UNKNOWN</t>
        </is>
      </c>
      <c r="AD533" t="inlineStr">
        <is>
          <t>Candidate availability details are not specified in the career brain.</t>
        </is>
      </c>
      <c r="AE533" t="inlineStr">
        <is>
          <t>UNKNOWN</t>
        </is>
      </c>
      <c r="AF533" t="n">
        <v>0</v>
      </c>
      <c r="AG533" t="inlineStr">
        <is>
          <t>No</t>
        </is>
      </c>
      <c r="AH533" t="inlineStr">
        <is>
          <t>UNKNOWN</t>
        </is>
      </c>
      <c r="AI533" t="inlineStr">
        <is>
          <t>No explicit mention of PPO or conversion in the job snippet.</t>
        </is>
      </c>
      <c r="AJ533" t="inlineStr"/>
      <c r="AK533" t="inlineStr"/>
      <c r="AL533" t="inlineStr">
        <is>
          <t>Backend fundamentals in Node.js or Python; Project architecture and independent problem-solving; API design and system scaling</t>
        </is>
      </c>
    </row>
    <row r="534">
      <c r="B534" t="inlineStr">
        <is>
          <t>liminal custody</t>
        </is>
      </c>
      <c r="C534" t="inlineStr">
        <is>
          <t>QA Automation Intern</t>
        </is>
      </c>
      <c r="D534" t="inlineStr">
        <is>
          <t>https://in.jooble.org/jdp/-313820493907634138</t>
        </is>
      </c>
      <c r="E534" t="inlineStr">
        <is>
          <t>AI Analyzer</t>
        </is>
      </c>
      <c r="F534" t="inlineStr">
        <is>
          <t>Bangalore</t>
        </is>
      </c>
      <c r="G534" t="inlineStr">
        <is>
          <t>UNKNOWN</t>
        </is>
      </c>
      <c r="H534" t="inlineStr">
        <is>
          <t>Not specified</t>
        </is>
      </c>
      <c r="I534" t="inlineStr">
        <is>
          <t>UNKNOWN</t>
        </is>
      </c>
      <c r="J534" t="inlineStr">
        <is>
          <t>UNKNOWN</t>
        </is>
      </c>
      <c r="K534" t="inlineStr">
        <is>
          <t>Software Testing concepts; Git/GitHub; Node.js</t>
        </is>
      </c>
      <c r="L534" t="inlineStr">
        <is>
          <t>HTML &amp; CSS</t>
        </is>
      </c>
      <c r="M534" t="inlineStr">
        <is>
          <t>&amp;nbsp;...About the Internship : We are looking for a passionate QA Automation &lt;b&gt;Intern &lt;/b&gt;who is eager to learn modern test automation practices and...&amp;nbsp;&amp;nbsp;...&amp; CSS 
 Software Testing concepts 
 Git/GitHub 
 Knowledge of &lt;b&gt;Node.js.&lt;/b&gt; 
 Strong analytical and problem-solving skills. 
 Good communication...&amp;nbsp;</t>
        </is>
      </c>
      <c r="N534" t="n">
        <v>43</v>
      </c>
      <c r="O534" t="n">
        <v>50</v>
      </c>
      <c r="P534" t="n">
        <v>70</v>
      </c>
      <c r="Q534" t="n">
        <v>40</v>
      </c>
      <c r="R534" t="n">
        <v>0</v>
      </c>
      <c r="S534" t="n">
        <v>0</v>
      </c>
      <c r="T534" t="n">
        <v>50</v>
      </c>
      <c r="U534" t="inlineStr">
        <is>
          <t>SKIP</t>
        </is>
      </c>
      <c r="V534" t="inlineStr">
        <is>
          <t>SKIP</t>
        </is>
      </c>
      <c r="W534" t="inlineStr">
        <is>
          <t>QA Automation tools/frameworks; Software Testing concepts</t>
        </is>
      </c>
      <c r="X534" t="inlineStr">
        <is>
          <t>Default Full Stack / Software Engineering Resume</t>
        </is>
      </c>
      <c r="Y534" t="inlineStr">
        <is>
          <t>2026-09-09</t>
        </is>
      </c>
      <c r="Z534" t="inlineStr">
        <is>
          <t>Aligns with internship status and Bangalore location</t>
        </is>
      </c>
      <c r="AA534" t="inlineStr">
        <is>
          <t>ELIGIBLE</t>
        </is>
      </c>
      <c r="AB534" t="inlineStr">
        <is>
          <t>Candidate is an MCA student looking for internships; No strict degree or graduation year blockers found in snippet</t>
        </is>
      </c>
      <c r="AC534" t="inlineStr">
        <is>
          <t>UNKNOWN</t>
        </is>
      </c>
      <c r="AD534" t="inlineStr">
        <is>
          <t>Not specified in candidate profile or job description</t>
        </is>
      </c>
      <c r="AE534" t="inlineStr">
        <is>
          <t>UNKNOWN</t>
        </is>
      </c>
      <c r="AF534" t="n">
        <v>0</v>
      </c>
      <c r="AG534" t="inlineStr">
        <is>
          <t>No</t>
        </is>
      </c>
      <c r="AH534" t="inlineStr">
        <is>
          <t>UNKNOWN</t>
        </is>
      </c>
      <c r="AI534" t="inlineStr">
        <is>
          <t>No explicit mention of PPO or conversion in the snippet</t>
        </is>
      </c>
      <c r="AJ534" t="inlineStr"/>
      <c r="AK534" t="inlineStr">
        <is>
          <t>Role is QA Automation, which diverges from target development and engineering roles</t>
        </is>
      </c>
      <c r="AL534" t="inlineStr">
        <is>
          <t>Software Testing Fundamentals; Test Automation Practices; Node.js Backend Basics; Git Workflows</t>
        </is>
      </c>
    </row>
    <row r="535">
      <c r="B535" t="inlineStr">
        <is>
          <t>RentoMojo</t>
        </is>
      </c>
      <c r="C535" t="inlineStr">
        <is>
          <t>Data Analyst - Intern</t>
        </is>
      </c>
      <c r="D535" t="inlineStr">
        <is>
          <t>https://in.jooble.org/jdp/8456592047622568060</t>
        </is>
      </c>
      <c r="E535" t="inlineStr">
        <is>
          <t>AI Analyzer</t>
        </is>
      </c>
      <c r="F535" t="inlineStr">
        <is>
          <t>Bangalore</t>
        </is>
      </c>
      <c r="G535" t="inlineStr">
        <is>
          <t>Unknown</t>
        </is>
      </c>
      <c r="H535" t="inlineStr">
        <is>
          <t>Not specified</t>
        </is>
      </c>
      <c r="I535" t="inlineStr">
        <is>
          <t>Unknown</t>
        </is>
      </c>
      <c r="J535" t="inlineStr">
        <is>
          <t>NOT_MENTIONED</t>
        </is>
      </c>
      <c r="K535" t="inlineStr">
        <is>
          <t>Business KPIs; Data Analysis</t>
        </is>
      </c>
      <c r="L535" t="inlineStr">
        <is>
          <t>Python; Node.js; DBT; Snowflake; Redshift; Fivetran</t>
        </is>
      </c>
      <c r="M535" t="inlineStr">
        <is>
          <t>&amp;nbsp;...). 
 Good understanding of business KPIs and ability to derive insights from raw data. 
 Bonus Points 
 Experience with Python or &lt;b&gt;Node.js &lt;/b&gt;for Lambda scripting and automation. 
 Familiarity with DBT or modern data stack (e.g., Snowflake, Redshift, Fivetran). 
 Exposure...&amp;nbsp;</t>
        </is>
      </c>
      <c r="N535" t="n">
        <v>34</v>
      </c>
      <c r="O535" t="n">
        <v>40</v>
      </c>
      <c r="P535" t="n">
        <v>50</v>
      </c>
      <c r="Q535" t="n">
        <v>20</v>
      </c>
      <c r="R535" t="n">
        <v>0</v>
      </c>
      <c r="S535" t="n">
        <v>0</v>
      </c>
      <c r="T535" t="n">
        <v>40</v>
      </c>
      <c r="U535" t="inlineStr">
        <is>
          <t>SKIP</t>
        </is>
      </c>
      <c r="V535" t="inlineStr">
        <is>
          <t>SKIP</t>
        </is>
      </c>
      <c r="W535" t="inlineStr">
        <is>
          <t>Business KPIs; DBT; Snowflake; Redshift; Fivetran</t>
        </is>
      </c>
      <c r="X535" t="inlineStr">
        <is>
          <t>Amaanuddin_Ahmed_Software_Engineering_Resume.pdf</t>
        </is>
      </c>
      <c r="Y535" t="inlineStr">
        <is>
          <t>2026-09-09</t>
        </is>
      </c>
      <c r="Z535" t="inlineStr">
        <is>
          <t>Matches some bonus skills like Python and Node.js.</t>
        </is>
      </c>
      <c r="AA535" t="inlineStr">
        <is>
          <t>ELIGIBLE</t>
        </is>
      </c>
      <c r="AB535" t="inlineStr">
        <is>
          <t>No explicit degree or graduation-year blockers mentioned in the snippet.</t>
        </is>
      </c>
      <c r="AC535" t="inlineStr">
        <is>
          <t>UNKNOWN</t>
        </is>
      </c>
      <c r="AD535" t="inlineStr">
        <is>
          <t>Candidate availability details are not provided.</t>
        </is>
      </c>
      <c r="AE535" t="inlineStr">
        <is>
          <t>UNKNOWN</t>
        </is>
      </c>
      <c r="AF535" t="n">
        <v>0</v>
      </c>
      <c r="AG535" t="inlineStr">
        <is>
          <t>No</t>
        </is>
      </c>
      <c r="AH535" t="inlineStr">
        <is>
          <t>NOT_MENTIONED</t>
        </is>
      </c>
      <c r="AI535" t="inlineStr">
        <is>
          <t>No mention of PPO or conversion in the job description snippet.</t>
        </is>
      </c>
      <c r="AJ535" t="inlineStr"/>
      <c r="AK535" t="inlineStr">
        <is>
          <t>Role is Data Analyst, whereas target roles are Software Engineering/Backend/Full Stack.</t>
        </is>
      </c>
      <c r="AL535" t="inlineStr">
        <is>
          <t>Business KPIs; Data analysis and insights derivation; Python/Node.js scripting</t>
        </is>
      </c>
    </row>
    <row r="536">
      <c r="B536" t="inlineStr">
        <is>
          <t>Simulationhub</t>
        </is>
      </c>
      <c r="C536" t="inlineStr">
        <is>
          <t>Intern-Digital Transformation</t>
        </is>
      </c>
      <c r="D536" t="inlineStr">
        <is>
          <t>https://in.jooble.org/jdp/3491546633823889584</t>
        </is>
      </c>
      <c r="E536" t="inlineStr">
        <is>
          <t>AI Analyzer</t>
        </is>
      </c>
      <c r="F536" t="inlineStr">
        <is>
          <t>Bangalore</t>
        </is>
      </c>
      <c r="G536" t="inlineStr">
        <is>
          <t>UNKNOWN</t>
        </is>
      </c>
      <c r="H536" t="inlineStr">
        <is>
          <t>Rs 2.5 - 5 lakhs p.a.</t>
        </is>
      </c>
      <c r="I536" t="inlineStr">
        <is>
          <t>UNKNOWN</t>
        </is>
      </c>
      <c r="J536" t="inlineStr">
        <is>
          <t>UNKNOWN</t>
        </is>
      </c>
      <c r="K536" t="inlineStr">
        <is>
          <t>Python; Flask; Node.js; .NET</t>
        </is>
      </c>
      <c r="L536" t="inlineStr">
        <is>
          <t>Digital twins; PLM systems; BIM</t>
        </is>
      </c>
      <c r="M536" t="inlineStr">
        <is>
          <t>&amp;nbsp;...integrations, and BIM-enabled digital twins. We are seeking high-energy &lt;b&gt;Interns &lt;/b&gt;who can combine domain expertise with software-development...&amp;nbsp;&amp;nbsp;...engineering data using modern technology stacks (Python/Flask, &lt;b&gt;Node.js,&lt;/b&gt; .NET, or similar). 
 Integrate design data with PLM systems (...&amp;nbsp;</t>
        </is>
      </c>
      <c r="N536" t="n">
        <v>64</v>
      </c>
      <c r="O536" t="n">
        <v>24</v>
      </c>
      <c r="P536" t="n">
        <v>16</v>
      </c>
      <c r="Q536" t="n">
        <v>11</v>
      </c>
      <c r="R536" t="n">
        <v>0</v>
      </c>
      <c r="S536" t="n">
        <v>6</v>
      </c>
      <c r="T536" t="n">
        <v>7</v>
      </c>
      <c r="U536" t="inlineStr">
        <is>
          <t>STRETCH</t>
        </is>
      </c>
      <c r="V536" t="inlineStr">
        <is>
          <t>STRETCH</t>
        </is>
      </c>
      <c r="W536" t="inlineStr">
        <is>
          <t>Flask; .NET</t>
        </is>
      </c>
      <c r="X536" t="inlineStr">
        <is>
          <t>Amaanuddin_Ahmed_Fullstack_Resume.pdf</t>
        </is>
      </c>
      <c r="Y536" t="inlineStr">
        <is>
          <t>2026-09-09</t>
        </is>
      </c>
      <c r="Z536" t="inlineStr">
        <is>
          <t>Matches core technical skills including Node.js and Python.; Located in Bangalore with an acceptable salary range.</t>
        </is>
      </c>
      <c r="AA536" t="inlineStr">
        <is>
          <t>ELIGIBLE</t>
        </is>
      </c>
      <c r="AB536" t="inlineStr"/>
      <c r="AC536" t="inlineStr">
        <is>
          <t>UNKNOWN</t>
        </is>
      </c>
      <c r="AD536" t="inlineStr">
        <is>
          <t>Availability requirements not specified in the job description.</t>
        </is>
      </c>
      <c r="AE536" t="inlineStr">
        <is>
          <t>DISCLOSED</t>
        </is>
      </c>
      <c r="AF536" t="n">
        <v>20833</v>
      </c>
      <c r="AG536" t="inlineStr">
        <is>
          <t>No</t>
        </is>
      </c>
      <c r="AH536" t="inlineStr">
        <is>
          <t>UNKNOWN</t>
        </is>
      </c>
      <c r="AI536" t="inlineStr">
        <is>
          <t>No mention of PPO or conversion in the job description.</t>
        </is>
      </c>
      <c r="AJ536" t="inlineStr"/>
      <c r="AK536" t="inlineStr">
        <is>
          <t>Minimum stipend falls slightly below the Rs 25,000/month target at the lower end (approx Rs 20,833/month).</t>
        </is>
      </c>
      <c r="AL536" t="inlineStr">
        <is>
          <t>Node.js backend development; Python/Flask integration; Digital twin concepts and BIM; PLM systems integration</t>
        </is>
      </c>
    </row>
    <row r="537">
      <c r="B537" t="inlineStr">
        <is>
          <t>viscr ai</t>
        </is>
      </c>
      <c r="C537" t="inlineStr">
        <is>
          <t>Intern Software Development Engineering R&amp;D (AI/ML/NLP)</t>
        </is>
      </c>
      <c r="D537" t="inlineStr">
        <is>
          <t>https://in.jooble.org/jdp/-8319584585580036309</t>
        </is>
      </c>
      <c r="E537" t="inlineStr">
        <is>
          <t>AI Analyzer</t>
        </is>
      </c>
      <c r="F537" t="inlineStr">
        <is>
          <t>Bangalore</t>
        </is>
      </c>
      <c r="G537" t="inlineStr">
        <is>
          <t>UNKNOWN</t>
        </is>
      </c>
      <c r="H537" t="inlineStr">
        <is>
          <t>Not specified</t>
        </is>
      </c>
      <c r="I537" t="inlineStr">
        <is>
          <t>6 months</t>
        </is>
      </c>
      <c r="J537" t="inlineStr">
        <is>
          <t>YES</t>
        </is>
      </c>
      <c r="K537" t="inlineStr">
        <is>
          <t>C; Python; Go Lang; Java; Rust; JavaScript; TypeScript; Node.js; SQL</t>
        </is>
      </c>
      <c r="L537" t="inlineStr">
        <is>
          <t>AI/ML/NLP; Other OO languages</t>
        </is>
      </c>
      <c r="M537" t="inlineStr">
        <is>
          <t>&amp;nbsp;...languages – C, Python, Go Lang, Java, Rust, JavaScript, TypeScript, &lt;b&gt;Node.js.&lt;/b&gt; Other OO languages are also a plus. 
 Experience with SQL,...&amp;nbsp;&amp;nbsp;...Computer science students looking for full-time roles should join us as &lt;b&gt;Intern &lt;/b&gt;for 6 months and then will be converted into full-time role (on...&amp;nbsp;</t>
        </is>
      </c>
      <c r="N537" t="n">
        <v>85</v>
      </c>
      <c r="O537" t="n">
        <v>24</v>
      </c>
      <c r="P537" t="n">
        <v>18</v>
      </c>
      <c r="Q537" t="n">
        <v>14</v>
      </c>
      <c r="R537" t="n">
        <v>15</v>
      </c>
      <c r="S537" t="n">
        <v>5</v>
      </c>
      <c r="T537" t="n">
        <v>9</v>
      </c>
      <c r="U537" t="inlineStr">
        <is>
          <t>APPLY</t>
        </is>
      </c>
      <c r="V537" t="inlineStr">
        <is>
          <t>APPLY</t>
        </is>
      </c>
      <c r="W537" t="inlineStr">
        <is>
          <t>C; Go Lang; Rust; TypeScript; AI/ML/NLP</t>
        </is>
      </c>
      <c r="X537" t="inlineStr">
        <is>
          <t>Amaanuddin_Ahmed_Software_Engineering_Resume.pdf</t>
        </is>
      </c>
      <c r="Y537" t="inlineStr">
        <is>
          <t>2026-09-09</t>
        </is>
      </c>
      <c r="Z537" t="inlineStr">
        <is>
          <t>Explicit 6-month internship with guaranteed full-time conversion path aligns with high PPO priority.; Matches core technical stack requirements including Python, Java, JavaScript, Node.js, and SQL.; Located in Bangalore with an AI/ML/NLP R&amp;D focus fitting AI-adjacent software engineering targets.</t>
        </is>
      </c>
      <c r="AA537" t="inlineStr">
        <is>
          <t>ELIGIBLE</t>
        </is>
      </c>
      <c r="AB537" t="inlineStr">
        <is>
          <t>Computer science student looking for internship role aligning with MCA background; Matches programming language requirements such as Python, Java, JavaScript, and Node.js</t>
        </is>
      </c>
      <c r="AC537" t="inlineStr">
        <is>
          <t>UNKNOWN</t>
        </is>
      </c>
      <c r="AD537" t="inlineStr">
        <is>
          <t>Not specified in the job description or career brain</t>
        </is>
      </c>
      <c r="AE537" t="inlineStr">
        <is>
          <t>UNKNOWN</t>
        </is>
      </c>
      <c r="AF537" t="n">
        <v>0</v>
      </c>
      <c r="AG537" t="inlineStr">
        <is>
          <t>No</t>
        </is>
      </c>
      <c r="AH537" t="inlineStr">
        <is>
          <t>YES</t>
        </is>
      </c>
      <c r="AI537" t="inlineStr">
        <is>
          <t>Intern for 6 months and then will be converted into full-time role</t>
        </is>
      </c>
      <c r="AJ537" t="inlineStr"/>
      <c r="AK537" t="inlineStr"/>
      <c r="AL537" t="inlineStr">
        <is>
          <t>Python and Node.js development experience; SQL and database management; Past projects like StaySphere or Zenvest; Readiness for conversion to full-time role after 6 months</t>
        </is>
      </c>
    </row>
    <row r="538">
      <c r="B538" t="inlineStr">
        <is>
          <t>lanmea</t>
        </is>
      </c>
      <c r="C538" t="inlineStr">
        <is>
          <t>AI &amp; Software Engineering Intern</t>
        </is>
      </c>
      <c r="D538" t="inlineStr">
        <is>
          <t>https://in.jooble.org/jdp/-1833422697647887305</t>
        </is>
      </c>
      <c r="E538" t="inlineStr">
        <is>
          <t>AI Analyzer</t>
        </is>
      </c>
      <c r="F538" t="inlineStr">
        <is>
          <t>Bangalore</t>
        </is>
      </c>
      <c r="G538" t="inlineStr">
        <is>
          <t>Unknown</t>
        </is>
      </c>
      <c r="H538" t="inlineStr">
        <is>
          <t>Not specified</t>
        </is>
      </c>
      <c r="I538" t="inlineStr">
        <is>
          <t>Unknown</t>
        </is>
      </c>
      <c r="J538" t="inlineStr">
        <is>
          <t>Not Mentioned</t>
        </is>
      </c>
      <c r="K538" t="inlineStr">
        <is>
          <t>AI; Software Engineering</t>
        </is>
      </c>
      <c r="L538" t="inlineStr">
        <is>
          <t>Data; Internal Tools; AI-assisted workflows</t>
        </is>
      </c>
      <c r="M538" t="inlineStr">
        <is>
          <t>&amp;nbsp;...Need You 
 We believe technology, data and &lt;b&gt;AI &lt;/b&gt;are how a modern platform compounds its...&amp;nbsp;&amp;nbsp;...turn what we learn into structured data, &lt;b&gt;internal &lt;/b&gt;tools and AI-assisted workflows that help...&amp;nbsp;&amp;nbsp;...and Capital. 
 As our AI &amp; Software &lt;b&gt;Engineering &lt;/b&gt;Intern, you'll sit at the intersection of...&amp;nbsp;</t>
        </is>
      </c>
      <c r="N538" t="n">
        <v>67</v>
      </c>
      <c r="O538" t="n">
        <v>70</v>
      </c>
      <c r="P538" t="n">
        <v>75</v>
      </c>
      <c r="Q538" t="n">
        <v>80</v>
      </c>
      <c r="R538" t="n">
        <v>40</v>
      </c>
      <c r="S538" t="n">
        <v>50</v>
      </c>
      <c r="T538" t="n">
        <v>60</v>
      </c>
      <c r="U538" t="inlineStr">
        <is>
          <t>STRETCH</t>
        </is>
      </c>
      <c r="V538" t="inlineStr">
        <is>
          <t>STRETCH</t>
        </is>
      </c>
      <c r="W538" t="inlineStr"/>
      <c r="X538" t="inlineStr">
        <is>
          <t>Amaanuddin_Ahmed_Software_Engineer_Resume.pdf</t>
        </is>
      </c>
      <c r="Y538" t="inlineStr">
        <is>
          <t>2026-09-09</t>
        </is>
      </c>
      <c r="Z538" t="inlineStr">
        <is>
          <t>Matches target AI-adjacent software engineering and Bangalore location; Good opportunity to work at the intersection of AI and software engineering</t>
        </is>
      </c>
      <c r="AA538" t="inlineStr">
        <is>
          <t>Eligible</t>
        </is>
      </c>
      <c r="AB538" t="inlineStr">
        <is>
          <t>Location matches target city (Bangalore); Role aligns with AI-adjacent software engineering</t>
        </is>
      </c>
      <c r="AC538" t="inlineStr">
        <is>
          <t>Unknown</t>
        </is>
      </c>
      <c r="AD538" t="inlineStr">
        <is>
          <t>Not specified in JD</t>
        </is>
      </c>
      <c r="AE538" t="inlineStr">
        <is>
          <t>UNKNOWN</t>
        </is>
      </c>
      <c r="AF538" t="n">
        <v>0</v>
      </c>
      <c r="AG538" t="inlineStr">
        <is>
          <t>No</t>
        </is>
      </c>
      <c r="AH538" t="inlineStr">
        <is>
          <t>Not Mentioned</t>
        </is>
      </c>
      <c r="AI538" t="inlineStr">
        <is>
          <t>No explicit PPO or conversion mention found in snippet</t>
        </is>
      </c>
      <c r="AJ538" t="inlineStr"/>
      <c r="AK538" t="inlineStr">
        <is>
          <t>Vague job description snippet with missing stipend and duration details</t>
        </is>
      </c>
      <c r="AL538" t="inlineStr">
        <is>
          <t>AI-assisted workflows and internal tooling; Full stack development and data structuring; Projects and previous software engineering experience</t>
        </is>
      </c>
    </row>
    <row r="539">
      <c r="B539" t="inlineStr">
        <is>
          <t>Rubrik</t>
        </is>
      </c>
      <c r="C539" t="inlineStr">
        <is>
          <t>Software Engineer - Intern</t>
        </is>
      </c>
      <c r="D539" t="inlineStr">
        <is>
          <t>https://in.jooble.org/jdp/4771329012250323697</t>
        </is>
      </c>
      <c r="E539" t="inlineStr">
        <is>
          <t>AI Analyzer</t>
        </is>
      </c>
      <c r="F539" t="inlineStr">
        <is>
          <t>Pune</t>
        </is>
      </c>
      <c r="G539" t="inlineStr">
        <is>
          <t>Unknown</t>
        </is>
      </c>
      <c r="H539" t="inlineStr">
        <is>
          <t>Not specified</t>
        </is>
      </c>
      <c r="I539" t="inlineStr">
        <is>
          <t>Winter Intern</t>
        </is>
      </c>
      <c r="J539" t="inlineStr">
        <is>
          <t>UNKNOWN</t>
        </is>
      </c>
      <c r="K539" t="inlineStr"/>
      <c r="L539" t="inlineStr"/>
      <c r="M539" t="inlineStr">
        <is>
          <t>&amp;nbsp;...ABOUT THE JOB 
 We are looking for a &lt;b&gt;Software Engineer - Intern &lt;/b&gt;to join our Continuous Product Development (CPD) team in Pune. We believe in giving engineers responsibility, not tasks. Our goal is to motivate and challenge people to do their best work. To do that, we have...&amp;nbsp;</t>
        </is>
      </c>
      <c r="N539" t="n">
        <v>42</v>
      </c>
      <c r="O539" t="n">
        <v>50</v>
      </c>
      <c r="P539" t="n">
        <v>50</v>
      </c>
      <c r="Q539" t="n">
        <v>60</v>
      </c>
      <c r="R539" t="n">
        <v>0</v>
      </c>
      <c r="S539" t="n">
        <v>0</v>
      </c>
      <c r="T539" t="n">
        <v>50</v>
      </c>
      <c r="U539" t="inlineStr">
        <is>
          <t>SKIP</t>
        </is>
      </c>
      <c r="V539" t="inlineStr">
        <is>
          <t>SKIP</t>
        </is>
      </c>
      <c r="W539" t="inlineStr"/>
      <c r="X539" t="inlineStr">
        <is>
          <t>Amaanuddin_Ahmed_Software_Engineer_Resume.pdf</t>
        </is>
      </c>
      <c r="Y539" t="inlineStr">
        <is>
          <t>2026-09-09</t>
        </is>
      </c>
      <c r="Z539" t="inlineStr">
        <is>
          <t>Good brand name (Rubrik)</t>
        </is>
      </c>
      <c r="AA539" t="inlineStr">
        <is>
          <t>ELIGIBLE</t>
        </is>
      </c>
      <c r="AB539" t="inlineStr">
        <is>
          <t>Candidate is pursuing MCA which aligns with software engineering intern roles.</t>
        </is>
      </c>
      <c r="AC539" t="inlineStr">
        <is>
          <t>UNKNOWN</t>
        </is>
      </c>
      <c r="AD539" t="inlineStr">
        <is>
          <t>Not specified in the job description or career brain.</t>
        </is>
      </c>
      <c r="AE539" t="inlineStr">
        <is>
          <t>UNKNOWN</t>
        </is>
      </c>
      <c r="AF539" t="n">
        <v>0</v>
      </c>
      <c r="AG539" t="inlineStr">
        <is>
          <t>No</t>
        </is>
      </c>
      <c r="AH539" t="inlineStr">
        <is>
          <t>UNKNOWN</t>
        </is>
      </c>
      <c r="AI539" t="inlineStr">
        <is>
          <t>No explicit mention of PPO or conversion in the snippet.</t>
        </is>
      </c>
      <c r="AJ539" t="inlineStr"/>
      <c r="AK539" t="inlineStr">
        <is>
          <t>Location mismatch (Job is in Pune, candidate target location not explicitly restricted but relevant consideration)</t>
        </is>
      </c>
      <c r="AL539" t="inlineStr">
        <is>
          <t>Data Structures and Algorithms; Software Engineering Fundamentals; System Design basics</t>
        </is>
      </c>
    </row>
    <row r="540">
      <c r="B540" t="inlineStr">
        <is>
          <t>TestHiring</t>
        </is>
      </c>
      <c r="C540" t="inlineStr">
        <is>
          <t>AI Engineer - Intern</t>
        </is>
      </c>
      <c r="D540" t="inlineStr">
        <is>
          <t>https://in.jooble.org/jdp/1212238152267076468</t>
        </is>
      </c>
      <c r="E540" t="inlineStr">
        <is>
          <t>AI Analyzer</t>
        </is>
      </c>
      <c r="F540" t="inlineStr">
        <is>
          <t>Bangalore North</t>
        </is>
      </c>
      <c r="G540" t="inlineStr">
        <is>
          <t>Unknown</t>
        </is>
      </c>
      <c r="H540" t="inlineStr">
        <is>
          <t>Rs 15000 - Rs 20000 per month</t>
        </is>
      </c>
      <c r="I540" t="inlineStr">
        <is>
          <t>Unknown</t>
        </is>
      </c>
      <c r="J540" t="inlineStr">
        <is>
          <t>not mentioned</t>
        </is>
      </c>
      <c r="K540" t="inlineStr">
        <is>
          <t>Rapid Prototyping; Chatbots; Workflow Automations</t>
        </is>
      </c>
      <c r="L540" t="inlineStr"/>
      <c r="M540" t="inlineStr">
        <is>
          <t>&amp;nbsp;...ideas. 
 Rapid Prototyping &amp; Experimentation 
 Support the &lt;b&gt;development &lt;/b&gt;of small-scale prototypes (e.g., chatbots, workflow automations...&amp;nbsp;&amp;nbsp;...&amp; Iteration 
 Help deploy and monitor pilot solutions with &lt;b&gt;internal &lt;/b&gt;teams. 
 Collect feedback, track basic usage metrics, and support...&amp;nbsp;</t>
        </is>
      </c>
      <c r="N540" t="n">
        <v>55</v>
      </c>
      <c r="O540" t="n">
        <v>60</v>
      </c>
      <c r="P540" t="n">
        <v>70</v>
      </c>
      <c r="Q540" t="n">
        <v>65</v>
      </c>
      <c r="R540" t="n">
        <v>0</v>
      </c>
      <c r="S540" t="n">
        <v>40</v>
      </c>
      <c r="T540" t="n">
        <v>60</v>
      </c>
      <c r="U540" t="inlineStr">
        <is>
          <t>SKIP</t>
        </is>
      </c>
      <c r="V540" t="inlineStr">
        <is>
          <t>SKIP</t>
        </is>
      </c>
      <c r="W540" t="inlineStr">
        <is>
          <t>Dedicated AI/LLM Engineering experience</t>
        </is>
      </c>
      <c r="X540" t="inlineStr">
        <is>
          <t>Amaanuddin_Ahmed_Resume.pdf</t>
        </is>
      </c>
      <c r="Y540" t="inlineStr">
        <is>
          <t>2026-09-09</t>
        </is>
      </c>
      <c r="Z540" t="inlineStr">
        <is>
          <t>Located in Bengaluru; AI-adjacent exposure</t>
        </is>
      </c>
      <c r="AA540" t="inlineStr">
        <is>
          <t>eligible</t>
        </is>
      </c>
      <c r="AB540" t="inlineStr">
        <is>
          <t>No strict hard blockers found in description.</t>
        </is>
      </c>
      <c r="AC540" t="inlineStr">
        <is>
          <t>unknown</t>
        </is>
      </c>
      <c r="AD540" t="inlineStr">
        <is>
          <t>Candidate availability timeline not specified in prompt.</t>
        </is>
      </c>
      <c r="AE540" t="inlineStr">
        <is>
          <t>exact</t>
        </is>
      </c>
      <c r="AF540" t="n">
        <v>15000</v>
      </c>
      <c r="AG540" t="inlineStr">
        <is>
          <t>No</t>
        </is>
      </c>
      <c r="AH540" t="inlineStr">
        <is>
          <t>not mentioned</t>
        </is>
      </c>
      <c r="AI540" t="inlineStr">
        <is>
          <t>No mention of PPO or conversion in the job description.</t>
        </is>
      </c>
      <c r="AJ540" t="inlineStr"/>
      <c r="AK540" t="inlineStr">
        <is>
          <t>Stipend is below the minimum target of ₹25,000/month; No mention of PPO</t>
        </is>
      </c>
      <c r="AL540" t="inlineStr">
        <is>
          <t>Rapid prototyping methodology; Chatbot development experience; Workflow automation tools</t>
        </is>
      </c>
    </row>
    <row r="541">
      <c r="B541" t="inlineStr">
        <is>
          <t>neostats</t>
        </is>
      </c>
      <c r="C541" t="inlineStr">
        <is>
          <t>Artificial Intelligence Engineer Intern</t>
        </is>
      </c>
      <c r="D541" t="inlineStr">
        <is>
          <t>https://in.jooble.org/jdp/-7292019498942283213</t>
        </is>
      </c>
      <c r="E541" t="inlineStr">
        <is>
          <t>AI Analyzer</t>
        </is>
      </c>
      <c r="F541" t="inlineStr">
        <is>
          <t>Bangalore</t>
        </is>
      </c>
      <c r="G541" t="inlineStr">
        <is>
          <t>Onsite</t>
        </is>
      </c>
      <c r="H541" t="inlineStr">
        <is>
          <t>Paid Internship</t>
        </is>
      </c>
      <c r="I541" t="inlineStr">
        <is>
          <t>6 months</t>
        </is>
      </c>
      <c r="J541" t="inlineStr">
        <is>
          <t>NOT_MENTIONED</t>
        </is>
      </c>
      <c r="K541" t="inlineStr">
        <is>
          <t>AI-powered applications; Prototypes development; Performance metrics</t>
        </is>
      </c>
      <c r="L541" t="inlineStr"/>
      <c r="M541" t="inlineStr">
        <is>
          <t>&amp;nbsp;...AI Engineer &lt;b&gt;Intern &lt;/b&gt; Location: Bangalore 
 Mode of Work: Onsite 
 Years of Experience: 0-3 years 
 Paid Internship 
 Duration-6 months...&amp;nbsp;&amp;nbsp;...tasks to improve performance me 
# trics.Contribute to the &lt;b&gt;development &lt;/b&gt;of AI-powered applications and prototypes for real-world use 
#...&amp;nbsp;</t>
        </is>
      </c>
      <c r="N541" t="n">
        <v>52</v>
      </c>
      <c r="O541" t="n">
        <v>40</v>
      </c>
      <c r="P541" t="n">
        <v>90</v>
      </c>
      <c r="Q541" t="n">
        <v>60</v>
      </c>
      <c r="R541" t="n">
        <v>0</v>
      </c>
      <c r="S541" t="n">
        <v>40</v>
      </c>
      <c r="T541" t="n">
        <v>50</v>
      </c>
      <c r="U541" t="inlineStr">
        <is>
          <t>SKIP</t>
        </is>
      </c>
      <c r="V541" t="inlineStr">
        <is>
          <t>SKIP</t>
        </is>
      </c>
      <c r="W541" t="inlineStr">
        <is>
          <t>Machine Learning; Deep Learning; AI Model Development</t>
        </is>
      </c>
      <c r="X541" t="inlineStr">
        <is>
          <t>Default Software Engineering Resume</t>
        </is>
      </c>
      <c r="Y541" t="inlineStr">
        <is>
          <t>2026-09-09</t>
        </is>
      </c>
      <c r="Z541" t="inlineStr">
        <is>
          <t>Located in Bangalore with onsite mode; Internship duration is 6 months matching academic requirements</t>
        </is>
      </c>
      <c r="AA541" t="inlineStr">
        <is>
          <t>ELIGIBLE</t>
        </is>
      </c>
      <c r="AB541" t="inlineStr">
        <is>
          <t>Experience requirement is 0-3 years which fits freshers or early professionals</t>
        </is>
      </c>
      <c r="AC541" t="inlineStr">
        <is>
          <t>UNKNOWN</t>
        </is>
      </c>
      <c r="AD541" t="inlineStr">
        <is>
          <t>Not enough information to determine availability constraints</t>
        </is>
      </c>
      <c r="AE541" t="inlineStr">
        <is>
          <t>UNKNOWN</t>
        </is>
      </c>
      <c r="AF541" t="n">
        <v>0</v>
      </c>
      <c r="AG541" t="inlineStr">
        <is>
          <t>No</t>
        </is>
      </c>
      <c r="AH541" t="inlineStr">
        <is>
          <t>NOT_MENTIONED</t>
        </is>
      </c>
      <c r="AI541" t="inlineStr">
        <is>
          <t>No mention of PPO or conversion to full-time role in the snippet</t>
        </is>
      </c>
      <c r="AJ541" t="inlineStr"/>
      <c r="AK541" t="inlineStr">
        <is>
          <t>Stipend amount is unknown despite being marked as paid</t>
        </is>
      </c>
      <c r="AL541" t="inlineStr">
        <is>
          <t>Python programming; Building software prototypes; Basic AI concepts</t>
        </is>
      </c>
    </row>
    <row r="542">
      <c r="B542" t="inlineStr">
        <is>
          <t>Lane</t>
        </is>
      </c>
      <c r="C542" t="inlineStr">
        <is>
          <t>Tech- Intern</t>
        </is>
      </c>
      <c r="D542" t="inlineStr">
        <is>
          <t>https://in.jooble.org/jdp/-3697916622688250511</t>
        </is>
      </c>
      <c r="E542" t="inlineStr">
        <is>
          <t>AI Analyzer</t>
        </is>
      </c>
      <c r="F542" t="inlineStr">
        <is>
          <t>Bangalore</t>
        </is>
      </c>
      <c r="G542" t="inlineStr">
        <is>
          <t>Unknown</t>
        </is>
      </c>
      <c r="H542" t="inlineStr"/>
      <c r="I542" t="inlineStr">
        <is>
          <t>Unknown</t>
        </is>
      </c>
      <c r="J542" t="inlineStr">
        <is>
          <t>Unknown</t>
        </is>
      </c>
      <c r="K542" t="inlineStr">
        <is>
          <t>Node.js; Python; HTML; CSS; JavaScript; React</t>
        </is>
      </c>
      <c r="L542" t="inlineStr"/>
      <c r="M542" t="inlineStr">
        <is>
          <t>&amp;nbsp;...experience in software development and technology operations. As a Tech &lt;b&gt;Intern,&lt;/b&gt; you will work closely with our engineering team on live projects...&amp;nbsp;&amp;nbsp;...Basics: Familiarity with at least one backend language (e.g., &lt;b&gt;Node.js,&lt;/b&gt; Python) and frontend basics (HTML/CSS/JavaScript or React)....&amp;nbsp;</t>
        </is>
      </c>
      <c r="N542" t="n">
        <v>75</v>
      </c>
      <c r="O542" t="n">
        <v>30</v>
      </c>
      <c r="P542" t="n">
        <v>20</v>
      </c>
      <c r="Q542" t="n">
        <v>15</v>
      </c>
      <c r="R542" t="n">
        <v>5</v>
      </c>
      <c r="S542" t="n">
        <v>0</v>
      </c>
      <c r="T542" t="n">
        <v>5</v>
      </c>
      <c r="U542" t="inlineStr">
        <is>
          <t>CONSIDER</t>
        </is>
      </c>
      <c r="V542" t="inlineStr">
        <is>
          <t>CONSIDER</t>
        </is>
      </c>
      <c r="W542" t="inlineStr"/>
      <c r="X542" t="inlineStr">
        <is>
          <t>Full Stack / Software Engineering Resume</t>
        </is>
      </c>
      <c r="Y542" t="inlineStr">
        <is>
          <t>2026-09-09</t>
        </is>
      </c>
      <c r="Z542" t="inlineStr">
        <is>
          <t>Amaan's demonstrated skills in Node.js, Python, JavaScript, and React perfectly match the required stack.; Location matches target preferences (Bangalore).</t>
        </is>
      </c>
      <c r="AA542" t="inlineStr">
        <is>
          <t>Eligible</t>
        </is>
      </c>
      <c r="AB542" t="inlineStr"/>
      <c r="AC542" t="inlineStr">
        <is>
          <t>Unknown</t>
        </is>
      </c>
      <c r="AD542" t="inlineStr">
        <is>
          <t>Not specified in the job description.</t>
        </is>
      </c>
      <c r="AE542" t="inlineStr">
        <is>
          <t>UNKNOWN</t>
        </is>
      </c>
      <c r="AF542" t="n">
        <v>0</v>
      </c>
      <c r="AG542" t="inlineStr">
        <is>
          <t>No</t>
        </is>
      </c>
      <c r="AH542" t="inlineStr">
        <is>
          <t>Unknown</t>
        </is>
      </c>
      <c r="AI542" t="inlineStr">
        <is>
          <t>No mention of PPO or conversion in the job snippet.</t>
        </is>
      </c>
      <c r="AJ542" t="inlineStr"/>
      <c r="AK542" t="inlineStr">
        <is>
          <t>Stipend is not disclosed.</t>
        </is>
      </c>
      <c r="AL542" t="inlineStr">
        <is>
          <t>Backend fundamentals (Node.js or Python); Frontend basics (HTML, CSS, JavaScript, React); Past project experience in software development</t>
        </is>
      </c>
    </row>
    <row r="543">
      <c r="A543" t="inlineStr">
        <is>
          <t>NUTRITHY-WEL-260909-1</t>
        </is>
      </c>
      <c r="B543" t="inlineStr">
        <is>
          <t>Nutrithy Wellness</t>
        </is>
      </c>
      <c r="C543" t="inlineStr">
        <is>
          <t>Software Development Engineering Intern</t>
        </is>
      </c>
      <c r="D543" t="inlineStr">
        <is>
          <t>https://in.jooble.org/jdp/3760385546685730255</t>
        </is>
      </c>
      <c r="E543" t="inlineStr">
        <is>
          <t>AI Analyzer</t>
        </is>
      </c>
      <c r="F543" t="inlineStr">
        <is>
          <t>Remote</t>
        </is>
      </c>
      <c r="G543" t="inlineStr">
        <is>
          <t>Remote</t>
        </is>
      </c>
      <c r="H543" t="inlineStr">
        <is>
          <t>₹20,000- ₹30,000 /month</t>
        </is>
      </c>
      <c r="I543" t="inlineStr">
        <is>
          <t>Upto 3 Months</t>
        </is>
      </c>
      <c r="J543" t="inlineStr">
        <is>
          <t>YES</t>
        </is>
      </c>
      <c r="K543" t="inlineStr">
        <is>
          <t>Software Development</t>
        </is>
      </c>
      <c r="L543" t="inlineStr"/>
      <c r="M543" t="inlineStr">
        <is>
          <t>&amp;nbsp;...Internship Opportunity | &lt;b&gt;Software &lt;/b&gt;Development &lt;b&gt;Engineering &lt;/b&gt;| PPO opportunity 
 Nutrithy Wellness is hiring Software Development &lt;b&gt;Interns &lt;/b&gt;to join their team!
 Location: Remote. Duration: Upto 3 Months 
 Stipend: ₹20,000- ₹30,000 /month 
 What you'll be doing: 
 Working...&amp;nbsp;</t>
        </is>
      </c>
      <c r="N543" t="n">
        <v>90</v>
      </c>
      <c r="O543" t="n">
        <v>25</v>
      </c>
      <c r="P543" t="n">
        <v>20</v>
      </c>
      <c r="Q543" t="n">
        <v>15</v>
      </c>
      <c r="R543" t="n">
        <v>15</v>
      </c>
      <c r="S543" t="n">
        <v>7</v>
      </c>
      <c r="T543" t="n">
        <v>8</v>
      </c>
      <c r="U543" t="inlineStr">
        <is>
          <t>APPLY ASAP</t>
        </is>
      </c>
      <c r="V543" t="inlineStr">
        <is>
          <t>APPLY ASAP</t>
        </is>
      </c>
      <c r="W543" t="inlineStr"/>
      <c r="X543" t="inlineStr">
        <is>
          <t>Amaanuddin_Ahmed_Fullstack_Resume.pdf</t>
        </is>
      </c>
      <c r="Y543" t="inlineStr">
        <is>
          <t>2026-09-09</t>
        </is>
      </c>
      <c r="Z543" t="inlineStr">
        <is>
          <t>Includes a PPO opportunity which is a high priority for the candidate; Stipend is close to target range; Remote work mode aligns well with flexibility; Role matches target software engineering positions</t>
        </is>
      </c>
      <c r="AA543" t="inlineStr">
        <is>
          <t>ELIGIBLE</t>
        </is>
      </c>
      <c r="AB543" t="inlineStr">
        <is>
          <t>Candidate is pursuing MCA; Matches target Software Engineering role</t>
        </is>
      </c>
      <c r="AC543" t="inlineStr">
        <is>
          <t>UNKNOWN</t>
        </is>
      </c>
      <c r="AD543" t="inlineStr">
        <is>
          <t>Candidate availability timeline not provided in career brain.</t>
        </is>
      </c>
      <c r="AE543" t="inlineStr">
        <is>
          <t>DISCLOSED</t>
        </is>
      </c>
      <c r="AF543" t="n">
        <v>20000</v>
      </c>
      <c r="AG543" t="inlineStr">
        <is>
          <t>No</t>
        </is>
      </c>
      <c r="AH543" t="inlineStr">
        <is>
          <t>YES</t>
        </is>
      </c>
      <c r="AI543" t="inlineStr">
        <is>
          <t>PPO opportunity mentioned in the job snippet.</t>
        </is>
      </c>
      <c r="AJ543" t="inlineStr"/>
      <c r="AK543" t="inlineStr"/>
      <c r="AL543" t="inlineStr">
        <is>
          <t>Full stack development fundamentals; Problem solving and coding; Project architecture and deployment</t>
        </is>
      </c>
    </row>
    <row r="544">
      <c r="A544" t="inlineStr">
        <is>
          <t>JOBRAPIDO-260909-2</t>
        </is>
      </c>
      <c r="B544" t="inlineStr">
        <is>
          <t>Jobrapido</t>
        </is>
      </c>
      <c r="C544" t="inlineStr">
        <is>
          <t>Software Engineer Intern (Django + ReactJS)</t>
        </is>
      </c>
      <c r="D544" t="inlineStr">
        <is>
          <t>https://in.jooble.org/jdp/-8478551749094636824</t>
        </is>
      </c>
      <c r="E544" t="inlineStr">
        <is>
          <t>AI Analyzer</t>
        </is>
      </c>
      <c r="F544" t="inlineStr">
        <is>
          <t>Bangalore</t>
        </is>
      </c>
      <c r="G544" t="inlineStr">
        <is>
          <t>UNKNOWN</t>
        </is>
      </c>
      <c r="H544" t="inlineStr">
        <is>
          <t>Not specified</t>
        </is>
      </c>
      <c r="I544" t="inlineStr">
        <is>
          <t>UNKNOWN</t>
        </is>
      </c>
      <c r="J544" t="inlineStr">
        <is>
          <t>NOT_MENTIONED</t>
        </is>
      </c>
      <c r="K544" t="inlineStr">
        <is>
          <t>Django; ReactJS; Third-party APIs</t>
        </is>
      </c>
      <c r="L544" t="inlineStr"/>
      <c r="M544" t="inlineStr">
        <is>
          <t>&amp;nbsp;...them increase their sales on Amazon. We are looking for a tech &lt;b&gt;intern &lt;/b&gt;to help us develop our product. 
 Tech Stack: 
 Programming languages...&amp;nbsp;&amp;nbsp;...with third-party APIs 
 Contributing to all phases of the &lt;b&gt;development &lt;/b&gt;life cycle 
 Working to improve the efficiency and...&amp;nbsp;</t>
        </is>
      </c>
      <c r="N544" t="n">
        <v>49</v>
      </c>
      <c r="O544" t="n">
        <v>50</v>
      </c>
      <c r="P544" t="n">
        <v>70</v>
      </c>
      <c r="Q544" t="n">
        <v>70</v>
      </c>
      <c r="R544" t="n">
        <v>0</v>
      </c>
      <c r="S544" t="n">
        <v>0</v>
      </c>
      <c r="T544" t="n">
        <v>50</v>
      </c>
      <c r="U544" t="inlineStr">
        <is>
          <t>SKIP</t>
        </is>
      </c>
      <c r="V544" t="inlineStr">
        <is>
          <t>SKIP</t>
        </is>
      </c>
      <c r="W544" t="inlineStr">
        <is>
          <t>Django</t>
        </is>
      </c>
      <c r="X544" t="inlineStr">
        <is>
          <t>Amaanuddin_Ahmed_Fullstack_Resume.pdf</t>
        </is>
      </c>
      <c r="Y544" t="inlineStr">
        <is>
          <t>2026-09-09</t>
        </is>
      </c>
      <c r="Z544" t="inlineStr">
        <is>
          <t>Role matches target Full Stack / Software Engineering profile; Located in Bangalore</t>
        </is>
      </c>
      <c r="AA544" t="inlineStr">
        <is>
          <t>ELIGIBLE</t>
        </is>
      </c>
      <c r="AB544" t="inlineStr">
        <is>
          <t>No explicit degree or graduation-year blockers found in the snippet</t>
        </is>
      </c>
      <c r="AC544" t="inlineStr">
        <is>
          <t>UNKNOWN</t>
        </is>
      </c>
      <c r="AD544" t="inlineStr">
        <is>
          <t>Availability not specified in career brain</t>
        </is>
      </c>
      <c r="AE544" t="inlineStr">
        <is>
          <t>UNKNOWN</t>
        </is>
      </c>
      <c r="AF544" t="n">
        <v>0</v>
      </c>
      <c r="AG544" t="inlineStr">
        <is>
          <t>No</t>
        </is>
      </c>
      <c r="AH544" t="inlineStr">
        <is>
          <t>NOT_MENTIONED</t>
        </is>
      </c>
      <c r="AI544" t="inlineStr">
        <is>
          <t>No mention of PPO or conversion in the job snippet</t>
        </is>
      </c>
      <c r="AJ544" t="inlineStr"/>
      <c r="AK544" t="inlineStr">
        <is>
          <t>Very limited job description snippet provided; Stipend details not disclosed</t>
        </is>
      </c>
      <c r="AL544" t="inlineStr">
        <is>
          <t>Django framework fundamentals; React.js state management; REST API integration; SDLC practices</t>
        </is>
      </c>
    </row>
  </sheetData>
  <autoFilter ref="A1:Z500"/>
  <conditionalFormatting sqref="N2:N500">
    <cfRule type="colorScale" priority="1">
      <colorScale>
        <cfvo type="num" val="0"/>
        <cfvo type="num" val="70"/>
        <cfvo type="num" val="100"/>
        <color rgb="FFFCA5A5"/>
        <color rgb="FFFDE68A"/>
        <color rgb="FF86EFAC"/>
      </colorScale>
    </cfRule>
  </conditionalFormatting>
  <dataValidations count="3">
    <dataValidation sqref="AA2:AA500 AC2:AC500" showDropDown="0" showInputMessage="0" showErrorMessage="0" allowBlank="1" type="list">
      <formula1>"pass,risk,fail,unknown"</formula1>
    </dataValidation>
    <dataValidation sqref="AE2:AE500" showDropDown="0" showInputMessage="0" showErrorMessage="0" allowBlank="1" type="list">
      <formula1>"known,unknown,unpaid,verify"</formula1>
    </dataValidation>
    <dataValidation sqref="AH2:AH500" showDropDown="0" showInputMessage="0" showErrorMessage="0" allowBlank="1" type="list">
      <formula1>"strong,possible,unknown,none"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500"/>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5"/>
    <col width="16" customWidth="1" min="6" max="6"/>
    <col width="14" customWidth="1" min="7" max="7"/>
    <col width="12" customWidth="1" min="8" max="8"/>
    <col width="13" customWidth="1" min="9" max="9"/>
    <col width="16" customWidth="1" min="10" max="10"/>
    <col width="40" customWidth="1" min="11" max="12"/>
    <col width="16" customWidth="1" min="13" max="13"/>
    <col width="40" customWidth="1" min="14" max="15"/>
    <col width="12" customWidth="1" min="16" max="16"/>
    <col width="30" customWidth="1" min="17" max="17"/>
  </cols>
  <sheetData>
    <row r="1">
      <c r="A1" s="1" t="inlineStr">
        <is>
          <t>Application ID</t>
        </is>
      </c>
      <c r="B1" s="1" t="inlineStr">
        <is>
          <t>Job ID</t>
        </is>
      </c>
      <c r="C1" s="1" t="inlineStr">
        <is>
          <t>Company</t>
        </is>
      </c>
      <c r="D1" s="1" t="inlineStr">
        <is>
          <t>Role</t>
        </is>
      </c>
      <c r="E1" s="1" t="inlineStr">
        <is>
          <t>Job URL</t>
        </is>
      </c>
      <c r="F1" s="1" t="inlineStr">
        <is>
          <t>Resume Version</t>
        </is>
      </c>
      <c r="G1" s="1" t="inlineStr">
        <is>
          <t>Applied Date</t>
        </is>
      </c>
      <c r="H1" s="1" t="inlineStr">
        <is>
          <t>Status</t>
        </is>
      </c>
      <c r="I1" s="1" t="inlineStr">
        <is>
          <t>Next Action</t>
        </is>
      </c>
      <c r="J1" s="1" t="inlineStr">
        <is>
          <t>Follow-up Date</t>
        </is>
      </c>
      <c r="K1" s="1" t="inlineStr">
        <is>
          <t>Application Notes</t>
        </is>
      </c>
      <c r="L1" s="1" t="inlineStr">
        <is>
          <t>OA Date</t>
        </is>
      </c>
      <c r="M1" s="1" t="inlineStr">
        <is>
          <t>Interview Date</t>
        </is>
      </c>
      <c r="N1" s="1" t="inlineStr">
        <is>
          <t>Outcome</t>
        </is>
      </c>
      <c r="O1" s="1" t="inlineStr">
        <is>
          <t>Stipend</t>
        </is>
      </c>
      <c r="P1" s="1" t="inlineStr">
        <is>
          <t>PPO</t>
        </is>
      </c>
      <c r="Q1" s="1" t="inlineStr">
        <is>
          <t>Days Since Applied</t>
        </is>
      </c>
    </row>
    <row r="2">
      <c r="A2" s="2" t="n"/>
      <c r="B2" s="2" t="n"/>
      <c r="C2" s="2" t="n"/>
      <c r="D2" s="2" t="n"/>
      <c r="E2" s="2" t="n"/>
      <c r="F2" s="2" t="n"/>
      <c r="G2" s="2" t="n"/>
      <c r="H2" s="2" t="n"/>
      <c r="I2" s="2" t="n"/>
      <c r="J2" s="2" t="n"/>
      <c r="K2" s="2" t="n"/>
      <c r="L2" s="2" t="n"/>
      <c r="M2" s="2" t="n"/>
      <c r="N2" s="2" t="n"/>
      <c r="O2" s="2" t="n"/>
      <c r="P2" s="2" t="n"/>
      <c r="Q2" s="2">
        <f>IF(G2="","",TODAY()-G2)</f>
        <v/>
      </c>
    </row>
    <row r="3">
      <c r="A3" s="2" t="n"/>
      <c r="B3" s="2" t="n"/>
      <c r="C3" s="2" t="n"/>
      <c r="D3" s="2" t="n"/>
      <c r="E3" s="2" t="n"/>
      <c r="F3" s="2" t="n"/>
      <c r="G3" s="2" t="n"/>
      <c r="H3" s="2" t="n"/>
      <c r="I3" s="2" t="n"/>
      <c r="J3" s="2" t="n"/>
      <c r="K3" s="2" t="n"/>
      <c r="L3" s="2" t="n"/>
      <c r="M3" s="2" t="n"/>
      <c r="N3" s="2" t="n"/>
      <c r="O3" s="2" t="n"/>
      <c r="P3" s="2" t="n"/>
      <c r="Q3" s="2">
        <f>IF(G3="","",TODAY()-G3)</f>
        <v/>
      </c>
    </row>
    <row r="4">
      <c r="A4" s="2" t="n"/>
      <c r="B4" s="2" t="n"/>
      <c r="C4" s="2" t="n"/>
      <c r="D4" s="2" t="n"/>
      <c r="E4" s="2" t="n"/>
      <c r="F4" s="2" t="n"/>
      <c r="G4" s="2" t="n"/>
      <c r="H4" s="2" t="n"/>
      <c r="I4" s="2" t="n"/>
      <c r="J4" s="2" t="n"/>
      <c r="K4" s="2" t="n"/>
      <c r="L4" s="2" t="n"/>
      <c r="M4" s="2" t="n"/>
      <c r="N4" s="2" t="n"/>
      <c r="O4" s="2" t="n"/>
      <c r="P4" s="2" t="n"/>
      <c r="Q4" s="2">
        <f>IF(G4="","",TODAY()-G4)</f>
        <v/>
      </c>
    </row>
    <row r="5">
      <c r="A5" s="2" t="n"/>
      <c r="B5" s="2" t="n"/>
      <c r="C5" s="2" t="n"/>
      <c r="D5" s="2" t="n"/>
      <c r="E5" s="2" t="n"/>
      <c r="F5" s="2" t="n"/>
      <c r="G5" s="2" t="n"/>
      <c r="H5" s="2" t="n"/>
      <c r="I5" s="2" t="n"/>
      <c r="J5" s="2" t="n"/>
      <c r="K5" s="2" t="n"/>
      <c r="L5" s="2" t="n"/>
      <c r="M5" s="2" t="n"/>
      <c r="N5" s="2" t="n"/>
      <c r="O5" s="2" t="n"/>
      <c r="P5" s="2" t="n"/>
      <c r="Q5" s="2">
        <f>IF(G5="","",TODAY()-G5)</f>
        <v/>
      </c>
    </row>
    <row r="6">
      <c r="A6" s="2" t="n"/>
      <c r="B6" s="2" t="n"/>
      <c r="C6" s="2" t="n"/>
      <c r="D6" s="2" t="n"/>
      <c r="E6" s="2" t="n"/>
      <c r="F6" s="2" t="n"/>
      <c r="G6" s="2" t="n"/>
      <c r="H6" s="2" t="n"/>
      <c r="I6" s="2" t="n"/>
      <c r="J6" s="2" t="n"/>
      <c r="K6" s="2" t="n"/>
      <c r="L6" s="2" t="n"/>
      <c r="M6" s="2" t="n"/>
      <c r="N6" s="2" t="n"/>
      <c r="O6" s="2" t="n"/>
      <c r="P6" s="2" t="n"/>
      <c r="Q6" s="2">
        <f>IF(G6="","",TODAY()-G6)</f>
        <v/>
      </c>
    </row>
    <row r="7">
      <c r="A7" s="2" t="n"/>
      <c r="B7" s="2" t="n"/>
      <c r="C7" s="2" t="n"/>
      <c r="D7" s="2" t="n"/>
      <c r="E7" s="2" t="n"/>
      <c r="F7" s="2" t="n"/>
      <c r="G7" s="2" t="n"/>
      <c r="H7" s="2" t="n"/>
      <c r="I7" s="2" t="n"/>
      <c r="J7" s="2" t="n"/>
      <c r="K7" s="2" t="n"/>
      <c r="L7" s="2" t="n"/>
      <c r="M7" s="2" t="n"/>
      <c r="N7" s="2" t="n"/>
      <c r="O7" s="2" t="n"/>
      <c r="P7" s="2" t="n"/>
      <c r="Q7" s="2">
        <f>IF(G7="","",TODAY()-G7)</f>
        <v/>
      </c>
    </row>
    <row r="8">
      <c r="A8" s="2" t="n"/>
      <c r="B8" s="2" t="n"/>
      <c r="C8" s="2" t="n"/>
      <c r="D8" s="2" t="n"/>
      <c r="E8" s="2" t="n"/>
      <c r="F8" s="2" t="n"/>
      <c r="G8" s="2" t="n"/>
      <c r="H8" s="2" t="n"/>
      <c r="I8" s="2" t="n"/>
      <c r="J8" s="2" t="n"/>
      <c r="K8" s="2" t="n"/>
      <c r="L8" s="2" t="n"/>
      <c r="M8" s="2" t="n"/>
      <c r="N8" s="2" t="n"/>
      <c r="O8" s="2" t="n"/>
      <c r="P8" s="2" t="n"/>
      <c r="Q8" s="2">
        <f>IF(G8="","",TODAY()-G8)</f>
        <v/>
      </c>
    </row>
    <row r="9">
      <c r="A9" s="2" t="n"/>
      <c r="B9" s="2" t="n"/>
      <c r="C9" s="2" t="n"/>
      <c r="D9" s="2" t="n"/>
      <c r="E9" s="2" t="n"/>
      <c r="F9" s="2" t="n"/>
      <c r="G9" s="2" t="n"/>
      <c r="H9" s="2" t="n"/>
      <c r="I9" s="2" t="n"/>
      <c r="J9" s="2" t="n"/>
      <c r="K9" s="2" t="n"/>
      <c r="L9" s="2" t="n"/>
      <c r="M9" s="2" t="n"/>
      <c r="N9" s="2" t="n"/>
      <c r="O9" s="2" t="n"/>
      <c r="P9" s="2" t="n"/>
      <c r="Q9" s="2">
        <f>IF(G9="","",TODAY()-G9)</f>
        <v/>
      </c>
    </row>
    <row r="10">
      <c r="A10" s="2" t="n"/>
      <c r="B10" s="2" t="n"/>
      <c r="C10" s="2" t="n"/>
      <c r="D10" s="2" t="n"/>
      <c r="E10" s="2" t="n"/>
      <c r="F10" s="2" t="n"/>
      <c r="G10" s="2" t="n"/>
      <c r="H10" s="2" t="n"/>
      <c r="I10" s="2" t="n"/>
      <c r="J10" s="2" t="n"/>
      <c r="K10" s="2" t="n"/>
      <c r="L10" s="2" t="n"/>
      <c r="M10" s="2" t="n"/>
      <c r="N10" s="2" t="n"/>
      <c r="O10" s="2" t="n"/>
      <c r="P10" s="2" t="n"/>
      <c r="Q10" s="2">
        <f>IF(G10="","",TODAY()-G10)</f>
        <v/>
      </c>
    </row>
    <row r="11">
      <c r="A11" s="2" t="n"/>
      <c r="B11" s="2" t="n"/>
      <c r="C11" s="2" t="n"/>
      <c r="D11" s="2" t="n"/>
      <c r="E11" s="2" t="n"/>
      <c r="F11" s="2" t="n"/>
      <c r="G11" s="2" t="n"/>
      <c r="H11" s="2" t="n"/>
      <c r="I11" s="2" t="n"/>
      <c r="J11" s="2" t="n"/>
      <c r="K11" s="2" t="n"/>
      <c r="L11" s="2" t="n"/>
      <c r="M11" s="2" t="n"/>
      <c r="N11" s="2" t="n"/>
      <c r="O11" s="2" t="n"/>
      <c r="P11" s="2" t="n"/>
      <c r="Q11" s="2">
        <f>IF(G11="","",TODAY()-G11)</f>
        <v/>
      </c>
    </row>
    <row r="12">
      <c r="A12" s="2" t="n"/>
      <c r="B12" s="2" t="n"/>
      <c r="C12" s="2" t="n"/>
      <c r="D12" s="2" t="n"/>
      <c r="E12" s="2" t="n"/>
      <c r="F12" s="2" t="n"/>
      <c r="G12" s="2" t="n"/>
      <c r="H12" s="2" t="n"/>
      <c r="I12" s="2" t="n"/>
      <c r="J12" s="2" t="n"/>
      <c r="K12" s="2" t="n"/>
      <c r="L12" s="2" t="n"/>
      <c r="M12" s="2" t="n"/>
      <c r="N12" s="2" t="n"/>
      <c r="O12" s="2" t="n"/>
      <c r="P12" s="2" t="n"/>
      <c r="Q12" s="2">
        <f>IF(G12="","",TODAY()-G12)</f>
        <v/>
      </c>
    </row>
    <row r="13">
      <c r="A13" s="2" t="n"/>
      <c r="B13" s="2" t="n"/>
      <c r="C13" s="2" t="n"/>
      <c r="D13" s="2" t="n"/>
      <c r="E13" s="2" t="n"/>
      <c r="F13" s="2" t="n"/>
      <c r="G13" s="2" t="n"/>
      <c r="H13" s="2" t="n"/>
      <c r="I13" s="2" t="n"/>
      <c r="J13" s="2" t="n"/>
      <c r="K13" s="2" t="n"/>
      <c r="L13" s="2" t="n"/>
      <c r="M13" s="2" t="n"/>
      <c r="N13" s="2" t="n"/>
      <c r="O13" s="2" t="n"/>
      <c r="P13" s="2" t="n"/>
      <c r="Q13" s="2">
        <f>IF(G13="","",TODAY()-G13)</f>
        <v/>
      </c>
    </row>
    <row r="14">
      <c r="A14" s="2" t="n"/>
      <c r="B14" s="2" t="n"/>
      <c r="C14" s="2" t="n"/>
      <c r="D14" s="2" t="n"/>
      <c r="E14" s="2" t="n"/>
      <c r="F14" s="2" t="n"/>
      <c r="G14" s="2" t="n"/>
      <c r="H14" s="2" t="n"/>
      <c r="I14" s="2" t="n"/>
      <c r="J14" s="2" t="n"/>
      <c r="K14" s="2" t="n"/>
      <c r="L14" s="2" t="n"/>
      <c r="M14" s="2" t="n"/>
      <c r="N14" s="2" t="n"/>
      <c r="O14" s="2" t="n"/>
      <c r="P14" s="2" t="n"/>
      <c r="Q14" s="2">
        <f>IF(G14="","",TODAY()-G14)</f>
        <v/>
      </c>
    </row>
    <row r="15">
      <c r="A15" s="2" t="n"/>
      <c r="B15" s="2" t="n"/>
      <c r="C15" s="2" t="n"/>
      <c r="D15" s="2" t="n"/>
      <c r="E15" s="2" t="n"/>
      <c r="F15" s="2" t="n"/>
      <c r="G15" s="2" t="n"/>
      <c r="H15" s="2" t="n"/>
      <c r="I15" s="2" t="n"/>
      <c r="J15" s="2" t="n"/>
      <c r="K15" s="2" t="n"/>
      <c r="L15" s="2" t="n"/>
      <c r="M15" s="2" t="n"/>
      <c r="N15" s="2" t="n"/>
      <c r="O15" s="2" t="n"/>
      <c r="P15" s="2" t="n"/>
      <c r="Q15" s="2">
        <f>IF(G15="","",TODAY()-G15)</f>
        <v/>
      </c>
    </row>
    <row r="16">
      <c r="A16" s="2" t="n"/>
      <c r="B16" s="2" t="n"/>
      <c r="C16" s="2" t="n"/>
      <c r="D16" s="2" t="n"/>
      <c r="E16" s="2" t="n"/>
      <c r="F16" s="2" t="n"/>
      <c r="G16" s="2" t="n"/>
      <c r="H16" s="2" t="n"/>
      <c r="I16" s="2" t="n"/>
      <c r="J16" s="2" t="n"/>
      <c r="K16" s="2" t="n"/>
      <c r="L16" s="2" t="n"/>
      <c r="M16" s="2" t="n"/>
      <c r="N16" s="2" t="n"/>
      <c r="O16" s="2" t="n"/>
      <c r="P16" s="2" t="n"/>
      <c r="Q16" s="2">
        <f>IF(G16="","",TODAY()-G16)</f>
        <v/>
      </c>
    </row>
    <row r="17">
      <c r="A17" s="2" t="n"/>
      <c r="B17" s="2" t="n"/>
      <c r="C17" s="2" t="n"/>
      <c r="D17" s="2" t="n"/>
      <c r="E17" s="2" t="n"/>
      <c r="F17" s="2" t="n"/>
      <c r="G17" s="2" t="n"/>
      <c r="H17" s="2" t="n"/>
      <c r="I17" s="2" t="n"/>
      <c r="J17" s="2" t="n"/>
      <c r="K17" s="2" t="n"/>
      <c r="L17" s="2" t="n"/>
      <c r="M17" s="2" t="n"/>
      <c r="N17" s="2" t="n"/>
      <c r="O17" s="2" t="n"/>
      <c r="P17" s="2" t="n"/>
      <c r="Q17" s="2">
        <f>IF(G17="","",TODAY()-G17)</f>
        <v/>
      </c>
    </row>
    <row r="18">
      <c r="A18" s="2" t="n"/>
      <c r="B18" s="2" t="n"/>
      <c r="C18" s="2" t="n"/>
      <c r="D18" s="2" t="n"/>
      <c r="E18" s="2" t="n"/>
      <c r="F18" s="2" t="n"/>
      <c r="G18" s="2" t="n"/>
      <c r="H18" s="2" t="n"/>
      <c r="I18" s="2" t="n"/>
      <c r="J18" s="2" t="n"/>
      <c r="K18" s="2" t="n"/>
      <c r="L18" s="2" t="n"/>
      <c r="M18" s="2" t="n"/>
      <c r="N18" s="2" t="n"/>
      <c r="O18" s="2" t="n"/>
      <c r="P18" s="2" t="n"/>
      <c r="Q18" s="2">
        <f>IF(G18="","",TODAY()-G18)</f>
        <v/>
      </c>
    </row>
    <row r="19">
      <c r="A19" s="2" t="n"/>
      <c r="B19" s="2" t="n"/>
      <c r="C19" s="2" t="n"/>
      <c r="D19" s="2" t="n"/>
      <c r="E19" s="2" t="n"/>
      <c r="F19" s="2" t="n"/>
      <c r="G19" s="2" t="n"/>
      <c r="H19" s="2" t="n"/>
      <c r="I19" s="2" t="n"/>
      <c r="J19" s="2" t="n"/>
      <c r="K19" s="2" t="n"/>
      <c r="L19" s="2" t="n"/>
      <c r="M19" s="2" t="n"/>
      <c r="N19" s="2" t="n"/>
      <c r="O19" s="2" t="n"/>
      <c r="P19" s="2" t="n"/>
      <c r="Q19" s="2">
        <f>IF(G19="","",TODAY()-G19)</f>
        <v/>
      </c>
    </row>
    <row r="20">
      <c r="A20" s="2" t="n"/>
      <c r="B20" s="2" t="n"/>
      <c r="C20" s="2" t="n"/>
      <c r="D20" s="2" t="n"/>
      <c r="E20" s="2" t="n"/>
      <c r="F20" s="2" t="n"/>
      <c r="G20" s="2" t="n"/>
      <c r="H20" s="2" t="n"/>
      <c r="I20" s="2" t="n"/>
      <c r="J20" s="2" t="n"/>
      <c r="K20" s="2" t="n"/>
      <c r="L20" s="2" t="n"/>
      <c r="M20" s="2" t="n"/>
      <c r="N20" s="2" t="n"/>
      <c r="O20" s="2" t="n"/>
      <c r="P20" s="2" t="n"/>
      <c r="Q20" s="2">
        <f>IF(G20="","",TODAY()-G20)</f>
        <v/>
      </c>
    </row>
    <row r="21">
      <c r="A21" s="2" t="n"/>
      <c r="B21" s="2" t="n"/>
      <c r="C21" s="2" t="n"/>
      <c r="D21" s="2" t="n"/>
      <c r="E21" s="2" t="n"/>
      <c r="F21" s="2" t="n"/>
      <c r="G21" s="2" t="n"/>
      <c r="H21" s="2" t="n"/>
      <c r="I21" s="2" t="n"/>
      <c r="J21" s="2" t="n"/>
      <c r="K21" s="2" t="n"/>
      <c r="L21" s="2" t="n"/>
      <c r="M21" s="2" t="n"/>
      <c r="N21" s="2" t="n"/>
      <c r="O21" s="2" t="n"/>
      <c r="P21" s="2" t="n"/>
      <c r="Q21" s="2">
        <f>IF(G21="","",TODAY()-G21)</f>
        <v/>
      </c>
    </row>
    <row r="22">
      <c r="A22" s="2" t="n"/>
      <c r="B22" s="2" t="n"/>
      <c r="C22" s="2" t="n"/>
      <c r="D22" s="2" t="n"/>
      <c r="E22" s="2" t="n"/>
      <c r="F22" s="2" t="n"/>
      <c r="G22" s="2" t="n"/>
      <c r="H22" s="2" t="n"/>
      <c r="I22" s="2" t="n"/>
      <c r="J22" s="2" t="n"/>
      <c r="K22" s="2" t="n"/>
      <c r="L22" s="2" t="n"/>
      <c r="M22" s="2" t="n"/>
      <c r="N22" s="2" t="n"/>
      <c r="O22" s="2" t="n"/>
      <c r="P22" s="2" t="n"/>
      <c r="Q22" s="2">
        <f>IF(G22="","",TODAY()-G22)</f>
        <v/>
      </c>
    </row>
    <row r="23">
      <c r="A23" s="2" t="n"/>
      <c r="B23" s="2" t="n"/>
      <c r="C23" s="2" t="n"/>
      <c r="D23" s="2" t="n"/>
      <c r="E23" s="2" t="n"/>
      <c r="F23" s="2" t="n"/>
      <c r="G23" s="2" t="n"/>
      <c r="H23" s="2" t="n"/>
      <c r="I23" s="2" t="n"/>
      <c r="J23" s="2" t="n"/>
      <c r="K23" s="2" t="n"/>
      <c r="L23" s="2" t="n"/>
      <c r="M23" s="2" t="n"/>
      <c r="N23" s="2" t="n"/>
      <c r="O23" s="2" t="n"/>
      <c r="P23" s="2" t="n"/>
      <c r="Q23" s="2">
        <f>IF(G23="","",TODAY()-G23)</f>
        <v/>
      </c>
    </row>
    <row r="24">
      <c r="A24" s="2" t="n"/>
      <c r="B24" s="2" t="n"/>
      <c r="C24" s="2" t="n"/>
      <c r="D24" s="2" t="n"/>
      <c r="E24" s="2" t="n"/>
      <c r="F24" s="2" t="n"/>
      <c r="G24" s="2" t="n"/>
      <c r="H24" s="2" t="n"/>
      <c r="I24" s="2" t="n"/>
      <c r="J24" s="2" t="n"/>
      <c r="K24" s="2" t="n"/>
      <c r="L24" s="2" t="n"/>
      <c r="M24" s="2" t="n"/>
      <c r="N24" s="2" t="n"/>
      <c r="O24" s="2" t="n"/>
      <c r="P24" s="2" t="n"/>
      <c r="Q24" s="2">
        <f>IF(G24="","",TODAY()-G24)</f>
        <v/>
      </c>
    </row>
    <row r="25">
      <c r="A25" s="2" t="n"/>
      <c r="B25" s="2" t="n"/>
      <c r="C25" s="2" t="n"/>
      <c r="D25" s="2" t="n"/>
      <c r="E25" s="2" t="n"/>
      <c r="F25" s="2" t="n"/>
      <c r="G25" s="2" t="n"/>
      <c r="H25" s="2" t="n"/>
      <c r="I25" s="2" t="n"/>
      <c r="J25" s="2" t="n"/>
      <c r="K25" s="2" t="n"/>
      <c r="L25" s="2" t="n"/>
      <c r="M25" s="2" t="n"/>
      <c r="N25" s="2" t="n"/>
      <c r="O25" s="2" t="n"/>
      <c r="P25" s="2" t="n"/>
      <c r="Q25" s="2">
        <f>IF(G25="","",TODAY()-G25)</f>
        <v/>
      </c>
    </row>
    <row r="26">
      <c r="A26" s="2" t="n"/>
      <c r="B26" s="2" t="n"/>
      <c r="C26" s="2" t="n"/>
      <c r="D26" s="2" t="n"/>
      <c r="E26" s="2" t="n"/>
      <c r="F26" s="2" t="n"/>
      <c r="G26" s="2" t="n"/>
      <c r="H26" s="2" t="n"/>
      <c r="I26" s="2" t="n"/>
      <c r="J26" s="2" t="n"/>
      <c r="K26" s="2" t="n"/>
      <c r="L26" s="2" t="n"/>
      <c r="M26" s="2" t="n"/>
      <c r="N26" s="2" t="n"/>
      <c r="O26" s="2" t="n"/>
      <c r="P26" s="2" t="n"/>
      <c r="Q26" s="2">
        <f>IF(G26="","",TODAY()-G26)</f>
        <v/>
      </c>
    </row>
    <row r="27">
      <c r="A27" s="2" t="n"/>
      <c r="B27" s="2" t="n"/>
      <c r="C27" s="2" t="n"/>
      <c r="D27" s="2" t="n"/>
      <c r="E27" s="2" t="n"/>
      <c r="F27" s="2" t="n"/>
      <c r="G27" s="2" t="n"/>
      <c r="H27" s="2" t="n"/>
      <c r="I27" s="2" t="n"/>
      <c r="J27" s="2" t="n"/>
      <c r="K27" s="2" t="n"/>
      <c r="L27" s="2" t="n"/>
      <c r="M27" s="2" t="n"/>
      <c r="N27" s="2" t="n"/>
      <c r="O27" s="2" t="n"/>
      <c r="P27" s="2" t="n"/>
      <c r="Q27" s="2">
        <f>IF(G27="","",TODAY()-G27)</f>
        <v/>
      </c>
    </row>
    <row r="28">
      <c r="A28" s="2" t="n"/>
      <c r="B28" s="2" t="n"/>
      <c r="C28" s="2" t="n"/>
      <c r="D28" s="2" t="n"/>
      <c r="E28" s="2" t="n"/>
      <c r="F28" s="2" t="n"/>
      <c r="G28" s="2" t="n"/>
      <c r="H28" s="2" t="n"/>
      <c r="I28" s="2" t="n"/>
      <c r="J28" s="2" t="n"/>
      <c r="K28" s="2" t="n"/>
      <c r="L28" s="2" t="n"/>
      <c r="M28" s="2" t="n"/>
      <c r="N28" s="2" t="n"/>
      <c r="O28" s="2" t="n"/>
      <c r="P28" s="2" t="n"/>
      <c r="Q28" s="2">
        <f>IF(G28="","",TODAY()-G28)</f>
        <v/>
      </c>
    </row>
    <row r="29">
      <c r="A29" s="2" t="n"/>
      <c r="B29" s="2" t="n"/>
      <c r="C29" s="2" t="n"/>
      <c r="D29" s="2" t="n"/>
      <c r="E29" s="2" t="n"/>
      <c r="F29" s="2" t="n"/>
      <c r="G29" s="2" t="n"/>
      <c r="H29" s="2" t="n"/>
      <c r="I29" s="2" t="n"/>
      <c r="J29" s="2" t="n"/>
      <c r="K29" s="2" t="n"/>
      <c r="L29" s="2" t="n"/>
      <c r="M29" s="2" t="n"/>
      <c r="N29" s="2" t="n"/>
      <c r="O29" s="2" t="n"/>
      <c r="P29" s="2" t="n"/>
      <c r="Q29" s="2">
        <f>IF(G29="","",TODAY()-G29)</f>
        <v/>
      </c>
    </row>
    <row r="30">
      <c r="A30" s="2" t="n"/>
      <c r="B30" s="2" t="n"/>
      <c r="C30" s="2" t="n"/>
      <c r="D30" s="2" t="n"/>
      <c r="E30" s="2" t="n"/>
      <c r="F30" s="2" t="n"/>
      <c r="G30" s="2" t="n"/>
      <c r="H30" s="2" t="n"/>
      <c r="I30" s="2" t="n"/>
      <c r="J30" s="2" t="n"/>
      <c r="K30" s="2" t="n"/>
      <c r="L30" s="2" t="n"/>
      <c r="M30" s="2" t="n"/>
      <c r="N30" s="2" t="n"/>
      <c r="O30" s="2" t="n"/>
      <c r="P30" s="2" t="n"/>
      <c r="Q30" s="2">
        <f>IF(G30="","",TODAY()-G30)</f>
        <v/>
      </c>
    </row>
    <row r="31">
      <c r="A31" s="2" t="n"/>
      <c r="B31" s="2" t="n"/>
      <c r="C31" s="2" t="n"/>
      <c r="D31" s="2" t="n"/>
      <c r="E31" s="2" t="n"/>
      <c r="F31" s="2" t="n"/>
      <c r="G31" s="2" t="n"/>
      <c r="H31" s="2" t="n"/>
      <c r="I31" s="2" t="n"/>
      <c r="J31" s="2" t="n"/>
      <c r="K31" s="2" t="n"/>
      <c r="L31" s="2" t="n"/>
      <c r="M31" s="2" t="n"/>
      <c r="N31" s="2" t="n"/>
      <c r="O31" s="2" t="n"/>
      <c r="P31" s="2" t="n"/>
      <c r="Q31" s="2">
        <f>IF(G31="","",TODAY()-G31)</f>
        <v/>
      </c>
    </row>
    <row r="32">
      <c r="A32" s="2" t="n"/>
      <c r="B32" s="2" t="n"/>
      <c r="C32" s="2" t="n"/>
      <c r="D32" s="2" t="n"/>
      <c r="E32" s="2" t="n"/>
      <c r="F32" s="2" t="n"/>
      <c r="G32" s="2" t="n"/>
      <c r="H32" s="2" t="n"/>
      <c r="I32" s="2" t="n"/>
      <c r="J32" s="2" t="n"/>
      <c r="K32" s="2" t="n"/>
      <c r="L32" s="2" t="n"/>
      <c r="M32" s="2" t="n"/>
      <c r="N32" s="2" t="n"/>
      <c r="O32" s="2" t="n"/>
      <c r="P32" s="2" t="n"/>
      <c r="Q32" s="2">
        <f>IF(G32="","",TODAY()-G32)</f>
        <v/>
      </c>
    </row>
    <row r="33">
      <c r="A33" s="2" t="n"/>
      <c r="B33" s="2" t="n"/>
      <c r="C33" s="2" t="n"/>
      <c r="D33" s="2" t="n"/>
      <c r="E33" s="2" t="n"/>
      <c r="F33" s="2" t="n"/>
      <c r="G33" s="2" t="n"/>
      <c r="H33" s="2" t="n"/>
      <c r="I33" s="2" t="n"/>
      <c r="J33" s="2" t="n"/>
      <c r="K33" s="2" t="n"/>
      <c r="L33" s="2" t="n"/>
      <c r="M33" s="2" t="n"/>
      <c r="N33" s="2" t="n"/>
      <c r="O33" s="2" t="n"/>
      <c r="P33" s="2" t="n"/>
      <c r="Q33" s="2">
        <f>IF(G33="","",TODAY()-G33)</f>
        <v/>
      </c>
    </row>
    <row r="34">
      <c r="A34" s="2" t="n"/>
      <c r="B34" s="2" t="n"/>
      <c r="C34" s="2" t="n"/>
      <c r="D34" s="2" t="n"/>
      <c r="E34" s="2" t="n"/>
      <c r="F34" s="2" t="n"/>
      <c r="G34" s="2" t="n"/>
      <c r="H34" s="2" t="n"/>
      <c r="I34" s="2" t="n"/>
      <c r="J34" s="2" t="n"/>
      <c r="K34" s="2" t="n"/>
      <c r="L34" s="2" t="n"/>
      <c r="M34" s="2" t="n"/>
      <c r="N34" s="2" t="n"/>
      <c r="O34" s="2" t="n"/>
      <c r="P34" s="2" t="n"/>
      <c r="Q34" s="2">
        <f>IF(G34="","",TODAY()-G34)</f>
        <v/>
      </c>
    </row>
    <row r="35">
      <c r="A35" s="2" t="n"/>
      <c r="B35" s="2" t="n"/>
      <c r="C35" s="2" t="n"/>
      <c r="D35" s="2" t="n"/>
      <c r="E35" s="2" t="n"/>
      <c r="F35" s="2" t="n"/>
      <c r="G35" s="2" t="n"/>
      <c r="H35" s="2" t="n"/>
      <c r="I35" s="2" t="n"/>
      <c r="J35" s="2" t="n"/>
      <c r="K35" s="2" t="n"/>
      <c r="L35" s="2" t="n"/>
      <c r="M35" s="2" t="n"/>
      <c r="N35" s="2" t="n"/>
      <c r="O35" s="2" t="n"/>
      <c r="P35" s="2" t="n"/>
      <c r="Q35" s="2">
        <f>IF(G35="","",TODAY()-G35)</f>
        <v/>
      </c>
    </row>
    <row r="36">
      <c r="A36" s="2" t="n"/>
      <c r="B36" s="2" t="n"/>
      <c r="C36" s="2" t="n"/>
      <c r="D36" s="2" t="n"/>
      <c r="E36" s="2" t="n"/>
      <c r="F36" s="2" t="n"/>
      <c r="G36" s="2" t="n"/>
      <c r="H36" s="2" t="n"/>
      <c r="I36" s="2" t="n"/>
      <c r="J36" s="2" t="n"/>
      <c r="K36" s="2" t="n"/>
      <c r="L36" s="2" t="n"/>
      <c r="M36" s="2" t="n"/>
      <c r="N36" s="2" t="n"/>
      <c r="O36" s="2" t="n"/>
      <c r="P36" s="2" t="n"/>
      <c r="Q36" s="2">
        <f>IF(G36="","",TODAY()-G36)</f>
        <v/>
      </c>
    </row>
    <row r="37">
      <c r="A37" s="2" t="n"/>
      <c r="B37" s="2" t="n"/>
      <c r="C37" s="2" t="n"/>
      <c r="D37" s="2" t="n"/>
      <c r="E37" s="2" t="n"/>
      <c r="F37" s="2" t="n"/>
      <c r="G37" s="2" t="n"/>
      <c r="H37" s="2" t="n"/>
      <c r="I37" s="2" t="n"/>
      <c r="J37" s="2" t="n"/>
      <c r="K37" s="2" t="n"/>
      <c r="L37" s="2" t="n"/>
      <c r="M37" s="2" t="n"/>
      <c r="N37" s="2" t="n"/>
      <c r="O37" s="2" t="n"/>
      <c r="P37" s="2" t="n"/>
      <c r="Q37" s="2">
        <f>IF(G37="","",TODAY()-G37)</f>
        <v/>
      </c>
    </row>
    <row r="38">
      <c r="A38" s="2" t="n"/>
      <c r="B38" s="2" t="n"/>
      <c r="C38" s="2" t="n"/>
      <c r="D38" s="2" t="n"/>
      <c r="E38" s="2" t="n"/>
      <c r="F38" s="2" t="n"/>
      <c r="G38" s="2" t="n"/>
      <c r="H38" s="2" t="n"/>
      <c r="I38" s="2" t="n"/>
      <c r="J38" s="2" t="n"/>
      <c r="K38" s="2" t="n"/>
      <c r="L38" s="2" t="n"/>
      <c r="M38" s="2" t="n"/>
      <c r="N38" s="2" t="n"/>
      <c r="O38" s="2" t="n"/>
      <c r="P38" s="2" t="n"/>
      <c r="Q38" s="2">
        <f>IF(G38="","",TODAY()-G38)</f>
        <v/>
      </c>
    </row>
    <row r="39">
      <c r="A39" s="2" t="n"/>
      <c r="B39" s="2" t="n"/>
      <c r="C39" s="2" t="n"/>
      <c r="D39" s="2" t="n"/>
      <c r="E39" s="2" t="n"/>
      <c r="F39" s="2" t="n"/>
      <c r="G39" s="2" t="n"/>
      <c r="H39" s="2" t="n"/>
      <c r="I39" s="2" t="n"/>
      <c r="J39" s="2" t="n"/>
      <c r="K39" s="2" t="n"/>
      <c r="L39" s="2" t="n"/>
      <c r="M39" s="2" t="n"/>
      <c r="N39" s="2" t="n"/>
      <c r="O39" s="2" t="n"/>
      <c r="P39" s="2" t="n"/>
      <c r="Q39" s="2">
        <f>IF(G39="","",TODAY()-G39)</f>
        <v/>
      </c>
    </row>
    <row r="40">
      <c r="A40" s="2" t="n"/>
      <c r="B40" s="2" t="n"/>
      <c r="C40" s="2" t="n"/>
      <c r="D40" s="2" t="n"/>
      <c r="E40" s="2" t="n"/>
      <c r="F40" s="2" t="n"/>
      <c r="G40" s="2" t="n"/>
      <c r="H40" s="2" t="n"/>
      <c r="I40" s="2" t="n"/>
      <c r="J40" s="2" t="n"/>
      <c r="K40" s="2" t="n"/>
      <c r="L40" s="2" t="n"/>
      <c r="M40" s="2" t="n"/>
      <c r="N40" s="2" t="n"/>
      <c r="O40" s="2" t="n"/>
      <c r="P40" s="2" t="n"/>
      <c r="Q40" s="2">
        <f>IF(G40="","",TODAY()-G40)</f>
        <v/>
      </c>
    </row>
    <row r="41">
      <c r="A41" s="2" t="n"/>
      <c r="B41" s="2" t="n"/>
      <c r="C41" s="2" t="n"/>
      <c r="D41" s="2" t="n"/>
      <c r="E41" s="2" t="n"/>
      <c r="F41" s="2" t="n"/>
      <c r="G41" s="2" t="n"/>
      <c r="H41" s="2" t="n"/>
      <c r="I41" s="2" t="n"/>
      <c r="J41" s="2" t="n"/>
      <c r="K41" s="2" t="n"/>
      <c r="L41" s="2" t="n"/>
      <c r="M41" s="2" t="n"/>
      <c r="N41" s="2" t="n"/>
      <c r="O41" s="2" t="n"/>
      <c r="P41" s="2" t="n"/>
      <c r="Q41" s="2">
        <f>IF(G41="","",TODAY()-G41)</f>
        <v/>
      </c>
    </row>
    <row r="42">
      <c r="A42" s="2" t="n"/>
      <c r="B42" s="2" t="n"/>
      <c r="C42" s="2" t="n"/>
      <c r="D42" s="2" t="n"/>
      <c r="E42" s="2" t="n"/>
      <c r="F42" s="2" t="n"/>
      <c r="G42" s="2" t="n"/>
      <c r="H42" s="2" t="n"/>
      <c r="I42" s="2" t="n"/>
      <c r="J42" s="2" t="n"/>
      <c r="K42" s="2" t="n"/>
      <c r="L42" s="2" t="n"/>
      <c r="M42" s="2" t="n"/>
      <c r="N42" s="2" t="n"/>
      <c r="O42" s="2" t="n"/>
      <c r="P42" s="2" t="n"/>
      <c r="Q42" s="2">
        <f>IF(G42="","",TODAY()-G42)</f>
        <v/>
      </c>
    </row>
    <row r="43">
      <c r="A43" s="2" t="n"/>
      <c r="B43" s="2" t="n"/>
      <c r="C43" s="2" t="n"/>
      <c r="D43" s="2" t="n"/>
      <c r="E43" s="2" t="n"/>
      <c r="F43" s="2" t="n"/>
      <c r="G43" s="2" t="n"/>
      <c r="H43" s="2" t="n"/>
      <c r="I43" s="2" t="n"/>
      <c r="J43" s="2" t="n"/>
      <c r="K43" s="2" t="n"/>
      <c r="L43" s="2" t="n"/>
      <c r="M43" s="2" t="n"/>
      <c r="N43" s="2" t="n"/>
      <c r="O43" s="2" t="n"/>
      <c r="P43" s="2" t="n"/>
      <c r="Q43" s="2">
        <f>IF(G43="","",TODAY()-G43)</f>
        <v/>
      </c>
    </row>
    <row r="44">
      <c r="A44" s="2" t="n"/>
      <c r="B44" s="2" t="n"/>
      <c r="C44" s="2" t="n"/>
      <c r="D44" s="2" t="n"/>
      <c r="E44" s="2" t="n"/>
      <c r="F44" s="2" t="n"/>
      <c r="G44" s="2" t="n"/>
      <c r="H44" s="2" t="n"/>
      <c r="I44" s="2" t="n"/>
      <c r="J44" s="2" t="n"/>
      <c r="K44" s="2" t="n"/>
      <c r="L44" s="2" t="n"/>
      <c r="M44" s="2" t="n"/>
      <c r="N44" s="2" t="n"/>
      <c r="O44" s="2" t="n"/>
      <c r="P44" s="2" t="n"/>
      <c r="Q44" s="2">
        <f>IF(G44="","",TODAY()-G44)</f>
        <v/>
      </c>
    </row>
    <row r="45">
      <c r="A45" s="2" t="n"/>
      <c r="B45" s="2" t="n"/>
      <c r="C45" s="2" t="n"/>
      <c r="D45" s="2" t="n"/>
      <c r="E45" s="2" t="n"/>
      <c r="F45" s="2" t="n"/>
      <c r="G45" s="2" t="n"/>
      <c r="H45" s="2" t="n"/>
      <c r="I45" s="2" t="n"/>
      <c r="J45" s="2" t="n"/>
      <c r="K45" s="2" t="n"/>
      <c r="L45" s="2" t="n"/>
      <c r="M45" s="2" t="n"/>
      <c r="N45" s="2" t="n"/>
      <c r="O45" s="2" t="n"/>
      <c r="P45" s="2" t="n"/>
      <c r="Q45" s="2">
        <f>IF(G45="","",TODAY()-G45)</f>
        <v/>
      </c>
    </row>
    <row r="46">
      <c r="A46" s="2" t="n"/>
      <c r="B46" s="2" t="n"/>
      <c r="C46" s="2" t="n"/>
      <c r="D46" s="2" t="n"/>
      <c r="E46" s="2" t="n"/>
      <c r="F46" s="2" t="n"/>
      <c r="G46" s="2" t="n"/>
      <c r="H46" s="2" t="n"/>
      <c r="I46" s="2" t="n"/>
      <c r="J46" s="2" t="n"/>
      <c r="K46" s="2" t="n"/>
      <c r="L46" s="2" t="n"/>
      <c r="M46" s="2" t="n"/>
      <c r="N46" s="2" t="n"/>
      <c r="O46" s="2" t="n"/>
      <c r="P46" s="2" t="n"/>
      <c r="Q46" s="2">
        <f>IF(G46="","",TODAY()-G46)</f>
        <v/>
      </c>
    </row>
    <row r="47">
      <c r="A47" s="2" t="n"/>
      <c r="B47" s="2" t="n"/>
      <c r="C47" s="2" t="n"/>
      <c r="D47" s="2" t="n"/>
      <c r="E47" s="2" t="n"/>
      <c r="F47" s="2" t="n"/>
      <c r="G47" s="2" t="n"/>
      <c r="H47" s="2" t="n"/>
      <c r="I47" s="2" t="n"/>
      <c r="J47" s="2" t="n"/>
      <c r="K47" s="2" t="n"/>
      <c r="L47" s="2" t="n"/>
      <c r="M47" s="2" t="n"/>
      <c r="N47" s="2" t="n"/>
      <c r="O47" s="2" t="n"/>
      <c r="P47" s="2" t="n"/>
      <c r="Q47" s="2">
        <f>IF(G47="","",TODAY()-G47)</f>
        <v/>
      </c>
    </row>
    <row r="48">
      <c r="A48" s="2" t="n"/>
      <c r="B48" s="2" t="n"/>
      <c r="C48" s="2" t="n"/>
      <c r="D48" s="2" t="n"/>
      <c r="E48" s="2" t="n"/>
      <c r="F48" s="2" t="n"/>
      <c r="G48" s="2" t="n"/>
      <c r="H48" s="2" t="n"/>
      <c r="I48" s="2" t="n"/>
      <c r="J48" s="2" t="n"/>
      <c r="K48" s="2" t="n"/>
      <c r="L48" s="2" t="n"/>
      <c r="M48" s="2" t="n"/>
      <c r="N48" s="2" t="n"/>
      <c r="O48" s="2" t="n"/>
      <c r="P48" s="2" t="n"/>
      <c r="Q48" s="2">
        <f>IF(G48="","",TODAY()-G48)</f>
        <v/>
      </c>
    </row>
    <row r="49">
      <c r="A49" s="2" t="n"/>
      <c r="B49" s="2" t="n"/>
      <c r="C49" s="2" t="n"/>
      <c r="D49" s="2" t="n"/>
      <c r="E49" s="2" t="n"/>
      <c r="F49" s="2" t="n"/>
      <c r="G49" s="2" t="n"/>
      <c r="H49" s="2" t="n"/>
      <c r="I49" s="2" t="n"/>
      <c r="J49" s="2" t="n"/>
      <c r="K49" s="2" t="n"/>
      <c r="L49" s="2" t="n"/>
      <c r="M49" s="2" t="n"/>
      <c r="N49" s="2" t="n"/>
      <c r="O49" s="2" t="n"/>
      <c r="P49" s="2" t="n"/>
      <c r="Q49" s="2">
        <f>IF(G49="","",TODAY()-G49)</f>
        <v/>
      </c>
    </row>
    <row r="50">
      <c r="A50" s="2" t="n"/>
      <c r="B50" s="2" t="n"/>
      <c r="C50" s="2" t="n"/>
      <c r="D50" s="2" t="n"/>
      <c r="E50" s="2" t="n"/>
      <c r="F50" s="2" t="n"/>
      <c r="G50" s="2" t="n"/>
      <c r="H50" s="2" t="n"/>
      <c r="I50" s="2" t="n"/>
      <c r="J50" s="2" t="n"/>
      <c r="K50" s="2" t="n"/>
      <c r="L50" s="2" t="n"/>
      <c r="M50" s="2" t="n"/>
      <c r="N50" s="2" t="n"/>
      <c r="O50" s="2" t="n"/>
      <c r="P50" s="2" t="n"/>
      <c r="Q50" s="2">
        <f>IF(G50="","",TODAY()-G50)</f>
        <v/>
      </c>
    </row>
    <row r="51">
      <c r="A51" s="2" t="n"/>
      <c r="B51" s="2" t="n"/>
      <c r="C51" s="2" t="n"/>
      <c r="D51" s="2" t="n"/>
      <c r="E51" s="2" t="n"/>
      <c r="F51" s="2" t="n"/>
      <c r="G51" s="2" t="n"/>
      <c r="H51" s="2" t="n"/>
      <c r="I51" s="2" t="n"/>
      <c r="J51" s="2" t="n"/>
      <c r="K51" s="2" t="n"/>
      <c r="L51" s="2" t="n"/>
      <c r="M51" s="2" t="n"/>
      <c r="N51" s="2" t="n"/>
      <c r="O51" s="2" t="n"/>
      <c r="P51" s="2" t="n"/>
      <c r="Q51" s="2">
        <f>IF(G51="","",TODAY()-G51)</f>
        <v/>
      </c>
    </row>
    <row r="52">
      <c r="A52" s="2" t="n"/>
      <c r="B52" s="2" t="n"/>
      <c r="C52" s="2" t="n"/>
      <c r="D52" s="2" t="n"/>
      <c r="E52" s="2" t="n"/>
      <c r="F52" s="2" t="n"/>
      <c r="G52" s="2" t="n"/>
      <c r="H52" s="2" t="n"/>
      <c r="I52" s="2" t="n"/>
      <c r="J52" s="2" t="n"/>
      <c r="K52" s="2" t="n"/>
      <c r="L52" s="2" t="n"/>
      <c r="M52" s="2" t="n"/>
      <c r="N52" s="2" t="n"/>
      <c r="O52" s="2" t="n"/>
      <c r="P52" s="2" t="n"/>
      <c r="Q52" s="2">
        <f>IF(G52="","",TODAY()-G52)</f>
        <v/>
      </c>
    </row>
    <row r="53">
      <c r="A53" s="2" t="n"/>
      <c r="B53" s="2" t="n"/>
      <c r="C53" s="2" t="n"/>
      <c r="D53" s="2" t="n"/>
      <c r="E53" s="2" t="n"/>
      <c r="F53" s="2" t="n"/>
      <c r="G53" s="2" t="n"/>
      <c r="H53" s="2" t="n"/>
      <c r="I53" s="2" t="n"/>
      <c r="J53" s="2" t="n"/>
      <c r="K53" s="2" t="n"/>
      <c r="L53" s="2" t="n"/>
      <c r="M53" s="2" t="n"/>
      <c r="N53" s="2" t="n"/>
      <c r="O53" s="2" t="n"/>
      <c r="P53" s="2" t="n"/>
      <c r="Q53" s="2">
        <f>IF(G53="","",TODAY()-G53)</f>
        <v/>
      </c>
    </row>
    <row r="54">
      <c r="A54" s="2" t="n"/>
      <c r="B54" s="2" t="n"/>
      <c r="C54" s="2" t="n"/>
      <c r="D54" s="2" t="n"/>
      <c r="E54" s="2" t="n"/>
      <c r="F54" s="2" t="n"/>
      <c r="G54" s="2" t="n"/>
      <c r="H54" s="2" t="n"/>
      <c r="I54" s="2" t="n"/>
      <c r="J54" s="2" t="n"/>
      <c r="K54" s="2" t="n"/>
      <c r="L54" s="2" t="n"/>
      <c r="M54" s="2" t="n"/>
      <c r="N54" s="2" t="n"/>
      <c r="O54" s="2" t="n"/>
      <c r="P54" s="2" t="n"/>
      <c r="Q54" s="2">
        <f>IF(G54="","",TODAY()-G54)</f>
        <v/>
      </c>
    </row>
    <row r="55">
      <c r="A55" s="2" t="n"/>
      <c r="B55" s="2" t="n"/>
      <c r="C55" s="2" t="n"/>
      <c r="D55" s="2" t="n"/>
      <c r="E55" s="2" t="n"/>
      <c r="F55" s="2" t="n"/>
      <c r="G55" s="2" t="n"/>
      <c r="H55" s="2" t="n"/>
      <c r="I55" s="2" t="n"/>
      <c r="J55" s="2" t="n"/>
      <c r="K55" s="2" t="n"/>
      <c r="L55" s="2" t="n"/>
      <c r="M55" s="2" t="n"/>
      <c r="N55" s="2" t="n"/>
      <c r="O55" s="2" t="n"/>
      <c r="P55" s="2" t="n"/>
      <c r="Q55" s="2">
        <f>IF(G55="","",TODAY()-G55)</f>
        <v/>
      </c>
    </row>
    <row r="56">
      <c r="A56" s="2" t="n"/>
      <c r="B56" s="2" t="n"/>
      <c r="C56" s="2" t="n"/>
      <c r="D56" s="2" t="n"/>
      <c r="E56" s="2" t="n"/>
      <c r="F56" s="2" t="n"/>
      <c r="G56" s="2" t="n"/>
      <c r="H56" s="2" t="n"/>
      <c r="I56" s="2" t="n"/>
      <c r="J56" s="2" t="n"/>
      <c r="K56" s="2" t="n"/>
      <c r="L56" s="2" t="n"/>
      <c r="M56" s="2" t="n"/>
      <c r="N56" s="2" t="n"/>
      <c r="O56" s="2" t="n"/>
      <c r="P56" s="2" t="n"/>
      <c r="Q56" s="2">
        <f>IF(G56="","",TODAY()-G56)</f>
        <v/>
      </c>
    </row>
    <row r="57">
      <c r="A57" s="2" t="n"/>
      <c r="B57" s="2" t="n"/>
      <c r="C57" s="2" t="n"/>
      <c r="D57" s="2" t="n"/>
      <c r="E57" s="2" t="n"/>
      <c r="F57" s="2" t="n"/>
      <c r="G57" s="2" t="n"/>
      <c r="H57" s="2" t="n"/>
      <c r="I57" s="2" t="n"/>
      <c r="J57" s="2" t="n"/>
      <c r="K57" s="2" t="n"/>
      <c r="L57" s="2" t="n"/>
      <c r="M57" s="2" t="n"/>
      <c r="N57" s="2" t="n"/>
      <c r="O57" s="2" t="n"/>
      <c r="P57" s="2" t="n"/>
      <c r="Q57" s="2">
        <f>IF(G57="","",TODAY()-G57)</f>
        <v/>
      </c>
    </row>
    <row r="58">
      <c r="A58" s="2" t="n"/>
      <c r="B58" s="2" t="n"/>
      <c r="C58" s="2" t="n"/>
      <c r="D58" s="2" t="n"/>
      <c r="E58" s="2" t="n"/>
      <c r="F58" s="2" t="n"/>
      <c r="G58" s="2" t="n"/>
      <c r="H58" s="2" t="n"/>
      <c r="I58" s="2" t="n"/>
      <c r="J58" s="2" t="n"/>
      <c r="K58" s="2" t="n"/>
      <c r="L58" s="2" t="n"/>
      <c r="M58" s="2" t="n"/>
      <c r="N58" s="2" t="n"/>
      <c r="O58" s="2" t="n"/>
      <c r="P58" s="2" t="n"/>
      <c r="Q58" s="2">
        <f>IF(G58="","",TODAY()-G58)</f>
        <v/>
      </c>
    </row>
    <row r="59">
      <c r="A59" s="2" t="n"/>
      <c r="B59" s="2" t="n"/>
      <c r="C59" s="2" t="n"/>
      <c r="D59" s="2" t="n"/>
      <c r="E59" s="2" t="n"/>
      <c r="F59" s="2" t="n"/>
      <c r="G59" s="2" t="n"/>
      <c r="H59" s="2" t="n"/>
      <c r="I59" s="2" t="n"/>
      <c r="J59" s="2" t="n"/>
      <c r="K59" s="2" t="n"/>
      <c r="L59" s="2" t="n"/>
      <c r="M59" s="2" t="n"/>
      <c r="N59" s="2" t="n"/>
      <c r="O59" s="2" t="n"/>
      <c r="P59" s="2" t="n"/>
      <c r="Q59" s="2">
        <f>IF(G59="","",TODAY()-G59)</f>
        <v/>
      </c>
    </row>
    <row r="60">
      <c r="A60" s="2" t="n"/>
      <c r="B60" s="2" t="n"/>
      <c r="C60" s="2" t="n"/>
      <c r="D60" s="2" t="n"/>
      <c r="E60" s="2" t="n"/>
      <c r="F60" s="2" t="n"/>
      <c r="G60" s="2" t="n"/>
      <c r="H60" s="2" t="n"/>
      <c r="I60" s="2" t="n"/>
      <c r="J60" s="2" t="n"/>
      <c r="K60" s="2" t="n"/>
      <c r="L60" s="2" t="n"/>
      <c r="M60" s="2" t="n"/>
      <c r="N60" s="2" t="n"/>
      <c r="O60" s="2" t="n"/>
      <c r="P60" s="2" t="n"/>
      <c r="Q60" s="2">
        <f>IF(G60="","",TODAY()-G60)</f>
        <v/>
      </c>
    </row>
    <row r="61">
      <c r="A61" s="2" t="n"/>
      <c r="B61" s="2" t="n"/>
      <c r="C61" s="2" t="n"/>
      <c r="D61" s="2" t="n"/>
      <c r="E61" s="2" t="n"/>
      <c r="F61" s="2" t="n"/>
      <c r="G61" s="2" t="n"/>
      <c r="H61" s="2" t="n"/>
      <c r="I61" s="2" t="n"/>
      <c r="J61" s="2" t="n"/>
      <c r="K61" s="2" t="n"/>
      <c r="L61" s="2" t="n"/>
      <c r="M61" s="2" t="n"/>
      <c r="N61" s="2" t="n"/>
      <c r="O61" s="2" t="n"/>
      <c r="P61" s="2" t="n"/>
      <c r="Q61" s="2">
        <f>IF(G61="","",TODAY()-G61)</f>
        <v/>
      </c>
    </row>
    <row r="62">
      <c r="A62" s="2" t="n"/>
      <c r="B62" s="2" t="n"/>
      <c r="C62" s="2" t="n"/>
      <c r="D62" s="2" t="n"/>
      <c r="E62" s="2" t="n"/>
      <c r="F62" s="2" t="n"/>
      <c r="G62" s="2" t="n"/>
      <c r="H62" s="2" t="n"/>
      <c r="I62" s="2" t="n"/>
      <c r="J62" s="2" t="n"/>
      <c r="K62" s="2" t="n"/>
      <c r="L62" s="2" t="n"/>
      <c r="M62" s="2" t="n"/>
      <c r="N62" s="2" t="n"/>
      <c r="O62" s="2" t="n"/>
      <c r="P62" s="2" t="n"/>
      <c r="Q62" s="2">
        <f>IF(G62="","",TODAY()-G62)</f>
        <v/>
      </c>
    </row>
    <row r="63">
      <c r="A63" s="2" t="n"/>
      <c r="B63" s="2" t="n"/>
      <c r="C63" s="2" t="n"/>
      <c r="D63" s="2" t="n"/>
      <c r="E63" s="2" t="n"/>
      <c r="F63" s="2" t="n"/>
      <c r="G63" s="2" t="n"/>
      <c r="H63" s="2" t="n"/>
      <c r="I63" s="2" t="n"/>
      <c r="J63" s="2" t="n"/>
      <c r="K63" s="2" t="n"/>
      <c r="L63" s="2" t="n"/>
      <c r="M63" s="2" t="n"/>
      <c r="N63" s="2" t="n"/>
      <c r="O63" s="2" t="n"/>
      <c r="P63" s="2" t="n"/>
      <c r="Q63" s="2">
        <f>IF(G63="","",TODAY()-G63)</f>
        <v/>
      </c>
    </row>
    <row r="64">
      <c r="A64" s="2" t="n"/>
      <c r="B64" s="2" t="n"/>
      <c r="C64" s="2" t="n"/>
      <c r="D64" s="2" t="n"/>
      <c r="E64" s="2" t="n"/>
      <c r="F64" s="2" t="n"/>
      <c r="G64" s="2" t="n"/>
      <c r="H64" s="2" t="n"/>
      <c r="I64" s="2" t="n"/>
      <c r="J64" s="2" t="n"/>
      <c r="K64" s="2" t="n"/>
      <c r="L64" s="2" t="n"/>
      <c r="M64" s="2" t="n"/>
      <c r="N64" s="2" t="n"/>
      <c r="O64" s="2" t="n"/>
      <c r="P64" s="2" t="n"/>
      <c r="Q64" s="2">
        <f>IF(G64="","",TODAY()-G64)</f>
        <v/>
      </c>
    </row>
    <row r="65">
      <c r="A65" s="2" t="n"/>
      <c r="B65" s="2" t="n"/>
      <c r="C65" s="2" t="n"/>
      <c r="D65" s="2" t="n"/>
      <c r="E65" s="2" t="n"/>
      <c r="F65" s="2" t="n"/>
      <c r="G65" s="2" t="n"/>
      <c r="H65" s="2" t="n"/>
      <c r="I65" s="2" t="n"/>
      <c r="J65" s="2" t="n"/>
      <c r="K65" s="2" t="n"/>
      <c r="L65" s="2" t="n"/>
      <c r="M65" s="2" t="n"/>
      <c r="N65" s="2" t="n"/>
      <c r="O65" s="2" t="n"/>
      <c r="P65" s="2" t="n"/>
      <c r="Q65" s="2">
        <f>IF(G65="","",TODAY()-G65)</f>
        <v/>
      </c>
    </row>
    <row r="66">
      <c r="A66" s="2" t="n"/>
      <c r="B66" s="2" t="n"/>
      <c r="C66" s="2" t="n"/>
      <c r="D66" s="2" t="n"/>
      <c r="E66" s="2" t="n"/>
      <c r="F66" s="2" t="n"/>
      <c r="G66" s="2" t="n"/>
      <c r="H66" s="2" t="n"/>
      <c r="I66" s="2" t="n"/>
      <c r="J66" s="2" t="n"/>
      <c r="K66" s="2" t="n"/>
      <c r="L66" s="2" t="n"/>
      <c r="M66" s="2" t="n"/>
      <c r="N66" s="2" t="n"/>
      <c r="O66" s="2" t="n"/>
      <c r="P66" s="2" t="n"/>
      <c r="Q66" s="2">
        <f>IF(G66="","",TODAY()-G66)</f>
        <v/>
      </c>
    </row>
    <row r="67">
      <c r="A67" s="2" t="n"/>
      <c r="B67" s="2" t="n"/>
      <c r="C67" s="2" t="n"/>
      <c r="D67" s="2" t="n"/>
      <c r="E67" s="2" t="n"/>
      <c r="F67" s="2" t="n"/>
      <c r="G67" s="2" t="n"/>
      <c r="H67" s="2" t="n"/>
      <c r="I67" s="2" t="n"/>
      <c r="J67" s="2" t="n"/>
      <c r="K67" s="2" t="n"/>
      <c r="L67" s="2" t="n"/>
      <c r="M67" s="2" t="n"/>
      <c r="N67" s="2" t="n"/>
      <c r="O67" s="2" t="n"/>
      <c r="P67" s="2" t="n"/>
      <c r="Q67" s="2">
        <f>IF(G67="","",TODAY()-G67)</f>
        <v/>
      </c>
    </row>
    <row r="68">
      <c r="A68" s="2" t="n"/>
      <c r="B68" s="2" t="n"/>
      <c r="C68" s="2" t="n"/>
      <c r="D68" s="2" t="n"/>
      <c r="E68" s="2" t="n"/>
      <c r="F68" s="2" t="n"/>
      <c r="G68" s="2" t="n"/>
      <c r="H68" s="2" t="n"/>
      <c r="I68" s="2" t="n"/>
      <c r="J68" s="2" t="n"/>
      <c r="K68" s="2" t="n"/>
      <c r="L68" s="2" t="n"/>
      <c r="M68" s="2" t="n"/>
      <c r="N68" s="2" t="n"/>
      <c r="O68" s="2" t="n"/>
      <c r="P68" s="2" t="n"/>
      <c r="Q68" s="2">
        <f>IF(G68="","",TODAY()-G68)</f>
        <v/>
      </c>
    </row>
    <row r="69">
      <c r="A69" s="2" t="n"/>
      <c r="B69" s="2" t="n"/>
      <c r="C69" s="2" t="n"/>
      <c r="D69" s="2" t="n"/>
      <c r="E69" s="2" t="n"/>
      <c r="F69" s="2" t="n"/>
      <c r="G69" s="2" t="n"/>
      <c r="H69" s="2" t="n"/>
      <c r="I69" s="2" t="n"/>
      <c r="J69" s="2" t="n"/>
      <c r="K69" s="2" t="n"/>
      <c r="L69" s="2" t="n"/>
      <c r="M69" s="2" t="n"/>
      <c r="N69" s="2" t="n"/>
      <c r="O69" s="2" t="n"/>
      <c r="P69" s="2" t="n"/>
      <c r="Q69" s="2">
        <f>IF(G69="","",TODAY()-G69)</f>
        <v/>
      </c>
    </row>
    <row r="70">
      <c r="A70" s="2" t="n"/>
      <c r="B70" s="2" t="n"/>
      <c r="C70" s="2" t="n"/>
      <c r="D70" s="2" t="n"/>
      <c r="E70" s="2" t="n"/>
      <c r="F70" s="2" t="n"/>
      <c r="G70" s="2" t="n"/>
      <c r="H70" s="2" t="n"/>
      <c r="I70" s="2" t="n"/>
      <c r="J70" s="2" t="n"/>
      <c r="K70" s="2" t="n"/>
      <c r="L70" s="2" t="n"/>
      <c r="M70" s="2" t="n"/>
      <c r="N70" s="2" t="n"/>
      <c r="O70" s="2" t="n"/>
      <c r="P70" s="2" t="n"/>
      <c r="Q70" s="2">
        <f>IF(G70="","",TODAY()-G70)</f>
        <v/>
      </c>
    </row>
    <row r="71">
      <c r="A71" s="2" t="n"/>
      <c r="B71" s="2" t="n"/>
      <c r="C71" s="2" t="n"/>
      <c r="D71" s="2" t="n"/>
      <c r="E71" s="2" t="n"/>
      <c r="F71" s="2" t="n"/>
      <c r="G71" s="2" t="n"/>
      <c r="H71" s="2" t="n"/>
      <c r="I71" s="2" t="n"/>
      <c r="J71" s="2" t="n"/>
      <c r="K71" s="2" t="n"/>
      <c r="L71" s="2" t="n"/>
      <c r="M71" s="2" t="n"/>
      <c r="N71" s="2" t="n"/>
      <c r="O71" s="2" t="n"/>
      <c r="P71" s="2" t="n"/>
      <c r="Q71" s="2">
        <f>IF(G71="","",TODAY()-G71)</f>
        <v/>
      </c>
    </row>
    <row r="72">
      <c r="A72" s="2" t="n"/>
      <c r="B72" s="2" t="n"/>
      <c r="C72" s="2" t="n"/>
      <c r="D72" s="2" t="n"/>
      <c r="E72" s="2" t="n"/>
      <c r="F72" s="2" t="n"/>
      <c r="G72" s="2" t="n"/>
      <c r="H72" s="2" t="n"/>
      <c r="I72" s="2" t="n"/>
      <c r="J72" s="2" t="n"/>
      <c r="K72" s="2" t="n"/>
      <c r="L72" s="2" t="n"/>
      <c r="M72" s="2" t="n"/>
      <c r="N72" s="2" t="n"/>
      <c r="O72" s="2" t="n"/>
      <c r="P72" s="2" t="n"/>
      <c r="Q72" s="2">
        <f>IF(G72="","",TODAY()-G72)</f>
        <v/>
      </c>
    </row>
    <row r="73">
      <c r="A73" s="2" t="n"/>
      <c r="B73" s="2" t="n"/>
      <c r="C73" s="2" t="n"/>
      <c r="D73" s="2" t="n"/>
      <c r="E73" s="2" t="n"/>
      <c r="F73" s="2" t="n"/>
      <c r="G73" s="2" t="n"/>
      <c r="H73" s="2" t="n"/>
      <c r="I73" s="2" t="n"/>
      <c r="J73" s="2" t="n"/>
      <c r="K73" s="2" t="n"/>
      <c r="L73" s="2" t="n"/>
      <c r="M73" s="2" t="n"/>
      <c r="N73" s="2" t="n"/>
      <c r="O73" s="2" t="n"/>
      <c r="P73" s="2" t="n"/>
      <c r="Q73" s="2">
        <f>IF(G73="","",TODAY()-G73)</f>
        <v/>
      </c>
    </row>
    <row r="74">
      <c r="A74" s="2" t="n"/>
      <c r="B74" s="2" t="n"/>
      <c r="C74" s="2" t="n"/>
      <c r="D74" s="2" t="n"/>
      <c r="E74" s="2" t="n"/>
      <c r="F74" s="2" t="n"/>
      <c r="G74" s="2" t="n"/>
      <c r="H74" s="2" t="n"/>
      <c r="I74" s="2" t="n"/>
      <c r="J74" s="2" t="n"/>
      <c r="K74" s="2" t="n"/>
      <c r="L74" s="2" t="n"/>
      <c r="M74" s="2" t="n"/>
      <c r="N74" s="2" t="n"/>
      <c r="O74" s="2" t="n"/>
      <c r="P74" s="2" t="n"/>
      <c r="Q74" s="2">
        <f>IF(G74="","",TODAY()-G74)</f>
        <v/>
      </c>
    </row>
    <row r="75">
      <c r="A75" s="2" t="n"/>
      <c r="B75" s="2" t="n"/>
      <c r="C75" s="2" t="n"/>
      <c r="D75" s="2" t="n"/>
      <c r="E75" s="2" t="n"/>
      <c r="F75" s="2" t="n"/>
      <c r="G75" s="2" t="n"/>
      <c r="H75" s="2" t="n"/>
      <c r="I75" s="2" t="n"/>
      <c r="J75" s="2" t="n"/>
      <c r="K75" s="2" t="n"/>
      <c r="L75" s="2" t="n"/>
      <c r="M75" s="2" t="n"/>
      <c r="N75" s="2" t="n"/>
      <c r="O75" s="2" t="n"/>
      <c r="P75" s="2" t="n"/>
      <c r="Q75" s="2">
        <f>IF(G75="","",TODAY()-G75)</f>
        <v/>
      </c>
    </row>
    <row r="76">
      <c r="A76" s="2" t="n"/>
      <c r="B76" s="2" t="n"/>
      <c r="C76" s="2" t="n"/>
      <c r="D76" s="2" t="n"/>
      <c r="E76" s="2" t="n"/>
      <c r="F76" s="2" t="n"/>
      <c r="G76" s="2" t="n"/>
      <c r="H76" s="2" t="n"/>
      <c r="I76" s="2" t="n"/>
      <c r="J76" s="2" t="n"/>
      <c r="K76" s="2" t="n"/>
      <c r="L76" s="2" t="n"/>
      <c r="M76" s="2" t="n"/>
      <c r="N76" s="2" t="n"/>
      <c r="O76" s="2" t="n"/>
      <c r="P76" s="2" t="n"/>
      <c r="Q76" s="2">
        <f>IF(G76="","",TODAY()-G76)</f>
        <v/>
      </c>
    </row>
    <row r="77">
      <c r="A77" s="2" t="n"/>
      <c r="B77" s="2" t="n"/>
      <c r="C77" s="2" t="n"/>
      <c r="D77" s="2" t="n"/>
      <c r="E77" s="2" t="n"/>
      <c r="F77" s="2" t="n"/>
      <c r="G77" s="2" t="n"/>
      <c r="H77" s="2" t="n"/>
      <c r="I77" s="2" t="n"/>
      <c r="J77" s="2" t="n"/>
      <c r="K77" s="2" t="n"/>
      <c r="L77" s="2" t="n"/>
      <c r="M77" s="2" t="n"/>
      <c r="N77" s="2" t="n"/>
      <c r="O77" s="2" t="n"/>
      <c r="P77" s="2" t="n"/>
      <c r="Q77" s="2">
        <f>IF(G77="","",TODAY()-G77)</f>
        <v/>
      </c>
    </row>
    <row r="78">
      <c r="A78" s="2" t="n"/>
      <c r="B78" s="2" t="n"/>
      <c r="C78" s="2" t="n"/>
      <c r="D78" s="2" t="n"/>
      <c r="E78" s="2" t="n"/>
      <c r="F78" s="2" t="n"/>
      <c r="G78" s="2" t="n"/>
      <c r="H78" s="2" t="n"/>
      <c r="I78" s="2" t="n"/>
      <c r="J78" s="2" t="n"/>
      <c r="K78" s="2" t="n"/>
      <c r="L78" s="2" t="n"/>
      <c r="M78" s="2" t="n"/>
      <c r="N78" s="2" t="n"/>
      <c r="O78" s="2" t="n"/>
      <c r="P78" s="2" t="n"/>
      <c r="Q78" s="2">
        <f>IF(G78="","",TODAY()-G78)</f>
        <v/>
      </c>
    </row>
    <row r="79">
      <c r="A79" s="2" t="n"/>
      <c r="B79" s="2" t="n"/>
      <c r="C79" s="2" t="n"/>
      <c r="D79" s="2" t="n"/>
      <c r="E79" s="2" t="n"/>
      <c r="F79" s="2" t="n"/>
      <c r="G79" s="2" t="n"/>
      <c r="H79" s="2" t="n"/>
      <c r="I79" s="2" t="n"/>
      <c r="J79" s="2" t="n"/>
      <c r="K79" s="2" t="n"/>
      <c r="L79" s="2" t="n"/>
      <c r="M79" s="2" t="n"/>
      <c r="N79" s="2" t="n"/>
      <c r="O79" s="2" t="n"/>
      <c r="P79" s="2" t="n"/>
      <c r="Q79" s="2">
        <f>IF(G79="","",TODAY()-G79)</f>
        <v/>
      </c>
    </row>
    <row r="80">
      <c r="A80" s="2" t="n"/>
      <c r="B80" s="2" t="n"/>
      <c r="C80" s="2" t="n"/>
      <c r="D80" s="2" t="n"/>
      <c r="E80" s="2" t="n"/>
      <c r="F80" s="2" t="n"/>
      <c r="G80" s="2" t="n"/>
      <c r="H80" s="2" t="n"/>
      <c r="I80" s="2" t="n"/>
      <c r="J80" s="2" t="n"/>
      <c r="K80" s="2" t="n"/>
      <c r="L80" s="2" t="n"/>
      <c r="M80" s="2" t="n"/>
      <c r="N80" s="2" t="n"/>
      <c r="O80" s="2" t="n"/>
      <c r="P80" s="2" t="n"/>
      <c r="Q80" s="2">
        <f>IF(G80="","",TODAY()-G80)</f>
        <v/>
      </c>
    </row>
    <row r="81">
      <c r="A81" s="2" t="n"/>
      <c r="B81" s="2" t="n"/>
      <c r="C81" s="2" t="n"/>
      <c r="D81" s="2" t="n"/>
      <c r="E81" s="2" t="n"/>
      <c r="F81" s="2" t="n"/>
      <c r="G81" s="2" t="n"/>
      <c r="H81" s="2" t="n"/>
      <c r="I81" s="2" t="n"/>
      <c r="J81" s="2" t="n"/>
      <c r="K81" s="2" t="n"/>
      <c r="L81" s="2" t="n"/>
      <c r="M81" s="2" t="n"/>
      <c r="N81" s="2" t="n"/>
      <c r="O81" s="2" t="n"/>
      <c r="P81" s="2" t="n"/>
      <c r="Q81" s="2">
        <f>IF(G81="","",TODAY()-G81)</f>
        <v/>
      </c>
    </row>
    <row r="82">
      <c r="A82" s="2" t="n"/>
      <c r="B82" s="2" t="n"/>
      <c r="C82" s="2" t="n"/>
      <c r="D82" s="2" t="n"/>
      <c r="E82" s="2" t="n"/>
      <c r="F82" s="2" t="n"/>
      <c r="G82" s="2" t="n"/>
      <c r="H82" s="2" t="n"/>
      <c r="I82" s="2" t="n"/>
      <c r="J82" s="2" t="n"/>
      <c r="K82" s="2" t="n"/>
      <c r="L82" s="2" t="n"/>
      <c r="M82" s="2" t="n"/>
      <c r="N82" s="2" t="n"/>
      <c r="O82" s="2" t="n"/>
      <c r="P82" s="2" t="n"/>
      <c r="Q82" s="2">
        <f>IF(G82="","",TODAY()-G82)</f>
        <v/>
      </c>
    </row>
    <row r="83">
      <c r="A83" s="2" t="n"/>
      <c r="B83" s="2" t="n"/>
      <c r="C83" s="2" t="n"/>
      <c r="D83" s="2" t="n"/>
      <c r="E83" s="2" t="n"/>
      <c r="F83" s="2" t="n"/>
      <c r="G83" s="2" t="n"/>
      <c r="H83" s="2" t="n"/>
      <c r="I83" s="2" t="n"/>
      <c r="J83" s="2" t="n"/>
      <c r="K83" s="2" t="n"/>
      <c r="L83" s="2" t="n"/>
      <c r="M83" s="2" t="n"/>
      <c r="N83" s="2" t="n"/>
      <c r="O83" s="2" t="n"/>
      <c r="P83" s="2" t="n"/>
      <c r="Q83" s="2">
        <f>IF(G83="","",TODAY()-G83)</f>
        <v/>
      </c>
    </row>
    <row r="84">
      <c r="A84" s="2" t="n"/>
      <c r="B84" s="2" t="n"/>
      <c r="C84" s="2" t="n"/>
      <c r="D84" s="2" t="n"/>
      <c r="E84" s="2" t="n"/>
      <c r="F84" s="2" t="n"/>
      <c r="G84" s="2" t="n"/>
      <c r="H84" s="2" t="n"/>
      <c r="I84" s="2" t="n"/>
      <c r="J84" s="2" t="n"/>
      <c r="K84" s="2" t="n"/>
      <c r="L84" s="2" t="n"/>
      <c r="M84" s="2" t="n"/>
      <c r="N84" s="2" t="n"/>
      <c r="O84" s="2" t="n"/>
      <c r="P84" s="2" t="n"/>
      <c r="Q84" s="2">
        <f>IF(G84="","",TODAY()-G84)</f>
        <v/>
      </c>
    </row>
    <row r="85">
      <c r="A85" s="2" t="n"/>
      <c r="B85" s="2" t="n"/>
      <c r="C85" s="2" t="n"/>
      <c r="D85" s="2" t="n"/>
      <c r="E85" s="2" t="n"/>
      <c r="F85" s="2" t="n"/>
      <c r="G85" s="2" t="n"/>
      <c r="H85" s="2" t="n"/>
      <c r="I85" s="2" t="n"/>
      <c r="J85" s="2" t="n"/>
      <c r="K85" s="2" t="n"/>
      <c r="L85" s="2" t="n"/>
      <c r="M85" s="2" t="n"/>
      <c r="N85" s="2" t="n"/>
      <c r="O85" s="2" t="n"/>
      <c r="P85" s="2" t="n"/>
      <c r="Q85" s="2">
        <f>IF(G85="","",TODAY()-G85)</f>
        <v/>
      </c>
    </row>
    <row r="86">
      <c r="A86" s="2" t="n"/>
      <c r="B86" s="2" t="n"/>
      <c r="C86" s="2" t="n"/>
      <c r="D86" s="2" t="n"/>
      <c r="E86" s="2" t="n"/>
      <c r="F86" s="2" t="n"/>
      <c r="G86" s="2" t="n"/>
      <c r="H86" s="2" t="n"/>
      <c r="I86" s="2" t="n"/>
      <c r="J86" s="2" t="n"/>
      <c r="K86" s="2" t="n"/>
      <c r="L86" s="2" t="n"/>
      <c r="M86" s="2" t="n"/>
      <c r="N86" s="2" t="n"/>
      <c r="O86" s="2" t="n"/>
      <c r="P86" s="2" t="n"/>
      <c r="Q86" s="2">
        <f>IF(G86="","",TODAY()-G86)</f>
        <v/>
      </c>
    </row>
    <row r="87">
      <c r="A87" s="2" t="n"/>
      <c r="B87" s="2" t="n"/>
      <c r="C87" s="2" t="n"/>
      <c r="D87" s="2" t="n"/>
      <c r="E87" s="2" t="n"/>
      <c r="F87" s="2" t="n"/>
      <c r="G87" s="2" t="n"/>
      <c r="H87" s="2" t="n"/>
      <c r="I87" s="2" t="n"/>
      <c r="J87" s="2" t="n"/>
      <c r="K87" s="2" t="n"/>
      <c r="L87" s="2" t="n"/>
      <c r="M87" s="2" t="n"/>
      <c r="N87" s="2" t="n"/>
      <c r="O87" s="2" t="n"/>
      <c r="P87" s="2" t="n"/>
      <c r="Q87" s="2">
        <f>IF(G87="","",TODAY()-G87)</f>
        <v/>
      </c>
    </row>
    <row r="88">
      <c r="A88" s="2" t="n"/>
      <c r="B88" s="2" t="n"/>
      <c r="C88" s="2" t="n"/>
      <c r="D88" s="2" t="n"/>
      <c r="E88" s="2" t="n"/>
      <c r="F88" s="2" t="n"/>
      <c r="G88" s="2" t="n"/>
      <c r="H88" s="2" t="n"/>
      <c r="I88" s="2" t="n"/>
      <c r="J88" s="2" t="n"/>
      <c r="K88" s="2" t="n"/>
      <c r="L88" s="2" t="n"/>
      <c r="M88" s="2" t="n"/>
      <c r="N88" s="2" t="n"/>
      <c r="O88" s="2" t="n"/>
      <c r="P88" s="2" t="n"/>
      <c r="Q88" s="2">
        <f>IF(G88="","",TODAY()-G88)</f>
        <v/>
      </c>
    </row>
    <row r="89">
      <c r="A89" s="2" t="n"/>
      <c r="B89" s="2" t="n"/>
      <c r="C89" s="2" t="n"/>
      <c r="D89" s="2" t="n"/>
      <c r="E89" s="2" t="n"/>
      <c r="F89" s="2" t="n"/>
      <c r="G89" s="2" t="n"/>
      <c r="H89" s="2" t="n"/>
      <c r="I89" s="2" t="n"/>
      <c r="J89" s="2" t="n"/>
      <c r="K89" s="2" t="n"/>
      <c r="L89" s="2" t="n"/>
      <c r="M89" s="2" t="n"/>
      <c r="N89" s="2" t="n"/>
      <c r="O89" s="2" t="n"/>
      <c r="P89" s="2" t="n"/>
      <c r="Q89" s="2">
        <f>IF(G89="","",TODAY()-G89)</f>
        <v/>
      </c>
    </row>
    <row r="90">
      <c r="A90" s="2" t="n"/>
      <c r="B90" s="2" t="n"/>
      <c r="C90" s="2" t="n"/>
      <c r="D90" s="2" t="n"/>
      <c r="E90" s="2" t="n"/>
      <c r="F90" s="2" t="n"/>
      <c r="G90" s="2" t="n"/>
      <c r="H90" s="2" t="n"/>
      <c r="I90" s="2" t="n"/>
      <c r="J90" s="2" t="n"/>
      <c r="K90" s="2" t="n"/>
      <c r="L90" s="2" t="n"/>
      <c r="M90" s="2" t="n"/>
      <c r="N90" s="2" t="n"/>
      <c r="O90" s="2" t="n"/>
      <c r="P90" s="2" t="n"/>
      <c r="Q90" s="2">
        <f>IF(G90="","",TODAY()-G90)</f>
        <v/>
      </c>
    </row>
    <row r="91">
      <c r="A91" s="2" t="n"/>
      <c r="B91" s="2" t="n"/>
      <c r="C91" s="2" t="n"/>
      <c r="D91" s="2" t="n"/>
      <c r="E91" s="2" t="n"/>
      <c r="F91" s="2" t="n"/>
      <c r="G91" s="2" t="n"/>
      <c r="H91" s="2" t="n"/>
      <c r="I91" s="2" t="n"/>
      <c r="J91" s="2" t="n"/>
      <c r="K91" s="2" t="n"/>
      <c r="L91" s="2" t="n"/>
      <c r="M91" s="2" t="n"/>
      <c r="N91" s="2" t="n"/>
      <c r="O91" s="2" t="n"/>
      <c r="P91" s="2" t="n"/>
      <c r="Q91" s="2">
        <f>IF(G91="","",TODAY()-G91)</f>
        <v/>
      </c>
    </row>
    <row r="92">
      <c r="A92" s="2" t="n"/>
      <c r="B92" s="2" t="n"/>
      <c r="C92" s="2" t="n"/>
      <c r="D92" s="2" t="n"/>
      <c r="E92" s="2" t="n"/>
      <c r="F92" s="2" t="n"/>
      <c r="G92" s="2" t="n"/>
      <c r="H92" s="2" t="n"/>
      <c r="I92" s="2" t="n"/>
      <c r="J92" s="2" t="n"/>
      <c r="K92" s="2" t="n"/>
      <c r="L92" s="2" t="n"/>
      <c r="M92" s="2" t="n"/>
      <c r="N92" s="2" t="n"/>
      <c r="O92" s="2" t="n"/>
      <c r="P92" s="2" t="n"/>
      <c r="Q92" s="2">
        <f>IF(G92="","",TODAY()-G92)</f>
        <v/>
      </c>
    </row>
    <row r="93">
      <c r="A93" s="2" t="n"/>
      <c r="B93" s="2" t="n"/>
      <c r="C93" s="2" t="n"/>
      <c r="D93" s="2" t="n"/>
      <c r="E93" s="2" t="n"/>
      <c r="F93" s="2" t="n"/>
      <c r="G93" s="2" t="n"/>
      <c r="H93" s="2" t="n"/>
      <c r="I93" s="2" t="n"/>
      <c r="J93" s="2" t="n"/>
      <c r="K93" s="2" t="n"/>
      <c r="L93" s="2" t="n"/>
      <c r="M93" s="2" t="n"/>
      <c r="N93" s="2" t="n"/>
      <c r="O93" s="2" t="n"/>
      <c r="P93" s="2" t="n"/>
      <c r="Q93" s="2">
        <f>IF(G93="","",TODAY()-G93)</f>
        <v/>
      </c>
    </row>
    <row r="94">
      <c r="A94" s="2" t="n"/>
      <c r="B94" s="2" t="n"/>
      <c r="C94" s="2" t="n"/>
      <c r="D94" s="2" t="n"/>
      <c r="E94" s="2" t="n"/>
      <c r="F94" s="2" t="n"/>
      <c r="G94" s="2" t="n"/>
      <c r="H94" s="2" t="n"/>
      <c r="I94" s="2" t="n"/>
      <c r="J94" s="2" t="n"/>
      <c r="K94" s="2" t="n"/>
      <c r="L94" s="2" t="n"/>
      <c r="M94" s="2" t="n"/>
      <c r="N94" s="2" t="n"/>
      <c r="O94" s="2" t="n"/>
      <c r="P94" s="2" t="n"/>
      <c r="Q94" s="2">
        <f>IF(G94="","",TODAY()-G94)</f>
        <v/>
      </c>
    </row>
    <row r="95">
      <c r="A95" s="2" t="n"/>
      <c r="B95" s="2" t="n"/>
      <c r="C95" s="2" t="n"/>
      <c r="D95" s="2" t="n"/>
      <c r="E95" s="2" t="n"/>
      <c r="F95" s="2" t="n"/>
      <c r="G95" s="2" t="n"/>
      <c r="H95" s="2" t="n"/>
      <c r="I95" s="2" t="n"/>
      <c r="J95" s="2" t="n"/>
      <c r="K95" s="2" t="n"/>
      <c r="L95" s="2" t="n"/>
      <c r="M95" s="2" t="n"/>
      <c r="N95" s="2" t="n"/>
      <c r="O95" s="2" t="n"/>
      <c r="P95" s="2" t="n"/>
      <c r="Q95" s="2">
        <f>IF(G95="","",TODAY()-G95)</f>
        <v/>
      </c>
    </row>
    <row r="96">
      <c r="A96" s="2" t="n"/>
      <c r="B96" s="2" t="n"/>
      <c r="C96" s="2" t="n"/>
      <c r="D96" s="2" t="n"/>
      <c r="E96" s="2" t="n"/>
      <c r="F96" s="2" t="n"/>
      <c r="G96" s="2" t="n"/>
      <c r="H96" s="2" t="n"/>
      <c r="I96" s="2" t="n"/>
      <c r="J96" s="2" t="n"/>
      <c r="K96" s="2" t="n"/>
      <c r="L96" s="2" t="n"/>
      <c r="M96" s="2" t="n"/>
      <c r="N96" s="2" t="n"/>
      <c r="O96" s="2" t="n"/>
      <c r="P96" s="2" t="n"/>
      <c r="Q96" s="2">
        <f>IF(G96="","",TODAY()-G96)</f>
        <v/>
      </c>
    </row>
    <row r="97">
      <c r="A97" s="2" t="n"/>
      <c r="B97" s="2" t="n"/>
      <c r="C97" s="2" t="n"/>
      <c r="D97" s="2" t="n"/>
      <c r="E97" s="2" t="n"/>
      <c r="F97" s="2" t="n"/>
      <c r="G97" s="2" t="n"/>
      <c r="H97" s="2" t="n"/>
      <c r="I97" s="2" t="n"/>
      <c r="J97" s="2" t="n"/>
      <c r="K97" s="2" t="n"/>
      <c r="L97" s="2" t="n"/>
      <c r="M97" s="2" t="n"/>
      <c r="N97" s="2" t="n"/>
      <c r="O97" s="2" t="n"/>
      <c r="P97" s="2" t="n"/>
      <c r="Q97" s="2">
        <f>IF(G97="","",TODAY()-G97)</f>
        <v/>
      </c>
    </row>
    <row r="98">
      <c r="A98" s="2" t="n"/>
      <c r="B98" s="2" t="n"/>
      <c r="C98" s="2" t="n"/>
      <c r="D98" s="2" t="n"/>
      <c r="E98" s="2" t="n"/>
      <c r="F98" s="2" t="n"/>
      <c r="G98" s="2" t="n"/>
      <c r="H98" s="2" t="n"/>
      <c r="I98" s="2" t="n"/>
      <c r="J98" s="2" t="n"/>
      <c r="K98" s="2" t="n"/>
      <c r="L98" s="2" t="n"/>
      <c r="M98" s="2" t="n"/>
      <c r="N98" s="2" t="n"/>
      <c r="O98" s="2" t="n"/>
      <c r="P98" s="2" t="n"/>
      <c r="Q98" s="2">
        <f>IF(G98="","",TODAY()-G98)</f>
        <v/>
      </c>
    </row>
    <row r="99">
      <c r="A99" s="2" t="n"/>
      <c r="B99" s="2" t="n"/>
      <c r="C99" s="2" t="n"/>
      <c r="D99" s="2" t="n"/>
      <c r="E99" s="2" t="n"/>
      <c r="F99" s="2" t="n"/>
      <c r="G99" s="2" t="n"/>
      <c r="H99" s="2" t="n"/>
      <c r="I99" s="2" t="n"/>
      <c r="J99" s="2" t="n"/>
      <c r="K99" s="2" t="n"/>
      <c r="L99" s="2" t="n"/>
      <c r="M99" s="2" t="n"/>
      <c r="N99" s="2" t="n"/>
      <c r="O99" s="2" t="n"/>
      <c r="P99" s="2" t="n"/>
      <c r="Q99" s="2">
        <f>IF(G99="","",TODAY()-G99)</f>
        <v/>
      </c>
    </row>
    <row r="100">
      <c r="A100" s="2" t="n"/>
      <c r="B100" s="2" t="n"/>
      <c r="C100" s="2" t="n"/>
      <c r="D100" s="2" t="n"/>
      <c r="E100" s="2" t="n"/>
      <c r="F100" s="2" t="n"/>
      <c r="G100" s="2" t="n"/>
      <c r="H100" s="2" t="n"/>
      <c r="I100" s="2" t="n"/>
      <c r="J100" s="2" t="n"/>
      <c r="K100" s="2" t="n"/>
      <c r="L100" s="2" t="n"/>
      <c r="M100" s="2" t="n"/>
      <c r="N100" s="2" t="n"/>
      <c r="O100" s="2" t="n"/>
      <c r="P100" s="2" t="n"/>
      <c r="Q100" s="2">
        <f>IF(G100="","",TODAY()-G100)</f>
        <v/>
      </c>
    </row>
    <row r="101">
      <c r="A101" s="2" t="n"/>
      <c r="B101" s="2" t="n"/>
      <c r="C101" s="2" t="n"/>
      <c r="D101" s="2" t="n"/>
      <c r="E101" s="2" t="n"/>
      <c r="F101" s="2" t="n"/>
      <c r="G101" s="2" t="n"/>
      <c r="H101" s="2" t="n"/>
      <c r="I101" s="2" t="n"/>
      <c r="J101" s="2" t="n"/>
      <c r="K101" s="2" t="n"/>
      <c r="L101" s="2" t="n"/>
      <c r="M101" s="2" t="n"/>
      <c r="N101" s="2" t="n"/>
      <c r="O101" s="2" t="n"/>
      <c r="P101" s="2" t="n"/>
      <c r="Q101" s="2">
        <f>IF(G101="","",TODAY()-G101)</f>
        <v/>
      </c>
    </row>
    <row r="102">
      <c r="A102" s="2" t="n"/>
      <c r="B102" s="2" t="n"/>
      <c r="C102" s="2" t="n"/>
      <c r="D102" s="2" t="n"/>
      <c r="E102" s="2" t="n"/>
      <c r="F102" s="2" t="n"/>
      <c r="G102" s="2" t="n"/>
      <c r="H102" s="2" t="n"/>
      <c r="I102" s="2" t="n"/>
      <c r="J102" s="2" t="n"/>
      <c r="K102" s="2" t="n"/>
      <c r="L102" s="2" t="n"/>
      <c r="M102" s="2" t="n"/>
      <c r="N102" s="2" t="n"/>
      <c r="O102" s="2" t="n"/>
      <c r="P102" s="2" t="n"/>
      <c r="Q102" s="2">
        <f>IF(G102="","",TODAY()-G102)</f>
        <v/>
      </c>
    </row>
    <row r="103">
      <c r="A103" s="2" t="n"/>
      <c r="B103" s="2" t="n"/>
      <c r="C103" s="2" t="n"/>
      <c r="D103" s="2" t="n"/>
      <c r="E103" s="2" t="n"/>
      <c r="F103" s="2" t="n"/>
      <c r="G103" s="2" t="n"/>
      <c r="H103" s="2" t="n"/>
      <c r="I103" s="2" t="n"/>
      <c r="J103" s="2" t="n"/>
      <c r="K103" s="2" t="n"/>
      <c r="L103" s="2" t="n"/>
      <c r="M103" s="2" t="n"/>
      <c r="N103" s="2" t="n"/>
      <c r="O103" s="2" t="n"/>
      <c r="P103" s="2" t="n"/>
      <c r="Q103" s="2">
        <f>IF(G103="","",TODAY()-G103)</f>
        <v/>
      </c>
    </row>
    <row r="104">
      <c r="A104" s="2" t="n"/>
      <c r="B104" s="2" t="n"/>
      <c r="C104" s="2" t="n"/>
      <c r="D104" s="2" t="n"/>
      <c r="E104" s="2" t="n"/>
      <c r="F104" s="2" t="n"/>
      <c r="G104" s="2" t="n"/>
      <c r="H104" s="2" t="n"/>
      <c r="I104" s="2" t="n"/>
      <c r="J104" s="2" t="n"/>
      <c r="K104" s="2" t="n"/>
      <c r="L104" s="2" t="n"/>
      <c r="M104" s="2" t="n"/>
      <c r="N104" s="2" t="n"/>
      <c r="O104" s="2" t="n"/>
      <c r="P104" s="2" t="n"/>
      <c r="Q104" s="2">
        <f>IF(G104="","",TODAY()-G104)</f>
        <v/>
      </c>
    </row>
    <row r="105">
      <c r="A105" s="2" t="n"/>
      <c r="B105" s="2" t="n"/>
      <c r="C105" s="2" t="n"/>
      <c r="D105" s="2" t="n"/>
      <c r="E105" s="2" t="n"/>
      <c r="F105" s="2" t="n"/>
      <c r="G105" s="2" t="n"/>
      <c r="H105" s="2" t="n"/>
      <c r="I105" s="2" t="n"/>
      <c r="J105" s="2" t="n"/>
      <c r="K105" s="2" t="n"/>
      <c r="L105" s="2" t="n"/>
      <c r="M105" s="2" t="n"/>
      <c r="N105" s="2" t="n"/>
      <c r="O105" s="2" t="n"/>
      <c r="P105" s="2" t="n"/>
      <c r="Q105" s="2">
        <f>IF(G105="","",TODAY()-G105)</f>
        <v/>
      </c>
    </row>
    <row r="106">
      <c r="A106" s="2" t="n"/>
      <c r="B106" s="2" t="n"/>
      <c r="C106" s="2" t="n"/>
      <c r="D106" s="2" t="n"/>
      <c r="E106" s="2" t="n"/>
      <c r="F106" s="2" t="n"/>
      <c r="G106" s="2" t="n"/>
      <c r="H106" s="2" t="n"/>
      <c r="I106" s="2" t="n"/>
      <c r="J106" s="2" t="n"/>
      <c r="K106" s="2" t="n"/>
      <c r="L106" s="2" t="n"/>
      <c r="M106" s="2" t="n"/>
      <c r="N106" s="2" t="n"/>
      <c r="O106" s="2" t="n"/>
      <c r="P106" s="2" t="n"/>
      <c r="Q106" s="2">
        <f>IF(G106="","",TODAY()-G106)</f>
        <v/>
      </c>
    </row>
    <row r="107">
      <c r="A107" s="2" t="n"/>
      <c r="B107" s="2" t="n"/>
      <c r="C107" s="2" t="n"/>
      <c r="D107" s="2" t="n"/>
      <c r="E107" s="2" t="n"/>
      <c r="F107" s="2" t="n"/>
      <c r="G107" s="2" t="n"/>
      <c r="H107" s="2" t="n"/>
      <c r="I107" s="2" t="n"/>
      <c r="J107" s="2" t="n"/>
      <c r="K107" s="2" t="n"/>
      <c r="L107" s="2" t="n"/>
      <c r="M107" s="2" t="n"/>
      <c r="N107" s="2" t="n"/>
      <c r="O107" s="2" t="n"/>
      <c r="P107" s="2" t="n"/>
      <c r="Q107" s="2">
        <f>IF(G107="","",TODAY()-G107)</f>
        <v/>
      </c>
    </row>
    <row r="108">
      <c r="A108" s="2" t="n"/>
      <c r="B108" s="2" t="n"/>
      <c r="C108" s="2" t="n"/>
      <c r="D108" s="2" t="n"/>
      <c r="E108" s="2" t="n"/>
      <c r="F108" s="2" t="n"/>
      <c r="G108" s="2" t="n"/>
      <c r="H108" s="2" t="n"/>
      <c r="I108" s="2" t="n"/>
      <c r="J108" s="2" t="n"/>
      <c r="K108" s="2" t="n"/>
      <c r="L108" s="2" t="n"/>
      <c r="M108" s="2" t="n"/>
      <c r="N108" s="2" t="n"/>
      <c r="O108" s="2" t="n"/>
      <c r="P108" s="2" t="n"/>
      <c r="Q108" s="2">
        <f>IF(G108="","",TODAY()-G108)</f>
        <v/>
      </c>
    </row>
    <row r="109">
      <c r="A109" s="2" t="n"/>
      <c r="B109" s="2" t="n"/>
      <c r="C109" s="2" t="n"/>
      <c r="D109" s="2" t="n"/>
      <c r="E109" s="2" t="n"/>
      <c r="F109" s="2" t="n"/>
      <c r="G109" s="2" t="n"/>
      <c r="H109" s="2" t="n"/>
      <c r="I109" s="2" t="n"/>
      <c r="J109" s="2" t="n"/>
      <c r="K109" s="2" t="n"/>
      <c r="L109" s="2" t="n"/>
      <c r="M109" s="2" t="n"/>
      <c r="N109" s="2" t="n"/>
      <c r="O109" s="2" t="n"/>
      <c r="P109" s="2" t="n"/>
      <c r="Q109" s="2">
        <f>IF(G109="","",TODAY()-G109)</f>
        <v/>
      </c>
    </row>
    <row r="110">
      <c r="A110" s="2" t="n"/>
      <c r="B110" s="2" t="n"/>
      <c r="C110" s="2" t="n"/>
      <c r="D110" s="2" t="n"/>
      <c r="E110" s="2" t="n"/>
      <c r="F110" s="2" t="n"/>
      <c r="G110" s="2" t="n"/>
      <c r="H110" s="2" t="n"/>
      <c r="I110" s="2" t="n"/>
      <c r="J110" s="2" t="n"/>
      <c r="K110" s="2" t="n"/>
      <c r="L110" s="2" t="n"/>
      <c r="M110" s="2" t="n"/>
      <c r="N110" s="2" t="n"/>
      <c r="O110" s="2" t="n"/>
      <c r="P110" s="2" t="n"/>
      <c r="Q110" s="2">
        <f>IF(G110="","",TODAY()-G110)</f>
        <v/>
      </c>
    </row>
    <row r="111">
      <c r="A111" s="2" t="n"/>
      <c r="B111" s="2" t="n"/>
      <c r="C111" s="2" t="n"/>
      <c r="D111" s="2" t="n"/>
      <c r="E111" s="2" t="n"/>
      <c r="F111" s="2" t="n"/>
      <c r="G111" s="2" t="n"/>
      <c r="H111" s="2" t="n"/>
      <c r="I111" s="2" t="n"/>
      <c r="J111" s="2" t="n"/>
      <c r="K111" s="2" t="n"/>
      <c r="L111" s="2" t="n"/>
      <c r="M111" s="2" t="n"/>
      <c r="N111" s="2" t="n"/>
      <c r="O111" s="2" t="n"/>
      <c r="P111" s="2" t="n"/>
      <c r="Q111" s="2">
        <f>IF(G111="","",TODAY()-G111)</f>
        <v/>
      </c>
    </row>
    <row r="112">
      <c r="A112" s="2" t="n"/>
      <c r="B112" s="2" t="n"/>
      <c r="C112" s="2" t="n"/>
      <c r="D112" s="2" t="n"/>
      <c r="E112" s="2" t="n"/>
      <c r="F112" s="2" t="n"/>
      <c r="G112" s="2" t="n"/>
      <c r="H112" s="2" t="n"/>
      <c r="I112" s="2" t="n"/>
      <c r="J112" s="2" t="n"/>
      <c r="K112" s="2" t="n"/>
      <c r="L112" s="2" t="n"/>
      <c r="M112" s="2" t="n"/>
      <c r="N112" s="2" t="n"/>
      <c r="O112" s="2" t="n"/>
      <c r="P112" s="2" t="n"/>
      <c r="Q112" s="2">
        <f>IF(G112="","",TODAY()-G112)</f>
        <v/>
      </c>
    </row>
    <row r="113">
      <c r="A113" s="2" t="n"/>
      <c r="B113" s="2" t="n"/>
      <c r="C113" s="2" t="n"/>
      <c r="D113" s="2" t="n"/>
      <c r="E113" s="2" t="n"/>
      <c r="F113" s="2" t="n"/>
      <c r="G113" s="2" t="n"/>
      <c r="H113" s="2" t="n"/>
      <c r="I113" s="2" t="n"/>
      <c r="J113" s="2" t="n"/>
      <c r="K113" s="2" t="n"/>
      <c r="L113" s="2" t="n"/>
      <c r="M113" s="2" t="n"/>
      <c r="N113" s="2" t="n"/>
      <c r="O113" s="2" t="n"/>
      <c r="P113" s="2" t="n"/>
      <c r="Q113" s="2">
        <f>IF(G113="","",TODAY()-G113)</f>
        <v/>
      </c>
    </row>
    <row r="114">
      <c r="A114" s="2" t="n"/>
      <c r="B114" s="2" t="n"/>
      <c r="C114" s="2" t="n"/>
      <c r="D114" s="2" t="n"/>
      <c r="E114" s="2" t="n"/>
      <c r="F114" s="2" t="n"/>
      <c r="G114" s="2" t="n"/>
      <c r="H114" s="2" t="n"/>
      <c r="I114" s="2" t="n"/>
      <c r="J114" s="2" t="n"/>
      <c r="K114" s="2" t="n"/>
      <c r="L114" s="2" t="n"/>
      <c r="M114" s="2" t="n"/>
      <c r="N114" s="2" t="n"/>
      <c r="O114" s="2" t="n"/>
      <c r="P114" s="2" t="n"/>
      <c r="Q114" s="2">
        <f>IF(G114="","",TODAY()-G114)</f>
        <v/>
      </c>
    </row>
    <row r="115">
      <c r="A115" s="2" t="n"/>
      <c r="B115" s="2" t="n"/>
      <c r="C115" s="2" t="n"/>
      <c r="D115" s="2" t="n"/>
      <c r="E115" s="2" t="n"/>
      <c r="F115" s="2" t="n"/>
      <c r="G115" s="2" t="n"/>
      <c r="H115" s="2" t="n"/>
      <c r="I115" s="2" t="n"/>
      <c r="J115" s="2" t="n"/>
      <c r="K115" s="2" t="n"/>
      <c r="L115" s="2" t="n"/>
      <c r="M115" s="2" t="n"/>
      <c r="N115" s="2" t="n"/>
      <c r="O115" s="2" t="n"/>
      <c r="P115" s="2" t="n"/>
      <c r="Q115" s="2">
        <f>IF(G115="","",TODAY()-G115)</f>
        <v/>
      </c>
    </row>
    <row r="116">
      <c r="A116" s="2" t="n"/>
      <c r="B116" s="2" t="n"/>
      <c r="C116" s="2" t="n"/>
      <c r="D116" s="2" t="n"/>
      <c r="E116" s="2" t="n"/>
      <c r="F116" s="2" t="n"/>
      <c r="G116" s="2" t="n"/>
      <c r="H116" s="2" t="n"/>
      <c r="I116" s="2" t="n"/>
      <c r="J116" s="2" t="n"/>
      <c r="K116" s="2" t="n"/>
      <c r="L116" s="2" t="n"/>
      <c r="M116" s="2" t="n"/>
      <c r="N116" s="2" t="n"/>
      <c r="O116" s="2" t="n"/>
      <c r="P116" s="2" t="n"/>
      <c r="Q116" s="2">
        <f>IF(G116="","",TODAY()-G116)</f>
        <v/>
      </c>
    </row>
    <row r="117">
      <c r="A117" s="2" t="n"/>
      <c r="B117" s="2" t="n"/>
      <c r="C117" s="2" t="n"/>
      <c r="D117" s="2" t="n"/>
      <c r="E117" s="2" t="n"/>
      <c r="F117" s="2" t="n"/>
      <c r="G117" s="2" t="n"/>
      <c r="H117" s="2" t="n"/>
      <c r="I117" s="2" t="n"/>
      <c r="J117" s="2" t="n"/>
      <c r="K117" s="2" t="n"/>
      <c r="L117" s="2" t="n"/>
      <c r="M117" s="2" t="n"/>
      <c r="N117" s="2" t="n"/>
      <c r="O117" s="2" t="n"/>
      <c r="P117" s="2" t="n"/>
      <c r="Q117" s="2">
        <f>IF(G117="","",TODAY()-G117)</f>
        <v/>
      </c>
    </row>
    <row r="118">
      <c r="A118" s="2" t="n"/>
      <c r="B118" s="2" t="n"/>
      <c r="C118" s="2" t="n"/>
      <c r="D118" s="2" t="n"/>
      <c r="E118" s="2" t="n"/>
      <c r="F118" s="2" t="n"/>
      <c r="G118" s="2" t="n"/>
      <c r="H118" s="2" t="n"/>
      <c r="I118" s="2" t="n"/>
      <c r="J118" s="2" t="n"/>
      <c r="K118" s="2" t="n"/>
      <c r="L118" s="2" t="n"/>
      <c r="M118" s="2" t="n"/>
      <c r="N118" s="2" t="n"/>
      <c r="O118" s="2" t="n"/>
      <c r="P118" s="2" t="n"/>
      <c r="Q118" s="2">
        <f>IF(G118="","",TODAY()-G118)</f>
        <v/>
      </c>
    </row>
    <row r="119">
      <c r="A119" s="2" t="n"/>
      <c r="B119" s="2" t="n"/>
      <c r="C119" s="2" t="n"/>
      <c r="D119" s="2" t="n"/>
      <c r="E119" s="2" t="n"/>
      <c r="F119" s="2" t="n"/>
      <c r="G119" s="2" t="n"/>
      <c r="H119" s="2" t="n"/>
      <c r="I119" s="2" t="n"/>
      <c r="J119" s="2" t="n"/>
      <c r="K119" s="2" t="n"/>
      <c r="L119" s="2" t="n"/>
      <c r="M119" s="2" t="n"/>
      <c r="N119" s="2" t="n"/>
      <c r="O119" s="2" t="n"/>
      <c r="P119" s="2" t="n"/>
      <c r="Q119" s="2">
        <f>IF(G119="","",TODAY()-G119)</f>
        <v/>
      </c>
    </row>
    <row r="120">
      <c r="A120" s="2" t="n"/>
      <c r="B120" s="2" t="n"/>
      <c r="C120" s="2" t="n"/>
      <c r="D120" s="2" t="n"/>
      <c r="E120" s="2" t="n"/>
      <c r="F120" s="2" t="n"/>
      <c r="G120" s="2" t="n"/>
      <c r="H120" s="2" t="n"/>
      <c r="I120" s="2" t="n"/>
      <c r="J120" s="2" t="n"/>
      <c r="K120" s="2" t="n"/>
      <c r="L120" s="2" t="n"/>
      <c r="M120" s="2" t="n"/>
      <c r="N120" s="2" t="n"/>
      <c r="O120" s="2" t="n"/>
      <c r="P120" s="2" t="n"/>
      <c r="Q120" s="2">
        <f>IF(G120="","",TODAY()-G120)</f>
        <v/>
      </c>
    </row>
    <row r="121">
      <c r="A121" s="2" t="n"/>
      <c r="B121" s="2" t="n"/>
      <c r="C121" s="2" t="n"/>
      <c r="D121" s="2" t="n"/>
      <c r="E121" s="2" t="n"/>
      <c r="F121" s="2" t="n"/>
      <c r="G121" s="2" t="n"/>
      <c r="H121" s="2" t="n"/>
      <c r="I121" s="2" t="n"/>
      <c r="J121" s="2" t="n"/>
      <c r="K121" s="2" t="n"/>
      <c r="L121" s="2" t="n"/>
      <c r="M121" s="2" t="n"/>
      <c r="N121" s="2" t="n"/>
      <c r="O121" s="2" t="n"/>
      <c r="P121" s="2" t="n"/>
      <c r="Q121" s="2">
        <f>IF(G121="","",TODAY()-G121)</f>
        <v/>
      </c>
    </row>
    <row r="122">
      <c r="A122" s="2" t="n"/>
      <c r="B122" s="2" t="n"/>
      <c r="C122" s="2" t="n"/>
      <c r="D122" s="2" t="n"/>
      <c r="E122" s="2" t="n"/>
      <c r="F122" s="2" t="n"/>
      <c r="G122" s="2" t="n"/>
      <c r="H122" s="2" t="n"/>
      <c r="I122" s="2" t="n"/>
      <c r="J122" s="2" t="n"/>
      <c r="K122" s="2" t="n"/>
      <c r="L122" s="2" t="n"/>
      <c r="M122" s="2" t="n"/>
      <c r="N122" s="2" t="n"/>
      <c r="O122" s="2" t="n"/>
      <c r="P122" s="2" t="n"/>
      <c r="Q122" s="2">
        <f>IF(G122="","",TODAY()-G122)</f>
        <v/>
      </c>
    </row>
    <row r="123">
      <c r="A123" s="2" t="n"/>
      <c r="B123" s="2" t="n"/>
      <c r="C123" s="2" t="n"/>
      <c r="D123" s="2" t="n"/>
      <c r="E123" s="2" t="n"/>
      <c r="F123" s="2" t="n"/>
      <c r="G123" s="2" t="n"/>
      <c r="H123" s="2" t="n"/>
      <c r="I123" s="2" t="n"/>
      <c r="J123" s="2" t="n"/>
      <c r="K123" s="2" t="n"/>
      <c r="L123" s="2" t="n"/>
      <c r="M123" s="2" t="n"/>
      <c r="N123" s="2" t="n"/>
      <c r="O123" s="2" t="n"/>
      <c r="P123" s="2" t="n"/>
      <c r="Q123" s="2">
        <f>IF(G123="","",TODAY()-G123)</f>
        <v/>
      </c>
    </row>
    <row r="124">
      <c r="A124" s="2" t="n"/>
      <c r="B124" s="2" t="n"/>
      <c r="C124" s="2" t="n"/>
      <c r="D124" s="2" t="n"/>
      <c r="E124" s="2" t="n"/>
      <c r="F124" s="2" t="n"/>
      <c r="G124" s="2" t="n"/>
      <c r="H124" s="2" t="n"/>
      <c r="I124" s="2" t="n"/>
      <c r="J124" s="2" t="n"/>
      <c r="K124" s="2" t="n"/>
      <c r="L124" s="2" t="n"/>
      <c r="M124" s="2" t="n"/>
      <c r="N124" s="2" t="n"/>
      <c r="O124" s="2" t="n"/>
      <c r="P124" s="2" t="n"/>
      <c r="Q124" s="2">
        <f>IF(G124="","",TODAY()-G124)</f>
        <v/>
      </c>
    </row>
    <row r="125">
      <c r="A125" s="2" t="n"/>
      <c r="B125" s="2" t="n"/>
      <c r="C125" s="2" t="n"/>
      <c r="D125" s="2" t="n"/>
      <c r="E125" s="2" t="n"/>
      <c r="F125" s="2" t="n"/>
      <c r="G125" s="2" t="n"/>
      <c r="H125" s="2" t="n"/>
      <c r="I125" s="2" t="n"/>
      <c r="J125" s="2" t="n"/>
      <c r="K125" s="2" t="n"/>
      <c r="L125" s="2" t="n"/>
      <c r="M125" s="2" t="n"/>
      <c r="N125" s="2" t="n"/>
      <c r="O125" s="2" t="n"/>
      <c r="P125" s="2" t="n"/>
      <c r="Q125" s="2">
        <f>IF(G125="","",TODAY()-G125)</f>
        <v/>
      </c>
    </row>
    <row r="126">
      <c r="A126" s="2" t="n"/>
      <c r="B126" s="2" t="n"/>
      <c r="C126" s="2" t="n"/>
      <c r="D126" s="2" t="n"/>
      <c r="E126" s="2" t="n"/>
      <c r="F126" s="2" t="n"/>
      <c r="G126" s="2" t="n"/>
      <c r="H126" s="2" t="n"/>
      <c r="I126" s="2" t="n"/>
      <c r="J126" s="2" t="n"/>
      <c r="K126" s="2" t="n"/>
      <c r="L126" s="2" t="n"/>
      <c r="M126" s="2" t="n"/>
      <c r="N126" s="2" t="n"/>
      <c r="O126" s="2" t="n"/>
      <c r="P126" s="2" t="n"/>
      <c r="Q126" s="2">
        <f>IF(G126="","",TODAY()-G126)</f>
        <v/>
      </c>
    </row>
    <row r="127">
      <c r="A127" s="2" t="n"/>
      <c r="B127" s="2" t="n"/>
      <c r="C127" s="2" t="n"/>
      <c r="D127" s="2" t="n"/>
      <c r="E127" s="2" t="n"/>
      <c r="F127" s="2" t="n"/>
      <c r="G127" s="2" t="n"/>
      <c r="H127" s="2" t="n"/>
      <c r="I127" s="2" t="n"/>
      <c r="J127" s="2" t="n"/>
      <c r="K127" s="2" t="n"/>
      <c r="L127" s="2" t="n"/>
      <c r="M127" s="2" t="n"/>
      <c r="N127" s="2" t="n"/>
      <c r="O127" s="2" t="n"/>
      <c r="P127" s="2" t="n"/>
      <c r="Q127" s="2">
        <f>IF(G127="","",TODAY()-G127)</f>
        <v/>
      </c>
    </row>
    <row r="128">
      <c r="A128" s="2" t="n"/>
      <c r="B128" s="2" t="n"/>
      <c r="C128" s="2" t="n"/>
      <c r="D128" s="2" t="n"/>
      <c r="E128" s="2" t="n"/>
      <c r="F128" s="2" t="n"/>
      <c r="G128" s="2" t="n"/>
      <c r="H128" s="2" t="n"/>
      <c r="I128" s="2" t="n"/>
      <c r="J128" s="2" t="n"/>
      <c r="K128" s="2" t="n"/>
      <c r="L128" s="2" t="n"/>
      <c r="M128" s="2" t="n"/>
      <c r="N128" s="2" t="n"/>
      <c r="O128" s="2" t="n"/>
      <c r="P128" s="2" t="n"/>
      <c r="Q128" s="2">
        <f>IF(G128="","",TODAY()-G128)</f>
        <v/>
      </c>
    </row>
    <row r="129">
      <c r="A129" s="2" t="n"/>
      <c r="B129" s="2" t="n"/>
      <c r="C129" s="2" t="n"/>
      <c r="D129" s="2" t="n"/>
      <c r="E129" s="2" t="n"/>
      <c r="F129" s="2" t="n"/>
      <c r="G129" s="2" t="n"/>
      <c r="H129" s="2" t="n"/>
      <c r="I129" s="2" t="n"/>
      <c r="J129" s="2" t="n"/>
      <c r="K129" s="2" t="n"/>
      <c r="L129" s="2" t="n"/>
      <c r="M129" s="2" t="n"/>
      <c r="N129" s="2" t="n"/>
      <c r="O129" s="2" t="n"/>
      <c r="P129" s="2" t="n"/>
      <c r="Q129" s="2">
        <f>IF(G129="","",TODAY()-G129)</f>
        <v/>
      </c>
    </row>
    <row r="130">
      <c r="A130" s="2" t="n"/>
      <c r="B130" s="2" t="n"/>
      <c r="C130" s="2" t="n"/>
      <c r="D130" s="2" t="n"/>
      <c r="E130" s="2" t="n"/>
      <c r="F130" s="2" t="n"/>
      <c r="G130" s="2" t="n"/>
      <c r="H130" s="2" t="n"/>
      <c r="I130" s="2" t="n"/>
      <c r="J130" s="2" t="n"/>
      <c r="K130" s="2" t="n"/>
      <c r="L130" s="2" t="n"/>
      <c r="M130" s="2" t="n"/>
      <c r="N130" s="2" t="n"/>
      <c r="O130" s="2" t="n"/>
      <c r="P130" s="2" t="n"/>
      <c r="Q130" s="2">
        <f>IF(G130="","",TODAY()-G130)</f>
        <v/>
      </c>
    </row>
    <row r="131">
      <c r="A131" s="2" t="n"/>
      <c r="B131" s="2" t="n"/>
      <c r="C131" s="2" t="n"/>
      <c r="D131" s="2" t="n"/>
      <c r="E131" s="2" t="n"/>
      <c r="F131" s="2" t="n"/>
      <c r="G131" s="2" t="n"/>
      <c r="H131" s="2" t="n"/>
      <c r="I131" s="2" t="n"/>
      <c r="J131" s="2" t="n"/>
      <c r="K131" s="2" t="n"/>
      <c r="L131" s="2" t="n"/>
      <c r="M131" s="2" t="n"/>
      <c r="N131" s="2" t="n"/>
      <c r="O131" s="2" t="n"/>
      <c r="P131" s="2" t="n"/>
      <c r="Q131" s="2">
        <f>IF(G131="","",TODAY()-G131)</f>
        <v/>
      </c>
    </row>
    <row r="132">
      <c r="A132" s="2" t="n"/>
      <c r="B132" s="2" t="n"/>
      <c r="C132" s="2" t="n"/>
      <c r="D132" s="2" t="n"/>
      <c r="E132" s="2" t="n"/>
      <c r="F132" s="2" t="n"/>
      <c r="G132" s="2" t="n"/>
      <c r="H132" s="2" t="n"/>
      <c r="I132" s="2" t="n"/>
      <c r="J132" s="2" t="n"/>
      <c r="K132" s="2" t="n"/>
      <c r="L132" s="2" t="n"/>
      <c r="M132" s="2" t="n"/>
      <c r="N132" s="2" t="n"/>
      <c r="O132" s="2" t="n"/>
      <c r="P132" s="2" t="n"/>
      <c r="Q132" s="2">
        <f>IF(G132="","",TODAY()-G132)</f>
        <v/>
      </c>
    </row>
    <row r="133">
      <c r="A133" s="2" t="n"/>
      <c r="B133" s="2" t="n"/>
      <c r="C133" s="2" t="n"/>
      <c r="D133" s="2" t="n"/>
      <c r="E133" s="2" t="n"/>
      <c r="F133" s="2" t="n"/>
      <c r="G133" s="2" t="n"/>
      <c r="H133" s="2" t="n"/>
      <c r="I133" s="2" t="n"/>
      <c r="J133" s="2" t="n"/>
      <c r="K133" s="2" t="n"/>
      <c r="L133" s="2" t="n"/>
      <c r="M133" s="2" t="n"/>
      <c r="N133" s="2" t="n"/>
      <c r="O133" s="2" t="n"/>
      <c r="P133" s="2" t="n"/>
      <c r="Q133" s="2">
        <f>IF(G133="","",TODAY()-G133)</f>
        <v/>
      </c>
    </row>
    <row r="134">
      <c r="A134" s="2" t="n"/>
      <c r="B134" s="2" t="n"/>
      <c r="C134" s="2" t="n"/>
      <c r="D134" s="2" t="n"/>
      <c r="E134" s="2" t="n"/>
      <c r="F134" s="2" t="n"/>
      <c r="G134" s="2" t="n"/>
      <c r="H134" s="2" t="n"/>
      <c r="I134" s="2" t="n"/>
      <c r="J134" s="2" t="n"/>
      <c r="K134" s="2" t="n"/>
      <c r="L134" s="2" t="n"/>
      <c r="M134" s="2" t="n"/>
      <c r="N134" s="2" t="n"/>
      <c r="O134" s="2" t="n"/>
      <c r="P134" s="2" t="n"/>
      <c r="Q134" s="2">
        <f>IF(G134="","",TODAY()-G134)</f>
        <v/>
      </c>
    </row>
    <row r="135">
      <c r="A135" s="2" t="n"/>
      <c r="B135" s="2" t="n"/>
      <c r="C135" s="2" t="n"/>
      <c r="D135" s="2" t="n"/>
      <c r="E135" s="2" t="n"/>
      <c r="F135" s="2" t="n"/>
      <c r="G135" s="2" t="n"/>
      <c r="H135" s="2" t="n"/>
      <c r="I135" s="2" t="n"/>
      <c r="J135" s="2" t="n"/>
      <c r="K135" s="2" t="n"/>
      <c r="L135" s="2" t="n"/>
      <c r="M135" s="2" t="n"/>
      <c r="N135" s="2" t="n"/>
      <c r="O135" s="2" t="n"/>
      <c r="P135" s="2" t="n"/>
      <c r="Q135" s="2">
        <f>IF(G135="","",TODAY()-G135)</f>
        <v/>
      </c>
    </row>
    <row r="136">
      <c r="A136" s="2" t="n"/>
      <c r="B136" s="2" t="n"/>
      <c r="C136" s="2" t="n"/>
      <c r="D136" s="2" t="n"/>
      <c r="E136" s="2" t="n"/>
      <c r="F136" s="2" t="n"/>
      <c r="G136" s="2" t="n"/>
      <c r="H136" s="2" t="n"/>
      <c r="I136" s="2" t="n"/>
      <c r="J136" s="2" t="n"/>
      <c r="K136" s="2" t="n"/>
      <c r="L136" s="2" t="n"/>
      <c r="M136" s="2" t="n"/>
      <c r="N136" s="2" t="n"/>
      <c r="O136" s="2" t="n"/>
      <c r="P136" s="2" t="n"/>
      <c r="Q136" s="2">
        <f>IF(G136="","",TODAY()-G136)</f>
        <v/>
      </c>
    </row>
    <row r="137">
      <c r="A137" s="2" t="n"/>
      <c r="B137" s="2" t="n"/>
      <c r="C137" s="2" t="n"/>
      <c r="D137" s="2" t="n"/>
      <c r="E137" s="2" t="n"/>
      <c r="F137" s="2" t="n"/>
      <c r="G137" s="2" t="n"/>
      <c r="H137" s="2" t="n"/>
      <c r="I137" s="2" t="n"/>
      <c r="J137" s="2" t="n"/>
      <c r="K137" s="2" t="n"/>
      <c r="L137" s="2" t="n"/>
      <c r="M137" s="2" t="n"/>
      <c r="N137" s="2" t="n"/>
      <c r="O137" s="2" t="n"/>
      <c r="P137" s="2" t="n"/>
      <c r="Q137" s="2">
        <f>IF(G137="","",TODAY()-G137)</f>
        <v/>
      </c>
    </row>
    <row r="138">
      <c r="A138" s="2" t="n"/>
      <c r="B138" s="2" t="n"/>
      <c r="C138" s="2" t="n"/>
      <c r="D138" s="2" t="n"/>
      <c r="E138" s="2" t="n"/>
      <c r="F138" s="2" t="n"/>
      <c r="G138" s="2" t="n"/>
      <c r="H138" s="2" t="n"/>
      <c r="I138" s="2" t="n"/>
      <c r="J138" s="2" t="n"/>
      <c r="K138" s="2" t="n"/>
      <c r="L138" s="2" t="n"/>
      <c r="M138" s="2" t="n"/>
      <c r="N138" s="2" t="n"/>
      <c r="O138" s="2" t="n"/>
      <c r="P138" s="2" t="n"/>
      <c r="Q138" s="2">
        <f>IF(G138="","",TODAY()-G138)</f>
        <v/>
      </c>
    </row>
    <row r="139">
      <c r="A139" s="2" t="n"/>
      <c r="B139" s="2" t="n"/>
      <c r="C139" s="2" t="n"/>
      <c r="D139" s="2" t="n"/>
      <c r="E139" s="2" t="n"/>
      <c r="F139" s="2" t="n"/>
      <c r="G139" s="2" t="n"/>
      <c r="H139" s="2" t="n"/>
      <c r="I139" s="2" t="n"/>
      <c r="J139" s="2" t="n"/>
      <c r="K139" s="2" t="n"/>
      <c r="L139" s="2" t="n"/>
      <c r="M139" s="2" t="n"/>
      <c r="N139" s="2" t="n"/>
      <c r="O139" s="2" t="n"/>
      <c r="P139" s="2" t="n"/>
      <c r="Q139" s="2">
        <f>IF(G139="","",TODAY()-G139)</f>
        <v/>
      </c>
    </row>
    <row r="140">
      <c r="A140" s="2" t="n"/>
      <c r="B140" s="2" t="n"/>
      <c r="C140" s="2" t="n"/>
      <c r="D140" s="2" t="n"/>
      <c r="E140" s="2" t="n"/>
      <c r="F140" s="2" t="n"/>
      <c r="G140" s="2" t="n"/>
      <c r="H140" s="2" t="n"/>
      <c r="I140" s="2" t="n"/>
      <c r="J140" s="2" t="n"/>
      <c r="K140" s="2" t="n"/>
      <c r="L140" s="2" t="n"/>
      <c r="M140" s="2" t="n"/>
      <c r="N140" s="2" t="n"/>
      <c r="O140" s="2" t="n"/>
      <c r="P140" s="2" t="n"/>
      <c r="Q140" s="2">
        <f>IF(G140="","",TODAY()-G140)</f>
        <v/>
      </c>
    </row>
    <row r="141">
      <c r="A141" s="2" t="n"/>
      <c r="B141" s="2" t="n"/>
      <c r="C141" s="2" t="n"/>
      <c r="D141" s="2" t="n"/>
      <c r="E141" s="2" t="n"/>
      <c r="F141" s="2" t="n"/>
      <c r="G141" s="2" t="n"/>
      <c r="H141" s="2" t="n"/>
      <c r="I141" s="2" t="n"/>
      <c r="J141" s="2" t="n"/>
      <c r="K141" s="2" t="n"/>
      <c r="L141" s="2" t="n"/>
      <c r="M141" s="2" t="n"/>
      <c r="N141" s="2" t="n"/>
      <c r="O141" s="2" t="n"/>
      <c r="P141" s="2" t="n"/>
      <c r="Q141" s="2">
        <f>IF(G141="","",TODAY()-G141)</f>
        <v/>
      </c>
    </row>
    <row r="142">
      <c r="A142" s="2" t="n"/>
      <c r="B142" s="2" t="n"/>
      <c r="C142" s="2" t="n"/>
      <c r="D142" s="2" t="n"/>
      <c r="E142" s="2" t="n"/>
      <c r="F142" s="2" t="n"/>
      <c r="G142" s="2" t="n"/>
      <c r="H142" s="2" t="n"/>
      <c r="I142" s="2" t="n"/>
      <c r="J142" s="2" t="n"/>
      <c r="K142" s="2" t="n"/>
      <c r="L142" s="2" t="n"/>
      <c r="M142" s="2" t="n"/>
      <c r="N142" s="2" t="n"/>
      <c r="O142" s="2" t="n"/>
      <c r="P142" s="2" t="n"/>
      <c r="Q142" s="2">
        <f>IF(G142="","",TODAY()-G142)</f>
        <v/>
      </c>
    </row>
    <row r="143">
      <c r="A143" s="2" t="n"/>
      <c r="B143" s="2" t="n"/>
      <c r="C143" s="2" t="n"/>
      <c r="D143" s="2" t="n"/>
      <c r="E143" s="2" t="n"/>
      <c r="F143" s="2" t="n"/>
      <c r="G143" s="2" t="n"/>
      <c r="H143" s="2" t="n"/>
      <c r="I143" s="2" t="n"/>
      <c r="J143" s="2" t="n"/>
      <c r="K143" s="2" t="n"/>
      <c r="L143" s="2" t="n"/>
      <c r="M143" s="2" t="n"/>
      <c r="N143" s="2" t="n"/>
      <c r="O143" s="2" t="n"/>
      <c r="P143" s="2" t="n"/>
      <c r="Q143" s="2">
        <f>IF(G143="","",TODAY()-G143)</f>
        <v/>
      </c>
    </row>
    <row r="144">
      <c r="A144" s="2" t="n"/>
      <c r="B144" s="2" t="n"/>
      <c r="C144" s="2" t="n"/>
      <c r="D144" s="2" t="n"/>
      <c r="E144" s="2" t="n"/>
      <c r="F144" s="2" t="n"/>
      <c r="G144" s="2" t="n"/>
      <c r="H144" s="2" t="n"/>
      <c r="I144" s="2" t="n"/>
      <c r="J144" s="2" t="n"/>
      <c r="K144" s="2" t="n"/>
      <c r="L144" s="2" t="n"/>
      <c r="M144" s="2" t="n"/>
      <c r="N144" s="2" t="n"/>
      <c r="O144" s="2" t="n"/>
      <c r="P144" s="2" t="n"/>
      <c r="Q144" s="2">
        <f>IF(G144="","",TODAY()-G144)</f>
        <v/>
      </c>
    </row>
    <row r="145">
      <c r="A145" s="2" t="n"/>
      <c r="B145" s="2" t="n"/>
      <c r="C145" s="2" t="n"/>
      <c r="D145" s="2" t="n"/>
      <c r="E145" s="2" t="n"/>
      <c r="F145" s="2" t="n"/>
      <c r="G145" s="2" t="n"/>
      <c r="H145" s="2" t="n"/>
      <c r="I145" s="2" t="n"/>
      <c r="J145" s="2" t="n"/>
      <c r="K145" s="2" t="n"/>
      <c r="L145" s="2" t="n"/>
      <c r="M145" s="2" t="n"/>
      <c r="N145" s="2" t="n"/>
      <c r="O145" s="2" t="n"/>
      <c r="P145" s="2" t="n"/>
      <c r="Q145" s="2">
        <f>IF(G145="","",TODAY()-G145)</f>
        <v/>
      </c>
    </row>
    <row r="146">
      <c r="A146" s="2" t="n"/>
      <c r="B146" s="2" t="n"/>
      <c r="C146" s="2" t="n"/>
      <c r="D146" s="2" t="n"/>
      <c r="E146" s="2" t="n"/>
      <c r="F146" s="2" t="n"/>
      <c r="G146" s="2" t="n"/>
      <c r="H146" s="2" t="n"/>
      <c r="I146" s="2" t="n"/>
      <c r="J146" s="2" t="n"/>
      <c r="K146" s="2" t="n"/>
      <c r="L146" s="2" t="n"/>
      <c r="M146" s="2" t="n"/>
      <c r="N146" s="2" t="n"/>
      <c r="O146" s="2" t="n"/>
      <c r="P146" s="2" t="n"/>
      <c r="Q146" s="2">
        <f>IF(G146="","",TODAY()-G146)</f>
        <v/>
      </c>
    </row>
    <row r="147">
      <c r="A147" s="2" t="n"/>
      <c r="B147" s="2" t="n"/>
      <c r="C147" s="2" t="n"/>
      <c r="D147" s="2" t="n"/>
      <c r="E147" s="2" t="n"/>
      <c r="F147" s="2" t="n"/>
      <c r="G147" s="2" t="n"/>
      <c r="H147" s="2" t="n"/>
      <c r="I147" s="2" t="n"/>
      <c r="J147" s="2" t="n"/>
      <c r="K147" s="2" t="n"/>
      <c r="L147" s="2" t="n"/>
      <c r="M147" s="2" t="n"/>
      <c r="N147" s="2" t="n"/>
      <c r="O147" s="2" t="n"/>
      <c r="P147" s="2" t="n"/>
      <c r="Q147" s="2">
        <f>IF(G147="","",TODAY()-G147)</f>
        <v/>
      </c>
    </row>
    <row r="148">
      <c r="A148" s="2" t="n"/>
      <c r="B148" s="2" t="n"/>
      <c r="C148" s="2" t="n"/>
      <c r="D148" s="2" t="n"/>
      <c r="E148" s="2" t="n"/>
      <c r="F148" s="2" t="n"/>
      <c r="G148" s="2" t="n"/>
      <c r="H148" s="2" t="n"/>
      <c r="I148" s="2" t="n"/>
      <c r="J148" s="2" t="n"/>
      <c r="K148" s="2" t="n"/>
      <c r="L148" s="2" t="n"/>
      <c r="M148" s="2" t="n"/>
      <c r="N148" s="2" t="n"/>
      <c r="O148" s="2" t="n"/>
      <c r="P148" s="2" t="n"/>
      <c r="Q148" s="2">
        <f>IF(G148="","",TODAY()-G148)</f>
        <v/>
      </c>
    </row>
    <row r="149">
      <c r="A149" s="2" t="n"/>
      <c r="B149" s="2" t="n"/>
      <c r="C149" s="2" t="n"/>
      <c r="D149" s="2" t="n"/>
      <c r="E149" s="2" t="n"/>
      <c r="F149" s="2" t="n"/>
      <c r="G149" s="2" t="n"/>
      <c r="H149" s="2" t="n"/>
      <c r="I149" s="2" t="n"/>
      <c r="J149" s="2" t="n"/>
      <c r="K149" s="2" t="n"/>
      <c r="L149" s="2" t="n"/>
      <c r="M149" s="2" t="n"/>
      <c r="N149" s="2" t="n"/>
      <c r="O149" s="2" t="n"/>
      <c r="P149" s="2" t="n"/>
      <c r="Q149" s="2">
        <f>IF(G149="","",TODAY()-G149)</f>
        <v/>
      </c>
    </row>
    <row r="150">
      <c r="A150" s="2" t="n"/>
      <c r="B150" s="2" t="n"/>
      <c r="C150" s="2" t="n"/>
      <c r="D150" s="2" t="n"/>
      <c r="E150" s="2" t="n"/>
      <c r="F150" s="2" t="n"/>
      <c r="G150" s="2" t="n"/>
      <c r="H150" s="2" t="n"/>
      <c r="I150" s="2" t="n"/>
      <c r="J150" s="2" t="n"/>
      <c r="K150" s="2" t="n"/>
      <c r="L150" s="2" t="n"/>
      <c r="M150" s="2" t="n"/>
      <c r="N150" s="2" t="n"/>
      <c r="O150" s="2" t="n"/>
      <c r="P150" s="2" t="n"/>
      <c r="Q150" s="2">
        <f>IF(G150="","",TODAY()-G150)</f>
        <v/>
      </c>
    </row>
    <row r="151">
      <c r="A151" s="2" t="n"/>
      <c r="B151" s="2" t="n"/>
      <c r="C151" s="2" t="n"/>
      <c r="D151" s="2" t="n"/>
      <c r="E151" s="2" t="n"/>
      <c r="F151" s="2" t="n"/>
      <c r="G151" s="2" t="n"/>
      <c r="H151" s="2" t="n"/>
      <c r="I151" s="2" t="n"/>
      <c r="J151" s="2" t="n"/>
      <c r="K151" s="2" t="n"/>
      <c r="L151" s="2" t="n"/>
      <c r="M151" s="2" t="n"/>
      <c r="N151" s="2" t="n"/>
      <c r="O151" s="2" t="n"/>
      <c r="P151" s="2" t="n"/>
      <c r="Q151" s="2">
        <f>IF(G151="","",TODAY()-G151)</f>
        <v/>
      </c>
    </row>
    <row r="152">
      <c r="A152" s="2" t="n"/>
      <c r="B152" s="2" t="n"/>
      <c r="C152" s="2" t="n"/>
      <c r="D152" s="2" t="n"/>
      <c r="E152" s="2" t="n"/>
      <c r="F152" s="2" t="n"/>
      <c r="G152" s="2" t="n"/>
      <c r="H152" s="2" t="n"/>
      <c r="I152" s="2" t="n"/>
      <c r="J152" s="2" t="n"/>
      <c r="K152" s="2" t="n"/>
      <c r="L152" s="2" t="n"/>
      <c r="M152" s="2" t="n"/>
      <c r="N152" s="2" t="n"/>
      <c r="O152" s="2" t="n"/>
      <c r="P152" s="2" t="n"/>
      <c r="Q152" s="2">
        <f>IF(G152="","",TODAY()-G152)</f>
        <v/>
      </c>
    </row>
    <row r="153">
      <c r="A153" s="2" t="n"/>
      <c r="B153" s="2" t="n"/>
      <c r="C153" s="2" t="n"/>
      <c r="D153" s="2" t="n"/>
      <c r="E153" s="2" t="n"/>
      <c r="F153" s="2" t="n"/>
      <c r="G153" s="2" t="n"/>
      <c r="H153" s="2" t="n"/>
      <c r="I153" s="2" t="n"/>
      <c r="J153" s="2" t="n"/>
      <c r="K153" s="2" t="n"/>
      <c r="L153" s="2" t="n"/>
      <c r="M153" s="2" t="n"/>
      <c r="N153" s="2" t="n"/>
      <c r="O153" s="2" t="n"/>
      <c r="P153" s="2" t="n"/>
      <c r="Q153" s="2">
        <f>IF(G153="","",TODAY()-G153)</f>
        <v/>
      </c>
    </row>
    <row r="154">
      <c r="A154" s="2" t="n"/>
      <c r="B154" s="2" t="n"/>
      <c r="C154" s="2" t="n"/>
      <c r="D154" s="2" t="n"/>
      <c r="E154" s="2" t="n"/>
      <c r="F154" s="2" t="n"/>
      <c r="G154" s="2" t="n"/>
      <c r="H154" s="2" t="n"/>
      <c r="I154" s="2" t="n"/>
      <c r="J154" s="2" t="n"/>
      <c r="K154" s="2" t="n"/>
      <c r="L154" s="2" t="n"/>
      <c r="M154" s="2" t="n"/>
      <c r="N154" s="2" t="n"/>
      <c r="O154" s="2" t="n"/>
      <c r="P154" s="2" t="n"/>
      <c r="Q154" s="2">
        <f>IF(G154="","",TODAY()-G154)</f>
        <v/>
      </c>
    </row>
    <row r="155">
      <c r="A155" s="2" t="n"/>
      <c r="B155" s="2" t="n"/>
      <c r="C155" s="2" t="n"/>
      <c r="D155" s="2" t="n"/>
      <c r="E155" s="2" t="n"/>
      <c r="F155" s="2" t="n"/>
      <c r="G155" s="2" t="n"/>
      <c r="H155" s="2" t="n"/>
      <c r="I155" s="2" t="n"/>
      <c r="J155" s="2" t="n"/>
      <c r="K155" s="2" t="n"/>
      <c r="L155" s="2" t="n"/>
      <c r="M155" s="2" t="n"/>
      <c r="N155" s="2" t="n"/>
      <c r="O155" s="2" t="n"/>
      <c r="P155" s="2" t="n"/>
      <c r="Q155" s="2">
        <f>IF(G155="","",TODAY()-G155)</f>
        <v/>
      </c>
    </row>
    <row r="156">
      <c r="A156" s="2" t="n"/>
      <c r="B156" s="2" t="n"/>
      <c r="C156" s="2" t="n"/>
      <c r="D156" s="2" t="n"/>
      <c r="E156" s="2" t="n"/>
      <c r="F156" s="2" t="n"/>
      <c r="G156" s="2" t="n"/>
      <c r="H156" s="2" t="n"/>
      <c r="I156" s="2" t="n"/>
      <c r="J156" s="2" t="n"/>
      <c r="K156" s="2" t="n"/>
      <c r="L156" s="2" t="n"/>
      <c r="M156" s="2" t="n"/>
      <c r="N156" s="2" t="n"/>
      <c r="O156" s="2" t="n"/>
      <c r="P156" s="2" t="n"/>
      <c r="Q156" s="2">
        <f>IF(G156="","",TODAY()-G156)</f>
        <v/>
      </c>
    </row>
    <row r="157">
      <c r="A157" s="2" t="n"/>
      <c r="B157" s="2" t="n"/>
      <c r="C157" s="2" t="n"/>
      <c r="D157" s="2" t="n"/>
      <c r="E157" s="2" t="n"/>
      <c r="F157" s="2" t="n"/>
      <c r="G157" s="2" t="n"/>
      <c r="H157" s="2" t="n"/>
      <c r="I157" s="2" t="n"/>
      <c r="J157" s="2" t="n"/>
      <c r="K157" s="2" t="n"/>
      <c r="L157" s="2" t="n"/>
      <c r="M157" s="2" t="n"/>
      <c r="N157" s="2" t="n"/>
      <c r="O157" s="2" t="n"/>
      <c r="P157" s="2" t="n"/>
      <c r="Q157" s="2">
        <f>IF(G157="","",TODAY()-G157)</f>
        <v/>
      </c>
    </row>
    <row r="158">
      <c r="A158" s="2" t="n"/>
      <c r="B158" s="2" t="n"/>
      <c r="C158" s="2" t="n"/>
      <c r="D158" s="2" t="n"/>
      <c r="E158" s="2" t="n"/>
      <c r="F158" s="2" t="n"/>
      <c r="G158" s="2" t="n"/>
      <c r="H158" s="2" t="n"/>
      <c r="I158" s="2" t="n"/>
      <c r="J158" s="2" t="n"/>
      <c r="K158" s="2" t="n"/>
      <c r="L158" s="2" t="n"/>
      <c r="M158" s="2" t="n"/>
      <c r="N158" s="2" t="n"/>
      <c r="O158" s="2" t="n"/>
      <c r="P158" s="2" t="n"/>
      <c r="Q158" s="2">
        <f>IF(G158="","",TODAY()-G158)</f>
        <v/>
      </c>
    </row>
    <row r="159">
      <c r="A159" s="2" t="n"/>
      <c r="B159" s="2" t="n"/>
      <c r="C159" s="2" t="n"/>
      <c r="D159" s="2" t="n"/>
      <c r="E159" s="2" t="n"/>
      <c r="F159" s="2" t="n"/>
      <c r="G159" s="2" t="n"/>
      <c r="H159" s="2" t="n"/>
      <c r="I159" s="2" t="n"/>
      <c r="J159" s="2" t="n"/>
      <c r="K159" s="2" t="n"/>
      <c r="L159" s="2" t="n"/>
      <c r="M159" s="2" t="n"/>
      <c r="N159" s="2" t="n"/>
      <c r="O159" s="2" t="n"/>
      <c r="P159" s="2" t="n"/>
      <c r="Q159" s="2">
        <f>IF(G159="","",TODAY()-G159)</f>
        <v/>
      </c>
    </row>
    <row r="160">
      <c r="A160" s="2" t="n"/>
      <c r="B160" s="2" t="n"/>
      <c r="C160" s="2" t="n"/>
      <c r="D160" s="2" t="n"/>
      <c r="E160" s="2" t="n"/>
      <c r="F160" s="2" t="n"/>
      <c r="G160" s="2" t="n"/>
      <c r="H160" s="2" t="n"/>
      <c r="I160" s="2" t="n"/>
      <c r="J160" s="2" t="n"/>
      <c r="K160" s="2" t="n"/>
      <c r="L160" s="2" t="n"/>
      <c r="M160" s="2" t="n"/>
      <c r="N160" s="2" t="n"/>
      <c r="O160" s="2" t="n"/>
      <c r="P160" s="2" t="n"/>
      <c r="Q160" s="2">
        <f>IF(G160="","",TODAY()-G160)</f>
        <v/>
      </c>
    </row>
    <row r="161">
      <c r="A161" s="2" t="n"/>
      <c r="B161" s="2" t="n"/>
      <c r="C161" s="2" t="n"/>
      <c r="D161" s="2" t="n"/>
      <c r="E161" s="2" t="n"/>
      <c r="F161" s="2" t="n"/>
      <c r="G161" s="2" t="n"/>
      <c r="H161" s="2" t="n"/>
      <c r="I161" s="2" t="n"/>
      <c r="J161" s="2" t="n"/>
      <c r="K161" s="2" t="n"/>
      <c r="L161" s="2" t="n"/>
      <c r="M161" s="2" t="n"/>
      <c r="N161" s="2" t="n"/>
      <c r="O161" s="2" t="n"/>
      <c r="P161" s="2" t="n"/>
      <c r="Q161" s="2">
        <f>IF(G161="","",TODAY()-G161)</f>
        <v/>
      </c>
    </row>
    <row r="162">
      <c r="A162" s="2" t="n"/>
      <c r="B162" s="2" t="n"/>
      <c r="C162" s="2" t="n"/>
      <c r="D162" s="2" t="n"/>
      <c r="E162" s="2" t="n"/>
      <c r="F162" s="2" t="n"/>
      <c r="G162" s="2" t="n"/>
      <c r="H162" s="2" t="n"/>
      <c r="I162" s="2" t="n"/>
      <c r="J162" s="2" t="n"/>
      <c r="K162" s="2" t="n"/>
      <c r="L162" s="2" t="n"/>
      <c r="M162" s="2" t="n"/>
      <c r="N162" s="2" t="n"/>
      <c r="O162" s="2" t="n"/>
      <c r="P162" s="2" t="n"/>
      <c r="Q162" s="2">
        <f>IF(G162="","",TODAY()-G162)</f>
        <v/>
      </c>
    </row>
    <row r="163">
      <c r="A163" s="2" t="n"/>
      <c r="B163" s="2" t="n"/>
      <c r="C163" s="2" t="n"/>
      <c r="D163" s="2" t="n"/>
      <c r="E163" s="2" t="n"/>
      <c r="F163" s="2" t="n"/>
      <c r="G163" s="2" t="n"/>
      <c r="H163" s="2" t="n"/>
      <c r="I163" s="2" t="n"/>
      <c r="J163" s="2" t="n"/>
      <c r="K163" s="2" t="n"/>
      <c r="L163" s="2" t="n"/>
      <c r="M163" s="2" t="n"/>
      <c r="N163" s="2" t="n"/>
      <c r="O163" s="2" t="n"/>
      <c r="P163" s="2" t="n"/>
      <c r="Q163" s="2">
        <f>IF(G163="","",TODAY()-G163)</f>
        <v/>
      </c>
    </row>
    <row r="164">
      <c r="A164" s="2" t="n"/>
      <c r="B164" s="2" t="n"/>
      <c r="C164" s="2" t="n"/>
      <c r="D164" s="2" t="n"/>
      <c r="E164" s="2" t="n"/>
      <c r="F164" s="2" t="n"/>
      <c r="G164" s="2" t="n"/>
      <c r="H164" s="2" t="n"/>
      <c r="I164" s="2" t="n"/>
      <c r="J164" s="2" t="n"/>
      <c r="K164" s="2" t="n"/>
      <c r="L164" s="2" t="n"/>
      <c r="M164" s="2" t="n"/>
      <c r="N164" s="2" t="n"/>
      <c r="O164" s="2" t="n"/>
      <c r="P164" s="2" t="n"/>
      <c r="Q164" s="2">
        <f>IF(G164="","",TODAY()-G164)</f>
        <v/>
      </c>
    </row>
    <row r="165">
      <c r="A165" s="2" t="n"/>
      <c r="B165" s="2" t="n"/>
      <c r="C165" s="2" t="n"/>
      <c r="D165" s="2" t="n"/>
      <c r="E165" s="2" t="n"/>
      <c r="F165" s="2" t="n"/>
      <c r="G165" s="2" t="n"/>
      <c r="H165" s="2" t="n"/>
      <c r="I165" s="2" t="n"/>
      <c r="J165" s="2" t="n"/>
      <c r="K165" s="2" t="n"/>
      <c r="L165" s="2" t="n"/>
      <c r="M165" s="2" t="n"/>
      <c r="N165" s="2" t="n"/>
      <c r="O165" s="2" t="n"/>
      <c r="P165" s="2" t="n"/>
      <c r="Q165" s="2">
        <f>IF(G165="","",TODAY()-G165)</f>
        <v/>
      </c>
    </row>
    <row r="166">
      <c r="A166" s="2" t="n"/>
      <c r="B166" s="2" t="n"/>
      <c r="C166" s="2" t="n"/>
      <c r="D166" s="2" t="n"/>
      <c r="E166" s="2" t="n"/>
      <c r="F166" s="2" t="n"/>
      <c r="G166" s="2" t="n"/>
      <c r="H166" s="2" t="n"/>
      <c r="I166" s="2" t="n"/>
      <c r="J166" s="2" t="n"/>
      <c r="K166" s="2" t="n"/>
      <c r="L166" s="2" t="n"/>
      <c r="M166" s="2" t="n"/>
      <c r="N166" s="2" t="n"/>
      <c r="O166" s="2" t="n"/>
      <c r="P166" s="2" t="n"/>
      <c r="Q166" s="2">
        <f>IF(G166="","",TODAY()-G166)</f>
        <v/>
      </c>
    </row>
    <row r="167">
      <c r="A167" s="2" t="n"/>
      <c r="B167" s="2" t="n"/>
      <c r="C167" s="2" t="n"/>
      <c r="D167" s="2" t="n"/>
      <c r="E167" s="2" t="n"/>
      <c r="F167" s="2" t="n"/>
      <c r="G167" s="2" t="n"/>
      <c r="H167" s="2" t="n"/>
      <c r="I167" s="2" t="n"/>
      <c r="J167" s="2" t="n"/>
      <c r="K167" s="2" t="n"/>
      <c r="L167" s="2" t="n"/>
      <c r="M167" s="2" t="n"/>
      <c r="N167" s="2" t="n"/>
      <c r="O167" s="2" t="n"/>
      <c r="P167" s="2" t="n"/>
      <c r="Q167" s="2">
        <f>IF(G167="","",TODAY()-G167)</f>
        <v/>
      </c>
    </row>
    <row r="168">
      <c r="A168" s="2" t="n"/>
      <c r="B168" s="2" t="n"/>
      <c r="C168" s="2" t="n"/>
      <c r="D168" s="2" t="n"/>
      <c r="E168" s="2" t="n"/>
      <c r="F168" s="2" t="n"/>
      <c r="G168" s="2" t="n"/>
      <c r="H168" s="2" t="n"/>
      <c r="I168" s="2" t="n"/>
      <c r="J168" s="2" t="n"/>
      <c r="K168" s="2" t="n"/>
      <c r="L168" s="2" t="n"/>
      <c r="M168" s="2" t="n"/>
      <c r="N168" s="2" t="n"/>
      <c r="O168" s="2" t="n"/>
      <c r="P168" s="2" t="n"/>
      <c r="Q168" s="2">
        <f>IF(G168="","",TODAY()-G168)</f>
        <v/>
      </c>
    </row>
    <row r="169">
      <c r="A169" s="2" t="n"/>
      <c r="B169" s="2" t="n"/>
      <c r="C169" s="2" t="n"/>
      <c r="D169" s="2" t="n"/>
      <c r="E169" s="2" t="n"/>
      <c r="F169" s="2" t="n"/>
      <c r="G169" s="2" t="n"/>
      <c r="H169" s="2" t="n"/>
      <c r="I169" s="2" t="n"/>
      <c r="J169" s="2" t="n"/>
      <c r="K169" s="2" t="n"/>
      <c r="L169" s="2" t="n"/>
      <c r="M169" s="2" t="n"/>
      <c r="N169" s="2" t="n"/>
      <c r="O169" s="2" t="n"/>
      <c r="P169" s="2" t="n"/>
      <c r="Q169" s="2">
        <f>IF(G169="","",TODAY()-G169)</f>
        <v/>
      </c>
    </row>
    <row r="170">
      <c r="A170" s="2" t="n"/>
      <c r="B170" s="2" t="n"/>
      <c r="C170" s="2" t="n"/>
      <c r="D170" s="2" t="n"/>
      <c r="E170" s="2" t="n"/>
      <c r="F170" s="2" t="n"/>
      <c r="G170" s="2" t="n"/>
      <c r="H170" s="2" t="n"/>
      <c r="I170" s="2" t="n"/>
      <c r="J170" s="2" t="n"/>
      <c r="K170" s="2" t="n"/>
      <c r="L170" s="2" t="n"/>
      <c r="M170" s="2" t="n"/>
      <c r="N170" s="2" t="n"/>
      <c r="O170" s="2" t="n"/>
      <c r="P170" s="2" t="n"/>
      <c r="Q170" s="2">
        <f>IF(G170="","",TODAY()-G170)</f>
        <v/>
      </c>
    </row>
    <row r="171">
      <c r="A171" s="2" t="n"/>
      <c r="B171" s="2" t="n"/>
      <c r="C171" s="2" t="n"/>
      <c r="D171" s="2" t="n"/>
      <c r="E171" s="2" t="n"/>
      <c r="F171" s="2" t="n"/>
      <c r="G171" s="2" t="n"/>
      <c r="H171" s="2" t="n"/>
      <c r="I171" s="2" t="n"/>
      <c r="J171" s="2" t="n"/>
      <c r="K171" s="2" t="n"/>
      <c r="L171" s="2" t="n"/>
      <c r="M171" s="2" t="n"/>
      <c r="N171" s="2" t="n"/>
      <c r="O171" s="2" t="n"/>
      <c r="P171" s="2" t="n"/>
      <c r="Q171" s="2">
        <f>IF(G171="","",TODAY()-G171)</f>
        <v/>
      </c>
    </row>
    <row r="172">
      <c r="A172" s="2" t="n"/>
      <c r="B172" s="2" t="n"/>
      <c r="C172" s="2" t="n"/>
      <c r="D172" s="2" t="n"/>
      <c r="E172" s="2" t="n"/>
      <c r="F172" s="2" t="n"/>
      <c r="G172" s="2" t="n"/>
      <c r="H172" s="2" t="n"/>
      <c r="I172" s="2" t="n"/>
      <c r="J172" s="2" t="n"/>
      <c r="K172" s="2" t="n"/>
      <c r="L172" s="2" t="n"/>
      <c r="M172" s="2" t="n"/>
      <c r="N172" s="2" t="n"/>
      <c r="O172" s="2" t="n"/>
      <c r="P172" s="2" t="n"/>
      <c r="Q172" s="2">
        <f>IF(G172="","",TODAY()-G172)</f>
        <v/>
      </c>
    </row>
    <row r="173">
      <c r="A173" s="2" t="n"/>
      <c r="B173" s="2" t="n"/>
      <c r="C173" s="2" t="n"/>
      <c r="D173" s="2" t="n"/>
      <c r="E173" s="2" t="n"/>
      <c r="F173" s="2" t="n"/>
      <c r="G173" s="2" t="n"/>
      <c r="H173" s="2" t="n"/>
      <c r="I173" s="2" t="n"/>
      <c r="J173" s="2" t="n"/>
      <c r="K173" s="2" t="n"/>
      <c r="L173" s="2" t="n"/>
      <c r="M173" s="2" t="n"/>
      <c r="N173" s="2" t="n"/>
      <c r="O173" s="2" t="n"/>
      <c r="P173" s="2" t="n"/>
      <c r="Q173" s="2">
        <f>IF(G173="","",TODAY()-G173)</f>
        <v/>
      </c>
    </row>
    <row r="174">
      <c r="A174" s="2" t="n"/>
      <c r="B174" s="2" t="n"/>
      <c r="C174" s="2" t="n"/>
      <c r="D174" s="2" t="n"/>
      <c r="E174" s="2" t="n"/>
      <c r="F174" s="2" t="n"/>
      <c r="G174" s="2" t="n"/>
      <c r="H174" s="2" t="n"/>
      <c r="I174" s="2" t="n"/>
      <c r="J174" s="2" t="n"/>
      <c r="K174" s="2" t="n"/>
      <c r="L174" s="2" t="n"/>
      <c r="M174" s="2" t="n"/>
      <c r="N174" s="2" t="n"/>
      <c r="O174" s="2" t="n"/>
      <c r="P174" s="2" t="n"/>
      <c r="Q174" s="2">
        <f>IF(G174="","",TODAY()-G174)</f>
        <v/>
      </c>
    </row>
    <row r="175">
      <c r="A175" s="2" t="n"/>
      <c r="B175" s="2" t="n"/>
      <c r="C175" s="2" t="n"/>
      <c r="D175" s="2" t="n"/>
      <c r="E175" s="2" t="n"/>
      <c r="F175" s="2" t="n"/>
      <c r="G175" s="2" t="n"/>
      <c r="H175" s="2" t="n"/>
      <c r="I175" s="2" t="n"/>
      <c r="J175" s="2" t="n"/>
      <c r="K175" s="2" t="n"/>
      <c r="L175" s="2" t="n"/>
      <c r="M175" s="2" t="n"/>
      <c r="N175" s="2" t="n"/>
      <c r="O175" s="2" t="n"/>
      <c r="P175" s="2" t="n"/>
      <c r="Q175" s="2">
        <f>IF(G175="","",TODAY()-G175)</f>
        <v/>
      </c>
    </row>
    <row r="176">
      <c r="A176" s="2" t="n"/>
      <c r="B176" s="2" t="n"/>
      <c r="C176" s="2" t="n"/>
      <c r="D176" s="2" t="n"/>
      <c r="E176" s="2" t="n"/>
      <c r="F176" s="2" t="n"/>
      <c r="G176" s="2" t="n"/>
      <c r="H176" s="2" t="n"/>
      <c r="I176" s="2" t="n"/>
      <c r="J176" s="2" t="n"/>
      <c r="K176" s="2" t="n"/>
      <c r="L176" s="2" t="n"/>
      <c r="M176" s="2" t="n"/>
      <c r="N176" s="2" t="n"/>
      <c r="O176" s="2" t="n"/>
      <c r="P176" s="2" t="n"/>
      <c r="Q176" s="2">
        <f>IF(G176="","",TODAY()-G176)</f>
        <v/>
      </c>
    </row>
    <row r="177">
      <c r="A177" s="2" t="n"/>
      <c r="B177" s="2" t="n"/>
      <c r="C177" s="2" t="n"/>
      <c r="D177" s="2" t="n"/>
      <c r="E177" s="2" t="n"/>
      <c r="F177" s="2" t="n"/>
      <c r="G177" s="2" t="n"/>
      <c r="H177" s="2" t="n"/>
      <c r="I177" s="2" t="n"/>
      <c r="J177" s="2" t="n"/>
      <c r="K177" s="2" t="n"/>
      <c r="L177" s="2" t="n"/>
      <c r="M177" s="2" t="n"/>
      <c r="N177" s="2" t="n"/>
      <c r="O177" s="2" t="n"/>
      <c r="P177" s="2" t="n"/>
      <c r="Q177" s="2">
        <f>IF(G177="","",TODAY()-G177)</f>
        <v/>
      </c>
    </row>
    <row r="178">
      <c r="A178" s="2" t="n"/>
      <c r="B178" s="2" t="n"/>
      <c r="C178" s="2" t="n"/>
      <c r="D178" s="2" t="n"/>
      <c r="E178" s="2" t="n"/>
      <c r="F178" s="2" t="n"/>
      <c r="G178" s="2" t="n"/>
      <c r="H178" s="2" t="n"/>
      <c r="I178" s="2" t="n"/>
      <c r="J178" s="2" t="n"/>
      <c r="K178" s="2" t="n"/>
      <c r="L178" s="2" t="n"/>
      <c r="M178" s="2" t="n"/>
      <c r="N178" s="2" t="n"/>
      <c r="O178" s="2" t="n"/>
      <c r="P178" s="2" t="n"/>
      <c r="Q178" s="2">
        <f>IF(G178="","",TODAY()-G178)</f>
        <v/>
      </c>
    </row>
    <row r="179">
      <c r="A179" s="2" t="n"/>
      <c r="B179" s="2" t="n"/>
      <c r="C179" s="2" t="n"/>
      <c r="D179" s="2" t="n"/>
      <c r="E179" s="2" t="n"/>
      <c r="F179" s="2" t="n"/>
      <c r="G179" s="2" t="n"/>
      <c r="H179" s="2" t="n"/>
      <c r="I179" s="2" t="n"/>
      <c r="J179" s="2" t="n"/>
      <c r="K179" s="2" t="n"/>
      <c r="L179" s="2" t="n"/>
      <c r="M179" s="2" t="n"/>
      <c r="N179" s="2" t="n"/>
      <c r="O179" s="2" t="n"/>
      <c r="P179" s="2" t="n"/>
      <c r="Q179" s="2">
        <f>IF(G179="","",TODAY()-G179)</f>
        <v/>
      </c>
    </row>
    <row r="180">
      <c r="A180" s="2" t="n"/>
      <c r="B180" s="2" t="n"/>
      <c r="C180" s="2" t="n"/>
      <c r="D180" s="2" t="n"/>
      <c r="E180" s="2" t="n"/>
      <c r="F180" s="2" t="n"/>
      <c r="G180" s="2" t="n"/>
      <c r="H180" s="2" t="n"/>
      <c r="I180" s="2" t="n"/>
      <c r="J180" s="2" t="n"/>
      <c r="K180" s="2" t="n"/>
      <c r="L180" s="2" t="n"/>
      <c r="M180" s="2" t="n"/>
      <c r="N180" s="2" t="n"/>
      <c r="O180" s="2" t="n"/>
      <c r="P180" s="2" t="n"/>
      <c r="Q180" s="2">
        <f>IF(G180="","",TODAY()-G180)</f>
        <v/>
      </c>
    </row>
    <row r="181">
      <c r="A181" s="2" t="n"/>
      <c r="B181" s="2" t="n"/>
      <c r="C181" s="2" t="n"/>
      <c r="D181" s="2" t="n"/>
      <c r="E181" s="2" t="n"/>
      <c r="F181" s="2" t="n"/>
      <c r="G181" s="2" t="n"/>
      <c r="H181" s="2" t="n"/>
      <c r="I181" s="2" t="n"/>
      <c r="J181" s="2" t="n"/>
      <c r="K181" s="2" t="n"/>
      <c r="L181" s="2" t="n"/>
      <c r="M181" s="2" t="n"/>
      <c r="N181" s="2" t="n"/>
      <c r="O181" s="2" t="n"/>
      <c r="P181" s="2" t="n"/>
      <c r="Q181" s="2">
        <f>IF(G181="","",TODAY()-G181)</f>
        <v/>
      </c>
    </row>
    <row r="182">
      <c r="A182" s="2" t="n"/>
      <c r="B182" s="2" t="n"/>
      <c r="C182" s="2" t="n"/>
      <c r="D182" s="2" t="n"/>
      <c r="E182" s="2" t="n"/>
      <c r="F182" s="2" t="n"/>
      <c r="G182" s="2" t="n"/>
      <c r="H182" s="2" t="n"/>
      <c r="I182" s="2" t="n"/>
      <c r="J182" s="2" t="n"/>
      <c r="K182" s="2" t="n"/>
      <c r="L182" s="2" t="n"/>
      <c r="M182" s="2" t="n"/>
      <c r="N182" s="2" t="n"/>
      <c r="O182" s="2" t="n"/>
      <c r="P182" s="2" t="n"/>
      <c r="Q182" s="2">
        <f>IF(G182="","",TODAY()-G182)</f>
        <v/>
      </c>
    </row>
    <row r="183">
      <c r="A183" s="2" t="n"/>
      <c r="B183" s="2" t="n"/>
      <c r="C183" s="2" t="n"/>
      <c r="D183" s="2" t="n"/>
      <c r="E183" s="2" t="n"/>
      <c r="F183" s="2" t="n"/>
      <c r="G183" s="2" t="n"/>
      <c r="H183" s="2" t="n"/>
      <c r="I183" s="2" t="n"/>
      <c r="J183" s="2" t="n"/>
      <c r="K183" s="2" t="n"/>
      <c r="L183" s="2" t="n"/>
      <c r="M183" s="2" t="n"/>
      <c r="N183" s="2" t="n"/>
      <c r="O183" s="2" t="n"/>
      <c r="P183" s="2" t="n"/>
      <c r="Q183" s="2">
        <f>IF(G183="","",TODAY()-G183)</f>
        <v/>
      </c>
    </row>
    <row r="184">
      <c r="A184" s="2" t="n"/>
      <c r="B184" s="2" t="n"/>
      <c r="C184" s="2" t="n"/>
      <c r="D184" s="2" t="n"/>
      <c r="E184" s="2" t="n"/>
      <c r="F184" s="2" t="n"/>
      <c r="G184" s="2" t="n"/>
      <c r="H184" s="2" t="n"/>
      <c r="I184" s="2" t="n"/>
      <c r="J184" s="2" t="n"/>
      <c r="K184" s="2" t="n"/>
      <c r="L184" s="2" t="n"/>
      <c r="M184" s="2" t="n"/>
      <c r="N184" s="2" t="n"/>
      <c r="O184" s="2" t="n"/>
      <c r="P184" s="2" t="n"/>
      <c r="Q184" s="2">
        <f>IF(G184="","",TODAY()-G184)</f>
        <v/>
      </c>
    </row>
    <row r="185">
      <c r="A185" s="2" t="n"/>
      <c r="B185" s="2" t="n"/>
      <c r="C185" s="2" t="n"/>
      <c r="D185" s="2" t="n"/>
      <c r="E185" s="2" t="n"/>
      <c r="F185" s="2" t="n"/>
      <c r="G185" s="2" t="n"/>
      <c r="H185" s="2" t="n"/>
      <c r="I185" s="2" t="n"/>
      <c r="J185" s="2" t="n"/>
      <c r="K185" s="2" t="n"/>
      <c r="L185" s="2" t="n"/>
      <c r="M185" s="2" t="n"/>
      <c r="N185" s="2" t="n"/>
      <c r="O185" s="2" t="n"/>
      <c r="P185" s="2" t="n"/>
      <c r="Q185" s="2">
        <f>IF(G185="","",TODAY()-G185)</f>
        <v/>
      </c>
    </row>
    <row r="186">
      <c r="A186" s="2" t="n"/>
      <c r="B186" s="2" t="n"/>
      <c r="C186" s="2" t="n"/>
      <c r="D186" s="2" t="n"/>
      <c r="E186" s="2" t="n"/>
      <c r="F186" s="2" t="n"/>
      <c r="G186" s="2" t="n"/>
      <c r="H186" s="2" t="n"/>
      <c r="I186" s="2" t="n"/>
      <c r="J186" s="2" t="n"/>
      <c r="K186" s="2" t="n"/>
      <c r="L186" s="2" t="n"/>
      <c r="M186" s="2" t="n"/>
      <c r="N186" s="2" t="n"/>
      <c r="O186" s="2" t="n"/>
      <c r="P186" s="2" t="n"/>
      <c r="Q186" s="2">
        <f>IF(G186="","",TODAY()-G186)</f>
        <v/>
      </c>
    </row>
    <row r="187">
      <c r="A187" s="2" t="n"/>
      <c r="B187" s="2" t="n"/>
      <c r="C187" s="2" t="n"/>
      <c r="D187" s="2" t="n"/>
      <c r="E187" s="2" t="n"/>
      <c r="F187" s="2" t="n"/>
      <c r="G187" s="2" t="n"/>
      <c r="H187" s="2" t="n"/>
      <c r="I187" s="2" t="n"/>
      <c r="J187" s="2" t="n"/>
      <c r="K187" s="2" t="n"/>
      <c r="L187" s="2" t="n"/>
      <c r="M187" s="2" t="n"/>
      <c r="N187" s="2" t="n"/>
      <c r="O187" s="2" t="n"/>
      <c r="P187" s="2" t="n"/>
      <c r="Q187" s="2">
        <f>IF(G187="","",TODAY()-G187)</f>
        <v/>
      </c>
    </row>
    <row r="188">
      <c r="A188" s="2" t="n"/>
      <c r="B188" s="2" t="n"/>
      <c r="C188" s="2" t="n"/>
      <c r="D188" s="2" t="n"/>
      <c r="E188" s="2" t="n"/>
      <c r="F188" s="2" t="n"/>
      <c r="G188" s="2" t="n"/>
      <c r="H188" s="2" t="n"/>
      <c r="I188" s="2" t="n"/>
      <c r="J188" s="2" t="n"/>
      <c r="K188" s="2" t="n"/>
      <c r="L188" s="2" t="n"/>
      <c r="M188" s="2" t="n"/>
      <c r="N188" s="2" t="n"/>
      <c r="O188" s="2" t="n"/>
      <c r="P188" s="2" t="n"/>
      <c r="Q188" s="2">
        <f>IF(G188="","",TODAY()-G188)</f>
        <v/>
      </c>
    </row>
    <row r="189">
      <c r="A189" s="2" t="n"/>
      <c r="B189" s="2" t="n"/>
      <c r="C189" s="2" t="n"/>
      <c r="D189" s="2" t="n"/>
      <c r="E189" s="2" t="n"/>
      <c r="F189" s="2" t="n"/>
      <c r="G189" s="2" t="n"/>
      <c r="H189" s="2" t="n"/>
      <c r="I189" s="2" t="n"/>
      <c r="J189" s="2" t="n"/>
      <c r="K189" s="2" t="n"/>
      <c r="L189" s="2" t="n"/>
      <c r="M189" s="2" t="n"/>
      <c r="N189" s="2" t="n"/>
      <c r="O189" s="2" t="n"/>
      <c r="P189" s="2" t="n"/>
      <c r="Q189" s="2">
        <f>IF(G189="","",TODAY()-G189)</f>
        <v/>
      </c>
    </row>
    <row r="190">
      <c r="A190" s="2" t="n"/>
      <c r="B190" s="2" t="n"/>
      <c r="C190" s="2" t="n"/>
      <c r="D190" s="2" t="n"/>
      <c r="E190" s="2" t="n"/>
      <c r="F190" s="2" t="n"/>
      <c r="G190" s="2" t="n"/>
      <c r="H190" s="2" t="n"/>
      <c r="I190" s="2" t="n"/>
      <c r="J190" s="2" t="n"/>
      <c r="K190" s="2" t="n"/>
      <c r="L190" s="2" t="n"/>
      <c r="M190" s="2" t="n"/>
      <c r="N190" s="2" t="n"/>
      <c r="O190" s="2" t="n"/>
      <c r="P190" s="2" t="n"/>
      <c r="Q190" s="2">
        <f>IF(G190="","",TODAY()-G190)</f>
        <v/>
      </c>
    </row>
    <row r="191">
      <c r="A191" s="2" t="n"/>
      <c r="B191" s="2" t="n"/>
      <c r="C191" s="2" t="n"/>
      <c r="D191" s="2" t="n"/>
      <c r="E191" s="2" t="n"/>
      <c r="F191" s="2" t="n"/>
      <c r="G191" s="2" t="n"/>
      <c r="H191" s="2" t="n"/>
      <c r="I191" s="2" t="n"/>
      <c r="J191" s="2" t="n"/>
      <c r="K191" s="2" t="n"/>
      <c r="L191" s="2" t="n"/>
      <c r="M191" s="2" t="n"/>
      <c r="N191" s="2" t="n"/>
      <c r="O191" s="2" t="n"/>
      <c r="P191" s="2" t="n"/>
      <c r="Q191" s="2">
        <f>IF(G191="","",TODAY()-G191)</f>
        <v/>
      </c>
    </row>
    <row r="192">
      <c r="A192" s="2" t="n"/>
      <c r="B192" s="2" t="n"/>
      <c r="C192" s="2" t="n"/>
      <c r="D192" s="2" t="n"/>
      <c r="E192" s="2" t="n"/>
      <c r="F192" s="2" t="n"/>
      <c r="G192" s="2" t="n"/>
      <c r="H192" s="2" t="n"/>
      <c r="I192" s="2" t="n"/>
      <c r="J192" s="2" t="n"/>
      <c r="K192" s="2" t="n"/>
      <c r="L192" s="2" t="n"/>
      <c r="M192" s="2" t="n"/>
      <c r="N192" s="2" t="n"/>
      <c r="O192" s="2" t="n"/>
      <c r="P192" s="2" t="n"/>
      <c r="Q192" s="2">
        <f>IF(G192="","",TODAY()-G192)</f>
        <v/>
      </c>
    </row>
    <row r="193">
      <c r="A193" s="2" t="n"/>
      <c r="B193" s="2" t="n"/>
      <c r="C193" s="2" t="n"/>
      <c r="D193" s="2" t="n"/>
      <c r="E193" s="2" t="n"/>
      <c r="F193" s="2" t="n"/>
      <c r="G193" s="2" t="n"/>
      <c r="H193" s="2" t="n"/>
      <c r="I193" s="2" t="n"/>
      <c r="J193" s="2" t="n"/>
      <c r="K193" s="2" t="n"/>
      <c r="L193" s="2" t="n"/>
      <c r="M193" s="2" t="n"/>
      <c r="N193" s="2" t="n"/>
      <c r="O193" s="2" t="n"/>
      <c r="P193" s="2" t="n"/>
      <c r="Q193" s="2">
        <f>IF(G193="","",TODAY()-G193)</f>
        <v/>
      </c>
    </row>
    <row r="194">
      <c r="A194" s="2" t="n"/>
      <c r="B194" s="2" t="n"/>
      <c r="C194" s="2" t="n"/>
      <c r="D194" s="2" t="n"/>
      <c r="E194" s="2" t="n"/>
      <c r="F194" s="2" t="n"/>
      <c r="G194" s="2" t="n"/>
      <c r="H194" s="2" t="n"/>
      <c r="I194" s="2" t="n"/>
      <c r="J194" s="2" t="n"/>
      <c r="K194" s="2" t="n"/>
      <c r="L194" s="2" t="n"/>
      <c r="M194" s="2" t="n"/>
      <c r="N194" s="2" t="n"/>
      <c r="O194" s="2" t="n"/>
      <c r="P194" s="2" t="n"/>
      <c r="Q194" s="2">
        <f>IF(G194="","",TODAY()-G194)</f>
        <v/>
      </c>
    </row>
    <row r="195">
      <c r="A195" s="2" t="n"/>
      <c r="B195" s="2" t="n"/>
      <c r="C195" s="2" t="n"/>
      <c r="D195" s="2" t="n"/>
      <c r="E195" s="2" t="n"/>
      <c r="F195" s="2" t="n"/>
      <c r="G195" s="2" t="n"/>
      <c r="H195" s="2" t="n"/>
      <c r="I195" s="2" t="n"/>
      <c r="J195" s="2" t="n"/>
      <c r="K195" s="2" t="n"/>
      <c r="L195" s="2" t="n"/>
      <c r="M195" s="2" t="n"/>
      <c r="N195" s="2" t="n"/>
      <c r="O195" s="2" t="n"/>
      <c r="P195" s="2" t="n"/>
      <c r="Q195" s="2">
        <f>IF(G195="","",TODAY()-G195)</f>
        <v/>
      </c>
    </row>
    <row r="196">
      <c r="A196" s="2" t="n"/>
      <c r="B196" s="2" t="n"/>
      <c r="C196" s="2" t="n"/>
      <c r="D196" s="2" t="n"/>
      <c r="E196" s="2" t="n"/>
      <c r="F196" s="2" t="n"/>
      <c r="G196" s="2" t="n"/>
      <c r="H196" s="2" t="n"/>
      <c r="I196" s="2" t="n"/>
      <c r="J196" s="2" t="n"/>
      <c r="K196" s="2" t="n"/>
      <c r="L196" s="2" t="n"/>
      <c r="M196" s="2" t="n"/>
      <c r="N196" s="2" t="n"/>
      <c r="O196" s="2" t="n"/>
      <c r="P196" s="2" t="n"/>
      <c r="Q196" s="2">
        <f>IF(G196="","",TODAY()-G196)</f>
        <v/>
      </c>
    </row>
    <row r="197">
      <c r="A197" s="2" t="n"/>
      <c r="B197" s="2" t="n"/>
      <c r="C197" s="2" t="n"/>
      <c r="D197" s="2" t="n"/>
      <c r="E197" s="2" t="n"/>
      <c r="F197" s="2" t="n"/>
      <c r="G197" s="2" t="n"/>
      <c r="H197" s="2" t="n"/>
      <c r="I197" s="2" t="n"/>
      <c r="J197" s="2" t="n"/>
      <c r="K197" s="2" t="n"/>
      <c r="L197" s="2" t="n"/>
      <c r="M197" s="2" t="n"/>
      <c r="N197" s="2" t="n"/>
      <c r="O197" s="2" t="n"/>
      <c r="P197" s="2" t="n"/>
      <c r="Q197" s="2">
        <f>IF(G197="","",TODAY()-G197)</f>
        <v/>
      </c>
    </row>
    <row r="198">
      <c r="A198" s="2" t="n"/>
      <c r="B198" s="2" t="n"/>
      <c r="C198" s="2" t="n"/>
      <c r="D198" s="2" t="n"/>
      <c r="E198" s="2" t="n"/>
      <c r="F198" s="2" t="n"/>
      <c r="G198" s="2" t="n"/>
      <c r="H198" s="2" t="n"/>
      <c r="I198" s="2" t="n"/>
      <c r="J198" s="2" t="n"/>
      <c r="K198" s="2" t="n"/>
      <c r="L198" s="2" t="n"/>
      <c r="M198" s="2" t="n"/>
      <c r="N198" s="2" t="n"/>
      <c r="O198" s="2" t="n"/>
      <c r="P198" s="2" t="n"/>
      <c r="Q198" s="2">
        <f>IF(G198="","",TODAY()-G198)</f>
        <v/>
      </c>
    </row>
    <row r="199">
      <c r="A199" s="2" t="n"/>
      <c r="B199" s="2" t="n"/>
      <c r="C199" s="2" t="n"/>
      <c r="D199" s="2" t="n"/>
      <c r="E199" s="2" t="n"/>
      <c r="F199" s="2" t="n"/>
      <c r="G199" s="2" t="n"/>
      <c r="H199" s="2" t="n"/>
      <c r="I199" s="2" t="n"/>
      <c r="J199" s="2" t="n"/>
      <c r="K199" s="2" t="n"/>
      <c r="L199" s="2" t="n"/>
      <c r="M199" s="2" t="n"/>
      <c r="N199" s="2" t="n"/>
      <c r="O199" s="2" t="n"/>
      <c r="P199" s="2" t="n"/>
      <c r="Q199" s="2">
        <f>IF(G199="","",TODAY()-G199)</f>
        <v/>
      </c>
    </row>
    <row r="200">
      <c r="A200" s="2" t="n"/>
      <c r="B200" s="2" t="n"/>
      <c r="C200" s="2" t="n"/>
      <c r="D200" s="2" t="n"/>
      <c r="E200" s="2" t="n"/>
      <c r="F200" s="2" t="n"/>
      <c r="G200" s="2" t="n"/>
      <c r="H200" s="2" t="n"/>
      <c r="I200" s="2" t="n"/>
      <c r="J200" s="2" t="n"/>
      <c r="K200" s="2" t="n"/>
      <c r="L200" s="2" t="n"/>
      <c r="M200" s="2" t="n"/>
      <c r="N200" s="2" t="n"/>
      <c r="O200" s="2" t="n"/>
      <c r="P200" s="2" t="n"/>
      <c r="Q200" s="2">
        <f>IF(G200="","",TODAY()-G200)</f>
        <v/>
      </c>
    </row>
    <row r="201">
      <c r="A201" s="2" t="n"/>
      <c r="B201" s="2" t="n"/>
      <c r="C201" s="2" t="n"/>
      <c r="D201" s="2" t="n"/>
      <c r="E201" s="2" t="n"/>
      <c r="F201" s="2" t="n"/>
      <c r="G201" s="2" t="n"/>
      <c r="H201" s="2" t="n"/>
      <c r="I201" s="2" t="n"/>
      <c r="J201" s="2" t="n"/>
      <c r="K201" s="2" t="n"/>
      <c r="L201" s="2" t="n"/>
      <c r="M201" s="2" t="n"/>
      <c r="N201" s="2" t="n"/>
      <c r="O201" s="2" t="n"/>
      <c r="P201" s="2" t="n"/>
      <c r="Q201" s="2">
        <f>IF(G201="","",TODAY()-G201)</f>
        <v/>
      </c>
    </row>
    <row r="202">
      <c r="A202" s="2" t="n"/>
      <c r="B202" s="2" t="n"/>
      <c r="C202" s="2" t="n"/>
      <c r="D202" s="2" t="n"/>
      <c r="E202" s="2" t="n"/>
      <c r="F202" s="2" t="n"/>
      <c r="G202" s="2" t="n"/>
      <c r="H202" s="2" t="n"/>
      <c r="I202" s="2" t="n"/>
      <c r="J202" s="2" t="n"/>
      <c r="K202" s="2" t="n"/>
      <c r="L202" s="2" t="n"/>
      <c r="M202" s="2" t="n"/>
      <c r="N202" s="2" t="n"/>
      <c r="O202" s="2" t="n"/>
      <c r="P202" s="2" t="n"/>
      <c r="Q202" s="2">
        <f>IF(G202="","",TODAY()-G202)</f>
        <v/>
      </c>
    </row>
    <row r="203">
      <c r="A203" s="2" t="n"/>
      <c r="B203" s="2" t="n"/>
      <c r="C203" s="2" t="n"/>
      <c r="D203" s="2" t="n"/>
      <c r="E203" s="2" t="n"/>
      <c r="F203" s="2" t="n"/>
      <c r="G203" s="2" t="n"/>
      <c r="H203" s="2" t="n"/>
      <c r="I203" s="2" t="n"/>
      <c r="J203" s="2" t="n"/>
      <c r="K203" s="2" t="n"/>
      <c r="L203" s="2" t="n"/>
      <c r="M203" s="2" t="n"/>
      <c r="N203" s="2" t="n"/>
      <c r="O203" s="2" t="n"/>
      <c r="P203" s="2" t="n"/>
      <c r="Q203" s="2">
        <f>IF(G203="","",TODAY()-G203)</f>
        <v/>
      </c>
    </row>
    <row r="204">
      <c r="A204" s="2" t="n"/>
      <c r="B204" s="2" t="n"/>
      <c r="C204" s="2" t="n"/>
      <c r="D204" s="2" t="n"/>
      <c r="E204" s="2" t="n"/>
      <c r="F204" s="2" t="n"/>
      <c r="G204" s="2" t="n"/>
      <c r="H204" s="2" t="n"/>
      <c r="I204" s="2" t="n"/>
      <c r="J204" s="2" t="n"/>
      <c r="K204" s="2" t="n"/>
      <c r="L204" s="2" t="n"/>
      <c r="M204" s="2" t="n"/>
      <c r="N204" s="2" t="n"/>
      <c r="O204" s="2" t="n"/>
      <c r="P204" s="2" t="n"/>
      <c r="Q204" s="2">
        <f>IF(G204="","",TODAY()-G204)</f>
        <v/>
      </c>
    </row>
    <row r="205">
      <c r="A205" s="2" t="n"/>
      <c r="B205" s="2" t="n"/>
      <c r="C205" s="2" t="n"/>
      <c r="D205" s="2" t="n"/>
      <c r="E205" s="2" t="n"/>
      <c r="F205" s="2" t="n"/>
      <c r="G205" s="2" t="n"/>
      <c r="H205" s="2" t="n"/>
      <c r="I205" s="2" t="n"/>
      <c r="J205" s="2" t="n"/>
      <c r="K205" s="2" t="n"/>
      <c r="L205" s="2" t="n"/>
      <c r="M205" s="2" t="n"/>
      <c r="N205" s="2" t="n"/>
      <c r="O205" s="2" t="n"/>
      <c r="P205" s="2" t="n"/>
      <c r="Q205" s="2">
        <f>IF(G205="","",TODAY()-G205)</f>
        <v/>
      </c>
    </row>
    <row r="206">
      <c r="A206" s="2" t="n"/>
      <c r="B206" s="2" t="n"/>
      <c r="C206" s="2" t="n"/>
      <c r="D206" s="2" t="n"/>
      <c r="E206" s="2" t="n"/>
      <c r="F206" s="2" t="n"/>
      <c r="G206" s="2" t="n"/>
      <c r="H206" s="2" t="n"/>
      <c r="I206" s="2" t="n"/>
      <c r="J206" s="2" t="n"/>
      <c r="K206" s="2" t="n"/>
      <c r="L206" s="2" t="n"/>
      <c r="M206" s="2" t="n"/>
      <c r="N206" s="2" t="n"/>
      <c r="O206" s="2" t="n"/>
      <c r="P206" s="2" t="n"/>
      <c r="Q206" s="2">
        <f>IF(G206="","",TODAY()-G206)</f>
        <v/>
      </c>
    </row>
    <row r="207">
      <c r="A207" s="2" t="n"/>
      <c r="B207" s="2" t="n"/>
      <c r="C207" s="2" t="n"/>
      <c r="D207" s="2" t="n"/>
      <c r="E207" s="2" t="n"/>
      <c r="F207" s="2" t="n"/>
      <c r="G207" s="2" t="n"/>
      <c r="H207" s="2" t="n"/>
      <c r="I207" s="2" t="n"/>
      <c r="J207" s="2" t="n"/>
      <c r="K207" s="2" t="n"/>
      <c r="L207" s="2" t="n"/>
      <c r="M207" s="2" t="n"/>
      <c r="N207" s="2" t="n"/>
      <c r="O207" s="2" t="n"/>
      <c r="P207" s="2" t="n"/>
      <c r="Q207" s="2">
        <f>IF(G207="","",TODAY()-G207)</f>
        <v/>
      </c>
    </row>
    <row r="208">
      <c r="A208" s="2" t="n"/>
      <c r="B208" s="2" t="n"/>
      <c r="C208" s="2" t="n"/>
      <c r="D208" s="2" t="n"/>
      <c r="E208" s="2" t="n"/>
      <c r="F208" s="2" t="n"/>
      <c r="G208" s="2" t="n"/>
      <c r="H208" s="2" t="n"/>
      <c r="I208" s="2" t="n"/>
      <c r="J208" s="2" t="n"/>
      <c r="K208" s="2" t="n"/>
      <c r="L208" s="2" t="n"/>
      <c r="M208" s="2" t="n"/>
      <c r="N208" s="2" t="n"/>
      <c r="O208" s="2" t="n"/>
      <c r="P208" s="2" t="n"/>
      <c r="Q208" s="2">
        <f>IF(G208="","",TODAY()-G208)</f>
        <v/>
      </c>
    </row>
    <row r="209">
      <c r="A209" s="2" t="n"/>
      <c r="B209" s="2" t="n"/>
      <c r="C209" s="2" t="n"/>
      <c r="D209" s="2" t="n"/>
      <c r="E209" s="2" t="n"/>
      <c r="F209" s="2" t="n"/>
      <c r="G209" s="2" t="n"/>
      <c r="H209" s="2" t="n"/>
      <c r="I209" s="2" t="n"/>
      <c r="J209" s="2" t="n"/>
      <c r="K209" s="2" t="n"/>
      <c r="L209" s="2" t="n"/>
      <c r="M209" s="2" t="n"/>
      <c r="N209" s="2" t="n"/>
      <c r="O209" s="2" t="n"/>
      <c r="P209" s="2" t="n"/>
      <c r="Q209" s="2">
        <f>IF(G209="","",TODAY()-G209)</f>
        <v/>
      </c>
    </row>
    <row r="210">
      <c r="A210" s="2" t="n"/>
      <c r="B210" s="2" t="n"/>
      <c r="C210" s="2" t="n"/>
      <c r="D210" s="2" t="n"/>
      <c r="E210" s="2" t="n"/>
      <c r="F210" s="2" t="n"/>
      <c r="G210" s="2" t="n"/>
      <c r="H210" s="2" t="n"/>
      <c r="I210" s="2" t="n"/>
      <c r="J210" s="2" t="n"/>
      <c r="K210" s="2" t="n"/>
      <c r="L210" s="2" t="n"/>
      <c r="M210" s="2" t="n"/>
      <c r="N210" s="2" t="n"/>
      <c r="O210" s="2" t="n"/>
      <c r="P210" s="2" t="n"/>
      <c r="Q210" s="2">
        <f>IF(G210="","",TODAY()-G210)</f>
        <v/>
      </c>
    </row>
    <row r="211">
      <c r="A211" s="2" t="n"/>
      <c r="B211" s="2" t="n"/>
      <c r="C211" s="2" t="n"/>
      <c r="D211" s="2" t="n"/>
      <c r="E211" s="2" t="n"/>
      <c r="F211" s="2" t="n"/>
      <c r="G211" s="2" t="n"/>
      <c r="H211" s="2" t="n"/>
      <c r="I211" s="2" t="n"/>
      <c r="J211" s="2" t="n"/>
      <c r="K211" s="2" t="n"/>
      <c r="L211" s="2" t="n"/>
      <c r="M211" s="2" t="n"/>
      <c r="N211" s="2" t="n"/>
      <c r="O211" s="2" t="n"/>
      <c r="P211" s="2" t="n"/>
      <c r="Q211" s="2">
        <f>IF(G211="","",TODAY()-G211)</f>
        <v/>
      </c>
    </row>
    <row r="212">
      <c r="A212" s="2" t="n"/>
      <c r="B212" s="2" t="n"/>
      <c r="C212" s="2" t="n"/>
      <c r="D212" s="2" t="n"/>
      <c r="E212" s="2" t="n"/>
      <c r="F212" s="2" t="n"/>
      <c r="G212" s="2" t="n"/>
      <c r="H212" s="2" t="n"/>
      <c r="I212" s="2" t="n"/>
      <c r="J212" s="2" t="n"/>
      <c r="K212" s="2" t="n"/>
      <c r="L212" s="2" t="n"/>
      <c r="M212" s="2" t="n"/>
      <c r="N212" s="2" t="n"/>
      <c r="O212" s="2" t="n"/>
      <c r="P212" s="2" t="n"/>
      <c r="Q212" s="2">
        <f>IF(G212="","",TODAY()-G212)</f>
        <v/>
      </c>
    </row>
    <row r="213">
      <c r="A213" s="2" t="n"/>
      <c r="B213" s="2" t="n"/>
      <c r="C213" s="2" t="n"/>
      <c r="D213" s="2" t="n"/>
      <c r="E213" s="2" t="n"/>
      <c r="F213" s="2" t="n"/>
      <c r="G213" s="2" t="n"/>
      <c r="H213" s="2" t="n"/>
      <c r="I213" s="2" t="n"/>
      <c r="J213" s="2" t="n"/>
      <c r="K213" s="2" t="n"/>
      <c r="L213" s="2" t="n"/>
      <c r="M213" s="2" t="n"/>
      <c r="N213" s="2" t="n"/>
      <c r="O213" s="2" t="n"/>
      <c r="P213" s="2" t="n"/>
      <c r="Q213" s="2">
        <f>IF(G213="","",TODAY()-G213)</f>
        <v/>
      </c>
    </row>
    <row r="214">
      <c r="A214" s="2" t="n"/>
      <c r="B214" s="2" t="n"/>
      <c r="C214" s="2" t="n"/>
      <c r="D214" s="2" t="n"/>
      <c r="E214" s="2" t="n"/>
      <c r="F214" s="2" t="n"/>
      <c r="G214" s="2" t="n"/>
      <c r="H214" s="2" t="n"/>
      <c r="I214" s="2" t="n"/>
      <c r="J214" s="2" t="n"/>
      <c r="K214" s="2" t="n"/>
      <c r="L214" s="2" t="n"/>
      <c r="M214" s="2" t="n"/>
      <c r="N214" s="2" t="n"/>
      <c r="O214" s="2" t="n"/>
      <c r="P214" s="2" t="n"/>
      <c r="Q214" s="2">
        <f>IF(G214="","",TODAY()-G214)</f>
        <v/>
      </c>
    </row>
    <row r="215">
      <c r="A215" s="2" t="n"/>
      <c r="B215" s="2" t="n"/>
      <c r="C215" s="2" t="n"/>
      <c r="D215" s="2" t="n"/>
      <c r="E215" s="2" t="n"/>
      <c r="F215" s="2" t="n"/>
      <c r="G215" s="2" t="n"/>
      <c r="H215" s="2" t="n"/>
      <c r="I215" s="2" t="n"/>
      <c r="J215" s="2" t="n"/>
      <c r="K215" s="2" t="n"/>
      <c r="L215" s="2" t="n"/>
      <c r="M215" s="2" t="n"/>
      <c r="N215" s="2" t="n"/>
      <c r="O215" s="2" t="n"/>
      <c r="P215" s="2" t="n"/>
      <c r="Q215" s="2">
        <f>IF(G215="","",TODAY()-G215)</f>
        <v/>
      </c>
    </row>
    <row r="216">
      <c r="A216" s="2" t="n"/>
      <c r="B216" s="2" t="n"/>
      <c r="C216" s="2" t="n"/>
      <c r="D216" s="2" t="n"/>
      <c r="E216" s="2" t="n"/>
      <c r="F216" s="2" t="n"/>
      <c r="G216" s="2" t="n"/>
      <c r="H216" s="2" t="n"/>
      <c r="I216" s="2" t="n"/>
      <c r="J216" s="2" t="n"/>
      <c r="K216" s="2" t="n"/>
      <c r="L216" s="2" t="n"/>
      <c r="M216" s="2" t="n"/>
      <c r="N216" s="2" t="n"/>
      <c r="O216" s="2" t="n"/>
      <c r="P216" s="2" t="n"/>
      <c r="Q216" s="2">
        <f>IF(G216="","",TODAY()-G216)</f>
        <v/>
      </c>
    </row>
    <row r="217">
      <c r="A217" s="2" t="n"/>
      <c r="B217" s="2" t="n"/>
      <c r="C217" s="2" t="n"/>
      <c r="D217" s="2" t="n"/>
      <c r="E217" s="2" t="n"/>
      <c r="F217" s="2" t="n"/>
      <c r="G217" s="2" t="n"/>
      <c r="H217" s="2" t="n"/>
      <c r="I217" s="2" t="n"/>
      <c r="J217" s="2" t="n"/>
      <c r="K217" s="2" t="n"/>
      <c r="L217" s="2" t="n"/>
      <c r="M217" s="2" t="n"/>
      <c r="N217" s="2" t="n"/>
      <c r="O217" s="2" t="n"/>
      <c r="P217" s="2" t="n"/>
      <c r="Q217" s="2">
        <f>IF(G217="","",TODAY()-G217)</f>
        <v/>
      </c>
    </row>
    <row r="218">
      <c r="A218" s="2" t="n"/>
      <c r="B218" s="2" t="n"/>
      <c r="C218" s="2" t="n"/>
      <c r="D218" s="2" t="n"/>
      <c r="E218" s="2" t="n"/>
      <c r="F218" s="2" t="n"/>
      <c r="G218" s="2" t="n"/>
      <c r="H218" s="2" t="n"/>
      <c r="I218" s="2" t="n"/>
      <c r="J218" s="2" t="n"/>
      <c r="K218" s="2" t="n"/>
      <c r="L218" s="2" t="n"/>
      <c r="M218" s="2" t="n"/>
      <c r="N218" s="2" t="n"/>
      <c r="O218" s="2" t="n"/>
      <c r="P218" s="2" t="n"/>
      <c r="Q218" s="2">
        <f>IF(G218="","",TODAY()-G218)</f>
        <v/>
      </c>
    </row>
    <row r="219">
      <c r="A219" s="2" t="n"/>
      <c r="B219" s="2" t="n"/>
      <c r="C219" s="2" t="n"/>
      <c r="D219" s="2" t="n"/>
      <c r="E219" s="2" t="n"/>
      <c r="F219" s="2" t="n"/>
      <c r="G219" s="2" t="n"/>
      <c r="H219" s="2" t="n"/>
      <c r="I219" s="2" t="n"/>
      <c r="J219" s="2" t="n"/>
      <c r="K219" s="2" t="n"/>
      <c r="L219" s="2" t="n"/>
      <c r="M219" s="2" t="n"/>
      <c r="N219" s="2" t="n"/>
      <c r="O219" s="2" t="n"/>
      <c r="P219" s="2" t="n"/>
      <c r="Q219" s="2">
        <f>IF(G219="","",TODAY()-G219)</f>
        <v/>
      </c>
    </row>
    <row r="220">
      <c r="A220" s="2" t="n"/>
      <c r="B220" s="2" t="n"/>
      <c r="C220" s="2" t="n"/>
      <c r="D220" s="2" t="n"/>
      <c r="E220" s="2" t="n"/>
      <c r="F220" s="2" t="n"/>
      <c r="G220" s="2" t="n"/>
      <c r="H220" s="2" t="n"/>
      <c r="I220" s="2" t="n"/>
      <c r="J220" s="2" t="n"/>
      <c r="K220" s="2" t="n"/>
      <c r="L220" s="2" t="n"/>
      <c r="M220" s="2" t="n"/>
      <c r="N220" s="2" t="n"/>
      <c r="O220" s="2" t="n"/>
      <c r="P220" s="2" t="n"/>
      <c r="Q220" s="2">
        <f>IF(G220="","",TODAY()-G220)</f>
        <v/>
      </c>
    </row>
    <row r="221">
      <c r="A221" s="2" t="n"/>
      <c r="B221" s="2" t="n"/>
      <c r="C221" s="2" t="n"/>
      <c r="D221" s="2" t="n"/>
      <c r="E221" s="2" t="n"/>
      <c r="F221" s="2" t="n"/>
      <c r="G221" s="2" t="n"/>
      <c r="H221" s="2" t="n"/>
      <c r="I221" s="2" t="n"/>
      <c r="J221" s="2" t="n"/>
      <c r="K221" s="2" t="n"/>
      <c r="L221" s="2" t="n"/>
      <c r="M221" s="2" t="n"/>
      <c r="N221" s="2" t="n"/>
      <c r="O221" s="2" t="n"/>
      <c r="P221" s="2" t="n"/>
      <c r="Q221" s="2">
        <f>IF(G221="","",TODAY()-G221)</f>
        <v/>
      </c>
    </row>
    <row r="222">
      <c r="A222" s="2" t="n"/>
      <c r="B222" s="2" t="n"/>
      <c r="C222" s="2" t="n"/>
      <c r="D222" s="2" t="n"/>
      <c r="E222" s="2" t="n"/>
      <c r="F222" s="2" t="n"/>
      <c r="G222" s="2" t="n"/>
      <c r="H222" s="2" t="n"/>
      <c r="I222" s="2" t="n"/>
      <c r="J222" s="2" t="n"/>
      <c r="K222" s="2" t="n"/>
      <c r="L222" s="2" t="n"/>
      <c r="M222" s="2" t="n"/>
      <c r="N222" s="2" t="n"/>
      <c r="O222" s="2" t="n"/>
      <c r="P222" s="2" t="n"/>
      <c r="Q222" s="2">
        <f>IF(G222="","",TODAY()-G222)</f>
        <v/>
      </c>
    </row>
    <row r="223">
      <c r="A223" s="2" t="n"/>
      <c r="B223" s="2" t="n"/>
      <c r="C223" s="2" t="n"/>
      <c r="D223" s="2" t="n"/>
      <c r="E223" s="2" t="n"/>
      <c r="F223" s="2" t="n"/>
      <c r="G223" s="2" t="n"/>
      <c r="H223" s="2" t="n"/>
      <c r="I223" s="2" t="n"/>
      <c r="J223" s="2" t="n"/>
      <c r="K223" s="2" t="n"/>
      <c r="L223" s="2" t="n"/>
      <c r="M223" s="2" t="n"/>
      <c r="N223" s="2" t="n"/>
      <c r="O223" s="2" t="n"/>
      <c r="P223" s="2" t="n"/>
      <c r="Q223" s="2">
        <f>IF(G223="","",TODAY()-G223)</f>
        <v/>
      </c>
    </row>
    <row r="224">
      <c r="A224" s="2" t="n"/>
      <c r="B224" s="2" t="n"/>
      <c r="C224" s="2" t="n"/>
      <c r="D224" s="2" t="n"/>
      <c r="E224" s="2" t="n"/>
      <c r="F224" s="2" t="n"/>
      <c r="G224" s="2" t="n"/>
      <c r="H224" s="2" t="n"/>
      <c r="I224" s="2" t="n"/>
      <c r="J224" s="2" t="n"/>
      <c r="K224" s="2" t="n"/>
      <c r="L224" s="2" t="n"/>
      <c r="M224" s="2" t="n"/>
      <c r="N224" s="2" t="n"/>
      <c r="O224" s="2" t="n"/>
      <c r="P224" s="2" t="n"/>
      <c r="Q224" s="2">
        <f>IF(G224="","",TODAY()-G224)</f>
        <v/>
      </c>
    </row>
    <row r="225">
      <c r="A225" s="2" t="n"/>
      <c r="B225" s="2" t="n"/>
      <c r="C225" s="2" t="n"/>
      <c r="D225" s="2" t="n"/>
      <c r="E225" s="2" t="n"/>
      <c r="F225" s="2" t="n"/>
      <c r="G225" s="2" t="n"/>
      <c r="H225" s="2" t="n"/>
      <c r="I225" s="2" t="n"/>
      <c r="J225" s="2" t="n"/>
      <c r="K225" s="2" t="n"/>
      <c r="L225" s="2" t="n"/>
      <c r="M225" s="2" t="n"/>
      <c r="N225" s="2" t="n"/>
      <c r="O225" s="2" t="n"/>
      <c r="P225" s="2" t="n"/>
      <c r="Q225" s="2">
        <f>IF(G225="","",TODAY()-G225)</f>
        <v/>
      </c>
    </row>
    <row r="226">
      <c r="A226" s="2" t="n"/>
      <c r="B226" s="2" t="n"/>
      <c r="C226" s="2" t="n"/>
      <c r="D226" s="2" t="n"/>
      <c r="E226" s="2" t="n"/>
      <c r="F226" s="2" t="n"/>
      <c r="G226" s="2" t="n"/>
      <c r="H226" s="2" t="n"/>
      <c r="I226" s="2" t="n"/>
      <c r="J226" s="2" t="n"/>
      <c r="K226" s="2" t="n"/>
      <c r="L226" s="2" t="n"/>
      <c r="M226" s="2" t="n"/>
      <c r="N226" s="2" t="n"/>
      <c r="O226" s="2" t="n"/>
      <c r="P226" s="2" t="n"/>
      <c r="Q226" s="2">
        <f>IF(G226="","",TODAY()-G226)</f>
        <v/>
      </c>
    </row>
    <row r="227">
      <c r="A227" s="2" t="n"/>
      <c r="B227" s="2" t="n"/>
      <c r="C227" s="2" t="n"/>
      <c r="D227" s="2" t="n"/>
      <c r="E227" s="2" t="n"/>
      <c r="F227" s="2" t="n"/>
      <c r="G227" s="2" t="n"/>
      <c r="H227" s="2" t="n"/>
      <c r="I227" s="2" t="n"/>
      <c r="J227" s="2" t="n"/>
      <c r="K227" s="2" t="n"/>
      <c r="L227" s="2" t="n"/>
      <c r="M227" s="2" t="n"/>
      <c r="N227" s="2" t="n"/>
      <c r="O227" s="2" t="n"/>
      <c r="P227" s="2" t="n"/>
      <c r="Q227" s="2">
        <f>IF(G227="","",TODAY()-G227)</f>
        <v/>
      </c>
    </row>
    <row r="228">
      <c r="A228" s="2" t="n"/>
      <c r="B228" s="2" t="n"/>
      <c r="C228" s="2" t="n"/>
      <c r="D228" s="2" t="n"/>
      <c r="E228" s="2" t="n"/>
      <c r="F228" s="2" t="n"/>
      <c r="G228" s="2" t="n"/>
      <c r="H228" s="2" t="n"/>
      <c r="I228" s="2" t="n"/>
      <c r="J228" s="2" t="n"/>
      <c r="K228" s="2" t="n"/>
      <c r="L228" s="2" t="n"/>
      <c r="M228" s="2" t="n"/>
      <c r="N228" s="2" t="n"/>
      <c r="O228" s="2" t="n"/>
      <c r="P228" s="2" t="n"/>
      <c r="Q228" s="2">
        <f>IF(G228="","",TODAY()-G228)</f>
        <v/>
      </c>
    </row>
    <row r="229">
      <c r="A229" s="2" t="n"/>
      <c r="B229" s="2" t="n"/>
      <c r="C229" s="2" t="n"/>
      <c r="D229" s="2" t="n"/>
      <c r="E229" s="2" t="n"/>
      <c r="F229" s="2" t="n"/>
      <c r="G229" s="2" t="n"/>
      <c r="H229" s="2" t="n"/>
      <c r="I229" s="2" t="n"/>
      <c r="J229" s="2" t="n"/>
      <c r="K229" s="2" t="n"/>
      <c r="L229" s="2" t="n"/>
      <c r="M229" s="2" t="n"/>
      <c r="N229" s="2" t="n"/>
      <c r="O229" s="2" t="n"/>
      <c r="P229" s="2" t="n"/>
      <c r="Q229" s="2">
        <f>IF(G229="","",TODAY()-G229)</f>
        <v/>
      </c>
    </row>
    <row r="230">
      <c r="A230" s="2" t="n"/>
      <c r="B230" s="2" t="n"/>
      <c r="C230" s="2" t="n"/>
      <c r="D230" s="2" t="n"/>
      <c r="E230" s="2" t="n"/>
      <c r="F230" s="2" t="n"/>
      <c r="G230" s="2" t="n"/>
      <c r="H230" s="2" t="n"/>
      <c r="I230" s="2" t="n"/>
      <c r="J230" s="2" t="n"/>
      <c r="K230" s="2" t="n"/>
      <c r="L230" s="2" t="n"/>
      <c r="M230" s="2" t="n"/>
      <c r="N230" s="2" t="n"/>
      <c r="O230" s="2" t="n"/>
      <c r="P230" s="2" t="n"/>
      <c r="Q230" s="2">
        <f>IF(G230="","",TODAY()-G230)</f>
        <v/>
      </c>
    </row>
    <row r="231">
      <c r="A231" s="2" t="n"/>
      <c r="B231" s="2" t="n"/>
      <c r="C231" s="2" t="n"/>
      <c r="D231" s="2" t="n"/>
      <c r="E231" s="2" t="n"/>
      <c r="F231" s="2" t="n"/>
      <c r="G231" s="2" t="n"/>
      <c r="H231" s="2" t="n"/>
      <c r="I231" s="2" t="n"/>
      <c r="J231" s="2" t="n"/>
      <c r="K231" s="2" t="n"/>
      <c r="L231" s="2" t="n"/>
      <c r="M231" s="2" t="n"/>
      <c r="N231" s="2" t="n"/>
      <c r="O231" s="2" t="n"/>
      <c r="P231" s="2" t="n"/>
      <c r="Q231" s="2">
        <f>IF(G231="","",TODAY()-G231)</f>
        <v/>
      </c>
    </row>
    <row r="232">
      <c r="A232" s="2" t="n"/>
      <c r="B232" s="2" t="n"/>
      <c r="C232" s="2" t="n"/>
      <c r="D232" s="2" t="n"/>
      <c r="E232" s="2" t="n"/>
      <c r="F232" s="2" t="n"/>
      <c r="G232" s="2" t="n"/>
      <c r="H232" s="2" t="n"/>
      <c r="I232" s="2" t="n"/>
      <c r="J232" s="2" t="n"/>
      <c r="K232" s="2" t="n"/>
      <c r="L232" s="2" t="n"/>
      <c r="M232" s="2" t="n"/>
      <c r="N232" s="2" t="n"/>
      <c r="O232" s="2" t="n"/>
      <c r="P232" s="2" t="n"/>
      <c r="Q232" s="2">
        <f>IF(G232="","",TODAY()-G232)</f>
        <v/>
      </c>
    </row>
    <row r="233">
      <c r="A233" s="2" t="n"/>
      <c r="B233" s="2" t="n"/>
      <c r="C233" s="2" t="n"/>
      <c r="D233" s="2" t="n"/>
      <c r="E233" s="2" t="n"/>
      <c r="F233" s="2" t="n"/>
      <c r="G233" s="2" t="n"/>
      <c r="H233" s="2" t="n"/>
      <c r="I233" s="2" t="n"/>
      <c r="J233" s="2" t="n"/>
      <c r="K233" s="2" t="n"/>
      <c r="L233" s="2" t="n"/>
      <c r="M233" s="2" t="n"/>
      <c r="N233" s="2" t="n"/>
      <c r="O233" s="2" t="n"/>
      <c r="P233" s="2" t="n"/>
      <c r="Q233" s="2">
        <f>IF(G233="","",TODAY()-G233)</f>
        <v/>
      </c>
    </row>
    <row r="234">
      <c r="A234" s="2" t="n"/>
      <c r="B234" s="2" t="n"/>
      <c r="C234" s="2" t="n"/>
      <c r="D234" s="2" t="n"/>
      <c r="E234" s="2" t="n"/>
      <c r="F234" s="2" t="n"/>
      <c r="G234" s="2" t="n"/>
      <c r="H234" s="2" t="n"/>
      <c r="I234" s="2" t="n"/>
      <c r="J234" s="2" t="n"/>
      <c r="K234" s="2" t="n"/>
      <c r="L234" s="2" t="n"/>
      <c r="M234" s="2" t="n"/>
      <c r="N234" s="2" t="n"/>
      <c r="O234" s="2" t="n"/>
      <c r="P234" s="2" t="n"/>
      <c r="Q234" s="2">
        <f>IF(G234="","",TODAY()-G234)</f>
        <v/>
      </c>
    </row>
    <row r="235">
      <c r="A235" s="2" t="n"/>
      <c r="B235" s="2" t="n"/>
      <c r="C235" s="2" t="n"/>
      <c r="D235" s="2" t="n"/>
      <c r="E235" s="2" t="n"/>
      <c r="F235" s="2" t="n"/>
      <c r="G235" s="2" t="n"/>
      <c r="H235" s="2" t="n"/>
      <c r="I235" s="2" t="n"/>
      <c r="J235" s="2" t="n"/>
      <c r="K235" s="2" t="n"/>
      <c r="L235" s="2" t="n"/>
      <c r="M235" s="2" t="n"/>
      <c r="N235" s="2" t="n"/>
      <c r="O235" s="2" t="n"/>
      <c r="P235" s="2" t="n"/>
      <c r="Q235" s="2">
        <f>IF(G235="","",TODAY()-G235)</f>
        <v/>
      </c>
    </row>
    <row r="236">
      <c r="A236" s="2" t="n"/>
      <c r="B236" s="2" t="n"/>
      <c r="C236" s="2" t="n"/>
      <c r="D236" s="2" t="n"/>
      <c r="E236" s="2" t="n"/>
      <c r="F236" s="2" t="n"/>
      <c r="G236" s="2" t="n"/>
      <c r="H236" s="2" t="n"/>
      <c r="I236" s="2" t="n"/>
      <c r="J236" s="2" t="n"/>
      <c r="K236" s="2" t="n"/>
      <c r="L236" s="2" t="n"/>
      <c r="M236" s="2" t="n"/>
      <c r="N236" s="2" t="n"/>
      <c r="O236" s="2" t="n"/>
      <c r="P236" s="2" t="n"/>
      <c r="Q236" s="2">
        <f>IF(G236="","",TODAY()-G236)</f>
        <v/>
      </c>
    </row>
    <row r="237">
      <c r="A237" s="2" t="n"/>
      <c r="B237" s="2" t="n"/>
      <c r="C237" s="2" t="n"/>
      <c r="D237" s="2" t="n"/>
      <c r="E237" s="2" t="n"/>
      <c r="F237" s="2" t="n"/>
      <c r="G237" s="2" t="n"/>
      <c r="H237" s="2" t="n"/>
      <c r="I237" s="2" t="n"/>
      <c r="J237" s="2" t="n"/>
      <c r="K237" s="2" t="n"/>
      <c r="L237" s="2" t="n"/>
      <c r="M237" s="2" t="n"/>
      <c r="N237" s="2" t="n"/>
      <c r="O237" s="2" t="n"/>
      <c r="P237" s="2" t="n"/>
      <c r="Q237" s="2">
        <f>IF(G237="","",TODAY()-G237)</f>
        <v/>
      </c>
    </row>
    <row r="238">
      <c r="A238" s="2" t="n"/>
      <c r="B238" s="2" t="n"/>
      <c r="C238" s="2" t="n"/>
      <c r="D238" s="2" t="n"/>
      <c r="E238" s="2" t="n"/>
      <c r="F238" s="2" t="n"/>
      <c r="G238" s="2" t="n"/>
      <c r="H238" s="2" t="n"/>
      <c r="I238" s="2" t="n"/>
      <c r="J238" s="2" t="n"/>
      <c r="K238" s="2" t="n"/>
      <c r="L238" s="2" t="n"/>
      <c r="M238" s="2" t="n"/>
      <c r="N238" s="2" t="n"/>
      <c r="O238" s="2" t="n"/>
      <c r="P238" s="2" t="n"/>
      <c r="Q238" s="2">
        <f>IF(G238="","",TODAY()-G238)</f>
        <v/>
      </c>
    </row>
    <row r="239">
      <c r="A239" s="2" t="n"/>
      <c r="B239" s="2" t="n"/>
      <c r="C239" s="2" t="n"/>
      <c r="D239" s="2" t="n"/>
      <c r="E239" s="2" t="n"/>
      <c r="F239" s="2" t="n"/>
      <c r="G239" s="2" t="n"/>
      <c r="H239" s="2" t="n"/>
      <c r="I239" s="2" t="n"/>
      <c r="J239" s="2" t="n"/>
      <c r="K239" s="2" t="n"/>
      <c r="L239" s="2" t="n"/>
      <c r="M239" s="2" t="n"/>
      <c r="N239" s="2" t="n"/>
      <c r="O239" s="2" t="n"/>
      <c r="P239" s="2" t="n"/>
      <c r="Q239" s="2">
        <f>IF(G239="","",TODAY()-G239)</f>
        <v/>
      </c>
    </row>
    <row r="240">
      <c r="A240" s="2" t="n"/>
      <c r="B240" s="2" t="n"/>
      <c r="C240" s="2" t="n"/>
      <c r="D240" s="2" t="n"/>
      <c r="E240" s="2" t="n"/>
      <c r="F240" s="2" t="n"/>
      <c r="G240" s="2" t="n"/>
      <c r="H240" s="2" t="n"/>
      <c r="I240" s="2" t="n"/>
      <c r="J240" s="2" t="n"/>
      <c r="K240" s="2" t="n"/>
      <c r="L240" s="2" t="n"/>
      <c r="M240" s="2" t="n"/>
      <c r="N240" s="2" t="n"/>
      <c r="O240" s="2" t="n"/>
      <c r="P240" s="2" t="n"/>
      <c r="Q240" s="2">
        <f>IF(G240="","",TODAY()-G240)</f>
        <v/>
      </c>
    </row>
    <row r="241">
      <c r="A241" s="2" t="n"/>
      <c r="B241" s="2" t="n"/>
      <c r="C241" s="2" t="n"/>
      <c r="D241" s="2" t="n"/>
      <c r="E241" s="2" t="n"/>
      <c r="F241" s="2" t="n"/>
      <c r="G241" s="2" t="n"/>
      <c r="H241" s="2" t="n"/>
      <c r="I241" s="2" t="n"/>
      <c r="J241" s="2" t="n"/>
      <c r="K241" s="2" t="n"/>
      <c r="L241" s="2" t="n"/>
      <c r="M241" s="2" t="n"/>
      <c r="N241" s="2" t="n"/>
      <c r="O241" s="2" t="n"/>
      <c r="P241" s="2" t="n"/>
      <c r="Q241" s="2">
        <f>IF(G241="","",TODAY()-G241)</f>
        <v/>
      </c>
    </row>
    <row r="242">
      <c r="A242" s="2" t="n"/>
      <c r="B242" s="2" t="n"/>
      <c r="C242" s="2" t="n"/>
      <c r="D242" s="2" t="n"/>
      <c r="E242" s="2" t="n"/>
      <c r="F242" s="2" t="n"/>
      <c r="G242" s="2" t="n"/>
      <c r="H242" s="2" t="n"/>
      <c r="I242" s="2" t="n"/>
      <c r="J242" s="2" t="n"/>
      <c r="K242" s="2" t="n"/>
      <c r="L242" s="2" t="n"/>
      <c r="M242" s="2" t="n"/>
      <c r="N242" s="2" t="n"/>
      <c r="O242" s="2" t="n"/>
      <c r="P242" s="2" t="n"/>
      <c r="Q242" s="2">
        <f>IF(G242="","",TODAY()-G242)</f>
        <v/>
      </c>
    </row>
    <row r="243">
      <c r="A243" s="2" t="n"/>
      <c r="B243" s="2" t="n"/>
      <c r="C243" s="2" t="n"/>
      <c r="D243" s="2" t="n"/>
      <c r="E243" s="2" t="n"/>
      <c r="F243" s="2" t="n"/>
      <c r="G243" s="2" t="n"/>
      <c r="H243" s="2" t="n"/>
      <c r="I243" s="2" t="n"/>
      <c r="J243" s="2" t="n"/>
      <c r="K243" s="2" t="n"/>
      <c r="L243" s="2" t="n"/>
      <c r="M243" s="2" t="n"/>
      <c r="N243" s="2" t="n"/>
      <c r="O243" s="2" t="n"/>
      <c r="P243" s="2" t="n"/>
      <c r="Q243" s="2">
        <f>IF(G243="","",TODAY()-G243)</f>
        <v/>
      </c>
    </row>
    <row r="244">
      <c r="A244" s="2" t="n"/>
      <c r="B244" s="2" t="n"/>
      <c r="C244" s="2" t="n"/>
      <c r="D244" s="2" t="n"/>
      <c r="E244" s="2" t="n"/>
      <c r="F244" s="2" t="n"/>
      <c r="G244" s="2" t="n"/>
      <c r="H244" s="2" t="n"/>
      <c r="I244" s="2" t="n"/>
      <c r="J244" s="2" t="n"/>
      <c r="K244" s="2" t="n"/>
      <c r="L244" s="2" t="n"/>
      <c r="M244" s="2" t="n"/>
      <c r="N244" s="2" t="n"/>
      <c r="O244" s="2" t="n"/>
      <c r="P244" s="2" t="n"/>
      <c r="Q244" s="2">
        <f>IF(G244="","",TODAY()-G244)</f>
        <v/>
      </c>
    </row>
    <row r="245">
      <c r="A245" s="2" t="n"/>
      <c r="B245" s="2" t="n"/>
      <c r="C245" s="2" t="n"/>
      <c r="D245" s="2" t="n"/>
      <c r="E245" s="2" t="n"/>
      <c r="F245" s="2" t="n"/>
      <c r="G245" s="2" t="n"/>
      <c r="H245" s="2" t="n"/>
      <c r="I245" s="2" t="n"/>
      <c r="J245" s="2" t="n"/>
      <c r="K245" s="2" t="n"/>
      <c r="L245" s="2" t="n"/>
      <c r="M245" s="2" t="n"/>
      <c r="N245" s="2" t="n"/>
      <c r="O245" s="2" t="n"/>
      <c r="P245" s="2" t="n"/>
      <c r="Q245" s="2">
        <f>IF(G245="","",TODAY()-G245)</f>
        <v/>
      </c>
    </row>
    <row r="246">
      <c r="A246" s="2" t="n"/>
      <c r="B246" s="2" t="n"/>
      <c r="C246" s="2" t="n"/>
      <c r="D246" s="2" t="n"/>
      <c r="E246" s="2" t="n"/>
      <c r="F246" s="2" t="n"/>
      <c r="G246" s="2" t="n"/>
      <c r="H246" s="2" t="n"/>
      <c r="I246" s="2" t="n"/>
      <c r="J246" s="2" t="n"/>
      <c r="K246" s="2" t="n"/>
      <c r="L246" s="2" t="n"/>
      <c r="M246" s="2" t="n"/>
      <c r="N246" s="2" t="n"/>
      <c r="O246" s="2" t="n"/>
      <c r="P246" s="2" t="n"/>
      <c r="Q246" s="2">
        <f>IF(G246="","",TODAY()-G246)</f>
        <v/>
      </c>
    </row>
    <row r="247">
      <c r="A247" s="2" t="n"/>
      <c r="B247" s="2" t="n"/>
      <c r="C247" s="2" t="n"/>
      <c r="D247" s="2" t="n"/>
      <c r="E247" s="2" t="n"/>
      <c r="F247" s="2" t="n"/>
      <c r="G247" s="2" t="n"/>
      <c r="H247" s="2" t="n"/>
      <c r="I247" s="2" t="n"/>
      <c r="J247" s="2" t="n"/>
      <c r="K247" s="2" t="n"/>
      <c r="L247" s="2" t="n"/>
      <c r="M247" s="2" t="n"/>
      <c r="N247" s="2" t="n"/>
      <c r="O247" s="2" t="n"/>
      <c r="P247" s="2" t="n"/>
      <c r="Q247" s="2">
        <f>IF(G247="","",TODAY()-G247)</f>
        <v/>
      </c>
    </row>
    <row r="248">
      <c r="A248" s="2" t="n"/>
      <c r="B248" s="2" t="n"/>
      <c r="C248" s="2" t="n"/>
      <c r="D248" s="2" t="n"/>
      <c r="E248" s="2" t="n"/>
      <c r="F248" s="2" t="n"/>
      <c r="G248" s="2" t="n"/>
      <c r="H248" s="2" t="n"/>
      <c r="I248" s="2" t="n"/>
      <c r="J248" s="2" t="n"/>
      <c r="K248" s="2" t="n"/>
      <c r="L248" s="2" t="n"/>
      <c r="M248" s="2" t="n"/>
      <c r="N248" s="2" t="n"/>
      <c r="O248" s="2" t="n"/>
      <c r="P248" s="2" t="n"/>
      <c r="Q248" s="2">
        <f>IF(G248="","",TODAY()-G248)</f>
        <v/>
      </c>
    </row>
    <row r="249">
      <c r="A249" s="2" t="n"/>
      <c r="B249" s="2" t="n"/>
      <c r="C249" s="2" t="n"/>
      <c r="D249" s="2" t="n"/>
      <c r="E249" s="2" t="n"/>
      <c r="F249" s="2" t="n"/>
      <c r="G249" s="2" t="n"/>
      <c r="H249" s="2" t="n"/>
      <c r="I249" s="2" t="n"/>
      <c r="J249" s="2" t="n"/>
      <c r="K249" s="2" t="n"/>
      <c r="L249" s="2" t="n"/>
      <c r="M249" s="2" t="n"/>
      <c r="N249" s="2" t="n"/>
      <c r="O249" s="2" t="n"/>
      <c r="P249" s="2" t="n"/>
      <c r="Q249" s="2">
        <f>IF(G249="","",TODAY()-G249)</f>
        <v/>
      </c>
    </row>
    <row r="250">
      <c r="A250" s="2" t="n"/>
      <c r="B250" s="2" t="n"/>
      <c r="C250" s="2" t="n"/>
      <c r="D250" s="2" t="n"/>
      <c r="E250" s="2" t="n"/>
      <c r="F250" s="2" t="n"/>
      <c r="G250" s="2" t="n"/>
      <c r="H250" s="2" t="n"/>
      <c r="I250" s="2" t="n"/>
      <c r="J250" s="2" t="n"/>
      <c r="K250" s="2" t="n"/>
      <c r="L250" s="2" t="n"/>
      <c r="M250" s="2" t="n"/>
      <c r="N250" s="2" t="n"/>
      <c r="O250" s="2" t="n"/>
      <c r="P250" s="2" t="n"/>
      <c r="Q250" s="2">
        <f>IF(G250="","",TODAY()-G250)</f>
        <v/>
      </c>
    </row>
    <row r="251">
      <c r="A251" s="2" t="n"/>
      <c r="B251" s="2" t="n"/>
      <c r="C251" s="2" t="n"/>
      <c r="D251" s="2" t="n"/>
      <c r="E251" s="2" t="n"/>
      <c r="F251" s="2" t="n"/>
      <c r="G251" s="2" t="n"/>
      <c r="H251" s="2" t="n"/>
      <c r="I251" s="2" t="n"/>
      <c r="J251" s="2" t="n"/>
      <c r="K251" s="2" t="n"/>
      <c r="L251" s="2" t="n"/>
      <c r="M251" s="2" t="n"/>
      <c r="N251" s="2" t="n"/>
      <c r="O251" s="2" t="n"/>
      <c r="P251" s="2" t="n"/>
      <c r="Q251" s="2">
        <f>IF(G251="","",TODAY()-G251)</f>
        <v/>
      </c>
    </row>
    <row r="252">
      <c r="A252" s="2" t="n"/>
      <c r="B252" s="2" t="n"/>
      <c r="C252" s="2" t="n"/>
      <c r="D252" s="2" t="n"/>
      <c r="E252" s="2" t="n"/>
      <c r="F252" s="2" t="n"/>
      <c r="G252" s="2" t="n"/>
      <c r="H252" s="2" t="n"/>
      <c r="I252" s="2" t="n"/>
      <c r="J252" s="2" t="n"/>
      <c r="K252" s="2" t="n"/>
      <c r="L252" s="2" t="n"/>
      <c r="M252" s="2" t="n"/>
      <c r="N252" s="2" t="n"/>
      <c r="O252" s="2" t="n"/>
      <c r="P252" s="2" t="n"/>
      <c r="Q252" s="2">
        <f>IF(G252="","",TODAY()-G252)</f>
        <v/>
      </c>
    </row>
    <row r="253">
      <c r="A253" s="2" t="n"/>
      <c r="B253" s="2" t="n"/>
      <c r="C253" s="2" t="n"/>
      <c r="D253" s="2" t="n"/>
      <c r="E253" s="2" t="n"/>
      <c r="F253" s="2" t="n"/>
      <c r="G253" s="2" t="n"/>
      <c r="H253" s="2" t="n"/>
      <c r="I253" s="2" t="n"/>
      <c r="J253" s="2" t="n"/>
      <c r="K253" s="2" t="n"/>
      <c r="L253" s="2" t="n"/>
      <c r="M253" s="2" t="n"/>
      <c r="N253" s="2" t="n"/>
      <c r="O253" s="2" t="n"/>
      <c r="P253" s="2" t="n"/>
      <c r="Q253" s="2">
        <f>IF(G253="","",TODAY()-G253)</f>
        <v/>
      </c>
    </row>
    <row r="254">
      <c r="A254" s="2" t="n"/>
      <c r="B254" s="2" t="n"/>
      <c r="C254" s="2" t="n"/>
      <c r="D254" s="2" t="n"/>
      <c r="E254" s="2" t="n"/>
      <c r="F254" s="2" t="n"/>
      <c r="G254" s="2" t="n"/>
      <c r="H254" s="2" t="n"/>
      <c r="I254" s="2" t="n"/>
      <c r="J254" s="2" t="n"/>
      <c r="K254" s="2" t="n"/>
      <c r="L254" s="2" t="n"/>
      <c r="M254" s="2" t="n"/>
      <c r="N254" s="2" t="n"/>
      <c r="O254" s="2" t="n"/>
      <c r="P254" s="2" t="n"/>
      <c r="Q254" s="2">
        <f>IF(G254="","",TODAY()-G254)</f>
        <v/>
      </c>
    </row>
    <row r="255">
      <c r="A255" s="2" t="n"/>
      <c r="B255" s="2" t="n"/>
      <c r="C255" s="2" t="n"/>
      <c r="D255" s="2" t="n"/>
      <c r="E255" s="2" t="n"/>
      <c r="F255" s="2" t="n"/>
      <c r="G255" s="2" t="n"/>
      <c r="H255" s="2" t="n"/>
      <c r="I255" s="2" t="n"/>
      <c r="J255" s="2" t="n"/>
      <c r="K255" s="2" t="n"/>
      <c r="L255" s="2" t="n"/>
      <c r="M255" s="2" t="n"/>
      <c r="N255" s="2" t="n"/>
      <c r="O255" s="2" t="n"/>
      <c r="P255" s="2" t="n"/>
      <c r="Q255" s="2">
        <f>IF(G255="","",TODAY()-G255)</f>
        <v/>
      </c>
    </row>
    <row r="256">
      <c r="A256" s="2" t="n"/>
      <c r="B256" s="2" t="n"/>
      <c r="C256" s="2" t="n"/>
      <c r="D256" s="2" t="n"/>
      <c r="E256" s="2" t="n"/>
      <c r="F256" s="2" t="n"/>
      <c r="G256" s="2" t="n"/>
      <c r="H256" s="2" t="n"/>
      <c r="I256" s="2" t="n"/>
      <c r="J256" s="2" t="n"/>
      <c r="K256" s="2" t="n"/>
      <c r="L256" s="2" t="n"/>
      <c r="M256" s="2" t="n"/>
      <c r="N256" s="2" t="n"/>
      <c r="O256" s="2" t="n"/>
      <c r="P256" s="2" t="n"/>
      <c r="Q256" s="2">
        <f>IF(G256="","",TODAY()-G256)</f>
        <v/>
      </c>
    </row>
    <row r="257">
      <c r="A257" s="2" t="n"/>
      <c r="B257" s="2" t="n"/>
      <c r="C257" s="2" t="n"/>
      <c r="D257" s="2" t="n"/>
      <c r="E257" s="2" t="n"/>
      <c r="F257" s="2" t="n"/>
      <c r="G257" s="2" t="n"/>
      <c r="H257" s="2" t="n"/>
      <c r="I257" s="2" t="n"/>
      <c r="J257" s="2" t="n"/>
      <c r="K257" s="2" t="n"/>
      <c r="L257" s="2" t="n"/>
      <c r="M257" s="2" t="n"/>
      <c r="N257" s="2" t="n"/>
      <c r="O257" s="2" t="n"/>
      <c r="P257" s="2" t="n"/>
      <c r="Q257" s="2">
        <f>IF(G257="","",TODAY()-G257)</f>
        <v/>
      </c>
    </row>
    <row r="258">
      <c r="A258" s="2" t="n"/>
      <c r="B258" s="2" t="n"/>
      <c r="C258" s="2" t="n"/>
      <c r="D258" s="2" t="n"/>
      <c r="E258" s="2" t="n"/>
      <c r="F258" s="2" t="n"/>
      <c r="G258" s="2" t="n"/>
      <c r="H258" s="2" t="n"/>
      <c r="I258" s="2" t="n"/>
      <c r="J258" s="2" t="n"/>
      <c r="K258" s="2" t="n"/>
      <c r="L258" s="2" t="n"/>
      <c r="M258" s="2" t="n"/>
      <c r="N258" s="2" t="n"/>
      <c r="O258" s="2" t="n"/>
      <c r="P258" s="2" t="n"/>
      <c r="Q258" s="2">
        <f>IF(G258="","",TODAY()-G258)</f>
        <v/>
      </c>
    </row>
    <row r="259">
      <c r="A259" s="2" t="n"/>
      <c r="B259" s="2" t="n"/>
      <c r="C259" s="2" t="n"/>
      <c r="D259" s="2" t="n"/>
      <c r="E259" s="2" t="n"/>
      <c r="F259" s="2" t="n"/>
      <c r="G259" s="2" t="n"/>
      <c r="H259" s="2" t="n"/>
      <c r="I259" s="2" t="n"/>
      <c r="J259" s="2" t="n"/>
      <c r="K259" s="2" t="n"/>
      <c r="L259" s="2" t="n"/>
      <c r="M259" s="2" t="n"/>
      <c r="N259" s="2" t="n"/>
      <c r="O259" s="2" t="n"/>
      <c r="P259" s="2" t="n"/>
      <c r="Q259" s="2">
        <f>IF(G259="","",TODAY()-G259)</f>
        <v/>
      </c>
    </row>
    <row r="260">
      <c r="A260" s="2" t="n"/>
      <c r="B260" s="2" t="n"/>
      <c r="C260" s="2" t="n"/>
      <c r="D260" s="2" t="n"/>
      <c r="E260" s="2" t="n"/>
      <c r="F260" s="2" t="n"/>
      <c r="G260" s="2" t="n"/>
      <c r="H260" s="2" t="n"/>
      <c r="I260" s="2" t="n"/>
      <c r="J260" s="2" t="n"/>
      <c r="K260" s="2" t="n"/>
      <c r="L260" s="2" t="n"/>
      <c r="M260" s="2" t="n"/>
      <c r="N260" s="2" t="n"/>
      <c r="O260" s="2" t="n"/>
      <c r="P260" s="2" t="n"/>
      <c r="Q260" s="2">
        <f>IF(G260="","",TODAY()-G260)</f>
        <v/>
      </c>
    </row>
    <row r="261">
      <c r="A261" s="2" t="n"/>
      <c r="B261" s="2" t="n"/>
      <c r="C261" s="2" t="n"/>
      <c r="D261" s="2" t="n"/>
      <c r="E261" s="2" t="n"/>
      <c r="F261" s="2" t="n"/>
      <c r="G261" s="2" t="n"/>
      <c r="H261" s="2" t="n"/>
      <c r="I261" s="2" t="n"/>
      <c r="J261" s="2" t="n"/>
      <c r="K261" s="2" t="n"/>
      <c r="L261" s="2" t="n"/>
      <c r="M261" s="2" t="n"/>
      <c r="N261" s="2" t="n"/>
      <c r="O261" s="2" t="n"/>
      <c r="P261" s="2" t="n"/>
      <c r="Q261" s="2">
        <f>IF(G261="","",TODAY()-G261)</f>
        <v/>
      </c>
    </row>
    <row r="262">
      <c r="A262" s="2" t="n"/>
      <c r="B262" s="2" t="n"/>
      <c r="C262" s="2" t="n"/>
      <c r="D262" s="2" t="n"/>
      <c r="E262" s="2" t="n"/>
      <c r="F262" s="2" t="n"/>
      <c r="G262" s="2" t="n"/>
      <c r="H262" s="2" t="n"/>
      <c r="I262" s="2" t="n"/>
      <c r="J262" s="2" t="n"/>
      <c r="K262" s="2" t="n"/>
      <c r="L262" s="2" t="n"/>
      <c r="M262" s="2" t="n"/>
      <c r="N262" s="2" t="n"/>
      <c r="O262" s="2" t="n"/>
      <c r="P262" s="2" t="n"/>
      <c r="Q262" s="2">
        <f>IF(G262="","",TODAY()-G262)</f>
        <v/>
      </c>
    </row>
    <row r="263">
      <c r="A263" s="2" t="n"/>
      <c r="B263" s="2" t="n"/>
      <c r="C263" s="2" t="n"/>
      <c r="D263" s="2" t="n"/>
      <c r="E263" s="2" t="n"/>
      <c r="F263" s="2" t="n"/>
      <c r="G263" s="2" t="n"/>
      <c r="H263" s="2" t="n"/>
      <c r="I263" s="2" t="n"/>
      <c r="J263" s="2" t="n"/>
      <c r="K263" s="2" t="n"/>
      <c r="L263" s="2" t="n"/>
      <c r="M263" s="2" t="n"/>
      <c r="N263" s="2" t="n"/>
      <c r="O263" s="2" t="n"/>
      <c r="P263" s="2" t="n"/>
      <c r="Q263" s="2">
        <f>IF(G263="","",TODAY()-G263)</f>
        <v/>
      </c>
    </row>
    <row r="264">
      <c r="A264" s="2" t="n"/>
      <c r="B264" s="2" t="n"/>
      <c r="C264" s="2" t="n"/>
      <c r="D264" s="2" t="n"/>
      <c r="E264" s="2" t="n"/>
      <c r="F264" s="2" t="n"/>
      <c r="G264" s="2" t="n"/>
      <c r="H264" s="2" t="n"/>
      <c r="I264" s="2" t="n"/>
      <c r="J264" s="2" t="n"/>
      <c r="K264" s="2" t="n"/>
      <c r="L264" s="2" t="n"/>
      <c r="M264" s="2" t="n"/>
      <c r="N264" s="2" t="n"/>
      <c r="O264" s="2" t="n"/>
      <c r="P264" s="2" t="n"/>
      <c r="Q264" s="2">
        <f>IF(G264="","",TODAY()-G264)</f>
        <v/>
      </c>
    </row>
    <row r="265">
      <c r="A265" s="2" t="n"/>
      <c r="B265" s="2" t="n"/>
      <c r="C265" s="2" t="n"/>
      <c r="D265" s="2" t="n"/>
      <c r="E265" s="2" t="n"/>
      <c r="F265" s="2" t="n"/>
      <c r="G265" s="2" t="n"/>
      <c r="H265" s="2" t="n"/>
      <c r="I265" s="2" t="n"/>
      <c r="J265" s="2" t="n"/>
      <c r="K265" s="2" t="n"/>
      <c r="L265" s="2" t="n"/>
      <c r="M265" s="2" t="n"/>
      <c r="N265" s="2" t="n"/>
      <c r="O265" s="2" t="n"/>
      <c r="P265" s="2" t="n"/>
      <c r="Q265" s="2">
        <f>IF(G265="","",TODAY()-G265)</f>
        <v/>
      </c>
    </row>
    <row r="266">
      <c r="A266" s="2" t="n"/>
      <c r="B266" s="2" t="n"/>
      <c r="C266" s="2" t="n"/>
      <c r="D266" s="2" t="n"/>
      <c r="E266" s="2" t="n"/>
      <c r="F266" s="2" t="n"/>
      <c r="G266" s="2" t="n"/>
      <c r="H266" s="2" t="n"/>
      <c r="I266" s="2" t="n"/>
      <c r="J266" s="2" t="n"/>
      <c r="K266" s="2" t="n"/>
      <c r="L266" s="2" t="n"/>
      <c r="M266" s="2" t="n"/>
      <c r="N266" s="2" t="n"/>
      <c r="O266" s="2" t="n"/>
      <c r="P266" s="2" t="n"/>
      <c r="Q266" s="2">
        <f>IF(G266="","",TODAY()-G266)</f>
        <v/>
      </c>
    </row>
    <row r="267">
      <c r="A267" s="2" t="n"/>
      <c r="B267" s="2" t="n"/>
      <c r="C267" s="2" t="n"/>
      <c r="D267" s="2" t="n"/>
      <c r="E267" s="2" t="n"/>
      <c r="F267" s="2" t="n"/>
      <c r="G267" s="2" t="n"/>
      <c r="H267" s="2" t="n"/>
      <c r="I267" s="2" t="n"/>
      <c r="J267" s="2" t="n"/>
      <c r="K267" s="2" t="n"/>
      <c r="L267" s="2" t="n"/>
      <c r="M267" s="2" t="n"/>
      <c r="N267" s="2" t="n"/>
      <c r="O267" s="2" t="n"/>
      <c r="P267" s="2" t="n"/>
      <c r="Q267" s="2">
        <f>IF(G267="","",TODAY()-G267)</f>
        <v/>
      </c>
    </row>
    <row r="268">
      <c r="A268" s="2" t="n"/>
      <c r="B268" s="2" t="n"/>
      <c r="C268" s="2" t="n"/>
      <c r="D268" s="2" t="n"/>
      <c r="E268" s="2" t="n"/>
      <c r="F268" s="2" t="n"/>
      <c r="G268" s="2" t="n"/>
      <c r="H268" s="2" t="n"/>
      <c r="I268" s="2" t="n"/>
      <c r="J268" s="2" t="n"/>
      <c r="K268" s="2" t="n"/>
      <c r="L268" s="2" t="n"/>
      <c r="M268" s="2" t="n"/>
      <c r="N268" s="2" t="n"/>
      <c r="O268" s="2" t="n"/>
      <c r="P268" s="2" t="n"/>
      <c r="Q268" s="2">
        <f>IF(G268="","",TODAY()-G268)</f>
        <v/>
      </c>
    </row>
    <row r="269">
      <c r="A269" s="2" t="n"/>
      <c r="B269" s="2" t="n"/>
      <c r="C269" s="2" t="n"/>
      <c r="D269" s="2" t="n"/>
      <c r="E269" s="2" t="n"/>
      <c r="F269" s="2" t="n"/>
      <c r="G269" s="2" t="n"/>
      <c r="H269" s="2" t="n"/>
      <c r="I269" s="2" t="n"/>
      <c r="J269" s="2" t="n"/>
      <c r="K269" s="2" t="n"/>
      <c r="L269" s="2" t="n"/>
      <c r="M269" s="2" t="n"/>
      <c r="N269" s="2" t="n"/>
      <c r="O269" s="2" t="n"/>
      <c r="P269" s="2" t="n"/>
      <c r="Q269" s="2">
        <f>IF(G269="","",TODAY()-G269)</f>
        <v/>
      </c>
    </row>
    <row r="270">
      <c r="A270" s="2" t="n"/>
      <c r="B270" s="2" t="n"/>
      <c r="C270" s="2" t="n"/>
      <c r="D270" s="2" t="n"/>
      <c r="E270" s="2" t="n"/>
      <c r="F270" s="2" t="n"/>
      <c r="G270" s="2" t="n"/>
      <c r="H270" s="2" t="n"/>
      <c r="I270" s="2" t="n"/>
      <c r="J270" s="2" t="n"/>
      <c r="K270" s="2" t="n"/>
      <c r="L270" s="2" t="n"/>
      <c r="M270" s="2" t="n"/>
      <c r="N270" s="2" t="n"/>
      <c r="O270" s="2" t="n"/>
      <c r="P270" s="2" t="n"/>
      <c r="Q270" s="2">
        <f>IF(G270="","",TODAY()-G270)</f>
        <v/>
      </c>
    </row>
    <row r="271">
      <c r="A271" s="2" t="n"/>
      <c r="B271" s="2" t="n"/>
      <c r="C271" s="2" t="n"/>
      <c r="D271" s="2" t="n"/>
      <c r="E271" s="2" t="n"/>
      <c r="F271" s="2" t="n"/>
      <c r="G271" s="2" t="n"/>
      <c r="H271" s="2" t="n"/>
      <c r="I271" s="2" t="n"/>
      <c r="J271" s="2" t="n"/>
      <c r="K271" s="2" t="n"/>
      <c r="L271" s="2" t="n"/>
      <c r="M271" s="2" t="n"/>
      <c r="N271" s="2" t="n"/>
      <c r="O271" s="2" t="n"/>
      <c r="P271" s="2" t="n"/>
      <c r="Q271" s="2">
        <f>IF(G271="","",TODAY()-G271)</f>
        <v/>
      </c>
    </row>
    <row r="272">
      <c r="A272" s="2" t="n"/>
      <c r="B272" s="2" t="n"/>
      <c r="C272" s="2" t="n"/>
      <c r="D272" s="2" t="n"/>
      <c r="E272" s="2" t="n"/>
      <c r="F272" s="2" t="n"/>
      <c r="G272" s="2" t="n"/>
      <c r="H272" s="2" t="n"/>
      <c r="I272" s="2" t="n"/>
      <c r="J272" s="2" t="n"/>
      <c r="K272" s="2" t="n"/>
      <c r="L272" s="2" t="n"/>
      <c r="M272" s="2" t="n"/>
      <c r="N272" s="2" t="n"/>
      <c r="O272" s="2" t="n"/>
      <c r="P272" s="2" t="n"/>
      <c r="Q272" s="2">
        <f>IF(G272="","",TODAY()-G272)</f>
        <v/>
      </c>
    </row>
    <row r="273">
      <c r="A273" s="2" t="n"/>
      <c r="B273" s="2" t="n"/>
      <c r="C273" s="2" t="n"/>
      <c r="D273" s="2" t="n"/>
      <c r="E273" s="2" t="n"/>
      <c r="F273" s="2" t="n"/>
      <c r="G273" s="2" t="n"/>
      <c r="H273" s="2" t="n"/>
      <c r="I273" s="2" t="n"/>
      <c r="J273" s="2" t="n"/>
      <c r="K273" s="2" t="n"/>
      <c r="L273" s="2" t="n"/>
      <c r="M273" s="2" t="n"/>
      <c r="N273" s="2" t="n"/>
      <c r="O273" s="2" t="n"/>
      <c r="P273" s="2" t="n"/>
      <c r="Q273" s="2">
        <f>IF(G273="","",TODAY()-G273)</f>
        <v/>
      </c>
    </row>
    <row r="274">
      <c r="A274" s="2" t="n"/>
      <c r="B274" s="2" t="n"/>
      <c r="C274" s="2" t="n"/>
      <c r="D274" s="2" t="n"/>
      <c r="E274" s="2" t="n"/>
      <c r="F274" s="2" t="n"/>
      <c r="G274" s="2" t="n"/>
      <c r="H274" s="2" t="n"/>
      <c r="I274" s="2" t="n"/>
      <c r="J274" s="2" t="n"/>
      <c r="K274" s="2" t="n"/>
      <c r="L274" s="2" t="n"/>
      <c r="M274" s="2" t="n"/>
      <c r="N274" s="2" t="n"/>
      <c r="O274" s="2" t="n"/>
      <c r="P274" s="2" t="n"/>
      <c r="Q274" s="2">
        <f>IF(G274="","",TODAY()-G274)</f>
        <v/>
      </c>
    </row>
    <row r="275">
      <c r="A275" s="2" t="n"/>
      <c r="B275" s="2" t="n"/>
      <c r="C275" s="2" t="n"/>
      <c r="D275" s="2" t="n"/>
      <c r="E275" s="2" t="n"/>
      <c r="F275" s="2" t="n"/>
      <c r="G275" s="2" t="n"/>
      <c r="H275" s="2" t="n"/>
      <c r="I275" s="2" t="n"/>
      <c r="J275" s="2" t="n"/>
      <c r="K275" s="2" t="n"/>
      <c r="L275" s="2" t="n"/>
      <c r="M275" s="2" t="n"/>
      <c r="N275" s="2" t="n"/>
      <c r="O275" s="2" t="n"/>
      <c r="P275" s="2" t="n"/>
      <c r="Q275" s="2">
        <f>IF(G275="","",TODAY()-G275)</f>
        <v/>
      </c>
    </row>
    <row r="276">
      <c r="A276" s="2" t="n"/>
      <c r="B276" s="2" t="n"/>
      <c r="C276" s="2" t="n"/>
      <c r="D276" s="2" t="n"/>
      <c r="E276" s="2" t="n"/>
      <c r="F276" s="2" t="n"/>
      <c r="G276" s="2" t="n"/>
      <c r="H276" s="2" t="n"/>
      <c r="I276" s="2" t="n"/>
      <c r="J276" s="2" t="n"/>
      <c r="K276" s="2" t="n"/>
      <c r="L276" s="2" t="n"/>
      <c r="M276" s="2" t="n"/>
      <c r="N276" s="2" t="n"/>
      <c r="O276" s="2" t="n"/>
      <c r="P276" s="2" t="n"/>
      <c r="Q276" s="2">
        <f>IF(G276="","",TODAY()-G276)</f>
        <v/>
      </c>
    </row>
    <row r="277">
      <c r="A277" s="2" t="n"/>
      <c r="B277" s="2" t="n"/>
      <c r="C277" s="2" t="n"/>
      <c r="D277" s="2" t="n"/>
      <c r="E277" s="2" t="n"/>
      <c r="F277" s="2" t="n"/>
      <c r="G277" s="2" t="n"/>
      <c r="H277" s="2" t="n"/>
      <c r="I277" s="2" t="n"/>
      <c r="J277" s="2" t="n"/>
      <c r="K277" s="2" t="n"/>
      <c r="L277" s="2" t="n"/>
      <c r="M277" s="2" t="n"/>
      <c r="N277" s="2" t="n"/>
      <c r="O277" s="2" t="n"/>
      <c r="P277" s="2" t="n"/>
      <c r="Q277" s="2">
        <f>IF(G277="","",TODAY()-G277)</f>
        <v/>
      </c>
    </row>
    <row r="278">
      <c r="A278" s="2" t="n"/>
      <c r="B278" s="2" t="n"/>
      <c r="C278" s="2" t="n"/>
      <c r="D278" s="2" t="n"/>
      <c r="E278" s="2" t="n"/>
      <c r="F278" s="2" t="n"/>
      <c r="G278" s="2" t="n"/>
      <c r="H278" s="2" t="n"/>
      <c r="I278" s="2" t="n"/>
      <c r="J278" s="2" t="n"/>
      <c r="K278" s="2" t="n"/>
      <c r="L278" s="2" t="n"/>
      <c r="M278" s="2" t="n"/>
      <c r="N278" s="2" t="n"/>
      <c r="O278" s="2" t="n"/>
      <c r="P278" s="2" t="n"/>
      <c r="Q278" s="2">
        <f>IF(G278="","",TODAY()-G278)</f>
        <v/>
      </c>
    </row>
    <row r="279">
      <c r="A279" s="2" t="n"/>
      <c r="B279" s="2" t="n"/>
      <c r="C279" s="2" t="n"/>
      <c r="D279" s="2" t="n"/>
      <c r="E279" s="2" t="n"/>
      <c r="F279" s="2" t="n"/>
      <c r="G279" s="2" t="n"/>
      <c r="H279" s="2" t="n"/>
      <c r="I279" s="2" t="n"/>
      <c r="J279" s="2" t="n"/>
      <c r="K279" s="2" t="n"/>
      <c r="L279" s="2" t="n"/>
      <c r="M279" s="2" t="n"/>
      <c r="N279" s="2" t="n"/>
      <c r="O279" s="2" t="n"/>
      <c r="P279" s="2" t="n"/>
      <c r="Q279" s="2">
        <f>IF(G279="","",TODAY()-G279)</f>
        <v/>
      </c>
    </row>
    <row r="280">
      <c r="A280" s="2" t="n"/>
      <c r="B280" s="2" t="n"/>
      <c r="C280" s="2" t="n"/>
      <c r="D280" s="2" t="n"/>
      <c r="E280" s="2" t="n"/>
      <c r="F280" s="2" t="n"/>
      <c r="G280" s="2" t="n"/>
      <c r="H280" s="2" t="n"/>
      <c r="I280" s="2" t="n"/>
      <c r="J280" s="2" t="n"/>
      <c r="K280" s="2" t="n"/>
      <c r="L280" s="2" t="n"/>
      <c r="M280" s="2" t="n"/>
      <c r="N280" s="2" t="n"/>
      <c r="O280" s="2" t="n"/>
      <c r="P280" s="2" t="n"/>
      <c r="Q280" s="2">
        <f>IF(G280="","",TODAY()-G280)</f>
        <v/>
      </c>
    </row>
    <row r="281">
      <c r="A281" s="2" t="n"/>
      <c r="B281" s="2" t="n"/>
      <c r="C281" s="2" t="n"/>
      <c r="D281" s="2" t="n"/>
      <c r="E281" s="2" t="n"/>
      <c r="F281" s="2" t="n"/>
      <c r="G281" s="2" t="n"/>
      <c r="H281" s="2" t="n"/>
      <c r="I281" s="2" t="n"/>
      <c r="J281" s="2" t="n"/>
      <c r="K281" s="2" t="n"/>
      <c r="L281" s="2" t="n"/>
      <c r="M281" s="2" t="n"/>
      <c r="N281" s="2" t="n"/>
      <c r="O281" s="2" t="n"/>
      <c r="P281" s="2" t="n"/>
      <c r="Q281" s="2">
        <f>IF(G281="","",TODAY()-G281)</f>
        <v/>
      </c>
    </row>
    <row r="282">
      <c r="A282" s="2" t="n"/>
      <c r="B282" s="2" t="n"/>
      <c r="C282" s="2" t="n"/>
      <c r="D282" s="2" t="n"/>
      <c r="E282" s="2" t="n"/>
      <c r="F282" s="2" t="n"/>
      <c r="G282" s="2" t="n"/>
      <c r="H282" s="2" t="n"/>
      <c r="I282" s="2" t="n"/>
      <c r="J282" s="2" t="n"/>
      <c r="K282" s="2" t="n"/>
      <c r="L282" s="2" t="n"/>
      <c r="M282" s="2" t="n"/>
      <c r="N282" s="2" t="n"/>
      <c r="O282" s="2" t="n"/>
      <c r="P282" s="2" t="n"/>
      <c r="Q282" s="2">
        <f>IF(G282="","",TODAY()-G282)</f>
        <v/>
      </c>
    </row>
    <row r="283">
      <c r="A283" s="2" t="n"/>
      <c r="B283" s="2" t="n"/>
      <c r="C283" s="2" t="n"/>
      <c r="D283" s="2" t="n"/>
      <c r="E283" s="2" t="n"/>
      <c r="F283" s="2" t="n"/>
      <c r="G283" s="2" t="n"/>
      <c r="H283" s="2" t="n"/>
      <c r="I283" s="2" t="n"/>
      <c r="J283" s="2" t="n"/>
      <c r="K283" s="2" t="n"/>
      <c r="L283" s="2" t="n"/>
      <c r="M283" s="2" t="n"/>
      <c r="N283" s="2" t="n"/>
      <c r="O283" s="2" t="n"/>
      <c r="P283" s="2" t="n"/>
      <c r="Q283" s="2">
        <f>IF(G283="","",TODAY()-G283)</f>
        <v/>
      </c>
    </row>
    <row r="284">
      <c r="A284" s="2" t="n"/>
      <c r="B284" s="2" t="n"/>
      <c r="C284" s="2" t="n"/>
      <c r="D284" s="2" t="n"/>
      <c r="E284" s="2" t="n"/>
      <c r="F284" s="2" t="n"/>
      <c r="G284" s="2" t="n"/>
      <c r="H284" s="2" t="n"/>
      <c r="I284" s="2" t="n"/>
      <c r="J284" s="2" t="n"/>
      <c r="K284" s="2" t="n"/>
      <c r="L284" s="2" t="n"/>
      <c r="M284" s="2" t="n"/>
      <c r="N284" s="2" t="n"/>
      <c r="O284" s="2" t="n"/>
      <c r="P284" s="2" t="n"/>
      <c r="Q284" s="2">
        <f>IF(G284="","",TODAY()-G284)</f>
        <v/>
      </c>
    </row>
    <row r="285">
      <c r="A285" s="2" t="n"/>
      <c r="B285" s="2" t="n"/>
      <c r="C285" s="2" t="n"/>
      <c r="D285" s="2" t="n"/>
      <c r="E285" s="2" t="n"/>
      <c r="F285" s="2" t="n"/>
      <c r="G285" s="2" t="n"/>
      <c r="H285" s="2" t="n"/>
      <c r="I285" s="2" t="n"/>
      <c r="J285" s="2" t="n"/>
      <c r="K285" s="2" t="n"/>
      <c r="L285" s="2" t="n"/>
      <c r="M285" s="2" t="n"/>
      <c r="N285" s="2" t="n"/>
      <c r="O285" s="2" t="n"/>
      <c r="P285" s="2" t="n"/>
      <c r="Q285" s="2">
        <f>IF(G285="","",TODAY()-G285)</f>
        <v/>
      </c>
    </row>
    <row r="286">
      <c r="A286" s="2" t="n"/>
      <c r="B286" s="2" t="n"/>
      <c r="C286" s="2" t="n"/>
      <c r="D286" s="2" t="n"/>
      <c r="E286" s="2" t="n"/>
      <c r="F286" s="2" t="n"/>
      <c r="G286" s="2" t="n"/>
      <c r="H286" s="2" t="n"/>
      <c r="I286" s="2" t="n"/>
      <c r="J286" s="2" t="n"/>
      <c r="K286" s="2" t="n"/>
      <c r="L286" s="2" t="n"/>
      <c r="M286" s="2" t="n"/>
      <c r="N286" s="2" t="n"/>
      <c r="O286" s="2" t="n"/>
      <c r="P286" s="2" t="n"/>
      <c r="Q286" s="2">
        <f>IF(G286="","",TODAY()-G286)</f>
        <v/>
      </c>
    </row>
    <row r="287">
      <c r="A287" s="2" t="n"/>
      <c r="B287" s="2" t="n"/>
      <c r="C287" s="2" t="n"/>
      <c r="D287" s="2" t="n"/>
      <c r="E287" s="2" t="n"/>
      <c r="F287" s="2" t="n"/>
      <c r="G287" s="2" t="n"/>
      <c r="H287" s="2" t="n"/>
      <c r="I287" s="2" t="n"/>
      <c r="J287" s="2" t="n"/>
      <c r="K287" s="2" t="n"/>
      <c r="L287" s="2" t="n"/>
      <c r="M287" s="2" t="n"/>
      <c r="N287" s="2" t="n"/>
      <c r="O287" s="2" t="n"/>
      <c r="P287" s="2" t="n"/>
      <c r="Q287" s="2">
        <f>IF(G287="","",TODAY()-G287)</f>
        <v/>
      </c>
    </row>
    <row r="288">
      <c r="A288" s="2" t="n"/>
      <c r="B288" s="2" t="n"/>
      <c r="C288" s="2" t="n"/>
      <c r="D288" s="2" t="n"/>
      <c r="E288" s="2" t="n"/>
      <c r="F288" s="2" t="n"/>
      <c r="G288" s="2" t="n"/>
      <c r="H288" s="2" t="n"/>
      <c r="I288" s="2" t="n"/>
      <c r="J288" s="2" t="n"/>
      <c r="K288" s="2" t="n"/>
      <c r="L288" s="2" t="n"/>
      <c r="M288" s="2" t="n"/>
      <c r="N288" s="2" t="n"/>
      <c r="O288" s="2" t="n"/>
      <c r="P288" s="2" t="n"/>
      <c r="Q288" s="2">
        <f>IF(G288="","",TODAY()-G288)</f>
        <v/>
      </c>
    </row>
    <row r="289">
      <c r="A289" s="2" t="n"/>
      <c r="B289" s="2" t="n"/>
      <c r="C289" s="2" t="n"/>
      <c r="D289" s="2" t="n"/>
      <c r="E289" s="2" t="n"/>
      <c r="F289" s="2" t="n"/>
      <c r="G289" s="2" t="n"/>
      <c r="H289" s="2" t="n"/>
      <c r="I289" s="2" t="n"/>
      <c r="J289" s="2" t="n"/>
      <c r="K289" s="2" t="n"/>
      <c r="L289" s="2" t="n"/>
      <c r="M289" s="2" t="n"/>
      <c r="N289" s="2" t="n"/>
      <c r="O289" s="2" t="n"/>
      <c r="P289" s="2" t="n"/>
      <c r="Q289" s="2">
        <f>IF(G289="","",TODAY()-G289)</f>
        <v/>
      </c>
    </row>
    <row r="290">
      <c r="A290" s="2" t="n"/>
      <c r="B290" s="2" t="n"/>
      <c r="C290" s="2" t="n"/>
      <c r="D290" s="2" t="n"/>
      <c r="E290" s="2" t="n"/>
      <c r="F290" s="2" t="n"/>
      <c r="G290" s="2" t="n"/>
      <c r="H290" s="2" t="n"/>
      <c r="I290" s="2" t="n"/>
      <c r="J290" s="2" t="n"/>
      <c r="K290" s="2" t="n"/>
      <c r="L290" s="2" t="n"/>
      <c r="M290" s="2" t="n"/>
      <c r="N290" s="2" t="n"/>
      <c r="O290" s="2" t="n"/>
      <c r="P290" s="2" t="n"/>
      <c r="Q290" s="2">
        <f>IF(G290="","",TODAY()-G290)</f>
        <v/>
      </c>
    </row>
    <row r="291">
      <c r="A291" s="2" t="n"/>
      <c r="B291" s="2" t="n"/>
      <c r="C291" s="2" t="n"/>
      <c r="D291" s="2" t="n"/>
      <c r="E291" s="2" t="n"/>
      <c r="F291" s="2" t="n"/>
      <c r="G291" s="2" t="n"/>
      <c r="H291" s="2" t="n"/>
      <c r="I291" s="2" t="n"/>
      <c r="J291" s="2" t="n"/>
      <c r="K291" s="2" t="n"/>
      <c r="L291" s="2" t="n"/>
      <c r="M291" s="2" t="n"/>
      <c r="N291" s="2" t="n"/>
      <c r="O291" s="2" t="n"/>
      <c r="P291" s="2" t="n"/>
      <c r="Q291" s="2">
        <f>IF(G291="","",TODAY()-G291)</f>
        <v/>
      </c>
    </row>
    <row r="292">
      <c r="A292" s="2" t="n"/>
      <c r="B292" s="2" t="n"/>
      <c r="C292" s="2" t="n"/>
      <c r="D292" s="2" t="n"/>
      <c r="E292" s="2" t="n"/>
      <c r="F292" s="2" t="n"/>
      <c r="G292" s="2" t="n"/>
      <c r="H292" s="2" t="n"/>
      <c r="I292" s="2" t="n"/>
      <c r="J292" s="2" t="n"/>
      <c r="K292" s="2" t="n"/>
      <c r="L292" s="2" t="n"/>
      <c r="M292" s="2" t="n"/>
      <c r="N292" s="2" t="n"/>
      <c r="O292" s="2" t="n"/>
      <c r="P292" s="2" t="n"/>
      <c r="Q292" s="2">
        <f>IF(G292="","",TODAY()-G292)</f>
        <v/>
      </c>
    </row>
    <row r="293">
      <c r="A293" s="2" t="n"/>
      <c r="B293" s="2" t="n"/>
      <c r="C293" s="2" t="n"/>
      <c r="D293" s="2" t="n"/>
      <c r="E293" s="2" t="n"/>
      <c r="F293" s="2" t="n"/>
      <c r="G293" s="2" t="n"/>
      <c r="H293" s="2" t="n"/>
      <c r="I293" s="2" t="n"/>
      <c r="J293" s="2" t="n"/>
      <c r="K293" s="2" t="n"/>
      <c r="L293" s="2" t="n"/>
      <c r="M293" s="2" t="n"/>
      <c r="N293" s="2" t="n"/>
      <c r="O293" s="2" t="n"/>
      <c r="P293" s="2" t="n"/>
      <c r="Q293" s="2">
        <f>IF(G293="","",TODAY()-G293)</f>
        <v/>
      </c>
    </row>
    <row r="294">
      <c r="A294" s="2" t="n"/>
      <c r="B294" s="2" t="n"/>
      <c r="C294" s="2" t="n"/>
      <c r="D294" s="2" t="n"/>
      <c r="E294" s="2" t="n"/>
      <c r="F294" s="2" t="n"/>
      <c r="G294" s="2" t="n"/>
      <c r="H294" s="2" t="n"/>
      <c r="I294" s="2" t="n"/>
      <c r="J294" s="2" t="n"/>
      <c r="K294" s="2" t="n"/>
      <c r="L294" s="2" t="n"/>
      <c r="M294" s="2" t="n"/>
      <c r="N294" s="2" t="n"/>
      <c r="O294" s="2" t="n"/>
      <c r="P294" s="2" t="n"/>
      <c r="Q294" s="2">
        <f>IF(G294="","",TODAY()-G294)</f>
        <v/>
      </c>
    </row>
    <row r="295">
      <c r="A295" s="2" t="n"/>
      <c r="B295" s="2" t="n"/>
      <c r="C295" s="2" t="n"/>
      <c r="D295" s="2" t="n"/>
      <c r="E295" s="2" t="n"/>
      <c r="F295" s="2" t="n"/>
      <c r="G295" s="2" t="n"/>
      <c r="H295" s="2" t="n"/>
      <c r="I295" s="2" t="n"/>
      <c r="J295" s="2" t="n"/>
      <c r="K295" s="2" t="n"/>
      <c r="L295" s="2" t="n"/>
      <c r="M295" s="2" t="n"/>
      <c r="N295" s="2" t="n"/>
      <c r="O295" s="2" t="n"/>
      <c r="P295" s="2" t="n"/>
      <c r="Q295" s="2">
        <f>IF(G295="","",TODAY()-G295)</f>
        <v/>
      </c>
    </row>
    <row r="296">
      <c r="A296" s="2" t="n"/>
      <c r="B296" s="2" t="n"/>
      <c r="C296" s="2" t="n"/>
      <c r="D296" s="2" t="n"/>
      <c r="E296" s="2" t="n"/>
      <c r="F296" s="2" t="n"/>
      <c r="G296" s="2" t="n"/>
      <c r="H296" s="2" t="n"/>
      <c r="I296" s="2" t="n"/>
      <c r="J296" s="2" t="n"/>
      <c r="K296" s="2" t="n"/>
      <c r="L296" s="2" t="n"/>
      <c r="M296" s="2" t="n"/>
      <c r="N296" s="2" t="n"/>
      <c r="O296" s="2" t="n"/>
      <c r="P296" s="2" t="n"/>
      <c r="Q296" s="2">
        <f>IF(G296="","",TODAY()-G296)</f>
        <v/>
      </c>
    </row>
    <row r="297">
      <c r="A297" s="2" t="n"/>
      <c r="B297" s="2" t="n"/>
      <c r="C297" s="2" t="n"/>
      <c r="D297" s="2" t="n"/>
      <c r="E297" s="2" t="n"/>
      <c r="F297" s="2" t="n"/>
      <c r="G297" s="2" t="n"/>
      <c r="H297" s="2" t="n"/>
      <c r="I297" s="2" t="n"/>
      <c r="J297" s="2" t="n"/>
      <c r="K297" s="2" t="n"/>
      <c r="L297" s="2" t="n"/>
      <c r="M297" s="2" t="n"/>
      <c r="N297" s="2" t="n"/>
      <c r="O297" s="2" t="n"/>
      <c r="P297" s="2" t="n"/>
      <c r="Q297" s="2">
        <f>IF(G297="","",TODAY()-G297)</f>
        <v/>
      </c>
    </row>
    <row r="298">
      <c r="A298" s="2" t="n"/>
      <c r="B298" s="2" t="n"/>
      <c r="C298" s="2" t="n"/>
      <c r="D298" s="2" t="n"/>
      <c r="E298" s="2" t="n"/>
      <c r="F298" s="2" t="n"/>
      <c r="G298" s="2" t="n"/>
      <c r="H298" s="2" t="n"/>
      <c r="I298" s="2" t="n"/>
      <c r="J298" s="2" t="n"/>
      <c r="K298" s="2" t="n"/>
      <c r="L298" s="2" t="n"/>
      <c r="M298" s="2" t="n"/>
      <c r="N298" s="2" t="n"/>
      <c r="O298" s="2" t="n"/>
      <c r="P298" s="2" t="n"/>
      <c r="Q298" s="2">
        <f>IF(G298="","",TODAY()-G298)</f>
        <v/>
      </c>
    </row>
    <row r="299">
      <c r="A299" s="2" t="n"/>
      <c r="B299" s="2" t="n"/>
      <c r="C299" s="2" t="n"/>
      <c r="D299" s="2" t="n"/>
      <c r="E299" s="2" t="n"/>
      <c r="F299" s="2" t="n"/>
      <c r="G299" s="2" t="n"/>
      <c r="H299" s="2" t="n"/>
      <c r="I299" s="2" t="n"/>
      <c r="J299" s="2" t="n"/>
      <c r="K299" s="2" t="n"/>
      <c r="L299" s="2" t="n"/>
      <c r="M299" s="2" t="n"/>
      <c r="N299" s="2" t="n"/>
      <c r="O299" s="2" t="n"/>
      <c r="P299" s="2" t="n"/>
      <c r="Q299" s="2">
        <f>IF(G299="","",TODAY()-G299)</f>
        <v/>
      </c>
    </row>
    <row r="300">
      <c r="A300" s="2" t="n"/>
      <c r="B300" s="2" t="n"/>
      <c r="C300" s="2" t="n"/>
      <c r="D300" s="2" t="n"/>
      <c r="E300" s="2" t="n"/>
      <c r="F300" s="2" t="n"/>
      <c r="G300" s="2" t="n"/>
      <c r="H300" s="2" t="n"/>
      <c r="I300" s="2" t="n"/>
      <c r="J300" s="2" t="n"/>
      <c r="K300" s="2" t="n"/>
      <c r="L300" s="2" t="n"/>
      <c r="M300" s="2" t="n"/>
      <c r="N300" s="2" t="n"/>
      <c r="O300" s="2" t="n"/>
      <c r="P300" s="2" t="n"/>
      <c r="Q300" s="2">
        <f>IF(G300="","",TODAY()-G300)</f>
        <v/>
      </c>
    </row>
    <row r="301">
      <c r="A301" s="2" t="n"/>
      <c r="B301" s="2" t="n"/>
      <c r="C301" s="2" t="n"/>
      <c r="D301" s="2" t="n"/>
      <c r="E301" s="2" t="n"/>
      <c r="F301" s="2" t="n"/>
      <c r="G301" s="2" t="n"/>
      <c r="H301" s="2" t="n"/>
      <c r="I301" s="2" t="n"/>
      <c r="J301" s="2" t="n"/>
      <c r="K301" s="2" t="n"/>
      <c r="L301" s="2" t="n"/>
      <c r="M301" s="2" t="n"/>
      <c r="N301" s="2" t="n"/>
      <c r="O301" s="2" t="n"/>
      <c r="P301" s="2" t="n"/>
      <c r="Q301" s="2">
        <f>IF(G301="","",TODAY()-G301)</f>
        <v/>
      </c>
    </row>
    <row r="302">
      <c r="A302" s="2" t="n"/>
      <c r="B302" s="2" t="n"/>
      <c r="C302" s="2" t="n"/>
      <c r="D302" s="2" t="n"/>
      <c r="E302" s="2" t="n"/>
      <c r="F302" s="2" t="n"/>
      <c r="G302" s="2" t="n"/>
      <c r="H302" s="2" t="n"/>
      <c r="I302" s="2" t="n"/>
      <c r="J302" s="2" t="n"/>
      <c r="K302" s="2" t="n"/>
      <c r="L302" s="2" t="n"/>
      <c r="M302" s="2" t="n"/>
      <c r="N302" s="2" t="n"/>
      <c r="O302" s="2" t="n"/>
      <c r="P302" s="2" t="n"/>
      <c r="Q302" s="2">
        <f>IF(G302="","",TODAY()-G302)</f>
        <v/>
      </c>
    </row>
    <row r="303">
      <c r="A303" s="2" t="n"/>
      <c r="B303" s="2" t="n"/>
      <c r="C303" s="2" t="n"/>
      <c r="D303" s="2" t="n"/>
      <c r="E303" s="2" t="n"/>
      <c r="F303" s="2" t="n"/>
      <c r="G303" s="2" t="n"/>
      <c r="H303" s="2" t="n"/>
      <c r="I303" s="2" t="n"/>
      <c r="J303" s="2" t="n"/>
      <c r="K303" s="2" t="n"/>
      <c r="L303" s="2" t="n"/>
      <c r="M303" s="2" t="n"/>
      <c r="N303" s="2" t="n"/>
      <c r="O303" s="2" t="n"/>
      <c r="P303" s="2" t="n"/>
      <c r="Q303" s="2">
        <f>IF(G303="","",TODAY()-G303)</f>
        <v/>
      </c>
    </row>
    <row r="304">
      <c r="A304" s="2" t="n"/>
      <c r="B304" s="2" t="n"/>
      <c r="C304" s="2" t="n"/>
      <c r="D304" s="2" t="n"/>
      <c r="E304" s="2" t="n"/>
      <c r="F304" s="2" t="n"/>
      <c r="G304" s="2" t="n"/>
      <c r="H304" s="2" t="n"/>
      <c r="I304" s="2" t="n"/>
      <c r="J304" s="2" t="n"/>
      <c r="K304" s="2" t="n"/>
      <c r="L304" s="2" t="n"/>
      <c r="M304" s="2" t="n"/>
      <c r="N304" s="2" t="n"/>
      <c r="O304" s="2" t="n"/>
      <c r="P304" s="2" t="n"/>
      <c r="Q304" s="2">
        <f>IF(G304="","",TODAY()-G304)</f>
        <v/>
      </c>
    </row>
    <row r="305">
      <c r="A305" s="2" t="n"/>
      <c r="B305" s="2" t="n"/>
      <c r="C305" s="2" t="n"/>
      <c r="D305" s="2" t="n"/>
      <c r="E305" s="2" t="n"/>
      <c r="F305" s="2" t="n"/>
      <c r="G305" s="2" t="n"/>
      <c r="H305" s="2" t="n"/>
      <c r="I305" s="2" t="n"/>
      <c r="J305" s="2" t="n"/>
      <c r="K305" s="2" t="n"/>
      <c r="L305" s="2" t="n"/>
      <c r="M305" s="2" t="n"/>
      <c r="N305" s="2" t="n"/>
      <c r="O305" s="2" t="n"/>
      <c r="P305" s="2" t="n"/>
      <c r="Q305" s="2">
        <f>IF(G305="","",TODAY()-G305)</f>
        <v/>
      </c>
    </row>
    <row r="306">
      <c r="A306" s="2" t="n"/>
      <c r="B306" s="2" t="n"/>
      <c r="C306" s="2" t="n"/>
      <c r="D306" s="2" t="n"/>
      <c r="E306" s="2" t="n"/>
      <c r="F306" s="2" t="n"/>
      <c r="G306" s="2" t="n"/>
      <c r="H306" s="2" t="n"/>
      <c r="I306" s="2" t="n"/>
      <c r="J306" s="2" t="n"/>
      <c r="K306" s="2" t="n"/>
      <c r="L306" s="2" t="n"/>
      <c r="M306" s="2" t="n"/>
      <c r="N306" s="2" t="n"/>
      <c r="O306" s="2" t="n"/>
      <c r="P306" s="2" t="n"/>
      <c r="Q306" s="2">
        <f>IF(G306="","",TODAY()-G306)</f>
        <v/>
      </c>
    </row>
    <row r="307">
      <c r="A307" s="2" t="n"/>
      <c r="B307" s="2" t="n"/>
      <c r="C307" s="2" t="n"/>
      <c r="D307" s="2" t="n"/>
      <c r="E307" s="2" t="n"/>
      <c r="F307" s="2" t="n"/>
      <c r="G307" s="2" t="n"/>
      <c r="H307" s="2" t="n"/>
      <c r="I307" s="2" t="n"/>
      <c r="J307" s="2" t="n"/>
      <c r="K307" s="2" t="n"/>
      <c r="L307" s="2" t="n"/>
      <c r="M307" s="2" t="n"/>
      <c r="N307" s="2" t="n"/>
      <c r="O307" s="2" t="n"/>
      <c r="P307" s="2" t="n"/>
      <c r="Q307" s="2">
        <f>IF(G307="","",TODAY()-G307)</f>
        <v/>
      </c>
    </row>
    <row r="308">
      <c r="A308" s="2" t="n"/>
      <c r="B308" s="2" t="n"/>
      <c r="C308" s="2" t="n"/>
      <c r="D308" s="2" t="n"/>
      <c r="E308" s="2" t="n"/>
      <c r="F308" s="2" t="n"/>
      <c r="G308" s="2" t="n"/>
      <c r="H308" s="2" t="n"/>
      <c r="I308" s="2" t="n"/>
      <c r="J308" s="2" t="n"/>
      <c r="K308" s="2" t="n"/>
      <c r="L308" s="2" t="n"/>
      <c r="M308" s="2" t="n"/>
      <c r="N308" s="2" t="n"/>
      <c r="O308" s="2" t="n"/>
      <c r="P308" s="2" t="n"/>
      <c r="Q308" s="2">
        <f>IF(G308="","",TODAY()-G308)</f>
        <v/>
      </c>
    </row>
    <row r="309">
      <c r="A309" s="2" t="n"/>
      <c r="B309" s="2" t="n"/>
      <c r="C309" s="2" t="n"/>
      <c r="D309" s="2" t="n"/>
      <c r="E309" s="2" t="n"/>
      <c r="F309" s="2" t="n"/>
      <c r="G309" s="2" t="n"/>
      <c r="H309" s="2" t="n"/>
      <c r="I309" s="2" t="n"/>
      <c r="J309" s="2" t="n"/>
      <c r="K309" s="2" t="n"/>
      <c r="L309" s="2" t="n"/>
      <c r="M309" s="2" t="n"/>
      <c r="N309" s="2" t="n"/>
      <c r="O309" s="2" t="n"/>
      <c r="P309" s="2" t="n"/>
      <c r="Q309" s="2">
        <f>IF(G309="","",TODAY()-G309)</f>
        <v/>
      </c>
    </row>
    <row r="310">
      <c r="A310" s="2" t="n"/>
      <c r="B310" s="2" t="n"/>
      <c r="C310" s="2" t="n"/>
      <c r="D310" s="2" t="n"/>
      <c r="E310" s="2" t="n"/>
      <c r="F310" s="2" t="n"/>
      <c r="G310" s="2" t="n"/>
      <c r="H310" s="2" t="n"/>
      <c r="I310" s="2" t="n"/>
      <c r="J310" s="2" t="n"/>
      <c r="K310" s="2" t="n"/>
      <c r="L310" s="2" t="n"/>
      <c r="M310" s="2" t="n"/>
      <c r="N310" s="2" t="n"/>
      <c r="O310" s="2" t="n"/>
      <c r="P310" s="2" t="n"/>
      <c r="Q310" s="2">
        <f>IF(G310="","",TODAY()-G310)</f>
        <v/>
      </c>
    </row>
    <row r="311">
      <c r="A311" s="2" t="n"/>
      <c r="B311" s="2" t="n"/>
      <c r="C311" s="2" t="n"/>
      <c r="D311" s="2" t="n"/>
      <c r="E311" s="2" t="n"/>
      <c r="F311" s="2" t="n"/>
      <c r="G311" s="2" t="n"/>
      <c r="H311" s="2" t="n"/>
      <c r="I311" s="2" t="n"/>
      <c r="J311" s="2" t="n"/>
      <c r="K311" s="2" t="n"/>
      <c r="L311" s="2" t="n"/>
      <c r="M311" s="2" t="n"/>
      <c r="N311" s="2" t="n"/>
      <c r="O311" s="2" t="n"/>
      <c r="P311" s="2" t="n"/>
      <c r="Q311" s="2">
        <f>IF(G311="","",TODAY()-G311)</f>
        <v/>
      </c>
    </row>
    <row r="312">
      <c r="A312" s="2" t="n"/>
      <c r="B312" s="2" t="n"/>
      <c r="C312" s="2" t="n"/>
      <c r="D312" s="2" t="n"/>
      <c r="E312" s="2" t="n"/>
      <c r="F312" s="2" t="n"/>
      <c r="G312" s="2" t="n"/>
      <c r="H312" s="2" t="n"/>
      <c r="I312" s="2" t="n"/>
      <c r="J312" s="2" t="n"/>
      <c r="K312" s="2" t="n"/>
      <c r="L312" s="2" t="n"/>
      <c r="M312" s="2" t="n"/>
      <c r="N312" s="2" t="n"/>
      <c r="O312" s="2" t="n"/>
      <c r="P312" s="2" t="n"/>
      <c r="Q312" s="2">
        <f>IF(G312="","",TODAY()-G312)</f>
        <v/>
      </c>
    </row>
    <row r="313">
      <c r="A313" s="2" t="n"/>
      <c r="B313" s="2" t="n"/>
      <c r="C313" s="2" t="n"/>
      <c r="D313" s="2" t="n"/>
      <c r="E313" s="2" t="n"/>
      <c r="F313" s="2" t="n"/>
      <c r="G313" s="2" t="n"/>
      <c r="H313" s="2" t="n"/>
      <c r="I313" s="2" t="n"/>
      <c r="J313" s="2" t="n"/>
      <c r="K313" s="2" t="n"/>
      <c r="L313" s="2" t="n"/>
      <c r="M313" s="2" t="n"/>
      <c r="N313" s="2" t="n"/>
      <c r="O313" s="2" t="n"/>
      <c r="P313" s="2" t="n"/>
      <c r="Q313" s="2">
        <f>IF(G313="","",TODAY()-G313)</f>
        <v/>
      </c>
    </row>
    <row r="314">
      <c r="A314" s="2" t="n"/>
      <c r="B314" s="2" t="n"/>
      <c r="C314" s="2" t="n"/>
      <c r="D314" s="2" t="n"/>
      <c r="E314" s="2" t="n"/>
      <c r="F314" s="2" t="n"/>
      <c r="G314" s="2" t="n"/>
      <c r="H314" s="2" t="n"/>
      <c r="I314" s="2" t="n"/>
      <c r="J314" s="2" t="n"/>
      <c r="K314" s="2" t="n"/>
      <c r="L314" s="2" t="n"/>
      <c r="M314" s="2" t="n"/>
      <c r="N314" s="2" t="n"/>
      <c r="O314" s="2" t="n"/>
      <c r="P314" s="2" t="n"/>
      <c r="Q314" s="2">
        <f>IF(G314="","",TODAY()-G314)</f>
        <v/>
      </c>
    </row>
    <row r="315">
      <c r="A315" s="2" t="n"/>
      <c r="B315" s="2" t="n"/>
      <c r="C315" s="2" t="n"/>
      <c r="D315" s="2" t="n"/>
      <c r="E315" s="2" t="n"/>
      <c r="F315" s="2" t="n"/>
      <c r="G315" s="2" t="n"/>
      <c r="H315" s="2" t="n"/>
      <c r="I315" s="2" t="n"/>
      <c r="J315" s="2" t="n"/>
      <c r="K315" s="2" t="n"/>
      <c r="L315" s="2" t="n"/>
      <c r="M315" s="2" t="n"/>
      <c r="N315" s="2" t="n"/>
      <c r="O315" s="2" t="n"/>
      <c r="P315" s="2" t="n"/>
      <c r="Q315" s="2">
        <f>IF(G315="","",TODAY()-G315)</f>
        <v/>
      </c>
    </row>
    <row r="316">
      <c r="A316" s="2" t="n"/>
      <c r="B316" s="2" t="n"/>
      <c r="C316" s="2" t="n"/>
      <c r="D316" s="2" t="n"/>
      <c r="E316" s="2" t="n"/>
      <c r="F316" s="2" t="n"/>
      <c r="G316" s="2" t="n"/>
      <c r="H316" s="2" t="n"/>
      <c r="I316" s="2" t="n"/>
      <c r="J316" s="2" t="n"/>
      <c r="K316" s="2" t="n"/>
      <c r="L316" s="2" t="n"/>
      <c r="M316" s="2" t="n"/>
      <c r="N316" s="2" t="n"/>
      <c r="O316" s="2" t="n"/>
      <c r="P316" s="2" t="n"/>
      <c r="Q316" s="2">
        <f>IF(G316="","",TODAY()-G316)</f>
        <v/>
      </c>
    </row>
    <row r="317">
      <c r="A317" s="2" t="n"/>
      <c r="B317" s="2" t="n"/>
      <c r="C317" s="2" t="n"/>
      <c r="D317" s="2" t="n"/>
      <c r="E317" s="2" t="n"/>
      <c r="F317" s="2" t="n"/>
      <c r="G317" s="2" t="n"/>
      <c r="H317" s="2" t="n"/>
      <c r="I317" s="2" t="n"/>
      <c r="J317" s="2" t="n"/>
      <c r="K317" s="2" t="n"/>
      <c r="L317" s="2" t="n"/>
      <c r="M317" s="2" t="n"/>
      <c r="N317" s="2" t="n"/>
      <c r="O317" s="2" t="n"/>
      <c r="P317" s="2" t="n"/>
      <c r="Q317" s="2">
        <f>IF(G317="","",TODAY()-G317)</f>
        <v/>
      </c>
    </row>
    <row r="318">
      <c r="A318" s="2" t="n"/>
      <c r="B318" s="2" t="n"/>
      <c r="C318" s="2" t="n"/>
      <c r="D318" s="2" t="n"/>
      <c r="E318" s="2" t="n"/>
      <c r="F318" s="2" t="n"/>
      <c r="G318" s="2" t="n"/>
      <c r="H318" s="2" t="n"/>
      <c r="I318" s="2" t="n"/>
      <c r="J318" s="2" t="n"/>
      <c r="K318" s="2" t="n"/>
      <c r="L318" s="2" t="n"/>
      <c r="M318" s="2" t="n"/>
      <c r="N318" s="2" t="n"/>
      <c r="O318" s="2" t="n"/>
      <c r="P318" s="2" t="n"/>
      <c r="Q318" s="2">
        <f>IF(G318="","",TODAY()-G318)</f>
        <v/>
      </c>
    </row>
    <row r="319">
      <c r="A319" s="2" t="n"/>
      <c r="B319" s="2" t="n"/>
      <c r="C319" s="2" t="n"/>
      <c r="D319" s="2" t="n"/>
      <c r="E319" s="2" t="n"/>
      <c r="F319" s="2" t="n"/>
      <c r="G319" s="2" t="n"/>
      <c r="H319" s="2" t="n"/>
      <c r="I319" s="2" t="n"/>
      <c r="J319" s="2" t="n"/>
      <c r="K319" s="2" t="n"/>
      <c r="L319" s="2" t="n"/>
      <c r="M319" s="2" t="n"/>
      <c r="N319" s="2" t="n"/>
      <c r="O319" s="2" t="n"/>
      <c r="P319" s="2" t="n"/>
      <c r="Q319" s="2">
        <f>IF(G319="","",TODAY()-G319)</f>
        <v/>
      </c>
    </row>
    <row r="320">
      <c r="A320" s="2" t="n"/>
      <c r="B320" s="2" t="n"/>
      <c r="C320" s="2" t="n"/>
      <c r="D320" s="2" t="n"/>
      <c r="E320" s="2" t="n"/>
      <c r="F320" s="2" t="n"/>
      <c r="G320" s="2" t="n"/>
      <c r="H320" s="2" t="n"/>
      <c r="I320" s="2" t="n"/>
      <c r="J320" s="2" t="n"/>
      <c r="K320" s="2" t="n"/>
      <c r="L320" s="2" t="n"/>
      <c r="M320" s="2" t="n"/>
      <c r="N320" s="2" t="n"/>
      <c r="O320" s="2" t="n"/>
      <c r="P320" s="2" t="n"/>
      <c r="Q320" s="2">
        <f>IF(G320="","",TODAY()-G320)</f>
        <v/>
      </c>
    </row>
    <row r="321">
      <c r="A321" s="2" t="n"/>
      <c r="B321" s="2" t="n"/>
      <c r="C321" s="2" t="n"/>
      <c r="D321" s="2" t="n"/>
      <c r="E321" s="2" t="n"/>
      <c r="F321" s="2" t="n"/>
      <c r="G321" s="2" t="n"/>
      <c r="H321" s="2" t="n"/>
      <c r="I321" s="2" t="n"/>
      <c r="J321" s="2" t="n"/>
      <c r="K321" s="2" t="n"/>
      <c r="L321" s="2" t="n"/>
      <c r="M321" s="2" t="n"/>
      <c r="N321" s="2" t="n"/>
      <c r="O321" s="2" t="n"/>
      <c r="P321" s="2" t="n"/>
      <c r="Q321" s="2">
        <f>IF(G321="","",TODAY()-G321)</f>
        <v/>
      </c>
    </row>
    <row r="322">
      <c r="A322" s="2" t="n"/>
      <c r="B322" s="2" t="n"/>
      <c r="C322" s="2" t="n"/>
      <c r="D322" s="2" t="n"/>
      <c r="E322" s="2" t="n"/>
      <c r="F322" s="2" t="n"/>
      <c r="G322" s="2" t="n"/>
      <c r="H322" s="2" t="n"/>
      <c r="I322" s="2" t="n"/>
      <c r="J322" s="2" t="n"/>
      <c r="K322" s="2" t="n"/>
      <c r="L322" s="2" t="n"/>
      <c r="M322" s="2" t="n"/>
      <c r="N322" s="2" t="n"/>
      <c r="O322" s="2" t="n"/>
      <c r="P322" s="2" t="n"/>
      <c r="Q322" s="2">
        <f>IF(G322="","",TODAY()-G322)</f>
        <v/>
      </c>
    </row>
    <row r="323">
      <c r="A323" s="2" t="n"/>
      <c r="B323" s="2" t="n"/>
      <c r="C323" s="2" t="n"/>
      <c r="D323" s="2" t="n"/>
      <c r="E323" s="2" t="n"/>
      <c r="F323" s="2" t="n"/>
      <c r="G323" s="2" t="n"/>
      <c r="H323" s="2" t="n"/>
      <c r="I323" s="2" t="n"/>
      <c r="J323" s="2" t="n"/>
      <c r="K323" s="2" t="n"/>
      <c r="L323" s="2" t="n"/>
      <c r="M323" s="2" t="n"/>
      <c r="N323" s="2" t="n"/>
      <c r="O323" s="2" t="n"/>
      <c r="P323" s="2" t="n"/>
      <c r="Q323" s="2">
        <f>IF(G323="","",TODAY()-G323)</f>
        <v/>
      </c>
    </row>
    <row r="324">
      <c r="A324" s="2" t="n"/>
      <c r="B324" s="2" t="n"/>
      <c r="C324" s="2" t="n"/>
      <c r="D324" s="2" t="n"/>
      <c r="E324" s="2" t="n"/>
      <c r="F324" s="2" t="n"/>
      <c r="G324" s="2" t="n"/>
      <c r="H324" s="2" t="n"/>
      <c r="I324" s="2" t="n"/>
      <c r="J324" s="2" t="n"/>
      <c r="K324" s="2" t="n"/>
      <c r="L324" s="2" t="n"/>
      <c r="M324" s="2" t="n"/>
      <c r="N324" s="2" t="n"/>
      <c r="O324" s="2" t="n"/>
      <c r="P324" s="2" t="n"/>
      <c r="Q324" s="2">
        <f>IF(G324="","",TODAY()-G324)</f>
        <v/>
      </c>
    </row>
    <row r="325">
      <c r="A325" s="2" t="n"/>
      <c r="B325" s="2" t="n"/>
      <c r="C325" s="2" t="n"/>
      <c r="D325" s="2" t="n"/>
      <c r="E325" s="2" t="n"/>
      <c r="F325" s="2" t="n"/>
      <c r="G325" s="2" t="n"/>
      <c r="H325" s="2" t="n"/>
      <c r="I325" s="2" t="n"/>
      <c r="J325" s="2" t="n"/>
      <c r="K325" s="2" t="n"/>
      <c r="L325" s="2" t="n"/>
      <c r="M325" s="2" t="n"/>
      <c r="N325" s="2" t="n"/>
      <c r="O325" s="2" t="n"/>
      <c r="P325" s="2" t="n"/>
      <c r="Q325" s="2">
        <f>IF(G325="","",TODAY()-G325)</f>
        <v/>
      </c>
    </row>
    <row r="326">
      <c r="A326" s="2" t="n"/>
      <c r="B326" s="2" t="n"/>
      <c r="C326" s="2" t="n"/>
      <c r="D326" s="2" t="n"/>
      <c r="E326" s="2" t="n"/>
      <c r="F326" s="2" t="n"/>
      <c r="G326" s="2" t="n"/>
      <c r="H326" s="2" t="n"/>
      <c r="I326" s="2" t="n"/>
      <c r="J326" s="2" t="n"/>
      <c r="K326" s="2" t="n"/>
      <c r="L326" s="2" t="n"/>
      <c r="M326" s="2" t="n"/>
      <c r="N326" s="2" t="n"/>
      <c r="O326" s="2" t="n"/>
      <c r="P326" s="2" t="n"/>
      <c r="Q326" s="2">
        <f>IF(G326="","",TODAY()-G326)</f>
        <v/>
      </c>
    </row>
    <row r="327">
      <c r="A327" s="2" t="n"/>
      <c r="B327" s="2" t="n"/>
      <c r="C327" s="2" t="n"/>
      <c r="D327" s="2" t="n"/>
      <c r="E327" s="2" t="n"/>
      <c r="F327" s="2" t="n"/>
      <c r="G327" s="2" t="n"/>
      <c r="H327" s="2" t="n"/>
      <c r="I327" s="2" t="n"/>
      <c r="J327" s="2" t="n"/>
      <c r="K327" s="2" t="n"/>
      <c r="L327" s="2" t="n"/>
      <c r="M327" s="2" t="n"/>
      <c r="N327" s="2" t="n"/>
      <c r="O327" s="2" t="n"/>
      <c r="P327" s="2" t="n"/>
      <c r="Q327" s="2">
        <f>IF(G327="","",TODAY()-G327)</f>
        <v/>
      </c>
    </row>
    <row r="328">
      <c r="A328" s="2" t="n"/>
      <c r="B328" s="2" t="n"/>
      <c r="C328" s="2" t="n"/>
      <c r="D328" s="2" t="n"/>
      <c r="E328" s="2" t="n"/>
      <c r="F328" s="2" t="n"/>
      <c r="G328" s="2" t="n"/>
      <c r="H328" s="2" t="n"/>
      <c r="I328" s="2" t="n"/>
      <c r="J328" s="2" t="n"/>
      <c r="K328" s="2" t="n"/>
      <c r="L328" s="2" t="n"/>
      <c r="M328" s="2" t="n"/>
      <c r="N328" s="2" t="n"/>
      <c r="O328" s="2" t="n"/>
      <c r="P328" s="2" t="n"/>
      <c r="Q328" s="2">
        <f>IF(G328="","",TODAY()-G328)</f>
        <v/>
      </c>
    </row>
    <row r="329">
      <c r="A329" s="2" t="n"/>
      <c r="B329" s="2" t="n"/>
      <c r="C329" s="2" t="n"/>
      <c r="D329" s="2" t="n"/>
      <c r="E329" s="2" t="n"/>
      <c r="F329" s="2" t="n"/>
      <c r="G329" s="2" t="n"/>
      <c r="H329" s="2" t="n"/>
      <c r="I329" s="2" t="n"/>
      <c r="J329" s="2" t="n"/>
      <c r="K329" s="2" t="n"/>
      <c r="L329" s="2" t="n"/>
      <c r="M329" s="2" t="n"/>
      <c r="N329" s="2" t="n"/>
      <c r="O329" s="2" t="n"/>
      <c r="P329" s="2" t="n"/>
      <c r="Q329" s="2">
        <f>IF(G329="","",TODAY()-G329)</f>
        <v/>
      </c>
    </row>
    <row r="330">
      <c r="A330" s="2" t="n"/>
      <c r="B330" s="2" t="n"/>
      <c r="C330" s="2" t="n"/>
      <c r="D330" s="2" t="n"/>
      <c r="E330" s="2" t="n"/>
      <c r="F330" s="2" t="n"/>
      <c r="G330" s="2" t="n"/>
      <c r="H330" s="2" t="n"/>
      <c r="I330" s="2" t="n"/>
      <c r="J330" s="2" t="n"/>
      <c r="K330" s="2" t="n"/>
      <c r="L330" s="2" t="n"/>
      <c r="M330" s="2" t="n"/>
      <c r="N330" s="2" t="n"/>
      <c r="O330" s="2" t="n"/>
      <c r="P330" s="2" t="n"/>
      <c r="Q330" s="2">
        <f>IF(G330="","",TODAY()-G330)</f>
        <v/>
      </c>
    </row>
    <row r="331">
      <c r="A331" s="2" t="n"/>
      <c r="B331" s="2" t="n"/>
      <c r="C331" s="2" t="n"/>
      <c r="D331" s="2" t="n"/>
      <c r="E331" s="2" t="n"/>
      <c r="F331" s="2" t="n"/>
      <c r="G331" s="2" t="n"/>
      <c r="H331" s="2" t="n"/>
      <c r="I331" s="2" t="n"/>
      <c r="J331" s="2" t="n"/>
      <c r="K331" s="2" t="n"/>
      <c r="L331" s="2" t="n"/>
      <c r="M331" s="2" t="n"/>
      <c r="N331" s="2" t="n"/>
      <c r="O331" s="2" t="n"/>
      <c r="P331" s="2" t="n"/>
      <c r="Q331" s="2">
        <f>IF(G331="","",TODAY()-G331)</f>
        <v/>
      </c>
    </row>
    <row r="332">
      <c r="A332" s="2" t="n"/>
      <c r="B332" s="2" t="n"/>
      <c r="C332" s="2" t="n"/>
      <c r="D332" s="2" t="n"/>
      <c r="E332" s="2" t="n"/>
      <c r="F332" s="2" t="n"/>
      <c r="G332" s="2" t="n"/>
      <c r="H332" s="2" t="n"/>
      <c r="I332" s="2" t="n"/>
      <c r="J332" s="2" t="n"/>
      <c r="K332" s="2" t="n"/>
      <c r="L332" s="2" t="n"/>
      <c r="M332" s="2" t="n"/>
      <c r="N332" s="2" t="n"/>
      <c r="O332" s="2" t="n"/>
      <c r="P332" s="2" t="n"/>
      <c r="Q332" s="2">
        <f>IF(G332="","",TODAY()-G332)</f>
        <v/>
      </c>
    </row>
    <row r="333">
      <c r="A333" s="2" t="n"/>
      <c r="B333" s="2" t="n"/>
      <c r="C333" s="2" t="n"/>
      <c r="D333" s="2" t="n"/>
      <c r="E333" s="2" t="n"/>
      <c r="F333" s="2" t="n"/>
      <c r="G333" s="2" t="n"/>
      <c r="H333" s="2" t="n"/>
      <c r="I333" s="2" t="n"/>
      <c r="J333" s="2" t="n"/>
      <c r="K333" s="2" t="n"/>
      <c r="L333" s="2" t="n"/>
      <c r="M333" s="2" t="n"/>
      <c r="N333" s="2" t="n"/>
      <c r="O333" s="2" t="n"/>
      <c r="P333" s="2" t="n"/>
      <c r="Q333" s="2">
        <f>IF(G333="","",TODAY()-G333)</f>
        <v/>
      </c>
    </row>
    <row r="334">
      <c r="A334" s="2" t="n"/>
      <c r="B334" s="2" t="n"/>
      <c r="C334" s="2" t="n"/>
      <c r="D334" s="2" t="n"/>
      <c r="E334" s="2" t="n"/>
      <c r="F334" s="2" t="n"/>
      <c r="G334" s="2" t="n"/>
      <c r="H334" s="2" t="n"/>
      <c r="I334" s="2" t="n"/>
      <c r="J334" s="2" t="n"/>
      <c r="K334" s="2" t="n"/>
      <c r="L334" s="2" t="n"/>
      <c r="M334" s="2" t="n"/>
      <c r="N334" s="2" t="n"/>
      <c r="O334" s="2" t="n"/>
      <c r="P334" s="2" t="n"/>
      <c r="Q334" s="2">
        <f>IF(G334="","",TODAY()-G334)</f>
        <v/>
      </c>
    </row>
    <row r="335">
      <c r="A335" s="2" t="n"/>
      <c r="B335" s="2" t="n"/>
      <c r="C335" s="2" t="n"/>
      <c r="D335" s="2" t="n"/>
      <c r="E335" s="2" t="n"/>
      <c r="F335" s="2" t="n"/>
      <c r="G335" s="2" t="n"/>
      <c r="H335" s="2" t="n"/>
      <c r="I335" s="2" t="n"/>
      <c r="J335" s="2" t="n"/>
      <c r="K335" s="2" t="n"/>
      <c r="L335" s="2" t="n"/>
      <c r="M335" s="2" t="n"/>
      <c r="N335" s="2" t="n"/>
      <c r="O335" s="2" t="n"/>
      <c r="P335" s="2" t="n"/>
      <c r="Q335" s="2">
        <f>IF(G335="","",TODAY()-G335)</f>
        <v/>
      </c>
    </row>
    <row r="336">
      <c r="A336" s="2" t="n"/>
      <c r="B336" s="2" t="n"/>
      <c r="C336" s="2" t="n"/>
      <c r="D336" s="2" t="n"/>
      <c r="E336" s="2" t="n"/>
      <c r="F336" s="2" t="n"/>
      <c r="G336" s="2" t="n"/>
      <c r="H336" s="2" t="n"/>
      <c r="I336" s="2" t="n"/>
      <c r="J336" s="2" t="n"/>
      <c r="K336" s="2" t="n"/>
      <c r="L336" s="2" t="n"/>
      <c r="M336" s="2" t="n"/>
      <c r="N336" s="2" t="n"/>
      <c r="O336" s="2" t="n"/>
      <c r="P336" s="2" t="n"/>
      <c r="Q336" s="2">
        <f>IF(G336="","",TODAY()-G336)</f>
        <v/>
      </c>
    </row>
    <row r="337">
      <c r="A337" s="2" t="n"/>
      <c r="B337" s="2" t="n"/>
      <c r="C337" s="2" t="n"/>
      <c r="D337" s="2" t="n"/>
      <c r="E337" s="2" t="n"/>
      <c r="F337" s="2" t="n"/>
      <c r="G337" s="2" t="n"/>
      <c r="H337" s="2" t="n"/>
      <c r="I337" s="2" t="n"/>
      <c r="J337" s="2" t="n"/>
      <c r="K337" s="2" t="n"/>
      <c r="L337" s="2" t="n"/>
      <c r="M337" s="2" t="n"/>
      <c r="N337" s="2" t="n"/>
      <c r="O337" s="2" t="n"/>
      <c r="P337" s="2" t="n"/>
      <c r="Q337" s="2">
        <f>IF(G337="","",TODAY()-G337)</f>
        <v/>
      </c>
    </row>
    <row r="338">
      <c r="A338" s="2" t="n"/>
      <c r="B338" s="2" t="n"/>
      <c r="C338" s="2" t="n"/>
      <c r="D338" s="2" t="n"/>
      <c r="E338" s="2" t="n"/>
      <c r="F338" s="2" t="n"/>
      <c r="G338" s="2" t="n"/>
      <c r="H338" s="2" t="n"/>
      <c r="I338" s="2" t="n"/>
      <c r="J338" s="2" t="n"/>
      <c r="K338" s="2" t="n"/>
      <c r="L338" s="2" t="n"/>
      <c r="M338" s="2" t="n"/>
      <c r="N338" s="2" t="n"/>
      <c r="O338" s="2" t="n"/>
      <c r="P338" s="2" t="n"/>
      <c r="Q338" s="2">
        <f>IF(G338="","",TODAY()-G338)</f>
        <v/>
      </c>
    </row>
    <row r="339">
      <c r="A339" s="2" t="n"/>
      <c r="B339" s="2" t="n"/>
      <c r="C339" s="2" t="n"/>
      <c r="D339" s="2" t="n"/>
      <c r="E339" s="2" t="n"/>
      <c r="F339" s="2" t="n"/>
      <c r="G339" s="2" t="n"/>
      <c r="H339" s="2" t="n"/>
      <c r="I339" s="2" t="n"/>
      <c r="J339" s="2" t="n"/>
      <c r="K339" s="2" t="n"/>
      <c r="L339" s="2" t="n"/>
      <c r="M339" s="2" t="n"/>
      <c r="N339" s="2" t="n"/>
      <c r="O339" s="2" t="n"/>
      <c r="P339" s="2" t="n"/>
      <c r="Q339" s="2">
        <f>IF(G339="","",TODAY()-G339)</f>
        <v/>
      </c>
    </row>
    <row r="340">
      <c r="A340" s="2" t="n"/>
      <c r="B340" s="2" t="n"/>
      <c r="C340" s="2" t="n"/>
      <c r="D340" s="2" t="n"/>
      <c r="E340" s="2" t="n"/>
      <c r="F340" s="2" t="n"/>
      <c r="G340" s="2" t="n"/>
      <c r="H340" s="2" t="n"/>
      <c r="I340" s="2" t="n"/>
      <c r="J340" s="2" t="n"/>
      <c r="K340" s="2" t="n"/>
      <c r="L340" s="2" t="n"/>
      <c r="M340" s="2" t="n"/>
      <c r="N340" s="2" t="n"/>
      <c r="O340" s="2" t="n"/>
      <c r="P340" s="2" t="n"/>
      <c r="Q340" s="2">
        <f>IF(G340="","",TODAY()-G340)</f>
        <v/>
      </c>
    </row>
    <row r="341">
      <c r="A341" s="2" t="n"/>
      <c r="B341" s="2" t="n"/>
      <c r="C341" s="2" t="n"/>
      <c r="D341" s="2" t="n"/>
      <c r="E341" s="2" t="n"/>
      <c r="F341" s="2" t="n"/>
      <c r="G341" s="2" t="n"/>
      <c r="H341" s="2" t="n"/>
      <c r="I341" s="2" t="n"/>
      <c r="J341" s="2" t="n"/>
      <c r="K341" s="2" t="n"/>
      <c r="L341" s="2" t="n"/>
      <c r="M341" s="2" t="n"/>
      <c r="N341" s="2" t="n"/>
      <c r="O341" s="2" t="n"/>
      <c r="P341" s="2" t="n"/>
      <c r="Q341" s="2">
        <f>IF(G341="","",TODAY()-G341)</f>
        <v/>
      </c>
    </row>
    <row r="342">
      <c r="A342" s="2" t="n"/>
      <c r="B342" s="2" t="n"/>
      <c r="C342" s="2" t="n"/>
      <c r="D342" s="2" t="n"/>
      <c r="E342" s="2" t="n"/>
      <c r="F342" s="2" t="n"/>
      <c r="G342" s="2" t="n"/>
      <c r="H342" s="2" t="n"/>
      <c r="I342" s="2" t="n"/>
      <c r="J342" s="2" t="n"/>
      <c r="K342" s="2" t="n"/>
      <c r="L342" s="2" t="n"/>
      <c r="M342" s="2" t="n"/>
      <c r="N342" s="2" t="n"/>
      <c r="O342" s="2" t="n"/>
      <c r="P342" s="2" t="n"/>
      <c r="Q342" s="2">
        <f>IF(G342="","",TODAY()-G342)</f>
        <v/>
      </c>
    </row>
    <row r="343">
      <c r="A343" s="2" t="n"/>
      <c r="B343" s="2" t="n"/>
      <c r="C343" s="2" t="n"/>
      <c r="D343" s="2" t="n"/>
      <c r="E343" s="2" t="n"/>
      <c r="F343" s="2" t="n"/>
      <c r="G343" s="2" t="n"/>
      <c r="H343" s="2" t="n"/>
      <c r="I343" s="2" t="n"/>
      <c r="J343" s="2" t="n"/>
      <c r="K343" s="2" t="n"/>
      <c r="L343" s="2" t="n"/>
      <c r="M343" s="2" t="n"/>
      <c r="N343" s="2" t="n"/>
      <c r="O343" s="2" t="n"/>
      <c r="P343" s="2" t="n"/>
      <c r="Q343" s="2">
        <f>IF(G343="","",TODAY()-G343)</f>
        <v/>
      </c>
    </row>
    <row r="344">
      <c r="A344" s="2" t="n"/>
      <c r="B344" s="2" t="n"/>
      <c r="C344" s="2" t="n"/>
      <c r="D344" s="2" t="n"/>
      <c r="E344" s="2" t="n"/>
      <c r="F344" s="2" t="n"/>
      <c r="G344" s="2" t="n"/>
      <c r="H344" s="2" t="n"/>
      <c r="I344" s="2" t="n"/>
      <c r="J344" s="2" t="n"/>
      <c r="K344" s="2" t="n"/>
      <c r="L344" s="2" t="n"/>
      <c r="M344" s="2" t="n"/>
      <c r="N344" s="2" t="n"/>
      <c r="O344" s="2" t="n"/>
      <c r="P344" s="2" t="n"/>
      <c r="Q344" s="2">
        <f>IF(G344="","",TODAY()-G344)</f>
        <v/>
      </c>
    </row>
    <row r="345">
      <c r="A345" s="2" t="n"/>
      <c r="B345" s="2" t="n"/>
      <c r="C345" s="2" t="n"/>
      <c r="D345" s="2" t="n"/>
      <c r="E345" s="2" t="n"/>
      <c r="F345" s="2" t="n"/>
      <c r="G345" s="2" t="n"/>
      <c r="H345" s="2" t="n"/>
      <c r="I345" s="2" t="n"/>
      <c r="J345" s="2" t="n"/>
      <c r="K345" s="2" t="n"/>
      <c r="L345" s="2" t="n"/>
      <c r="M345" s="2" t="n"/>
      <c r="N345" s="2" t="n"/>
      <c r="O345" s="2" t="n"/>
      <c r="P345" s="2" t="n"/>
      <c r="Q345" s="2">
        <f>IF(G345="","",TODAY()-G345)</f>
        <v/>
      </c>
    </row>
    <row r="346">
      <c r="A346" s="2" t="n"/>
      <c r="B346" s="2" t="n"/>
      <c r="C346" s="2" t="n"/>
      <c r="D346" s="2" t="n"/>
      <c r="E346" s="2" t="n"/>
      <c r="F346" s="2" t="n"/>
      <c r="G346" s="2" t="n"/>
      <c r="H346" s="2" t="n"/>
      <c r="I346" s="2" t="n"/>
      <c r="J346" s="2" t="n"/>
      <c r="K346" s="2" t="n"/>
      <c r="L346" s="2" t="n"/>
      <c r="M346" s="2" t="n"/>
      <c r="N346" s="2" t="n"/>
      <c r="O346" s="2" t="n"/>
      <c r="P346" s="2" t="n"/>
      <c r="Q346" s="2">
        <f>IF(G346="","",TODAY()-G346)</f>
        <v/>
      </c>
    </row>
    <row r="347">
      <c r="A347" s="2" t="n"/>
      <c r="B347" s="2" t="n"/>
      <c r="C347" s="2" t="n"/>
      <c r="D347" s="2" t="n"/>
      <c r="E347" s="2" t="n"/>
      <c r="F347" s="2" t="n"/>
      <c r="G347" s="2" t="n"/>
      <c r="H347" s="2" t="n"/>
      <c r="I347" s="2" t="n"/>
      <c r="J347" s="2" t="n"/>
      <c r="K347" s="2" t="n"/>
      <c r="L347" s="2" t="n"/>
      <c r="M347" s="2" t="n"/>
      <c r="N347" s="2" t="n"/>
      <c r="O347" s="2" t="n"/>
      <c r="P347" s="2" t="n"/>
      <c r="Q347" s="2">
        <f>IF(G347="","",TODAY()-G347)</f>
        <v/>
      </c>
    </row>
    <row r="348">
      <c r="A348" s="2" t="n"/>
      <c r="B348" s="2" t="n"/>
      <c r="C348" s="2" t="n"/>
      <c r="D348" s="2" t="n"/>
      <c r="E348" s="2" t="n"/>
      <c r="F348" s="2" t="n"/>
      <c r="G348" s="2" t="n"/>
      <c r="H348" s="2" t="n"/>
      <c r="I348" s="2" t="n"/>
      <c r="J348" s="2" t="n"/>
      <c r="K348" s="2" t="n"/>
      <c r="L348" s="2" t="n"/>
      <c r="M348" s="2" t="n"/>
      <c r="N348" s="2" t="n"/>
      <c r="O348" s="2" t="n"/>
      <c r="P348" s="2" t="n"/>
      <c r="Q348" s="2">
        <f>IF(G348="","",TODAY()-G348)</f>
        <v/>
      </c>
    </row>
    <row r="349">
      <c r="A349" s="2" t="n"/>
      <c r="B349" s="2" t="n"/>
      <c r="C349" s="2" t="n"/>
      <c r="D349" s="2" t="n"/>
      <c r="E349" s="2" t="n"/>
      <c r="F349" s="2" t="n"/>
      <c r="G349" s="2" t="n"/>
      <c r="H349" s="2" t="n"/>
      <c r="I349" s="2" t="n"/>
      <c r="J349" s="2" t="n"/>
      <c r="K349" s="2" t="n"/>
      <c r="L349" s="2" t="n"/>
      <c r="M349" s="2" t="n"/>
      <c r="N349" s="2" t="n"/>
      <c r="O349" s="2" t="n"/>
      <c r="P349" s="2" t="n"/>
      <c r="Q349" s="2">
        <f>IF(G349="","",TODAY()-G349)</f>
        <v/>
      </c>
    </row>
    <row r="350">
      <c r="A350" s="2" t="n"/>
      <c r="B350" s="2" t="n"/>
      <c r="C350" s="2" t="n"/>
      <c r="D350" s="2" t="n"/>
      <c r="E350" s="2" t="n"/>
      <c r="F350" s="2" t="n"/>
      <c r="G350" s="2" t="n"/>
      <c r="H350" s="2" t="n"/>
      <c r="I350" s="2" t="n"/>
      <c r="J350" s="2" t="n"/>
      <c r="K350" s="2" t="n"/>
      <c r="L350" s="2" t="n"/>
      <c r="M350" s="2" t="n"/>
      <c r="N350" s="2" t="n"/>
      <c r="O350" s="2" t="n"/>
      <c r="P350" s="2" t="n"/>
      <c r="Q350" s="2">
        <f>IF(G350="","",TODAY()-G350)</f>
        <v/>
      </c>
    </row>
    <row r="351">
      <c r="A351" s="2" t="n"/>
      <c r="B351" s="2" t="n"/>
      <c r="C351" s="2" t="n"/>
      <c r="D351" s="2" t="n"/>
      <c r="E351" s="2" t="n"/>
      <c r="F351" s="2" t="n"/>
      <c r="G351" s="2" t="n"/>
      <c r="H351" s="2" t="n"/>
      <c r="I351" s="2" t="n"/>
      <c r="J351" s="2" t="n"/>
      <c r="K351" s="2" t="n"/>
      <c r="L351" s="2" t="n"/>
      <c r="M351" s="2" t="n"/>
      <c r="N351" s="2" t="n"/>
      <c r="O351" s="2" t="n"/>
      <c r="P351" s="2" t="n"/>
      <c r="Q351" s="2">
        <f>IF(G351="","",TODAY()-G351)</f>
        <v/>
      </c>
    </row>
    <row r="352">
      <c r="A352" s="2" t="n"/>
      <c r="B352" s="2" t="n"/>
      <c r="C352" s="2" t="n"/>
      <c r="D352" s="2" t="n"/>
      <c r="E352" s="2" t="n"/>
      <c r="F352" s="2" t="n"/>
      <c r="G352" s="2" t="n"/>
      <c r="H352" s="2" t="n"/>
      <c r="I352" s="2" t="n"/>
      <c r="J352" s="2" t="n"/>
      <c r="K352" s="2" t="n"/>
      <c r="L352" s="2" t="n"/>
      <c r="M352" s="2" t="n"/>
      <c r="N352" s="2" t="n"/>
      <c r="O352" s="2" t="n"/>
      <c r="P352" s="2" t="n"/>
      <c r="Q352" s="2">
        <f>IF(G352="","",TODAY()-G352)</f>
        <v/>
      </c>
    </row>
    <row r="353">
      <c r="A353" s="2" t="n"/>
      <c r="B353" s="2" t="n"/>
      <c r="C353" s="2" t="n"/>
      <c r="D353" s="2" t="n"/>
      <c r="E353" s="2" t="n"/>
      <c r="F353" s="2" t="n"/>
      <c r="G353" s="2" t="n"/>
      <c r="H353" s="2" t="n"/>
      <c r="I353" s="2" t="n"/>
      <c r="J353" s="2" t="n"/>
      <c r="K353" s="2" t="n"/>
      <c r="L353" s="2" t="n"/>
      <c r="M353" s="2" t="n"/>
      <c r="N353" s="2" t="n"/>
      <c r="O353" s="2" t="n"/>
      <c r="P353" s="2" t="n"/>
      <c r="Q353" s="2">
        <f>IF(G353="","",TODAY()-G353)</f>
        <v/>
      </c>
    </row>
    <row r="354">
      <c r="A354" s="2" t="n"/>
      <c r="B354" s="2" t="n"/>
      <c r="C354" s="2" t="n"/>
      <c r="D354" s="2" t="n"/>
      <c r="E354" s="2" t="n"/>
      <c r="F354" s="2" t="n"/>
      <c r="G354" s="2" t="n"/>
      <c r="H354" s="2" t="n"/>
      <c r="I354" s="2" t="n"/>
      <c r="J354" s="2" t="n"/>
      <c r="K354" s="2" t="n"/>
      <c r="L354" s="2" t="n"/>
      <c r="M354" s="2" t="n"/>
      <c r="N354" s="2" t="n"/>
      <c r="O354" s="2" t="n"/>
      <c r="P354" s="2" t="n"/>
      <c r="Q354" s="2">
        <f>IF(G354="","",TODAY()-G354)</f>
        <v/>
      </c>
    </row>
    <row r="355">
      <c r="A355" s="2" t="n"/>
      <c r="B355" s="2" t="n"/>
      <c r="C355" s="2" t="n"/>
      <c r="D355" s="2" t="n"/>
      <c r="E355" s="2" t="n"/>
      <c r="F355" s="2" t="n"/>
      <c r="G355" s="2" t="n"/>
      <c r="H355" s="2" t="n"/>
      <c r="I355" s="2" t="n"/>
      <c r="J355" s="2" t="n"/>
      <c r="K355" s="2" t="n"/>
      <c r="L355" s="2" t="n"/>
      <c r="M355" s="2" t="n"/>
      <c r="N355" s="2" t="n"/>
      <c r="O355" s="2" t="n"/>
      <c r="P355" s="2" t="n"/>
      <c r="Q355" s="2">
        <f>IF(G355="","",TODAY()-G355)</f>
        <v/>
      </c>
    </row>
    <row r="356">
      <c r="A356" s="2" t="n"/>
      <c r="B356" s="2" t="n"/>
      <c r="C356" s="2" t="n"/>
      <c r="D356" s="2" t="n"/>
      <c r="E356" s="2" t="n"/>
      <c r="F356" s="2" t="n"/>
      <c r="G356" s="2" t="n"/>
      <c r="H356" s="2" t="n"/>
      <c r="I356" s="2" t="n"/>
      <c r="J356" s="2" t="n"/>
      <c r="K356" s="2" t="n"/>
      <c r="L356" s="2" t="n"/>
      <c r="M356" s="2" t="n"/>
      <c r="N356" s="2" t="n"/>
      <c r="O356" s="2" t="n"/>
      <c r="P356" s="2" t="n"/>
      <c r="Q356" s="2">
        <f>IF(G356="","",TODAY()-G356)</f>
        <v/>
      </c>
    </row>
    <row r="357">
      <c r="A357" s="2" t="n"/>
      <c r="B357" s="2" t="n"/>
      <c r="C357" s="2" t="n"/>
      <c r="D357" s="2" t="n"/>
      <c r="E357" s="2" t="n"/>
      <c r="F357" s="2" t="n"/>
      <c r="G357" s="2" t="n"/>
      <c r="H357" s="2" t="n"/>
      <c r="I357" s="2" t="n"/>
      <c r="J357" s="2" t="n"/>
      <c r="K357" s="2" t="n"/>
      <c r="L357" s="2" t="n"/>
      <c r="M357" s="2" t="n"/>
      <c r="N357" s="2" t="n"/>
      <c r="O357" s="2" t="n"/>
      <c r="P357" s="2" t="n"/>
      <c r="Q357" s="2">
        <f>IF(G357="","",TODAY()-G357)</f>
        <v/>
      </c>
    </row>
    <row r="358">
      <c r="A358" s="2" t="n"/>
      <c r="B358" s="2" t="n"/>
      <c r="C358" s="2" t="n"/>
      <c r="D358" s="2" t="n"/>
      <c r="E358" s="2" t="n"/>
      <c r="F358" s="2" t="n"/>
      <c r="G358" s="2" t="n"/>
      <c r="H358" s="2" t="n"/>
      <c r="I358" s="2" t="n"/>
      <c r="J358" s="2" t="n"/>
      <c r="K358" s="2" t="n"/>
      <c r="L358" s="2" t="n"/>
      <c r="M358" s="2" t="n"/>
      <c r="N358" s="2" t="n"/>
      <c r="O358" s="2" t="n"/>
      <c r="P358" s="2" t="n"/>
      <c r="Q358" s="2">
        <f>IF(G358="","",TODAY()-G358)</f>
        <v/>
      </c>
    </row>
    <row r="359">
      <c r="A359" s="2" t="n"/>
      <c r="B359" s="2" t="n"/>
      <c r="C359" s="2" t="n"/>
      <c r="D359" s="2" t="n"/>
      <c r="E359" s="2" t="n"/>
      <c r="F359" s="2" t="n"/>
      <c r="G359" s="2" t="n"/>
      <c r="H359" s="2" t="n"/>
      <c r="I359" s="2" t="n"/>
      <c r="J359" s="2" t="n"/>
      <c r="K359" s="2" t="n"/>
      <c r="L359" s="2" t="n"/>
      <c r="M359" s="2" t="n"/>
      <c r="N359" s="2" t="n"/>
      <c r="O359" s="2" t="n"/>
      <c r="P359" s="2" t="n"/>
      <c r="Q359" s="2">
        <f>IF(G359="","",TODAY()-G359)</f>
        <v/>
      </c>
    </row>
    <row r="360">
      <c r="A360" s="2" t="n"/>
      <c r="B360" s="2" t="n"/>
      <c r="C360" s="2" t="n"/>
      <c r="D360" s="2" t="n"/>
      <c r="E360" s="2" t="n"/>
      <c r="F360" s="2" t="n"/>
      <c r="G360" s="2" t="n"/>
      <c r="H360" s="2" t="n"/>
      <c r="I360" s="2" t="n"/>
      <c r="J360" s="2" t="n"/>
      <c r="K360" s="2" t="n"/>
      <c r="L360" s="2" t="n"/>
      <c r="M360" s="2" t="n"/>
      <c r="N360" s="2" t="n"/>
      <c r="O360" s="2" t="n"/>
      <c r="P360" s="2" t="n"/>
      <c r="Q360" s="2">
        <f>IF(G360="","",TODAY()-G360)</f>
        <v/>
      </c>
    </row>
    <row r="361">
      <c r="A361" s="2" t="n"/>
      <c r="B361" s="2" t="n"/>
      <c r="C361" s="2" t="n"/>
      <c r="D361" s="2" t="n"/>
      <c r="E361" s="2" t="n"/>
      <c r="F361" s="2" t="n"/>
      <c r="G361" s="2" t="n"/>
      <c r="H361" s="2" t="n"/>
      <c r="I361" s="2" t="n"/>
      <c r="J361" s="2" t="n"/>
      <c r="K361" s="2" t="n"/>
      <c r="L361" s="2" t="n"/>
      <c r="M361" s="2" t="n"/>
      <c r="N361" s="2" t="n"/>
      <c r="O361" s="2" t="n"/>
      <c r="P361" s="2" t="n"/>
      <c r="Q361" s="2">
        <f>IF(G361="","",TODAY()-G361)</f>
        <v/>
      </c>
    </row>
    <row r="362">
      <c r="A362" s="2" t="n"/>
      <c r="B362" s="2" t="n"/>
      <c r="C362" s="2" t="n"/>
      <c r="D362" s="2" t="n"/>
      <c r="E362" s="2" t="n"/>
      <c r="F362" s="2" t="n"/>
      <c r="G362" s="2" t="n"/>
      <c r="H362" s="2" t="n"/>
      <c r="I362" s="2" t="n"/>
      <c r="J362" s="2" t="n"/>
      <c r="K362" s="2" t="n"/>
      <c r="L362" s="2" t="n"/>
      <c r="M362" s="2" t="n"/>
      <c r="N362" s="2" t="n"/>
      <c r="O362" s="2" t="n"/>
      <c r="P362" s="2" t="n"/>
      <c r="Q362" s="2">
        <f>IF(G362="","",TODAY()-G362)</f>
        <v/>
      </c>
    </row>
    <row r="363">
      <c r="A363" s="2" t="n"/>
      <c r="B363" s="2" t="n"/>
      <c r="C363" s="2" t="n"/>
      <c r="D363" s="2" t="n"/>
      <c r="E363" s="2" t="n"/>
      <c r="F363" s="2" t="n"/>
      <c r="G363" s="2" t="n"/>
      <c r="H363" s="2" t="n"/>
      <c r="I363" s="2" t="n"/>
      <c r="J363" s="2" t="n"/>
      <c r="K363" s="2" t="n"/>
      <c r="L363" s="2" t="n"/>
      <c r="M363" s="2" t="n"/>
      <c r="N363" s="2" t="n"/>
      <c r="O363" s="2" t="n"/>
      <c r="P363" s="2" t="n"/>
      <c r="Q363" s="2">
        <f>IF(G363="","",TODAY()-G363)</f>
        <v/>
      </c>
    </row>
    <row r="364">
      <c r="A364" s="2" t="n"/>
      <c r="B364" s="2" t="n"/>
      <c r="C364" s="2" t="n"/>
      <c r="D364" s="2" t="n"/>
      <c r="E364" s="2" t="n"/>
      <c r="F364" s="2" t="n"/>
      <c r="G364" s="2" t="n"/>
      <c r="H364" s="2" t="n"/>
      <c r="I364" s="2" t="n"/>
      <c r="J364" s="2" t="n"/>
      <c r="K364" s="2" t="n"/>
      <c r="L364" s="2" t="n"/>
      <c r="M364" s="2" t="n"/>
      <c r="N364" s="2" t="n"/>
      <c r="O364" s="2" t="n"/>
      <c r="P364" s="2" t="n"/>
      <c r="Q364" s="2">
        <f>IF(G364="","",TODAY()-G364)</f>
        <v/>
      </c>
    </row>
    <row r="365">
      <c r="A365" s="2" t="n"/>
      <c r="B365" s="2" t="n"/>
      <c r="C365" s="2" t="n"/>
      <c r="D365" s="2" t="n"/>
      <c r="E365" s="2" t="n"/>
      <c r="F365" s="2" t="n"/>
      <c r="G365" s="2" t="n"/>
      <c r="H365" s="2" t="n"/>
      <c r="I365" s="2" t="n"/>
      <c r="J365" s="2" t="n"/>
      <c r="K365" s="2" t="n"/>
      <c r="L365" s="2" t="n"/>
      <c r="M365" s="2" t="n"/>
      <c r="N365" s="2" t="n"/>
      <c r="O365" s="2" t="n"/>
      <c r="P365" s="2" t="n"/>
      <c r="Q365" s="2">
        <f>IF(G365="","",TODAY()-G365)</f>
        <v/>
      </c>
    </row>
    <row r="366">
      <c r="A366" s="2" t="n"/>
      <c r="B366" s="2" t="n"/>
      <c r="C366" s="2" t="n"/>
      <c r="D366" s="2" t="n"/>
      <c r="E366" s="2" t="n"/>
      <c r="F366" s="2" t="n"/>
      <c r="G366" s="2" t="n"/>
      <c r="H366" s="2" t="n"/>
      <c r="I366" s="2" t="n"/>
      <c r="J366" s="2" t="n"/>
      <c r="K366" s="2" t="n"/>
      <c r="L366" s="2" t="n"/>
      <c r="M366" s="2" t="n"/>
      <c r="N366" s="2" t="n"/>
      <c r="O366" s="2" t="n"/>
      <c r="P366" s="2" t="n"/>
      <c r="Q366" s="2">
        <f>IF(G366="","",TODAY()-G366)</f>
        <v/>
      </c>
    </row>
    <row r="367">
      <c r="A367" s="2" t="n"/>
      <c r="B367" s="2" t="n"/>
      <c r="C367" s="2" t="n"/>
      <c r="D367" s="2" t="n"/>
      <c r="E367" s="2" t="n"/>
      <c r="F367" s="2" t="n"/>
      <c r="G367" s="2" t="n"/>
      <c r="H367" s="2" t="n"/>
      <c r="I367" s="2" t="n"/>
      <c r="J367" s="2" t="n"/>
      <c r="K367" s="2" t="n"/>
      <c r="L367" s="2" t="n"/>
      <c r="M367" s="2" t="n"/>
      <c r="N367" s="2" t="n"/>
      <c r="O367" s="2" t="n"/>
      <c r="P367" s="2" t="n"/>
      <c r="Q367" s="2">
        <f>IF(G367="","",TODAY()-G367)</f>
        <v/>
      </c>
    </row>
    <row r="368">
      <c r="A368" s="2" t="n"/>
      <c r="B368" s="2" t="n"/>
      <c r="C368" s="2" t="n"/>
      <c r="D368" s="2" t="n"/>
      <c r="E368" s="2" t="n"/>
      <c r="F368" s="2" t="n"/>
      <c r="G368" s="2" t="n"/>
      <c r="H368" s="2" t="n"/>
      <c r="I368" s="2" t="n"/>
      <c r="J368" s="2" t="n"/>
      <c r="K368" s="2" t="n"/>
      <c r="L368" s="2" t="n"/>
      <c r="M368" s="2" t="n"/>
      <c r="N368" s="2" t="n"/>
      <c r="O368" s="2" t="n"/>
      <c r="P368" s="2" t="n"/>
      <c r="Q368" s="2">
        <f>IF(G368="","",TODAY()-G368)</f>
        <v/>
      </c>
    </row>
    <row r="369">
      <c r="A369" s="2" t="n"/>
      <c r="B369" s="2" t="n"/>
      <c r="C369" s="2" t="n"/>
      <c r="D369" s="2" t="n"/>
      <c r="E369" s="2" t="n"/>
      <c r="F369" s="2" t="n"/>
      <c r="G369" s="2" t="n"/>
      <c r="H369" s="2" t="n"/>
      <c r="I369" s="2" t="n"/>
      <c r="J369" s="2" t="n"/>
      <c r="K369" s="2" t="n"/>
      <c r="L369" s="2" t="n"/>
      <c r="M369" s="2" t="n"/>
      <c r="N369" s="2" t="n"/>
      <c r="O369" s="2" t="n"/>
      <c r="P369" s="2" t="n"/>
      <c r="Q369" s="2">
        <f>IF(G369="","",TODAY()-G369)</f>
        <v/>
      </c>
    </row>
    <row r="370">
      <c r="A370" s="2" t="n"/>
      <c r="B370" s="2" t="n"/>
      <c r="C370" s="2" t="n"/>
      <c r="D370" s="2" t="n"/>
      <c r="E370" s="2" t="n"/>
      <c r="F370" s="2" t="n"/>
      <c r="G370" s="2" t="n"/>
      <c r="H370" s="2" t="n"/>
      <c r="I370" s="2" t="n"/>
      <c r="J370" s="2" t="n"/>
      <c r="K370" s="2" t="n"/>
      <c r="L370" s="2" t="n"/>
      <c r="M370" s="2" t="n"/>
      <c r="N370" s="2" t="n"/>
      <c r="O370" s="2" t="n"/>
      <c r="P370" s="2" t="n"/>
      <c r="Q370" s="2">
        <f>IF(G370="","",TODAY()-G370)</f>
        <v/>
      </c>
    </row>
    <row r="371">
      <c r="A371" s="2" t="n"/>
      <c r="B371" s="2" t="n"/>
      <c r="C371" s="2" t="n"/>
      <c r="D371" s="2" t="n"/>
      <c r="E371" s="2" t="n"/>
      <c r="F371" s="2" t="n"/>
      <c r="G371" s="2" t="n"/>
      <c r="H371" s="2" t="n"/>
      <c r="I371" s="2" t="n"/>
      <c r="J371" s="2" t="n"/>
      <c r="K371" s="2" t="n"/>
      <c r="L371" s="2" t="n"/>
      <c r="M371" s="2" t="n"/>
      <c r="N371" s="2" t="n"/>
      <c r="O371" s="2" t="n"/>
      <c r="P371" s="2" t="n"/>
      <c r="Q371" s="2">
        <f>IF(G371="","",TODAY()-G371)</f>
        <v/>
      </c>
    </row>
    <row r="372">
      <c r="A372" s="2" t="n"/>
      <c r="B372" s="2" t="n"/>
      <c r="C372" s="2" t="n"/>
      <c r="D372" s="2" t="n"/>
      <c r="E372" s="2" t="n"/>
      <c r="F372" s="2" t="n"/>
      <c r="G372" s="2" t="n"/>
      <c r="H372" s="2" t="n"/>
      <c r="I372" s="2" t="n"/>
      <c r="J372" s="2" t="n"/>
      <c r="K372" s="2" t="n"/>
      <c r="L372" s="2" t="n"/>
      <c r="M372" s="2" t="n"/>
      <c r="N372" s="2" t="n"/>
      <c r="O372" s="2" t="n"/>
      <c r="P372" s="2" t="n"/>
      <c r="Q372" s="2">
        <f>IF(G372="","",TODAY()-G372)</f>
        <v/>
      </c>
    </row>
    <row r="373">
      <c r="A373" s="2" t="n"/>
      <c r="B373" s="2" t="n"/>
      <c r="C373" s="2" t="n"/>
      <c r="D373" s="2" t="n"/>
      <c r="E373" s="2" t="n"/>
      <c r="F373" s="2" t="n"/>
      <c r="G373" s="2" t="n"/>
      <c r="H373" s="2" t="n"/>
      <c r="I373" s="2" t="n"/>
      <c r="J373" s="2" t="n"/>
      <c r="K373" s="2" t="n"/>
      <c r="L373" s="2" t="n"/>
      <c r="M373" s="2" t="n"/>
      <c r="N373" s="2" t="n"/>
      <c r="O373" s="2" t="n"/>
      <c r="P373" s="2" t="n"/>
      <c r="Q373" s="2">
        <f>IF(G373="","",TODAY()-G373)</f>
        <v/>
      </c>
    </row>
    <row r="374">
      <c r="A374" s="2" t="n"/>
      <c r="B374" s="2" t="n"/>
      <c r="C374" s="2" t="n"/>
      <c r="D374" s="2" t="n"/>
      <c r="E374" s="2" t="n"/>
      <c r="F374" s="2" t="n"/>
      <c r="G374" s="2" t="n"/>
      <c r="H374" s="2" t="n"/>
      <c r="I374" s="2" t="n"/>
      <c r="J374" s="2" t="n"/>
      <c r="K374" s="2" t="n"/>
      <c r="L374" s="2" t="n"/>
      <c r="M374" s="2" t="n"/>
      <c r="N374" s="2" t="n"/>
      <c r="O374" s="2" t="n"/>
      <c r="P374" s="2" t="n"/>
      <c r="Q374" s="2">
        <f>IF(G374="","",TODAY()-G374)</f>
        <v/>
      </c>
    </row>
    <row r="375">
      <c r="A375" s="2" t="n"/>
      <c r="B375" s="2" t="n"/>
      <c r="C375" s="2" t="n"/>
      <c r="D375" s="2" t="n"/>
      <c r="E375" s="2" t="n"/>
      <c r="F375" s="2" t="n"/>
      <c r="G375" s="2" t="n"/>
      <c r="H375" s="2" t="n"/>
      <c r="I375" s="2" t="n"/>
      <c r="J375" s="2" t="n"/>
      <c r="K375" s="2" t="n"/>
      <c r="L375" s="2" t="n"/>
      <c r="M375" s="2" t="n"/>
      <c r="N375" s="2" t="n"/>
      <c r="O375" s="2" t="n"/>
      <c r="P375" s="2" t="n"/>
      <c r="Q375" s="2">
        <f>IF(G375="","",TODAY()-G375)</f>
        <v/>
      </c>
    </row>
    <row r="376">
      <c r="A376" s="2" t="n"/>
      <c r="B376" s="2" t="n"/>
      <c r="C376" s="2" t="n"/>
      <c r="D376" s="2" t="n"/>
      <c r="E376" s="2" t="n"/>
      <c r="F376" s="2" t="n"/>
      <c r="G376" s="2" t="n"/>
      <c r="H376" s="2" t="n"/>
      <c r="I376" s="2" t="n"/>
      <c r="J376" s="2" t="n"/>
      <c r="K376" s="2" t="n"/>
      <c r="L376" s="2" t="n"/>
      <c r="M376" s="2" t="n"/>
      <c r="N376" s="2" t="n"/>
      <c r="O376" s="2" t="n"/>
      <c r="P376" s="2" t="n"/>
      <c r="Q376" s="2">
        <f>IF(G376="","",TODAY()-G376)</f>
        <v/>
      </c>
    </row>
    <row r="377">
      <c r="A377" s="2" t="n"/>
      <c r="B377" s="2" t="n"/>
      <c r="C377" s="2" t="n"/>
      <c r="D377" s="2" t="n"/>
      <c r="E377" s="2" t="n"/>
      <c r="F377" s="2" t="n"/>
      <c r="G377" s="2" t="n"/>
      <c r="H377" s="2" t="n"/>
      <c r="I377" s="2" t="n"/>
      <c r="J377" s="2" t="n"/>
      <c r="K377" s="2" t="n"/>
      <c r="L377" s="2" t="n"/>
      <c r="M377" s="2" t="n"/>
      <c r="N377" s="2" t="n"/>
      <c r="O377" s="2" t="n"/>
      <c r="P377" s="2" t="n"/>
      <c r="Q377" s="2">
        <f>IF(G377="","",TODAY()-G377)</f>
        <v/>
      </c>
    </row>
    <row r="378">
      <c r="A378" s="2" t="n"/>
      <c r="B378" s="2" t="n"/>
      <c r="C378" s="2" t="n"/>
      <c r="D378" s="2" t="n"/>
      <c r="E378" s="2" t="n"/>
      <c r="F378" s="2" t="n"/>
      <c r="G378" s="2" t="n"/>
      <c r="H378" s="2" t="n"/>
      <c r="I378" s="2" t="n"/>
      <c r="J378" s="2" t="n"/>
      <c r="K378" s="2" t="n"/>
      <c r="L378" s="2" t="n"/>
      <c r="M378" s="2" t="n"/>
      <c r="N378" s="2" t="n"/>
      <c r="O378" s="2" t="n"/>
      <c r="P378" s="2" t="n"/>
      <c r="Q378" s="2">
        <f>IF(G378="","",TODAY()-G378)</f>
        <v/>
      </c>
    </row>
    <row r="379">
      <c r="A379" s="2" t="n"/>
      <c r="B379" s="2" t="n"/>
      <c r="C379" s="2" t="n"/>
      <c r="D379" s="2" t="n"/>
      <c r="E379" s="2" t="n"/>
      <c r="F379" s="2" t="n"/>
      <c r="G379" s="2" t="n"/>
      <c r="H379" s="2" t="n"/>
      <c r="I379" s="2" t="n"/>
      <c r="J379" s="2" t="n"/>
      <c r="K379" s="2" t="n"/>
      <c r="L379" s="2" t="n"/>
      <c r="M379" s="2" t="n"/>
      <c r="N379" s="2" t="n"/>
      <c r="O379" s="2" t="n"/>
      <c r="P379" s="2" t="n"/>
      <c r="Q379" s="2">
        <f>IF(G379="","",TODAY()-G379)</f>
        <v/>
      </c>
    </row>
    <row r="380">
      <c r="A380" s="2" t="n"/>
      <c r="B380" s="2" t="n"/>
      <c r="C380" s="2" t="n"/>
      <c r="D380" s="2" t="n"/>
      <c r="E380" s="2" t="n"/>
      <c r="F380" s="2" t="n"/>
      <c r="G380" s="2" t="n"/>
      <c r="H380" s="2" t="n"/>
      <c r="I380" s="2" t="n"/>
      <c r="J380" s="2" t="n"/>
      <c r="K380" s="2" t="n"/>
      <c r="L380" s="2" t="n"/>
      <c r="M380" s="2" t="n"/>
      <c r="N380" s="2" t="n"/>
      <c r="O380" s="2" t="n"/>
      <c r="P380" s="2" t="n"/>
      <c r="Q380" s="2">
        <f>IF(G380="","",TODAY()-G380)</f>
        <v/>
      </c>
    </row>
    <row r="381">
      <c r="A381" s="2" t="n"/>
      <c r="B381" s="2" t="n"/>
      <c r="C381" s="2" t="n"/>
      <c r="D381" s="2" t="n"/>
      <c r="E381" s="2" t="n"/>
      <c r="F381" s="2" t="n"/>
      <c r="G381" s="2" t="n"/>
      <c r="H381" s="2" t="n"/>
      <c r="I381" s="2" t="n"/>
      <c r="J381" s="2" t="n"/>
      <c r="K381" s="2" t="n"/>
      <c r="L381" s="2" t="n"/>
      <c r="M381" s="2" t="n"/>
      <c r="N381" s="2" t="n"/>
      <c r="O381" s="2" t="n"/>
      <c r="P381" s="2" t="n"/>
      <c r="Q381" s="2">
        <f>IF(G381="","",TODAY()-G381)</f>
        <v/>
      </c>
    </row>
    <row r="382">
      <c r="A382" s="2" t="n"/>
      <c r="B382" s="2" t="n"/>
      <c r="C382" s="2" t="n"/>
      <c r="D382" s="2" t="n"/>
      <c r="E382" s="2" t="n"/>
      <c r="F382" s="2" t="n"/>
      <c r="G382" s="2" t="n"/>
      <c r="H382" s="2" t="n"/>
      <c r="I382" s="2" t="n"/>
      <c r="J382" s="2" t="n"/>
      <c r="K382" s="2" t="n"/>
      <c r="L382" s="2" t="n"/>
      <c r="M382" s="2" t="n"/>
      <c r="N382" s="2" t="n"/>
      <c r="O382" s="2" t="n"/>
      <c r="P382" s="2" t="n"/>
      <c r="Q382" s="2">
        <f>IF(G382="","",TODAY()-G382)</f>
        <v/>
      </c>
    </row>
    <row r="383">
      <c r="A383" s="2" t="n"/>
      <c r="B383" s="2" t="n"/>
      <c r="C383" s="2" t="n"/>
      <c r="D383" s="2" t="n"/>
      <c r="E383" s="2" t="n"/>
      <c r="F383" s="2" t="n"/>
      <c r="G383" s="2" t="n"/>
      <c r="H383" s="2" t="n"/>
      <c r="I383" s="2" t="n"/>
      <c r="J383" s="2" t="n"/>
      <c r="K383" s="2" t="n"/>
      <c r="L383" s="2" t="n"/>
      <c r="M383" s="2" t="n"/>
      <c r="N383" s="2" t="n"/>
      <c r="O383" s="2" t="n"/>
      <c r="P383" s="2" t="n"/>
      <c r="Q383" s="2">
        <f>IF(G383="","",TODAY()-G383)</f>
        <v/>
      </c>
    </row>
    <row r="384">
      <c r="A384" s="2" t="n"/>
      <c r="B384" s="2" t="n"/>
      <c r="C384" s="2" t="n"/>
      <c r="D384" s="2" t="n"/>
      <c r="E384" s="2" t="n"/>
      <c r="F384" s="2" t="n"/>
      <c r="G384" s="2" t="n"/>
      <c r="H384" s="2" t="n"/>
      <c r="I384" s="2" t="n"/>
      <c r="J384" s="2" t="n"/>
      <c r="K384" s="2" t="n"/>
      <c r="L384" s="2" t="n"/>
      <c r="M384" s="2" t="n"/>
      <c r="N384" s="2" t="n"/>
      <c r="O384" s="2" t="n"/>
      <c r="P384" s="2" t="n"/>
      <c r="Q384" s="2">
        <f>IF(G384="","",TODAY()-G384)</f>
        <v/>
      </c>
    </row>
    <row r="385">
      <c r="A385" s="2" t="n"/>
      <c r="B385" s="2" t="n"/>
      <c r="C385" s="2" t="n"/>
      <c r="D385" s="2" t="n"/>
      <c r="E385" s="2" t="n"/>
      <c r="F385" s="2" t="n"/>
      <c r="G385" s="2" t="n"/>
      <c r="H385" s="2" t="n"/>
      <c r="I385" s="2" t="n"/>
      <c r="J385" s="2" t="n"/>
      <c r="K385" s="2" t="n"/>
      <c r="L385" s="2" t="n"/>
      <c r="M385" s="2" t="n"/>
      <c r="N385" s="2" t="n"/>
      <c r="O385" s="2" t="n"/>
      <c r="P385" s="2" t="n"/>
      <c r="Q385" s="2">
        <f>IF(G385="","",TODAY()-G385)</f>
        <v/>
      </c>
    </row>
    <row r="386">
      <c r="A386" s="2" t="n"/>
      <c r="B386" s="2" t="n"/>
      <c r="C386" s="2" t="n"/>
      <c r="D386" s="2" t="n"/>
      <c r="E386" s="2" t="n"/>
      <c r="F386" s="2" t="n"/>
      <c r="G386" s="2" t="n"/>
      <c r="H386" s="2" t="n"/>
      <c r="I386" s="2" t="n"/>
      <c r="J386" s="2" t="n"/>
      <c r="K386" s="2" t="n"/>
      <c r="L386" s="2" t="n"/>
      <c r="M386" s="2" t="n"/>
      <c r="N386" s="2" t="n"/>
      <c r="O386" s="2" t="n"/>
      <c r="P386" s="2" t="n"/>
      <c r="Q386" s="2">
        <f>IF(G386="","",TODAY()-G386)</f>
        <v/>
      </c>
    </row>
    <row r="387">
      <c r="A387" s="2" t="n"/>
      <c r="B387" s="2" t="n"/>
      <c r="C387" s="2" t="n"/>
      <c r="D387" s="2" t="n"/>
      <c r="E387" s="2" t="n"/>
      <c r="F387" s="2" t="n"/>
      <c r="G387" s="2" t="n"/>
      <c r="H387" s="2" t="n"/>
      <c r="I387" s="2" t="n"/>
      <c r="J387" s="2" t="n"/>
      <c r="K387" s="2" t="n"/>
      <c r="L387" s="2" t="n"/>
      <c r="M387" s="2" t="n"/>
      <c r="N387" s="2" t="n"/>
      <c r="O387" s="2" t="n"/>
      <c r="P387" s="2" t="n"/>
      <c r="Q387" s="2">
        <f>IF(G387="","",TODAY()-G387)</f>
        <v/>
      </c>
    </row>
    <row r="388">
      <c r="A388" s="2" t="n"/>
      <c r="B388" s="2" t="n"/>
      <c r="C388" s="2" t="n"/>
      <c r="D388" s="2" t="n"/>
      <c r="E388" s="2" t="n"/>
      <c r="F388" s="2" t="n"/>
      <c r="G388" s="2" t="n"/>
      <c r="H388" s="2" t="n"/>
      <c r="I388" s="2" t="n"/>
      <c r="J388" s="2" t="n"/>
      <c r="K388" s="2" t="n"/>
      <c r="L388" s="2" t="n"/>
      <c r="M388" s="2" t="n"/>
      <c r="N388" s="2" t="n"/>
      <c r="O388" s="2" t="n"/>
      <c r="P388" s="2" t="n"/>
      <c r="Q388" s="2">
        <f>IF(G388="","",TODAY()-G388)</f>
        <v/>
      </c>
    </row>
    <row r="389">
      <c r="A389" s="2" t="n"/>
      <c r="B389" s="2" t="n"/>
      <c r="C389" s="2" t="n"/>
      <c r="D389" s="2" t="n"/>
      <c r="E389" s="2" t="n"/>
      <c r="F389" s="2" t="n"/>
      <c r="G389" s="2" t="n"/>
      <c r="H389" s="2" t="n"/>
      <c r="I389" s="2" t="n"/>
      <c r="J389" s="2" t="n"/>
      <c r="K389" s="2" t="n"/>
      <c r="L389" s="2" t="n"/>
      <c r="M389" s="2" t="n"/>
      <c r="N389" s="2" t="n"/>
      <c r="O389" s="2" t="n"/>
      <c r="P389" s="2" t="n"/>
      <c r="Q389" s="2">
        <f>IF(G389="","",TODAY()-G389)</f>
        <v/>
      </c>
    </row>
    <row r="390">
      <c r="A390" s="2" t="n"/>
      <c r="B390" s="2" t="n"/>
      <c r="C390" s="2" t="n"/>
      <c r="D390" s="2" t="n"/>
      <c r="E390" s="2" t="n"/>
      <c r="F390" s="2" t="n"/>
      <c r="G390" s="2" t="n"/>
      <c r="H390" s="2" t="n"/>
      <c r="I390" s="2" t="n"/>
      <c r="J390" s="2" t="n"/>
      <c r="K390" s="2" t="n"/>
      <c r="L390" s="2" t="n"/>
      <c r="M390" s="2" t="n"/>
      <c r="N390" s="2" t="n"/>
      <c r="O390" s="2" t="n"/>
      <c r="P390" s="2" t="n"/>
      <c r="Q390" s="2">
        <f>IF(G390="","",TODAY()-G390)</f>
        <v/>
      </c>
    </row>
    <row r="391">
      <c r="A391" s="2" t="n"/>
      <c r="B391" s="2" t="n"/>
      <c r="C391" s="2" t="n"/>
      <c r="D391" s="2" t="n"/>
      <c r="E391" s="2" t="n"/>
      <c r="F391" s="2" t="n"/>
      <c r="G391" s="2" t="n"/>
      <c r="H391" s="2" t="n"/>
      <c r="I391" s="2" t="n"/>
      <c r="J391" s="2" t="n"/>
      <c r="K391" s="2" t="n"/>
      <c r="L391" s="2" t="n"/>
      <c r="M391" s="2" t="n"/>
      <c r="N391" s="2" t="n"/>
      <c r="O391" s="2" t="n"/>
      <c r="P391" s="2" t="n"/>
      <c r="Q391" s="2">
        <f>IF(G391="","",TODAY()-G391)</f>
        <v/>
      </c>
    </row>
    <row r="392">
      <c r="A392" s="2" t="n"/>
      <c r="B392" s="2" t="n"/>
      <c r="C392" s="2" t="n"/>
      <c r="D392" s="2" t="n"/>
      <c r="E392" s="2" t="n"/>
      <c r="F392" s="2" t="n"/>
      <c r="G392" s="2" t="n"/>
      <c r="H392" s="2" t="n"/>
      <c r="I392" s="2" t="n"/>
      <c r="J392" s="2" t="n"/>
      <c r="K392" s="2" t="n"/>
      <c r="L392" s="2" t="n"/>
      <c r="M392" s="2" t="n"/>
      <c r="N392" s="2" t="n"/>
      <c r="O392" s="2" t="n"/>
      <c r="P392" s="2" t="n"/>
      <c r="Q392" s="2">
        <f>IF(G392="","",TODAY()-G392)</f>
        <v/>
      </c>
    </row>
    <row r="393">
      <c r="A393" s="2" t="n"/>
      <c r="B393" s="2" t="n"/>
      <c r="C393" s="2" t="n"/>
      <c r="D393" s="2" t="n"/>
      <c r="E393" s="2" t="n"/>
      <c r="F393" s="2" t="n"/>
      <c r="G393" s="2" t="n"/>
      <c r="H393" s="2" t="n"/>
      <c r="I393" s="2" t="n"/>
      <c r="J393" s="2" t="n"/>
      <c r="K393" s="2" t="n"/>
      <c r="L393" s="2" t="n"/>
      <c r="M393" s="2" t="n"/>
      <c r="N393" s="2" t="n"/>
      <c r="O393" s="2" t="n"/>
      <c r="P393" s="2" t="n"/>
      <c r="Q393" s="2">
        <f>IF(G393="","",TODAY()-G393)</f>
        <v/>
      </c>
    </row>
    <row r="394">
      <c r="A394" s="2" t="n"/>
      <c r="B394" s="2" t="n"/>
      <c r="C394" s="2" t="n"/>
      <c r="D394" s="2" t="n"/>
      <c r="E394" s="2" t="n"/>
      <c r="F394" s="2" t="n"/>
      <c r="G394" s="2" t="n"/>
      <c r="H394" s="2" t="n"/>
      <c r="I394" s="2" t="n"/>
      <c r="J394" s="2" t="n"/>
      <c r="K394" s="2" t="n"/>
      <c r="L394" s="2" t="n"/>
      <c r="M394" s="2" t="n"/>
      <c r="N394" s="2" t="n"/>
      <c r="O394" s="2" t="n"/>
      <c r="P394" s="2" t="n"/>
      <c r="Q394" s="2">
        <f>IF(G394="","",TODAY()-G394)</f>
        <v/>
      </c>
    </row>
    <row r="395">
      <c r="A395" s="2" t="n"/>
      <c r="B395" s="2" t="n"/>
      <c r="C395" s="2" t="n"/>
      <c r="D395" s="2" t="n"/>
      <c r="E395" s="2" t="n"/>
      <c r="F395" s="2" t="n"/>
      <c r="G395" s="2" t="n"/>
      <c r="H395" s="2" t="n"/>
      <c r="I395" s="2" t="n"/>
      <c r="J395" s="2" t="n"/>
      <c r="K395" s="2" t="n"/>
      <c r="L395" s="2" t="n"/>
      <c r="M395" s="2" t="n"/>
      <c r="N395" s="2" t="n"/>
      <c r="O395" s="2" t="n"/>
      <c r="P395" s="2" t="n"/>
      <c r="Q395" s="2">
        <f>IF(G395="","",TODAY()-G395)</f>
        <v/>
      </c>
    </row>
    <row r="396">
      <c r="A396" s="2" t="n"/>
      <c r="B396" s="2" t="n"/>
      <c r="C396" s="2" t="n"/>
      <c r="D396" s="2" t="n"/>
      <c r="E396" s="2" t="n"/>
      <c r="F396" s="2" t="n"/>
      <c r="G396" s="2" t="n"/>
      <c r="H396" s="2" t="n"/>
      <c r="I396" s="2" t="n"/>
      <c r="J396" s="2" t="n"/>
      <c r="K396" s="2" t="n"/>
      <c r="L396" s="2" t="n"/>
      <c r="M396" s="2" t="n"/>
      <c r="N396" s="2" t="n"/>
      <c r="O396" s="2" t="n"/>
      <c r="P396" s="2" t="n"/>
      <c r="Q396" s="2">
        <f>IF(G396="","",TODAY()-G396)</f>
        <v/>
      </c>
    </row>
    <row r="397">
      <c r="A397" s="2" t="n"/>
      <c r="B397" s="2" t="n"/>
      <c r="C397" s="2" t="n"/>
      <c r="D397" s="2" t="n"/>
      <c r="E397" s="2" t="n"/>
      <c r="F397" s="2" t="n"/>
      <c r="G397" s="2" t="n"/>
      <c r="H397" s="2" t="n"/>
      <c r="I397" s="2" t="n"/>
      <c r="J397" s="2" t="n"/>
      <c r="K397" s="2" t="n"/>
      <c r="L397" s="2" t="n"/>
      <c r="M397" s="2" t="n"/>
      <c r="N397" s="2" t="n"/>
      <c r="O397" s="2" t="n"/>
      <c r="P397" s="2" t="n"/>
      <c r="Q397" s="2">
        <f>IF(G397="","",TODAY()-G397)</f>
        <v/>
      </c>
    </row>
    <row r="398">
      <c r="A398" s="2" t="n"/>
      <c r="B398" s="2" t="n"/>
      <c r="C398" s="2" t="n"/>
      <c r="D398" s="2" t="n"/>
      <c r="E398" s="2" t="n"/>
      <c r="F398" s="2" t="n"/>
      <c r="G398" s="2" t="n"/>
      <c r="H398" s="2" t="n"/>
      <c r="I398" s="2" t="n"/>
      <c r="J398" s="2" t="n"/>
      <c r="K398" s="2" t="n"/>
      <c r="L398" s="2" t="n"/>
      <c r="M398" s="2" t="n"/>
      <c r="N398" s="2" t="n"/>
      <c r="O398" s="2" t="n"/>
      <c r="P398" s="2" t="n"/>
      <c r="Q398" s="2">
        <f>IF(G398="","",TODAY()-G398)</f>
        <v/>
      </c>
    </row>
    <row r="399">
      <c r="A399" s="2" t="n"/>
      <c r="B399" s="2" t="n"/>
      <c r="C399" s="2" t="n"/>
      <c r="D399" s="2" t="n"/>
      <c r="E399" s="2" t="n"/>
      <c r="F399" s="2" t="n"/>
      <c r="G399" s="2" t="n"/>
      <c r="H399" s="2" t="n"/>
      <c r="I399" s="2" t="n"/>
      <c r="J399" s="2" t="n"/>
      <c r="K399" s="2" t="n"/>
      <c r="L399" s="2" t="n"/>
      <c r="M399" s="2" t="n"/>
      <c r="N399" s="2" t="n"/>
      <c r="O399" s="2" t="n"/>
      <c r="P399" s="2" t="n"/>
      <c r="Q399" s="2">
        <f>IF(G399="","",TODAY()-G399)</f>
        <v/>
      </c>
    </row>
    <row r="400">
      <c r="A400" s="2" t="n"/>
      <c r="B400" s="2" t="n"/>
      <c r="C400" s="2" t="n"/>
      <c r="D400" s="2" t="n"/>
      <c r="E400" s="2" t="n"/>
      <c r="F400" s="2" t="n"/>
      <c r="G400" s="2" t="n"/>
      <c r="H400" s="2" t="n"/>
      <c r="I400" s="2" t="n"/>
      <c r="J400" s="2" t="n"/>
      <c r="K400" s="2" t="n"/>
      <c r="L400" s="2" t="n"/>
      <c r="M400" s="2" t="n"/>
      <c r="N400" s="2" t="n"/>
      <c r="O400" s="2" t="n"/>
      <c r="P400" s="2" t="n"/>
      <c r="Q400" s="2">
        <f>IF(G400="","",TODAY()-G400)</f>
        <v/>
      </c>
    </row>
    <row r="401">
      <c r="A401" s="2" t="n"/>
      <c r="B401" s="2" t="n"/>
      <c r="C401" s="2" t="n"/>
      <c r="D401" s="2" t="n"/>
      <c r="E401" s="2" t="n"/>
      <c r="F401" s="2" t="n"/>
      <c r="G401" s="2" t="n"/>
      <c r="H401" s="2" t="n"/>
      <c r="I401" s="2" t="n"/>
      <c r="J401" s="2" t="n"/>
      <c r="K401" s="2" t="n"/>
      <c r="L401" s="2" t="n"/>
      <c r="M401" s="2" t="n"/>
      <c r="N401" s="2" t="n"/>
      <c r="O401" s="2" t="n"/>
      <c r="P401" s="2" t="n"/>
      <c r="Q401" s="2">
        <f>IF(G401="","",TODAY()-G401)</f>
        <v/>
      </c>
    </row>
    <row r="402">
      <c r="A402" s="2" t="n"/>
      <c r="B402" s="2" t="n"/>
      <c r="C402" s="2" t="n"/>
      <c r="D402" s="2" t="n"/>
      <c r="E402" s="2" t="n"/>
      <c r="F402" s="2" t="n"/>
      <c r="G402" s="2" t="n"/>
      <c r="H402" s="2" t="n"/>
      <c r="I402" s="2" t="n"/>
      <c r="J402" s="2" t="n"/>
      <c r="K402" s="2" t="n"/>
      <c r="L402" s="2" t="n"/>
      <c r="M402" s="2" t="n"/>
      <c r="N402" s="2" t="n"/>
      <c r="O402" s="2" t="n"/>
      <c r="P402" s="2" t="n"/>
      <c r="Q402" s="2">
        <f>IF(G402="","",TODAY()-G402)</f>
        <v/>
      </c>
    </row>
    <row r="403">
      <c r="A403" s="2" t="n"/>
      <c r="B403" s="2" t="n"/>
      <c r="C403" s="2" t="n"/>
      <c r="D403" s="2" t="n"/>
      <c r="E403" s="2" t="n"/>
      <c r="F403" s="2" t="n"/>
      <c r="G403" s="2" t="n"/>
      <c r="H403" s="2" t="n"/>
      <c r="I403" s="2" t="n"/>
      <c r="J403" s="2" t="n"/>
      <c r="K403" s="2" t="n"/>
      <c r="L403" s="2" t="n"/>
      <c r="M403" s="2" t="n"/>
      <c r="N403" s="2" t="n"/>
      <c r="O403" s="2" t="n"/>
      <c r="P403" s="2" t="n"/>
      <c r="Q403" s="2">
        <f>IF(G403="","",TODAY()-G403)</f>
        <v/>
      </c>
    </row>
    <row r="404">
      <c r="A404" s="2" t="n"/>
      <c r="B404" s="2" t="n"/>
      <c r="C404" s="2" t="n"/>
      <c r="D404" s="2" t="n"/>
      <c r="E404" s="2" t="n"/>
      <c r="F404" s="2" t="n"/>
      <c r="G404" s="2" t="n"/>
      <c r="H404" s="2" t="n"/>
      <c r="I404" s="2" t="n"/>
      <c r="J404" s="2" t="n"/>
      <c r="K404" s="2" t="n"/>
      <c r="L404" s="2" t="n"/>
      <c r="M404" s="2" t="n"/>
      <c r="N404" s="2" t="n"/>
      <c r="O404" s="2" t="n"/>
      <c r="P404" s="2" t="n"/>
      <c r="Q404" s="2">
        <f>IF(G404="","",TODAY()-G404)</f>
        <v/>
      </c>
    </row>
    <row r="405">
      <c r="A405" s="2" t="n"/>
      <c r="B405" s="2" t="n"/>
      <c r="C405" s="2" t="n"/>
      <c r="D405" s="2" t="n"/>
      <c r="E405" s="2" t="n"/>
      <c r="F405" s="2" t="n"/>
      <c r="G405" s="2" t="n"/>
      <c r="H405" s="2" t="n"/>
      <c r="I405" s="2" t="n"/>
      <c r="J405" s="2" t="n"/>
      <c r="K405" s="2" t="n"/>
      <c r="L405" s="2" t="n"/>
      <c r="M405" s="2" t="n"/>
      <c r="N405" s="2" t="n"/>
      <c r="O405" s="2" t="n"/>
      <c r="P405" s="2" t="n"/>
      <c r="Q405" s="2">
        <f>IF(G405="","",TODAY()-G405)</f>
        <v/>
      </c>
    </row>
    <row r="406">
      <c r="A406" s="2" t="n"/>
      <c r="B406" s="2" t="n"/>
      <c r="C406" s="2" t="n"/>
      <c r="D406" s="2" t="n"/>
      <c r="E406" s="2" t="n"/>
      <c r="F406" s="2" t="n"/>
      <c r="G406" s="2" t="n"/>
      <c r="H406" s="2" t="n"/>
      <c r="I406" s="2" t="n"/>
      <c r="J406" s="2" t="n"/>
      <c r="K406" s="2" t="n"/>
      <c r="L406" s="2" t="n"/>
      <c r="M406" s="2" t="n"/>
      <c r="N406" s="2" t="n"/>
      <c r="O406" s="2" t="n"/>
      <c r="P406" s="2" t="n"/>
      <c r="Q406" s="2">
        <f>IF(G406="","",TODAY()-G406)</f>
        <v/>
      </c>
    </row>
    <row r="407">
      <c r="A407" s="2" t="n"/>
      <c r="B407" s="2" t="n"/>
      <c r="C407" s="2" t="n"/>
      <c r="D407" s="2" t="n"/>
      <c r="E407" s="2" t="n"/>
      <c r="F407" s="2" t="n"/>
      <c r="G407" s="2" t="n"/>
      <c r="H407" s="2" t="n"/>
      <c r="I407" s="2" t="n"/>
      <c r="J407" s="2" t="n"/>
      <c r="K407" s="2" t="n"/>
      <c r="L407" s="2" t="n"/>
      <c r="M407" s="2" t="n"/>
      <c r="N407" s="2" t="n"/>
      <c r="O407" s="2" t="n"/>
      <c r="P407" s="2" t="n"/>
      <c r="Q407" s="2">
        <f>IF(G407="","",TODAY()-G407)</f>
        <v/>
      </c>
    </row>
    <row r="408">
      <c r="A408" s="2" t="n"/>
      <c r="B408" s="2" t="n"/>
      <c r="C408" s="2" t="n"/>
      <c r="D408" s="2" t="n"/>
      <c r="E408" s="2" t="n"/>
      <c r="F408" s="2" t="n"/>
      <c r="G408" s="2" t="n"/>
      <c r="H408" s="2" t="n"/>
      <c r="I408" s="2" t="n"/>
      <c r="J408" s="2" t="n"/>
      <c r="K408" s="2" t="n"/>
      <c r="L408" s="2" t="n"/>
      <c r="M408" s="2" t="n"/>
      <c r="N408" s="2" t="n"/>
      <c r="O408" s="2" t="n"/>
      <c r="P408" s="2" t="n"/>
      <c r="Q408" s="2">
        <f>IF(G408="","",TODAY()-G408)</f>
        <v/>
      </c>
    </row>
    <row r="409">
      <c r="A409" s="2" t="n"/>
      <c r="B409" s="2" t="n"/>
      <c r="C409" s="2" t="n"/>
      <c r="D409" s="2" t="n"/>
      <c r="E409" s="2" t="n"/>
      <c r="F409" s="2" t="n"/>
      <c r="G409" s="2" t="n"/>
      <c r="H409" s="2" t="n"/>
      <c r="I409" s="2" t="n"/>
      <c r="J409" s="2" t="n"/>
      <c r="K409" s="2" t="n"/>
      <c r="L409" s="2" t="n"/>
      <c r="M409" s="2" t="n"/>
      <c r="N409" s="2" t="n"/>
      <c r="O409" s="2" t="n"/>
      <c r="P409" s="2" t="n"/>
      <c r="Q409" s="2">
        <f>IF(G409="","",TODAY()-G409)</f>
        <v/>
      </c>
    </row>
    <row r="410">
      <c r="A410" s="2" t="n"/>
      <c r="B410" s="2" t="n"/>
      <c r="C410" s="2" t="n"/>
      <c r="D410" s="2" t="n"/>
      <c r="E410" s="2" t="n"/>
      <c r="F410" s="2" t="n"/>
      <c r="G410" s="2" t="n"/>
      <c r="H410" s="2" t="n"/>
      <c r="I410" s="2" t="n"/>
      <c r="J410" s="2" t="n"/>
      <c r="K410" s="2" t="n"/>
      <c r="L410" s="2" t="n"/>
      <c r="M410" s="2" t="n"/>
      <c r="N410" s="2" t="n"/>
      <c r="O410" s="2" t="n"/>
      <c r="P410" s="2" t="n"/>
      <c r="Q410" s="2">
        <f>IF(G410="","",TODAY()-G410)</f>
        <v/>
      </c>
    </row>
    <row r="411">
      <c r="A411" s="2" t="n"/>
      <c r="B411" s="2" t="n"/>
      <c r="C411" s="2" t="n"/>
      <c r="D411" s="2" t="n"/>
      <c r="E411" s="2" t="n"/>
      <c r="F411" s="2" t="n"/>
      <c r="G411" s="2" t="n"/>
      <c r="H411" s="2" t="n"/>
      <c r="I411" s="2" t="n"/>
      <c r="J411" s="2" t="n"/>
      <c r="K411" s="2" t="n"/>
      <c r="L411" s="2" t="n"/>
      <c r="M411" s="2" t="n"/>
      <c r="N411" s="2" t="n"/>
      <c r="O411" s="2" t="n"/>
      <c r="P411" s="2" t="n"/>
      <c r="Q411" s="2">
        <f>IF(G411="","",TODAY()-G411)</f>
        <v/>
      </c>
    </row>
    <row r="412">
      <c r="A412" s="2" t="n"/>
      <c r="B412" s="2" t="n"/>
      <c r="C412" s="2" t="n"/>
      <c r="D412" s="2" t="n"/>
      <c r="E412" s="2" t="n"/>
      <c r="F412" s="2" t="n"/>
      <c r="G412" s="2" t="n"/>
      <c r="H412" s="2" t="n"/>
      <c r="I412" s="2" t="n"/>
      <c r="J412" s="2" t="n"/>
      <c r="K412" s="2" t="n"/>
      <c r="L412" s="2" t="n"/>
      <c r="M412" s="2" t="n"/>
      <c r="N412" s="2" t="n"/>
      <c r="O412" s="2" t="n"/>
      <c r="P412" s="2" t="n"/>
      <c r="Q412" s="2">
        <f>IF(G412="","",TODAY()-G412)</f>
        <v/>
      </c>
    </row>
    <row r="413">
      <c r="A413" s="2" t="n"/>
      <c r="B413" s="2" t="n"/>
      <c r="C413" s="2" t="n"/>
      <c r="D413" s="2" t="n"/>
      <c r="E413" s="2" t="n"/>
      <c r="F413" s="2" t="n"/>
      <c r="G413" s="2" t="n"/>
      <c r="H413" s="2" t="n"/>
      <c r="I413" s="2" t="n"/>
      <c r="J413" s="2" t="n"/>
      <c r="K413" s="2" t="n"/>
      <c r="L413" s="2" t="n"/>
      <c r="M413" s="2" t="n"/>
      <c r="N413" s="2" t="n"/>
      <c r="O413" s="2" t="n"/>
      <c r="P413" s="2" t="n"/>
      <c r="Q413" s="2">
        <f>IF(G413="","",TODAY()-G413)</f>
        <v/>
      </c>
    </row>
    <row r="414">
      <c r="A414" s="2" t="n"/>
      <c r="B414" s="2" t="n"/>
      <c r="C414" s="2" t="n"/>
      <c r="D414" s="2" t="n"/>
      <c r="E414" s="2" t="n"/>
      <c r="F414" s="2" t="n"/>
      <c r="G414" s="2" t="n"/>
      <c r="H414" s="2" t="n"/>
      <c r="I414" s="2" t="n"/>
      <c r="J414" s="2" t="n"/>
      <c r="K414" s="2" t="n"/>
      <c r="L414" s="2" t="n"/>
      <c r="M414" s="2" t="n"/>
      <c r="N414" s="2" t="n"/>
      <c r="O414" s="2" t="n"/>
      <c r="P414" s="2" t="n"/>
      <c r="Q414" s="2">
        <f>IF(G414="","",TODAY()-G414)</f>
        <v/>
      </c>
    </row>
    <row r="415">
      <c r="A415" s="2" t="n"/>
      <c r="B415" s="2" t="n"/>
      <c r="C415" s="2" t="n"/>
      <c r="D415" s="2" t="n"/>
      <c r="E415" s="2" t="n"/>
      <c r="F415" s="2" t="n"/>
      <c r="G415" s="2" t="n"/>
      <c r="H415" s="2" t="n"/>
      <c r="I415" s="2" t="n"/>
      <c r="J415" s="2" t="n"/>
      <c r="K415" s="2" t="n"/>
      <c r="L415" s="2" t="n"/>
      <c r="M415" s="2" t="n"/>
      <c r="N415" s="2" t="n"/>
      <c r="O415" s="2" t="n"/>
      <c r="P415" s="2" t="n"/>
      <c r="Q415" s="2">
        <f>IF(G415="","",TODAY()-G415)</f>
        <v/>
      </c>
    </row>
    <row r="416">
      <c r="A416" s="2" t="n"/>
      <c r="B416" s="2" t="n"/>
      <c r="C416" s="2" t="n"/>
      <c r="D416" s="2" t="n"/>
      <c r="E416" s="2" t="n"/>
      <c r="F416" s="2" t="n"/>
      <c r="G416" s="2" t="n"/>
      <c r="H416" s="2" t="n"/>
      <c r="I416" s="2" t="n"/>
      <c r="J416" s="2" t="n"/>
      <c r="K416" s="2" t="n"/>
      <c r="L416" s="2" t="n"/>
      <c r="M416" s="2" t="n"/>
      <c r="N416" s="2" t="n"/>
      <c r="O416" s="2" t="n"/>
      <c r="P416" s="2" t="n"/>
      <c r="Q416" s="2">
        <f>IF(G416="","",TODAY()-G416)</f>
        <v/>
      </c>
    </row>
    <row r="417">
      <c r="A417" s="2" t="n"/>
      <c r="B417" s="2" t="n"/>
      <c r="C417" s="2" t="n"/>
      <c r="D417" s="2" t="n"/>
      <c r="E417" s="2" t="n"/>
      <c r="F417" s="2" t="n"/>
      <c r="G417" s="2" t="n"/>
      <c r="H417" s="2" t="n"/>
      <c r="I417" s="2" t="n"/>
      <c r="J417" s="2" t="n"/>
      <c r="K417" s="2" t="n"/>
      <c r="L417" s="2" t="n"/>
      <c r="M417" s="2" t="n"/>
      <c r="N417" s="2" t="n"/>
      <c r="O417" s="2" t="n"/>
      <c r="P417" s="2" t="n"/>
      <c r="Q417" s="2">
        <f>IF(G417="","",TODAY()-G417)</f>
        <v/>
      </c>
    </row>
    <row r="418">
      <c r="A418" s="2" t="n"/>
      <c r="B418" s="2" t="n"/>
      <c r="C418" s="2" t="n"/>
      <c r="D418" s="2" t="n"/>
      <c r="E418" s="2" t="n"/>
      <c r="F418" s="2" t="n"/>
      <c r="G418" s="2" t="n"/>
      <c r="H418" s="2" t="n"/>
      <c r="I418" s="2" t="n"/>
      <c r="J418" s="2" t="n"/>
      <c r="K418" s="2" t="n"/>
      <c r="L418" s="2" t="n"/>
      <c r="M418" s="2" t="n"/>
      <c r="N418" s="2" t="n"/>
      <c r="O418" s="2" t="n"/>
      <c r="P418" s="2" t="n"/>
      <c r="Q418" s="2">
        <f>IF(G418="","",TODAY()-G418)</f>
        <v/>
      </c>
    </row>
    <row r="419">
      <c r="A419" s="2" t="n"/>
      <c r="B419" s="2" t="n"/>
      <c r="C419" s="2" t="n"/>
      <c r="D419" s="2" t="n"/>
      <c r="E419" s="2" t="n"/>
      <c r="F419" s="2" t="n"/>
      <c r="G419" s="2" t="n"/>
      <c r="H419" s="2" t="n"/>
      <c r="I419" s="2" t="n"/>
      <c r="J419" s="2" t="n"/>
      <c r="K419" s="2" t="n"/>
      <c r="L419" s="2" t="n"/>
      <c r="M419" s="2" t="n"/>
      <c r="N419" s="2" t="n"/>
      <c r="O419" s="2" t="n"/>
      <c r="P419" s="2" t="n"/>
      <c r="Q419" s="2">
        <f>IF(G419="","",TODAY()-G419)</f>
        <v/>
      </c>
    </row>
    <row r="420">
      <c r="A420" s="2" t="n"/>
      <c r="B420" s="2" t="n"/>
      <c r="C420" s="2" t="n"/>
      <c r="D420" s="2" t="n"/>
      <c r="E420" s="2" t="n"/>
      <c r="F420" s="2" t="n"/>
      <c r="G420" s="2" t="n"/>
      <c r="H420" s="2" t="n"/>
      <c r="I420" s="2" t="n"/>
      <c r="J420" s="2" t="n"/>
      <c r="K420" s="2" t="n"/>
      <c r="L420" s="2" t="n"/>
      <c r="M420" s="2" t="n"/>
      <c r="N420" s="2" t="n"/>
      <c r="O420" s="2" t="n"/>
      <c r="P420" s="2" t="n"/>
      <c r="Q420" s="2">
        <f>IF(G420="","",TODAY()-G420)</f>
        <v/>
      </c>
    </row>
    <row r="421">
      <c r="A421" s="2" t="n"/>
      <c r="B421" s="2" t="n"/>
      <c r="C421" s="2" t="n"/>
      <c r="D421" s="2" t="n"/>
      <c r="E421" s="2" t="n"/>
      <c r="F421" s="2" t="n"/>
      <c r="G421" s="2" t="n"/>
      <c r="H421" s="2" t="n"/>
      <c r="I421" s="2" t="n"/>
      <c r="J421" s="2" t="n"/>
      <c r="K421" s="2" t="n"/>
      <c r="L421" s="2" t="n"/>
      <c r="M421" s="2" t="n"/>
      <c r="N421" s="2" t="n"/>
      <c r="O421" s="2" t="n"/>
      <c r="P421" s="2" t="n"/>
      <c r="Q421" s="2">
        <f>IF(G421="","",TODAY()-G421)</f>
        <v/>
      </c>
    </row>
    <row r="422">
      <c r="A422" s="2" t="n"/>
      <c r="B422" s="2" t="n"/>
      <c r="C422" s="2" t="n"/>
      <c r="D422" s="2" t="n"/>
      <c r="E422" s="2" t="n"/>
      <c r="F422" s="2" t="n"/>
      <c r="G422" s="2" t="n"/>
      <c r="H422" s="2" t="n"/>
      <c r="I422" s="2" t="n"/>
      <c r="J422" s="2" t="n"/>
      <c r="K422" s="2" t="n"/>
      <c r="L422" s="2" t="n"/>
      <c r="M422" s="2" t="n"/>
      <c r="N422" s="2" t="n"/>
      <c r="O422" s="2" t="n"/>
      <c r="P422" s="2" t="n"/>
      <c r="Q422" s="2">
        <f>IF(G422="","",TODAY()-G422)</f>
        <v/>
      </c>
    </row>
    <row r="423">
      <c r="A423" s="2" t="n"/>
      <c r="B423" s="2" t="n"/>
      <c r="C423" s="2" t="n"/>
      <c r="D423" s="2" t="n"/>
      <c r="E423" s="2" t="n"/>
      <c r="F423" s="2" t="n"/>
      <c r="G423" s="2" t="n"/>
      <c r="H423" s="2" t="n"/>
      <c r="I423" s="2" t="n"/>
      <c r="J423" s="2" t="n"/>
      <c r="K423" s="2" t="n"/>
      <c r="L423" s="2" t="n"/>
      <c r="M423" s="2" t="n"/>
      <c r="N423" s="2" t="n"/>
      <c r="O423" s="2" t="n"/>
      <c r="P423" s="2" t="n"/>
      <c r="Q423" s="2">
        <f>IF(G423="","",TODAY()-G423)</f>
        <v/>
      </c>
    </row>
    <row r="424">
      <c r="A424" s="2" t="n"/>
      <c r="B424" s="2" t="n"/>
      <c r="C424" s="2" t="n"/>
      <c r="D424" s="2" t="n"/>
      <c r="E424" s="2" t="n"/>
      <c r="F424" s="2" t="n"/>
      <c r="G424" s="2" t="n"/>
      <c r="H424" s="2" t="n"/>
      <c r="I424" s="2" t="n"/>
      <c r="J424" s="2" t="n"/>
      <c r="K424" s="2" t="n"/>
      <c r="L424" s="2" t="n"/>
      <c r="M424" s="2" t="n"/>
      <c r="N424" s="2" t="n"/>
      <c r="O424" s="2" t="n"/>
      <c r="P424" s="2" t="n"/>
      <c r="Q424" s="2">
        <f>IF(G424="","",TODAY()-G424)</f>
        <v/>
      </c>
    </row>
    <row r="425">
      <c r="A425" s="2" t="n"/>
      <c r="B425" s="2" t="n"/>
      <c r="C425" s="2" t="n"/>
      <c r="D425" s="2" t="n"/>
      <c r="E425" s="2" t="n"/>
      <c r="F425" s="2" t="n"/>
      <c r="G425" s="2" t="n"/>
      <c r="H425" s="2" t="n"/>
      <c r="I425" s="2" t="n"/>
      <c r="J425" s="2" t="n"/>
      <c r="K425" s="2" t="n"/>
      <c r="L425" s="2" t="n"/>
      <c r="M425" s="2" t="n"/>
      <c r="N425" s="2" t="n"/>
      <c r="O425" s="2" t="n"/>
      <c r="P425" s="2" t="n"/>
      <c r="Q425" s="2">
        <f>IF(G425="","",TODAY()-G425)</f>
        <v/>
      </c>
    </row>
    <row r="426">
      <c r="A426" s="2" t="n"/>
      <c r="B426" s="2" t="n"/>
      <c r="C426" s="2" t="n"/>
      <c r="D426" s="2" t="n"/>
      <c r="E426" s="2" t="n"/>
      <c r="F426" s="2" t="n"/>
      <c r="G426" s="2" t="n"/>
      <c r="H426" s="2" t="n"/>
      <c r="I426" s="2" t="n"/>
      <c r="J426" s="2" t="n"/>
      <c r="K426" s="2" t="n"/>
      <c r="L426" s="2" t="n"/>
      <c r="M426" s="2" t="n"/>
      <c r="N426" s="2" t="n"/>
      <c r="O426" s="2" t="n"/>
      <c r="P426" s="2" t="n"/>
      <c r="Q426" s="2">
        <f>IF(G426="","",TODAY()-G426)</f>
        <v/>
      </c>
    </row>
    <row r="427">
      <c r="A427" s="2" t="n"/>
      <c r="B427" s="2" t="n"/>
      <c r="C427" s="2" t="n"/>
      <c r="D427" s="2" t="n"/>
      <c r="E427" s="2" t="n"/>
      <c r="F427" s="2" t="n"/>
      <c r="G427" s="2" t="n"/>
      <c r="H427" s="2" t="n"/>
      <c r="I427" s="2" t="n"/>
      <c r="J427" s="2" t="n"/>
      <c r="K427" s="2" t="n"/>
      <c r="L427" s="2" t="n"/>
      <c r="M427" s="2" t="n"/>
      <c r="N427" s="2" t="n"/>
      <c r="O427" s="2" t="n"/>
      <c r="P427" s="2" t="n"/>
      <c r="Q427" s="2">
        <f>IF(G427="","",TODAY()-G427)</f>
        <v/>
      </c>
    </row>
    <row r="428">
      <c r="A428" s="2" t="n"/>
      <c r="B428" s="2" t="n"/>
      <c r="C428" s="2" t="n"/>
      <c r="D428" s="2" t="n"/>
      <c r="E428" s="2" t="n"/>
      <c r="F428" s="2" t="n"/>
      <c r="G428" s="2" t="n"/>
      <c r="H428" s="2" t="n"/>
      <c r="I428" s="2" t="n"/>
      <c r="J428" s="2" t="n"/>
      <c r="K428" s="2" t="n"/>
      <c r="L428" s="2" t="n"/>
      <c r="M428" s="2" t="n"/>
      <c r="N428" s="2" t="n"/>
      <c r="O428" s="2" t="n"/>
      <c r="P428" s="2" t="n"/>
      <c r="Q428" s="2">
        <f>IF(G428="","",TODAY()-G428)</f>
        <v/>
      </c>
    </row>
    <row r="429">
      <c r="A429" s="2" t="n"/>
      <c r="B429" s="2" t="n"/>
      <c r="C429" s="2" t="n"/>
      <c r="D429" s="2" t="n"/>
      <c r="E429" s="2" t="n"/>
      <c r="F429" s="2" t="n"/>
      <c r="G429" s="2" t="n"/>
      <c r="H429" s="2" t="n"/>
      <c r="I429" s="2" t="n"/>
      <c r="J429" s="2" t="n"/>
      <c r="K429" s="2" t="n"/>
      <c r="L429" s="2" t="n"/>
      <c r="M429" s="2" t="n"/>
      <c r="N429" s="2" t="n"/>
      <c r="O429" s="2" t="n"/>
      <c r="P429" s="2" t="n"/>
      <c r="Q429" s="2">
        <f>IF(G429="","",TODAY()-G429)</f>
        <v/>
      </c>
    </row>
    <row r="430">
      <c r="A430" s="2" t="n"/>
      <c r="B430" s="2" t="n"/>
      <c r="C430" s="2" t="n"/>
      <c r="D430" s="2" t="n"/>
      <c r="E430" s="2" t="n"/>
      <c r="F430" s="2" t="n"/>
      <c r="G430" s="2" t="n"/>
      <c r="H430" s="2" t="n"/>
      <c r="I430" s="2" t="n"/>
      <c r="J430" s="2" t="n"/>
      <c r="K430" s="2" t="n"/>
      <c r="L430" s="2" t="n"/>
      <c r="M430" s="2" t="n"/>
      <c r="N430" s="2" t="n"/>
      <c r="O430" s="2" t="n"/>
      <c r="P430" s="2" t="n"/>
      <c r="Q430" s="2">
        <f>IF(G430="","",TODAY()-G430)</f>
        <v/>
      </c>
    </row>
    <row r="431">
      <c r="A431" s="2" t="n"/>
      <c r="B431" s="2" t="n"/>
      <c r="C431" s="2" t="n"/>
      <c r="D431" s="2" t="n"/>
      <c r="E431" s="2" t="n"/>
      <c r="F431" s="2" t="n"/>
      <c r="G431" s="2" t="n"/>
      <c r="H431" s="2" t="n"/>
      <c r="I431" s="2" t="n"/>
      <c r="J431" s="2" t="n"/>
      <c r="K431" s="2" t="n"/>
      <c r="L431" s="2" t="n"/>
      <c r="M431" s="2" t="n"/>
      <c r="N431" s="2" t="n"/>
      <c r="O431" s="2" t="n"/>
      <c r="P431" s="2" t="n"/>
      <c r="Q431" s="2">
        <f>IF(G431="","",TODAY()-G431)</f>
        <v/>
      </c>
    </row>
    <row r="432">
      <c r="A432" s="2" t="n"/>
      <c r="B432" s="2" t="n"/>
      <c r="C432" s="2" t="n"/>
      <c r="D432" s="2" t="n"/>
      <c r="E432" s="2" t="n"/>
      <c r="F432" s="2" t="n"/>
      <c r="G432" s="2" t="n"/>
      <c r="H432" s="2" t="n"/>
      <c r="I432" s="2" t="n"/>
      <c r="J432" s="2" t="n"/>
      <c r="K432" s="2" t="n"/>
      <c r="L432" s="2" t="n"/>
      <c r="M432" s="2" t="n"/>
      <c r="N432" s="2" t="n"/>
      <c r="O432" s="2" t="n"/>
      <c r="P432" s="2" t="n"/>
      <c r="Q432" s="2">
        <f>IF(G432="","",TODAY()-G432)</f>
        <v/>
      </c>
    </row>
    <row r="433">
      <c r="A433" s="2" t="n"/>
      <c r="B433" s="2" t="n"/>
      <c r="C433" s="2" t="n"/>
      <c r="D433" s="2" t="n"/>
      <c r="E433" s="2" t="n"/>
      <c r="F433" s="2" t="n"/>
      <c r="G433" s="2" t="n"/>
      <c r="H433" s="2" t="n"/>
      <c r="I433" s="2" t="n"/>
      <c r="J433" s="2" t="n"/>
      <c r="K433" s="2" t="n"/>
      <c r="L433" s="2" t="n"/>
      <c r="M433" s="2" t="n"/>
      <c r="N433" s="2" t="n"/>
      <c r="O433" s="2" t="n"/>
      <c r="P433" s="2" t="n"/>
      <c r="Q433" s="2">
        <f>IF(G433="","",TODAY()-G433)</f>
        <v/>
      </c>
    </row>
    <row r="434">
      <c r="A434" s="2" t="n"/>
      <c r="B434" s="2" t="n"/>
      <c r="C434" s="2" t="n"/>
      <c r="D434" s="2" t="n"/>
      <c r="E434" s="2" t="n"/>
      <c r="F434" s="2" t="n"/>
      <c r="G434" s="2" t="n"/>
      <c r="H434" s="2" t="n"/>
      <c r="I434" s="2" t="n"/>
      <c r="J434" s="2" t="n"/>
      <c r="K434" s="2" t="n"/>
      <c r="L434" s="2" t="n"/>
      <c r="M434" s="2" t="n"/>
      <c r="N434" s="2" t="n"/>
      <c r="O434" s="2" t="n"/>
      <c r="P434" s="2" t="n"/>
      <c r="Q434" s="2">
        <f>IF(G434="","",TODAY()-G434)</f>
        <v/>
      </c>
    </row>
    <row r="435">
      <c r="A435" s="2" t="n"/>
      <c r="B435" s="2" t="n"/>
      <c r="C435" s="2" t="n"/>
      <c r="D435" s="2" t="n"/>
      <c r="E435" s="2" t="n"/>
      <c r="F435" s="2" t="n"/>
      <c r="G435" s="2" t="n"/>
      <c r="H435" s="2" t="n"/>
      <c r="I435" s="2" t="n"/>
      <c r="J435" s="2" t="n"/>
      <c r="K435" s="2" t="n"/>
      <c r="L435" s="2" t="n"/>
      <c r="M435" s="2" t="n"/>
      <c r="N435" s="2" t="n"/>
      <c r="O435" s="2" t="n"/>
      <c r="P435" s="2" t="n"/>
      <c r="Q435" s="2">
        <f>IF(G435="","",TODAY()-G435)</f>
        <v/>
      </c>
    </row>
    <row r="436">
      <c r="A436" s="2" t="n"/>
      <c r="B436" s="2" t="n"/>
      <c r="C436" s="2" t="n"/>
      <c r="D436" s="2" t="n"/>
      <c r="E436" s="2" t="n"/>
      <c r="F436" s="2" t="n"/>
      <c r="G436" s="2" t="n"/>
      <c r="H436" s="2" t="n"/>
      <c r="I436" s="2" t="n"/>
      <c r="J436" s="2" t="n"/>
      <c r="K436" s="2" t="n"/>
      <c r="L436" s="2" t="n"/>
      <c r="M436" s="2" t="n"/>
      <c r="N436" s="2" t="n"/>
      <c r="O436" s="2" t="n"/>
      <c r="P436" s="2" t="n"/>
      <c r="Q436" s="2">
        <f>IF(G436="","",TODAY()-G436)</f>
        <v/>
      </c>
    </row>
    <row r="437">
      <c r="A437" s="2" t="n"/>
      <c r="B437" s="2" t="n"/>
      <c r="C437" s="2" t="n"/>
      <c r="D437" s="2" t="n"/>
      <c r="E437" s="2" t="n"/>
      <c r="F437" s="2" t="n"/>
      <c r="G437" s="2" t="n"/>
      <c r="H437" s="2" t="n"/>
      <c r="I437" s="2" t="n"/>
      <c r="J437" s="2" t="n"/>
      <c r="K437" s="2" t="n"/>
      <c r="L437" s="2" t="n"/>
      <c r="M437" s="2" t="n"/>
      <c r="N437" s="2" t="n"/>
      <c r="O437" s="2" t="n"/>
      <c r="P437" s="2" t="n"/>
      <c r="Q437" s="2">
        <f>IF(G437="","",TODAY()-G437)</f>
        <v/>
      </c>
    </row>
    <row r="438">
      <c r="A438" s="2" t="n"/>
      <c r="B438" s="2" t="n"/>
      <c r="C438" s="2" t="n"/>
      <c r="D438" s="2" t="n"/>
      <c r="E438" s="2" t="n"/>
      <c r="F438" s="2" t="n"/>
      <c r="G438" s="2" t="n"/>
      <c r="H438" s="2" t="n"/>
      <c r="I438" s="2" t="n"/>
      <c r="J438" s="2" t="n"/>
      <c r="K438" s="2" t="n"/>
      <c r="L438" s="2" t="n"/>
      <c r="M438" s="2" t="n"/>
      <c r="N438" s="2" t="n"/>
      <c r="O438" s="2" t="n"/>
      <c r="P438" s="2" t="n"/>
      <c r="Q438" s="2">
        <f>IF(G438="","",TODAY()-G438)</f>
        <v/>
      </c>
    </row>
    <row r="439">
      <c r="A439" s="2" t="n"/>
      <c r="B439" s="2" t="n"/>
      <c r="C439" s="2" t="n"/>
      <c r="D439" s="2" t="n"/>
      <c r="E439" s="2" t="n"/>
      <c r="F439" s="2" t="n"/>
      <c r="G439" s="2" t="n"/>
      <c r="H439" s="2" t="n"/>
      <c r="I439" s="2" t="n"/>
      <c r="J439" s="2" t="n"/>
      <c r="K439" s="2" t="n"/>
      <c r="L439" s="2" t="n"/>
      <c r="M439" s="2" t="n"/>
      <c r="N439" s="2" t="n"/>
      <c r="O439" s="2" t="n"/>
      <c r="P439" s="2" t="n"/>
      <c r="Q439" s="2">
        <f>IF(G439="","",TODAY()-G439)</f>
        <v/>
      </c>
    </row>
    <row r="440">
      <c r="A440" s="2" t="n"/>
      <c r="B440" s="2" t="n"/>
      <c r="C440" s="2" t="n"/>
      <c r="D440" s="2" t="n"/>
      <c r="E440" s="2" t="n"/>
      <c r="F440" s="2" t="n"/>
      <c r="G440" s="2" t="n"/>
      <c r="H440" s="2" t="n"/>
      <c r="I440" s="2" t="n"/>
      <c r="J440" s="2" t="n"/>
      <c r="K440" s="2" t="n"/>
      <c r="L440" s="2" t="n"/>
      <c r="M440" s="2" t="n"/>
      <c r="N440" s="2" t="n"/>
      <c r="O440" s="2" t="n"/>
      <c r="P440" s="2" t="n"/>
      <c r="Q440" s="2">
        <f>IF(G440="","",TODAY()-G440)</f>
        <v/>
      </c>
    </row>
    <row r="441">
      <c r="A441" s="2" t="n"/>
      <c r="B441" s="2" t="n"/>
      <c r="C441" s="2" t="n"/>
      <c r="D441" s="2" t="n"/>
      <c r="E441" s="2" t="n"/>
      <c r="F441" s="2" t="n"/>
      <c r="G441" s="2" t="n"/>
      <c r="H441" s="2" t="n"/>
      <c r="I441" s="2" t="n"/>
      <c r="J441" s="2" t="n"/>
      <c r="K441" s="2" t="n"/>
      <c r="L441" s="2" t="n"/>
      <c r="M441" s="2" t="n"/>
      <c r="N441" s="2" t="n"/>
      <c r="O441" s="2" t="n"/>
      <c r="P441" s="2" t="n"/>
      <c r="Q441" s="2">
        <f>IF(G441="","",TODAY()-G441)</f>
        <v/>
      </c>
    </row>
    <row r="442">
      <c r="A442" s="2" t="n"/>
      <c r="B442" s="2" t="n"/>
      <c r="C442" s="2" t="n"/>
      <c r="D442" s="2" t="n"/>
      <c r="E442" s="2" t="n"/>
      <c r="F442" s="2" t="n"/>
      <c r="G442" s="2" t="n"/>
      <c r="H442" s="2" t="n"/>
      <c r="I442" s="2" t="n"/>
      <c r="J442" s="2" t="n"/>
      <c r="K442" s="2" t="n"/>
      <c r="L442" s="2" t="n"/>
      <c r="M442" s="2" t="n"/>
      <c r="N442" s="2" t="n"/>
      <c r="O442" s="2" t="n"/>
      <c r="P442" s="2" t="n"/>
      <c r="Q442" s="2">
        <f>IF(G442="","",TODAY()-G442)</f>
        <v/>
      </c>
    </row>
    <row r="443">
      <c r="A443" s="2" t="n"/>
      <c r="B443" s="2" t="n"/>
      <c r="C443" s="2" t="n"/>
      <c r="D443" s="2" t="n"/>
      <c r="E443" s="2" t="n"/>
      <c r="F443" s="2" t="n"/>
      <c r="G443" s="2" t="n"/>
      <c r="H443" s="2" t="n"/>
      <c r="I443" s="2" t="n"/>
      <c r="J443" s="2" t="n"/>
      <c r="K443" s="2" t="n"/>
      <c r="L443" s="2" t="n"/>
      <c r="M443" s="2" t="n"/>
      <c r="N443" s="2" t="n"/>
      <c r="O443" s="2" t="n"/>
      <c r="P443" s="2" t="n"/>
      <c r="Q443" s="2">
        <f>IF(G443="","",TODAY()-G443)</f>
        <v/>
      </c>
    </row>
    <row r="444">
      <c r="A444" s="2" t="n"/>
      <c r="B444" s="2" t="n"/>
      <c r="C444" s="2" t="n"/>
      <c r="D444" s="2" t="n"/>
      <c r="E444" s="2" t="n"/>
      <c r="F444" s="2" t="n"/>
      <c r="G444" s="2" t="n"/>
      <c r="H444" s="2" t="n"/>
      <c r="I444" s="2" t="n"/>
      <c r="J444" s="2" t="n"/>
      <c r="K444" s="2" t="n"/>
      <c r="L444" s="2" t="n"/>
      <c r="M444" s="2" t="n"/>
      <c r="N444" s="2" t="n"/>
      <c r="O444" s="2" t="n"/>
      <c r="P444" s="2" t="n"/>
      <c r="Q444" s="2">
        <f>IF(G444="","",TODAY()-G444)</f>
        <v/>
      </c>
    </row>
    <row r="445">
      <c r="A445" s="2" t="n"/>
      <c r="B445" s="2" t="n"/>
      <c r="C445" s="2" t="n"/>
      <c r="D445" s="2" t="n"/>
      <c r="E445" s="2" t="n"/>
      <c r="F445" s="2" t="n"/>
      <c r="G445" s="2" t="n"/>
      <c r="H445" s="2" t="n"/>
      <c r="I445" s="2" t="n"/>
      <c r="J445" s="2" t="n"/>
      <c r="K445" s="2" t="n"/>
      <c r="L445" s="2" t="n"/>
      <c r="M445" s="2" t="n"/>
      <c r="N445" s="2" t="n"/>
      <c r="O445" s="2" t="n"/>
      <c r="P445" s="2" t="n"/>
      <c r="Q445" s="2">
        <f>IF(G445="","",TODAY()-G445)</f>
        <v/>
      </c>
    </row>
    <row r="446">
      <c r="A446" s="2" t="n"/>
      <c r="B446" s="2" t="n"/>
      <c r="C446" s="2" t="n"/>
      <c r="D446" s="2" t="n"/>
      <c r="E446" s="2" t="n"/>
      <c r="F446" s="2" t="n"/>
      <c r="G446" s="2" t="n"/>
      <c r="H446" s="2" t="n"/>
      <c r="I446" s="2" t="n"/>
      <c r="J446" s="2" t="n"/>
      <c r="K446" s="2" t="n"/>
      <c r="L446" s="2" t="n"/>
      <c r="M446" s="2" t="n"/>
      <c r="N446" s="2" t="n"/>
      <c r="O446" s="2" t="n"/>
      <c r="P446" s="2" t="n"/>
      <c r="Q446" s="2">
        <f>IF(G446="","",TODAY()-G446)</f>
        <v/>
      </c>
    </row>
    <row r="447">
      <c r="A447" s="2" t="n"/>
      <c r="B447" s="2" t="n"/>
      <c r="C447" s="2" t="n"/>
      <c r="D447" s="2" t="n"/>
      <c r="E447" s="2" t="n"/>
      <c r="F447" s="2" t="n"/>
      <c r="G447" s="2" t="n"/>
      <c r="H447" s="2" t="n"/>
      <c r="I447" s="2" t="n"/>
      <c r="J447" s="2" t="n"/>
      <c r="K447" s="2" t="n"/>
      <c r="L447" s="2" t="n"/>
      <c r="M447" s="2" t="n"/>
      <c r="N447" s="2" t="n"/>
      <c r="O447" s="2" t="n"/>
      <c r="P447" s="2" t="n"/>
      <c r="Q447" s="2">
        <f>IF(G447="","",TODAY()-G447)</f>
        <v/>
      </c>
    </row>
    <row r="448">
      <c r="A448" s="2" t="n"/>
      <c r="B448" s="2" t="n"/>
      <c r="C448" s="2" t="n"/>
      <c r="D448" s="2" t="n"/>
      <c r="E448" s="2" t="n"/>
      <c r="F448" s="2" t="n"/>
      <c r="G448" s="2" t="n"/>
      <c r="H448" s="2" t="n"/>
      <c r="I448" s="2" t="n"/>
      <c r="J448" s="2" t="n"/>
      <c r="K448" s="2" t="n"/>
      <c r="L448" s="2" t="n"/>
      <c r="M448" s="2" t="n"/>
      <c r="N448" s="2" t="n"/>
      <c r="O448" s="2" t="n"/>
      <c r="P448" s="2" t="n"/>
      <c r="Q448" s="2">
        <f>IF(G448="","",TODAY()-G448)</f>
        <v/>
      </c>
    </row>
    <row r="449">
      <c r="A449" s="2" t="n"/>
      <c r="B449" s="2" t="n"/>
      <c r="C449" s="2" t="n"/>
      <c r="D449" s="2" t="n"/>
      <c r="E449" s="2" t="n"/>
      <c r="F449" s="2" t="n"/>
      <c r="G449" s="2" t="n"/>
      <c r="H449" s="2" t="n"/>
      <c r="I449" s="2" t="n"/>
      <c r="J449" s="2" t="n"/>
      <c r="K449" s="2" t="n"/>
      <c r="L449" s="2" t="n"/>
      <c r="M449" s="2" t="n"/>
      <c r="N449" s="2" t="n"/>
      <c r="O449" s="2" t="n"/>
      <c r="P449" s="2" t="n"/>
      <c r="Q449" s="2">
        <f>IF(G449="","",TODAY()-G449)</f>
        <v/>
      </c>
    </row>
    <row r="450">
      <c r="A450" s="2" t="n"/>
      <c r="B450" s="2" t="n"/>
      <c r="C450" s="2" t="n"/>
      <c r="D450" s="2" t="n"/>
      <c r="E450" s="2" t="n"/>
      <c r="F450" s="2" t="n"/>
      <c r="G450" s="2" t="n"/>
      <c r="H450" s="2" t="n"/>
      <c r="I450" s="2" t="n"/>
      <c r="J450" s="2" t="n"/>
      <c r="K450" s="2" t="n"/>
      <c r="L450" s="2" t="n"/>
      <c r="M450" s="2" t="n"/>
      <c r="N450" s="2" t="n"/>
      <c r="O450" s="2" t="n"/>
      <c r="P450" s="2" t="n"/>
      <c r="Q450" s="2">
        <f>IF(G450="","",TODAY()-G450)</f>
        <v/>
      </c>
    </row>
    <row r="451">
      <c r="A451" s="2" t="n"/>
      <c r="B451" s="2" t="n"/>
      <c r="C451" s="2" t="n"/>
      <c r="D451" s="2" t="n"/>
      <c r="E451" s="2" t="n"/>
      <c r="F451" s="2" t="n"/>
      <c r="G451" s="2" t="n"/>
      <c r="H451" s="2" t="n"/>
      <c r="I451" s="2" t="n"/>
      <c r="J451" s="2" t="n"/>
      <c r="K451" s="2" t="n"/>
      <c r="L451" s="2" t="n"/>
      <c r="M451" s="2" t="n"/>
      <c r="N451" s="2" t="n"/>
      <c r="O451" s="2" t="n"/>
      <c r="P451" s="2" t="n"/>
      <c r="Q451" s="2">
        <f>IF(G451="","",TODAY()-G451)</f>
        <v/>
      </c>
    </row>
    <row r="452">
      <c r="A452" s="2" t="n"/>
      <c r="B452" s="2" t="n"/>
      <c r="C452" s="2" t="n"/>
      <c r="D452" s="2" t="n"/>
      <c r="E452" s="2" t="n"/>
      <c r="F452" s="2" t="n"/>
      <c r="G452" s="2" t="n"/>
      <c r="H452" s="2" t="n"/>
      <c r="I452" s="2" t="n"/>
      <c r="J452" s="2" t="n"/>
      <c r="K452" s="2" t="n"/>
      <c r="L452" s="2" t="n"/>
      <c r="M452" s="2" t="n"/>
      <c r="N452" s="2" t="n"/>
      <c r="O452" s="2" t="n"/>
      <c r="P452" s="2" t="n"/>
      <c r="Q452" s="2">
        <f>IF(G452="","",TODAY()-G452)</f>
        <v/>
      </c>
    </row>
    <row r="453">
      <c r="A453" s="2" t="n"/>
      <c r="B453" s="2" t="n"/>
      <c r="C453" s="2" t="n"/>
      <c r="D453" s="2" t="n"/>
      <c r="E453" s="2" t="n"/>
      <c r="F453" s="2" t="n"/>
      <c r="G453" s="2" t="n"/>
      <c r="H453" s="2" t="n"/>
      <c r="I453" s="2" t="n"/>
      <c r="J453" s="2" t="n"/>
      <c r="K453" s="2" t="n"/>
      <c r="L453" s="2" t="n"/>
      <c r="M453" s="2" t="n"/>
      <c r="N453" s="2" t="n"/>
      <c r="O453" s="2" t="n"/>
      <c r="P453" s="2" t="n"/>
      <c r="Q453" s="2">
        <f>IF(G453="","",TODAY()-G453)</f>
        <v/>
      </c>
    </row>
    <row r="454">
      <c r="A454" s="2" t="n"/>
      <c r="B454" s="2" t="n"/>
      <c r="C454" s="2" t="n"/>
      <c r="D454" s="2" t="n"/>
      <c r="E454" s="2" t="n"/>
      <c r="F454" s="2" t="n"/>
      <c r="G454" s="2" t="n"/>
      <c r="H454" s="2" t="n"/>
      <c r="I454" s="2" t="n"/>
      <c r="J454" s="2" t="n"/>
      <c r="K454" s="2" t="n"/>
      <c r="L454" s="2" t="n"/>
      <c r="M454" s="2" t="n"/>
      <c r="N454" s="2" t="n"/>
      <c r="O454" s="2" t="n"/>
      <c r="P454" s="2" t="n"/>
      <c r="Q454" s="2">
        <f>IF(G454="","",TODAY()-G454)</f>
        <v/>
      </c>
    </row>
    <row r="455">
      <c r="A455" s="2" t="n"/>
      <c r="B455" s="2" t="n"/>
      <c r="C455" s="2" t="n"/>
      <c r="D455" s="2" t="n"/>
      <c r="E455" s="2" t="n"/>
      <c r="F455" s="2" t="n"/>
      <c r="G455" s="2" t="n"/>
      <c r="H455" s="2" t="n"/>
      <c r="I455" s="2" t="n"/>
      <c r="J455" s="2" t="n"/>
      <c r="K455" s="2" t="n"/>
      <c r="L455" s="2" t="n"/>
      <c r="M455" s="2" t="n"/>
      <c r="N455" s="2" t="n"/>
      <c r="O455" s="2" t="n"/>
      <c r="P455" s="2" t="n"/>
      <c r="Q455" s="2">
        <f>IF(G455="","",TODAY()-G455)</f>
        <v/>
      </c>
    </row>
    <row r="456">
      <c r="A456" s="2" t="n"/>
      <c r="B456" s="2" t="n"/>
      <c r="C456" s="2" t="n"/>
      <c r="D456" s="2" t="n"/>
      <c r="E456" s="2" t="n"/>
      <c r="F456" s="2" t="n"/>
      <c r="G456" s="2" t="n"/>
      <c r="H456" s="2" t="n"/>
      <c r="I456" s="2" t="n"/>
      <c r="J456" s="2" t="n"/>
      <c r="K456" s="2" t="n"/>
      <c r="L456" s="2" t="n"/>
      <c r="M456" s="2" t="n"/>
      <c r="N456" s="2" t="n"/>
      <c r="O456" s="2" t="n"/>
      <c r="P456" s="2" t="n"/>
      <c r="Q456" s="2">
        <f>IF(G456="","",TODAY()-G456)</f>
        <v/>
      </c>
    </row>
    <row r="457">
      <c r="A457" s="2" t="n"/>
      <c r="B457" s="2" t="n"/>
      <c r="C457" s="2" t="n"/>
      <c r="D457" s="2" t="n"/>
      <c r="E457" s="2" t="n"/>
      <c r="F457" s="2" t="n"/>
      <c r="G457" s="2" t="n"/>
      <c r="H457" s="2" t="n"/>
      <c r="I457" s="2" t="n"/>
      <c r="J457" s="2" t="n"/>
      <c r="K457" s="2" t="n"/>
      <c r="L457" s="2" t="n"/>
      <c r="M457" s="2" t="n"/>
      <c r="N457" s="2" t="n"/>
      <c r="O457" s="2" t="n"/>
      <c r="P457" s="2" t="n"/>
      <c r="Q457" s="2">
        <f>IF(G457="","",TODAY()-G457)</f>
        <v/>
      </c>
    </row>
    <row r="458">
      <c r="A458" s="2" t="n"/>
      <c r="B458" s="2" t="n"/>
      <c r="C458" s="2" t="n"/>
      <c r="D458" s="2" t="n"/>
      <c r="E458" s="2" t="n"/>
      <c r="F458" s="2" t="n"/>
      <c r="G458" s="2" t="n"/>
      <c r="H458" s="2" t="n"/>
      <c r="I458" s="2" t="n"/>
      <c r="J458" s="2" t="n"/>
      <c r="K458" s="2" t="n"/>
      <c r="L458" s="2" t="n"/>
      <c r="M458" s="2" t="n"/>
      <c r="N458" s="2" t="n"/>
      <c r="O458" s="2" t="n"/>
      <c r="P458" s="2" t="n"/>
      <c r="Q458" s="2">
        <f>IF(G458="","",TODAY()-G458)</f>
        <v/>
      </c>
    </row>
    <row r="459">
      <c r="A459" s="2" t="n"/>
      <c r="B459" s="2" t="n"/>
      <c r="C459" s="2" t="n"/>
      <c r="D459" s="2" t="n"/>
      <c r="E459" s="2" t="n"/>
      <c r="F459" s="2" t="n"/>
      <c r="G459" s="2" t="n"/>
      <c r="H459" s="2" t="n"/>
      <c r="I459" s="2" t="n"/>
      <c r="J459" s="2" t="n"/>
      <c r="K459" s="2" t="n"/>
      <c r="L459" s="2" t="n"/>
      <c r="M459" s="2" t="n"/>
      <c r="N459" s="2" t="n"/>
      <c r="O459" s="2" t="n"/>
      <c r="P459" s="2" t="n"/>
      <c r="Q459" s="2">
        <f>IF(G459="","",TODAY()-G459)</f>
        <v/>
      </c>
    </row>
    <row r="460">
      <c r="A460" s="2" t="n"/>
      <c r="B460" s="2" t="n"/>
      <c r="C460" s="2" t="n"/>
      <c r="D460" s="2" t="n"/>
      <c r="E460" s="2" t="n"/>
      <c r="F460" s="2" t="n"/>
      <c r="G460" s="2" t="n"/>
      <c r="H460" s="2" t="n"/>
      <c r="I460" s="2" t="n"/>
      <c r="J460" s="2" t="n"/>
      <c r="K460" s="2" t="n"/>
      <c r="L460" s="2" t="n"/>
      <c r="M460" s="2" t="n"/>
      <c r="N460" s="2" t="n"/>
      <c r="O460" s="2" t="n"/>
      <c r="P460" s="2" t="n"/>
      <c r="Q460" s="2">
        <f>IF(G460="","",TODAY()-G460)</f>
        <v/>
      </c>
    </row>
    <row r="461">
      <c r="A461" s="2" t="n"/>
      <c r="B461" s="2" t="n"/>
      <c r="C461" s="2" t="n"/>
      <c r="D461" s="2" t="n"/>
      <c r="E461" s="2" t="n"/>
      <c r="F461" s="2" t="n"/>
      <c r="G461" s="2" t="n"/>
      <c r="H461" s="2" t="n"/>
      <c r="I461" s="2" t="n"/>
      <c r="J461" s="2" t="n"/>
      <c r="K461" s="2" t="n"/>
      <c r="L461" s="2" t="n"/>
      <c r="M461" s="2" t="n"/>
      <c r="N461" s="2" t="n"/>
      <c r="O461" s="2" t="n"/>
      <c r="P461" s="2" t="n"/>
      <c r="Q461" s="2">
        <f>IF(G461="","",TODAY()-G461)</f>
        <v/>
      </c>
    </row>
    <row r="462">
      <c r="A462" s="2" t="n"/>
      <c r="B462" s="2" t="n"/>
      <c r="C462" s="2" t="n"/>
      <c r="D462" s="2" t="n"/>
      <c r="E462" s="2" t="n"/>
      <c r="F462" s="2" t="n"/>
      <c r="G462" s="2" t="n"/>
      <c r="H462" s="2" t="n"/>
      <c r="I462" s="2" t="n"/>
      <c r="J462" s="2" t="n"/>
      <c r="K462" s="2" t="n"/>
      <c r="L462" s="2" t="n"/>
      <c r="M462" s="2" t="n"/>
      <c r="N462" s="2" t="n"/>
      <c r="O462" s="2" t="n"/>
      <c r="P462" s="2" t="n"/>
      <c r="Q462" s="2">
        <f>IF(G462="","",TODAY()-G462)</f>
        <v/>
      </c>
    </row>
    <row r="463">
      <c r="A463" s="2" t="n"/>
      <c r="B463" s="2" t="n"/>
      <c r="C463" s="2" t="n"/>
      <c r="D463" s="2" t="n"/>
      <c r="E463" s="2" t="n"/>
      <c r="F463" s="2" t="n"/>
      <c r="G463" s="2" t="n"/>
      <c r="H463" s="2" t="n"/>
      <c r="I463" s="2" t="n"/>
      <c r="J463" s="2" t="n"/>
      <c r="K463" s="2" t="n"/>
      <c r="L463" s="2" t="n"/>
      <c r="M463" s="2" t="n"/>
      <c r="N463" s="2" t="n"/>
      <c r="O463" s="2" t="n"/>
      <c r="P463" s="2" t="n"/>
      <c r="Q463" s="2">
        <f>IF(G463="","",TODAY()-G463)</f>
        <v/>
      </c>
    </row>
    <row r="464">
      <c r="A464" s="2" t="n"/>
      <c r="B464" s="2" t="n"/>
      <c r="C464" s="2" t="n"/>
      <c r="D464" s="2" t="n"/>
      <c r="E464" s="2" t="n"/>
      <c r="F464" s="2" t="n"/>
      <c r="G464" s="2" t="n"/>
      <c r="H464" s="2" t="n"/>
      <c r="I464" s="2" t="n"/>
      <c r="J464" s="2" t="n"/>
      <c r="K464" s="2" t="n"/>
      <c r="L464" s="2" t="n"/>
      <c r="M464" s="2" t="n"/>
      <c r="N464" s="2" t="n"/>
      <c r="O464" s="2" t="n"/>
      <c r="P464" s="2" t="n"/>
      <c r="Q464" s="2">
        <f>IF(G464="","",TODAY()-G464)</f>
        <v/>
      </c>
    </row>
    <row r="465">
      <c r="A465" s="2" t="n"/>
      <c r="B465" s="2" t="n"/>
      <c r="C465" s="2" t="n"/>
      <c r="D465" s="2" t="n"/>
      <c r="E465" s="2" t="n"/>
      <c r="F465" s="2" t="n"/>
      <c r="G465" s="2" t="n"/>
      <c r="H465" s="2" t="n"/>
      <c r="I465" s="2" t="n"/>
      <c r="J465" s="2" t="n"/>
      <c r="K465" s="2" t="n"/>
      <c r="L465" s="2" t="n"/>
      <c r="M465" s="2" t="n"/>
      <c r="N465" s="2" t="n"/>
      <c r="O465" s="2" t="n"/>
      <c r="P465" s="2" t="n"/>
      <c r="Q465" s="2">
        <f>IF(G465="","",TODAY()-G465)</f>
        <v/>
      </c>
    </row>
    <row r="466">
      <c r="A466" s="2" t="n"/>
      <c r="B466" s="2" t="n"/>
      <c r="C466" s="2" t="n"/>
      <c r="D466" s="2" t="n"/>
      <c r="E466" s="2" t="n"/>
      <c r="F466" s="2" t="n"/>
      <c r="G466" s="2" t="n"/>
      <c r="H466" s="2" t="n"/>
      <c r="I466" s="2" t="n"/>
      <c r="J466" s="2" t="n"/>
      <c r="K466" s="2" t="n"/>
      <c r="L466" s="2" t="n"/>
      <c r="M466" s="2" t="n"/>
      <c r="N466" s="2" t="n"/>
      <c r="O466" s="2" t="n"/>
      <c r="P466" s="2" t="n"/>
      <c r="Q466" s="2">
        <f>IF(G466="","",TODAY()-G466)</f>
        <v/>
      </c>
    </row>
    <row r="467">
      <c r="A467" s="2" t="n"/>
      <c r="B467" s="2" t="n"/>
      <c r="C467" s="2" t="n"/>
      <c r="D467" s="2" t="n"/>
      <c r="E467" s="2" t="n"/>
      <c r="F467" s="2" t="n"/>
      <c r="G467" s="2" t="n"/>
      <c r="H467" s="2" t="n"/>
      <c r="I467" s="2" t="n"/>
      <c r="J467" s="2" t="n"/>
      <c r="K467" s="2" t="n"/>
      <c r="L467" s="2" t="n"/>
      <c r="M467" s="2" t="n"/>
      <c r="N467" s="2" t="n"/>
      <c r="O467" s="2" t="n"/>
      <c r="P467" s="2" t="n"/>
      <c r="Q467" s="2">
        <f>IF(G467="","",TODAY()-G467)</f>
        <v/>
      </c>
    </row>
    <row r="468">
      <c r="A468" s="2" t="n"/>
      <c r="B468" s="2" t="n"/>
      <c r="C468" s="2" t="n"/>
      <c r="D468" s="2" t="n"/>
      <c r="E468" s="2" t="n"/>
      <c r="F468" s="2" t="n"/>
      <c r="G468" s="2" t="n"/>
      <c r="H468" s="2" t="n"/>
      <c r="I468" s="2" t="n"/>
      <c r="J468" s="2" t="n"/>
      <c r="K468" s="2" t="n"/>
      <c r="L468" s="2" t="n"/>
      <c r="M468" s="2" t="n"/>
      <c r="N468" s="2" t="n"/>
      <c r="O468" s="2" t="n"/>
      <c r="P468" s="2" t="n"/>
      <c r="Q468" s="2">
        <f>IF(G468="","",TODAY()-G468)</f>
        <v/>
      </c>
    </row>
    <row r="469">
      <c r="A469" s="2" t="n"/>
      <c r="B469" s="2" t="n"/>
      <c r="C469" s="2" t="n"/>
      <c r="D469" s="2" t="n"/>
      <c r="E469" s="2" t="n"/>
      <c r="F469" s="2" t="n"/>
      <c r="G469" s="2" t="n"/>
      <c r="H469" s="2" t="n"/>
      <c r="I469" s="2" t="n"/>
      <c r="J469" s="2" t="n"/>
      <c r="K469" s="2" t="n"/>
      <c r="L469" s="2" t="n"/>
      <c r="M469" s="2" t="n"/>
      <c r="N469" s="2" t="n"/>
      <c r="O469" s="2" t="n"/>
      <c r="P469" s="2" t="n"/>
      <c r="Q469" s="2">
        <f>IF(G469="","",TODAY()-G469)</f>
        <v/>
      </c>
    </row>
    <row r="470">
      <c r="A470" s="2" t="n"/>
      <c r="B470" s="2" t="n"/>
      <c r="C470" s="2" t="n"/>
      <c r="D470" s="2" t="n"/>
      <c r="E470" s="2" t="n"/>
      <c r="F470" s="2" t="n"/>
      <c r="G470" s="2" t="n"/>
      <c r="H470" s="2" t="n"/>
      <c r="I470" s="2" t="n"/>
      <c r="J470" s="2" t="n"/>
      <c r="K470" s="2" t="n"/>
      <c r="L470" s="2" t="n"/>
      <c r="M470" s="2" t="n"/>
      <c r="N470" s="2" t="n"/>
      <c r="O470" s="2" t="n"/>
      <c r="P470" s="2" t="n"/>
      <c r="Q470" s="2">
        <f>IF(G470="","",TODAY()-G470)</f>
        <v/>
      </c>
    </row>
    <row r="471">
      <c r="A471" s="2" t="n"/>
      <c r="B471" s="2" t="n"/>
      <c r="C471" s="2" t="n"/>
      <c r="D471" s="2" t="n"/>
      <c r="E471" s="2" t="n"/>
      <c r="F471" s="2" t="n"/>
      <c r="G471" s="2" t="n"/>
      <c r="H471" s="2" t="n"/>
      <c r="I471" s="2" t="n"/>
      <c r="J471" s="2" t="n"/>
      <c r="K471" s="2" t="n"/>
      <c r="L471" s="2" t="n"/>
      <c r="M471" s="2" t="n"/>
      <c r="N471" s="2" t="n"/>
      <c r="O471" s="2" t="n"/>
      <c r="P471" s="2" t="n"/>
      <c r="Q471" s="2">
        <f>IF(G471="","",TODAY()-G471)</f>
        <v/>
      </c>
    </row>
    <row r="472">
      <c r="A472" s="2" t="n"/>
      <c r="B472" s="2" t="n"/>
      <c r="C472" s="2" t="n"/>
      <c r="D472" s="2" t="n"/>
      <c r="E472" s="2" t="n"/>
      <c r="F472" s="2" t="n"/>
      <c r="G472" s="2" t="n"/>
      <c r="H472" s="2" t="n"/>
      <c r="I472" s="2" t="n"/>
      <c r="J472" s="2" t="n"/>
      <c r="K472" s="2" t="n"/>
      <c r="L472" s="2" t="n"/>
      <c r="M472" s="2" t="n"/>
      <c r="N472" s="2" t="n"/>
      <c r="O472" s="2" t="n"/>
      <c r="P472" s="2" t="n"/>
      <c r="Q472" s="2">
        <f>IF(G472="","",TODAY()-G472)</f>
        <v/>
      </c>
    </row>
    <row r="473">
      <c r="A473" s="2" t="n"/>
      <c r="B473" s="2" t="n"/>
      <c r="C473" s="2" t="n"/>
      <c r="D473" s="2" t="n"/>
      <c r="E473" s="2" t="n"/>
      <c r="F473" s="2" t="n"/>
      <c r="G473" s="2" t="n"/>
      <c r="H473" s="2" t="n"/>
      <c r="I473" s="2" t="n"/>
      <c r="J473" s="2" t="n"/>
      <c r="K473" s="2" t="n"/>
      <c r="L473" s="2" t="n"/>
      <c r="M473" s="2" t="n"/>
      <c r="N473" s="2" t="n"/>
      <c r="O473" s="2" t="n"/>
      <c r="P473" s="2" t="n"/>
      <c r="Q473" s="2">
        <f>IF(G473="","",TODAY()-G473)</f>
        <v/>
      </c>
    </row>
    <row r="474">
      <c r="A474" s="2" t="n"/>
      <c r="B474" s="2" t="n"/>
      <c r="C474" s="2" t="n"/>
      <c r="D474" s="2" t="n"/>
      <c r="E474" s="2" t="n"/>
      <c r="F474" s="2" t="n"/>
      <c r="G474" s="2" t="n"/>
      <c r="H474" s="2" t="n"/>
      <c r="I474" s="2" t="n"/>
      <c r="J474" s="2" t="n"/>
      <c r="K474" s="2" t="n"/>
      <c r="L474" s="2" t="n"/>
      <c r="M474" s="2" t="n"/>
      <c r="N474" s="2" t="n"/>
      <c r="O474" s="2" t="n"/>
      <c r="P474" s="2" t="n"/>
      <c r="Q474" s="2">
        <f>IF(G474="","",TODAY()-G474)</f>
        <v/>
      </c>
    </row>
    <row r="475">
      <c r="A475" s="2" t="n"/>
      <c r="B475" s="2" t="n"/>
      <c r="C475" s="2" t="n"/>
      <c r="D475" s="2" t="n"/>
      <c r="E475" s="2" t="n"/>
      <c r="F475" s="2" t="n"/>
      <c r="G475" s="2" t="n"/>
      <c r="H475" s="2" t="n"/>
      <c r="I475" s="2" t="n"/>
      <c r="J475" s="2" t="n"/>
      <c r="K475" s="2" t="n"/>
      <c r="L475" s="2" t="n"/>
      <c r="M475" s="2" t="n"/>
      <c r="N475" s="2" t="n"/>
      <c r="O475" s="2" t="n"/>
      <c r="P475" s="2" t="n"/>
      <c r="Q475" s="2">
        <f>IF(G475="","",TODAY()-G475)</f>
        <v/>
      </c>
    </row>
    <row r="476">
      <c r="A476" s="2" t="n"/>
      <c r="B476" s="2" t="n"/>
      <c r="C476" s="2" t="n"/>
      <c r="D476" s="2" t="n"/>
      <c r="E476" s="2" t="n"/>
      <c r="F476" s="2" t="n"/>
      <c r="G476" s="2" t="n"/>
      <c r="H476" s="2" t="n"/>
      <c r="I476" s="2" t="n"/>
      <c r="J476" s="2" t="n"/>
      <c r="K476" s="2" t="n"/>
      <c r="L476" s="2" t="n"/>
      <c r="M476" s="2" t="n"/>
      <c r="N476" s="2" t="n"/>
      <c r="O476" s="2" t="n"/>
      <c r="P476" s="2" t="n"/>
      <c r="Q476" s="2">
        <f>IF(G476="","",TODAY()-G476)</f>
        <v/>
      </c>
    </row>
    <row r="477">
      <c r="A477" s="2" t="n"/>
      <c r="B477" s="2" t="n"/>
      <c r="C477" s="2" t="n"/>
      <c r="D477" s="2" t="n"/>
      <c r="E477" s="2" t="n"/>
      <c r="F477" s="2" t="n"/>
      <c r="G477" s="2" t="n"/>
      <c r="H477" s="2" t="n"/>
      <c r="I477" s="2" t="n"/>
      <c r="J477" s="2" t="n"/>
      <c r="K477" s="2" t="n"/>
      <c r="L477" s="2" t="n"/>
      <c r="M477" s="2" t="n"/>
      <c r="N477" s="2" t="n"/>
      <c r="O477" s="2" t="n"/>
      <c r="P477" s="2" t="n"/>
      <c r="Q477" s="2">
        <f>IF(G477="","",TODAY()-G477)</f>
        <v/>
      </c>
    </row>
    <row r="478">
      <c r="A478" s="2" t="n"/>
      <c r="B478" s="2" t="n"/>
      <c r="C478" s="2" t="n"/>
      <c r="D478" s="2" t="n"/>
      <c r="E478" s="2" t="n"/>
      <c r="F478" s="2" t="n"/>
      <c r="G478" s="2" t="n"/>
      <c r="H478" s="2" t="n"/>
      <c r="I478" s="2" t="n"/>
      <c r="J478" s="2" t="n"/>
      <c r="K478" s="2" t="n"/>
      <c r="L478" s="2" t="n"/>
      <c r="M478" s="2" t="n"/>
      <c r="N478" s="2" t="n"/>
      <c r="O478" s="2" t="n"/>
      <c r="P478" s="2" t="n"/>
      <c r="Q478" s="2">
        <f>IF(G478="","",TODAY()-G478)</f>
        <v/>
      </c>
    </row>
    <row r="479">
      <c r="A479" s="2" t="n"/>
      <c r="B479" s="2" t="n"/>
      <c r="C479" s="2" t="n"/>
      <c r="D479" s="2" t="n"/>
      <c r="E479" s="2" t="n"/>
      <c r="F479" s="2" t="n"/>
      <c r="G479" s="2" t="n"/>
      <c r="H479" s="2" t="n"/>
      <c r="I479" s="2" t="n"/>
      <c r="J479" s="2" t="n"/>
      <c r="K479" s="2" t="n"/>
      <c r="L479" s="2" t="n"/>
      <c r="M479" s="2" t="n"/>
      <c r="N479" s="2" t="n"/>
      <c r="O479" s="2" t="n"/>
      <c r="P479" s="2" t="n"/>
      <c r="Q479" s="2">
        <f>IF(G479="","",TODAY()-G479)</f>
        <v/>
      </c>
    </row>
    <row r="480">
      <c r="A480" s="2" t="n"/>
      <c r="B480" s="2" t="n"/>
      <c r="C480" s="2" t="n"/>
      <c r="D480" s="2" t="n"/>
      <c r="E480" s="2" t="n"/>
      <c r="F480" s="2" t="n"/>
      <c r="G480" s="2" t="n"/>
      <c r="H480" s="2" t="n"/>
      <c r="I480" s="2" t="n"/>
      <c r="J480" s="2" t="n"/>
      <c r="K480" s="2" t="n"/>
      <c r="L480" s="2" t="n"/>
      <c r="M480" s="2" t="n"/>
      <c r="N480" s="2" t="n"/>
      <c r="O480" s="2" t="n"/>
      <c r="P480" s="2" t="n"/>
      <c r="Q480" s="2">
        <f>IF(G480="","",TODAY()-G480)</f>
        <v/>
      </c>
    </row>
    <row r="481">
      <c r="A481" s="2" t="n"/>
      <c r="B481" s="2" t="n"/>
      <c r="C481" s="2" t="n"/>
      <c r="D481" s="2" t="n"/>
      <c r="E481" s="2" t="n"/>
      <c r="F481" s="2" t="n"/>
      <c r="G481" s="2" t="n"/>
      <c r="H481" s="2" t="n"/>
      <c r="I481" s="2" t="n"/>
      <c r="J481" s="2" t="n"/>
      <c r="K481" s="2" t="n"/>
      <c r="L481" s="2" t="n"/>
      <c r="M481" s="2" t="n"/>
      <c r="N481" s="2" t="n"/>
      <c r="O481" s="2" t="n"/>
      <c r="P481" s="2" t="n"/>
      <c r="Q481" s="2">
        <f>IF(G481="","",TODAY()-G481)</f>
        <v/>
      </c>
    </row>
    <row r="482">
      <c r="A482" s="2" t="n"/>
      <c r="B482" s="2" t="n"/>
      <c r="C482" s="2" t="n"/>
      <c r="D482" s="2" t="n"/>
      <c r="E482" s="2" t="n"/>
      <c r="F482" s="2" t="n"/>
      <c r="G482" s="2" t="n"/>
      <c r="H482" s="2" t="n"/>
      <c r="I482" s="2" t="n"/>
      <c r="J482" s="2" t="n"/>
      <c r="K482" s="2" t="n"/>
      <c r="L482" s="2" t="n"/>
      <c r="M482" s="2" t="n"/>
      <c r="N482" s="2" t="n"/>
      <c r="O482" s="2" t="n"/>
      <c r="P482" s="2" t="n"/>
      <c r="Q482" s="2">
        <f>IF(G482="","",TODAY()-G482)</f>
        <v/>
      </c>
    </row>
    <row r="483">
      <c r="A483" s="2" t="n"/>
      <c r="B483" s="2" t="n"/>
      <c r="C483" s="2" t="n"/>
      <c r="D483" s="2" t="n"/>
      <c r="E483" s="2" t="n"/>
      <c r="F483" s="2" t="n"/>
      <c r="G483" s="2" t="n"/>
      <c r="H483" s="2" t="n"/>
      <c r="I483" s="2" t="n"/>
      <c r="J483" s="2" t="n"/>
      <c r="K483" s="2" t="n"/>
      <c r="L483" s="2" t="n"/>
      <c r="M483" s="2" t="n"/>
      <c r="N483" s="2" t="n"/>
      <c r="O483" s="2" t="n"/>
      <c r="P483" s="2" t="n"/>
      <c r="Q483" s="2">
        <f>IF(G483="","",TODAY()-G483)</f>
        <v/>
      </c>
    </row>
    <row r="484">
      <c r="A484" s="2" t="n"/>
      <c r="B484" s="2" t="n"/>
      <c r="C484" s="2" t="n"/>
      <c r="D484" s="2" t="n"/>
      <c r="E484" s="2" t="n"/>
      <c r="F484" s="2" t="n"/>
      <c r="G484" s="2" t="n"/>
      <c r="H484" s="2" t="n"/>
      <c r="I484" s="2" t="n"/>
      <c r="J484" s="2" t="n"/>
      <c r="K484" s="2" t="n"/>
      <c r="L484" s="2" t="n"/>
      <c r="M484" s="2" t="n"/>
      <c r="N484" s="2" t="n"/>
      <c r="O484" s="2" t="n"/>
      <c r="P484" s="2" t="n"/>
      <c r="Q484" s="2">
        <f>IF(G484="","",TODAY()-G484)</f>
        <v/>
      </c>
    </row>
    <row r="485">
      <c r="A485" s="2" t="n"/>
      <c r="B485" s="2" t="n"/>
      <c r="C485" s="2" t="n"/>
      <c r="D485" s="2" t="n"/>
      <c r="E485" s="2" t="n"/>
      <c r="F485" s="2" t="n"/>
      <c r="G485" s="2" t="n"/>
      <c r="H485" s="2" t="n"/>
      <c r="I485" s="2" t="n"/>
      <c r="J485" s="2" t="n"/>
      <c r="K485" s="2" t="n"/>
      <c r="L485" s="2" t="n"/>
      <c r="M485" s="2" t="n"/>
      <c r="N485" s="2" t="n"/>
      <c r="O485" s="2" t="n"/>
      <c r="P485" s="2" t="n"/>
      <c r="Q485" s="2">
        <f>IF(G485="","",TODAY()-G485)</f>
        <v/>
      </c>
    </row>
    <row r="486">
      <c r="A486" s="2" t="n"/>
      <c r="B486" s="2" t="n"/>
      <c r="C486" s="2" t="n"/>
      <c r="D486" s="2" t="n"/>
      <c r="E486" s="2" t="n"/>
      <c r="F486" s="2" t="n"/>
      <c r="G486" s="2" t="n"/>
      <c r="H486" s="2" t="n"/>
      <c r="I486" s="2" t="n"/>
      <c r="J486" s="2" t="n"/>
      <c r="K486" s="2" t="n"/>
      <c r="L486" s="2" t="n"/>
      <c r="M486" s="2" t="n"/>
      <c r="N486" s="2" t="n"/>
      <c r="O486" s="2" t="n"/>
      <c r="P486" s="2" t="n"/>
      <c r="Q486" s="2">
        <f>IF(G486="","",TODAY()-G486)</f>
        <v/>
      </c>
    </row>
    <row r="487">
      <c r="A487" s="2" t="n"/>
      <c r="B487" s="2" t="n"/>
      <c r="C487" s="2" t="n"/>
      <c r="D487" s="2" t="n"/>
      <c r="E487" s="2" t="n"/>
      <c r="F487" s="2" t="n"/>
      <c r="G487" s="2" t="n"/>
      <c r="H487" s="2" t="n"/>
      <c r="I487" s="2" t="n"/>
      <c r="J487" s="2" t="n"/>
      <c r="K487" s="2" t="n"/>
      <c r="L487" s="2" t="n"/>
      <c r="M487" s="2" t="n"/>
      <c r="N487" s="2" t="n"/>
      <c r="O487" s="2" t="n"/>
      <c r="P487" s="2" t="n"/>
      <c r="Q487" s="2">
        <f>IF(G487="","",TODAY()-G487)</f>
        <v/>
      </c>
    </row>
    <row r="488">
      <c r="A488" s="2" t="n"/>
      <c r="B488" s="2" t="n"/>
      <c r="C488" s="2" t="n"/>
      <c r="D488" s="2" t="n"/>
      <c r="E488" s="2" t="n"/>
      <c r="F488" s="2" t="n"/>
      <c r="G488" s="2" t="n"/>
      <c r="H488" s="2" t="n"/>
      <c r="I488" s="2" t="n"/>
      <c r="J488" s="2" t="n"/>
      <c r="K488" s="2" t="n"/>
      <c r="L488" s="2" t="n"/>
      <c r="M488" s="2" t="n"/>
      <c r="N488" s="2" t="n"/>
      <c r="O488" s="2" t="n"/>
      <c r="P488" s="2" t="n"/>
      <c r="Q488" s="2">
        <f>IF(G488="","",TODAY()-G488)</f>
        <v/>
      </c>
    </row>
    <row r="489">
      <c r="A489" s="2" t="n"/>
      <c r="B489" s="2" t="n"/>
      <c r="C489" s="2" t="n"/>
      <c r="D489" s="2" t="n"/>
      <c r="E489" s="2" t="n"/>
      <c r="F489" s="2" t="n"/>
      <c r="G489" s="2" t="n"/>
      <c r="H489" s="2" t="n"/>
      <c r="I489" s="2" t="n"/>
      <c r="J489" s="2" t="n"/>
      <c r="K489" s="2" t="n"/>
      <c r="L489" s="2" t="n"/>
      <c r="M489" s="2" t="n"/>
      <c r="N489" s="2" t="n"/>
      <c r="O489" s="2" t="n"/>
      <c r="P489" s="2" t="n"/>
      <c r="Q489" s="2">
        <f>IF(G489="","",TODAY()-G489)</f>
        <v/>
      </c>
    </row>
    <row r="490">
      <c r="A490" s="2" t="n"/>
      <c r="B490" s="2" t="n"/>
      <c r="C490" s="2" t="n"/>
      <c r="D490" s="2" t="n"/>
      <c r="E490" s="2" t="n"/>
      <c r="F490" s="2" t="n"/>
      <c r="G490" s="2" t="n"/>
      <c r="H490" s="2" t="n"/>
      <c r="I490" s="2" t="n"/>
      <c r="J490" s="2" t="n"/>
      <c r="K490" s="2" t="n"/>
      <c r="L490" s="2" t="n"/>
      <c r="M490" s="2" t="n"/>
      <c r="N490" s="2" t="n"/>
      <c r="O490" s="2" t="n"/>
      <c r="P490" s="2" t="n"/>
      <c r="Q490" s="2">
        <f>IF(G490="","",TODAY()-G490)</f>
        <v/>
      </c>
    </row>
    <row r="491">
      <c r="A491" s="2" t="n"/>
      <c r="B491" s="2" t="n"/>
      <c r="C491" s="2" t="n"/>
      <c r="D491" s="2" t="n"/>
      <c r="E491" s="2" t="n"/>
      <c r="F491" s="2" t="n"/>
      <c r="G491" s="2" t="n"/>
      <c r="H491" s="2" t="n"/>
      <c r="I491" s="2" t="n"/>
      <c r="J491" s="2" t="n"/>
      <c r="K491" s="2" t="n"/>
      <c r="L491" s="2" t="n"/>
      <c r="M491" s="2" t="n"/>
      <c r="N491" s="2" t="n"/>
      <c r="O491" s="2" t="n"/>
      <c r="P491" s="2" t="n"/>
      <c r="Q491" s="2">
        <f>IF(G491="","",TODAY()-G491)</f>
        <v/>
      </c>
    </row>
    <row r="492">
      <c r="A492" s="2" t="n"/>
      <c r="B492" s="2" t="n"/>
      <c r="C492" s="2" t="n"/>
      <c r="D492" s="2" t="n"/>
      <c r="E492" s="2" t="n"/>
      <c r="F492" s="2" t="n"/>
      <c r="G492" s="2" t="n"/>
      <c r="H492" s="2" t="n"/>
      <c r="I492" s="2" t="n"/>
      <c r="J492" s="2" t="n"/>
      <c r="K492" s="2" t="n"/>
      <c r="L492" s="2" t="n"/>
      <c r="M492" s="2" t="n"/>
      <c r="N492" s="2" t="n"/>
      <c r="O492" s="2" t="n"/>
      <c r="P492" s="2" t="n"/>
      <c r="Q492" s="2">
        <f>IF(G492="","",TODAY()-G492)</f>
        <v/>
      </c>
    </row>
    <row r="493">
      <c r="A493" s="2" t="n"/>
      <c r="B493" s="2" t="n"/>
      <c r="C493" s="2" t="n"/>
      <c r="D493" s="2" t="n"/>
      <c r="E493" s="2" t="n"/>
      <c r="F493" s="2" t="n"/>
      <c r="G493" s="2" t="n"/>
      <c r="H493" s="2" t="n"/>
      <c r="I493" s="2" t="n"/>
      <c r="J493" s="2" t="n"/>
      <c r="K493" s="2" t="n"/>
      <c r="L493" s="2" t="n"/>
      <c r="M493" s="2" t="n"/>
      <c r="N493" s="2" t="n"/>
      <c r="O493" s="2" t="n"/>
      <c r="P493" s="2" t="n"/>
      <c r="Q493" s="2">
        <f>IF(G493="","",TODAY()-G493)</f>
        <v/>
      </c>
    </row>
    <row r="494">
      <c r="A494" s="2" t="n"/>
      <c r="B494" s="2" t="n"/>
      <c r="C494" s="2" t="n"/>
      <c r="D494" s="2" t="n"/>
      <c r="E494" s="2" t="n"/>
      <c r="F494" s="2" t="n"/>
      <c r="G494" s="2" t="n"/>
      <c r="H494" s="2" t="n"/>
      <c r="I494" s="2" t="n"/>
      <c r="J494" s="2" t="n"/>
      <c r="K494" s="2" t="n"/>
      <c r="L494" s="2" t="n"/>
      <c r="M494" s="2" t="n"/>
      <c r="N494" s="2" t="n"/>
      <c r="O494" s="2" t="n"/>
      <c r="P494" s="2" t="n"/>
      <c r="Q494" s="2">
        <f>IF(G494="","",TODAY()-G494)</f>
        <v/>
      </c>
    </row>
    <row r="495">
      <c r="A495" s="2" t="n"/>
      <c r="B495" s="2" t="n"/>
      <c r="C495" s="2" t="n"/>
      <c r="D495" s="2" t="n"/>
      <c r="E495" s="2" t="n"/>
      <c r="F495" s="2" t="n"/>
      <c r="G495" s="2" t="n"/>
      <c r="H495" s="2" t="n"/>
      <c r="I495" s="2" t="n"/>
      <c r="J495" s="2" t="n"/>
      <c r="K495" s="2" t="n"/>
      <c r="L495" s="2" t="n"/>
      <c r="M495" s="2" t="n"/>
      <c r="N495" s="2" t="n"/>
      <c r="O495" s="2" t="n"/>
      <c r="P495" s="2" t="n"/>
      <c r="Q495" s="2">
        <f>IF(G495="","",TODAY()-G495)</f>
        <v/>
      </c>
    </row>
    <row r="496">
      <c r="A496" s="2" t="n"/>
      <c r="B496" s="2" t="n"/>
      <c r="C496" s="2" t="n"/>
      <c r="D496" s="2" t="n"/>
      <c r="E496" s="2" t="n"/>
      <c r="F496" s="2" t="n"/>
      <c r="G496" s="2" t="n"/>
      <c r="H496" s="2" t="n"/>
      <c r="I496" s="2" t="n"/>
      <c r="J496" s="2" t="n"/>
      <c r="K496" s="2" t="n"/>
      <c r="L496" s="2" t="n"/>
      <c r="M496" s="2" t="n"/>
      <c r="N496" s="2" t="n"/>
      <c r="O496" s="2" t="n"/>
      <c r="P496" s="2" t="n"/>
      <c r="Q496" s="2">
        <f>IF(G496="","",TODAY()-G496)</f>
        <v/>
      </c>
    </row>
    <row r="497">
      <c r="A497" s="2" t="n"/>
      <c r="B497" s="2" t="n"/>
      <c r="C497" s="2" t="n"/>
      <c r="D497" s="2" t="n"/>
      <c r="E497" s="2" t="n"/>
      <c r="F497" s="2" t="n"/>
      <c r="G497" s="2" t="n"/>
      <c r="H497" s="2" t="n"/>
      <c r="I497" s="2" t="n"/>
      <c r="J497" s="2" t="n"/>
      <c r="K497" s="2" t="n"/>
      <c r="L497" s="2" t="n"/>
      <c r="M497" s="2" t="n"/>
      <c r="N497" s="2" t="n"/>
      <c r="O497" s="2" t="n"/>
      <c r="P497" s="2" t="n"/>
      <c r="Q497" s="2">
        <f>IF(G497="","",TODAY()-G497)</f>
        <v/>
      </c>
    </row>
    <row r="498">
      <c r="A498" s="2" t="n"/>
      <c r="B498" s="2" t="n"/>
      <c r="C498" s="2" t="n"/>
      <c r="D498" s="2" t="n"/>
      <c r="E498" s="2" t="n"/>
      <c r="F498" s="2" t="n"/>
      <c r="G498" s="2" t="n"/>
      <c r="H498" s="2" t="n"/>
      <c r="I498" s="2" t="n"/>
      <c r="J498" s="2" t="n"/>
      <c r="K498" s="2" t="n"/>
      <c r="L498" s="2" t="n"/>
      <c r="M498" s="2" t="n"/>
      <c r="N498" s="2" t="n"/>
      <c r="O498" s="2" t="n"/>
      <c r="P498" s="2" t="n"/>
      <c r="Q498" s="2">
        <f>IF(G498="","",TODAY()-G498)</f>
        <v/>
      </c>
    </row>
    <row r="499">
      <c r="A499" s="2" t="n"/>
      <c r="B499" s="2" t="n"/>
      <c r="C499" s="2" t="n"/>
      <c r="D499" s="2" t="n"/>
      <c r="E499" s="2" t="n"/>
      <c r="F499" s="2" t="n"/>
      <c r="G499" s="2" t="n"/>
      <c r="H499" s="2" t="n"/>
      <c r="I499" s="2" t="n"/>
      <c r="J499" s="2" t="n"/>
      <c r="K499" s="2" t="n"/>
      <c r="L499" s="2" t="n"/>
      <c r="M499" s="2" t="n"/>
      <c r="N499" s="2" t="n"/>
      <c r="O499" s="2" t="n"/>
      <c r="P499" s="2" t="n"/>
      <c r="Q499" s="2">
        <f>IF(G499="","",TODAY()-G499)</f>
        <v/>
      </c>
    </row>
    <row r="500">
      <c r="A500" s="2" t="n"/>
      <c r="B500" s="2" t="n"/>
      <c r="C500" s="2" t="n"/>
      <c r="D500" s="2" t="n"/>
      <c r="E500" s="2" t="n"/>
      <c r="F500" s="2" t="n"/>
      <c r="G500" s="2" t="n"/>
      <c r="H500" s="2" t="n"/>
      <c r="I500" s="2" t="n"/>
      <c r="J500" s="2" t="n"/>
      <c r="K500" s="2" t="n"/>
      <c r="L500" s="2" t="n"/>
      <c r="M500" s="2" t="n"/>
      <c r="N500" s="2" t="n"/>
      <c r="O500" s="2" t="n"/>
      <c r="P500" s="2" t="n"/>
      <c r="Q500" s="2">
        <f>IF(G500="","",TODAY()-G500)</f>
        <v/>
      </c>
    </row>
  </sheetData>
  <autoFilter ref="A1:Q500"/>
  <conditionalFormatting sqref="H2:H500">
    <cfRule type="cellIs" priority="1" operator="equal" dxfId="0">
      <formula>"PPO"</formula>
    </cfRule>
  </conditionalFormatting>
  <dataValidations count="3">
    <dataValidation sqref="H2:H500" showDropDown="0" showInputMessage="0" showErrorMessage="0" allowBlank="1" type="list">
      <formula1>"Shortlisted,Applied,Waiting,OA,Technical Interview,HR/Manager,Offer,Rejected,Ghosted,Withdrawn,PPO"</formula1>
    </dataValidation>
    <dataValidation sqref="F2:F500" showDropDown="0" showInputMessage="0" showErrorMessage="0" allowBlank="1" type="list">
      <formula1>"SDE,Backend,Full Stack,Cloud/DevOps"</formula1>
    </dataValidation>
    <dataValidation sqref="P2:P500" showDropDown="0" showInputMessage="0" showErrorMessage="0" allowBlank="1" type="list">
      <formula1>"Yes,No,Unknown"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500"/>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6"/>
    <col width="17" customWidth="1" min="7" max="7"/>
    <col width="12" customWidth="1" min="8" max="8"/>
    <col width="15" customWidth="1" min="9" max="9"/>
    <col width="21" customWidth="1" min="10" max="10"/>
    <col width="38" customWidth="1" min="11" max="11"/>
    <col width="42" customWidth="1" min="12" max="15"/>
  </cols>
  <sheetData>
    <row r="1">
      <c r="A1" s="1" t="inlineStr">
        <is>
          <t>Interview ID</t>
        </is>
      </c>
      <c r="B1" s="1" t="inlineStr">
        <is>
          <t>Application ID</t>
        </is>
      </c>
      <c r="C1" s="1" t="inlineStr">
        <is>
          <t>Company</t>
        </is>
      </c>
      <c r="D1" s="1" t="inlineStr">
        <is>
          <t>Role</t>
        </is>
      </c>
      <c r="E1" s="1" t="inlineStr">
        <is>
          <t>Stage</t>
        </is>
      </c>
      <c r="F1" s="1" t="inlineStr">
        <is>
          <t>Date</t>
        </is>
      </c>
      <c r="G1" s="1" t="inlineStr">
        <is>
          <t>Technical Score</t>
        </is>
      </c>
      <c r="H1" s="1" t="inlineStr">
        <is>
          <t>DSA Score</t>
        </is>
      </c>
      <c r="I1" s="1" t="inlineStr">
        <is>
          <t>Project Score</t>
        </is>
      </c>
      <c r="J1" s="1" t="inlineStr">
        <is>
          <t>Communication Score</t>
        </is>
      </c>
      <c r="K1" s="1" t="inlineStr">
        <is>
          <t>Overall Score</t>
        </is>
      </c>
      <c r="L1" s="1" t="inlineStr">
        <is>
          <t>Top Weaknesses</t>
        </is>
      </c>
      <c r="M1" s="1" t="inlineStr">
        <is>
          <t>Questions / Topics</t>
        </is>
      </c>
      <c r="N1" s="1" t="inlineStr">
        <is>
          <t>Next Preparation</t>
        </is>
      </c>
      <c r="O1" s="1" t="inlineStr">
        <is>
          <t>Notes</t>
        </is>
      </c>
    </row>
    <row r="2">
      <c r="A2" s="2" t="n"/>
      <c r="B2" s="2" t="n"/>
      <c r="C2" s="2" t="n"/>
      <c r="D2" s="2" t="n"/>
      <c r="E2" s="2" t="n"/>
      <c r="F2" s="2" t="n"/>
      <c r="G2" s="2" t="n"/>
      <c r="H2" s="2" t="n"/>
      <c r="I2" s="2" t="n"/>
      <c r="J2" s="2" t="n"/>
      <c r="K2" s="2">
        <f>IF(COUNTA(G2:J2)&lt;4,"",ROUND(AVERAGE(G2:J2),1))</f>
        <v/>
      </c>
      <c r="L2" s="2" t="n"/>
      <c r="M2" s="2" t="n"/>
      <c r="N2" s="2" t="n"/>
      <c r="O2" s="2" t="n"/>
    </row>
    <row r="3">
      <c r="A3" s="2" t="n"/>
      <c r="B3" s="2" t="n"/>
      <c r="C3" s="2" t="n"/>
      <c r="D3" s="2" t="n"/>
      <c r="E3" s="2" t="n"/>
      <c r="F3" s="2" t="n"/>
      <c r="G3" s="2" t="n"/>
      <c r="H3" s="2" t="n"/>
      <c r="I3" s="2" t="n"/>
      <c r="J3" s="2" t="n"/>
      <c r="K3" s="2">
        <f>IF(COUNTA(G3:J3)&lt;4,"",ROUND(AVERAGE(G3:J3),1))</f>
        <v/>
      </c>
      <c r="L3" s="2" t="n"/>
      <c r="M3" s="2" t="n"/>
      <c r="N3" s="2" t="n"/>
      <c r="O3" s="2" t="n"/>
    </row>
    <row r="4">
      <c r="A4" s="2" t="n"/>
      <c r="B4" s="2" t="n"/>
      <c r="C4" s="2" t="n"/>
      <c r="D4" s="2" t="n"/>
      <c r="E4" s="2" t="n"/>
      <c r="F4" s="2" t="n"/>
      <c r="G4" s="2" t="n"/>
      <c r="H4" s="2" t="n"/>
      <c r="I4" s="2" t="n"/>
      <c r="J4" s="2" t="n"/>
      <c r="K4" s="2">
        <f>IF(COUNTA(G4:J4)&lt;4,"",ROUND(AVERAGE(G4:J4),1))</f>
        <v/>
      </c>
      <c r="L4" s="2" t="n"/>
      <c r="M4" s="2" t="n"/>
      <c r="N4" s="2" t="n"/>
      <c r="O4" s="2" t="n"/>
    </row>
    <row r="5">
      <c r="A5" s="2" t="n"/>
      <c r="B5" s="2" t="n"/>
      <c r="C5" s="2" t="n"/>
      <c r="D5" s="2" t="n"/>
      <c r="E5" s="2" t="n"/>
      <c r="F5" s="2" t="n"/>
      <c r="G5" s="2" t="n"/>
      <c r="H5" s="2" t="n"/>
      <c r="I5" s="2" t="n"/>
      <c r="J5" s="2" t="n"/>
      <c r="K5" s="2">
        <f>IF(COUNTA(G5:J5)&lt;4,"",ROUND(AVERAGE(G5:J5),1))</f>
        <v/>
      </c>
      <c r="L5" s="2" t="n"/>
      <c r="M5" s="2" t="n"/>
      <c r="N5" s="2" t="n"/>
      <c r="O5" s="2" t="n"/>
    </row>
    <row r="6">
      <c r="A6" s="2" t="n"/>
      <c r="B6" s="2" t="n"/>
      <c r="C6" s="2" t="n"/>
      <c r="D6" s="2" t="n"/>
      <c r="E6" s="2" t="n"/>
      <c r="F6" s="2" t="n"/>
      <c r="G6" s="2" t="n"/>
      <c r="H6" s="2" t="n"/>
      <c r="I6" s="2" t="n"/>
      <c r="J6" s="2" t="n"/>
      <c r="K6" s="2">
        <f>IF(COUNTA(G6:J6)&lt;4,"",ROUND(AVERAGE(G6:J6),1))</f>
        <v/>
      </c>
      <c r="L6" s="2" t="n"/>
      <c r="M6" s="2" t="n"/>
      <c r="N6" s="2" t="n"/>
      <c r="O6" s="2" t="n"/>
    </row>
    <row r="7">
      <c r="A7" s="2" t="n"/>
      <c r="B7" s="2" t="n"/>
      <c r="C7" s="2" t="n"/>
      <c r="D7" s="2" t="n"/>
      <c r="E7" s="2" t="n"/>
      <c r="F7" s="2" t="n"/>
      <c r="G7" s="2" t="n"/>
      <c r="H7" s="2" t="n"/>
      <c r="I7" s="2" t="n"/>
      <c r="J7" s="2" t="n"/>
      <c r="K7" s="2">
        <f>IF(COUNTA(G7:J7)&lt;4,"",ROUND(AVERAGE(G7:J7),1))</f>
        <v/>
      </c>
      <c r="L7" s="2" t="n"/>
      <c r="M7" s="2" t="n"/>
      <c r="N7" s="2" t="n"/>
      <c r="O7" s="2" t="n"/>
    </row>
    <row r="8">
      <c r="A8" s="2" t="n"/>
      <c r="B8" s="2" t="n"/>
      <c r="C8" s="2" t="n"/>
      <c r="D8" s="2" t="n"/>
      <c r="E8" s="2" t="n"/>
      <c r="F8" s="2" t="n"/>
      <c r="G8" s="2" t="n"/>
      <c r="H8" s="2" t="n"/>
      <c r="I8" s="2" t="n"/>
      <c r="J8" s="2" t="n"/>
      <c r="K8" s="2">
        <f>IF(COUNTA(G8:J8)&lt;4,"",ROUND(AVERAGE(G8:J8),1))</f>
        <v/>
      </c>
      <c r="L8" s="2" t="n"/>
      <c r="M8" s="2" t="n"/>
      <c r="N8" s="2" t="n"/>
      <c r="O8" s="2" t="n"/>
    </row>
    <row r="9">
      <c r="A9" s="2" t="n"/>
      <c r="B9" s="2" t="n"/>
      <c r="C9" s="2" t="n"/>
      <c r="D9" s="2" t="n"/>
      <c r="E9" s="2" t="n"/>
      <c r="F9" s="2" t="n"/>
      <c r="G9" s="2" t="n"/>
      <c r="H9" s="2" t="n"/>
      <c r="I9" s="2" t="n"/>
      <c r="J9" s="2" t="n"/>
      <c r="K9" s="2">
        <f>IF(COUNTA(G9:J9)&lt;4,"",ROUND(AVERAGE(G9:J9),1))</f>
        <v/>
      </c>
      <c r="L9" s="2" t="n"/>
      <c r="M9" s="2" t="n"/>
      <c r="N9" s="2" t="n"/>
      <c r="O9" s="2" t="n"/>
    </row>
    <row r="10">
      <c r="A10" s="2" t="n"/>
      <c r="B10" s="2" t="n"/>
      <c r="C10" s="2" t="n"/>
      <c r="D10" s="2" t="n"/>
      <c r="E10" s="2" t="n"/>
      <c r="F10" s="2" t="n"/>
      <c r="G10" s="2" t="n"/>
      <c r="H10" s="2" t="n"/>
      <c r="I10" s="2" t="n"/>
      <c r="J10" s="2" t="n"/>
      <c r="K10" s="2">
        <f>IF(COUNTA(G10:J10)&lt;4,"",ROUND(AVERAGE(G10:J10),1))</f>
        <v/>
      </c>
      <c r="L10" s="2" t="n"/>
      <c r="M10" s="2" t="n"/>
      <c r="N10" s="2" t="n"/>
      <c r="O10" s="2" t="n"/>
    </row>
    <row r="11">
      <c r="A11" s="2" t="n"/>
      <c r="B11" s="2" t="n"/>
      <c r="C11" s="2" t="n"/>
      <c r="D11" s="2" t="n"/>
      <c r="E11" s="2" t="n"/>
      <c r="F11" s="2" t="n"/>
      <c r="G11" s="2" t="n"/>
      <c r="H11" s="2" t="n"/>
      <c r="I11" s="2" t="n"/>
      <c r="J11" s="2" t="n"/>
      <c r="K11" s="2">
        <f>IF(COUNTA(G11:J11)&lt;4,"",ROUND(AVERAGE(G11:J11),1))</f>
        <v/>
      </c>
      <c r="L11" s="2" t="n"/>
      <c r="M11" s="2" t="n"/>
      <c r="N11" s="2" t="n"/>
      <c r="O11" s="2" t="n"/>
    </row>
    <row r="12">
      <c r="A12" s="2" t="n"/>
      <c r="B12" s="2" t="n"/>
      <c r="C12" s="2" t="n"/>
      <c r="D12" s="2" t="n"/>
      <c r="E12" s="2" t="n"/>
      <c r="F12" s="2" t="n"/>
      <c r="G12" s="2" t="n"/>
      <c r="H12" s="2" t="n"/>
      <c r="I12" s="2" t="n"/>
      <c r="J12" s="2" t="n"/>
      <c r="K12" s="2">
        <f>IF(COUNTA(G12:J12)&lt;4,"",ROUND(AVERAGE(G12:J12),1))</f>
        <v/>
      </c>
      <c r="L12" s="2" t="n"/>
      <c r="M12" s="2" t="n"/>
      <c r="N12" s="2" t="n"/>
      <c r="O12" s="2" t="n"/>
    </row>
    <row r="13">
      <c r="A13" s="2" t="n"/>
      <c r="B13" s="2" t="n"/>
      <c r="C13" s="2" t="n"/>
      <c r="D13" s="2" t="n"/>
      <c r="E13" s="2" t="n"/>
      <c r="F13" s="2" t="n"/>
      <c r="G13" s="2" t="n"/>
      <c r="H13" s="2" t="n"/>
      <c r="I13" s="2" t="n"/>
      <c r="J13" s="2" t="n"/>
      <c r="K13" s="2">
        <f>IF(COUNTA(G13:J13)&lt;4,"",ROUND(AVERAGE(G13:J13),1))</f>
        <v/>
      </c>
      <c r="L13" s="2" t="n"/>
      <c r="M13" s="2" t="n"/>
      <c r="N13" s="2" t="n"/>
      <c r="O13" s="2" t="n"/>
    </row>
    <row r="14">
      <c r="A14" s="2" t="n"/>
      <c r="B14" s="2" t="n"/>
      <c r="C14" s="2" t="n"/>
      <c r="D14" s="2" t="n"/>
      <c r="E14" s="2" t="n"/>
      <c r="F14" s="2" t="n"/>
      <c r="G14" s="2" t="n"/>
      <c r="H14" s="2" t="n"/>
      <c r="I14" s="2" t="n"/>
      <c r="J14" s="2" t="n"/>
      <c r="K14" s="2">
        <f>IF(COUNTA(G14:J14)&lt;4,"",ROUND(AVERAGE(G14:J14),1))</f>
        <v/>
      </c>
      <c r="L14" s="2" t="n"/>
      <c r="M14" s="2" t="n"/>
      <c r="N14" s="2" t="n"/>
      <c r="O14" s="2" t="n"/>
    </row>
    <row r="15">
      <c r="A15" s="2" t="n"/>
      <c r="B15" s="2" t="n"/>
      <c r="C15" s="2" t="n"/>
      <c r="D15" s="2" t="n"/>
      <c r="E15" s="2" t="n"/>
      <c r="F15" s="2" t="n"/>
      <c r="G15" s="2" t="n"/>
      <c r="H15" s="2" t="n"/>
      <c r="I15" s="2" t="n"/>
      <c r="J15" s="2" t="n"/>
      <c r="K15" s="2">
        <f>IF(COUNTA(G15:J15)&lt;4,"",ROUND(AVERAGE(G15:J15),1))</f>
        <v/>
      </c>
      <c r="L15" s="2" t="n"/>
      <c r="M15" s="2" t="n"/>
      <c r="N15" s="2" t="n"/>
      <c r="O15" s="2" t="n"/>
    </row>
    <row r="16">
      <c r="A16" s="2" t="n"/>
      <c r="B16" s="2" t="n"/>
      <c r="C16" s="2" t="n"/>
      <c r="D16" s="2" t="n"/>
      <c r="E16" s="2" t="n"/>
      <c r="F16" s="2" t="n"/>
      <c r="G16" s="2" t="n"/>
      <c r="H16" s="2" t="n"/>
      <c r="I16" s="2" t="n"/>
      <c r="J16" s="2" t="n"/>
      <c r="K16" s="2">
        <f>IF(COUNTA(G16:J16)&lt;4,"",ROUND(AVERAGE(G16:J16),1))</f>
        <v/>
      </c>
      <c r="L16" s="2" t="n"/>
      <c r="M16" s="2" t="n"/>
      <c r="N16" s="2" t="n"/>
      <c r="O16" s="2" t="n"/>
    </row>
    <row r="17">
      <c r="A17" s="2" t="n"/>
      <c r="B17" s="2" t="n"/>
      <c r="C17" s="2" t="n"/>
      <c r="D17" s="2" t="n"/>
      <c r="E17" s="2" t="n"/>
      <c r="F17" s="2" t="n"/>
      <c r="G17" s="2" t="n"/>
      <c r="H17" s="2" t="n"/>
      <c r="I17" s="2" t="n"/>
      <c r="J17" s="2" t="n"/>
      <c r="K17" s="2">
        <f>IF(COUNTA(G17:J17)&lt;4,"",ROUND(AVERAGE(G17:J17),1))</f>
        <v/>
      </c>
      <c r="L17" s="2" t="n"/>
      <c r="M17" s="2" t="n"/>
      <c r="N17" s="2" t="n"/>
      <c r="O17" s="2" t="n"/>
    </row>
    <row r="18">
      <c r="A18" s="2" t="n"/>
      <c r="B18" s="2" t="n"/>
      <c r="C18" s="2" t="n"/>
      <c r="D18" s="2" t="n"/>
      <c r="E18" s="2" t="n"/>
      <c r="F18" s="2" t="n"/>
      <c r="G18" s="2" t="n"/>
      <c r="H18" s="2" t="n"/>
      <c r="I18" s="2" t="n"/>
      <c r="J18" s="2" t="n"/>
      <c r="K18" s="2">
        <f>IF(COUNTA(G18:J18)&lt;4,"",ROUND(AVERAGE(G18:J18),1))</f>
        <v/>
      </c>
      <c r="L18" s="2" t="n"/>
      <c r="M18" s="2" t="n"/>
      <c r="N18" s="2" t="n"/>
      <c r="O18" s="2" t="n"/>
    </row>
    <row r="19">
      <c r="A19" s="2" t="n"/>
      <c r="B19" s="2" t="n"/>
      <c r="C19" s="2" t="n"/>
      <c r="D19" s="2" t="n"/>
      <c r="E19" s="2" t="n"/>
      <c r="F19" s="2" t="n"/>
      <c r="G19" s="2" t="n"/>
      <c r="H19" s="2" t="n"/>
      <c r="I19" s="2" t="n"/>
      <c r="J19" s="2" t="n"/>
      <c r="K19" s="2">
        <f>IF(COUNTA(G19:J19)&lt;4,"",ROUND(AVERAGE(G19:J19),1))</f>
        <v/>
      </c>
      <c r="L19" s="2" t="n"/>
      <c r="M19" s="2" t="n"/>
      <c r="N19" s="2" t="n"/>
      <c r="O19" s="2" t="n"/>
    </row>
    <row r="20">
      <c r="A20" s="2" t="n"/>
      <c r="B20" s="2" t="n"/>
      <c r="C20" s="2" t="n"/>
      <c r="D20" s="2" t="n"/>
      <c r="E20" s="2" t="n"/>
      <c r="F20" s="2" t="n"/>
      <c r="G20" s="2" t="n"/>
      <c r="H20" s="2" t="n"/>
      <c r="I20" s="2" t="n"/>
      <c r="J20" s="2" t="n"/>
      <c r="K20" s="2">
        <f>IF(COUNTA(G20:J20)&lt;4,"",ROUND(AVERAGE(G20:J20),1))</f>
        <v/>
      </c>
      <c r="L20" s="2" t="n"/>
      <c r="M20" s="2" t="n"/>
      <c r="N20" s="2" t="n"/>
      <c r="O20" s="2" t="n"/>
    </row>
    <row r="21">
      <c r="A21" s="2" t="n"/>
      <c r="B21" s="2" t="n"/>
      <c r="C21" s="2" t="n"/>
      <c r="D21" s="2" t="n"/>
      <c r="E21" s="2" t="n"/>
      <c r="F21" s="2" t="n"/>
      <c r="G21" s="2" t="n"/>
      <c r="H21" s="2" t="n"/>
      <c r="I21" s="2" t="n"/>
      <c r="J21" s="2" t="n"/>
      <c r="K21" s="2">
        <f>IF(COUNTA(G21:J21)&lt;4,"",ROUND(AVERAGE(G21:J21),1))</f>
        <v/>
      </c>
      <c r="L21" s="2" t="n"/>
      <c r="M21" s="2" t="n"/>
      <c r="N21" s="2" t="n"/>
      <c r="O21" s="2" t="n"/>
    </row>
    <row r="22">
      <c r="A22" s="2" t="n"/>
      <c r="B22" s="2" t="n"/>
      <c r="C22" s="2" t="n"/>
      <c r="D22" s="2" t="n"/>
      <c r="E22" s="2" t="n"/>
      <c r="F22" s="2" t="n"/>
      <c r="G22" s="2" t="n"/>
      <c r="H22" s="2" t="n"/>
      <c r="I22" s="2" t="n"/>
      <c r="J22" s="2" t="n"/>
      <c r="K22" s="2">
        <f>IF(COUNTA(G22:J22)&lt;4,"",ROUND(AVERAGE(G22:J22),1))</f>
        <v/>
      </c>
      <c r="L22" s="2" t="n"/>
      <c r="M22" s="2" t="n"/>
      <c r="N22" s="2" t="n"/>
      <c r="O22" s="2" t="n"/>
    </row>
    <row r="23">
      <c r="A23" s="2" t="n"/>
      <c r="B23" s="2" t="n"/>
      <c r="C23" s="2" t="n"/>
      <c r="D23" s="2" t="n"/>
      <c r="E23" s="2" t="n"/>
      <c r="F23" s="2" t="n"/>
      <c r="G23" s="2" t="n"/>
      <c r="H23" s="2" t="n"/>
      <c r="I23" s="2" t="n"/>
      <c r="J23" s="2" t="n"/>
      <c r="K23" s="2">
        <f>IF(COUNTA(G23:J23)&lt;4,"",ROUND(AVERAGE(G23:J23),1))</f>
        <v/>
      </c>
      <c r="L23" s="2" t="n"/>
      <c r="M23" s="2" t="n"/>
      <c r="N23" s="2" t="n"/>
      <c r="O23" s="2" t="n"/>
    </row>
    <row r="24">
      <c r="A24" s="2" t="n"/>
      <c r="B24" s="2" t="n"/>
      <c r="C24" s="2" t="n"/>
      <c r="D24" s="2" t="n"/>
      <c r="E24" s="2" t="n"/>
      <c r="F24" s="2" t="n"/>
      <c r="G24" s="2" t="n"/>
      <c r="H24" s="2" t="n"/>
      <c r="I24" s="2" t="n"/>
      <c r="J24" s="2" t="n"/>
      <c r="K24" s="2">
        <f>IF(COUNTA(G24:J24)&lt;4,"",ROUND(AVERAGE(G24:J24),1))</f>
        <v/>
      </c>
      <c r="L24" s="2" t="n"/>
      <c r="M24" s="2" t="n"/>
      <c r="N24" s="2" t="n"/>
      <c r="O24" s="2" t="n"/>
    </row>
    <row r="25">
      <c r="A25" s="2" t="n"/>
      <c r="B25" s="2" t="n"/>
      <c r="C25" s="2" t="n"/>
      <c r="D25" s="2" t="n"/>
      <c r="E25" s="2" t="n"/>
      <c r="F25" s="2" t="n"/>
      <c r="G25" s="2" t="n"/>
      <c r="H25" s="2" t="n"/>
      <c r="I25" s="2" t="n"/>
      <c r="J25" s="2" t="n"/>
      <c r="K25" s="2">
        <f>IF(COUNTA(G25:J25)&lt;4,"",ROUND(AVERAGE(G25:J25),1))</f>
        <v/>
      </c>
      <c r="L25" s="2" t="n"/>
      <c r="M25" s="2" t="n"/>
      <c r="N25" s="2" t="n"/>
      <c r="O25" s="2" t="n"/>
    </row>
    <row r="26">
      <c r="A26" s="2" t="n"/>
      <c r="B26" s="2" t="n"/>
      <c r="C26" s="2" t="n"/>
      <c r="D26" s="2" t="n"/>
      <c r="E26" s="2" t="n"/>
      <c r="F26" s="2" t="n"/>
      <c r="G26" s="2" t="n"/>
      <c r="H26" s="2" t="n"/>
      <c r="I26" s="2" t="n"/>
      <c r="J26" s="2" t="n"/>
      <c r="K26" s="2">
        <f>IF(COUNTA(G26:J26)&lt;4,"",ROUND(AVERAGE(G26:J26),1))</f>
        <v/>
      </c>
      <c r="L26" s="2" t="n"/>
      <c r="M26" s="2" t="n"/>
      <c r="N26" s="2" t="n"/>
      <c r="O26" s="2" t="n"/>
    </row>
    <row r="27">
      <c r="A27" s="2" t="n"/>
      <c r="B27" s="2" t="n"/>
      <c r="C27" s="2" t="n"/>
      <c r="D27" s="2" t="n"/>
      <c r="E27" s="2" t="n"/>
      <c r="F27" s="2" t="n"/>
      <c r="G27" s="2" t="n"/>
      <c r="H27" s="2" t="n"/>
      <c r="I27" s="2" t="n"/>
      <c r="J27" s="2" t="n"/>
      <c r="K27" s="2">
        <f>IF(COUNTA(G27:J27)&lt;4,"",ROUND(AVERAGE(G27:J27),1))</f>
        <v/>
      </c>
      <c r="L27" s="2" t="n"/>
      <c r="M27" s="2" t="n"/>
      <c r="N27" s="2" t="n"/>
      <c r="O27" s="2" t="n"/>
    </row>
    <row r="28">
      <c r="A28" s="2" t="n"/>
      <c r="B28" s="2" t="n"/>
      <c r="C28" s="2" t="n"/>
      <c r="D28" s="2" t="n"/>
      <c r="E28" s="2" t="n"/>
      <c r="F28" s="2" t="n"/>
      <c r="G28" s="2" t="n"/>
      <c r="H28" s="2" t="n"/>
      <c r="I28" s="2" t="n"/>
      <c r="J28" s="2" t="n"/>
      <c r="K28" s="2">
        <f>IF(COUNTA(G28:J28)&lt;4,"",ROUND(AVERAGE(G28:J28),1))</f>
        <v/>
      </c>
      <c r="L28" s="2" t="n"/>
      <c r="M28" s="2" t="n"/>
      <c r="N28" s="2" t="n"/>
      <c r="O28" s="2" t="n"/>
    </row>
    <row r="29">
      <c r="A29" s="2" t="n"/>
      <c r="B29" s="2" t="n"/>
      <c r="C29" s="2" t="n"/>
      <c r="D29" s="2" t="n"/>
      <c r="E29" s="2" t="n"/>
      <c r="F29" s="2" t="n"/>
      <c r="G29" s="2" t="n"/>
      <c r="H29" s="2" t="n"/>
      <c r="I29" s="2" t="n"/>
      <c r="J29" s="2" t="n"/>
      <c r="K29" s="2">
        <f>IF(COUNTA(G29:J29)&lt;4,"",ROUND(AVERAGE(G29:J29),1))</f>
        <v/>
      </c>
      <c r="L29" s="2" t="n"/>
      <c r="M29" s="2" t="n"/>
      <c r="N29" s="2" t="n"/>
      <c r="O29" s="2" t="n"/>
    </row>
    <row r="30">
      <c r="A30" s="2" t="n"/>
      <c r="B30" s="2" t="n"/>
      <c r="C30" s="2" t="n"/>
      <c r="D30" s="2" t="n"/>
      <c r="E30" s="2" t="n"/>
      <c r="F30" s="2" t="n"/>
      <c r="G30" s="2" t="n"/>
      <c r="H30" s="2" t="n"/>
      <c r="I30" s="2" t="n"/>
      <c r="J30" s="2" t="n"/>
      <c r="K30" s="2">
        <f>IF(COUNTA(G30:J30)&lt;4,"",ROUND(AVERAGE(G30:J30),1))</f>
        <v/>
      </c>
      <c r="L30" s="2" t="n"/>
      <c r="M30" s="2" t="n"/>
      <c r="N30" s="2" t="n"/>
      <c r="O30" s="2" t="n"/>
    </row>
    <row r="31">
      <c r="A31" s="2" t="n"/>
      <c r="B31" s="2" t="n"/>
      <c r="C31" s="2" t="n"/>
      <c r="D31" s="2" t="n"/>
      <c r="E31" s="2" t="n"/>
      <c r="F31" s="2" t="n"/>
      <c r="G31" s="2" t="n"/>
      <c r="H31" s="2" t="n"/>
      <c r="I31" s="2" t="n"/>
      <c r="J31" s="2" t="n"/>
      <c r="K31" s="2">
        <f>IF(COUNTA(G31:J31)&lt;4,"",ROUND(AVERAGE(G31:J31),1))</f>
        <v/>
      </c>
      <c r="L31" s="2" t="n"/>
      <c r="M31" s="2" t="n"/>
      <c r="N31" s="2" t="n"/>
      <c r="O31" s="2" t="n"/>
    </row>
    <row r="32">
      <c r="A32" s="2" t="n"/>
      <c r="B32" s="2" t="n"/>
      <c r="C32" s="2" t="n"/>
      <c r="D32" s="2" t="n"/>
      <c r="E32" s="2" t="n"/>
      <c r="F32" s="2" t="n"/>
      <c r="G32" s="2" t="n"/>
      <c r="H32" s="2" t="n"/>
      <c r="I32" s="2" t="n"/>
      <c r="J32" s="2" t="n"/>
      <c r="K32" s="2">
        <f>IF(COUNTA(G32:J32)&lt;4,"",ROUND(AVERAGE(G32:J32),1))</f>
        <v/>
      </c>
      <c r="L32" s="2" t="n"/>
      <c r="M32" s="2" t="n"/>
      <c r="N32" s="2" t="n"/>
      <c r="O32" s="2" t="n"/>
    </row>
    <row r="33">
      <c r="A33" s="2" t="n"/>
      <c r="B33" s="2" t="n"/>
      <c r="C33" s="2" t="n"/>
      <c r="D33" s="2" t="n"/>
      <c r="E33" s="2" t="n"/>
      <c r="F33" s="2" t="n"/>
      <c r="G33" s="2" t="n"/>
      <c r="H33" s="2" t="n"/>
      <c r="I33" s="2" t="n"/>
      <c r="J33" s="2" t="n"/>
      <c r="K33" s="2">
        <f>IF(COUNTA(G33:J33)&lt;4,"",ROUND(AVERAGE(G33:J33),1))</f>
        <v/>
      </c>
      <c r="L33" s="2" t="n"/>
      <c r="M33" s="2" t="n"/>
      <c r="N33" s="2" t="n"/>
      <c r="O33" s="2" t="n"/>
    </row>
    <row r="34">
      <c r="A34" s="2" t="n"/>
      <c r="B34" s="2" t="n"/>
      <c r="C34" s="2" t="n"/>
      <c r="D34" s="2" t="n"/>
      <c r="E34" s="2" t="n"/>
      <c r="F34" s="2" t="n"/>
      <c r="G34" s="2" t="n"/>
      <c r="H34" s="2" t="n"/>
      <c r="I34" s="2" t="n"/>
      <c r="J34" s="2" t="n"/>
      <c r="K34" s="2">
        <f>IF(COUNTA(G34:J34)&lt;4,"",ROUND(AVERAGE(G34:J34),1))</f>
        <v/>
      </c>
      <c r="L34" s="2" t="n"/>
      <c r="M34" s="2" t="n"/>
      <c r="N34" s="2" t="n"/>
      <c r="O34" s="2" t="n"/>
    </row>
    <row r="35">
      <c r="A35" s="2" t="n"/>
      <c r="B35" s="2" t="n"/>
      <c r="C35" s="2" t="n"/>
      <c r="D35" s="2" t="n"/>
      <c r="E35" s="2" t="n"/>
      <c r="F35" s="2" t="n"/>
      <c r="G35" s="2" t="n"/>
      <c r="H35" s="2" t="n"/>
      <c r="I35" s="2" t="n"/>
      <c r="J35" s="2" t="n"/>
      <c r="K35" s="2">
        <f>IF(COUNTA(G35:J35)&lt;4,"",ROUND(AVERAGE(G35:J35),1))</f>
        <v/>
      </c>
      <c r="L35" s="2" t="n"/>
      <c r="M35" s="2" t="n"/>
      <c r="N35" s="2" t="n"/>
      <c r="O35" s="2" t="n"/>
    </row>
    <row r="36">
      <c r="A36" s="2" t="n"/>
      <c r="B36" s="2" t="n"/>
      <c r="C36" s="2" t="n"/>
      <c r="D36" s="2" t="n"/>
      <c r="E36" s="2" t="n"/>
      <c r="F36" s="2" t="n"/>
      <c r="G36" s="2" t="n"/>
      <c r="H36" s="2" t="n"/>
      <c r="I36" s="2" t="n"/>
      <c r="J36" s="2" t="n"/>
      <c r="K36" s="2">
        <f>IF(COUNTA(G36:J36)&lt;4,"",ROUND(AVERAGE(G36:J36),1))</f>
        <v/>
      </c>
      <c r="L36" s="2" t="n"/>
      <c r="M36" s="2" t="n"/>
      <c r="N36" s="2" t="n"/>
      <c r="O36" s="2" t="n"/>
    </row>
    <row r="37">
      <c r="A37" s="2" t="n"/>
      <c r="B37" s="2" t="n"/>
      <c r="C37" s="2" t="n"/>
      <c r="D37" s="2" t="n"/>
      <c r="E37" s="2" t="n"/>
      <c r="F37" s="2" t="n"/>
      <c r="G37" s="2" t="n"/>
      <c r="H37" s="2" t="n"/>
      <c r="I37" s="2" t="n"/>
      <c r="J37" s="2" t="n"/>
      <c r="K37" s="2">
        <f>IF(COUNTA(G37:J37)&lt;4,"",ROUND(AVERAGE(G37:J37),1))</f>
        <v/>
      </c>
      <c r="L37" s="2" t="n"/>
      <c r="M37" s="2" t="n"/>
      <c r="N37" s="2" t="n"/>
      <c r="O37" s="2" t="n"/>
    </row>
    <row r="38">
      <c r="A38" s="2" t="n"/>
      <c r="B38" s="2" t="n"/>
      <c r="C38" s="2" t="n"/>
      <c r="D38" s="2" t="n"/>
      <c r="E38" s="2" t="n"/>
      <c r="F38" s="2" t="n"/>
      <c r="G38" s="2" t="n"/>
      <c r="H38" s="2" t="n"/>
      <c r="I38" s="2" t="n"/>
      <c r="J38" s="2" t="n"/>
      <c r="K38" s="2">
        <f>IF(COUNTA(G38:J38)&lt;4,"",ROUND(AVERAGE(G38:J38),1))</f>
        <v/>
      </c>
      <c r="L38" s="2" t="n"/>
      <c r="M38" s="2" t="n"/>
      <c r="N38" s="2" t="n"/>
      <c r="O38" s="2" t="n"/>
    </row>
    <row r="39">
      <c r="A39" s="2" t="n"/>
      <c r="B39" s="2" t="n"/>
      <c r="C39" s="2" t="n"/>
      <c r="D39" s="2" t="n"/>
      <c r="E39" s="2" t="n"/>
      <c r="F39" s="2" t="n"/>
      <c r="G39" s="2" t="n"/>
      <c r="H39" s="2" t="n"/>
      <c r="I39" s="2" t="n"/>
      <c r="J39" s="2" t="n"/>
      <c r="K39" s="2">
        <f>IF(COUNTA(G39:J39)&lt;4,"",ROUND(AVERAGE(G39:J39),1))</f>
        <v/>
      </c>
      <c r="L39" s="2" t="n"/>
      <c r="M39" s="2" t="n"/>
      <c r="N39" s="2" t="n"/>
      <c r="O39" s="2" t="n"/>
    </row>
    <row r="40">
      <c r="A40" s="2" t="n"/>
      <c r="B40" s="2" t="n"/>
      <c r="C40" s="2" t="n"/>
      <c r="D40" s="2" t="n"/>
      <c r="E40" s="2" t="n"/>
      <c r="F40" s="2" t="n"/>
      <c r="G40" s="2" t="n"/>
      <c r="H40" s="2" t="n"/>
      <c r="I40" s="2" t="n"/>
      <c r="J40" s="2" t="n"/>
      <c r="K40" s="2">
        <f>IF(COUNTA(G40:J40)&lt;4,"",ROUND(AVERAGE(G40:J40),1))</f>
        <v/>
      </c>
      <c r="L40" s="2" t="n"/>
      <c r="M40" s="2" t="n"/>
      <c r="N40" s="2" t="n"/>
      <c r="O40" s="2" t="n"/>
    </row>
    <row r="41">
      <c r="A41" s="2" t="n"/>
      <c r="B41" s="2" t="n"/>
      <c r="C41" s="2" t="n"/>
      <c r="D41" s="2" t="n"/>
      <c r="E41" s="2" t="n"/>
      <c r="F41" s="2" t="n"/>
      <c r="G41" s="2" t="n"/>
      <c r="H41" s="2" t="n"/>
      <c r="I41" s="2" t="n"/>
      <c r="J41" s="2" t="n"/>
      <c r="K41" s="2">
        <f>IF(COUNTA(G41:J41)&lt;4,"",ROUND(AVERAGE(G41:J41),1))</f>
        <v/>
      </c>
      <c r="L41" s="2" t="n"/>
      <c r="M41" s="2" t="n"/>
      <c r="N41" s="2" t="n"/>
      <c r="O41" s="2" t="n"/>
    </row>
    <row r="42">
      <c r="A42" s="2" t="n"/>
      <c r="B42" s="2" t="n"/>
      <c r="C42" s="2" t="n"/>
      <c r="D42" s="2" t="n"/>
      <c r="E42" s="2" t="n"/>
      <c r="F42" s="2" t="n"/>
      <c r="G42" s="2" t="n"/>
      <c r="H42" s="2" t="n"/>
      <c r="I42" s="2" t="n"/>
      <c r="J42" s="2" t="n"/>
      <c r="K42" s="2">
        <f>IF(COUNTA(G42:J42)&lt;4,"",ROUND(AVERAGE(G42:J42),1))</f>
        <v/>
      </c>
      <c r="L42" s="2" t="n"/>
      <c r="M42" s="2" t="n"/>
      <c r="N42" s="2" t="n"/>
      <c r="O42" s="2" t="n"/>
    </row>
    <row r="43">
      <c r="A43" s="2" t="n"/>
      <c r="B43" s="2" t="n"/>
      <c r="C43" s="2" t="n"/>
      <c r="D43" s="2" t="n"/>
      <c r="E43" s="2" t="n"/>
      <c r="F43" s="2" t="n"/>
      <c r="G43" s="2" t="n"/>
      <c r="H43" s="2" t="n"/>
      <c r="I43" s="2" t="n"/>
      <c r="J43" s="2" t="n"/>
      <c r="K43" s="2">
        <f>IF(COUNTA(G43:J43)&lt;4,"",ROUND(AVERAGE(G43:J43),1))</f>
        <v/>
      </c>
      <c r="L43" s="2" t="n"/>
      <c r="M43" s="2" t="n"/>
      <c r="N43" s="2" t="n"/>
      <c r="O43" s="2" t="n"/>
    </row>
    <row r="44">
      <c r="A44" s="2" t="n"/>
      <c r="B44" s="2" t="n"/>
      <c r="C44" s="2" t="n"/>
      <c r="D44" s="2" t="n"/>
      <c r="E44" s="2" t="n"/>
      <c r="F44" s="2" t="n"/>
      <c r="G44" s="2" t="n"/>
      <c r="H44" s="2" t="n"/>
      <c r="I44" s="2" t="n"/>
      <c r="J44" s="2" t="n"/>
      <c r="K44" s="2">
        <f>IF(COUNTA(G44:J44)&lt;4,"",ROUND(AVERAGE(G44:J44),1))</f>
        <v/>
      </c>
      <c r="L44" s="2" t="n"/>
      <c r="M44" s="2" t="n"/>
      <c r="N44" s="2" t="n"/>
      <c r="O44" s="2" t="n"/>
    </row>
    <row r="45">
      <c r="A45" s="2" t="n"/>
      <c r="B45" s="2" t="n"/>
      <c r="C45" s="2" t="n"/>
      <c r="D45" s="2" t="n"/>
      <c r="E45" s="2" t="n"/>
      <c r="F45" s="2" t="n"/>
      <c r="G45" s="2" t="n"/>
      <c r="H45" s="2" t="n"/>
      <c r="I45" s="2" t="n"/>
      <c r="J45" s="2" t="n"/>
      <c r="K45" s="2">
        <f>IF(COUNTA(G45:J45)&lt;4,"",ROUND(AVERAGE(G45:J45),1))</f>
        <v/>
      </c>
      <c r="L45" s="2" t="n"/>
      <c r="M45" s="2" t="n"/>
      <c r="N45" s="2" t="n"/>
      <c r="O45" s="2" t="n"/>
    </row>
    <row r="46">
      <c r="A46" s="2" t="n"/>
      <c r="B46" s="2" t="n"/>
      <c r="C46" s="2" t="n"/>
      <c r="D46" s="2" t="n"/>
      <c r="E46" s="2" t="n"/>
      <c r="F46" s="2" t="n"/>
      <c r="G46" s="2" t="n"/>
      <c r="H46" s="2" t="n"/>
      <c r="I46" s="2" t="n"/>
      <c r="J46" s="2" t="n"/>
      <c r="K46" s="2">
        <f>IF(COUNTA(G46:J46)&lt;4,"",ROUND(AVERAGE(G46:J46),1))</f>
        <v/>
      </c>
      <c r="L46" s="2" t="n"/>
      <c r="M46" s="2" t="n"/>
      <c r="N46" s="2" t="n"/>
      <c r="O46" s="2" t="n"/>
    </row>
    <row r="47">
      <c r="A47" s="2" t="n"/>
      <c r="B47" s="2" t="n"/>
      <c r="C47" s="2" t="n"/>
      <c r="D47" s="2" t="n"/>
      <c r="E47" s="2" t="n"/>
      <c r="F47" s="2" t="n"/>
      <c r="G47" s="2" t="n"/>
      <c r="H47" s="2" t="n"/>
      <c r="I47" s="2" t="n"/>
      <c r="J47" s="2" t="n"/>
      <c r="K47" s="2">
        <f>IF(COUNTA(G47:J47)&lt;4,"",ROUND(AVERAGE(G47:J47),1))</f>
        <v/>
      </c>
      <c r="L47" s="2" t="n"/>
      <c r="M47" s="2" t="n"/>
      <c r="N47" s="2" t="n"/>
      <c r="O47" s="2" t="n"/>
    </row>
    <row r="48">
      <c r="A48" s="2" t="n"/>
      <c r="B48" s="2" t="n"/>
      <c r="C48" s="2" t="n"/>
      <c r="D48" s="2" t="n"/>
      <c r="E48" s="2" t="n"/>
      <c r="F48" s="2" t="n"/>
      <c r="G48" s="2" t="n"/>
      <c r="H48" s="2" t="n"/>
      <c r="I48" s="2" t="n"/>
      <c r="J48" s="2" t="n"/>
      <c r="K48" s="2">
        <f>IF(COUNTA(G48:J48)&lt;4,"",ROUND(AVERAGE(G48:J48),1))</f>
        <v/>
      </c>
      <c r="L48" s="2" t="n"/>
      <c r="M48" s="2" t="n"/>
      <c r="N48" s="2" t="n"/>
      <c r="O48" s="2" t="n"/>
    </row>
    <row r="49">
      <c r="A49" s="2" t="n"/>
      <c r="B49" s="2" t="n"/>
      <c r="C49" s="2" t="n"/>
      <c r="D49" s="2" t="n"/>
      <c r="E49" s="2" t="n"/>
      <c r="F49" s="2" t="n"/>
      <c r="G49" s="2" t="n"/>
      <c r="H49" s="2" t="n"/>
      <c r="I49" s="2" t="n"/>
      <c r="J49" s="2" t="n"/>
      <c r="K49" s="2">
        <f>IF(COUNTA(G49:J49)&lt;4,"",ROUND(AVERAGE(G49:J49),1))</f>
        <v/>
      </c>
      <c r="L49" s="2" t="n"/>
      <c r="M49" s="2" t="n"/>
      <c r="N49" s="2" t="n"/>
      <c r="O49" s="2" t="n"/>
    </row>
    <row r="50">
      <c r="A50" s="2" t="n"/>
      <c r="B50" s="2" t="n"/>
      <c r="C50" s="2" t="n"/>
      <c r="D50" s="2" t="n"/>
      <c r="E50" s="2" t="n"/>
      <c r="F50" s="2" t="n"/>
      <c r="G50" s="2" t="n"/>
      <c r="H50" s="2" t="n"/>
      <c r="I50" s="2" t="n"/>
      <c r="J50" s="2" t="n"/>
      <c r="K50" s="2">
        <f>IF(COUNTA(G50:J50)&lt;4,"",ROUND(AVERAGE(G50:J50),1))</f>
        <v/>
      </c>
      <c r="L50" s="2" t="n"/>
      <c r="M50" s="2" t="n"/>
      <c r="N50" s="2" t="n"/>
      <c r="O50" s="2" t="n"/>
    </row>
    <row r="51">
      <c r="A51" s="2" t="n"/>
      <c r="B51" s="2" t="n"/>
      <c r="C51" s="2" t="n"/>
      <c r="D51" s="2" t="n"/>
      <c r="E51" s="2" t="n"/>
      <c r="F51" s="2" t="n"/>
      <c r="G51" s="2" t="n"/>
      <c r="H51" s="2" t="n"/>
      <c r="I51" s="2" t="n"/>
      <c r="J51" s="2" t="n"/>
      <c r="K51" s="2">
        <f>IF(COUNTA(G51:J51)&lt;4,"",ROUND(AVERAGE(G51:J51),1))</f>
        <v/>
      </c>
      <c r="L51" s="2" t="n"/>
      <c r="M51" s="2" t="n"/>
      <c r="N51" s="2" t="n"/>
      <c r="O51" s="2" t="n"/>
    </row>
    <row r="52">
      <c r="A52" s="2" t="n"/>
      <c r="B52" s="2" t="n"/>
      <c r="C52" s="2" t="n"/>
      <c r="D52" s="2" t="n"/>
      <c r="E52" s="2" t="n"/>
      <c r="F52" s="2" t="n"/>
      <c r="G52" s="2" t="n"/>
      <c r="H52" s="2" t="n"/>
      <c r="I52" s="2" t="n"/>
      <c r="J52" s="2" t="n"/>
      <c r="K52" s="2">
        <f>IF(COUNTA(G52:J52)&lt;4,"",ROUND(AVERAGE(G52:J52),1))</f>
        <v/>
      </c>
      <c r="L52" s="2" t="n"/>
      <c r="M52" s="2" t="n"/>
      <c r="N52" s="2" t="n"/>
      <c r="O52" s="2" t="n"/>
    </row>
    <row r="53">
      <c r="A53" s="2" t="n"/>
      <c r="B53" s="2" t="n"/>
      <c r="C53" s="2" t="n"/>
      <c r="D53" s="2" t="n"/>
      <c r="E53" s="2" t="n"/>
      <c r="F53" s="2" t="n"/>
      <c r="G53" s="2" t="n"/>
      <c r="H53" s="2" t="n"/>
      <c r="I53" s="2" t="n"/>
      <c r="J53" s="2" t="n"/>
      <c r="K53" s="2">
        <f>IF(COUNTA(G53:J53)&lt;4,"",ROUND(AVERAGE(G53:J53),1))</f>
        <v/>
      </c>
      <c r="L53" s="2" t="n"/>
      <c r="M53" s="2" t="n"/>
      <c r="N53" s="2" t="n"/>
      <c r="O53" s="2" t="n"/>
    </row>
    <row r="54">
      <c r="A54" s="2" t="n"/>
      <c r="B54" s="2" t="n"/>
      <c r="C54" s="2" t="n"/>
      <c r="D54" s="2" t="n"/>
      <c r="E54" s="2" t="n"/>
      <c r="F54" s="2" t="n"/>
      <c r="G54" s="2" t="n"/>
      <c r="H54" s="2" t="n"/>
      <c r="I54" s="2" t="n"/>
      <c r="J54" s="2" t="n"/>
      <c r="K54" s="2">
        <f>IF(COUNTA(G54:J54)&lt;4,"",ROUND(AVERAGE(G54:J54),1))</f>
        <v/>
      </c>
      <c r="L54" s="2" t="n"/>
      <c r="M54" s="2" t="n"/>
      <c r="N54" s="2" t="n"/>
      <c r="O54" s="2" t="n"/>
    </row>
    <row r="55">
      <c r="A55" s="2" t="n"/>
      <c r="B55" s="2" t="n"/>
      <c r="C55" s="2" t="n"/>
      <c r="D55" s="2" t="n"/>
      <c r="E55" s="2" t="n"/>
      <c r="F55" s="2" t="n"/>
      <c r="G55" s="2" t="n"/>
      <c r="H55" s="2" t="n"/>
      <c r="I55" s="2" t="n"/>
      <c r="J55" s="2" t="n"/>
      <c r="K55" s="2">
        <f>IF(COUNTA(G55:J55)&lt;4,"",ROUND(AVERAGE(G55:J55),1))</f>
        <v/>
      </c>
      <c r="L55" s="2" t="n"/>
      <c r="M55" s="2" t="n"/>
      <c r="N55" s="2" t="n"/>
      <c r="O55" s="2" t="n"/>
    </row>
    <row r="56">
      <c r="A56" s="2" t="n"/>
      <c r="B56" s="2" t="n"/>
      <c r="C56" s="2" t="n"/>
      <c r="D56" s="2" t="n"/>
      <c r="E56" s="2" t="n"/>
      <c r="F56" s="2" t="n"/>
      <c r="G56" s="2" t="n"/>
      <c r="H56" s="2" t="n"/>
      <c r="I56" s="2" t="n"/>
      <c r="J56" s="2" t="n"/>
      <c r="K56" s="2">
        <f>IF(COUNTA(G56:J56)&lt;4,"",ROUND(AVERAGE(G56:J56),1))</f>
        <v/>
      </c>
      <c r="L56" s="2" t="n"/>
      <c r="M56" s="2" t="n"/>
      <c r="N56" s="2" t="n"/>
      <c r="O56" s="2" t="n"/>
    </row>
    <row r="57">
      <c r="A57" s="2" t="n"/>
      <c r="B57" s="2" t="n"/>
      <c r="C57" s="2" t="n"/>
      <c r="D57" s="2" t="n"/>
      <c r="E57" s="2" t="n"/>
      <c r="F57" s="2" t="n"/>
      <c r="G57" s="2" t="n"/>
      <c r="H57" s="2" t="n"/>
      <c r="I57" s="2" t="n"/>
      <c r="J57" s="2" t="n"/>
      <c r="K57" s="2">
        <f>IF(COUNTA(G57:J57)&lt;4,"",ROUND(AVERAGE(G57:J57),1))</f>
        <v/>
      </c>
      <c r="L57" s="2" t="n"/>
      <c r="M57" s="2" t="n"/>
      <c r="N57" s="2" t="n"/>
      <c r="O57" s="2" t="n"/>
    </row>
    <row r="58">
      <c r="A58" s="2" t="n"/>
      <c r="B58" s="2" t="n"/>
      <c r="C58" s="2" t="n"/>
      <c r="D58" s="2" t="n"/>
      <c r="E58" s="2" t="n"/>
      <c r="F58" s="2" t="n"/>
      <c r="G58" s="2" t="n"/>
      <c r="H58" s="2" t="n"/>
      <c r="I58" s="2" t="n"/>
      <c r="J58" s="2" t="n"/>
      <c r="K58" s="2">
        <f>IF(COUNTA(G58:J58)&lt;4,"",ROUND(AVERAGE(G58:J58),1))</f>
        <v/>
      </c>
      <c r="L58" s="2" t="n"/>
      <c r="M58" s="2" t="n"/>
      <c r="N58" s="2" t="n"/>
      <c r="O58" s="2" t="n"/>
    </row>
    <row r="59">
      <c r="A59" s="2" t="n"/>
      <c r="B59" s="2" t="n"/>
      <c r="C59" s="2" t="n"/>
      <c r="D59" s="2" t="n"/>
      <c r="E59" s="2" t="n"/>
      <c r="F59" s="2" t="n"/>
      <c r="G59" s="2" t="n"/>
      <c r="H59" s="2" t="n"/>
      <c r="I59" s="2" t="n"/>
      <c r="J59" s="2" t="n"/>
      <c r="K59" s="2">
        <f>IF(COUNTA(G59:J59)&lt;4,"",ROUND(AVERAGE(G59:J59),1))</f>
        <v/>
      </c>
      <c r="L59" s="2" t="n"/>
      <c r="M59" s="2" t="n"/>
      <c r="N59" s="2" t="n"/>
      <c r="O59" s="2" t="n"/>
    </row>
    <row r="60">
      <c r="A60" s="2" t="n"/>
      <c r="B60" s="2" t="n"/>
      <c r="C60" s="2" t="n"/>
      <c r="D60" s="2" t="n"/>
      <c r="E60" s="2" t="n"/>
      <c r="F60" s="2" t="n"/>
      <c r="G60" s="2" t="n"/>
      <c r="H60" s="2" t="n"/>
      <c r="I60" s="2" t="n"/>
      <c r="J60" s="2" t="n"/>
      <c r="K60" s="2">
        <f>IF(COUNTA(G60:J60)&lt;4,"",ROUND(AVERAGE(G60:J60),1))</f>
        <v/>
      </c>
      <c r="L60" s="2" t="n"/>
      <c r="M60" s="2" t="n"/>
      <c r="N60" s="2" t="n"/>
      <c r="O60" s="2" t="n"/>
    </row>
    <row r="61">
      <c r="A61" s="2" t="n"/>
      <c r="B61" s="2" t="n"/>
      <c r="C61" s="2" t="n"/>
      <c r="D61" s="2" t="n"/>
      <c r="E61" s="2" t="n"/>
      <c r="F61" s="2" t="n"/>
      <c r="G61" s="2" t="n"/>
      <c r="H61" s="2" t="n"/>
      <c r="I61" s="2" t="n"/>
      <c r="J61" s="2" t="n"/>
      <c r="K61" s="2">
        <f>IF(COUNTA(G61:J61)&lt;4,"",ROUND(AVERAGE(G61:J61),1))</f>
        <v/>
      </c>
      <c r="L61" s="2" t="n"/>
      <c r="M61" s="2" t="n"/>
      <c r="N61" s="2" t="n"/>
      <c r="O61" s="2" t="n"/>
    </row>
    <row r="62">
      <c r="A62" s="2" t="n"/>
      <c r="B62" s="2" t="n"/>
      <c r="C62" s="2" t="n"/>
      <c r="D62" s="2" t="n"/>
      <c r="E62" s="2" t="n"/>
      <c r="F62" s="2" t="n"/>
      <c r="G62" s="2" t="n"/>
      <c r="H62" s="2" t="n"/>
      <c r="I62" s="2" t="n"/>
      <c r="J62" s="2" t="n"/>
      <c r="K62" s="2">
        <f>IF(COUNTA(G62:J62)&lt;4,"",ROUND(AVERAGE(G62:J62),1))</f>
        <v/>
      </c>
      <c r="L62" s="2" t="n"/>
      <c r="M62" s="2" t="n"/>
      <c r="N62" s="2" t="n"/>
      <c r="O62" s="2" t="n"/>
    </row>
    <row r="63">
      <c r="A63" s="2" t="n"/>
      <c r="B63" s="2" t="n"/>
      <c r="C63" s="2" t="n"/>
      <c r="D63" s="2" t="n"/>
      <c r="E63" s="2" t="n"/>
      <c r="F63" s="2" t="n"/>
      <c r="G63" s="2" t="n"/>
      <c r="H63" s="2" t="n"/>
      <c r="I63" s="2" t="n"/>
      <c r="J63" s="2" t="n"/>
      <c r="K63" s="2">
        <f>IF(COUNTA(G63:J63)&lt;4,"",ROUND(AVERAGE(G63:J63),1))</f>
        <v/>
      </c>
      <c r="L63" s="2" t="n"/>
      <c r="M63" s="2" t="n"/>
      <c r="N63" s="2" t="n"/>
      <c r="O63" s="2" t="n"/>
    </row>
    <row r="64">
      <c r="A64" s="2" t="n"/>
      <c r="B64" s="2" t="n"/>
      <c r="C64" s="2" t="n"/>
      <c r="D64" s="2" t="n"/>
      <c r="E64" s="2" t="n"/>
      <c r="F64" s="2" t="n"/>
      <c r="G64" s="2" t="n"/>
      <c r="H64" s="2" t="n"/>
      <c r="I64" s="2" t="n"/>
      <c r="J64" s="2" t="n"/>
      <c r="K64" s="2">
        <f>IF(COUNTA(G64:J64)&lt;4,"",ROUND(AVERAGE(G64:J64),1))</f>
        <v/>
      </c>
      <c r="L64" s="2" t="n"/>
      <c r="M64" s="2" t="n"/>
      <c r="N64" s="2" t="n"/>
      <c r="O64" s="2" t="n"/>
    </row>
    <row r="65">
      <c r="A65" s="2" t="n"/>
      <c r="B65" s="2" t="n"/>
      <c r="C65" s="2" t="n"/>
      <c r="D65" s="2" t="n"/>
      <c r="E65" s="2" t="n"/>
      <c r="F65" s="2" t="n"/>
      <c r="G65" s="2" t="n"/>
      <c r="H65" s="2" t="n"/>
      <c r="I65" s="2" t="n"/>
      <c r="J65" s="2" t="n"/>
      <c r="K65" s="2">
        <f>IF(COUNTA(G65:J65)&lt;4,"",ROUND(AVERAGE(G65:J65),1))</f>
        <v/>
      </c>
      <c r="L65" s="2" t="n"/>
      <c r="M65" s="2" t="n"/>
      <c r="N65" s="2" t="n"/>
      <c r="O65" s="2" t="n"/>
    </row>
    <row r="66">
      <c r="A66" s="2" t="n"/>
      <c r="B66" s="2" t="n"/>
      <c r="C66" s="2" t="n"/>
      <c r="D66" s="2" t="n"/>
      <c r="E66" s="2" t="n"/>
      <c r="F66" s="2" t="n"/>
      <c r="G66" s="2" t="n"/>
      <c r="H66" s="2" t="n"/>
      <c r="I66" s="2" t="n"/>
      <c r="J66" s="2" t="n"/>
      <c r="K66" s="2">
        <f>IF(COUNTA(G66:J66)&lt;4,"",ROUND(AVERAGE(G66:J66),1))</f>
        <v/>
      </c>
      <c r="L66" s="2" t="n"/>
      <c r="M66" s="2" t="n"/>
      <c r="N66" s="2" t="n"/>
      <c r="O66" s="2" t="n"/>
    </row>
    <row r="67">
      <c r="A67" s="2" t="n"/>
      <c r="B67" s="2" t="n"/>
      <c r="C67" s="2" t="n"/>
      <c r="D67" s="2" t="n"/>
      <c r="E67" s="2" t="n"/>
      <c r="F67" s="2" t="n"/>
      <c r="G67" s="2" t="n"/>
      <c r="H67" s="2" t="n"/>
      <c r="I67" s="2" t="n"/>
      <c r="J67" s="2" t="n"/>
      <c r="K67" s="2">
        <f>IF(COUNTA(G67:J67)&lt;4,"",ROUND(AVERAGE(G67:J67),1))</f>
        <v/>
      </c>
      <c r="L67" s="2" t="n"/>
      <c r="M67" s="2" t="n"/>
      <c r="N67" s="2" t="n"/>
      <c r="O67" s="2" t="n"/>
    </row>
    <row r="68">
      <c r="A68" s="2" t="n"/>
      <c r="B68" s="2" t="n"/>
      <c r="C68" s="2" t="n"/>
      <c r="D68" s="2" t="n"/>
      <c r="E68" s="2" t="n"/>
      <c r="F68" s="2" t="n"/>
      <c r="G68" s="2" t="n"/>
      <c r="H68" s="2" t="n"/>
      <c r="I68" s="2" t="n"/>
      <c r="J68" s="2" t="n"/>
      <c r="K68" s="2">
        <f>IF(COUNTA(G68:J68)&lt;4,"",ROUND(AVERAGE(G68:J68),1))</f>
        <v/>
      </c>
      <c r="L68" s="2" t="n"/>
      <c r="M68" s="2" t="n"/>
      <c r="N68" s="2" t="n"/>
      <c r="O68" s="2" t="n"/>
    </row>
    <row r="69">
      <c r="A69" s="2" t="n"/>
      <c r="B69" s="2" t="n"/>
      <c r="C69" s="2" t="n"/>
      <c r="D69" s="2" t="n"/>
      <c r="E69" s="2" t="n"/>
      <c r="F69" s="2" t="n"/>
      <c r="G69" s="2" t="n"/>
      <c r="H69" s="2" t="n"/>
      <c r="I69" s="2" t="n"/>
      <c r="J69" s="2" t="n"/>
      <c r="K69" s="2">
        <f>IF(COUNTA(G69:J69)&lt;4,"",ROUND(AVERAGE(G69:J69),1))</f>
        <v/>
      </c>
      <c r="L69" s="2" t="n"/>
      <c r="M69" s="2" t="n"/>
      <c r="N69" s="2" t="n"/>
      <c r="O69" s="2" t="n"/>
    </row>
    <row r="70">
      <c r="A70" s="2" t="n"/>
      <c r="B70" s="2" t="n"/>
      <c r="C70" s="2" t="n"/>
      <c r="D70" s="2" t="n"/>
      <c r="E70" s="2" t="n"/>
      <c r="F70" s="2" t="n"/>
      <c r="G70" s="2" t="n"/>
      <c r="H70" s="2" t="n"/>
      <c r="I70" s="2" t="n"/>
      <c r="J70" s="2" t="n"/>
      <c r="K70" s="2">
        <f>IF(COUNTA(G70:J70)&lt;4,"",ROUND(AVERAGE(G70:J70),1))</f>
        <v/>
      </c>
      <c r="L70" s="2" t="n"/>
      <c r="M70" s="2" t="n"/>
      <c r="N70" s="2" t="n"/>
      <c r="O70" s="2" t="n"/>
    </row>
    <row r="71">
      <c r="A71" s="2" t="n"/>
      <c r="B71" s="2" t="n"/>
      <c r="C71" s="2" t="n"/>
      <c r="D71" s="2" t="n"/>
      <c r="E71" s="2" t="n"/>
      <c r="F71" s="2" t="n"/>
      <c r="G71" s="2" t="n"/>
      <c r="H71" s="2" t="n"/>
      <c r="I71" s="2" t="n"/>
      <c r="J71" s="2" t="n"/>
      <c r="K71" s="2">
        <f>IF(COUNTA(G71:J71)&lt;4,"",ROUND(AVERAGE(G71:J71),1))</f>
        <v/>
      </c>
      <c r="L71" s="2" t="n"/>
      <c r="M71" s="2" t="n"/>
      <c r="N71" s="2" t="n"/>
      <c r="O71" s="2" t="n"/>
    </row>
    <row r="72">
      <c r="A72" s="2" t="n"/>
      <c r="B72" s="2" t="n"/>
      <c r="C72" s="2" t="n"/>
      <c r="D72" s="2" t="n"/>
      <c r="E72" s="2" t="n"/>
      <c r="F72" s="2" t="n"/>
      <c r="G72" s="2" t="n"/>
      <c r="H72" s="2" t="n"/>
      <c r="I72" s="2" t="n"/>
      <c r="J72" s="2" t="n"/>
      <c r="K72" s="2">
        <f>IF(COUNTA(G72:J72)&lt;4,"",ROUND(AVERAGE(G72:J72),1))</f>
        <v/>
      </c>
      <c r="L72" s="2" t="n"/>
      <c r="M72" s="2" t="n"/>
      <c r="N72" s="2" t="n"/>
      <c r="O72" s="2" t="n"/>
    </row>
    <row r="73">
      <c r="A73" s="2" t="n"/>
      <c r="B73" s="2" t="n"/>
      <c r="C73" s="2" t="n"/>
      <c r="D73" s="2" t="n"/>
      <c r="E73" s="2" t="n"/>
      <c r="F73" s="2" t="n"/>
      <c r="G73" s="2" t="n"/>
      <c r="H73" s="2" t="n"/>
      <c r="I73" s="2" t="n"/>
      <c r="J73" s="2" t="n"/>
      <c r="K73" s="2">
        <f>IF(COUNTA(G73:J73)&lt;4,"",ROUND(AVERAGE(G73:J73),1))</f>
        <v/>
      </c>
      <c r="L73" s="2" t="n"/>
      <c r="M73" s="2" t="n"/>
      <c r="N73" s="2" t="n"/>
      <c r="O73" s="2" t="n"/>
    </row>
    <row r="74">
      <c r="A74" s="2" t="n"/>
      <c r="B74" s="2" t="n"/>
      <c r="C74" s="2" t="n"/>
      <c r="D74" s="2" t="n"/>
      <c r="E74" s="2" t="n"/>
      <c r="F74" s="2" t="n"/>
      <c r="G74" s="2" t="n"/>
      <c r="H74" s="2" t="n"/>
      <c r="I74" s="2" t="n"/>
      <c r="J74" s="2" t="n"/>
      <c r="K74" s="2">
        <f>IF(COUNTA(G74:J74)&lt;4,"",ROUND(AVERAGE(G74:J74),1))</f>
        <v/>
      </c>
      <c r="L74" s="2" t="n"/>
      <c r="M74" s="2" t="n"/>
      <c r="N74" s="2" t="n"/>
      <c r="O74" s="2" t="n"/>
    </row>
    <row r="75">
      <c r="A75" s="2" t="n"/>
      <c r="B75" s="2" t="n"/>
      <c r="C75" s="2" t="n"/>
      <c r="D75" s="2" t="n"/>
      <c r="E75" s="2" t="n"/>
      <c r="F75" s="2" t="n"/>
      <c r="G75" s="2" t="n"/>
      <c r="H75" s="2" t="n"/>
      <c r="I75" s="2" t="n"/>
      <c r="J75" s="2" t="n"/>
      <c r="K75" s="2">
        <f>IF(COUNTA(G75:J75)&lt;4,"",ROUND(AVERAGE(G75:J75),1))</f>
        <v/>
      </c>
      <c r="L75" s="2" t="n"/>
      <c r="M75" s="2" t="n"/>
      <c r="N75" s="2" t="n"/>
      <c r="O75" s="2" t="n"/>
    </row>
    <row r="76">
      <c r="A76" s="2" t="n"/>
      <c r="B76" s="2" t="n"/>
      <c r="C76" s="2" t="n"/>
      <c r="D76" s="2" t="n"/>
      <c r="E76" s="2" t="n"/>
      <c r="F76" s="2" t="n"/>
      <c r="G76" s="2" t="n"/>
      <c r="H76" s="2" t="n"/>
      <c r="I76" s="2" t="n"/>
      <c r="J76" s="2" t="n"/>
      <c r="K76" s="2">
        <f>IF(COUNTA(G76:J76)&lt;4,"",ROUND(AVERAGE(G76:J76),1))</f>
        <v/>
      </c>
      <c r="L76" s="2" t="n"/>
      <c r="M76" s="2" t="n"/>
      <c r="N76" s="2" t="n"/>
      <c r="O76" s="2" t="n"/>
    </row>
    <row r="77">
      <c r="A77" s="2" t="n"/>
      <c r="B77" s="2" t="n"/>
      <c r="C77" s="2" t="n"/>
      <c r="D77" s="2" t="n"/>
      <c r="E77" s="2" t="n"/>
      <c r="F77" s="2" t="n"/>
      <c r="G77" s="2" t="n"/>
      <c r="H77" s="2" t="n"/>
      <c r="I77" s="2" t="n"/>
      <c r="J77" s="2" t="n"/>
      <c r="K77" s="2">
        <f>IF(COUNTA(G77:J77)&lt;4,"",ROUND(AVERAGE(G77:J77),1))</f>
        <v/>
      </c>
      <c r="L77" s="2" t="n"/>
      <c r="M77" s="2" t="n"/>
      <c r="N77" s="2" t="n"/>
      <c r="O77" s="2" t="n"/>
    </row>
    <row r="78">
      <c r="A78" s="2" t="n"/>
      <c r="B78" s="2" t="n"/>
      <c r="C78" s="2" t="n"/>
      <c r="D78" s="2" t="n"/>
      <c r="E78" s="2" t="n"/>
      <c r="F78" s="2" t="n"/>
      <c r="G78" s="2" t="n"/>
      <c r="H78" s="2" t="n"/>
      <c r="I78" s="2" t="n"/>
      <c r="J78" s="2" t="n"/>
      <c r="K78" s="2">
        <f>IF(COUNTA(G78:J78)&lt;4,"",ROUND(AVERAGE(G78:J78),1))</f>
        <v/>
      </c>
      <c r="L78" s="2" t="n"/>
      <c r="M78" s="2" t="n"/>
      <c r="N78" s="2" t="n"/>
      <c r="O78" s="2" t="n"/>
    </row>
    <row r="79">
      <c r="A79" s="2" t="n"/>
      <c r="B79" s="2" t="n"/>
      <c r="C79" s="2" t="n"/>
      <c r="D79" s="2" t="n"/>
      <c r="E79" s="2" t="n"/>
      <c r="F79" s="2" t="n"/>
      <c r="G79" s="2" t="n"/>
      <c r="H79" s="2" t="n"/>
      <c r="I79" s="2" t="n"/>
      <c r="J79" s="2" t="n"/>
      <c r="K79" s="2">
        <f>IF(COUNTA(G79:J79)&lt;4,"",ROUND(AVERAGE(G79:J79),1))</f>
        <v/>
      </c>
      <c r="L79" s="2" t="n"/>
      <c r="M79" s="2" t="n"/>
      <c r="N79" s="2" t="n"/>
      <c r="O79" s="2" t="n"/>
    </row>
    <row r="80">
      <c r="A80" s="2" t="n"/>
      <c r="B80" s="2" t="n"/>
      <c r="C80" s="2" t="n"/>
      <c r="D80" s="2" t="n"/>
      <c r="E80" s="2" t="n"/>
      <c r="F80" s="2" t="n"/>
      <c r="G80" s="2" t="n"/>
      <c r="H80" s="2" t="n"/>
      <c r="I80" s="2" t="n"/>
      <c r="J80" s="2" t="n"/>
      <c r="K80" s="2">
        <f>IF(COUNTA(G80:J80)&lt;4,"",ROUND(AVERAGE(G80:J80),1))</f>
        <v/>
      </c>
      <c r="L80" s="2" t="n"/>
      <c r="M80" s="2" t="n"/>
      <c r="N80" s="2" t="n"/>
      <c r="O80" s="2" t="n"/>
    </row>
    <row r="81">
      <c r="A81" s="2" t="n"/>
      <c r="B81" s="2" t="n"/>
      <c r="C81" s="2" t="n"/>
      <c r="D81" s="2" t="n"/>
      <c r="E81" s="2" t="n"/>
      <c r="F81" s="2" t="n"/>
      <c r="G81" s="2" t="n"/>
      <c r="H81" s="2" t="n"/>
      <c r="I81" s="2" t="n"/>
      <c r="J81" s="2" t="n"/>
      <c r="K81" s="2">
        <f>IF(COUNTA(G81:J81)&lt;4,"",ROUND(AVERAGE(G81:J81),1))</f>
        <v/>
      </c>
      <c r="L81" s="2" t="n"/>
      <c r="M81" s="2" t="n"/>
      <c r="N81" s="2" t="n"/>
      <c r="O81" s="2" t="n"/>
    </row>
    <row r="82">
      <c r="A82" s="2" t="n"/>
      <c r="B82" s="2" t="n"/>
      <c r="C82" s="2" t="n"/>
      <c r="D82" s="2" t="n"/>
      <c r="E82" s="2" t="n"/>
      <c r="F82" s="2" t="n"/>
      <c r="G82" s="2" t="n"/>
      <c r="H82" s="2" t="n"/>
      <c r="I82" s="2" t="n"/>
      <c r="J82" s="2" t="n"/>
      <c r="K82" s="2">
        <f>IF(COUNTA(G82:J82)&lt;4,"",ROUND(AVERAGE(G82:J82),1))</f>
        <v/>
      </c>
      <c r="L82" s="2" t="n"/>
      <c r="M82" s="2" t="n"/>
      <c r="N82" s="2" t="n"/>
      <c r="O82" s="2" t="n"/>
    </row>
    <row r="83">
      <c r="A83" s="2" t="n"/>
      <c r="B83" s="2" t="n"/>
      <c r="C83" s="2" t="n"/>
      <c r="D83" s="2" t="n"/>
      <c r="E83" s="2" t="n"/>
      <c r="F83" s="2" t="n"/>
      <c r="G83" s="2" t="n"/>
      <c r="H83" s="2" t="n"/>
      <c r="I83" s="2" t="n"/>
      <c r="J83" s="2" t="n"/>
      <c r="K83" s="2">
        <f>IF(COUNTA(G83:J83)&lt;4,"",ROUND(AVERAGE(G83:J83),1))</f>
        <v/>
      </c>
      <c r="L83" s="2" t="n"/>
      <c r="M83" s="2" t="n"/>
      <c r="N83" s="2" t="n"/>
      <c r="O83" s="2" t="n"/>
    </row>
    <row r="84">
      <c r="A84" s="2" t="n"/>
      <c r="B84" s="2" t="n"/>
      <c r="C84" s="2" t="n"/>
      <c r="D84" s="2" t="n"/>
      <c r="E84" s="2" t="n"/>
      <c r="F84" s="2" t="n"/>
      <c r="G84" s="2" t="n"/>
      <c r="H84" s="2" t="n"/>
      <c r="I84" s="2" t="n"/>
      <c r="J84" s="2" t="n"/>
      <c r="K84" s="2">
        <f>IF(COUNTA(G84:J84)&lt;4,"",ROUND(AVERAGE(G84:J84),1))</f>
        <v/>
      </c>
      <c r="L84" s="2" t="n"/>
      <c r="M84" s="2" t="n"/>
      <c r="N84" s="2" t="n"/>
      <c r="O84" s="2" t="n"/>
    </row>
    <row r="85">
      <c r="A85" s="2" t="n"/>
      <c r="B85" s="2" t="n"/>
      <c r="C85" s="2" t="n"/>
      <c r="D85" s="2" t="n"/>
      <c r="E85" s="2" t="n"/>
      <c r="F85" s="2" t="n"/>
      <c r="G85" s="2" t="n"/>
      <c r="H85" s="2" t="n"/>
      <c r="I85" s="2" t="n"/>
      <c r="J85" s="2" t="n"/>
      <c r="K85" s="2">
        <f>IF(COUNTA(G85:J85)&lt;4,"",ROUND(AVERAGE(G85:J85),1))</f>
        <v/>
      </c>
      <c r="L85" s="2" t="n"/>
      <c r="M85" s="2" t="n"/>
      <c r="N85" s="2" t="n"/>
      <c r="O85" s="2" t="n"/>
    </row>
    <row r="86">
      <c r="A86" s="2" t="n"/>
      <c r="B86" s="2" t="n"/>
      <c r="C86" s="2" t="n"/>
      <c r="D86" s="2" t="n"/>
      <c r="E86" s="2" t="n"/>
      <c r="F86" s="2" t="n"/>
      <c r="G86" s="2" t="n"/>
      <c r="H86" s="2" t="n"/>
      <c r="I86" s="2" t="n"/>
      <c r="J86" s="2" t="n"/>
      <c r="K86" s="2">
        <f>IF(COUNTA(G86:J86)&lt;4,"",ROUND(AVERAGE(G86:J86),1))</f>
        <v/>
      </c>
      <c r="L86" s="2" t="n"/>
      <c r="M86" s="2" t="n"/>
      <c r="N86" s="2" t="n"/>
      <c r="O86" s="2" t="n"/>
    </row>
    <row r="87">
      <c r="A87" s="2" t="n"/>
      <c r="B87" s="2" t="n"/>
      <c r="C87" s="2" t="n"/>
      <c r="D87" s="2" t="n"/>
      <c r="E87" s="2" t="n"/>
      <c r="F87" s="2" t="n"/>
      <c r="G87" s="2" t="n"/>
      <c r="H87" s="2" t="n"/>
      <c r="I87" s="2" t="n"/>
      <c r="J87" s="2" t="n"/>
      <c r="K87" s="2">
        <f>IF(COUNTA(G87:J87)&lt;4,"",ROUND(AVERAGE(G87:J87),1))</f>
        <v/>
      </c>
      <c r="L87" s="2" t="n"/>
      <c r="M87" s="2" t="n"/>
      <c r="N87" s="2" t="n"/>
      <c r="O87" s="2" t="n"/>
    </row>
    <row r="88">
      <c r="A88" s="2" t="n"/>
      <c r="B88" s="2" t="n"/>
      <c r="C88" s="2" t="n"/>
      <c r="D88" s="2" t="n"/>
      <c r="E88" s="2" t="n"/>
      <c r="F88" s="2" t="n"/>
      <c r="G88" s="2" t="n"/>
      <c r="H88" s="2" t="n"/>
      <c r="I88" s="2" t="n"/>
      <c r="J88" s="2" t="n"/>
      <c r="K88" s="2">
        <f>IF(COUNTA(G88:J88)&lt;4,"",ROUND(AVERAGE(G88:J88),1))</f>
        <v/>
      </c>
      <c r="L88" s="2" t="n"/>
      <c r="M88" s="2" t="n"/>
      <c r="N88" s="2" t="n"/>
      <c r="O88" s="2" t="n"/>
    </row>
    <row r="89">
      <c r="A89" s="2" t="n"/>
      <c r="B89" s="2" t="n"/>
      <c r="C89" s="2" t="n"/>
      <c r="D89" s="2" t="n"/>
      <c r="E89" s="2" t="n"/>
      <c r="F89" s="2" t="n"/>
      <c r="G89" s="2" t="n"/>
      <c r="H89" s="2" t="n"/>
      <c r="I89" s="2" t="n"/>
      <c r="J89" s="2" t="n"/>
      <c r="K89" s="2">
        <f>IF(COUNTA(G89:J89)&lt;4,"",ROUND(AVERAGE(G89:J89),1))</f>
        <v/>
      </c>
      <c r="L89" s="2" t="n"/>
      <c r="M89" s="2" t="n"/>
      <c r="N89" s="2" t="n"/>
      <c r="O89" s="2" t="n"/>
    </row>
    <row r="90">
      <c r="A90" s="2" t="n"/>
      <c r="B90" s="2" t="n"/>
      <c r="C90" s="2" t="n"/>
      <c r="D90" s="2" t="n"/>
      <c r="E90" s="2" t="n"/>
      <c r="F90" s="2" t="n"/>
      <c r="G90" s="2" t="n"/>
      <c r="H90" s="2" t="n"/>
      <c r="I90" s="2" t="n"/>
      <c r="J90" s="2" t="n"/>
      <c r="K90" s="2">
        <f>IF(COUNTA(G90:J90)&lt;4,"",ROUND(AVERAGE(G90:J90),1))</f>
        <v/>
      </c>
      <c r="L90" s="2" t="n"/>
      <c r="M90" s="2" t="n"/>
      <c r="N90" s="2" t="n"/>
      <c r="O90" s="2" t="n"/>
    </row>
    <row r="91">
      <c r="A91" s="2" t="n"/>
      <c r="B91" s="2" t="n"/>
      <c r="C91" s="2" t="n"/>
      <c r="D91" s="2" t="n"/>
      <c r="E91" s="2" t="n"/>
      <c r="F91" s="2" t="n"/>
      <c r="G91" s="2" t="n"/>
      <c r="H91" s="2" t="n"/>
      <c r="I91" s="2" t="n"/>
      <c r="J91" s="2" t="n"/>
      <c r="K91" s="2">
        <f>IF(COUNTA(G91:J91)&lt;4,"",ROUND(AVERAGE(G91:J91),1))</f>
        <v/>
      </c>
      <c r="L91" s="2" t="n"/>
      <c r="M91" s="2" t="n"/>
      <c r="N91" s="2" t="n"/>
      <c r="O91" s="2" t="n"/>
    </row>
    <row r="92">
      <c r="A92" s="2" t="n"/>
      <c r="B92" s="2" t="n"/>
      <c r="C92" s="2" t="n"/>
      <c r="D92" s="2" t="n"/>
      <c r="E92" s="2" t="n"/>
      <c r="F92" s="2" t="n"/>
      <c r="G92" s="2" t="n"/>
      <c r="H92" s="2" t="n"/>
      <c r="I92" s="2" t="n"/>
      <c r="J92" s="2" t="n"/>
      <c r="K92" s="2">
        <f>IF(COUNTA(G92:J92)&lt;4,"",ROUND(AVERAGE(G92:J92),1))</f>
        <v/>
      </c>
      <c r="L92" s="2" t="n"/>
      <c r="M92" s="2" t="n"/>
      <c r="N92" s="2" t="n"/>
      <c r="O92" s="2" t="n"/>
    </row>
    <row r="93">
      <c r="A93" s="2" t="n"/>
      <c r="B93" s="2" t="n"/>
      <c r="C93" s="2" t="n"/>
      <c r="D93" s="2" t="n"/>
      <c r="E93" s="2" t="n"/>
      <c r="F93" s="2" t="n"/>
      <c r="G93" s="2" t="n"/>
      <c r="H93" s="2" t="n"/>
      <c r="I93" s="2" t="n"/>
      <c r="J93" s="2" t="n"/>
      <c r="K93" s="2">
        <f>IF(COUNTA(G93:J93)&lt;4,"",ROUND(AVERAGE(G93:J93),1))</f>
        <v/>
      </c>
      <c r="L93" s="2" t="n"/>
      <c r="M93" s="2" t="n"/>
      <c r="N93" s="2" t="n"/>
      <c r="O93" s="2" t="n"/>
    </row>
    <row r="94">
      <c r="A94" s="2" t="n"/>
      <c r="B94" s="2" t="n"/>
      <c r="C94" s="2" t="n"/>
      <c r="D94" s="2" t="n"/>
      <c r="E94" s="2" t="n"/>
      <c r="F94" s="2" t="n"/>
      <c r="G94" s="2" t="n"/>
      <c r="H94" s="2" t="n"/>
      <c r="I94" s="2" t="n"/>
      <c r="J94" s="2" t="n"/>
      <c r="K94" s="2">
        <f>IF(COUNTA(G94:J94)&lt;4,"",ROUND(AVERAGE(G94:J94),1))</f>
        <v/>
      </c>
      <c r="L94" s="2" t="n"/>
      <c r="M94" s="2" t="n"/>
      <c r="N94" s="2" t="n"/>
      <c r="O94" s="2" t="n"/>
    </row>
    <row r="95">
      <c r="A95" s="2" t="n"/>
      <c r="B95" s="2" t="n"/>
      <c r="C95" s="2" t="n"/>
      <c r="D95" s="2" t="n"/>
      <c r="E95" s="2" t="n"/>
      <c r="F95" s="2" t="n"/>
      <c r="G95" s="2" t="n"/>
      <c r="H95" s="2" t="n"/>
      <c r="I95" s="2" t="n"/>
      <c r="J95" s="2" t="n"/>
      <c r="K95" s="2">
        <f>IF(COUNTA(G95:J95)&lt;4,"",ROUND(AVERAGE(G95:J95),1))</f>
        <v/>
      </c>
      <c r="L95" s="2" t="n"/>
      <c r="M95" s="2" t="n"/>
      <c r="N95" s="2" t="n"/>
      <c r="O95" s="2" t="n"/>
    </row>
    <row r="96">
      <c r="A96" s="2" t="n"/>
      <c r="B96" s="2" t="n"/>
      <c r="C96" s="2" t="n"/>
      <c r="D96" s="2" t="n"/>
      <c r="E96" s="2" t="n"/>
      <c r="F96" s="2" t="n"/>
      <c r="G96" s="2" t="n"/>
      <c r="H96" s="2" t="n"/>
      <c r="I96" s="2" t="n"/>
      <c r="J96" s="2" t="n"/>
      <c r="K96" s="2">
        <f>IF(COUNTA(G96:J96)&lt;4,"",ROUND(AVERAGE(G96:J96),1))</f>
        <v/>
      </c>
      <c r="L96" s="2" t="n"/>
      <c r="M96" s="2" t="n"/>
      <c r="N96" s="2" t="n"/>
      <c r="O96" s="2" t="n"/>
    </row>
    <row r="97">
      <c r="A97" s="2" t="n"/>
      <c r="B97" s="2" t="n"/>
      <c r="C97" s="2" t="n"/>
      <c r="D97" s="2" t="n"/>
      <c r="E97" s="2" t="n"/>
      <c r="F97" s="2" t="n"/>
      <c r="G97" s="2" t="n"/>
      <c r="H97" s="2" t="n"/>
      <c r="I97" s="2" t="n"/>
      <c r="J97" s="2" t="n"/>
      <c r="K97" s="2">
        <f>IF(COUNTA(G97:J97)&lt;4,"",ROUND(AVERAGE(G97:J97),1))</f>
        <v/>
      </c>
      <c r="L97" s="2" t="n"/>
      <c r="M97" s="2" t="n"/>
      <c r="N97" s="2" t="n"/>
      <c r="O97" s="2" t="n"/>
    </row>
    <row r="98">
      <c r="A98" s="2" t="n"/>
      <c r="B98" s="2" t="n"/>
      <c r="C98" s="2" t="n"/>
      <c r="D98" s="2" t="n"/>
      <c r="E98" s="2" t="n"/>
      <c r="F98" s="2" t="n"/>
      <c r="G98" s="2" t="n"/>
      <c r="H98" s="2" t="n"/>
      <c r="I98" s="2" t="n"/>
      <c r="J98" s="2" t="n"/>
      <c r="K98" s="2">
        <f>IF(COUNTA(G98:J98)&lt;4,"",ROUND(AVERAGE(G98:J98),1))</f>
        <v/>
      </c>
      <c r="L98" s="2" t="n"/>
      <c r="M98" s="2" t="n"/>
      <c r="N98" s="2" t="n"/>
      <c r="O98" s="2" t="n"/>
    </row>
    <row r="99">
      <c r="A99" s="2" t="n"/>
      <c r="B99" s="2" t="n"/>
      <c r="C99" s="2" t="n"/>
      <c r="D99" s="2" t="n"/>
      <c r="E99" s="2" t="n"/>
      <c r="F99" s="2" t="n"/>
      <c r="G99" s="2" t="n"/>
      <c r="H99" s="2" t="n"/>
      <c r="I99" s="2" t="n"/>
      <c r="J99" s="2" t="n"/>
      <c r="K99" s="2">
        <f>IF(COUNTA(G99:J99)&lt;4,"",ROUND(AVERAGE(G99:J99),1))</f>
        <v/>
      </c>
      <c r="L99" s="2" t="n"/>
      <c r="M99" s="2" t="n"/>
      <c r="N99" s="2" t="n"/>
      <c r="O99" s="2" t="n"/>
    </row>
    <row r="100">
      <c r="A100" s="2" t="n"/>
      <c r="B100" s="2" t="n"/>
      <c r="C100" s="2" t="n"/>
      <c r="D100" s="2" t="n"/>
      <c r="E100" s="2" t="n"/>
      <c r="F100" s="2" t="n"/>
      <c r="G100" s="2" t="n"/>
      <c r="H100" s="2" t="n"/>
      <c r="I100" s="2" t="n"/>
      <c r="J100" s="2" t="n"/>
      <c r="K100" s="2">
        <f>IF(COUNTA(G100:J100)&lt;4,"",ROUND(AVERAGE(G100:J100),1))</f>
        <v/>
      </c>
      <c r="L100" s="2" t="n"/>
      <c r="M100" s="2" t="n"/>
      <c r="N100" s="2" t="n"/>
      <c r="O100" s="2" t="n"/>
    </row>
    <row r="101">
      <c r="A101" s="2" t="n"/>
      <c r="B101" s="2" t="n"/>
      <c r="C101" s="2" t="n"/>
      <c r="D101" s="2" t="n"/>
      <c r="E101" s="2" t="n"/>
      <c r="F101" s="2" t="n"/>
      <c r="G101" s="2" t="n"/>
      <c r="H101" s="2" t="n"/>
      <c r="I101" s="2" t="n"/>
      <c r="J101" s="2" t="n"/>
      <c r="K101" s="2">
        <f>IF(COUNTA(G101:J101)&lt;4,"",ROUND(AVERAGE(G101:J101),1))</f>
        <v/>
      </c>
      <c r="L101" s="2" t="n"/>
      <c r="M101" s="2" t="n"/>
      <c r="N101" s="2" t="n"/>
      <c r="O101" s="2" t="n"/>
    </row>
    <row r="102">
      <c r="A102" s="2" t="n"/>
      <c r="B102" s="2" t="n"/>
      <c r="C102" s="2" t="n"/>
      <c r="D102" s="2" t="n"/>
      <c r="E102" s="2" t="n"/>
      <c r="F102" s="2" t="n"/>
      <c r="G102" s="2" t="n"/>
      <c r="H102" s="2" t="n"/>
      <c r="I102" s="2" t="n"/>
      <c r="J102" s="2" t="n"/>
      <c r="K102" s="2">
        <f>IF(COUNTA(G102:J102)&lt;4,"",ROUND(AVERAGE(G102:J102),1))</f>
        <v/>
      </c>
      <c r="L102" s="2" t="n"/>
      <c r="M102" s="2" t="n"/>
      <c r="N102" s="2" t="n"/>
      <c r="O102" s="2" t="n"/>
    </row>
    <row r="103">
      <c r="A103" s="2" t="n"/>
      <c r="B103" s="2" t="n"/>
      <c r="C103" s="2" t="n"/>
      <c r="D103" s="2" t="n"/>
      <c r="E103" s="2" t="n"/>
      <c r="F103" s="2" t="n"/>
      <c r="G103" s="2" t="n"/>
      <c r="H103" s="2" t="n"/>
      <c r="I103" s="2" t="n"/>
      <c r="J103" s="2" t="n"/>
      <c r="K103" s="2">
        <f>IF(COUNTA(G103:J103)&lt;4,"",ROUND(AVERAGE(G103:J103),1))</f>
        <v/>
      </c>
      <c r="L103" s="2" t="n"/>
      <c r="M103" s="2" t="n"/>
      <c r="N103" s="2" t="n"/>
      <c r="O103" s="2" t="n"/>
    </row>
    <row r="104">
      <c r="A104" s="2" t="n"/>
      <c r="B104" s="2" t="n"/>
      <c r="C104" s="2" t="n"/>
      <c r="D104" s="2" t="n"/>
      <c r="E104" s="2" t="n"/>
      <c r="F104" s="2" t="n"/>
      <c r="G104" s="2" t="n"/>
      <c r="H104" s="2" t="n"/>
      <c r="I104" s="2" t="n"/>
      <c r="J104" s="2" t="n"/>
      <c r="K104" s="2">
        <f>IF(COUNTA(G104:J104)&lt;4,"",ROUND(AVERAGE(G104:J104),1))</f>
        <v/>
      </c>
      <c r="L104" s="2" t="n"/>
      <c r="M104" s="2" t="n"/>
      <c r="N104" s="2" t="n"/>
      <c r="O104" s="2" t="n"/>
    </row>
    <row r="105">
      <c r="A105" s="2" t="n"/>
      <c r="B105" s="2" t="n"/>
      <c r="C105" s="2" t="n"/>
      <c r="D105" s="2" t="n"/>
      <c r="E105" s="2" t="n"/>
      <c r="F105" s="2" t="n"/>
      <c r="G105" s="2" t="n"/>
      <c r="H105" s="2" t="n"/>
      <c r="I105" s="2" t="n"/>
      <c r="J105" s="2" t="n"/>
      <c r="K105" s="2">
        <f>IF(COUNTA(G105:J105)&lt;4,"",ROUND(AVERAGE(G105:J105),1))</f>
        <v/>
      </c>
      <c r="L105" s="2" t="n"/>
      <c r="M105" s="2" t="n"/>
      <c r="N105" s="2" t="n"/>
      <c r="O105" s="2" t="n"/>
    </row>
    <row r="106">
      <c r="A106" s="2" t="n"/>
      <c r="B106" s="2" t="n"/>
      <c r="C106" s="2" t="n"/>
      <c r="D106" s="2" t="n"/>
      <c r="E106" s="2" t="n"/>
      <c r="F106" s="2" t="n"/>
      <c r="G106" s="2" t="n"/>
      <c r="H106" s="2" t="n"/>
      <c r="I106" s="2" t="n"/>
      <c r="J106" s="2" t="n"/>
      <c r="K106" s="2">
        <f>IF(COUNTA(G106:J106)&lt;4,"",ROUND(AVERAGE(G106:J106),1))</f>
        <v/>
      </c>
      <c r="L106" s="2" t="n"/>
      <c r="M106" s="2" t="n"/>
      <c r="N106" s="2" t="n"/>
      <c r="O106" s="2" t="n"/>
    </row>
    <row r="107">
      <c r="A107" s="2" t="n"/>
      <c r="B107" s="2" t="n"/>
      <c r="C107" s="2" t="n"/>
      <c r="D107" s="2" t="n"/>
      <c r="E107" s="2" t="n"/>
      <c r="F107" s="2" t="n"/>
      <c r="G107" s="2" t="n"/>
      <c r="H107" s="2" t="n"/>
      <c r="I107" s="2" t="n"/>
      <c r="J107" s="2" t="n"/>
      <c r="K107" s="2">
        <f>IF(COUNTA(G107:J107)&lt;4,"",ROUND(AVERAGE(G107:J107),1))</f>
        <v/>
      </c>
      <c r="L107" s="2" t="n"/>
      <c r="M107" s="2" t="n"/>
      <c r="N107" s="2" t="n"/>
      <c r="O107" s="2" t="n"/>
    </row>
    <row r="108">
      <c r="A108" s="2" t="n"/>
      <c r="B108" s="2" t="n"/>
      <c r="C108" s="2" t="n"/>
      <c r="D108" s="2" t="n"/>
      <c r="E108" s="2" t="n"/>
      <c r="F108" s="2" t="n"/>
      <c r="G108" s="2" t="n"/>
      <c r="H108" s="2" t="n"/>
      <c r="I108" s="2" t="n"/>
      <c r="J108" s="2" t="n"/>
      <c r="K108" s="2">
        <f>IF(COUNTA(G108:J108)&lt;4,"",ROUND(AVERAGE(G108:J108),1))</f>
        <v/>
      </c>
      <c r="L108" s="2" t="n"/>
      <c r="M108" s="2" t="n"/>
      <c r="N108" s="2" t="n"/>
      <c r="O108" s="2" t="n"/>
    </row>
    <row r="109">
      <c r="A109" s="2" t="n"/>
      <c r="B109" s="2" t="n"/>
      <c r="C109" s="2" t="n"/>
      <c r="D109" s="2" t="n"/>
      <c r="E109" s="2" t="n"/>
      <c r="F109" s="2" t="n"/>
      <c r="G109" s="2" t="n"/>
      <c r="H109" s="2" t="n"/>
      <c r="I109" s="2" t="n"/>
      <c r="J109" s="2" t="n"/>
      <c r="K109" s="2">
        <f>IF(COUNTA(G109:J109)&lt;4,"",ROUND(AVERAGE(G109:J109),1))</f>
        <v/>
      </c>
      <c r="L109" s="2" t="n"/>
      <c r="M109" s="2" t="n"/>
      <c r="N109" s="2" t="n"/>
      <c r="O109" s="2" t="n"/>
    </row>
    <row r="110">
      <c r="A110" s="2" t="n"/>
      <c r="B110" s="2" t="n"/>
      <c r="C110" s="2" t="n"/>
      <c r="D110" s="2" t="n"/>
      <c r="E110" s="2" t="n"/>
      <c r="F110" s="2" t="n"/>
      <c r="G110" s="2" t="n"/>
      <c r="H110" s="2" t="n"/>
      <c r="I110" s="2" t="n"/>
      <c r="J110" s="2" t="n"/>
      <c r="K110" s="2">
        <f>IF(COUNTA(G110:J110)&lt;4,"",ROUND(AVERAGE(G110:J110),1))</f>
        <v/>
      </c>
      <c r="L110" s="2" t="n"/>
      <c r="M110" s="2" t="n"/>
      <c r="N110" s="2" t="n"/>
      <c r="O110" s="2" t="n"/>
    </row>
    <row r="111">
      <c r="A111" s="2" t="n"/>
      <c r="B111" s="2" t="n"/>
      <c r="C111" s="2" t="n"/>
      <c r="D111" s="2" t="n"/>
      <c r="E111" s="2" t="n"/>
      <c r="F111" s="2" t="n"/>
      <c r="G111" s="2" t="n"/>
      <c r="H111" s="2" t="n"/>
      <c r="I111" s="2" t="n"/>
      <c r="J111" s="2" t="n"/>
      <c r="K111" s="2">
        <f>IF(COUNTA(G111:J111)&lt;4,"",ROUND(AVERAGE(G111:J111),1))</f>
        <v/>
      </c>
      <c r="L111" s="2" t="n"/>
      <c r="M111" s="2" t="n"/>
      <c r="N111" s="2" t="n"/>
      <c r="O111" s="2" t="n"/>
    </row>
    <row r="112">
      <c r="A112" s="2" t="n"/>
      <c r="B112" s="2" t="n"/>
      <c r="C112" s="2" t="n"/>
      <c r="D112" s="2" t="n"/>
      <c r="E112" s="2" t="n"/>
      <c r="F112" s="2" t="n"/>
      <c r="G112" s="2" t="n"/>
      <c r="H112" s="2" t="n"/>
      <c r="I112" s="2" t="n"/>
      <c r="J112" s="2" t="n"/>
      <c r="K112" s="2">
        <f>IF(COUNTA(G112:J112)&lt;4,"",ROUND(AVERAGE(G112:J112),1))</f>
        <v/>
      </c>
      <c r="L112" s="2" t="n"/>
      <c r="M112" s="2" t="n"/>
      <c r="N112" s="2" t="n"/>
      <c r="O112" s="2" t="n"/>
    </row>
    <row r="113">
      <c r="A113" s="2" t="n"/>
      <c r="B113" s="2" t="n"/>
      <c r="C113" s="2" t="n"/>
      <c r="D113" s="2" t="n"/>
      <c r="E113" s="2" t="n"/>
      <c r="F113" s="2" t="n"/>
      <c r="G113" s="2" t="n"/>
      <c r="H113" s="2" t="n"/>
      <c r="I113" s="2" t="n"/>
      <c r="J113" s="2" t="n"/>
      <c r="K113" s="2">
        <f>IF(COUNTA(G113:J113)&lt;4,"",ROUND(AVERAGE(G113:J113),1))</f>
        <v/>
      </c>
      <c r="L113" s="2" t="n"/>
      <c r="M113" s="2" t="n"/>
      <c r="N113" s="2" t="n"/>
      <c r="O113" s="2" t="n"/>
    </row>
    <row r="114">
      <c r="A114" s="2" t="n"/>
      <c r="B114" s="2" t="n"/>
      <c r="C114" s="2" t="n"/>
      <c r="D114" s="2" t="n"/>
      <c r="E114" s="2" t="n"/>
      <c r="F114" s="2" t="n"/>
      <c r="G114" s="2" t="n"/>
      <c r="H114" s="2" t="n"/>
      <c r="I114" s="2" t="n"/>
      <c r="J114" s="2" t="n"/>
      <c r="K114" s="2">
        <f>IF(COUNTA(G114:J114)&lt;4,"",ROUND(AVERAGE(G114:J114),1))</f>
        <v/>
      </c>
      <c r="L114" s="2" t="n"/>
      <c r="M114" s="2" t="n"/>
      <c r="N114" s="2" t="n"/>
      <c r="O114" s="2" t="n"/>
    </row>
    <row r="115">
      <c r="A115" s="2" t="n"/>
      <c r="B115" s="2" t="n"/>
      <c r="C115" s="2" t="n"/>
      <c r="D115" s="2" t="n"/>
      <c r="E115" s="2" t="n"/>
      <c r="F115" s="2" t="n"/>
      <c r="G115" s="2" t="n"/>
      <c r="H115" s="2" t="n"/>
      <c r="I115" s="2" t="n"/>
      <c r="J115" s="2" t="n"/>
      <c r="K115" s="2">
        <f>IF(COUNTA(G115:J115)&lt;4,"",ROUND(AVERAGE(G115:J115),1))</f>
        <v/>
      </c>
      <c r="L115" s="2" t="n"/>
      <c r="M115" s="2" t="n"/>
      <c r="N115" s="2" t="n"/>
      <c r="O115" s="2" t="n"/>
    </row>
    <row r="116">
      <c r="A116" s="2" t="n"/>
      <c r="B116" s="2" t="n"/>
      <c r="C116" s="2" t="n"/>
      <c r="D116" s="2" t="n"/>
      <c r="E116" s="2" t="n"/>
      <c r="F116" s="2" t="n"/>
      <c r="G116" s="2" t="n"/>
      <c r="H116" s="2" t="n"/>
      <c r="I116" s="2" t="n"/>
      <c r="J116" s="2" t="n"/>
      <c r="K116" s="2">
        <f>IF(COUNTA(G116:J116)&lt;4,"",ROUND(AVERAGE(G116:J116),1))</f>
        <v/>
      </c>
      <c r="L116" s="2" t="n"/>
      <c r="M116" s="2" t="n"/>
      <c r="N116" s="2" t="n"/>
      <c r="O116" s="2" t="n"/>
    </row>
    <row r="117">
      <c r="A117" s="2" t="n"/>
      <c r="B117" s="2" t="n"/>
      <c r="C117" s="2" t="n"/>
      <c r="D117" s="2" t="n"/>
      <c r="E117" s="2" t="n"/>
      <c r="F117" s="2" t="n"/>
      <c r="G117" s="2" t="n"/>
      <c r="H117" s="2" t="n"/>
      <c r="I117" s="2" t="n"/>
      <c r="J117" s="2" t="n"/>
      <c r="K117" s="2">
        <f>IF(COUNTA(G117:J117)&lt;4,"",ROUND(AVERAGE(G117:J117),1))</f>
        <v/>
      </c>
      <c r="L117" s="2" t="n"/>
      <c r="M117" s="2" t="n"/>
      <c r="N117" s="2" t="n"/>
      <c r="O117" s="2" t="n"/>
    </row>
    <row r="118">
      <c r="A118" s="2" t="n"/>
      <c r="B118" s="2" t="n"/>
      <c r="C118" s="2" t="n"/>
      <c r="D118" s="2" t="n"/>
      <c r="E118" s="2" t="n"/>
      <c r="F118" s="2" t="n"/>
      <c r="G118" s="2" t="n"/>
      <c r="H118" s="2" t="n"/>
      <c r="I118" s="2" t="n"/>
      <c r="J118" s="2" t="n"/>
      <c r="K118" s="2">
        <f>IF(COUNTA(G118:J118)&lt;4,"",ROUND(AVERAGE(G118:J118),1))</f>
        <v/>
      </c>
      <c r="L118" s="2" t="n"/>
      <c r="M118" s="2" t="n"/>
      <c r="N118" s="2" t="n"/>
      <c r="O118" s="2" t="n"/>
    </row>
    <row r="119">
      <c r="A119" s="2" t="n"/>
      <c r="B119" s="2" t="n"/>
      <c r="C119" s="2" t="n"/>
      <c r="D119" s="2" t="n"/>
      <c r="E119" s="2" t="n"/>
      <c r="F119" s="2" t="n"/>
      <c r="G119" s="2" t="n"/>
      <c r="H119" s="2" t="n"/>
      <c r="I119" s="2" t="n"/>
      <c r="J119" s="2" t="n"/>
      <c r="K119" s="2">
        <f>IF(COUNTA(G119:J119)&lt;4,"",ROUND(AVERAGE(G119:J119),1))</f>
        <v/>
      </c>
      <c r="L119" s="2" t="n"/>
      <c r="M119" s="2" t="n"/>
      <c r="N119" s="2" t="n"/>
      <c r="O119" s="2" t="n"/>
    </row>
    <row r="120">
      <c r="A120" s="2" t="n"/>
      <c r="B120" s="2" t="n"/>
      <c r="C120" s="2" t="n"/>
      <c r="D120" s="2" t="n"/>
      <c r="E120" s="2" t="n"/>
      <c r="F120" s="2" t="n"/>
      <c r="G120" s="2" t="n"/>
      <c r="H120" s="2" t="n"/>
      <c r="I120" s="2" t="n"/>
      <c r="J120" s="2" t="n"/>
      <c r="K120" s="2">
        <f>IF(COUNTA(G120:J120)&lt;4,"",ROUND(AVERAGE(G120:J120),1))</f>
        <v/>
      </c>
      <c r="L120" s="2" t="n"/>
      <c r="M120" s="2" t="n"/>
      <c r="N120" s="2" t="n"/>
      <c r="O120" s="2" t="n"/>
    </row>
    <row r="121">
      <c r="A121" s="2" t="n"/>
      <c r="B121" s="2" t="n"/>
      <c r="C121" s="2" t="n"/>
      <c r="D121" s="2" t="n"/>
      <c r="E121" s="2" t="n"/>
      <c r="F121" s="2" t="n"/>
      <c r="G121" s="2" t="n"/>
      <c r="H121" s="2" t="n"/>
      <c r="I121" s="2" t="n"/>
      <c r="J121" s="2" t="n"/>
      <c r="K121" s="2">
        <f>IF(COUNTA(G121:J121)&lt;4,"",ROUND(AVERAGE(G121:J121),1))</f>
        <v/>
      </c>
      <c r="L121" s="2" t="n"/>
      <c r="M121" s="2" t="n"/>
      <c r="N121" s="2" t="n"/>
      <c r="O121" s="2" t="n"/>
    </row>
    <row r="122">
      <c r="A122" s="2" t="n"/>
      <c r="B122" s="2" t="n"/>
      <c r="C122" s="2" t="n"/>
      <c r="D122" s="2" t="n"/>
      <c r="E122" s="2" t="n"/>
      <c r="F122" s="2" t="n"/>
      <c r="G122" s="2" t="n"/>
      <c r="H122" s="2" t="n"/>
      <c r="I122" s="2" t="n"/>
      <c r="J122" s="2" t="n"/>
      <c r="K122" s="2">
        <f>IF(COUNTA(G122:J122)&lt;4,"",ROUND(AVERAGE(G122:J122),1))</f>
        <v/>
      </c>
      <c r="L122" s="2" t="n"/>
      <c r="M122" s="2" t="n"/>
      <c r="N122" s="2" t="n"/>
      <c r="O122" s="2" t="n"/>
    </row>
    <row r="123">
      <c r="A123" s="2" t="n"/>
      <c r="B123" s="2" t="n"/>
      <c r="C123" s="2" t="n"/>
      <c r="D123" s="2" t="n"/>
      <c r="E123" s="2" t="n"/>
      <c r="F123" s="2" t="n"/>
      <c r="G123" s="2" t="n"/>
      <c r="H123" s="2" t="n"/>
      <c r="I123" s="2" t="n"/>
      <c r="J123" s="2" t="n"/>
      <c r="K123" s="2">
        <f>IF(COUNTA(G123:J123)&lt;4,"",ROUND(AVERAGE(G123:J123),1))</f>
        <v/>
      </c>
      <c r="L123" s="2" t="n"/>
      <c r="M123" s="2" t="n"/>
      <c r="N123" s="2" t="n"/>
      <c r="O123" s="2" t="n"/>
    </row>
    <row r="124">
      <c r="A124" s="2" t="n"/>
      <c r="B124" s="2" t="n"/>
      <c r="C124" s="2" t="n"/>
      <c r="D124" s="2" t="n"/>
      <c r="E124" s="2" t="n"/>
      <c r="F124" s="2" t="n"/>
      <c r="G124" s="2" t="n"/>
      <c r="H124" s="2" t="n"/>
      <c r="I124" s="2" t="n"/>
      <c r="J124" s="2" t="n"/>
      <c r="K124" s="2">
        <f>IF(COUNTA(G124:J124)&lt;4,"",ROUND(AVERAGE(G124:J124),1))</f>
        <v/>
      </c>
      <c r="L124" s="2" t="n"/>
      <c r="M124" s="2" t="n"/>
      <c r="N124" s="2" t="n"/>
      <c r="O124" s="2" t="n"/>
    </row>
    <row r="125">
      <c r="A125" s="2" t="n"/>
      <c r="B125" s="2" t="n"/>
      <c r="C125" s="2" t="n"/>
      <c r="D125" s="2" t="n"/>
      <c r="E125" s="2" t="n"/>
      <c r="F125" s="2" t="n"/>
      <c r="G125" s="2" t="n"/>
      <c r="H125" s="2" t="n"/>
      <c r="I125" s="2" t="n"/>
      <c r="J125" s="2" t="n"/>
      <c r="K125" s="2">
        <f>IF(COUNTA(G125:J125)&lt;4,"",ROUND(AVERAGE(G125:J125),1))</f>
        <v/>
      </c>
      <c r="L125" s="2" t="n"/>
      <c r="M125" s="2" t="n"/>
      <c r="N125" s="2" t="n"/>
      <c r="O125" s="2" t="n"/>
    </row>
    <row r="126">
      <c r="A126" s="2" t="n"/>
      <c r="B126" s="2" t="n"/>
      <c r="C126" s="2" t="n"/>
      <c r="D126" s="2" t="n"/>
      <c r="E126" s="2" t="n"/>
      <c r="F126" s="2" t="n"/>
      <c r="G126" s="2" t="n"/>
      <c r="H126" s="2" t="n"/>
      <c r="I126" s="2" t="n"/>
      <c r="J126" s="2" t="n"/>
      <c r="K126" s="2">
        <f>IF(COUNTA(G126:J126)&lt;4,"",ROUND(AVERAGE(G126:J126),1))</f>
        <v/>
      </c>
      <c r="L126" s="2" t="n"/>
      <c r="M126" s="2" t="n"/>
      <c r="N126" s="2" t="n"/>
      <c r="O126" s="2" t="n"/>
    </row>
    <row r="127">
      <c r="A127" s="2" t="n"/>
      <c r="B127" s="2" t="n"/>
      <c r="C127" s="2" t="n"/>
      <c r="D127" s="2" t="n"/>
      <c r="E127" s="2" t="n"/>
      <c r="F127" s="2" t="n"/>
      <c r="G127" s="2" t="n"/>
      <c r="H127" s="2" t="n"/>
      <c r="I127" s="2" t="n"/>
      <c r="J127" s="2" t="n"/>
      <c r="K127" s="2">
        <f>IF(COUNTA(G127:J127)&lt;4,"",ROUND(AVERAGE(G127:J127),1))</f>
        <v/>
      </c>
      <c r="L127" s="2" t="n"/>
      <c r="M127" s="2" t="n"/>
      <c r="N127" s="2" t="n"/>
      <c r="O127" s="2" t="n"/>
    </row>
    <row r="128">
      <c r="A128" s="2" t="n"/>
      <c r="B128" s="2" t="n"/>
      <c r="C128" s="2" t="n"/>
      <c r="D128" s="2" t="n"/>
      <c r="E128" s="2" t="n"/>
      <c r="F128" s="2" t="n"/>
      <c r="G128" s="2" t="n"/>
      <c r="H128" s="2" t="n"/>
      <c r="I128" s="2" t="n"/>
      <c r="J128" s="2" t="n"/>
      <c r="K128" s="2">
        <f>IF(COUNTA(G128:J128)&lt;4,"",ROUND(AVERAGE(G128:J128),1))</f>
        <v/>
      </c>
      <c r="L128" s="2" t="n"/>
      <c r="M128" s="2" t="n"/>
      <c r="N128" s="2" t="n"/>
      <c r="O128" s="2" t="n"/>
    </row>
    <row r="129">
      <c r="A129" s="2" t="n"/>
      <c r="B129" s="2" t="n"/>
      <c r="C129" s="2" t="n"/>
      <c r="D129" s="2" t="n"/>
      <c r="E129" s="2" t="n"/>
      <c r="F129" s="2" t="n"/>
      <c r="G129" s="2" t="n"/>
      <c r="H129" s="2" t="n"/>
      <c r="I129" s="2" t="n"/>
      <c r="J129" s="2" t="n"/>
      <c r="K129" s="2">
        <f>IF(COUNTA(G129:J129)&lt;4,"",ROUND(AVERAGE(G129:J129),1))</f>
        <v/>
      </c>
      <c r="L129" s="2" t="n"/>
      <c r="M129" s="2" t="n"/>
      <c r="N129" s="2" t="n"/>
      <c r="O129" s="2" t="n"/>
    </row>
    <row r="130">
      <c r="A130" s="2" t="n"/>
      <c r="B130" s="2" t="n"/>
      <c r="C130" s="2" t="n"/>
      <c r="D130" s="2" t="n"/>
      <c r="E130" s="2" t="n"/>
      <c r="F130" s="2" t="n"/>
      <c r="G130" s="2" t="n"/>
      <c r="H130" s="2" t="n"/>
      <c r="I130" s="2" t="n"/>
      <c r="J130" s="2" t="n"/>
      <c r="K130" s="2">
        <f>IF(COUNTA(G130:J130)&lt;4,"",ROUND(AVERAGE(G130:J130),1))</f>
        <v/>
      </c>
      <c r="L130" s="2" t="n"/>
      <c r="M130" s="2" t="n"/>
      <c r="N130" s="2" t="n"/>
      <c r="O130" s="2" t="n"/>
    </row>
    <row r="131">
      <c r="A131" s="2" t="n"/>
      <c r="B131" s="2" t="n"/>
      <c r="C131" s="2" t="n"/>
      <c r="D131" s="2" t="n"/>
      <c r="E131" s="2" t="n"/>
      <c r="F131" s="2" t="n"/>
      <c r="G131" s="2" t="n"/>
      <c r="H131" s="2" t="n"/>
      <c r="I131" s="2" t="n"/>
      <c r="J131" s="2" t="n"/>
      <c r="K131" s="2">
        <f>IF(COUNTA(G131:J131)&lt;4,"",ROUND(AVERAGE(G131:J131),1))</f>
        <v/>
      </c>
      <c r="L131" s="2" t="n"/>
      <c r="M131" s="2" t="n"/>
      <c r="N131" s="2" t="n"/>
      <c r="O131" s="2" t="n"/>
    </row>
    <row r="132">
      <c r="A132" s="2" t="n"/>
      <c r="B132" s="2" t="n"/>
      <c r="C132" s="2" t="n"/>
      <c r="D132" s="2" t="n"/>
      <c r="E132" s="2" t="n"/>
      <c r="F132" s="2" t="n"/>
      <c r="G132" s="2" t="n"/>
      <c r="H132" s="2" t="n"/>
      <c r="I132" s="2" t="n"/>
      <c r="J132" s="2" t="n"/>
      <c r="K132" s="2">
        <f>IF(COUNTA(G132:J132)&lt;4,"",ROUND(AVERAGE(G132:J132),1))</f>
        <v/>
      </c>
      <c r="L132" s="2" t="n"/>
      <c r="M132" s="2" t="n"/>
      <c r="N132" s="2" t="n"/>
      <c r="O132" s="2" t="n"/>
    </row>
    <row r="133">
      <c r="A133" s="2" t="n"/>
      <c r="B133" s="2" t="n"/>
      <c r="C133" s="2" t="n"/>
      <c r="D133" s="2" t="n"/>
      <c r="E133" s="2" t="n"/>
      <c r="F133" s="2" t="n"/>
      <c r="G133" s="2" t="n"/>
      <c r="H133" s="2" t="n"/>
      <c r="I133" s="2" t="n"/>
      <c r="J133" s="2" t="n"/>
      <c r="K133" s="2">
        <f>IF(COUNTA(G133:J133)&lt;4,"",ROUND(AVERAGE(G133:J133),1))</f>
        <v/>
      </c>
      <c r="L133" s="2" t="n"/>
      <c r="M133" s="2" t="n"/>
      <c r="N133" s="2" t="n"/>
      <c r="O133" s="2" t="n"/>
    </row>
    <row r="134">
      <c r="A134" s="2" t="n"/>
      <c r="B134" s="2" t="n"/>
      <c r="C134" s="2" t="n"/>
      <c r="D134" s="2" t="n"/>
      <c r="E134" s="2" t="n"/>
      <c r="F134" s="2" t="n"/>
      <c r="G134" s="2" t="n"/>
      <c r="H134" s="2" t="n"/>
      <c r="I134" s="2" t="n"/>
      <c r="J134" s="2" t="n"/>
      <c r="K134" s="2">
        <f>IF(COUNTA(G134:J134)&lt;4,"",ROUND(AVERAGE(G134:J134),1))</f>
        <v/>
      </c>
      <c r="L134" s="2" t="n"/>
      <c r="M134" s="2" t="n"/>
      <c r="N134" s="2" t="n"/>
      <c r="O134" s="2" t="n"/>
    </row>
    <row r="135">
      <c r="A135" s="2" t="n"/>
      <c r="B135" s="2" t="n"/>
      <c r="C135" s="2" t="n"/>
      <c r="D135" s="2" t="n"/>
      <c r="E135" s="2" t="n"/>
      <c r="F135" s="2" t="n"/>
      <c r="G135" s="2" t="n"/>
      <c r="H135" s="2" t="n"/>
      <c r="I135" s="2" t="n"/>
      <c r="J135" s="2" t="n"/>
      <c r="K135" s="2">
        <f>IF(COUNTA(G135:J135)&lt;4,"",ROUND(AVERAGE(G135:J135),1))</f>
        <v/>
      </c>
      <c r="L135" s="2" t="n"/>
      <c r="M135" s="2" t="n"/>
      <c r="N135" s="2" t="n"/>
      <c r="O135" s="2" t="n"/>
    </row>
    <row r="136">
      <c r="A136" s="2" t="n"/>
      <c r="B136" s="2" t="n"/>
      <c r="C136" s="2" t="n"/>
      <c r="D136" s="2" t="n"/>
      <c r="E136" s="2" t="n"/>
      <c r="F136" s="2" t="n"/>
      <c r="G136" s="2" t="n"/>
      <c r="H136" s="2" t="n"/>
      <c r="I136" s="2" t="n"/>
      <c r="J136" s="2" t="n"/>
      <c r="K136" s="2">
        <f>IF(COUNTA(G136:J136)&lt;4,"",ROUND(AVERAGE(G136:J136),1))</f>
        <v/>
      </c>
      <c r="L136" s="2" t="n"/>
      <c r="M136" s="2" t="n"/>
      <c r="N136" s="2" t="n"/>
      <c r="O136" s="2" t="n"/>
    </row>
    <row r="137">
      <c r="A137" s="2" t="n"/>
      <c r="B137" s="2" t="n"/>
      <c r="C137" s="2" t="n"/>
      <c r="D137" s="2" t="n"/>
      <c r="E137" s="2" t="n"/>
      <c r="F137" s="2" t="n"/>
      <c r="G137" s="2" t="n"/>
      <c r="H137" s="2" t="n"/>
      <c r="I137" s="2" t="n"/>
      <c r="J137" s="2" t="n"/>
      <c r="K137" s="2">
        <f>IF(COUNTA(G137:J137)&lt;4,"",ROUND(AVERAGE(G137:J137),1))</f>
        <v/>
      </c>
      <c r="L137" s="2" t="n"/>
      <c r="M137" s="2" t="n"/>
      <c r="N137" s="2" t="n"/>
      <c r="O137" s="2" t="n"/>
    </row>
    <row r="138">
      <c r="A138" s="2" t="n"/>
      <c r="B138" s="2" t="n"/>
      <c r="C138" s="2" t="n"/>
      <c r="D138" s="2" t="n"/>
      <c r="E138" s="2" t="n"/>
      <c r="F138" s="2" t="n"/>
      <c r="G138" s="2" t="n"/>
      <c r="H138" s="2" t="n"/>
      <c r="I138" s="2" t="n"/>
      <c r="J138" s="2" t="n"/>
      <c r="K138" s="2">
        <f>IF(COUNTA(G138:J138)&lt;4,"",ROUND(AVERAGE(G138:J138),1))</f>
        <v/>
      </c>
      <c r="L138" s="2" t="n"/>
      <c r="M138" s="2" t="n"/>
      <c r="N138" s="2" t="n"/>
      <c r="O138" s="2" t="n"/>
    </row>
    <row r="139">
      <c r="A139" s="2" t="n"/>
      <c r="B139" s="2" t="n"/>
      <c r="C139" s="2" t="n"/>
      <c r="D139" s="2" t="n"/>
      <c r="E139" s="2" t="n"/>
      <c r="F139" s="2" t="n"/>
      <c r="G139" s="2" t="n"/>
      <c r="H139" s="2" t="n"/>
      <c r="I139" s="2" t="n"/>
      <c r="J139" s="2" t="n"/>
      <c r="K139" s="2">
        <f>IF(COUNTA(G139:J139)&lt;4,"",ROUND(AVERAGE(G139:J139),1))</f>
        <v/>
      </c>
      <c r="L139" s="2" t="n"/>
      <c r="M139" s="2" t="n"/>
      <c r="N139" s="2" t="n"/>
      <c r="O139" s="2" t="n"/>
    </row>
    <row r="140">
      <c r="A140" s="2" t="n"/>
      <c r="B140" s="2" t="n"/>
      <c r="C140" s="2" t="n"/>
      <c r="D140" s="2" t="n"/>
      <c r="E140" s="2" t="n"/>
      <c r="F140" s="2" t="n"/>
      <c r="G140" s="2" t="n"/>
      <c r="H140" s="2" t="n"/>
      <c r="I140" s="2" t="n"/>
      <c r="J140" s="2" t="n"/>
      <c r="K140" s="2">
        <f>IF(COUNTA(G140:J140)&lt;4,"",ROUND(AVERAGE(G140:J140),1))</f>
        <v/>
      </c>
      <c r="L140" s="2" t="n"/>
      <c r="M140" s="2" t="n"/>
      <c r="N140" s="2" t="n"/>
      <c r="O140" s="2" t="n"/>
    </row>
    <row r="141">
      <c r="A141" s="2" t="n"/>
      <c r="B141" s="2" t="n"/>
      <c r="C141" s="2" t="n"/>
      <c r="D141" s="2" t="n"/>
      <c r="E141" s="2" t="n"/>
      <c r="F141" s="2" t="n"/>
      <c r="G141" s="2" t="n"/>
      <c r="H141" s="2" t="n"/>
      <c r="I141" s="2" t="n"/>
      <c r="J141" s="2" t="n"/>
      <c r="K141" s="2">
        <f>IF(COUNTA(G141:J141)&lt;4,"",ROUND(AVERAGE(G141:J141),1))</f>
        <v/>
      </c>
      <c r="L141" s="2" t="n"/>
      <c r="M141" s="2" t="n"/>
      <c r="N141" s="2" t="n"/>
      <c r="O141" s="2" t="n"/>
    </row>
    <row r="142">
      <c r="A142" s="2" t="n"/>
      <c r="B142" s="2" t="n"/>
      <c r="C142" s="2" t="n"/>
      <c r="D142" s="2" t="n"/>
      <c r="E142" s="2" t="n"/>
      <c r="F142" s="2" t="n"/>
      <c r="G142" s="2" t="n"/>
      <c r="H142" s="2" t="n"/>
      <c r="I142" s="2" t="n"/>
      <c r="J142" s="2" t="n"/>
      <c r="K142" s="2">
        <f>IF(COUNTA(G142:J142)&lt;4,"",ROUND(AVERAGE(G142:J142),1))</f>
        <v/>
      </c>
      <c r="L142" s="2" t="n"/>
      <c r="M142" s="2" t="n"/>
      <c r="N142" s="2" t="n"/>
      <c r="O142" s="2" t="n"/>
    </row>
    <row r="143">
      <c r="A143" s="2" t="n"/>
      <c r="B143" s="2" t="n"/>
      <c r="C143" s="2" t="n"/>
      <c r="D143" s="2" t="n"/>
      <c r="E143" s="2" t="n"/>
      <c r="F143" s="2" t="n"/>
      <c r="G143" s="2" t="n"/>
      <c r="H143" s="2" t="n"/>
      <c r="I143" s="2" t="n"/>
      <c r="J143" s="2" t="n"/>
      <c r="K143" s="2">
        <f>IF(COUNTA(G143:J143)&lt;4,"",ROUND(AVERAGE(G143:J143),1))</f>
        <v/>
      </c>
      <c r="L143" s="2" t="n"/>
      <c r="M143" s="2" t="n"/>
      <c r="N143" s="2" t="n"/>
      <c r="O143" s="2" t="n"/>
    </row>
    <row r="144">
      <c r="A144" s="2" t="n"/>
      <c r="B144" s="2" t="n"/>
      <c r="C144" s="2" t="n"/>
      <c r="D144" s="2" t="n"/>
      <c r="E144" s="2" t="n"/>
      <c r="F144" s="2" t="n"/>
      <c r="G144" s="2" t="n"/>
      <c r="H144" s="2" t="n"/>
      <c r="I144" s="2" t="n"/>
      <c r="J144" s="2" t="n"/>
      <c r="K144" s="2">
        <f>IF(COUNTA(G144:J144)&lt;4,"",ROUND(AVERAGE(G144:J144),1))</f>
        <v/>
      </c>
      <c r="L144" s="2" t="n"/>
      <c r="M144" s="2" t="n"/>
      <c r="N144" s="2" t="n"/>
      <c r="O144" s="2" t="n"/>
    </row>
    <row r="145">
      <c r="A145" s="2" t="n"/>
      <c r="B145" s="2" t="n"/>
      <c r="C145" s="2" t="n"/>
      <c r="D145" s="2" t="n"/>
      <c r="E145" s="2" t="n"/>
      <c r="F145" s="2" t="n"/>
      <c r="G145" s="2" t="n"/>
      <c r="H145" s="2" t="n"/>
      <c r="I145" s="2" t="n"/>
      <c r="J145" s="2" t="n"/>
      <c r="K145" s="2">
        <f>IF(COUNTA(G145:J145)&lt;4,"",ROUND(AVERAGE(G145:J145),1))</f>
        <v/>
      </c>
      <c r="L145" s="2" t="n"/>
      <c r="M145" s="2" t="n"/>
      <c r="N145" s="2" t="n"/>
      <c r="O145" s="2" t="n"/>
    </row>
    <row r="146">
      <c r="A146" s="2" t="n"/>
      <c r="B146" s="2" t="n"/>
      <c r="C146" s="2" t="n"/>
      <c r="D146" s="2" t="n"/>
      <c r="E146" s="2" t="n"/>
      <c r="F146" s="2" t="n"/>
      <c r="G146" s="2" t="n"/>
      <c r="H146" s="2" t="n"/>
      <c r="I146" s="2" t="n"/>
      <c r="J146" s="2" t="n"/>
      <c r="K146" s="2">
        <f>IF(COUNTA(G146:J146)&lt;4,"",ROUND(AVERAGE(G146:J146),1))</f>
        <v/>
      </c>
      <c r="L146" s="2" t="n"/>
      <c r="M146" s="2" t="n"/>
      <c r="N146" s="2" t="n"/>
      <c r="O146" s="2" t="n"/>
    </row>
    <row r="147">
      <c r="A147" s="2" t="n"/>
      <c r="B147" s="2" t="n"/>
      <c r="C147" s="2" t="n"/>
      <c r="D147" s="2" t="n"/>
      <c r="E147" s="2" t="n"/>
      <c r="F147" s="2" t="n"/>
      <c r="G147" s="2" t="n"/>
      <c r="H147" s="2" t="n"/>
      <c r="I147" s="2" t="n"/>
      <c r="J147" s="2" t="n"/>
      <c r="K147" s="2">
        <f>IF(COUNTA(G147:J147)&lt;4,"",ROUND(AVERAGE(G147:J147),1))</f>
        <v/>
      </c>
      <c r="L147" s="2" t="n"/>
      <c r="M147" s="2" t="n"/>
      <c r="N147" s="2" t="n"/>
      <c r="O147" s="2" t="n"/>
    </row>
    <row r="148">
      <c r="A148" s="2" t="n"/>
      <c r="B148" s="2" t="n"/>
      <c r="C148" s="2" t="n"/>
      <c r="D148" s="2" t="n"/>
      <c r="E148" s="2" t="n"/>
      <c r="F148" s="2" t="n"/>
      <c r="G148" s="2" t="n"/>
      <c r="H148" s="2" t="n"/>
      <c r="I148" s="2" t="n"/>
      <c r="J148" s="2" t="n"/>
      <c r="K148" s="2">
        <f>IF(COUNTA(G148:J148)&lt;4,"",ROUND(AVERAGE(G148:J148),1))</f>
        <v/>
      </c>
      <c r="L148" s="2" t="n"/>
      <c r="M148" s="2" t="n"/>
      <c r="N148" s="2" t="n"/>
      <c r="O148" s="2" t="n"/>
    </row>
    <row r="149">
      <c r="A149" s="2" t="n"/>
      <c r="B149" s="2" t="n"/>
      <c r="C149" s="2" t="n"/>
      <c r="D149" s="2" t="n"/>
      <c r="E149" s="2" t="n"/>
      <c r="F149" s="2" t="n"/>
      <c r="G149" s="2" t="n"/>
      <c r="H149" s="2" t="n"/>
      <c r="I149" s="2" t="n"/>
      <c r="J149" s="2" t="n"/>
      <c r="K149" s="2">
        <f>IF(COUNTA(G149:J149)&lt;4,"",ROUND(AVERAGE(G149:J149),1))</f>
        <v/>
      </c>
      <c r="L149" s="2" t="n"/>
      <c r="M149" s="2" t="n"/>
      <c r="N149" s="2" t="n"/>
      <c r="O149" s="2" t="n"/>
    </row>
    <row r="150">
      <c r="A150" s="2" t="n"/>
      <c r="B150" s="2" t="n"/>
      <c r="C150" s="2" t="n"/>
      <c r="D150" s="2" t="n"/>
      <c r="E150" s="2" t="n"/>
      <c r="F150" s="2" t="n"/>
      <c r="G150" s="2" t="n"/>
      <c r="H150" s="2" t="n"/>
      <c r="I150" s="2" t="n"/>
      <c r="J150" s="2" t="n"/>
      <c r="K150" s="2">
        <f>IF(COUNTA(G150:J150)&lt;4,"",ROUND(AVERAGE(G150:J150),1))</f>
        <v/>
      </c>
      <c r="L150" s="2" t="n"/>
      <c r="M150" s="2" t="n"/>
      <c r="N150" s="2" t="n"/>
      <c r="O150" s="2" t="n"/>
    </row>
    <row r="151">
      <c r="A151" s="2" t="n"/>
      <c r="B151" s="2" t="n"/>
      <c r="C151" s="2" t="n"/>
      <c r="D151" s="2" t="n"/>
      <c r="E151" s="2" t="n"/>
      <c r="F151" s="2" t="n"/>
      <c r="G151" s="2" t="n"/>
      <c r="H151" s="2" t="n"/>
      <c r="I151" s="2" t="n"/>
      <c r="J151" s="2" t="n"/>
      <c r="K151" s="2">
        <f>IF(COUNTA(G151:J151)&lt;4,"",ROUND(AVERAGE(G151:J151),1))</f>
        <v/>
      </c>
      <c r="L151" s="2" t="n"/>
      <c r="M151" s="2" t="n"/>
      <c r="N151" s="2" t="n"/>
      <c r="O151" s="2" t="n"/>
    </row>
    <row r="152">
      <c r="A152" s="2" t="n"/>
      <c r="B152" s="2" t="n"/>
      <c r="C152" s="2" t="n"/>
      <c r="D152" s="2" t="n"/>
      <c r="E152" s="2" t="n"/>
      <c r="F152" s="2" t="n"/>
      <c r="G152" s="2" t="n"/>
      <c r="H152" s="2" t="n"/>
      <c r="I152" s="2" t="n"/>
      <c r="J152" s="2" t="n"/>
      <c r="K152" s="2">
        <f>IF(COUNTA(G152:J152)&lt;4,"",ROUND(AVERAGE(G152:J152),1))</f>
        <v/>
      </c>
      <c r="L152" s="2" t="n"/>
      <c r="M152" s="2" t="n"/>
      <c r="N152" s="2" t="n"/>
      <c r="O152" s="2" t="n"/>
    </row>
    <row r="153">
      <c r="A153" s="2" t="n"/>
      <c r="B153" s="2" t="n"/>
      <c r="C153" s="2" t="n"/>
      <c r="D153" s="2" t="n"/>
      <c r="E153" s="2" t="n"/>
      <c r="F153" s="2" t="n"/>
      <c r="G153" s="2" t="n"/>
      <c r="H153" s="2" t="n"/>
      <c r="I153" s="2" t="n"/>
      <c r="J153" s="2" t="n"/>
      <c r="K153" s="2">
        <f>IF(COUNTA(G153:J153)&lt;4,"",ROUND(AVERAGE(G153:J153),1))</f>
        <v/>
      </c>
      <c r="L153" s="2" t="n"/>
      <c r="M153" s="2" t="n"/>
      <c r="N153" s="2" t="n"/>
      <c r="O153" s="2" t="n"/>
    </row>
    <row r="154">
      <c r="A154" s="2" t="n"/>
      <c r="B154" s="2" t="n"/>
      <c r="C154" s="2" t="n"/>
      <c r="D154" s="2" t="n"/>
      <c r="E154" s="2" t="n"/>
      <c r="F154" s="2" t="n"/>
      <c r="G154" s="2" t="n"/>
      <c r="H154" s="2" t="n"/>
      <c r="I154" s="2" t="n"/>
      <c r="J154" s="2" t="n"/>
      <c r="K154" s="2">
        <f>IF(COUNTA(G154:J154)&lt;4,"",ROUND(AVERAGE(G154:J154),1))</f>
        <v/>
      </c>
      <c r="L154" s="2" t="n"/>
      <c r="M154" s="2" t="n"/>
      <c r="N154" s="2" t="n"/>
      <c r="O154" s="2" t="n"/>
    </row>
    <row r="155">
      <c r="A155" s="2" t="n"/>
      <c r="B155" s="2" t="n"/>
      <c r="C155" s="2" t="n"/>
      <c r="D155" s="2" t="n"/>
      <c r="E155" s="2" t="n"/>
      <c r="F155" s="2" t="n"/>
      <c r="G155" s="2" t="n"/>
      <c r="H155" s="2" t="n"/>
      <c r="I155" s="2" t="n"/>
      <c r="J155" s="2" t="n"/>
      <c r="K155" s="2">
        <f>IF(COUNTA(G155:J155)&lt;4,"",ROUND(AVERAGE(G155:J155),1))</f>
        <v/>
      </c>
      <c r="L155" s="2" t="n"/>
      <c r="M155" s="2" t="n"/>
      <c r="N155" s="2" t="n"/>
      <c r="O155" s="2" t="n"/>
    </row>
    <row r="156">
      <c r="A156" s="2" t="n"/>
      <c r="B156" s="2" t="n"/>
      <c r="C156" s="2" t="n"/>
      <c r="D156" s="2" t="n"/>
      <c r="E156" s="2" t="n"/>
      <c r="F156" s="2" t="n"/>
      <c r="G156" s="2" t="n"/>
      <c r="H156" s="2" t="n"/>
      <c r="I156" s="2" t="n"/>
      <c r="J156" s="2" t="n"/>
      <c r="K156" s="2">
        <f>IF(COUNTA(G156:J156)&lt;4,"",ROUND(AVERAGE(G156:J156),1))</f>
        <v/>
      </c>
      <c r="L156" s="2" t="n"/>
      <c r="M156" s="2" t="n"/>
      <c r="N156" s="2" t="n"/>
      <c r="O156" s="2" t="n"/>
    </row>
    <row r="157">
      <c r="A157" s="2" t="n"/>
      <c r="B157" s="2" t="n"/>
      <c r="C157" s="2" t="n"/>
      <c r="D157" s="2" t="n"/>
      <c r="E157" s="2" t="n"/>
      <c r="F157" s="2" t="n"/>
      <c r="G157" s="2" t="n"/>
      <c r="H157" s="2" t="n"/>
      <c r="I157" s="2" t="n"/>
      <c r="J157" s="2" t="n"/>
      <c r="K157" s="2">
        <f>IF(COUNTA(G157:J157)&lt;4,"",ROUND(AVERAGE(G157:J157),1))</f>
        <v/>
      </c>
      <c r="L157" s="2" t="n"/>
      <c r="M157" s="2" t="n"/>
      <c r="N157" s="2" t="n"/>
      <c r="O157" s="2" t="n"/>
    </row>
    <row r="158">
      <c r="A158" s="2" t="n"/>
      <c r="B158" s="2" t="n"/>
      <c r="C158" s="2" t="n"/>
      <c r="D158" s="2" t="n"/>
      <c r="E158" s="2" t="n"/>
      <c r="F158" s="2" t="n"/>
      <c r="G158" s="2" t="n"/>
      <c r="H158" s="2" t="n"/>
      <c r="I158" s="2" t="n"/>
      <c r="J158" s="2" t="n"/>
      <c r="K158" s="2">
        <f>IF(COUNTA(G158:J158)&lt;4,"",ROUND(AVERAGE(G158:J158),1))</f>
        <v/>
      </c>
      <c r="L158" s="2" t="n"/>
      <c r="M158" s="2" t="n"/>
      <c r="N158" s="2" t="n"/>
      <c r="O158" s="2" t="n"/>
    </row>
    <row r="159">
      <c r="A159" s="2" t="n"/>
      <c r="B159" s="2" t="n"/>
      <c r="C159" s="2" t="n"/>
      <c r="D159" s="2" t="n"/>
      <c r="E159" s="2" t="n"/>
      <c r="F159" s="2" t="n"/>
      <c r="G159" s="2" t="n"/>
      <c r="H159" s="2" t="n"/>
      <c r="I159" s="2" t="n"/>
      <c r="J159" s="2" t="n"/>
      <c r="K159" s="2">
        <f>IF(COUNTA(G159:J159)&lt;4,"",ROUND(AVERAGE(G159:J159),1))</f>
        <v/>
      </c>
      <c r="L159" s="2" t="n"/>
      <c r="M159" s="2" t="n"/>
      <c r="N159" s="2" t="n"/>
      <c r="O159" s="2" t="n"/>
    </row>
    <row r="160">
      <c r="A160" s="2" t="n"/>
      <c r="B160" s="2" t="n"/>
      <c r="C160" s="2" t="n"/>
      <c r="D160" s="2" t="n"/>
      <c r="E160" s="2" t="n"/>
      <c r="F160" s="2" t="n"/>
      <c r="G160" s="2" t="n"/>
      <c r="H160" s="2" t="n"/>
      <c r="I160" s="2" t="n"/>
      <c r="J160" s="2" t="n"/>
      <c r="K160" s="2">
        <f>IF(COUNTA(G160:J160)&lt;4,"",ROUND(AVERAGE(G160:J160),1))</f>
        <v/>
      </c>
      <c r="L160" s="2" t="n"/>
      <c r="M160" s="2" t="n"/>
      <c r="N160" s="2" t="n"/>
      <c r="O160" s="2" t="n"/>
    </row>
    <row r="161">
      <c r="A161" s="2" t="n"/>
      <c r="B161" s="2" t="n"/>
      <c r="C161" s="2" t="n"/>
      <c r="D161" s="2" t="n"/>
      <c r="E161" s="2" t="n"/>
      <c r="F161" s="2" t="n"/>
      <c r="G161" s="2" t="n"/>
      <c r="H161" s="2" t="n"/>
      <c r="I161" s="2" t="n"/>
      <c r="J161" s="2" t="n"/>
      <c r="K161" s="2">
        <f>IF(COUNTA(G161:J161)&lt;4,"",ROUND(AVERAGE(G161:J161),1))</f>
        <v/>
      </c>
      <c r="L161" s="2" t="n"/>
      <c r="M161" s="2" t="n"/>
      <c r="N161" s="2" t="n"/>
      <c r="O161" s="2" t="n"/>
    </row>
    <row r="162">
      <c r="A162" s="2" t="n"/>
      <c r="B162" s="2" t="n"/>
      <c r="C162" s="2" t="n"/>
      <c r="D162" s="2" t="n"/>
      <c r="E162" s="2" t="n"/>
      <c r="F162" s="2" t="n"/>
      <c r="G162" s="2" t="n"/>
      <c r="H162" s="2" t="n"/>
      <c r="I162" s="2" t="n"/>
      <c r="J162" s="2" t="n"/>
      <c r="K162" s="2">
        <f>IF(COUNTA(G162:J162)&lt;4,"",ROUND(AVERAGE(G162:J162),1))</f>
        <v/>
      </c>
      <c r="L162" s="2" t="n"/>
      <c r="M162" s="2" t="n"/>
      <c r="N162" s="2" t="n"/>
      <c r="O162" s="2" t="n"/>
    </row>
    <row r="163">
      <c r="A163" s="2" t="n"/>
      <c r="B163" s="2" t="n"/>
      <c r="C163" s="2" t="n"/>
      <c r="D163" s="2" t="n"/>
      <c r="E163" s="2" t="n"/>
      <c r="F163" s="2" t="n"/>
      <c r="G163" s="2" t="n"/>
      <c r="H163" s="2" t="n"/>
      <c r="I163" s="2" t="n"/>
      <c r="J163" s="2" t="n"/>
      <c r="K163" s="2">
        <f>IF(COUNTA(G163:J163)&lt;4,"",ROUND(AVERAGE(G163:J163),1))</f>
        <v/>
      </c>
      <c r="L163" s="2" t="n"/>
      <c r="M163" s="2" t="n"/>
      <c r="N163" s="2" t="n"/>
      <c r="O163" s="2" t="n"/>
    </row>
    <row r="164">
      <c r="A164" s="2" t="n"/>
      <c r="B164" s="2" t="n"/>
      <c r="C164" s="2" t="n"/>
      <c r="D164" s="2" t="n"/>
      <c r="E164" s="2" t="n"/>
      <c r="F164" s="2" t="n"/>
      <c r="G164" s="2" t="n"/>
      <c r="H164" s="2" t="n"/>
      <c r="I164" s="2" t="n"/>
      <c r="J164" s="2" t="n"/>
      <c r="K164" s="2">
        <f>IF(COUNTA(G164:J164)&lt;4,"",ROUND(AVERAGE(G164:J164),1))</f>
        <v/>
      </c>
      <c r="L164" s="2" t="n"/>
      <c r="M164" s="2" t="n"/>
      <c r="N164" s="2" t="n"/>
      <c r="O164" s="2" t="n"/>
    </row>
    <row r="165">
      <c r="A165" s="2" t="n"/>
      <c r="B165" s="2" t="n"/>
      <c r="C165" s="2" t="n"/>
      <c r="D165" s="2" t="n"/>
      <c r="E165" s="2" t="n"/>
      <c r="F165" s="2" t="n"/>
      <c r="G165" s="2" t="n"/>
      <c r="H165" s="2" t="n"/>
      <c r="I165" s="2" t="n"/>
      <c r="J165" s="2" t="n"/>
      <c r="K165" s="2">
        <f>IF(COUNTA(G165:J165)&lt;4,"",ROUND(AVERAGE(G165:J165),1))</f>
        <v/>
      </c>
      <c r="L165" s="2" t="n"/>
      <c r="M165" s="2" t="n"/>
      <c r="N165" s="2" t="n"/>
      <c r="O165" s="2" t="n"/>
    </row>
    <row r="166">
      <c r="A166" s="2" t="n"/>
      <c r="B166" s="2" t="n"/>
      <c r="C166" s="2" t="n"/>
      <c r="D166" s="2" t="n"/>
      <c r="E166" s="2" t="n"/>
      <c r="F166" s="2" t="n"/>
      <c r="G166" s="2" t="n"/>
      <c r="H166" s="2" t="n"/>
      <c r="I166" s="2" t="n"/>
      <c r="J166" s="2" t="n"/>
      <c r="K166" s="2">
        <f>IF(COUNTA(G166:J166)&lt;4,"",ROUND(AVERAGE(G166:J166),1))</f>
        <v/>
      </c>
      <c r="L166" s="2" t="n"/>
      <c r="M166" s="2" t="n"/>
      <c r="N166" s="2" t="n"/>
      <c r="O166" s="2" t="n"/>
    </row>
    <row r="167">
      <c r="A167" s="2" t="n"/>
      <c r="B167" s="2" t="n"/>
      <c r="C167" s="2" t="n"/>
      <c r="D167" s="2" t="n"/>
      <c r="E167" s="2" t="n"/>
      <c r="F167" s="2" t="n"/>
      <c r="G167" s="2" t="n"/>
      <c r="H167" s="2" t="n"/>
      <c r="I167" s="2" t="n"/>
      <c r="J167" s="2" t="n"/>
      <c r="K167" s="2">
        <f>IF(COUNTA(G167:J167)&lt;4,"",ROUND(AVERAGE(G167:J167),1))</f>
        <v/>
      </c>
      <c r="L167" s="2" t="n"/>
      <c r="M167" s="2" t="n"/>
      <c r="N167" s="2" t="n"/>
      <c r="O167" s="2" t="n"/>
    </row>
    <row r="168">
      <c r="A168" s="2" t="n"/>
      <c r="B168" s="2" t="n"/>
      <c r="C168" s="2" t="n"/>
      <c r="D168" s="2" t="n"/>
      <c r="E168" s="2" t="n"/>
      <c r="F168" s="2" t="n"/>
      <c r="G168" s="2" t="n"/>
      <c r="H168" s="2" t="n"/>
      <c r="I168" s="2" t="n"/>
      <c r="J168" s="2" t="n"/>
      <c r="K168" s="2">
        <f>IF(COUNTA(G168:J168)&lt;4,"",ROUND(AVERAGE(G168:J168),1))</f>
        <v/>
      </c>
      <c r="L168" s="2" t="n"/>
      <c r="M168" s="2" t="n"/>
      <c r="N168" s="2" t="n"/>
      <c r="O168" s="2" t="n"/>
    </row>
    <row r="169">
      <c r="A169" s="2" t="n"/>
      <c r="B169" s="2" t="n"/>
      <c r="C169" s="2" t="n"/>
      <c r="D169" s="2" t="n"/>
      <c r="E169" s="2" t="n"/>
      <c r="F169" s="2" t="n"/>
      <c r="G169" s="2" t="n"/>
      <c r="H169" s="2" t="n"/>
      <c r="I169" s="2" t="n"/>
      <c r="J169" s="2" t="n"/>
      <c r="K169" s="2">
        <f>IF(COUNTA(G169:J169)&lt;4,"",ROUND(AVERAGE(G169:J169),1))</f>
        <v/>
      </c>
      <c r="L169" s="2" t="n"/>
      <c r="M169" s="2" t="n"/>
      <c r="N169" s="2" t="n"/>
      <c r="O169" s="2" t="n"/>
    </row>
    <row r="170">
      <c r="A170" s="2" t="n"/>
      <c r="B170" s="2" t="n"/>
      <c r="C170" s="2" t="n"/>
      <c r="D170" s="2" t="n"/>
      <c r="E170" s="2" t="n"/>
      <c r="F170" s="2" t="n"/>
      <c r="G170" s="2" t="n"/>
      <c r="H170" s="2" t="n"/>
      <c r="I170" s="2" t="n"/>
      <c r="J170" s="2" t="n"/>
      <c r="K170" s="2">
        <f>IF(COUNTA(G170:J170)&lt;4,"",ROUND(AVERAGE(G170:J170),1))</f>
        <v/>
      </c>
      <c r="L170" s="2" t="n"/>
      <c r="M170" s="2" t="n"/>
      <c r="N170" s="2" t="n"/>
      <c r="O170" s="2" t="n"/>
    </row>
    <row r="171">
      <c r="A171" s="2" t="n"/>
      <c r="B171" s="2" t="n"/>
      <c r="C171" s="2" t="n"/>
      <c r="D171" s="2" t="n"/>
      <c r="E171" s="2" t="n"/>
      <c r="F171" s="2" t="n"/>
      <c r="G171" s="2" t="n"/>
      <c r="H171" s="2" t="n"/>
      <c r="I171" s="2" t="n"/>
      <c r="J171" s="2" t="n"/>
      <c r="K171" s="2">
        <f>IF(COUNTA(G171:J171)&lt;4,"",ROUND(AVERAGE(G171:J171),1))</f>
        <v/>
      </c>
      <c r="L171" s="2" t="n"/>
      <c r="M171" s="2" t="n"/>
      <c r="N171" s="2" t="n"/>
      <c r="O171" s="2" t="n"/>
    </row>
    <row r="172">
      <c r="A172" s="2" t="n"/>
      <c r="B172" s="2" t="n"/>
      <c r="C172" s="2" t="n"/>
      <c r="D172" s="2" t="n"/>
      <c r="E172" s="2" t="n"/>
      <c r="F172" s="2" t="n"/>
      <c r="G172" s="2" t="n"/>
      <c r="H172" s="2" t="n"/>
      <c r="I172" s="2" t="n"/>
      <c r="J172" s="2" t="n"/>
      <c r="K172" s="2">
        <f>IF(COUNTA(G172:J172)&lt;4,"",ROUND(AVERAGE(G172:J172),1))</f>
        <v/>
      </c>
      <c r="L172" s="2" t="n"/>
      <c r="M172" s="2" t="n"/>
      <c r="N172" s="2" t="n"/>
      <c r="O172" s="2" t="n"/>
    </row>
    <row r="173">
      <c r="A173" s="2" t="n"/>
      <c r="B173" s="2" t="n"/>
      <c r="C173" s="2" t="n"/>
      <c r="D173" s="2" t="n"/>
      <c r="E173" s="2" t="n"/>
      <c r="F173" s="2" t="n"/>
      <c r="G173" s="2" t="n"/>
      <c r="H173" s="2" t="n"/>
      <c r="I173" s="2" t="n"/>
      <c r="J173" s="2" t="n"/>
      <c r="K173" s="2">
        <f>IF(COUNTA(G173:J173)&lt;4,"",ROUND(AVERAGE(G173:J173),1))</f>
        <v/>
      </c>
      <c r="L173" s="2" t="n"/>
      <c r="M173" s="2" t="n"/>
      <c r="N173" s="2" t="n"/>
      <c r="O173" s="2" t="n"/>
    </row>
    <row r="174">
      <c r="A174" s="2" t="n"/>
      <c r="B174" s="2" t="n"/>
      <c r="C174" s="2" t="n"/>
      <c r="D174" s="2" t="n"/>
      <c r="E174" s="2" t="n"/>
      <c r="F174" s="2" t="n"/>
      <c r="G174" s="2" t="n"/>
      <c r="H174" s="2" t="n"/>
      <c r="I174" s="2" t="n"/>
      <c r="J174" s="2" t="n"/>
      <c r="K174" s="2">
        <f>IF(COUNTA(G174:J174)&lt;4,"",ROUND(AVERAGE(G174:J174),1))</f>
        <v/>
      </c>
      <c r="L174" s="2" t="n"/>
      <c r="M174" s="2" t="n"/>
      <c r="N174" s="2" t="n"/>
      <c r="O174" s="2" t="n"/>
    </row>
    <row r="175">
      <c r="A175" s="2" t="n"/>
      <c r="B175" s="2" t="n"/>
      <c r="C175" s="2" t="n"/>
      <c r="D175" s="2" t="n"/>
      <c r="E175" s="2" t="n"/>
      <c r="F175" s="2" t="n"/>
      <c r="G175" s="2" t="n"/>
      <c r="H175" s="2" t="n"/>
      <c r="I175" s="2" t="n"/>
      <c r="J175" s="2" t="n"/>
      <c r="K175" s="2">
        <f>IF(COUNTA(G175:J175)&lt;4,"",ROUND(AVERAGE(G175:J175),1))</f>
        <v/>
      </c>
      <c r="L175" s="2" t="n"/>
      <c r="M175" s="2" t="n"/>
      <c r="N175" s="2" t="n"/>
      <c r="O175" s="2" t="n"/>
    </row>
    <row r="176">
      <c r="A176" s="2" t="n"/>
      <c r="B176" s="2" t="n"/>
      <c r="C176" s="2" t="n"/>
      <c r="D176" s="2" t="n"/>
      <c r="E176" s="2" t="n"/>
      <c r="F176" s="2" t="n"/>
      <c r="G176" s="2" t="n"/>
      <c r="H176" s="2" t="n"/>
      <c r="I176" s="2" t="n"/>
      <c r="J176" s="2" t="n"/>
      <c r="K176" s="2">
        <f>IF(COUNTA(G176:J176)&lt;4,"",ROUND(AVERAGE(G176:J176),1))</f>
        <v/>
      </c>
      <c r="L176" s="2" t="n"/>
      <c r="M176" s="2" t="n"/>
      <c r="N176" s="2" t="n"/>
      <c r="O176" s="2" t="n"/>
    </row>
    <row r="177">
      <c r="A177" s="2" t="n"/>
      <c r="B177" s="2" t="n"/>
      <c r="C177" s="2" t="n"/>
      <c r="D177" s="2" t="n"/>
      <c r="E177" s="2" t="n"/>
      <c r="F177" s="2" t="n"/>
      <c r="G177" s="2" t="n"/>
      <c r="H177" s="2" t="n"/>
      <c r="I177" s="2" t="n"/>
      <c r="J177" s="2" t="n"/>
      <c r="K177" s="2">
        <f>IF(COUNTA(G177:J177)&lt;4,"",ROUND(AVERAGE(G177:J177),1))</f>
        <v/>
      </c>
      <c r="L177" s="2" t="n"/>
      <c r="M177" s="2" t="n"/>
      <c r="N177" s="2" t="n"/>
      <c r="O177" s="2" t="n"/>
    </row>
    <row r="178">
      <c r="A178" s="2" t="n"/>
      <c r="B178" s="2" t="n"/>
      <c r="C178" s="2" t="n"/>
      <c r="D178" s="2" t="n"/>
      <c r="E178" s="2" t="n"/>
      <c r="F178" s="2" t="n"/>
      <c r="G178" s="2" t="n"/>
      <c r="H178" s="2" t="n"/>
      <c r="I178" s="2" t="n"/>
      <c r="J178" s="2" t="n"/>
      <c r="K178" s="2">
        <f>IF(COUNTA(G178:J178)&lt;4,"",ROUND(AVERAGE(G178:J178),1))</f>
        <v/>
      </c>
      <c r="L178" s="2" t="n"/>
      <c r="M178" s="2" t="n"/>
      <c r="N178" s="2" t="n"/>
      <c r="O178" s="2" t="n"/>
    </row>
    <row r="179">
      <c r="A179" s="2" t="n"/>
      <c r="B179" s="2" t="n"/>
      <c r="C179" s="2" t="n"/>
      <c r="D179" s="2" t="n"/>
      <c r="E179" s="2" t="n"/>
      <c r="F179" s="2" t="n"/>
      <c r="G179" s="2" t="n"/>
      <c r="H179" s="2" t="n"/>
      <c r="I179" s="2" t="n"/>
      <c r="J179" s="2" t="n"/>
      <c r="K179" s="2">
        <f>IF(COUNTA(G179:J179)&lt;4,"",ROUND(AVERAGE(G179:J179),1))</f>
        <v/>
      </c>
      <c r="L179" s="2" t="n"/>
      <c r="M179" s="2" t="n"/>
      <c r="N179" s="2" t="n"/>
      <c r="O179" s="2" t="n"/>
    </row>
    <row r="180">
      <c r="A180" s="2" t="n"/>
      <c r="B180" s="2" t="n"/>
      <c r="C180" s="2" t="n"/>
      <c r="D180" s="2" t="n"/>
      <c r="E180" s="2" t="n"/>
      <c r="F180" s="2" t="n"/>
      <c r="G180" s="2" t="n"/>
      <c r="H180" s="2" t="n"/>
      <c r="I180" s="2" t="n"/>
      <c r="J180" s="2" t="n"/>
      <c r="K180" s="2">
        <f>IF(COUNTA(G180:J180)&lt;4,"",ROUND(AVERAGE(G180:J180),1))</f>
        <v/>
      </c>
      <c r="L180" s="2" t="n"/>
      <c r="M180" s="2" t="n"/>
      <c r="N180" s="2" t="n"/>
      <c r="O180" s="2" t="n"/>
    </row>
    <row r="181">
      <c r="A181" s="2" t="n"/>
      <c r="B181" s="2" t="n"/>
      <c r="C181" s="2" t="n"/>
      <c r="D181" s="2" t="n"/>
      <c r="E181" s="2" t="n"/>
      <c r="F181" s="2" t="n"/>
      <c r="G181" s="2" t="n"/>
      <c r="H181" s="2" t="n"/>
      <c r="I181" s="2" t="n"/>
      <c r="J181" s="2" t="n"/>
      <c r="K181" s="2">
        <f>IF(COUNTA(G181:J181)&lt;4,"",ROUND(AVERAGE(G181:J181),1))</f>
        <v/>
      </c>
      <c r="L181" s="2" t="n"/>
      <c r="M181" s="2" t="n"/>
      <c r="N181" s="2" t="n"/>
      <c r="O181" s="2" t="n"/>
    </row>
    <row r="182">
      <c r="A182" s="2" t="n"/>
      <c r="B182" s="2" t="n"/>
      <c r="C182" s="2" t="n"/>
      <c r="D182" s="2" t="n"/>
      <c r="E182" s="2" t="n"/>
      <c r="F182" s="2" t="n"/>
      <c r="G182" s="2" t="n"/>
      <c r="H182" s="2" t="n"/>
      <c r="I182" s="2" t="n"/>
      <c r="J182" s="2" t="n"/>
      <c r="K182" s="2">
        <f>IF(COUNTA(G182:J182)&lt;4,"",ROUND(AVERAGE(G182:J182),1))</f>
        <v/>
      </c>
      <c r="L182" s="2" t="n"/>
      <c r="M182" s="2" t="n"/>
      <c r="N182" s="2" t="n"/>
      <c r="O182" s="2" t="n"/>
    </row>
    <row r="183">
      <c r="A183" s="2" t="n"/>
      <c r="B183" s="2" t="n"/>
      <c r="C183" s="2" t="n"/>
      <c r="D183" s="2" t="n"/>
      <c r="E183" s="2" t="n"/>
      <c r="F183" s="2" t="n"/>
      <c r="G183" s="2" t="n"/>
      <c r="H183" s="2" t="n"/>
      <c r="I183" s="2" t="n"/>
      <c r="J183" s="2" t="n"/>
      <c r="K183" s="2">
        <f>IF(COUNTA(G183:J183)&lt;4,"",ROUND(AVERAGE(G183:J183),1))</f>
        <v/>
      </c>
      <c r="L183" s="2" t="n"/>
      <c r="M183" s="2" t="n"/>
      <c r="N183" s="2" t="n"/>
      <c r="O183" s="2" t="n"/>
    </row>
    <row r="184">
      <c r="A184" s="2" t="n"/>
      <c r="B184" s="2" t="n"/>
      <c r="C184" s="2" t="n"/>
      <c r="D184" s="2" t="n"/>
      <c r="E184" s="2" t="n"/>
      <c r="F184" s="2" t="n"/>
      <c r="G184" s="2" t="n"/>
      <c r="H184" s="2" t="n"/>
      <c r="I184" s="2" t="n"/>
      <c r="J184" s="2" t="n"/>
      <c r="K184" s="2">
        <f>IF(COUNTA(G184:J184)&lt;4,"",ROUND(AVERAGE(G184:J184),1))</f>
        <v/>
      </c>
      <c r="L184" s="2" t="n"/>
      <c r="M184" s="2" t="n"/>
      <c r="N184" s="2" t="n"/>
      <c r="O184" s="2" t="n"/>
    </row>
    <row r="185">
      <c r="A185" s="2" t="n"/>
      <c r="B185" s="2" t="n"/>
      <c r="C185" s="2" t="n"/>
      <c r="D185" s="2" t="n"/>
      <c r="E185" s="2" t="n"/>
      <c r="F185" s="2" t="n"/>
      <c r="G185" s="2" t="n"/>
      <c r="H185" s="2" t="n"/>
      <c r="I185" s="2" t="n"/>
      <c r="J185" s="2" t="n"/>
      <c r="K185" s="2">
        <f>IF(COUNTA(G185:J185)&lt;4,"",ROUND(AVERAGE(G185:J185),1))</f>
        <v/>
      </c>
      <c r="L185" s="2" t="n"/>
      <c r="M185" s="2" t="n"/>
      <c r="N185" s="2" t="n"/>
      <c r="O185" s="2" t="n"/>
    </row>
    <row r="186">
      <c r="A186" s="2" t="n"/>
      <c r="B186" s="2" t="n"/>
      <c r="C186" s="2" t="n"/>
      <c r="D186" s="2" t="n"/>
      <c r="E186" s="2" t="n"/>
      <c r="F186" s="2" t="n"/>
      <c r="G186" s="2" t="n"/>
      <c r="H186" s="2" t="n"/>
      <c r="I186" s="2" t="n"/>
      <c r="J186" s="2" t="n"/>
      <c r="K186" s="2">
        <f>IF(COUNTA(G186:J186)&lt;4,"",ROUND(AVERAGE(G186:J186),1))</f>
        <v/>
      </c>
      <c r="L186" s="2" t="n"/>
      <c r="M186" s="2" t="n"/>
      <c r="N186" s="2" t="n"/>
      <c r="O186" s="2" t="n"/>
    </row>
    <row r="187">
      <c r="A187" s="2" t="n"/>
      <c r="B187" s="2" t="n"/>
      <c r="C187" s="2" t="n"/>
      <c r="D187" s="2" t="n"/>
      <c r="E187" s="2" t="n"/>
      <c r="F187" s="2" t="n"/>
      <c r="G187" s="2" t="n"/>
      <c r="H187" s="2" t="n"/>
      <c r="I187" s="2" t="n"/>
      <c r="J187" s="2" t="n"/>
      <c r="K187" s="2">
        <f>IF(COUNTA(G187:J187)&lt;4,"",ROUND(AVERAGE(G187:J187),1))</f>
        <v/>
      </c>
      <c r="L187" s="2" t="n"/>
      <c r="M187" s="2" t="n"/>
      <c r="N187" s="2" t="n"/>
      <c r="O187" s="2" t="n"/>
    </row>
    <row r="188">
      <c r="A188" s="2" t="n"/>
      <c r="B188" s="2" t="n"/>
      <c r="C188" s="2" t="n"/>
      <c r="D188" s="2" t="n"/>
      <c r="E188" s="2" t="n"/>
      <c r="F188" s="2" t="n"/>
      <c r="G188" s="2" t="n"/>
      <c r="H188" s="2" t="n"/>
      <c r="I188" s="2" t="n"/>
      <c r="J188" s="2" t="n"/>
      <c r="K188" s="2">
        <f>IF(COUNTA(G188:J188)&lt;4,"",ROUND(AVERAGE(G188:J188),1))</f>
        <v/>
      </c>
      <c r="L188" s="2" t="n"/>
      <c r="M188" s="2" t="n"/>
      <c r="N188" s="2" t="n"/>
      <c r="O188" s="2" t="n"/>
    </row>
    <row r="189">
      <c r="A189" s="2" t="n"/>
      <c r="B189" s="2" t="n"/>
      <c r="C189" s="2" t="n"/>
      <c r="D189" s="2" t="n"/>
      <c r="E189" s="2" t="n"/>
      <c r="F189" s="2" t="n"/>
      <c r="G189" s="2" t="n"/>
      <c r="H189" s="2" t="n"/>
      <c r="I189" s="2" t="n"/>
      <c r="J189" s="2" t="n"/>
      <c r="K189" s="2">
        <f>IF(COUNTA(G189:J189)&lt;4,"",ROUND(AVERAGE(G189:J189),1))</f>
        <v/>
      </c>
      <c r="L189" s="2" t="n"/>
      <c r="M189" s="2" t="n"/>
      <c r="N189" s="2" t="n"/>
      <c r="O189" s="2" t="n"/>
    </row>
    <row r="190">
      <c r="A190" s="2" t="n"/>
      <c r="B190" s="2" t="n"/>
      <c r="C190" s="2" t="n"/>
      <c r="D190" s="2" t="n"/>
      <c r="E190" s="2" t="n"/>
      <c r="F190" s="2" t="n"/>
      <c r="G190" s="2" t="n"/>
      <c r="H190" s="2" t="n"/>
      <c r="I190" s="2" t="n"/>
      <c r="J190" s="2" t="n"/>
      <c r="K190" s="2">
        <f>IF(COUNTA(G190:J190)&lt;4,"",ROUND(AVERAGE(G190:J190),1))</f>
        <v/>
      </c>
      <c r="L190" s="2" t="n"/>
      <c r="M190" s="2" t="n"/>
      <c r="N190" s="2" t="n"/>
      <c r="O190" s="2" t="n"/>
    </row>
    <row r="191">
      <c r="A191" s="2" t="n"/>
      <c r="B191" s="2" t="n"/>
      <c r="C191" s="2" t="n"/>
      <c r="D191" s="2" t="n"/>
      <c r="E191" s="2" t="n"/>
      <c r="F191" s="2" t="n"/>
      <c r="G191" s="2" t="n"/>
      <c r="H191" s="2" t="n"/>
      <c r="I191" s="2" t="n"/>
      <c r="J191" s="2" t="n"/>
      <c r="K191" s="2">
        <f>IF(COUNTA(G191:J191)&lt;4,"",ROUND(AVERAGE(G191:J191),1))</f>
        <v/>
      </c>
      <c r="L191" s="2" t="n"/>
      <c r="M191" s="2" t="n"/>
      <c r="N191" s="2" t="n"/>
      <c r="O191" s="2" t="n"/>
    </row>
    <row r="192">
      <c r="A192" s="2" t="n"/>
      <c r="B192" s="2" t="n"/>
      <c r="C192" s="2" t="n"/>
      <c r="D192" s="2" t="n"/>
      <c r="E192" s="2" t="n"/>
      <c r="F192" s="2" t="n"/>
      <c r="G192" s="2" t="n"/>
      <c r="H192" s="2" t="n"/>
      <c r="I192" s="2" t="n"/>
      <c r="J192" s="2" t="n"/>
      <c r="K192" s="2">
        <f>IF(COUNTA(G192:J192)&lt;4,"",ROUND(AVERAGE(G192:J192),1))</f>
        <v/>
      </c>
      <c r="L192" s="2" t="n"/>
      <c r="M192" s="2" t="n"/>
      <c r="N192" s="2" t="n"/>
      <c r="O192" s="2" t="n"/>
    </row>
    <row r="193">
      <c r="A193" s="2" t="n"/>
      <c r="B193" s="2" t="n"/>
      <c r="C193" s="2" t="n"/>
      <c r="D193" s="2" t="n"/>
      <c r="E193" s="2" t="n"/>
      <c r="F193" s="2" t="n"/>
      <c r="G193" s="2" t="n"/>
      <c r="H193" s="2" t="n"/>
      <c r="I193" s="2" t="n"/>
      <c r="J193" s="2" t="n"/>
      <c r="K193" s="2">
        <f>IF(COUNTA(G193:J193)&lt;4,"",ROUND(AVERAGE(G193:J193),1))</f>
        <v/>
      </c>
      <c r="L193" s="2" t="n"/>
      <c r="M193" s="2" t="n"/>
      <c r="N193" s="2" t="n"/>
      <c r="O193" s="2" t="n"/>
    </row>
    <row r="194">
      <c r="A194" s="2" t="n"/>
      <c r="B194" s="2" t="n"/>
      <c r="C194" s="2" t="n"/>
      <c r="D194" s="2" t="n"/>
      <c r="E194" s="2" t="n"/>
      <c r="F194" s="2" t="n"/>
      <c r="G194" s="2" t="n"/>
      <c r="H194" s="2" t="n"/>
      <c r="I194" s="2" t="n"/>
      <c r="J194" s="2" t="n"/>
      <c r="K194" s="2">
        <f>IF(COUNTA(G194:J194)&lt;4,"",ROUND(AVERAGE(G194:J194),1))</f>
        <v/>
      </c>
      <c r="L194" s="2" t="n"/>
      <c r="M194" s="2" t="n"/>
      <c r="N194" s="2" t="n"/>
      <c r="O194" s="2" t="n"/>
    </row>
    <row r="195">
      <c r="A195" s="2" t="n"/>
      <c r="B195" s="2" t="n"/>
      <c r="C195" s="2" t="n"/>
      <c r="D195" s="2" t="n"/>
      <c r="E195" s="2" t="n"/>
      <c r="F195" s="2" t="n"/>
      <c r="G195" s="2" t="n"/>
      <c r="H195" s="2" t="n"/>
      <c r="I195" s="2" t="n"/>
      <c r="J195" s="2" t="n"/>
      <c r="K195" s="2">
        <f>IF(COUNTA(G195:J195)&lt;4,"",ROUND(AVERAGE(G195:J195),1))</f>
        <v/>
      </c>
      <c r="L195" s="2" t="n"/>
      <c r="M195" s="2" t="n"/>
      <c r="N195" s="2" t="n"/>
      <c r="O195" s="2" t="n"/>
    </row>
    <row r="196">
      <c r="A196" s="2" t="n"/>
      <c r="B196" s="2" t="n"/>
      <c r="C196" s="2" t="n"/>
      <c r="D196" s="2" t="n"/>
      <c r="E196" s="2" t="n"/>
      <c r="F196" s="2" t="n"/>
      <c r="G196" s="2" t="n"/>
      <c r="H196" s="2" t="n"/>
      <c r="I196" s="2" t="n"/>
      <c r="J196" s="2" t="n"/>
      <c r="K196" s="2">
        <f>IF(COUNTA(G196:J196)&lt;4,"",ROUND(AVERAGE(G196:J196),1))</f>
        <v/>
      </c>
      <c r="L196" s="2" t="n"/>
      <c r="M196" s="2" t="n"/>
      <c r="N196" s="2" t="n"/>
      <c r="O196" s="2" t="n"/>
    </row>
    <row r="197">
      <c r="A197" s="2" t="n"/>
      <c r="B197" s="2" t="n"/>
      <c r="C197" s="2" t="n"/>
      <c r="D197" s="2" t="n"/>
      <c r="E197" s="2" t="n"/>
      <c r="F197" s="2" t="n"/>
      <c r="G197" s="2" t="n"/>
      <c r="H197" s="2" t="n"/>
      <c r="I197" s="2" t="n"/>
      <c r="J197" s="2" t="n"/>
      <c r="K197" s="2">
        <f>IF(COUNTA(G197:J197)&lt;4,"",ROUND(AVERAGE(G197:J197),1))</f>
        <v/>
      </c>
      <c r="L197" s="2" t="n"/>
      <c r="M197" s="2" t="n"/>
      <c r="N197" s="2" t="n"/>
      <c r="O197" s="2" t="n"/>
    </row>
    <row r="198">
      <c r="A198" s="2" t="n"/>
      <c r="B198" s="2" t="n"/>
      <c r="C198" s="2" t="n"/>
      <c r="D198" s="2" t="n"/>
      <c r="E198" s="2" t="n"/>
      <c r="F198" s="2" t="n"/>
      <c r="G198" s="2" t="n"/>
      <c r="H198" s="2" t="n"/>
      <c r="I198" s="2" t="n"/>
      <c r="J198" s="2" t="n"/>
      <c r="K198" s="2">
        <f>IF(COUNTA(G198:J198)&lt;4,"",ROUND(AVERAGE(G198:J198),1))</f>
        <v/>
      </c>
      <c r="L198" s="2" t="n"/>
      <c r="M198" s="2" t="n"/>
      <c r="N198" s="2" t="n"/>
      <c r="O198" s="2" t="n"/>
    </row>
    <row r="199">
      <c r="A199" s="2" t="n"/>
      <c r="B199" s="2" t="n"/>
      <c r="C199" s="2" t="n"/>
      <c r="D199" s="2" t="n"/>
      <c r="E199" s="2" t="n"/>
      <c r="F199" s="2" t="n"/>
      <c r="G199" s="2" t="n"/>
      <c r="H199" s="2" t="n"/>
      <c r="I199" s="2" t="n"/>
      <c r="J199" s="2" t="n"/>
      <c r="K199" s="2">
        <f>IF(COUNTA(G199:J199)&lt;4,"",ROUND(AVERAGE(G199:J199),1))</f>
        <v/>
      </c>
      <c r="L199" s="2" t="n"/>
      <c r="M199" s="2" t="n"/>
      <c r="N199" s="2" t="n"/>
      <c r="O199" s="2" t="n"/>
    </row>
    <row r="200">
      <c r="A200" s="2" t="n"/>
      <c r="B200" s="2" t="n"/>
      <c r="C200" s="2" t="n"/>
      <c r="D200" s="2" t="n"/>
      <c r="E200" s="2" t="n"/>
      <c r="F200" s="2" t="n"/>
      <c r="G200" s="2" t="n"/>
      <c r="H200" s="2" t="n"/>
      <c r="I200" s="2" t="n"/>
      <c r="J200" s="2" t="n"/>
      <c r="K200" s="2">
        <f>IF(COUNTA(G200:J200)&lt;4,"",ROUND(AVERAGE(G200:J200),1))</f>
        <v/>
      </c>
      <c r="L200" s="2" t="n"/>
      <c r="M200" s="2" t="n"/>
      <c r="N200" s="2" t="n"/>
      <c r="O200" s="2" t="n"/>
    </row>
    <row r="201">
      <c r="A201" s="2" t="n"/>
      <c r="B201" s="2" t="n"/>
      <c r="C201" s="2" t="n"/>
      <c r="D201" s="2" t="n"/>
      <c r="E201" s="2" t="n"/>
      <c r="F201" s="2" t="n"/>
      <c r="G201" s="2" t="n"/>
      <c r="H201" s="2" t="n"/>
      <c r="I201" s="2" t="n"/>
      <c r="J201" s="2" t="n"/>
      <c r="K201" s="2">
        <f>IF(COUNTA(G201:J201)&lt;4,"",ROUND(AVERAGE(G201:J201),1))</f>
        <v/>
      </c>
      <c r="L201" s="2" t="n"/>
      <c r="M201" s="2" t="n"/>
      <c r="N201" s="2" t="n"/>
      <c r="O201" s="2" t="n"/>
    </row>
    <row r="202">
      <c r="A202" s="2" t="n"/>
      <c r="B202" s="2" t="n"/>
      <c r="C202" s="2" t="n"/>
      <c r="D202" s="2" t="n"/>
      <c r="E202" s="2" t="n"/>
      <c r="F202" s="2" t="n"/>
      <c r="G202" s="2" t="n"/>
      <c r="H202" s="2" t="n"/>
      <c r="I202" s="2" t="n"/>
      <c r="J202" s="2" t="n"/>
      <c r="K202" s="2">
        <f>IF(COUNTA(G202:J202)&lt;4,"",ROUND(AVERAGE(G202:J202),1))</f>
        <v/>
      </c>
      <c r="L202" s="2" t="n"/>
      <c r="M202" s="2" t="n"/>
      <c r="N202" s="2" t="n"/>
      <c r="O202" s="2" t="n"/>
    </row>
    <row r="203">
      <c r="A203" s="2" t="n"/>
      <c r="B203" s="2" t="n"/>
      <c r="C203" s="2" t="n"/>
      <c r="D203" s="2" t="n"/>
      <c r="E203" s="2" t="n"/>
      <c r="F203" s="2" t="n"/>
      <c r="G203" s="2" t="n"/>
      <c r="H203" s="2" t="n"/>
      <c r="I203" s="2" t="n"/>
      <c r="J203" s="2" t="n"/>
      <c r="K203" s="2">
        <f>IF(COUNTA(G203:J203)&lt;4,"",ROUND(AVERAGE(G203:J203),1))</f>
        <v/>
      </c>
      <c r="L203" s="2" t="n"/>
      <c r="M203" s="2" t="n"/>
      <c r="N203" s="2" t="n"/>
      <c r="O203" s="2" t="n"/>
    </row>
    <row r="204">
      <c r="A204" s="2" t="n"/>
      <c r="B204" s="2" t="n"/>
      <c r="C204" s="2" t="n"/>
      <c r="D204" s="2" t="n"/>
      <c r="E204" s="2" t="n"/>
      <c r="F204" s="2" t="n"/>
      <c r="G204" s="2" t="n"/>
      <c r="H204" s="2" t="n"/>
      <c r="I204" s="2" t="n"/>
      <c r="J204" s="2" t="n"/>
      <c r="K204" s="2">
        <f>IF(COUNTA(G204:J204)&lt;4,"",ROUND(AVERAGE(G204:J204),1))</f>
        <v/>
      </c>
      <c r="L204" s="2" t="n"/>
      <c r="M204" s="2" t="n"/>
      <c r="N204" s="2" t="n"/>
      <c r="O204" s="2" t="n"/>
    </row>
    <row r="205">
      <c r="A205" s="2" t="n"/>
      <c r="B205" s="2" t="n"/>
      <c r="C205" s="2" t="n"/>
      <c r="D205" s="2" t="n"/>
      <c r="E205" s="2" t="n"/>
      <c r="F205" s="2" t="n"/>
      <c r="G205" s="2" t="n"/>
      <c r="H205" s="2" t="n"/>
      <c r="I205" s="2" t="n"/>
      <c r="J205" s="2" t="n"/>
      <c r="K205" s="2">
        <f>IF(COUNTA(G205:J205)&lt;4,"",ROUND(AVERAGE(G205:J205),1))</f>
        <v/>
      </c>
      <c r="L205" s="2" t="n"/>
      <c r="M205" s="2" t="n"/>
      <c r="N205" s="2" t="n"/>
      <c r="O205" s="2" t="n"/>
    </row>
    <row r="206">
      <c r="A206" s="2" t="n"/>
      <c r="B206" s="2" t="n"/>
      <c r="C206" s="2" t="n"/>
      <c r="D206" s="2" t="n"/>
      <c r="E206" s="2" t="n"/>
      <c r="F206" s="2" t="n"/>
      <c r="G206" s="2" t="n"/>
      <c r="H206" s="2" t="n"/>
      <c r="I206" s="2" t="n"/>
      <c r="J206" s="2" t="n"/>
      <c r="K206" s="2">
        <f>IF(COUNTA(G206:J206)&lt;4,"",ROUND(AVERAGE(G206:J206),1))</f>
        <v/>
      </c>
      <c r="L206" s="2" t="n"/>
      <c r="M206" s="2" t="n"/>
      <c r="N206" s="2" t="n"/>
      <c r="O206" s="2" t="n"/>
    </row>
    <row r="207">
      <c r="A207" s="2" t="n"/>
      <c r="B207" s="2" t="n"/>
      <c r="C207" s="2" t="n"/>
      <c r="D207" s="2" t="n"/>
      <c r="E207" s="2" t="n"/>
      <c r="F207" s="2" t="n"/>
      <c r="G207" s="2" t="n"/>
      <c r="H207" s="2" t="n"/>
      <c r="I207" s="2" t="n"/>
      <c r="J207" s="2" t="n"/>
      <c r="K207" s="2">
        <f>IF(COUNTA(G207:J207)&lt;4,"",ROUND(AVERAGE(G207:J207),1))</f>
        <v/>
      </c>
      <c r="L207" s="2" t="n"/>
      <c r="M207" s="2" t="n"/>
      <c r="N207" s="2" t="n"/>
      <c r="O207" s="2" t="n"/>
    </row>
    <row r="208">
      <c r="A208" s="2" t="n"/>
      <c r="B208" s="2" t="n"/>
      <c r="C208" s="2" t="n"/>
      <c r="D208" s="2" t="n"/>
      <c r="E208" s="2" t="n"/>
      <c r="F208" s="2" t="n"/>
      <c r="G208" s="2" t="n"/>
      <c r="H208" s="2" t="n"/>
      <c r="I208" s="2" t="n"/>
      <c r="J208" s="2" t="n"/>
      <c r="K208" s="2">
        <f>IF(COUNTA(G208:J208)&lt;4,"",ROUND(AVERAGE(G208:J208),1))</f>
        <v/>
      </c>
      <c r="L208" s="2" t="n"/>
      <c r="M208" s="2" t="n"/>
      <c r="N208" s="2" t="n"/>
      <c r="O208" s="2" t="n"/>
    </row>
    <row r="209">
      <c r="A209" s="2" t="n"/>
      <c r="B209" s="2" t="n"/>
      <c r="C209" s="2" t="n"/>
      <c r="D209" s="2" t="n"/>
      <c r="E209" s="2" t="n"/>
      <c r="F209" s="2" t="n"/>
      <c r="G209" s="2" t="n"/>
      <c r="H209" s="2" t="n"/>
      <c r="I209" s="2" t="n"/>
      <c r="J209" s="2" t="n"/>
      <c r="K209" s="2">
        <f>IF(COUNTA(G209:J209)&lt;4,"",ROUND(AVERAGE(G209:J209),1))</f>
        <v/>
      </c>
      <c r="L209" s="2" t="n"/>
      <c r="M209" s="2" t="n"/>
      <c r="N209" s="2" t="n"/>
      <c r="O209" s="2" t="n"/>
    </row>
    <row r="210">
      <c r="A210" s="2" t="n"/>
      <c r="B210" s="2" t="n"/>
      <c r="C210" s="2" t="n"/>
      <c r="D210" s="2" t="n"/>
      <c r="E210" s="2" t="n"/>
      <c r="F210" s="2" t="n"/>
      <c r="G210" s="2" t="n"/>
      <c r="H210" s="2" t="n"/>
      <c r="I210" s="2" t="n"/>
      <c r="J210" s="2" t="n"/>
      <c r="K210" s="2">
        <f>IF(COUNTA(G210:J210)&lt;4,"",ROUND(AVERAGE(G210:J210),1))</f>
        <v/>
      </c>
      <c r="L210" s="2" t="n"/>
      <c r="M210" s="2" t="n"/>
      <c r="N210" s="2" t="n"/>
      <c r="O210" s="2" t="n"/>
    </row>
    <row r="211">
      <c r="A211" s="2" t="n"/>
      <c r="B211" s="2" t="n"/>
      <c r="C211" s="2" t="n"/>
      <c r="D211" s="2" t="n"/>
      <c r="E211" s="2" t="n"/>
      <c r="F211" s="2" t="n"/>
      <c r="G211" s="2" t="n"/>
      <c r="H211" s="2" t="n"/>
      <c r="I211" s="2" t="n"/>
      <c r="J211" s="2" t="n"/>
      <c r="K211" s="2">
        <f>IF(COUNTA(G211:J211)&lt;4,"",ROUND(AVERAGE(G211:J211),1))</f>
        <v/>
      </c>
      <c r="L211" s="2" t="n"/>
      <c r="M211" s="2" t="n"/>
      <c r="N211" s="2" t="n"/>
      <c r="O211" s="2" t="n"/>
    </row>
    <row r="212">
      <c r="A212" s="2" t="n"/>
      <c r="B212" s="2" t="n"/>
      <c r="C212" s="2" t="n"/>
      <c r="D212" s="2" t="n"/>
      <c r="E212" s="2" t="n"/>
      <c r="F212" s="2" t="n"/>
      <c r="G212" s="2" t="n"/>
      <c r="H212" s="2" t="n"/>
      <c r="I212" s="2" t="n"/>
      <c r="J212" s="2" t="n"/>
      <c r="K212" s="2">
        <f>IF(COUNTA(G212:J212)&lt;4,"",ROUND(AVERAGE(G212:J212),1))</f>
        <v/>
      </c>
      <c r="L212" s="2" t="n"/>
      <c r="M212" s="2" t="n"/>
      <c r="N212" s="2" t="n"/>
      <c r="O212" s="2" t="n"/>
    </row>
    <row r="213">
      <c r="A213" s="2" t="n"/>
      <c r="B213" s="2" t="n"/>
      <c r="C213" s="2" t="n"/>
      <c r="D213" s="2" t="n"/>
      <c r="E213" s="2" t="n"/>
      <c r="F213" s="2" t="n"/>
      <c r="G213" s="2" t="n"/>
      <c r="H213" s="2" t="n"/>
      <c r="I213" s="2" t="n"/>
      <c r="J213" s="2" t="n"/>
      <c r="K213" s="2">
        <f>IF(COUNTA(G213:J213)&lt;4,"",ROUND(AVERAGE(G213:J213),1))</f>
        <v/>
      </c>
      <c r="L213" s="2" t="n"/>
      <c r="M213" s="2" t="n"/>
      <c r="N213" s="2" t="n"/>
      <c r="O213" s="2" t="n"/>
    </row>
    <row r="214">
      <c r="A214" s="2" t="n"/>
      <c r="B214" s="2" t="n"/>
      <c r="C214" s="2" t="n"/>
      <c r="D214" s="2" t="n"/>
      <c r="E214" s="2" t="n"/>
      <c r="F214" s="2" t="n"/>
      <c r="G214" s="2" t="n"/>
      <c r="H214" s="2" t="n"/>
      <c r="I214" s="2" t="n"/>
      <c r="J214" s="2" t="n"/>
      <c r="K214" s="2">
        <f>IF(COUNTA(G214:J214)&lt;4,"",ROUND(AVERAGE(G214:J214),1))</f>
        <v/>
      </c>
      <c r="L214" s="2" t="n"/>
      <c r="M214" s="2" t="n"/>
      <c r="N214" s="2" t="n"/>
      <c r="O214" s="2" t="n"/>
    </row>
    <row r="215">
      <c r="A215" s="2" t="n"/>
      <c r="B215" s="2" t="n"/>
      <c r="C215" s="2" t="n"/>
      <c r="D215" s="2" t="n"/>
      <c r="E215" s="2" t="n"/>
      <c r="F215" s="2" t="n"/>
      <c r="G215" s="2" t="n"/>
      <c r="H215" s="2" t="n"/>
      <c r="I215" s="2" t="n"/>
      <c r="J215" s="2" t="n"/>
      <c r="K215" s="2">
        <f>IF(COUNTA(G215:J215)&lt;4,"",ROUND(AVERAGE(G215:J215),1))</f>
        <v/>
      </c>
      <c r="L215" s="2" t="n"/>
      <c r="M215" s="2" t="n"/>
      <c r="N215" s="2" t="n"/>
      <c r="O215" s="2" t="n"/>
    </row>
    <row r="216">
      <c r="A216" s="2" t="n"/>
      <c r="B216" s="2" t="n"/>
      <c r="C216" s="2" t="n"/>
      <c r="D216" s="2" t="n"/>
      <c r="E216" s="2" t="n"/>
      <c r="F216" s="2" t="n"/>
      <c r="G216" s="2" t="n"/>
      <c r="H216" s="2" t="n"/>
      <c r="I216" s="2" t="n"/>
      <c r="J216" s="2" t="n"/>
      <c r="K216" s="2">
        <f>IF(COUNTA(G216:J216)&lt;4,"",ROUND(AVERAGE(G216:J216),1))</f>
        <v/>
      </c>
      <c r="L216" s="2" t="n"/>
      <c r="M216" s="2" t="n"/>
      <c r="N216" s="2" t="n"/>
      <c r="O216" s="2" t="n"/>
    </row>
    <row r="217">
      <c r="A217" s="2" t="n"/>
      <c r="B217" s="2" t="n"/>
      <c r="C217" s="2" t="n"/>
      <c r="D217" s="2" t="n"/>
      <c r="E217" s="2" t="n"/>
      <c r="F217" s="2" t="n"/>
      <c r="G217" s="2" t="n"/>
      <c r="H217" s="2" t="n"/>
      <c r="I217" s="2" t="n"/>
      <c r="J217" s="2" t="n"/>
      <c r="K217" s="2">
        <f>IF(COUNTA(G217:J217)&lt;4,"",ROUND(AVERAGE(G217:J217),1))</f>
        <v/>
      </c>
      <c r="L217" s="2" t="n"/>
      <c r="M217" s="2" t="n"/>
      <c r="N217" s="2" t="n"/>
      <c r="O217" s="2" t="n"/>
    </row>
    <row r="218">
      <c r="A218" s="2" t="n"/>
      <c r="B218" s="2" t="n"/>
      <c r="C218" s="2" t="n"/>
      <c r="D218" s="2" t="n"/>
      <c r="E218" s="2" t="n"/>
      <c r="F218" s="2" t="n"/>
      <c r="G218" s="2" t="n"/>
      <c r="H218" s="2" t="n"/>
      <c r="I218" s="2" t="n"/>
      <c r="J218" s="2" t="n"/>
      <c r="K218" s="2">
        <f>IF(COUNTA(G218:J218)&lt;4,"",ROUND(AVERAGE(G218:J218),1))</f>
        <v/>
      </c>
      <c r="L218" s="2" t="n"/>
      <c r="M218" s="2" t="n"/>
      <c r="N218" s="2" t="n"/>
      <c r="O218" s="2" t="n"/>
    </row>
    <row r="219">
      <c r="A219" s="2" t="n"/>
      <c r="B219" s="2" t="n"/>
      <c r="C219" s="2" t="n"/>
      <c r="D219" s="2" t="n"/>
      <c r="E219" s="2" t="n"/>
      <c r="F219" s="2" t="n"/>
      <c r="G219" s="2" t="n"/>
      <c r="H219" s="2" t="n"/>
      <c r="I219" s="2" t="n"/>
      <c r="J219" s="2" t="n"/>
      <c r="K219" s="2">
        <f>IF(COUNTA(G219:J219)&lt;4,"",ROUND(AVERAGE(G219:J219),1))</f>
        <v/>
      </c>
      <c r="L219" s="2" t="n"/>
      <c r="M219" s="2" t="n"/>
      <c r="N219" s="2" t="n"/>
      <c r="O219" s="2" t="n"/>
    </row>
    <row r="220">
      <c r="A220" s="2" t="n"/>
      <c r="B220" s="2" t="n"/>
      <c r="C220" s="2" t="n"/>
      <c r="D220" s="2" t="n"/>
      <c r="E220" s="2" t="n"/>
      <c r="F220" s="2" t="n"/>
      <c r="G220" s="2" t="n"/>
      <c r="H220" s="2" t="n"/>
      <c r="I220" s="2" t="n"/>
      <c r="J220" s="2" t="n"/>
      <c r="K220" s="2">
        <f>IF(COUNTA(G220:J220)&lt;4,"",ROUND(AVERAGE(G220:J220),1))</f>
        <v/>
      </c>
      <c r="L220" s="2" t="n"/>
      <c r="M220" s="2" t="n"/>
      <c r="N220" s="2" t="n"/>
      <c r="O220" s="2" t="n"/>
    </row>
    <row r="221">
      <c r="A221" s="2" t="n"/>
      <c r="B221" s="2" t="n"/>
      <c r="C221" s="2" t="n"/>
      <c r="D221" s="2" t="n"/>
      <c r="E221" s="2" t="n"/>
      <c r="F221" s="2" t="n"/>
      <c r="G221" s="2" t="n"/>
      <c r="H221" s="2" t="n"/>
      <c r="I221" s="2" t="n"/>
      <c r="J221" s="2" t="n"/>
      <c r="K221" s="2">
        <f>IF(COUNTA(G221:J221)&lt;4,"",ROUND(AVERAGE(G221:J221),1))</f>
        <v/>
      </c>
      <c r="L221" s="2" t="n"/>
      <c r="M221" s="2" t="n"/>
      <c r="N221" s="2" t="n"/>
      <c r="O221" s="2" t="n"/>
    </row>
    <row r="222">
      <c r="A222" s="2" t="n"/>
      <c r="B222" s="2" t="n"/>
      <c r="C222" s="2" t="n"/>
      <c r="D222" s="2" t="n"/>
      <c r="E222" s="2" t="n"/>
      <c r="F222" s="2" t="n"/>
      <c r="G222" s="2" t="n"/>
      <c r="H222" s="2" t="n"/>
      <c r="I222" s="2" t="n"/>
      <c r="J222" s="2" t="n"/>
      <c r="K222" s="2">
        <f>IF(COUNTA(G222:J222)&lt;4,"",ROUND(AVERAGE(G222:J222),1))</f>
        <v/>
      </c>
      <c r="L222" s="2" t="n"/>
      <c r="M222" s="2" t="n"/>
      <c r="N222" s="2" t="n"/>
      <c r="O222" s="2" t="n"/>
    </row>
    <row r="223">
      <c r="A223" s="2" t="n"/>
      <c r="B223" s="2" t="n"/>
      <c r="C223" s="2" t="n"/>
      <c r="D223" s="2" t="n"/>
      <c r="E223" s="2" t="n"/>
      <c r="F223" s="2" t="n"/>
      <c r="G223" s="2" t="n"/>
      <c r="H223" s="2" t="n"/>
      <c r="I223" s="2" t="n"/>
      <c r="J223" s="2" t="n"/>
      <c r="K223" s="2">
        <f>IF(COUNTA(G223:J223)&lt;4,"",ROUND(AVERAGE(G223:J223),1))</f>
        <v/>
      </c>
      <c r="L223" s="2" t="n"/>
      <c r="M223" s="2" t="n"/>
      <c r="N223" s="2" t="n"/>
      <c r="O223" s="2" t="n"/>
    </row>
    <row r="224">
      <c r="A224" s="2" t="n"/>
      <c r="B224" s="2" t="n"/>
      <c r="C224" s="2" t="n"/>
      <c r="D224" s="2" t="n"/>
      <c r="E224" s="2" t="n"/>
      <c r="F224" s="2" t="n"/>
      <c r="G224" s="2" t="n"/>
      <c r="H224" s="2" t="n"/>
      <c r="I224" s="2" t="n"/>
      <c r="J224" s="2" t="n"/>
      <c r="K224" s="2">
        <f>IF(COUNTA(G224:J224)&lt;4,"",ROUND(AVERAGE(G224:J224),1))</f>
        <v/>
      </c>
      <c r="L224" s="2" t="n"/>
      <c r="M224" s="2" t="n"/>
      <c r="N224" s="2" t="n"/>
      <c r="O224" s="2" t="n"/>
    </row>
    <row r="225">
      <c r="A225" s="2" t="n"/>
      <c r="B225" s="2" t="n"/>
      <c r="C225" s="2" t="n"/>
      <c r="D225" s="2" t="n"/>
      <c r="E225" s="2" t="n"/>
      <c r="F225" s="2" t="n"/>
      <c r="G225" s="2" t="n"/>
      <c r="H225" s="2" t="n"/>
      <c r="I225" s="2" t="n"/>
      <c r="J225" s="2" t="n"/>
      <c r="K225" s="2">
        <f>IF(COUNTA(G225:J225)&lt;4,"",ROUND(AVERAGE(G225:J225),1))</f>
        <v/>
      </c>
      <c r="L225" s="2" t="n"/>
      <c r="M225" s="2" t="n"/>
      <c r="N225" s="2" t="n"/>
      <c r="O225" s="2" t="n"/>
    </row>
    <row r="226">
      <c r="A226" s="2" t="n"/>
      <c r="B226" s="2" t="n"/>
      <c r="C226" s="2" t="n"/>
      <c r="D226" s="2" t="n"/>
      <c r="E226" s="2" t="n"/>
      <c r="F226" s="2" t="n"/>
      <c r="G226" s="2" t="n"/>
      <c r="H226" s="2" t="n"/>
      <c r="I226" s="2" t="n"/>
      <c r="J226" s="2" t="n"/>
      <c r="K226" s="2">
        <f>IF(COUNTA(G226:J226)&lt;4,"",ROUND(AVERAGE(G226:J226),1))</f>
        <v/>
      </c>
      <c r="L226" s="2" t="n"/>
      <c r="M226" s="2" t="n"/>
      <c r="N226" s="2" t="n"/>
      <c r="O226" s="2" t="n"/>
    </row>
    <row r="227">
      <c r="A227" s="2" t="n"/>
      <c r="B227" s="2" t="n"/>
      <c r="C227" s="2" t="n"/>
      <c r="D227" s="2" t="n"/>
      <c r="E227" s="2" t="n"/>
      <c r="F227" s="2" t="n"/>
      <c r="G227" s="2" t="n"/>
      <c r="H227" s="2" t="n"/>
      <c r="I227" s="2" t="n"/>
      <c r="J227" s="2" t="n"/>
      <c r="K227" s="2">
        <f>IF(COUNTA(G227:J227)&lt;4,"",ROUND(AVERAGE(G227:J227),1))</f>
        <v/>
      </c>
      <c r="L227" s="2" t="n"/>
      <c r="M227" s="2" t="n"/>
      <c r="N227" s="2" t="n"/>
      <c r="O227" s="2" t="n"/>
    </row>
    <row r="228">
      <c r="A228" s="2" t="n"/>
      <c r="B228" s="2" t="n"/>
      <c r="C228" s="2" t="n"/>
      <c r="D228" s="2" t="n"/>
      <c r="E228" s="2" t="n"/>
      <c r="F228" s="2" t="n"/>
      <c r="G228" s="2" t="n"/>
      <c r="H228" s="2" t="n"/>
      <c r="I228" s="2" t="n"/>
      <c r="J228" s="2" t="n"/>
      <c r="K228" s="2">
        <f>IF(COUNTA(G228:J228)&lt;4,"",ROUND(AVERAGE(G228:J228),1))</f>
        <v/>
      </c>
      <c r="L228" s="2" t="n"/>
      <c r="M228" s="2" t="n"/>
      <c r="N228" s="2" t="n"/>
      <c r="O228" s="2" t="n"/>
    </row>
    <row r="229">
      <c r="A229" s="2" t="n"/>
      <c r="B229" s="2" t="n"/>
      <c r="C229" s="2" t="n"/>
      <c r="D229" s="2" t="n"/>
      <c r="E229" s="2" t="n"/>
      <c r="F229" s="2" t="n"/>
      <c r="G229" s="2" t="n"/>
      <c r="H229" s="2" t="n"/>
      <c r="I229" s="2" t="n"/>
      <c r="J229" s="2" t="n"/>
      <c r="K229" s="2">
        <f>IF(COUNTA(G229:J229)&lt;4,"",ROUND(AVERAGE(G229:J229),1))</f>
        <v/>
      </c>
      <c r="L229" s="2" t="n"/>
      <c r="M229" s="2" t="n"/>
      <c r="N229" s="2" t="n"/>
      <c r="O229" s="2" t="n"/>
    </row>
    <row r="230">
      <c r="A230" s="2" t="n"/>
      <c r="B230" s="2" t="n"/>
      <c r="C230" s="2" t="n"/>
      <c r="D230" s="2" t="n"/>
      <c r="E230" s="2" t="n"/>
      <c r="F230" s="2" t="n"/>
      <c r="G230" s="2" t="n"/>
      <c r="H230" s="2" t="n"/>
      <c r="I230" s="2" t="n"/>
      <c r="J230" s="2" t="n"/>
      <c r="K230" s="2">
        <f>IF(COUNTA(G230:J230)&lt;4,"",ROUND(AVERAGE(G230:J230),1))</f>
        <v/>
      </c>
      <c r="L230" s="2" t="n"/>
      <c r="M230" s="2" t="n"/>
      <c r="N230" s="2" t="n"/>
      <c r="O230" s="2" t="n"/>
    </row>
    <row r="231">
      <c r="A231" s="2" t="n"/>
      <c r="B231" s="2" t="n"/>
      <c r="C231" s="2" t="n"/>
      <c r="D231" s="2" t="n"/>
      <c r="E231" s="2" t="n"/>
      <c r="F231" s="2" t="n"/>
      <c r="G231" s="2" t="n"/>
      <c r="H231" s="2" t="n"/>
      <c r="I231" s="2" t="n"/>
      <c r="J231" s="2" t="n"/>
      <c r="K231" s="2">
        <f>IF(COUNTA(G231:J231)&lt;4,"",ROUND(AVERAGE(G231:J231),1))</f>
        <v/>
      </c>
      <c r="L231" s="2" t="n"/>
      <c r="M231" s="2" t="n"/>
      <c r="N231" s="2" t="n"/>
      <c r="O231" s="2" t="n"/>
    </row>
    <row r="232">
      <c r="A232" s="2" t="n"/>
      <c r="B232" s="2" t="n"/>
      <c r="C232" s="2" t="n"/>
      <c r="D232" s="2" t="n"/>
      <c r="E232" s="2" t="n"/>
      <c r="F232" s="2" t="n"/>
      <c r="G232" s="2" t="n"/>
      <c r="H232" s="2" t="n"/>
      <c r="I232" s="2" t="n"/>
      <c r="J232" s="2" t="n"/>
      <c r="K232" s="2">
        <f>IF(COUNTA(G232:J232)&lt;4,"",ROUND(AVERAGE(G232:J232),1))</f>
        <v/>
      </c>
      <c r="L232" s="2" t="n"/>
      <c r="M232" s="2" t="n"/>
      <c r="N232" s="2" t="n"/>
      <c r="O232" s="2" t="n"/>
    </row>
    <row r="233">
      <c r="A233" s="2" t="n"/>
      <c r="B233" s="2" t="n"/>
      <c r="C233" s="2" t="n"/>
      <c r="D233" s="2" t="n"/>
      <c r="E233" s="2" t="n"/>
      <c r="F233" s="2" t="n"/>
      <c r="G233" s="2" t="n"/>
      <c r="H233" s="2" t="n"/>
      <c r="I233" s="2" t="n"/>
      <c r="J233" s="2" t="n"/>
      <c r="K233" s="2">
        <f>IF(COUNTA(G233:J233)&lt;4,"",ROUND(AVERAGE(G233:J233),1))</f>
        <v/>
      </c>
      <c r="L233" s="2" t="n"/>
      <c r="M233" s="2" t="n"/>
      <c r="N233" s="2" t="n"/>
      <c r="O233" s="2" t="n"/>
    </row>
    <row r="234">
      <c r="A234" s="2" t="n"/>
      <c r="B234" s="2" t="n"/>
      <c r="C234" s="2" t="n"/>
      <c r="D234" s="2" t="n"/>
      <c r="E234" s="2" t="n"/>
      <c r="F234" s="2" t="n"/>
      <c r="G234" s="2" t="n"/>
      <c r="H234" s="2" t="n"/>
      <c r="I234" s="2" t="n"/>
      <c r="J234" s="2" t="n"/>
      <c r="K234" s="2">
        <f>IF(COUNTA(G234:J234)&lt;4,"",ROUND(AVERAGE(G234:J234),1))</f>
        <v/>
      </c>
      <c r="L234" s="2" t="n"/>
      <c r="M234" s="2" t="n"/>
      <c r="N234" s="2" t="n"/>
      <c r="O234" s="2" t="n"/>
    </row>
    <row r="235">
      <c r="A235" s="2" t="n"/>
      <c r="B235" s="2" t="n"/>
      <c r="C235" s="2" t="n"/>
      <c r="D235" s="2" t="n"/>
      <c r="E235" s="2" t="n"/>
      <c r="F235" s="2" t="n"/>
      <c r="G235" s="2" t="n"/>
      <c r="H235" s="2" t="n"/>
      <c r="I235" s="2" t="n"/>
      <c r="J235" s="2" t="n"/>
      <c r="K235" s="2">
        <f>IF(COUNTA(G235:J235)&lt;4,"",ROUND(AVERAGE(G235:J235),1))</f>
        <v/>
      </c>
      <c r="L235" s="2" t="n"/>
      <c r="M235" s="2" t="n"/>
      <c r="N235" s="2" t="n"/>
      <c r="O235" s="2" t="n"/>
    </row>
    <row r="236">
      <c r="A236" s="2" t="n"/>
      <c r="B236" s="2" t="n"/>
      <c r="C236" s="2" t="n"/>
      <c r="D236" s="2" t="n"/>
      <c r="E236" s="2" t="n"/>
      <c r="F236" s="2" t="n"/>
      <c r="G236" s="2" t="n"/>
      <c r="H236" s="2" t="n"/>
      <c r="I236" s="2" t="n"/>
      <c r="J236" s="2" t="n"/>
      <c r="K236" s="2">
        <f>IF(COUNTA(G236:J236)&lt;4,"",ROUND(AVERAGE(G236:J236),1))</f>
        <v/>
      </c>
      <c r="L236" s="2" t="n"/>
      <c r="M236" s="2" t="n"/>
      <c r="N236" s="2" t="n"/>
      <c r="O236" s="2" t="n"/>
    </row>
    <row r="237">
      <c r="A237" s="2" t="n"/>
      <c r="B237" s="2" t="n"/>
      <c r="C237" s="2" t="n"/>
      <c r="D237" s="2" t="n"/>
      <c r="E237" s="2" t="n"/>
      <c r="F237" s="2" t="n"/>
      <c r="G237" s="2" t="n"/>
      <c r="H237" s="2" t="n"/>
      <c r="I237" s="2" t="n"/>
      <c r="J237" s="2" t="n"/>
      <c r="K237" s="2">
        <f>IF(COUNTA(G237:J237)&lt;4,"",ROUND(AVERAGE(G237:J237),1))</f>
        <v/>
      </c>
      <c r="L237" s="2" t="n"/>
      <c r="M237" s="2" t="n"/>
      <c r="N237" s="2" t="n"/>
      <c r="O237" s="2" t="n"/>
    </row>
    <row r="238">
      <c r="A238" s="2" t="n"/>
      <c r="B238" s="2" t="n"/>
      <c r="C238" s="2" t="n"/>
      <c r="D238" s="2" t="n"/>
      <c r="E238" s="2" t="n"/>
      <c r="F238" s="2" t="n"/>
      <c r="G238" s="2" t="n"/>
      <c r="H238" s="2" t="n"/>
      <c r="I238" s="2" t="n"/>
      <c r="J238" s="2" t="n"/>
      <c r="K238" s="2">
        <f>IF(COUNTA(G238:J238)&lt;4,"",ROUND(AVERAGE(G238:J238),1))</f>
        <v/>
      </c>
      <c r="L238" s="2" t="n"/>
      <c r="M238" s="2" t="n"/>
      <c r="N238" s="2" t="n"/>
      <c r="O238" s="2" t="n"/>
    </row>
    <row r="239">
      <c r="A239" s="2" t="n"/>
      <c r="B239" s="2" t="n"/>
      <c r="C239" s="2" t="n"/>
      <c r="D239" s="2" t="n"/>
      <c r="E239" s="2" t="n"/>
      <c r="F239" s="2" t="n"/>
      <c r="G239" s="2" t="n"/>
      <c r="H239" s="2" t="n"/>
      <c r="I239" s="2" t="n"/>
      <c r="J239" s="2" t="n"/>
      <c r="K239" s="2">
        <f>IF(COUNTA(G239:J239)&lt;4,"",ROUND(AVERAGE(G239:J239),1))</f>
        <v/>
      </c>
      <c r="L239" s="2" t="n"/>
      <c r="M239" s="2" t="n"/>
      <c r="N239" s="2" t="n"/>
      <c r="O239" s="2" t="n"/>
    </row>
    <row r="240">
      <c r="A240" s="2" t="n"/>
      <c r="B240" s="2" t="n"/>
      <c r="C240" s="2" t="n"/>
      <c r="D240" s="2" t="n"/>
      <c r="E240" s="2" t="n"/>
      <c r="F240" s="2" t="n"/>
      <c r="G240" s="2" t="n"/>
      <c r="H240" s="2" t="n"/>
      <c r="I240" s="2" t="n"/>
      <c r="J240" s="2" t="n"/>
      <c r="K240" s="2">
        <f>IF(COUNTA(G240:J240)&lt;4,"",ROUND(AVERAGE(G240:J240),1))</f>
        <v/>
      </c>
      <c r="L240" s="2" t="n"/>
      <c r="M240" s="2" t="n"/>
      <c r="N240" s="2" t="n"/>
      <c r="O240" s="2" t="n"/>
    </row>
    <row r="241">
      <c r="A241" s="2" t="n"/>
      <c r="B241" s="2" t="n"/>
      <c r="C241" s="2" t="n"/>
      <c r="D241" s="2" t="n"/>
      <c r="E241" s="2" t="n"/>
      <c r="F241" s="2" t="n"/>
      <c r="G241" s="2" t="n"/>
      <c r="H241" s="2" t="n"/>
      <c r="I241" s="2" t="n"/>
      <c r="J241" s="2" t="n"/>
      <c r="K241" s="2">
        <f>IF(COUNTA(G241:J241)&lt;4,"",ROUND(AVERAGE(G241:J241),1))</f>
        <v/>
      </c>
      <c r="L241" s="2" t="n"/>
      <c r="M241" s="2" t="n"/>
      <c r="N241" s="2" t="n"/>
      <c r="O241" s="2" t="n"/>
    </row>
    <row r="242">
      <c r="A242" s="2" t="n"/>
      <c r="B242" s="2" t="n"/>
      <c r="C242" s="2" t="n"/>
      <c r="D242" s="2" t="n"/>
      <c r="E242" s="2" t="n"/>
      <c r="F242" s="2" t="n"/>
      <c r="G242" s="2" t="n"/>
      <c r="H242" s="2" t="n"/>
      <c r="I242" s="2" t="n"/>
      <c r="J242" s="2" t="n"/>
      <c r="K242" s="2">
        <f>IF(COUNTA(G242:J242)&lt;4,"",ROUND(AVERAGE(G242:J242),1))</f>
        <v/>
      </c>
      <c r="L242" s="2" t="n"/>
      <c r="M242" s="2" t="n"/>
      <c r="N242" s="2" t="n"/>
      <c r="O242" s="2" t="n"/>
    </row>
    <row r="243">
      <c r="A243" s="2" t="n"/>
      <c r="B243" s="2" t="n"/>
      <c r="C243" s="2" t="n"/>
      <c r="D243" s="2" t="n"/>
      <c r="E243" s="2" t="n"/>
      <c r="F243" s="2" t="n"/>
      <c r="G243" s="2" t="n"/>
      <c r="H243" s="2" t="n"/>
      <c r="I243" s="2" t="n"/>
      <c r="J243" s="2" t="n"/>
      <c r="K243" s="2">
        <f>IF(COUNTA(G243:J243)&lt;4,"",ROUND(AVERAGE(G243:J243),1))</f>
        <v/>
      </c>
      <c r="L243" s="2" t="n"/>
      <c r="M243" s="2" t="n"/>
      <c r="N243" s="2" t="n"/>
      <c r="O243" s="2" t="n"/>
    </row>
    <row r="244">
      <c r="A244" s="2" t="n"/>
      <c r="B244" s="2" t="n"/>
      <c r="C244" s="2" t="n"/>
      <c r="D244" s="2" t="n"/>
      <c r="E244" s="2" t="n"/>
      <c r="F244" s="2" t="n"/>
      <c r="G244" s="2" t="n"/>
      <c r="H244" s="2" t="n"/>
      <c r="I244" s="2" t="n"/>
      <c r="J244" s="2" t="n"/>
      <c r="K244" s="2">
        <f>IF(COUNTA(G244:J244)&lt;4,"",ROUND(AVERAGE(G244:J244),1))</f>
        <v/>
      </c>
      <c r="L244" s="2" t="n"/>
      <c r="M244" s="2" t="n"/>
      <c r="N244" s="2" t="n"/>
      <c r="O244" s="2" t="n"/>
    </row>
    <row r="245">
      <c r="A245" s="2" t="n"/>
      <c r="B245" s="2" t="n"/>
      <c r="C245" s="2" t="n"/>
      <c r="D245" s="2" t="n"/>
      <c r="E245" s="2" t="n"/>
      <c r="F245" s="2" t="n"/>
      <c r="G245" s="2" t="n"/>
      <c r="H245" s="2" t="n"/>
      <c r="I245" s="2" t="n"/>
      <c r="J245" s="2" t="n"/>
      <c r="K245" s="2">
        <f>IF(COUNTA(G245:J245)&lt;4,"",ROUND(AVERAGE(G245:J245),1))</f>
        <v/>
      </c>
      <c r="L245" s="2" t="n"/>
      <c r="M245" s="2" t="n"/>
      <c r="N245" s="2" t="n"/>
      <c r="O245" s="2" t="n"/>
    </row>
    <row r="246">
      <c r="A246" s="2" t="n"/>
      <c r="B246" s="2" t="n"/>
      <c r="C246" s="2" t="n"/>
      <c r="D246" s="2" t="n"/>
      <c r="E246" s="2" t="n"/>
      <c r="F246" s="2" t="n"/>
      <c r="G246" s="2" t="n"/>
      <c r="H246" s="2" t="n"/>
      <c r="I246" s="2" t="n"/>
      <c r="J246" s="2" t="n"/>
      <c r="K246" s="2">
        <f>IF(COUNTA(G246:J246)&lt;4,"",ROUND(AVERAGE(G246:J246),1))</f>
        <v/>
      </c>
      <c r="L246" s="2" t="n"/>
      <c r="M246" s="2" t="n"/>
      <c r="N246" s="2" t="n"/>
      <c r="O246" s="2" t="n"/>
    </row>
    <row r="247">
      <c r="A247" s="2" t="n"/>
      <c r="B247" s="2" t="n"/>
      <c r="C247" s="2" t="n"/>
      <c r="D247" s="2" t="n"/>
      <c r="E247" s="2" t="n"/>
      <c r="F247" s="2" t="n"/>
      <c r="G247" s="2" t="n"/>
      <c r="H247" s="2" t="n"/>
      <c r="I247" s="2" t="n"/>
      <c r="J247" s="2" t="n"/>
      <c r="K247" s="2">
        <f>IF(COUNTA(G247:J247)&lt;4,"",ROUND(AVERAGE(G247:J247),1))</f>
        <v/>
      </c>
      <c r="L247" s="2" t="n"/>
      <c r="M247" s="2" t="n"/>
      <c r="N247" s="2" t="n"/>
      <c r="O247" s="2" t="n"/>
    </row>
    <row r="248">
      <c r="A248" s="2" t="n"/>
      <c r="B248" s="2" t="n"/>
      <c r="C248" s="2" t="n"/>
      <c r="D248" s="2" t="n"/>
      <c r="E248" s="2" t="n"/>
      <c r="F248" s="2" t="n"/>
      <c r="G248" s="2" t="n"/>
      <c r="H248" s="2" t="n"/>
      <c r="I248" s="2" t="n"/>
      <c r="J248" s="2" t="n"/>
      <c r="K248" s="2">
        <f>IF(COUNTA(G248:J248)&lt;4,"",ROUND(AVERAGE(G248:J248),1))</f>
        <v/>
      </c>
      <c r="L248" s="2" t="n"/>
      <c r="M248" s="2" t="n"/>
      <c r="N248" s="2" t="n"/>
      <c r="O248" s="2" t="n"/>
    </row>
    <row r="249">
      <c r="A249" s="2" t="n"/>
      <c r="B249" s="2" t="n"/>
      <c r="C249" s="2" t="n"/>
      <c r="D249" s="2" t="n"/>
      <c r="E249" s="2" t="n"/>
      <c r="F249" s="2" t="n"/>
      <c r="G249" s="2" t="n"/>
      <c r="H249" s="2" t="n"/>
      <c r="I249" s="2" t="n"/>
      <c r="J249" s="2" t="n"/>
      <c r="K249" s="2">
        <f>IF(COUNTA(G249:J249)&lt;4,"",ROUND(AVERAGE(G249:J249),1))</f>
        <v/>
      </c>
      <c r="L249" s="2" t="n"/>
      <c r="M249" s="2" t="n"/>
      <c r="N249" s="2" t="n"/>
      <c r="O249" s="2" t="n"/>
    </row>
    <row r="250">
      <c r="A250" s="2" t="n"/>
      <c r="B250" s="2" t="n"/>
      <c r="C250" s="2" t="n"/>
      <c r="D250" s="2" t="n"/>
      <c r="E250" s="2" t="n"/>
      <c r="F250" s="2" t="n"/>
      <c r="G250" s="2" t="n"/>
      <c r="H250" s="2" t="n"/>
      <c r="I250" s="2" t="n"/>
      <c r="J250" s="2" t="n"/>
      <c r="K250" s="2">
        <f>IF(COUNTA(G250:J250)&lt;4,"",ROUND(AVERAGE(G250:J250),1))</f>
        <v/>
      </c>
      <c r="L250" s="2" t="n"/>
      <c r="M250" s="2" t="n"/>
      <c r="N250" s="2" t="n"/>
      <c r="O250" s="2" t="n"/>
    </row>
    <row r="251">
      <c r="A251" s="2" t="n"/>
      <c r="B251" s="2" t="n"/>
      <c r="C251" s="2" t="n"/>
      <c r="D251" s="2" t="n"/>
      <c r="E251" s="2" t="n"/>
      <c r="F251" s="2" t="n"/>
      <c r="G251" s="2" t="n"/>
      <c r="H251" s="2" t="n"/>
      <c r="I251" s="2" t="n"/>
      <c r="J251" s="2" t="n"/>
      <c r="K251" s="2">
        <f>IF(COUNTA(G251:J251)&lt;4,"",ROUND(AVERAGE(G251:J251),1))</f>
        <v/>
      </c>
      <c r="L251" s="2" t="n"/>
      <c r="M251" s="2" t="n"/>
      <c r="N251" s="2" t="n"/>
      <c r="O251" s="2" t="n"/>
    </row>
    <row r="252">
      <c r="A252" s="2" t="n"/>
      <c r="B252" s="2" t="n"/>
      <c r="C252" s="2" t="n"/>
      <c r="D252" s="2" t="n"/>
      <c r="E252" s="2" t="n"/>
      <c r="F252" s="2" t="n"/>
      <c r="G252" s="2" t="n"/>
      <c r="H252" s="2" t="n"/>
      <c r="I252" s="2" t="n"/>
      <c r="J252" s="2" t="n"/>
      <c r="K252" s="2">
        <f>IF(COUNTA(G252:J252)&lt;4,"",ROUND(AVERAGE(G252:J252),1))</f>
        <v/>
      </c>
      <c r="L252" s="2" t="n"/>
      <c r="M252" s="2" t="n"/>
      <c r="N252" s="2" t="n"/>
      <c r="O252" s="2" t="n"/>
    </row>
    <row r="253">
      <c r="A253" s="2" t="n"/>
      <c r="B253" s="2" t="n"/>
      <c r="C253" s="2" t="n"/>
      <c r="D253" s="2" t="n"/>
      <c r="E253" s="2" t="n"/>
      <c r="F253" s="2" t="n"/>
      <c r="G253" s="2" t="n"/>
      <c r="H253" s="2" t="n"/>
      <c r="I253" s="2" t="n"/>
      <c r="J253" s="2" t="n"/>
      <c r="K253" s="2">
        <f>IF(COUNTA(G253:J253)&lt;4,"",ROUND(AVERAGE(G253:J253),1))</f>
        <v/>
      </c>
      <c r="L253" s="2" t="n"/>
      <c r="M253" s="2" t="n"/>
      <c r="N253" s="2" t="n"/>
      <c r="O253" s="2" t="n"/>
    </row>
    <row r="254">
      <c r="A254" s="2" t="n"/>
      <c r="B254" s="2" t="n"/>
      <c r="C254" s="2" t="n"/>
      <c r="D254" s="2" t="n"/>
      <c r="E254" s="2" t="n"/>
      <c r="F254" s="2" t="n"/>
      <c r="G254" s="2" t="n"/>
      <c r="H254" s="2" t="n"/>
      <c r="I254" s="2" t="n"/>
      <c r="J254" s="2" t="n"/>
      <c r="K254" s="2">
        <f>IF(COUNTA(G254:J254)&lt;4,"",ROUND(AVERAGE(G254:J254),1))</f>
        <v/>
      </c>
      <c r="L254" s="2" t="n"/>
      <c r="M254" s="2" t="n"/>
      <c r="N254" s="2" t="n"/>
      <c r="O254" s="2" t="n"/>
    </row>
    <row r="255">
      <c r="A255" s="2" t="n"/>
      <c r="B255" s="2" t="n"/>
      <c r="C255" s="2" t="n"/>
      <c r="D255" s="2" t="n"/>
      <c r="E255" s="2" t="n"/>
      <c r="F255" s="2" t="n"/>
      <c r="G255" s="2" t="n"/>
      <c r="H255" s="2" t="n"/>
      <c r="I255" s="2" t="n"/>
      <c r="J255" s="2" t="n"/>
      <c r="K255" s="2">
        <f>IF(COUNTA(G255:J255)&lt;4,"",ROUND(AVERAGE(G255:J255),1))</f>
        <v/>
      </c>
      <c r="L255" s="2" t="n"/>
      <c r="M255" s="2" t="n"/>
      <c r="N255" s="2" t="n"/>
      <c r="O255" s="2" t="n"/>
    </row>
    <row r="256">
      <c r="A256" s="2" t="n"/>
      <c r="B256" s="2" t="n"/>
      <c r="C256" s="2" t="n"/>
      <c r="D256" s="2" t="n"/>
      <c r="E256" s="2" t="n"/>
      <c r="F256" s="2" t="n"/>
      <c r="G256" s="2" t="n"/>
      <c r="H256" s="2" t="n"/>
      <c r="I256" s="2" t="n"/>
      <c r="J256" s="2" t="n"/>
      <c r="K256" s="2">
        <f>IF(COUNTA(G256:J256)&lt;4,"",ROUND(AVERAGE(G256:J256),1))</f>
        <v/>
      </c>
      <c r="L256" s="2" t="n"/>
      <c r="M256" s="2" t="n"/>
      <c r="N256" s="2" t="n"/>
      <c r="O256" s="2" t="n"/>
    </row>
    <row r="257">
      <c r="A257" s="2" t="n"/>
      <c r="B257" s="2" t="n"/>
      <c r="C257" s="2" t="n"/>
      <c r="D257" s="2" t="n"/>
      <c r="E257" s="2" t="n"/>
      <c r="F257" s="2" t="n"/>
      <c r="G257" s="2" t="n"/>
      <c r="H257" s="2" t="n"/>
      <c r="I257" s="2" t="n"/>
      <c r="J257" s="2" t="n"/>
      <c r="K257" s="2">
        <f>IF(COUNTA(G257:J257)&lt;4,"",ROUND(AVERAGE(G257:J257),1))</f>
        <v/>
      </c>
      <c r="L257" s="2" t="n"/>
      <c r="M257" s="2" t="n"/>
      <c r="N257" s="2" t="n"/>
      <c r="O257" s="2" t="n"/>
    </row>
    <row r="258">
      <c r="A258" s="2" t="n"/>
      <c r="B258" s="2" t="n"/>
      <c r="C258" s="2" t="n"/>
      <c r="D258" s="2" t="n"/>
      <c r="E258" s="2" t="n"/>
      <c r="F258" s="2" t="n"/>
      <c r="G258" s="2" t="n"/>
      <c r="H258" s="2" t="n"/>
      <c r="I258" s="2" t="n"/>
      <c r="J258" s="2" t="n"/>
      <c r="K258" s="2">
        <f>IF(COUNTA(G258:J258)&lt;4,"",ROUND(AVERAGE(G258:J258),1))</f>
        <v/>
      </c>
      <c r="L258" s="2" t="n"/>
      <c r="M258" s="2" t="n"/>
      <c r="N258" s="2" t="n"/>
      <c r="O258" s="2" t="n"/>
    </row>
    <row r="259">
      <c r="A259" s="2" t="n"/>
      <c r="B259" s="2" t="n"/>
      <c r="C259" s="2" t="n"/>
      <c r="D259" s="2" t="n"/>
      <c r="E259" s="2" t="n"/>
      <c r="F259" s="2" t="n"/>
      <c r="G259" s="2" t="n"/>
      <c r="H259" s="2" t="n"/>
      <c r="I259" s="2" t="n"/>
      <c r="J259" s="2" t="n"/>
      <c r="K259" s="2">
        <f>IF(COUNTA(G259:J259)&lt;4,"",ROUND(AVERAGE(G259:J259),1))</f>
        <v/>
      </c>
      <c r="L259" s="2" t="n"/>
      <c r="M259" s="2" t="n"/>
      <c r="N259" s="2" t="n"/>
      <c r="O259" s="2" t="n"/>
    </row>
    <row r="260">
      <c r="A260" s="2" t="n"/>
      <c r="B260" s="2" t="n"/>
      <c r="C260" s="2" t="n"/>
      <c r="D260" s="2" t="n"/>
      <c r="E260" s="2" t="n"/>
      <c r="F260" s="2" t="n"/>
      <c r="G260" s="2" t="n"/>
      <c r="H260" s="2" t="n"/>
      <c r="I260" s="2" t="n"/>
      <c r="J260" s="2" t="n"/>
      <c r="K260" s="2">
        <f>IF(COUNTA(G260:J260)&lt;4,"",ROUND(AVERAGE(G260:J260),1))</f>
        <v/>
      </c>
      <c r="L260" s="2" t="n"/>
      <c r="M260" s="2" t="n"/>
      <c r="N260" s="2" t="n"/>
      <c r="O260" s="2" t="n"/>
    </row>
    <row r="261">
      <c r="A261" s="2" t="n"/>
      <c r="B261" s="2" t="n"/>
      <c r="C261" s="2" t="n"/>
      <c r="D261" s="2" t="n"/>
      <c r="E261" s="2" t="n"/>
      <c r="F261" s="2" t="n"/>
      <c r="G261" s="2" t="n"/>
      <c r="H261" s="2" t="n"/>
      <c r="I261" s="2" t="n"/>
      <c r="J261" s="2" t="n"/>
      <c r="K261" s="2">
        <f>IF(COUNTA(G261:J261)&lt;4,"",ROUND(AVERAGE(G261:J261),1))</f>
        <v/>
      </c>
      <c r="L261" s="2" t="n"/>
      <c r="M261" s="2" t="n"/>
      <c r="N261" s="2" t="n"/>
      <c r="O261" s="2" t="n"/>
    </row>
    <row r="262">
      <c r="A262" s="2" t="n"/>
      <c r="B262" s="2" t="n"/>
      <c r="C262" s="2" t="n"/>
      <c r="D262" s="2" t="n"/>
      <c r="E262" s="2" t="n"/>
      <c r="F262" s="2" t="n"/>
      <c r="G262" s="2" t="n"/>
      <c r="H262" s="2" t="n"/>
      <c r="I262" s="2" t="n"/>
      <c r="J262" s="2" t="n"/>
      <c r="K262" s="2">
        <f>IF(COUNTA(G262:J262)&lt;4,"",ROUND(AVERAGE(G262:J262),1))</f>
        <v/>
      </c>
      <c r="L262" s="2" t="n"/>
      <c r="M262" s="2" t="n"/>
      <c r="N262" s="2" t="n"/>
      <c r="O262" s="2" t="n"/>
    </row>
    <row r="263">
      <c r="A263" s="2" t="n"/>
      <c r="B263" s="2" t="n"/>
      <c r="C263" s="2" t="n"/>
      <c r="D263" s="2" t="n"/>
      <c r="E263" s="2" t="n"/>
      <c r="F263" s="2" t="n"/>
      <c r="G263" s="2" t="n"/>
      <c r="H263" s="2" t="n"/>
      <c r="I263" s="2" t="n"/>
      <c r="J263" s="2" t="n"/>
      <c r="K263" s="2">
        <f>IF(COUNTA(G263:J263)&lt;4,"",ROUND(AVERAGE(G263:J263),1))</f>
        <v/>
      </c>
      <c r="L263" s="2" t="n"/>
      <c r="M263" s="2" t="n"/>
      <c r="N263" s="2" t="n"/>
      <c r="O263" s="2" t="n"/>
    </row>
    <row r="264">
      <c r="A264" s="2" t="n"/>
      <c r="B264" s="2" t="n"/>
      <c r="C264" s="2" t="n"/>
      <c r="D264" s="2" t="n"/>
      <c r="E264" s="2" t="n"/>
      <c r="F264" s="2" t="n"/>
      <c r="G264" s="2" t="n"/>
      <c r="H264" s="2" t="n"/>
      <c r="I264" s="2" t="n"/>
      <c r="J264" s="2" t="n"/>
      <c r="K264" s="2">
        <f>IF(COUNTA(G264:J264)&lt;4,"",ROUND(AVERAGE(G264:J264),1))</f>
        <v/>
      </c>
      <c r="L264" s="2" t="n"/>
      <c r="M264" s="2" t="n"/>
      <c r="N264" s="2" t="n"/>
      <c r="O264" s="2" t="n"/>
    </row>
    <row r="265">
      <c r="A265" s="2" t="n"/>
      <c r="B265" s="2" t="n"/>
      <c r="C265" s="2" t="n"/>
      <c r="D265" s="2" t="n"/>
      <c r="E265" s="2" t="n"/>
      <c r="F265" s="2" t="n"/>
      <c r="G265" s="2" t="n"/>
      <c r="H265" s="2" t="n"/>
      <c r="I265" s="2" t="n"/>
      <c r="J265" s="2" t="n"/>
      <c r="K265" s="2">
        <f>IF(COUNTA(G265:J265)&lt;4,"",ROUND(AVERAGE(G265:J265),1))</f>
        <v/>
      </c>
      <c r="L265" s="2" t="n"/>
      <c r="M265" s="2" t="n"/>
      <c r="N265" s="2" t="n"/>
      <c r="O265" s="2" t="n"/>
    </row>
    <row r="266">
      <c r="A266" s="2" t="n"/>
      <c r="B266" s="2" t="n"/>
      <c r="C266" s="2" t="n"/>
      <c r="D266" s="2" t="n"/>
      <c r="E266" s="2" t="n"/>
      <c r="F266" s="2" t="n"/>
      <c r="G266" s="2" t="n"/>
      <c r="H266" s="2" t="n"/>
      <c r="I266" s="2" t="n"/>
      <c r="J266" s="2" t="n"/>
      <c r="K266" s="2">
        <f>IF(COUNTA(G266:J266)&lt;4,"",ROUND(AVERAGE(G266:J266),1))</f>
        <v/>
      </c>
      <c r="L266" s="2" t="n"/>
      <c r="M266" s="2" t="n"/>
      <c r="N266" s="2" t="n"/>
      <c r="O266" s="2" t="n"/>
    </row>
    <row r="267">
      <c r="A267" s="2" t="n"/>
      <c r="B267" s="2" t="n"/>
      <c r="C267" s="2" t="n"/>
      <c r="D267" s="2" t="n"/>
      <c r="E267" s="2" t="n"/>
      <c r="F267" s="2" t="n"/>
      <c r="G267" s="2" t="n"/>
      <c r="H267" s="2" t="n"/>
      <c r="I267" s="2" t="n"/>
      <c r="J267" s="2" t="n"/>
      <c r="K267" s="2">
        <f>IF(COUNTA(G267:J267)&lt;4,"",ROUND(AVERAGE(G267:J267),1))</f>
        <v/>
      </c>
      <c r="L267" s="2" t="n"/>
      <c r="M267" s="2" t="n"/>
      <c r="N267" s="2" t="n"/>
      <c r="O267" s="2" t="n"/>
    </row>
    <row r="268">
      <c r="A268" s="2" t="n"/>
      <c r="B268" s="2" t="n"/>
      <c r="C268" s="2" t="n"/>
      <c r="D268" s="2" t="n"/>
      <c r="E268" s="2" t="n"/>
      <c r="F268" s="2" t="n"/>
      <c r="G268" s="2" t="n"/>
      <c r="H268" s="2" t="n"/>
      <c r="I268" s="2" t="n"/>
      <c r="J268" s="2" t="n"/>
      <c r="K268" s="2">
        <f>IF(COUNTA(G268:J268)&lt;4,"",ROUND(AVERAGE(G268:J268),1))</f>
        <v/>
      </c>
      <c r="L268" s="2" t="n"/>
      <c r="M268" s="2" t="n"/>
      <c r="N268" s="2" t="n"/>
      <c r="O268" s="2" t="n"/>
    </row>
    <row r="269">
      <c r="A269" s="2" t="n"/>
      <c r="B269" s="2" t="n"/>
      <c r="C269" s="2" t="n"/>
      <c r="D269" s="2" t="n"/>
      <c r="E269" s="2" t="n"/>
      <c r="F269" s="2" t="n"/>
      <c r="G269" s="2" t="n"/>
      <c r="H269" s="2" t="n"/>
      <c r="I269" s="2" t="n"/>
      <c r="J269" s="2" t="n"/>
      <c r="K269" s="2">
        <f>IF(COUNTA(G269:J269)&lt;4,"",ROUND(AVERAGE(G269:J269),1))</f>
        <v/>
      </c>
      <c r="L269" s="2" t="n"/>
      <c r="M269" s="2" t="n"/>
      <c r="N269" s="2" t="n"/>
      <c r="O269" s="2" t="n"/>
    </row>
    <row r="270">
      <c r="A270" s="2" t="n"/>
      <c r="B270" s="2" t="n"/>
      <c r="C270" s="2" t="n"/>
      <c r="D270" s="2" t="n"/>
      <c r="E270" s="2" t="n"/>
      <c r="F270" s="2" t="n"/>
      <c r="G270" s="2" t="n"/>
      <c r="H270" s="2" t="n"/>
      <c r="I270" s="2" t="n"/>
      <c r="J270" s="2" t="n"/>
      <c r="K270" s="2">
        <f>IF(COUNTA(G270:J270)&lt;4,"",ROUND(AVERAGE(G270:J270),1))</f>
        <v/>
      </c>
      <c r="L270" s="2" t="n"/>
      <c r="M270" s="2" t="n"/>
      <c r="N270" s="2" t="n"/>
      <c r="O270" s="2" t="n"/>
    </row>
    <row r="271">
      <c r="A271" s="2" t="n"/>
      <c r="B271" s="2" t="n"/>
      <c r="C271" s="2" t="n"/>
      <c r="D271" s="2" t="n"/>
      <c r="E271" s="2" t="n"/>
      <c r="F271" s="2" t="n"/>
      <c r="G271" s="2" t="n"/>
      <c r="H271" s="2" t="n"/>
      <c r="I271" s="2" t="n"/>
      <c r="J271" s="2" t="n"/>
      <c r="K271" s="2">
        <f>IF(COUNTA(G271:J271)&lt;4,"",ROUND(AVERAGE(G271:J271),1))</f>
        <v/>
      </c>
      <c r="L271" s="2" t="n"/>
      <c r="M271" s="2" t="n"/>
      <c r="N271" s="2" t="n"/>
      <c r="O271" s="2" t="n"/>
    </row>
    <row r="272">
      <c r="A272" s="2" t="n"/>
      <c r="B272" s="2" t="n"/>
      <c r="C272" s="2" t="n"/>
      <c r="D272" s="2" t="n"/>
      <c r="E272" s="2" t="n"/>
      <c r="F272" s="2" t="n"/>
      <c r="G272" s="2" t="n"/>
      <c r="H272" s="2" t="n"/>
      <c r="I272" s="2" t="n"/>
      <c r="J272" s="2" t="n"/>
      <c r="K272" s="2">
        <f>IF(COUNTA(G272:J272)&lt;4,"",ROUND(AVERAGE(G272:J272),1))</f>
        <v/>
      </c>
      <c r="L272" s="2" t="n"/>
      <c r="M272" s="2" t="n"/>
      <c r="N272" s="2" t="n"/>
      <c r="O272" s="2" t="n"/>
    </row>
    <row r="273">
      <c r="A273" s="2" t="n"/>
      <c r="B273" s="2" t="n"/>
      <c r="C273" s="2" t="n"/>
      <c r="D273" s="2" t="n"/>
      <c r="E273" s="2" t="n"/>
      <c r="F273" s="2" t="n"/>
      <c r="G273" s="2" t="n"/>
      <c r="H273" s="2" t="n"/>
      <c r="I273" s="2" t="n"/>
      <c r="J273" s="2" t="n"/>
      <c r="K273" s="2">
        <f>IF(COUNTA(G273:J273)&lt;4,"",ROUND(AVERAGE(G273:J273),1))</f>
        <v/>
      </c>
      <c r="L273" s="2" t="n"/>
      <c r="M273" s="2" t="n"/>
      <c r="N273" s="2" t="n"/>
      <c r="O273" s="2" t="n"/>
    </row>
    <row r="274">
      <c r="A274" s="2" t="n"/>
      <c r="B274" s="2" t="n"/>
      <c r="C274" s="2" t="n"/>
      <c r="D274" s="2" t="n"/>
      <c r="E274" s="2" t="n"/>
      <c r="F274" s="2" t="n"/>
      <c r="G274" s="2" t="n"/>
      <c r="H274" s="2" t="n"/>
      <c r="I274" s="2" t="n"/>
      <c r="J274" s="2" t="n"/>
      <c r="K274" s="2">
        <f>IF(COUNTA(G274:J274)&lt;4,"",ROUND(AVERAGE(G274:J274),1))</f>
        <v/>
      </c>
      <c r="L274" s="2" t="n"/>
      <c r="M274" s="2" t="n"/>
      <c r="N274" s="2" t="n"/>
      <c r="O274" s="2" t="n"/>
    </row>
    <row r="275">
      <c r="A275" s="2" t="n"/>
      <c r="B275" s="2" t="n"/>
      <c r="C275" s="2" t="n"/>
      <c r="D275" s="2" t="n"/>
      <c r="E275" s="2" t="n"/>
      <c r="F275" s="2" t="n"/>
      <c r="G275" s="2" t="n"/>
      <c r="H275" s="2" t="n"/>
      <c r="I275" s="2" t="n"/>
      <c r="J275" s="2" t="n"/>
      <c r="K275" s="2">
        <f>IF(COUNTA(G275:J275)&lt;4,"",ROUND(AVERAGE(G275:J275),1))</f>
        <v/>
      </c>
      <c r="L275" s="2" t="n"/>
      <c r="M275" s="2" t="n"/>
      <c r="N275" s="2" t="n"/>
      <c r="O275" s="2" t="n"/>
    </row>
    <row r="276">
      <c r="A276" s="2" t="n"/>
      <c r="B276" s="2" t="n"/>
      <c r="C276" s="2" t="n"/>
      <c r="D276" s="2" t="n"/>
      <c r="E276" s="2" t="n"/>
      <c r="F276" s="2" t="n"/>
      <c r="G276" s="2" t="n"/>
      <c r="H276" s="2" t="n"/>
      <c r="I276" s="2" t="n"/>
      <c r="J276" s="2" t="n"/>
      <c r="K276" s="2">
        <f>IF(COUNTA(G276:J276)&lt;4,"",ROUND(AVERAGE(G276:J276),1))</f>
        <v/>
      </c>
      <c r="L276" s="2" t="n"/>
      <c r="M276" s="2" t="n"/>
      <c r="N276" s="2" t="n"/>
      <c r="O276" s="2" t="n"/>
    </row>
    <row r="277">
      <c r="A277" s="2" t="n"/>
      <c r="B277" s="2" t="n"/>
      <c r="C277" s="2" t="n"/>
      <c r="D277" s="2" t="n"/>
      <c r="E277" s="2" t="n"/>
      <c r="F277" s="2" t="n"/>
      <c r="G277" s="2" t="n"/>
      <c r="H277" s="2" t="n"/>
      <c r="I277" s="2" t="n"/>
      <c r="J277" s="2" t="n"/>
      <c r="K277" s="2">
        <f>IF(COUNTA(G277:J277)&lt;4,"",ROUND(AVERAGE(G277:J277),1))</f>
        <v/>
      </c>
      <c r="L277" s="2" t="n"/>
      <c r="M277" s="2" t="n"/>
      <c r="N277" s="2" t="n"/>
      <c r="O277" s="2" t="n"/>
    </row>
    <row r="278">
      <c r="A278" s="2" t="n"/>
      <c r="B278" s="2" t="n"/>
      <c r="C278" s="2" t="n"/>
      <c r="D278" s="2" t="n"/>
      <c r="E278" s="2" t="n"/>
      <c r="F278" s="2" t="n"/>
      <c r="G278" s="2" t="n"/>
      <c r="H278" s="2" t="n"/>
      <c r="I278" s="2" t="n"/>
      <c r="J278" s="2" t="n"/>
      <c r="K278" s="2">
        <f>IF(COUNTA(G278:J278)&lt;4,"",ROUND(AVERAGE(G278:J278),1))</f>
        <v/>
      </c>
      <c r="L278" s="2" t="n"/>
      <c r="M278" s="2" t="n"/>
      <c r="N278" s="2" t="n"/>
      <c r="O278" s="2" t="n"/>
    </row>
    <row r="279">
      <c r="A279" s="2" t="n"/>
      <c r="B279" s="2" t="n"/>
      <c r="C279" s="2" t="n"/>
      <c r="D279" s="2" t="n"/>
      <c r="E279" s="2" t="n"/>
      <c r="F279" s="2" t="n"/>
      <c r="G279" s="2" t="n"/>
      <c r="H279" s="2" t="n"/>
      <c r="I279" s="2" t="n"/>
      <c r="J279" s="2" t="n"/>
      <c r="K279" s="2">
        <f>IF(COUNTA(G279:J279)&lt;4,"",ROUND(AVERAGE(G279:J279),1))</f>
        <v/>
      </c>
      <c r="L279" s="2" t="n"/>
      <c r="M279" s="2" t="n"/>
      <c r="N279" s="2" t="n"/>
      <c r="O279" s="2" t="n"/>
    </row>
    <row r="280">
      <c r="A280" s="2" t="n"/>
      <c r="B280" s="2" t="n"/>
      <c r="C280" s="2" t="n"/>
      <c r="D280" s="2" t="n"/>
      <c r="E280" s="2" t="n"/>
      <c r="F280" s="2" t="n"/>
      <c r="G280" s="2" t="n"/>
      <c r="H280" s="2" t="n"/>
      <c r="I280" s="2" t="n"/>
      <c r="J280" s="2" t="n"/>
      <c r="K280" s="2">
        <f>IF(COUNTA(G280:J280)&lt;4,"",ROUND(AVERAGE(G280:J280),1))</f>
        <v/>
      </c>
      <c r="L280" s="2" t="n"/>
      <c r="M280" s="2" t="n"/>
      <c r="N280" s="2" t="n"/>
      <c r="O280" s="2" t="n"/>
    </row>
    <row r="281">
      <c r="A281" s="2" t="n"/>
      <c r="B281" s="2" t="n"/>
      <c r="C281" s="2" t="n"/>
      <c r="D281" s="2" t="n"/>
      <c r="E281" s="2" t="n"/>
      <c r="F281" s="2" t="n"/>
      <c r="G281" s="2" t="n"/>
      <c r="H281" s="2" t="n"/>
      <c r="I281" s="2" t="n"/>
      <c r="J281" s="2" t="n"/>
      <c r="K281" s="2">
        <f>IF(COUNTA(G281:J281)&lt;4,"",ROUND(AVERAGE(G281:J281),1))</f>
        <v/>
      </c>
      <c r="L281" s="2" t="n"/>
      <c r="M281" s="2" t="n"/>
      <c r="N281" s="2" t="n"/>
      <c r="O281" s="2" t="n"/>
    </row>
    <row r="282">
      <c r="A282" s="2" t="n"/>
      <c r="B282" s="2" t="n"/>
      <c r="C282" s="2" t="n"/>
      <c r="D282" s="2" t="n"/>
      <c r="E282" s="2" t="n"/>
      <c r="F282" s="2" t="n"/>
      <c r="G282" s="2" t="n"/>
      <c r="H282" s="2" t="n"/>
      <c r="I282" s="2" t="n"/>
      <c r="J282" s="2" t="n"/>
      <c r="K282" s="2">
        <f>IF(COUNTA(G282:J282)&lt;4,"",ROUND(AVERAGE(G282:J282),1))</f>
        <v/>
      </c>
      <c r="L282" s="2" t="n"/>
      <c r="M282" s="2" t="n"/>
      <c r="N282" s="2" t="n"/>
      <c r="O282" s="2" t="n"/>
    </row>
    <row r="283">
      <c r="A283" s="2" t="n"/>
      <c r="B283" s="2" t="n"/>
      <c r="C283" s="2" t="n"/>
      <c r="D283" s="2" t="n"/>
      <c r="E283" s="2" t="n"/>
      <c r="F283" s="2" t="n"/>
      <c r="G283" s="2" t="n"/>
      <c r="H283" s="2" t="n"/>
      <c r="I283" s="2" t="n"/>
      <c r="J283" s="2" t="n"/>
      <c r="K283" s="2">
        <f>IF(COUNTA(G283:J283)&lt;4,"",ROUND(AVERAGE(G283:J283),1))</f>
        <v/>
      </c>
      <c r="L283" s="2" t="n"/>
      <c r="M283" s="2" t="n"/>
      <c r="N283" s="2" t="n"/>
      <c r="O283" s="2" t="n"/>
    </row>
    <row r="284">
      <c r="A284" s="2" t="n"/>
      <c r="B284" s="2" t="n"/>
      <c r="C284" s="2" t="n"/>
      <c r="D284" s="2" t="n"/>
      <c r="E284" s="2" t="n"/>
      <c r="F284" s="2" t="n"/>
      <c r="G284" s="2" t="n"/>
      <c r="H284" s="2" t="n"/>
      <c r="I284" s="2" t="n"/>
      <c r="J284" s="2" t="n"/>
      <c r="K284" s="2">
        <f>IF(COUNTA(G284:J284)&lt;4,"",ROUND(AVERAGE(G284:J284),1))</f>
        <v/>
      </c>
      <c r="L284" s="2" t="n"/>
      <c r="M284" s="2" t="n"/>
      <c r="N284" s="2" t="n"/>
      <c r="O284" s="2" t="n"/>
    </row>
    <row r="285">
      <c r="A285" s="2" t="n"/>
      <c r="B285" s="2" t="n"/>
      <c r="C285" s="2" t="n"/>
      <c r="D285" s="2" t="n"/>
      <c r="E285" s="2" t="n"/>
      <c r="F285" s="2" t="n"/>
      <c r="G285" s="2" t="n"/>
      <c r="H285" s="2" t="n"/>
      <c r="I285" s="2" t="n"/>
      <c r="J285" s="2" t="n"/>
      <c r="K285" s="2">
        <f>IF(COUNTA(G285:J285)&lt;4,"",ROUND(AVERAGE(G285:J285),1))</f>
        <v/>
      </c>
      <c r="L285" s="2" t="n"/>
      <c r="M285" s="2" t="n"/>
      <c r="N285" s="2" t="n"/>
      <c r="O285" s="2" t="n"/>
    </row>
    <row r="286">
      <c r="A286" s="2" t="n"/>
      <c r="B286" s="2" t="n"/>
      <c r="C286" s="2" t="n"/>
      <c r="D286" s="2" t="n"/>
      <c r="E286" s="2" t="n"/>
      <c r="F286" s="2" t="n"/>
      <c r="G286" s="2" t="n"/>
      <c r="H286" s="2" t="n"/>
      <c r="I286" s="2" t="n"/>
      <c r="J286" s="2" t="n"/>
      <c r="K286" s="2">
        <f>IF(COUNTA(G286:J286)&lt;4,"",ROUND(AVERAGE(G286:J286),1))</f>
        <v/>
      </c>
      <c r="L286" s="2" t="n"/>
      <c r="M286" s="2" t="n"/>
      <c r="N286" s="2" t="n"/>
      <c r="O286" s="2" t="n"/>
    </row>
    <row r="287">
      <c r="A287" s="2" t="n"/>
      <c r="B287" s="2" t="n"/>
      <c r="C287" s="2" t="n"/>
      <c r="D287" s="2" t="n"/>
      <c r="E287" s="2" t="n"/>
      <c r="F287" s="2" t="n"/>
      <c r="G287" s="2" t="n"/>
      <c r="H287" s="2" t="n"/>
      <c r="I287" s="2" t="n"/>
      <c r="J287" s="2" t="n"/>
      <c r="K287" s="2">
        <f>IF(COUNTA(G287:J287)&lt;4,"",ROUND(AVERAGE(G287:J287),1))</f>
        <v/>
      </c>
      <c r="L287" s="2" t="n"/>
      <c r="M287" s="2" t="n"/>
      <c r="N287" s="2" t="n"/>
      <c r="O287" s="2" t="n"/>
    </row>
    <row r="288">
      <c r="A288" s="2" t="n"/>
      <c r="B288" s="2" t="n"/>
      <c r="C288" s="2" t="n"/>
      <c r="D288" s="2" t="n"/>
      <c r="E288" s="2" t="n"/>
      <c r="F288" s="2" t="n"/>
      <c r="G288" s="2" t="n"/>
      <c r="H288" s="2" t="n"/>
      <c r="I288" s="2" t="n"/>
      <c r="J288" s="2" t="n"/>
      <c r="K288" s="2">
        <f>IF(COUNTA(G288:J288)&lt;4,"",ROUND(AVERAGE(G288:J288),1))</f>
        <v/>
      </c>
      <c r="L288" s="2" t="n"/>
      <c r="M288" s="2" t="n"/>
      <c r="N288" s="2" t="n"/>
      <c r="O288" s="2" t="n"/>
    </row>
    <row r="289">
      <c r="A289" s="2" t="n"/>
      <c r="B289" s="2" t="n"/>
      <c r="C289" s="2" t="n"/>
      <c r="D289" s="2" t="n"/>
      <c r="E289" s="2" t="n"/>
      <c r="F289" s="2" t="n"/>
      <c r="G289" s="2" t="n"/>
      <c r="H289" s="2" t="n"/>
      <c r="I289" s="2" t="n"/>
      <c r="J289" s="2" t="n"/>
      <c r="K289" s="2">
        <f>IF(COUNTA(G289:J289)&lt;4,"",ROUND(AVERAGE(G289:J289),1))</f>
        <v/>
      </c>
      <c r="L289" s="2" t="n"/>
      <c r="M289" s="2" t="n"/>
      <c r="N289" s="2" t="n"/>
      <c r="O289" s="2" t="n"/>
    </row>
    <row r="290">
      <c r="A290" s="2" t="n"/>
      <c r="B290" s="2" t="n"/>
      <c r="C290" s="2" t="n"/>
      <c r="D290" s="2" t="n"/>
      <c r="E290" s="2" t="n"/>
      <c r="F290" s="2" t="n"/>
      <c r="G290" s="2" t="n"/>
      <c r="H290" s="2" t="n"/>
      <c r="I290" s="2" t="n"/>
      <c r="J290" s="2" t="n"/>
      <c r="K290" s="2">
        <f>IF(COUNTA(G290:J290)&lt;4,"",ROUND(AVERAGE(G290:J290),1))</f>
        <v/>
      </c>
      <c r="L290" s="2" t="n"/>
      <c r="M290" s="2" t="n"/>
      <c r="N290" s="2" t="n"/>
      <c r="O290" s="2" t="n"/>
    </row>
    <row r="291">
      <c r="A291" s="2" t="n"/>
      <c r="B291" s="2" t="n"/>
      <c r="C291" s="2" t="n"/>
      <c r="D291" s="2" t="n"/>
      <c r="E291" s="2" t="n"/>
      <c r="F291" s="2" t="n"/>
      <c r="G291" s="2" t="n"/>
      <c r="H291" s="2" t="n"/>
      <c r="I291" s="2" t="n"/>
      <c r="J291" s="2" t="n"/>
      <c r="K291" s="2">
        <f>IF(COUNTA(G291:J291)&lt;4,"",ROUND(AVERAGE(G291:J291),1))</f>
        <v/>
      </c>
      <c r="L291" s="2" t="n"/>
      <c r="M291" s="2" t="n"/>
      <c r="N291" s="2" t="n"/>
      <c r="O291" s="2" t="n"/>
    </row>
    <row r="292">
      <c r="A292" s="2" t="n"/>
      <c r="B292" s="2" t="n"/>
      <c r="C292" s="2" t="n"/>
      <c r="D292" s="2" t="n"/>
      <c r="E292" s="2" t="n"/>
      <c r="F292" s="2" t="n"/>
      <c r="G292" s="2" t="n"/>
      <c r="H292" s="2" t="n"/>
      <c r="I292" s="2" t="n"/>
      <c r="J292" s="2" t="n"/>
      <c r="K292" s="2">
        <f>IF(COUNTA(G292:J292)&lt;4,"",ROUND(AVERAGE(G292:J292),1))</f>
        <v/>
      </c>
      <c r="L292" s="2" t="n"/>
      <c r="M292" s="2" t="n"/>
      <c r="N292" s="2" t="n"/>
      <c r="O292" s="2" t="n"/>
    </row>
    <row r="293">
      <c r="A293" s="2" t="n"/>
      <c r="B293" s="2" t="n"/>
      <c r="C293" s="2" t="n"/>
      <c r="D293" s="2" t="n"/>
      <c r="E293" s="2" t="n"/>
      <c r="F293" s="2" t="n"/>
      <c r="G293" s="2" t="n"/>
      <c r="H293" s="2" t="n"/>
      <c r="I293" s="2" t="n"/>
      <c r="J293" s="2" t="n"/>
      <c r="K293" s="2">
        <f>IF(COUNTA(G293:J293)&lt;4,"",ROUND(AVERAGE(G293:J293),1))</f>
        <v/>
      </c>
      <c r="L293" s="2" t="n"/>
      <c r="M293" s="2" t="n"/>
      <c r="N293" s="2" t="n"/>
      <c r="O293" s="2" t="n"/>
    </row>
    <row r="294">
      <c r="A294" s="2" t="n"/>
      <c r="B294" s="2" t="n"/>
      <c r="C294" s="2" t="n"/>
      <c r="D294" s="2" t="n"/>
      <c r="E294" s="2" t="n"/>
      <c r="F294" s="2" t="n"/>
      <c r="G294" s="2" t="n"/>
      <c r="H294" s="2" t="n"/>
      <c r="I294" s="2" t="n"/>
      <c r="J294" s="2" t="n"/>
      <c r="K294" s="2">
        <f>IF(COUNTA(G294:J294)&lt;4,"",ROUND(AVERAGE(G294:J294),1))</f>
        <v/>
      </c>
      <c r="L294" s="2" t="n"/>
      <c r="M294" s="2" t="n"/>
      <c r="N294" s="2" t="n"/>
      <c r="O294" s="2" t="n"/>
    </row>
    <row r="295">
      <c r="A295" s="2" t="n"/>
      <c r="B295" s="2" t="n"/>
      <c r="C295" s="2" t="n"/>
      <c r="D295" s="2" t="n"/>
      <c r="E295" s="2" t="n"/>
      <c r="F295" s="2" t="n"/>
      <c r="G295" s="2" t="n"/>
      <c r="H295" s="2" t="n"/>
      <c r="I295" s="2" t="n"/>
      <c r="J295" s="2" t="n"/>
      <c r="K295" s="2">
        <f>IF(COUNTA(G295:J295)&lt;4,"",ROUND(AVERAGE(G295:J295),1))</f>
        <v/>
      </c>
      <c r="L295" s="2" t="n"/>
      <c r="M295" s="2" t="n"/>
      <c r="N295" s="2" t="n"/>
      <c r="O295" s="2" t="n"/>
    </row>
    <row r="296">
      <c r="A296" s="2" t="n"/>
      <c r="B296" s="2" t="n"/>
      <c r="C296" s="2" t="n"/>
      <c r="D296" s="2" t="n"/>
      <c r="E296" s="2" t="n"/>
      <c r="F296" s="2" t="n"/>
      <c r="G296" s="2" t="n"/>
      <c r="H296" s="2" t="n"/>
      <c r="I296" s="2" t="n"/>
      <c r="J296" s="2" t="n"/>
      <c r="K296" s="2">
        <f>IF(COUNTA(G296:J296)&lt;4,"",ROUND(AVERAGE(G296:J296),1))</f>
        <v/>
      </c>
      <c r="L296" s="2" t="n"/>
      <c r="M296" s="2" t="n"/>
      <c r="N296" s="2" t="n"/>
      <c r="O296" s="2" t="n"/>
    </row>
    <row r="297">
      <c r="A297" s="2" t="n"/>
      <c r="B297" s="2" t="n"/>
      <c r="C297" s="2" t="n"/>
      <c r="D297" s="2" t="n"/>
      <c r="E297" s="2" t="n"/>
      <c r="F297" s="2" t="n"/>
      <c r="G297" s="2" t="n"/>
      <c r="H297" s="2" t="n"/>
      <c r="I297" s="2" t="n"/>
      <c r="J297" s="2" t="n"/>
      <c r="K297" s="2">
        <f>IF(COUNTA(G297:J297)&lt;4,"",ROUND(AVERAGE(G297:J297),1))</f>
        <v/>
      </c>
      <c r="L297" s="2" t="n"/>
      <c r="M297" s="2" t="n"/>
      <c r="N297" s="2" t="n"/>
      <c r="O297" s="2" t="n"/>
    </row>
    <row r="298">
      <c r="A298" s="2" t="n"/>
      <c r="B298" s="2" t="n"/>
      <c r="C298" s="2" t="n"/>
      <c r="D298" s="2" t="n"/>
      <c r="E298" s="2" t="n"/>
      <c r="F298" s="2" t="n"/>
      <c r="G298" s="2" t="n"/>
      <c r="H298" s="2" t="n"/>
      <c r="I298" s="2" t="n"/>
      <c r="J298" s="2" t="n"/>
      <c r="K298" s="2">
        <f>IF(COUNTA(G298:J298)&lt;4,"",ROUND(AVERAGE(G298:J298),1))</f>
        <v/>
      </c>
      <c r="L298" s="2" t="n"/>
      <c r="M298" s="2" t="n"/>
      <c r="N298" s="2" t="n"/>
      <c r="O298" s="2" t="n"/>
    </row>
    <row r="299">
      <c r="A299" s="2" t="n"/>
      <c r="B299" s="2" t="n"/>
      <c r="C299" s="2" t="n"/>
      <c r="D299" s="2" t="n"/>
      <c r="E299" s="2" t="n"/>
      <c r="F299" s="2" t="n"/>
      <c r="G299" s="2" t="n"/>
      <c r="H299" s="2" t="n"/>
      <c r="I299" s="2" t="n"/>
      <c r="J299" s="2" t="n"/>
      <c r="K299" s="2">
        <f>IF(COUNTA(G299:J299)&lt;4,"",ROUND(AVERAGE(G299:J299),1))</f>
        <v/>
      </c>
      <c r="L299" s="2" t="n"/>
      <c r="M299" s="2" t="n"/>
      <c r="N299" s="2" t="n"/>
      <c r="O299" s="2" t="n"/>
    </row>
    <row r="300">
      <c r="A300" s="2" t="n"/>
      <c r="B300" s="2" t="n"/>
      <c r="C300" s="2" t="n"/>
      <c r="D300" s="2" t="n"/>
      <c r="E300" s="2" t="n"/>
      <c r="F300" s="2" t="n"/>
      <c r="G300" s="2" t="n"/>
      <c r="H300" s="2" t="n"/>
      <c r="I300" s="2" t="n"/>
      <c r="J300" s="2" t="n"/>
      <c r="K300" s="2">
        <f>IF(COUNTA(G300:J300)&lt;4,"",ROUND(AVERAGE(G300:J300),1))</f>
        <v/>
      </c>
      <c r="L300" s="2" t="n"/>
      <c r="M300" s="2" t="n"/>
      <c r="N300" s="2" t="n"/>
      <c r="O300" s="2" t="n"/>
    </row>
    <row r="301">
      <c r="A301" s="2" t="n"/>
      <c r="B301" s="2" t="n"/>
      <c r="C301" s="2" t="n"/>
      <c r="D301" s="2" t="n"/>
      <c r="E301" s="2" t="n"/>
      <c r="F301" s="2" t="n"/>
      <c r="G301" s="2" t="n"/>
      <c r="H301" s="2" t="n"/>
      <c r="I301" s="2" t="n"/>
      <c r="J301" s="2" t="n"/>
      <c r="K301" s="2">
        <f>IF(COUNTA(G301:J301)&lt;4,"",ROUND(AVERAGE(G301:J301),1))</f>
        <v/>
      </c>
      <c r="L301" s="2" t="n"/>
      <c r="M301" s="2" t="n"/>
      <c r="N301" s="2" t="n"/>
      <c r="O301" s="2" t="n"/>
    </row>
    <row r="302">
      <c r="A302" s="2" t="n"/>
      <c r="B302" s="2" t="n"/>
      <c r="C302" s="2" t="n"/>
      <c r="D302" s="2" t="n"/>
      <c r="E302" s="2" t="n"/>
      <c r="F302" s="2" t="n"/>
      <c r="G302" s="2" t="n"/>
      <c r="H302" s="2" t="n"/>
      <c r="I302" s="2" t="n"/>
      <c r="J302" s="2" t="n"/>
      <c r="K302" s="2">
        <f>IF(COUNTA(G302:J302)&lt;4,"",ROUND(AVERAGE(G302:J302),1))</f>
        <v/>
      </c>
      <c r="L302" s="2" t="n"/>
      <c r="M302" s="2" t="n"/>
      <c r="N302" s="2" t="n"/>
      <c r="O302" s="2" t="n"/>
    </row>
    <row r="303">
      <c r="A303" s="2" t="n"/>
      <c r="B303" s="2" t="n"/>
      <c r="C303" s="2" t="n"/>
      <c r="D303" s="2" t="n"/>
      <c r="E303" s="2" t="n"/>
      <c r="F303" s="2" t="n"/>
      <c r="G303" s="2" t="n"/>
      <c r="H303" s="2" t="n"/>
      <c r="I303" s="2" t="n"/>
      <c r="J303" s="2" t="n"/>
      <c r="K303" s="2">
        <f>IF(COUNTA(G303:J303)&lt;4,"",ROUND(AVERAGE(G303:J303),1))</f>
        <v/>
      </c>
      <c r="L303" s="2" t="n"/>
      <c r="M303" s="2" t="n"/>
      <c r="N303" s="2" t="n"/>
      <c r="O303" s="2" t="n"/>
    </row>
    <row r="304">
      <c r="A304" s="2" t="n"/>
      <c r="B304" s="2" t="n"/>
      <c r="C304" s="2" t="n"/>
      <c r="D304" s="2" t="n"/>
      <c r="E304" s="2" t="n"/>
      <c r="F304" s="2" t="n"/>
      <c r="G304" s="2" t="n"/>
      <c r="H304" s="2" t="n"/>
      <c r="I304" s="2" t="n"/>
      <c r="J304" s="2" t="n"/>
      <c r="K304" s="2">
        <f>IF(COUNTA(G304:J304)&lt;4,"",ROUND(AVERAGE(G304:J304),1))</f>
        <v/>
      </c>
      <c r="L304" s="2" t="n"/>
      <c r="M304" s="2" t="n"/>
      <c r="N304" s="2" t="n"/>
      <c r="O304" s="2" t="n"/>
    </row>
    <row r="305">
      <c r="A305" s="2" t="n"/>
      <c r="B305" s="2" t="n"/>
      <c r="C305" s="2" t="n"/>
      <c r="D305" s="2" t="n"/>
      <c r="E305" s="2" t="n"/>
      <c r="F305" s="2" t="n"/>
      <c r="G305" s="2" t="n"/>
      <c r="H305" s="2" t="n"/>
      <c r="I305" s="2" t="n"/>
      <c r="J305" s="2" t="n"/>
      <c r="K305" s="2">
        <f>IF(COUNTA(G305:J305)&lt;4,"",ROUND(AVERAGE(G305:J305),1))</f>
        <v/>
      </c>
      <c r="L305" s="2" t="n"/>
      <c r="M305" s="2" t="n"/>
      <c r="N305" s="2" t="n"/>
      <c r="O305" s="2" t="n"/>
    </row>
    <row r="306">
      <c r="A306" s="2" t="n"/>
      <c r="B306" s="2" t="n"/>
      <c r="C306" s="2" t="n"/>
      <c r="D306" s="2" t="n"/>
      <c r="E306" s="2" t="n"/>
      <c r="F306" s="2" t="n"/>
      <c r="G306" s="2" t="n"/>
      <c r="H306" s="2" t="n"/>
      <c r="I306" s="2" t="n"/>
      <c r="J306" s="2" t="n"/>
      <c r="K306" s="2">
        <f>IF(COUNTA(G306:J306)&lt;4,"",ROUND(AVERAGE(G306:J306),1))</f>
        <v/>
      </c>
      <c r="L306" s="2" t="n"/>
      <c r="M306" s="2" t="n"/>
      <c r="N306" s="2" t="n"/>
      <c r="O306" s="2" t="n"/>
    </row>
    <row r="307">
      <c r="A307" s="2" t="n"/>
      <c r="B307" s="2" t="n"/>
      <c r="C307" s="2" t="n"/>
      <c r="D307" s="2" t="n"/>
      <c r="E307" s="2" t="n"/>
      <c r="F307" s="2" t="n"/>
      <c r="G307" s="2" t="n"/>
      <c r="H307" s="2" t="n"/>
      <c r="I307" s="2" t="n"/>
      <c r="J307" s="2" t="n"/>
      <c r="K307" s="2">
        <f>IF(COUNTA(G307:J307)&lt;4,"",ROUND(AVERAGE(G307:J307),1))</f>
        <v/>
      </c>
      <c r="L307" s="2" t="n"/>
      <c r="M307" s="2" t="n"/>
      <c r="N307" s="2" t="n"/>
      <c r="O307" s="2" t="n"/>
    </row>
    <row r="308">
      <c r="A308" s="2" t="n"/>
      <c r="B308" s="2" t="n"/>
      <c r="C308" s="2" t="n"/>
      <c r="D308" s="2" t="n"/>
      <c r="E308" s="2" t="n"/>
      <c r="F308" s="2" t="n"/>
      <c r="G308" s="2" t="n"/>
      <c r="H308" s="2" t="n"/>
      <c r="I308" s="2" t="n"/>
      <c r="J308" s="2" t="n"/>
      <c r="K308" s="2">
        <f>IF(COUNTA(G308:J308)&lt;4,"",ROUND(AVERAGE(G308:J308),1))</f>
        <v/>
      </c>
      <c r="L308" s="2" t="n"/>
      <c r="M308" s="2" t="n"/>
      <c r="N308" s="2" t="n"/>
      <c r="O308" s="2" t="n"/>
    </row>
    <row r="309">
      <c r="A309" s="2" t="n"/>
      <c r="B309" s="2" t="n"/>
      <c r="C309" s="2" t="n"/>
      <c r="D309" s="2" t="n"/>
      <c r="E309" s="2" t="n"/>
      <c r="F309" s="2" t="n"/>
      <c r="G309" s="2" t="n"/>
      <c r="H309" s="2" t="n"/>
      <c r="I309" s="2" t="n"/>
      <c r="J309" s="2" t="n"/>
      <c r="K309" s="2">
        <f>IF(COUNTA(G309:J309)&lt;4,"",ROUND(AVERAGE(G309:J309),1))</f>
        <v/>
      </c>
      <c r="L309" s="2" t="n"/>
      <c r="M309" s="2" t="n"/>
      <c r="N309" s="2" t="n"/>
      <c r="O309" s="2" t="n"/>
    </row>
    <row r="310">
      <c r="A310" s="2" t="n"/>
      <c r="B310" s="2" t="n"/>
      <c r="C310" s="2" t="n"/>
      <c r="D310" s="2" t="n"/>
      <c r="E310" s="2" t="n"/>
      <c r="F310" s="2" t="n"/>
      <c r="G310" s="2" t="n"/>
      <c r="H310" s="2" t="n"/>
      <c r="I310" s="2" t="n"/>
      <c r="J310" s="2" t="n"/>
      <c r="K310" s="2">
        <f>IF(COUNTA(G310:J310)&lt;4,"",ROUND(AVERAGE(G310:J310),1))</f>
        <v/>
      </c>
      <c r="L310" s="2" t="n"/>
      <c r="M310" s="2" t="n"/>
      <c r="N310" s="2" t="n"/>
      <c r="O310" s="2" t="n"/>
    </row>
    <row r="311">
      <c r="A311" s="2" t="n"/>
      <c r="B311" s="2" t="n"/>
      <c r="C311" s="2" t="n"/>
      <c r="D311" s="2" t="n"/>
      <c r="E311" s="2" t="n"/>
      <c r="F311" s="2" t="n"/>
      <c r="G311" s="2" t="n"/>
      <c r="H311" s="2" t="n"/>
      <c r="I311" s="2" t="n"/>
      <c r="J311" s="2" t="n"/>
      <c r="K311" s="2">
        <f>IF(COUNTA(G311:J311)&lt;4,"",ROUND(AVERAGE(G311:J311),1))</f>
        <v/>
      </c>
      <c r="L311" s="2" t="n"/>
      <c r="M311" s="2" t="n"/>
      <c r="N311" s="2" t="n"/>
      <c r="O311" s="2" t="n"/>
    </row>
    <row r="312">
      <c r="A312" s="2" t="n"/>
      <c r="B312" s="2" t="n"/>
      <c r="C312" s="2" t="n"/>
      <c r="D312" s="2" t="n"/>
      <c r="E312" s="2" t="n"/>
      <c r="F312" s="2" t="n"/>
      <c r="G312" s="2" t="n"/>
      <c r="H312" s="2" t="n"/>
      <c r="I312" s="2" t="n"/>
      <c r="J312" s="2" t="n"/>
      <c r="K312" s="2">
        <f>IF(COUNTA(G312:J312)&lt;4,"",ROUND(AVERAGE(G312:J312),1))</f>
        <v/>
      </c>
      <c r="L312" s="2" t="n"/>
      <c r="M312" s="2" t="n"/>
      <c r="N312" s="2" t="n"/>
      <c r="O312" s="2" t="n"/>
    </row>
    <row r="313">
      <c r="A313" s="2" t="n"/>
      <c r="B313" s="2" t="n"/>
      <c r="C313" s="2" t="n"/>
      <c r="D313" s="2" t="n"/>
      <c r="E313" s="2" t="n"/>
      <c r="F313" s="2" t="n"/>
      <c r="G313" s="2" t="n"/>
      <c r="H313" s="2" t="n"/>
      <c r="I313" s="2" t="n"/>
      <c r="J313" s="2" t="n"/>
      <c r="K313" s="2">
        <f>IF(COUNTA(G313:J313)&lt;4,"",ROUND(AVERAGE(G313:J313),1))</f>
        <v/>
      </c>
      <c r="L313" s="2" t="n"/>
      <c r="M313" s="2" t="n"/>
      <c r="N313" s="2" t="n"/>
      <c r="O313" s="2" t="n"/>
    </row>
    <row r="314">
      <c r="A314" s="2" t="n"/>
      <c r="B314" s="2" t="n"/>
      <c r="C314" s="2" t="n"/>
      <c r="D314" s="2" t="n"/>
      <c r="E314" s="2" t="n"/>
      <c r="F314" s="2" t="n"/>
      <c r="G314" s="2" t="n"/>
      <c r="H314" s="2" t="n"/>
      <c r="I314" s="2" t="n"/>
      <c r="J314" s="2" t="n"/>
      <c r="K314" s="2">
        <f>IF(COUNTA(G314:J314)&lt;4,"",ROUND(AVERAGE(G314:J314),1))</f>
        <v/>
      </c>
      <c r="L314" s="2" t="n"/>
      <c r="M314" s="2" t="n"/>
      <c r="N314" s="2" t="n"/>
      <c r="O314" s="2" t="n"/>
    </row>
    <row r="315">
      <c r="A315" s="2" t="n"/>
      <c r="B315" s="2" t="n"/>
      <c r="C315" s="2" t="n"/>
      <c r="D315" s="2" t="n"/>
      <c r="E315" s="2" t="n"/>
      <c r="F315" s="2" t="n"/>
      <c r="G315" s="2" t="n"/>
      <c r="H315" s="2" t="n"/>
      <c r="I315" s="2" t="n"/>
      <c r="J315" s="2" t="n"/>
      <c r="K315" s="2">
        <f>IF(COUNTA(G315:J315)&lt;4,"",ROUND(AVERAGE(G315:J315),1))</f>
        <v/>
      </c>
      <c r="L315" s="2" t="n"/>
      <c r="M315" s="2" t="n"/>
      <c r="N315" s="2" t="n"/>
      <c r="O315" s="2" t="n"/>
    </row>
    <row r="316">
      <c r="A316" s="2" t="n"/>
      <c r="B316" s="2" t="n"/>
      <c r="C316" s="2" t="n"/>
      <c r="D316" s="2" t="n"/>
      <c r="E316" s="2" t="n"/>
      <c r="F316" s="2" t="n"/>
      <c r="G316" s="2" t="n"/>
      <c r="H316" s="2" t="n"/>
      <c r="I316" s="2" t="n"/>
      <c r="J316" s="2" t="n"/>
      <c r="K316" s="2">
        <f>IF(COUNTA(G316:J316)&lt;4,"",ROUND(AVERAGE(G316:J316),1))</f>
        <v/>
      </c>
      <c r="L316" s="2" t="n"/>
      <c r="M316" s="2" t="n"/>
      <c r="N316" s="2" t="n"/>
      <c r="O316" s="2" t="n"/>
    </row>
    <row r="317">
      <c r="A317" s="2" t="n"/>
      <c r="B317" s="2" t="n"/>
      <c r="C317" s="2" t="n"/>
      <c r="D317" s="2" t="n"/>
      <c r="E317" s="2" t="n"/>
      <c r="F317" s="2" t="n"/>
      <c r="G317" s="2" t="n"/>
      <c r="H317" s="2" t="n"/>
      <c r="I317" s="2" t="n"/>
      <c r="J317" s="2" t="n"/>
      <c r="K317" s="2">
        <f>IF(COUNTA(G317:J317)&lt;4,"",ROUND(AVERAGE(G317:J317),1))</f>
        <v/>
      </c>
      <c r="L317" s="2" t="n"/>
      <c r="M317" s="2" t="n"/>
      <c r="N317" s="2" t="n"/>
      <c r="O317" s="2" t="n"/>
    </row>
    <row r="318">
      <c r="A318" s="2" t="n"/>
      <c r="B318" s="2" t="n"/>
      <c r="C318" s="2" t="n"/>
      <c r="D318" s="2" t="n"/>
      <c r="E318" s="2" t="n"/>
      <c r="F318" s="2" t="n"/>
      <c r="G318" s="2" t="n"/>
      <c r="H318" s="2" t="n"/>
      <c r="I318" s="2" t="n"/>
      <c r="J318" s="2" t="n"/>
      <c r="K318" s="2">
        <f>IF(COUNTA(G318:J318)&lt;4,"",ROUND(AVERAGE(G318:J318),1))</f>
        <v/>
      </c>
      <c r="L318" s="2" t="n"/>
      <c r="M318" s="2" t="n"/>
      <c r="N318" s="2" t="n"/>
      <c r="O318" s="2" t="n"/>
    </row>
    <row r="319">
      <c r="A319" s="2" t="n"/>
      <c r="B319" s="2" t="n"/>
      <c r="C319" s="2" t="n"/>
      <c r="D319" s="2" t="n"/>
      <c r="E319" s="2" t="n"/>
      <c r="F319" s="2" t="n"/>
      <c r="G319" s="2" t="n"/>
      <c r="H319" s="2" t="n"/>
      <c r="I319" s="2" t="n"/>
      <c r="J319" s="2" t="n"/>
      <c r="K319" s="2">
        <f>IF(COUNTA(G319:J319)&lt;4,"",ROUND(AVERAGE(G319:J319),1))</f>
        <v/>
      </c>
      <c r="L319" s="2" t="n"/>
      <c r="M319" s="2" t="n"/>
      <c r="N319" s="2" t="n"/>
      <c r="O319" s="2" t="n"/>
    </row>
    <row r="320">
      <c r="A320" s="2" t="n"/>
      <c r="B320" s="2" t="n"/>
      <c r="C320" s="2" t="n"/>
      <c r="D320" s="2" t="n"/>
      <c r="E320" s="2" t="n"/>
      <c r="F320" s="2" t="n"/>
      <c r="G320" s="2" t="n"/>
      <c r="H320" s="2" t="n"/>
      <c r="I320" s="2" t="n"/>
      <c r="J320" s="2" t="n"/>
      <c r="K320" s="2">
        <f>IF(COUNTA(G320:J320)&lt;4,"",ROUND(AVERAGE(G320:J320),1))</f>
        <v/>
      </c>
      <c r="L320" s="2" t="n"/>
      <c r="M320" s="2" t="n"/>
      <c r="N320" s="2" t="n"/>
      <c r="O320" s="2" t="n"/>
    </row>
    <row r="321">
      <c r="A321" s="2" t="n"/>
      <c r="B321" s="2" t="n"/>
      <c r="C321" s="2" t="n"/>
      <c r="D321" s="2" t="n"/>
      <c r="E321" s="2" t="n"/>
      <c r="F321" s="2" t="n"/>
      <c r="G321" s="2" t="n"/>
      <c r="H321" s="2" t="n"/>
      <c r="I321" s="2" t="n"/>
      <c r="J321" s="2" t="n"/>
      <c r="K321" s="2">
        <f>IF(COUNTA(G321:J321)&lt;4,"",ROUND(AVERAGE(G321:J321),1))</f>
        <v/>
      </c>
      <c r="L321" s="2" t="n"/>
      <c r="M321" s="2" t="n"/>
      <c r="N321" s="2" t="n"/>
      <c r="O321" s="2" t="n"/>
    </row>
    <row r="322">
      <c r="A322" s="2" t="n"/>
      <c r="B322" s="2" t="n"/>
      <c r="C322" s="2" t="n"/>
      <c r="D322" s="2" t="n"/>
      <c r="E322" s="2" t="n"/>
      <c r="F322" s="2" t="n"/>
      <c r="G322" s="2" t="n"/>
      <c r="H322" s="2" t="n"/>
      <c r="I322" s="2" t="n"/>
      <c r="J322" s="2" t="n"/>
      <c r="K322" s="2">
        <f>IF(COUNTA(G322:J322)&lt;4,"",ROUND(AVERAGE(G322:J322),1))</f>
        <v/>
      </c>
      <c r="L322" s="2" t="n"/>
      <c r="M322" s="2" t="n"/>
      <c r="N322" s="2" t="n"/>
      <c r="O322" s="2" t="n"/>
    </row>
    <row r="323">
      <c r="A323" s="2" t="n"/>
      <c r="B323" s="2" t="n"/>
      <c r="C323" s="2" t="n"/>
      <c r="D323" s="2" t="n"/>
      <c r="E323" s="2" t="n"/>
      <c r="F323" s="2" t="n"/>
      <c r="G323" s="2" t="n"/>
      <c r="H323" s="2" t="n"/>
      <c r="I323" s="2" t="n"/>
      <c r="J323" s="2" t="n"/>
      <c r="K323" s="2">
        <f>IF(COUNTA(G323:J323)&lt;4,"",ROUND(AVERAGE(G323:J323),1))</f>
        <v/>
      </c>
      <c r="L323" s="2" t="n"/>
      <c r="M323" s="2" t="n"/>
      <c r="N323" s="2" t="n"/>
      <c r="O323" s="2" t="n"/>
    </row>
    <row r="324">
      <c r="A324" s="2" t="n"/>
      <c r="B324" s="2" t="n"/>
      <c r="C324" s="2" t="n"/>
      <c r="D324" s="2" t="n"/>
      <c r="E324" s="2" t="n"/>
      <c r="F324" s="2" t="n"/>
      <c r="G324" s="2" t="n"/>
      <c r="H324" s="2" t="n"/>
      <c r="I324" s="2" t="n"/>
      <c r="J324" s="2" t="n"/>
      <c r="K324" s="2">
        <f>IF(COUNTA(G324:J324)&lt;4,"",ROUND(AVERAGE(G324:J324),1))</f>
        <v/>
      </c>
      <c r="L324" s="2" t="n"/>
      <c r="M324" s="2" t="n"/>
      <c r="N324" s="2" t="n"/>
      <c r="O324" s="2" t="n"/>
    </row>
    <row r="325">
      <c r="A325" s="2" t="n"/>
      <c r="B325" s="2" t="n"/>
      <c r="C325" s="2" t="n"/>
      <c r="D325" s="2" t="n"/>
      <c r="E325" s="2" t="n"/>
      <c r="F325" s="2" t="n"/>
      <c r="G325" s="2" t="n"/>
      <c r="H325" s="2" t="n"/>
      <c r="I325" s="2" t="n"/>
      <c r="J325" s="2" t="n"/>
      <c r="K325" s="2">
        <f>IF(COUNTA(G325:J325)&lt;4,"",ROUND(AVERAGE(G325:J325),1))</f>
        <v/>
      </c>
      <c r="L325" s="2" t="n"/>
      <c r="M325" s="2" t="n"/>
      <c r="N325" s="2" t="n"/>
      <c r="O325" s="2" t="n"/>
    </row>
    <row r="326">
      <c r="A326" s="2" t="n"/>
      <c r="B326" s="2" t="n"/>
      <c r="C326" s="2" t="n"/>
      <c r="D326" s="2" t="n"/>
      <c r="E326" s="2" t="n"/>
      <c r="F326" s="2" t="n"/>
      <c r="G326" s="2" t="n"/>
      <c r="H326" s="2" t="n"/>
      <c r="I326" s="2" t="n"/>
      <c r="J326" s="2" t="n"/>
      <c r="K326" s="2">
        <f>IF(COUNTA(G326:J326)&lt;4,"",ROUND(AVERAGE(G326:J326),1))</f>
        <v/>
      </c>
      <c r="L326" s="2" t="n"/>
      <c r="M326" s="2" t="n"/>
      <c r="N326" s="2" t="n"/>
      <c r="O326" s="2" t="n"/>
    </row>
    <row r="327">
      <c r="A327" s="2" t="n"/>
      <c r="B327" s="2" t="n"/>
      <c r="C327" s="2" t="n"/>
      <c r="D327" s="2" t="n"/>
      <c r="E327" s="2" t="n"/>
      <c r="F327" s="2" t="n"/>
      <c r="G327" s="2" t="n"/>
      <c r="H327" s="2" t="n"/>
      <c r="I327" s="2" t="n"/>
      <c r="J327" s="2" t="n"/>
      <c r="K327" s="2">
        <f>IF(COUNTA(G327:J327)&lt;4,"",ROUND(AVERAGE(G327:J327),1))</f>
        <v/>
      </c>
      <c r="L327" s="2" t="n"/>
      <c r="M327" s="2" t="n"/>
      <c r="N327" s="2" t="n"/>
      <c r="O327" s="2" t="n"/>
    </row>
    <row r="328">
      <c r="A328" s="2" t="n"/>
      <c r="B328" s="2" t="n"/>
      <c r="C328" s="2" t="n"/>
      <c r="D328" s="2" t="n"/>
      <c r="E328" s="2" t="n"/>
      <c r="F328" s="2" t="n"/>
      <c r="G328" s="2" t="n"/>
      <c r="H328" s="2" t="n"/>
      <c r="I328" s="2" t="n"/>
      <c r="J328" s="2" t="n"/>
      <c r="K328" s="2">
        <f>IF(COUNTA(G328:J328)&lt;4,"",ROUND(AVERAGE(G328:J328),1))</f>
        <v/>
      </c>
      <c r="L328" s="2" t="n"/>
      <c r="M328" s="2" t="n"/>
      <c r="N328" s="2" t="n"/>
      <c r="O328" s="2" t="n"/>
    </row>
    <row r="329">
      <c r="A329" s="2" t="n"/>
      <c r="B329" s="2" t="n"/>
      <c r="C329" s="2" t="n"/>
      <c r="D329" s="2" t="n"/>
      <c r="E329" s="2" t="n"/>
      <c r="F329" s="2" t="n"/>
      <c r="G329" s="2" t="n"/>
      <c r="H329" s="2" t="n"/>
      <c r="I329" s="2" t="n"/>
      <c r="J329" s="2" t="n"/>
      <c r="K329" s="2">
        <f>IF(COUNTA(G329:J329)&lt;4,"",ROUND(AVERAGE(G329:J329),1))</f>
        <v/>
      </c>
      <c r="L329" s="2" t="n"/>
      <c r="M329" s="2" t="n"/>
      <c r="N329" s="2" t="n"/>
      <c r="O329" s="2" t="n"/>
    </row>
    <row r="330">
      <c r="A330" s="2" t="n"/>
      <c r="B330" s="2" t="n"/>
      <c r="C330" s="2" t="n"/>
      <c r="D330" s="2" t="n"/>
      <c r="E330" s="2" t="n"/>
      <c r="F330" s="2" t="n"/>
      <c r="G330" s="2" t="n"/>
      <c r="H330" s="2" t="n"/>
      <c r="I330" s="2" t="n"/>
      <c r="J330" s="2" t="n"/>
      <c r="K330" s="2">
        <f>IF(COUNTA(G330:J330)&lt;4,"",ROUND(AVERAGE(G330:J330),1))</f>
        <v/>
      </c>
      <c r="L330" s="2" t="n"/>
      <c r="M330" s="2" t="n"/>
      <c r="N330" s="2" t="n"/>
      <c r="O330" s="2" t="n"/>
    </row>
    <row r="331">
      <c r="A331" s="2" t="n"/>
      <c r="B331" s="2" t="n"/>
      <c r="C331" s="2" t="n"/>
      <c r="D331" s="2" t="n"/>
      <c r="E331" s="2" t="n"/>
      <c r="F331" s="2" t="n"/>
      <c r="G331" s="2" t="n"/>
      <c r="H331" s="2" t="n"/>
      <c r="I331" s="2" t="n"/>
      <c r="J331" s="2" t="n"/>
      <c r="K331" s="2">
        <f>IF(COUNTA(G331:J331)&lt;4,"",ROUND(AVERAGE(G331:J331),1))</f>
        <v/>
      </c>
      <c r="L331" s="2" t="n"/>
      <c r="M331" s="2" t="n"/>
      <c r="N331" s="2" t="n"/>
      <c r="O331" s="2" t="n"/>
    </row>
    <row r="332">
      <c r="A332" s="2" t="n"/>
      <c r="B332" s="2" t="n"/>
      <c r="C332" s="2" t="n"/>
      <c r="D332" s="2" t="n"/>
      <c r="E332" s="2" t="n"/>
      <c r="F332" s="2" t="n"/>
      <c r="G332" s="2" t="n"/>
      <c r="H332" s="2" t="n"/>
      <c r="I332" s="2" t="n"/>
      <c r="J332" s="2" t="n"/>
      <c r="K332" s="2">
        <f>IF(COUNTA(G332:J332)&lt;4,"",ROUND(AVERAGE(G332:J332),1))</f>
        <v/>
      </c>
      <c r="L332" s="2" t="n"/>
      <c r="M332" s="2" t="n"/>
      <c r="N332" s="2" t="n"/>
      <c r="O332" s="2" t="n"/>
    </row>
    <row r="333">
      <c r="A333" s="2" t="n"/>
      <c r="B333" s="2" t="n"/>
      <c r="C333" s="2" t="n"/>
      <c r="D333" s="2" t="n"/>
      <c r="E333" s="2" t="n"/>
      <c r="F333" s="2" t="n"/>
      <c r="G333" s="2" t="n"/>
      <c r="H333" s="2" t="n"/>
      <c r="I333" s="2" t="n"/>
      <c r="J333" s="2" t="n"/>
      <c r="K333" s="2">
        <f>IF(COUNTA(G333:J333)&lt;4,"",ROUND(AVERAGE(G333:J333),1))</f>
        <v/>
      </c>
      <c r="L333" s="2" t="n"/>
      <c r="M333" s="2" t="n"/>
      <c r="N333" s="2" t="n"/>
      <c r="O333" s="2" t="n"/>
    </row>
    <row r="334">
      <c r="A334" s="2" t="n"/>
      <c r="B334" s="2" t="n"/>
      <c r="C334" s="2" t="n"/>
      <c r="D334" s="2" t="n"/>
      <c r="E334" s="2" t="n"/>
      <c r="F334" s="2" t="n"/>
      <c r="G334" s="2" t="n"/>
      <c r="H334" s="2" t="n"/>
      <c r="I334" s="2" t="n"/>
      <c r="J334" s="2" t="n"/>
      <c r="K334" s="2">
        <f>IF(COUNTA(G334:J334)&lt;4,"",ROUND(AVERAGE(G334:J334),1))</f>
        <v/>
      </c>
      <c r="L334" s="2" t="n"/>
      <c r="M334" s="2" t="n"/>
      <c r="N334" s="2" t="n"/>
      <c r="O334" s="2" t="n"/>
    </row>
    <row r="335">
      <c r="A335" s="2" t="n"/>
      <c r="B335" s="2" t="n"/>
      <c r="C335" s="2" t="n"/>
      <c r="D335" s="2" t="n"/>
      <c r="E335" s="2" t="n"/>
      <c r="F335" s="2" t="n"/>
      <c r="G335" s="2" t="n"/>
      <c r="H335" s="2" t="n"/>
      <c r="I335" s="2" t="n"/>
      <c r="J335" s="2" t="n"/>
      <c r="K335" s="2">
        <f>IF(COUNTA(G335:J335)&lt;4,"",ROUND(AVERAGE(G335:J335),1))</f>
        <v/>
      </c>
      <c r="L335" s="2" t="n"/>
      <c r="M335" s="2" t="n"/>
      <c r="N335" s="2" t="n"/>
      <c r="O335" s="2" t="n"/>
    </row>
    <row r="336">
      <c r="A336" s="2" t="n"/>
      <c r="B336" s="2" t="n"/>
      <c r="C336" s="2" t="n"/>
      <c r="D336" s="2" t="n"/>
      <c r="E336" s="2" t="n"/>
      <c r="F336" s="2" t="n"/>
      <c r="G336" s="2" t="n"/>
      <c r="H336" s="2" t="n"/>
      <c r="I336" s="2" t="n"/>
      <c r="J336" s="2" t="n"/>
      <c r="K336" s="2">
        <f>IF(COUNTA(G336:J336)&lt;4,"",ROUND(AVERAGE(G336:J336),1))</f>
        <v/>
      </c>
      <c r="L336" s="2" t="n"/>
      <c r="M336" s="2" t="n"/>
      <c r="N336" s="2" t="n"/>
      <c r="O336" s="2" t="n"/>
    </row>
    <row r="337">
      <c r="A337" s="2" t="n"/>
      <c r="B337" s="2" t="n"/>
      <c r="C337" s="2" t="n"/>
      <c r="D337" s="2" t="n"/>
      <c r="E337" s="2" t="n"/>
      <c r="F337" s="2" t="n"/>
      <c r="G337" s="2" t="n"/>
      <c r="H337" s="2" t="n"/>
      <c r="I337" s="2" t="n"/>
      <c r="J337" s="2" t="n"/>
      <c r="K337" s="2">
        <f>IF(COUNTA(G337:J337)&lt;4,"",ROUND(AVERAGE(G337:J337),1))</f>
        <v/>
      </c>
      <c r="L337" s="2" t="n"/>
      <c r="M337" s="2" t="n"/>
      <c r="N337" s="2" t="n"/>
      <c r="O337" s="2" t="n"/>
    </row>
    <row r="338">
      <c r="A338" s="2" t="n"/>
      <c r="B338" s="2" t="n"/>
      <c r="C338" s="2" t="n"/>
      <c r="D338" s="2" t="n"/>
      <c r="E338" s="2" t="n"/>
      <c r="F338" s="2" t="n"/>
      <c r="G338" s="2" t="n"/>
      <c r="H338" s="2" t="n"/>
      <c r="I338" s="2" t="n"/>
      <c r="J338" s="2" t="n"/>
      <c r="K338" s="2">
        <f>IF(COUNTA(G338:J338)&lt;4,"",ROUND(AVERAGE(G338:J338),1))</f>
        <v/>
      </c>
      <c r="L338" s="2" t="n"/>
      <c r="M338" s="2" t="n"/>
      <c r="N338" s="2" t="n"/>
      <c r="O338" s="2" t="n"/>
    </row>
    <row r="339">
      <c r="A339" s="2" t="n"/>
      <c r="B339" s="2" t="n"/>
      <c r="C339" s="2" t="n"/>
      <c r="D339" s="2" t="n"/>
      <c r="E339" s="2" t="n"/>
      <c r="F339" s="2" t="n"/>
      <c r="G339" s="2" t="n"/>
      <c r="H339" s="2" t="n"/>
      <c r="I339" s="2" t="n"/>
      <c r="J339" s="2" t="n"/>
      <c r="K339" s="2">
        <f>IF(COUNTA(G339:J339)&lt;4,"",ROUND(AVERAGE(G339:J339),1))</f>
        <v/>
      </c>
      <c r="L339" s="2" t="n"/>
      <c r="M339" s="2" t="n"/>
      <c r="N339" s="2" t="n"/>
      <c r="O339" s="2" t="n"/>
    </row>
    <row r="340">
      <c r="A340" s="2" t="n"/>
      <c r="B340" s="2" t="n"/>
      <c r="C340" s="2" t="n"/>
      <c r="D340" s="2" t="n"/>
      <c r="E340" s="2" t="n"/>
      <c r="F340" s="2" t="n"/>
      <c r="G340" s="2" t="n"/>
      <c r="H340" s="2" t="n"/>
      <c r="I340" s="2" t="n"/>
      <c r="J340" s="2" t="n"/>
      <c r="K340" s="2">
        <f>IF(COUNTA(G340:J340)&lt;4,"",ROUND(AVERAGE(G340:J340),1))</f>
        <v/>
      </c>
      <c r="L340" s="2" t="n"/>
      <c r="M340" s="2" t="n"/>
      <c r="N340" s="2" t="n"/>
      <c r="O340" s="2" t="n"/>
    </row>
    <row r="341">
      <c r="A341" s="2" t="n"/>
      <c r="B341" s="2" t="n"/>
      <c r="C341" s="2" t="n"/>
      <c r="D341" s="2" t="n"/>
      <c r="E341" s="2" t="n"/>
      <c r="F341" s="2" t="n"/>
      <c r="G341" s="2" t="n"/>
      <c r="H341" s="2" t="n"/>
      <c r="I341" s="2" t="n"/>
      <c r="J341" s="2" t="n"/>
      <c r="K341" s="2">
        <f>IF(COUNTA(G341:J341)&lt;4,"",ROUND(AVERAGE(G341:J341),1))</f>
        <v/>
      </c>
      <c r="L341" s="2" t="n"/>
      <c r="M341" s="2" t="n"/>
      <c r="N341" s="2" t="n"/>
      <c r="O341" s="2" t="n"/>
    </row>
    <row r="342">
      <c r="A342" s="2" t="n"/>
      <c r="B342" s="2" t="n"/>
      <c r="C342" s="2" t="n"/>
      <c r="D342" s="2" t="n"/>
      <c r="E342" s="2" t="n"/>
      <c r="F342" s="2" t="n"/>
      <c r="G342" s="2" t="n"/>
      <c r="H342" s="2" t="n"/>
      <c r="I342" s="2" t="n"/>
      <c r="J342" s="2" t="n"/>
      <c r="K342" s="2">
        <f>IF(COUNTA(G342:J342)&lt;4,"",ROUND(AVERAGE(G342:J342),1))</f>
        <v/>
      </c>
      <c r="L342" s="2" t="n"/>
      <c r="M342" s="2" t="n"/>
      <c r="N342" s="2" t="n"/>
      <c r="O342" s="2" t="n"/>
    </row>
    <row r="343">
      <c r="A343" s="2" t="n"/>
      <c r="B343" s="2" t="n"/>
      <c r="C343" s="2" t="n"/>
      <c r="D343" s="2" t="n"/>
      <c r="E343" s="2" t="n"/>
      <c r="F343" s="2" t="n"/>
      <c r="G343" s="2" t="n"/>
      <c r="H343" s="2" t="n"/>
      <c r="I343" s="2" t="n"/>
      <c r="J343" s="2" t="n"/>
      <c r="K343" s="2">
        <f>IF(COUNTA(G343:J343)&lt;4,"",ROUND(AVERAGE(G343:J343),1))</f>
        <v/>
      </c>
      <c r="L343" s="2" t="n"/>
      <c r="M343" s="2" t="n"/>
      <c r="N343" s="2" t="n"/>
      <c r="O343" s="2" t="n"/>
    </row>
    <row r="344">
      <c r="A344" s="2" t="n"/>
      <c r="B344" s="2" t="n"/>
      <c r="C344" s="2" t="n"/>
      <c r="D344" s="2" t="n"/>
      <c r="E344" s="2" t="n"/>
      <c r="F344" s="2" t="n"/>
      <c r="G344" s="2" t="n"/>
      <c r="H344" s="2" t="n"/>
      <c r="I344" s="2" t="n"/>
      <c r="J344" s="2" t="n"/>
      <c r="K344" s="2">
        <f>IF(COUNTA(G344:J344)&lt;4,"",ROUND(AVERAGE(G344:J344),1))</f>
        <v/>
      </c>
      <c r="L344" s="2" t="n"/>
      <c r="M344" s="2" t="n"/>
      <c r="N344" s="2" t="n"/>
      <c r="O344" s="2" t="n"/>
    </row>
    <row r="345">
      <c r="A345" s="2" t="n"/>
      <c r="B345" s="2" t="n"/>
      <c r="C345" s="2" t="n"/>
      <c r="D345" s="2" t="n"/>
      <c r="E345" s="2" t="n"/>
      <c r="F345" s="2" t="n"/>
      <c r="G345" s="2" t="n"/>
      <c r="H345" s="2" t="n"/>
      <c r="I345" s="2" t="n"/>
      <c r="J345" s="2" t="n"/>
      <c r="K345" s="2">
        <f>IF(COUNTA(G345:J345)&lt;4,"",ROUND(AVERAGE(G345:J345),1))</f>
        <v/>
      </c>
      <c r="L345" s="2" t="n"/>
      <c r="M345" s="2" t="n"/>
      <c r="N345" s="2" t="n"/>
      <c r="O345" s="2" t="n"/>
    </row>
    <row r="346">
      <c r="A346" s="2" t="n"/>
      <c r="B346" s="2" t="n"/>
      <c r="C346" s="2" t="n"/>
      <c r="D346" s="2" t="n"/>
      <c r="E346" s="2" t="n"/>
      <c r="F346" s="2" t="n"/>
      <c r="G346" s="2" t="n"/>
      <c r="H346" s="2" t="n"/>
      <c r="I346" s="2" t="n"/>
      <c r="J346" s="2" t="n"/>
      <c r="K346" s="2">
        <f>IF(COUNTA(G346:J346)&lt;4,"",ROUND(AVERAGE(G346:J346),1))</f>
        <v/>
      </c>
      <c r="L346" s="2" t="n"/>
      <c r="M346" s="2" t="n"/>
      <c r="N346" s="2" t="n"/>
      <c r="O346" s="2" t="n"/>
    </row>
    <row r="347">
      <c r="A347" s="2" t="n"/>
      <c r="B347" s="2" t="n"/>
      <c r="C347" s="2" t="n"/>
      <c r="D347" s="2" t="n"/>
      <c r="E347" s="2" t="n"/>
      <c r="F347" s="2" t="n"/>
      <c r="G347" s="2" t="n"/>
      <c r="H347" s="2" t="n"/>
      <c r="I347" s="2" t="n"/>
      <c r="J347" s="2" t="n"/>
      <c r="K347" s="2">
        <f>IF(COUNTA(G347:J347)&lt;4,"",ROUND(AVERAGE(G347:J347),1))</f>
        <v/>
      </c>
      <c r="L347" s="2" t="n"/>
      <c r="M347" s="2" t="n"/>
      <c r="N347" s="2" t="n"/>
      <c r="O347" s="2" t="n"/>
    </row>
    <row r="348">
      <c r="A348" s="2" t="n"/>
      <c r="B348" s="2" t="n"/>
      <c r="C348" s="2" t="n"/>
      <c r="D348" s="2" t="n"/>
      <c r="E348" s="2" t="n"/>
      <c r="F348" s="2" t="n"/>
      <c r="G348" s="2" t="n"/>
      <c r="H348" s="2" t="n"/>
      <c r="I348" s="2" t="n"/>
      <c r="J348" s="2" t="n"/>
      <c r="K348" s="2">
        <f>IF(COUNTA(G348:J348)&lt;4,"",ROUND(AVERAGE(G348:J348),1))</f>
        <v/>
      </c>
      <c r="L348" s="2" t="n"/>
      <c r="M348" s="2" t="n"/>
      <c r="N348" s="2" t="n"/>
      <c r="O348" s="2" t="n"/>
    </row>
    <row r="349">
      <c r="A349" s="2" t="n"/>
      <c r="B349" s="2" t="n"/>
      <c r="C349" s="2" t="n"/>
      <c r="D349" s="2" t="n"/>
      <c r="E349" s="2" t="n"/>
      <c r="F349" s="2" t="n"/>
      <c r="G349" s="2" t="n"/>
      <c r="H349" s="2" t="n"/>
      <c r="I349" s="2" t="n"/>
      <c r="J349" s="2" t="n"/>
      <c r="K349" s="2">
        <f>IF(COUNTA(G349:J349)&lt;4,"",ROUND(AVERAGE(G349:J349),1))</f>
        <v/>
      </c>
      <c r="L349" s="2" t="n"/>
      <c r="M349" s="2" t="n"/>
      <c r="N349" s="2" t="n"/>
      <c r="O349" s="2" t="n"/>
    </row>
    <row r="350">
      <c r="A350" s="2" t="n"/>
      <c r="B350" s="2" t="n"/>
      <c r="C350" s="2" t="n"/>
      <c r="D350" s="2" t="n"/>
      <c r="E350" s="2" t="n"/>
      <c r="F350" s="2" t="n"/>
      <c r="G350" s="2" t="n"/>
      <c r="H350" s="2" t="n"/>
      <c r="I350" s="2" t="n"/>
      <c r="J350" s="2" t="n"/>
      <c r="K350" s="2">
        <f>IF(COUNTA(G350:J350)&lt;4,"",ROUND(AVERAGE(G350:J350),1))</f>
        <v/>
      </c>
      <c r="L350" s="2" t="n"/>
      <c r="M350" s="2" t="n"/>
      <c r="N350" s="2" t="n"/>
      <c r="O350" s="2" t="n"/>
    </row>
    <row r="351">
      <c r="A351" s="2" t="n"/>
      <c r="B351" s="2" t="n"/>
      <c r="C351" s="2" t="n"/>
      <c r="D351" s="2" t="n"/>
      <c r="E351" s="2" t="n"/>
      <c r="F351" s="2" t="n"/>
      <c r="G351" s="2" t="n"/>
      <c r="H351" s="2" t="n"/>
      <c r="I351" s="2" t="n"/>
      <c r="J351" s="2" t="n"/>
      <c r="K351" s="2">
        <f>IF(COUNTA(G351:J351)&lt;4,"",ROUND(AVERAGE(G351:J351),1))</f>
        <v/>
      </c>
      <c r="L351" s="2" t="n"/>
      <c r="M351" s="2" t="n"/>
      <c r="N351" s="2" t="n"/>
      <c r="O351" s="2" t="n"/>
    </row>
    <row r="352">
      <c r="A352" s="2" t="n"/>
      <c r="B352" s="2" t="n"/>
      <c r="C352" s="2" t="n"/>
      <c r="D352" s="2" t="n"/>
      <c r="E352" s="2" t="n"/>
      <c r="F352" s="2" t="n"/>
      <c r="G352" s="2" t="n"/>
      <c r="H352" s="2" t="n"/>
      <c r="I352" s="2" t="n"/>
      <c r="J352" s="2" t="n"/>
      <c r="K352" s="2">
        <f>IF(COUNTA(G352:J352)&lt;4,"",ROUND(AVERAGE(G352:J352),1))</f>
        <v/>
      </c>
      <c r="L352" s="2" t="n"/>
      <c r="M352" s="2" t="n"/>
      <c r="N352" s="2" t="n"/>
      <c r="O352" s="2" t="n"/>
    </row>
    <row r="353">
      <c r="A353" s="2" t="n"/>
      <c r="B353" s="2" t="n"/>
      <c r="C353" s="2" t="n"/>
      <c r="D353" s="2" t="n"/>
      <c r="E353" s="2" t="n"/>
      <c r="F353" s="2" t="n"/>
      <c r="G353" s="2" t="n"/>
      <c r="H353" s="2" t="n"/>
      <c r="I353" s="2" t="n"/>
      <c r="J353" s="2" t="n"/>
      <c r="K353" s="2">
        <f>IF(COUNTA(G353:J353)&lt;4,"",ROUND(AVERAGE(G353:J353),1))</f>
        <v/>
      </c>
      <c r="L353" s="2" t="n"/>
      <c r="M353" s="2" t="n"/>
      <c r="N353" s="2" t="n"/>
      <c r="O353" s="2" t="n"/>
    </row>
    <row r="354">
      <c r="A354" s="2" t="n"/>
      <c r="B354" s="2" t="n"/>
      <c r="C354" s="2" t="n"/>
      <c r="D354" s="2" t="n"/>
      <c r="E354" s="2" t="n"/>
      <c r="F354" s="2" t="n"/>
      <c r="G354" s="2" t="n"/>
      <c r="H354" s="2" t="n"/>
      <c r="I354" s="2" t="n"/>
      <c r="J354" s="2" t="n"/>
      <c r="K354" s="2">
        <f>IF(COUNTA(G354:J354)&lt;4,"",ROUND(AVERAGE(G354:J354),1))</f>
        <v/>
      </c>
      <c r="L354" s="2" t="n"/>
      <c r="M354" s="2" t="n"/>
      <c r="N354" s="2" t="n"/>
      <c r="O354" s="2" t="n"/>
    </row>
    <row r="355">
      <c r="A355" s="2" t="n"/>
      <c r="B355" s="2" t="n"/>
      <c r="C355" s="2" t="n"/>
      <c r="D355" s="2" t="n"/>
      <c r="E355" s="2" t="n"/>
      <c r="F355" s="2" t="n"/>
      <c r="G355" s="2" t="n"/>
      <c r="H355" s="2" t="n"/>
      <c r="I355" s="2" t="n"/>
      <c r="J355" s="2" t="n"/>
      <c r="K355" s="2">
        <f>IF(COUNTA(G355:J355)&lt;4,"",ROUND(AVERAGE(G355:J355),1))</f>
        <v/>
      </c>
      <c r="L355" s="2" t="n"/>
      <c r="M355" s="2" t="n"/>
      <c r="N355" s="2" t="n"/>
      <c r="O355" s="2" t="n"/>
    </row>
    <row r="356">
      <c r="A356" s="2" t="n"/>
      <c r="B356" s="2" t="n"/>
      <c r="C356" s="2" t="n"/>
      <c r="D356" s="2" t="n"/>
      <c r="E356" s="2" t="n"/>
      <c r="F356" s="2" t="n"/>
      <c r="G356" s="2" t="n"/>
      <c r="H356" s="2" t="n"/>
      <c r="I356" s="2" t="n"/>
      <c r="J356" s="2" t="n"/>
      <c r="K356" s="2">
        <f>IF(COUNTA(G356:J356)&lt;4,"",ROUND(AVERAGE(G356:J356),1))</f>
        <v/>
      </c>
      <c r="L356" s="2" t="n"/>
      <c r="M356" s="2" t="n"/>
      <c r="N356" s="2" t="n"/>
      <c r="O356" s="2" t="n"/>
    </row>
    <row r="357">
      <c r="A357" s="2" t="n"/>
      <c r="B357" s="2" t="n"/>
      <c r="C357" s="2" t="n"/>
      <c r="D357" s="2" t="n"/>
      <c r="E357" s="2" t="n"/>
      <c r="F357" s="2" t="n"/>
      <c r="G357" s="2" t="n"/>
      <c r="H357" s="2" t="n"/>
      <c r="I357" s="2" t="n"/>
      <c r="J357" s="2" t="n"/>
      <c r="K357" s="2">
        <f>IF(COUNTA(G357:J357)&lt;4,"",ROUND(AVERAGE(G357:J357),1))</f>
        <v/>
      </c>
      <c r="L357" s="2" t="n"/>
      <c r="M357" s="2" t="n"/>
      <c r="N357" s="2" t="n"/>
      <c r="O357" s="2" t="n"/>
    </row>
    <row r="358">
      <c r="A358" s="2" t="n"/>
      <c r="B358" s="2" t="n"/>
      <c r="C358" s="2" t="n"/>
      <c r="D358" s="2" t="n"/>
      <c r="E358" s="2" t="n"/>
      <c r="F358" s="2" t="n"/>
      <c r="G358" s="2" t="n"/>
      <c r="H358" s="2" t="n"/>
      <c r="I358" s="2" t="n"/>
      <c r="J358" s="2" t="n"/>
      <c r="K358" s="2">
        <f>IF(COUNTA(G358:J358)&lt;4,"",ROUND(AVERAGE(G358:J358),1))</f>
        <v/>
      </c>
      <c r="L358" s="2" t="n"/>
      <c r="M358" s="2" t="n"/>
      <c r="N358" s="2" t="n"/>
      <c r="O358" s="2" t="n"/>
    </row>
    <row r="359">
      <c r="A359" s="2" t="n"/>
      <c r="B359" s="2" t="n"/>
      <c r="C359" s="2" t="n"/>
      <c r="D359" s="2" t="n"/>
      <c r="E359" s="2" t="n"/>
      <c r="F359" s="2" t="n"/>
      <c r="G359" s="2" t="n"/>
      <c r="H359" s="2" t="n"/>
      <c r="I359" s="2" t="n"/>
      <c r="J359" s="2" t="n"/>
      <c r="K359" s="2">
        <f>IF(COUNTA(G359:J359)&lt;4,"",ROUND(AVERAGE(G359:J359),1))</f>
        <v/>
      </c>
      <c r="L359" s="2" t="n"/>
      <c r="M359" s="2" t="n"/>
      <c r="N359" s="2" t="n"/>
      <c r="O359" s="2" t="n"/>
    </row>
    <row r="360">
      <c r="A360" s="2" t="n"/>
      <c r="B360" s="2" t="n"/>
      <c r="C360" s="2" t="n"/>
      <c r="D360" s="2" t="n"/>
      <c r="E360" s="2" t="n"/>
      <c r="F360" s="2" t="n"/>
      <c r="G360" s="2" t="n"/>
      <c r="H360" s="2" t="n"/>
      <c r="I360" s="2" t="n"/>
      <c r="J360" s="2" t="n"/>
      <c r="K360" s="2">
        <f>IF(COUNTA(G360:J360)&lt;4,"",ROUND(AVERAGE(G360:J360),1))</f>
        <v/>
      </c>
      <c r="L360" s="2" t="n"/>
      <c r="M360" s="2" t="n"/>
      <c r="N360" s="2" t="n"/>
      <c r="O360" s="2" t="n"/>
    </row>
    <row r="361">
      <c r="A361" s="2" t="n"/>
      <c r="B361" s="2" t="n"/>
      <c r="C361" s="2" t="n"/>
      <c r="D361" s="2" t="n"/>
      <c r="E361" s="2" t="n"/>
      <c r="F361" s="2" t="n"/>
      <c r="G361" s="2" t="n"/>
      <c r="H361" s="2" t="n"/>
      <c r="I361" s="2" t="n"/>
      <c r="J361" s="2" t="n"/>
      <c r="K361" s="2">
        <f>IF(COUNTA(G361:J361)&lt;4,"",ROUND(AVERAGE(G361:J361),1))</f>
        <v/>
      </c>
      <c r="L361" s="2" t="n"/>
      <c r="M361" s="2" t="n"/>
      <c r="N361" s="2" t="n"/>
      <c r="O361" s="2" t="n"/>
    </row>
    <row r="362">
      <c r="A362" s="2" t="n"/>
      <c r="B362" s="2" t="n"/>
      <c r="C362" s="2" t="n"/>
      <c r="D362" s="2" t="n"/>
      <c r="E362" s="2" t="n"/>
      <c r="F362" s="2" t="n"/>
      <c r="G362" s="2" t="n"/>
      <c r="H362" s="2" t="n"/>
      <c r="I362" s="2" t="n"/>
      <c r="J362" s="2" t="n"/>
      <c r="K362" s="2">
        <f>IF(COUNTA(G362:J362)&lt;4,"",ROUND(AVERAGE(G362:J362),1))</f>
        <v/>
      </c>
      <c r="L362" s="2" t="n"/>
      <c r="M362" s="2" t="n"/>
      <c r="N362" s="2" t="n"/>
      <c r="O362" s="2" t="n"/>
    </row>
    <row r="363">
      <c r="A363" s="2" t="n"/>
      <c r="B363" s="2" t="n"/>
      <c r="C363" s="2" t="n"/>
      <c r="D363" s="2" t="n"/>
      <c r="E363" s="2" t="n"/>
      <c r="F363" s="2" t="n"/>
      <c r="G363" s="2" t="n"/>
      <c r="H363" s="2" t="n"/>
      <c r="I363" s="2" t="n"/>
      <c r="J363" s="2" t="n"/>
      <c r="K363" s="2">
        <f>IF(COUNTA(G363:J363)&lt;4,"",ROUND(AVERAGE(G363:J363),1))</f>
        <v/>
      </c>
      <c r="L363" s="2" t="n"/>
      <c r="M363" s="2" t="n"/>
      <c r="N363" s="2" t="n"/>
      <c r="O363" s="2" t="n"/>
    </row>
    <row r="364">
      <c r="A364" s="2" t="n"/>
      <c r="B364" s="2" t="n"/>
      <c r="C364" s="2" t="n"/>
      <c r="D364" s="2" t="n"/>
      <c r="E364" s="2" t="n"/>
      <c r="F364" s="2" t="n"/>
      <c r="G364" s="2" t="n"/>
      <c r="H364" s="2" t="n"/>
      <c r="I364" s="2" t="n"/>
      <c r="J364" s="2" t="n"/>
      <c r="K364" s="2">
        <f>IF(COUNTA(G364:J364)&lt;4,"",ROUND(AVERAGE(G364:J364),1))</f>
        <v/>
      </c>
      <c r="L364" s="2" t="n"/>
      <c r="M364" s="2" t="n"/>
      <c r="N364" s="2" t="n"/>
      <c r="O364" s="2" t="n"/>
    </row>
    <row r="365">
      <c r="A365" s="2" t="n"/>
      <c r="B365" s="2" t="n"/>
      <c r="C365" s="2" t="n"/>
      <c r="D365" s="2" t="n"/>
      <c r="E365" s="2" t="n"/>
      <c r="F365" s="2" t="n"/>
      <c r="G365" s="2" t="n"/>
      <c r="H365" s="2" t="n"/>
      <c r="I365" s="2" t="n"/>
      <c r="J365" s="2" t="n"/>
      <c r="K365" s="2">
        <f>IF(COUNTA(G365:J365)&lt;4,"",ROUND(AVERAGE(G365:J365),1))</f>
        <v/>
      </c>
      <c r="L365" s="2" t="n"/>
      <c r="M365" s="2" t="n"/>
      <c r="N365" s="2" t="n"/>
      <c r="O365" s="2" t="n"/>
    </row>
    <row r="366">
      <c r="A366" s="2" t="n"/>
      <c r="B366" s="2" t="n"/>
      <c r="C366" s="2" t="n"/>
      <c r="D366" s="2" t="n"/>
      <c r="E366" s="2" t="n"/>
      <c r="F366" s="2" t="n"/>
      <c r="G366" s="2" t="n"/>
      <c r="H366" s="2" t="n"/>
      <c r="I366" s="2" t="n"/>
      <c r="J366" s="2" t="n"/>
      <c r="K366" s="2">
        <f>IF(COUNTA(G366:J366)&lt;4,"",ROUND(AVERAGE(G366:J366),1))</f>
        <v/>
      </c>
      <c r="L366" s="2" t="n"/>
      <c r="M366" s="2" t="n"/>
      <c r="N366" s="2" t="n"/>
      <c r="O366" s="2" t="n"/>
    </row>
    <row r="367">
      <c r="A367" s="2" t="n"/>
      <c r="B367" s="2" t="n"/>
      <c r="C367" s="2" t="n"/>
      <c r="D367" s="2" t="n"/>
      <c r="E367" s="2" t="n"/>
      <c r="F367" s="2" t="n"/>
      <c r="G367" s="2" t="n"/>
      <c r="H367" s="2" t="n"/>
      <c r="I367" s="2" t="n"/>
      <c r="J367" s="2" t="n"/>
      <c r="K367" s="2">
        <f>IF(COUNTA(G367:J367)&lt;4,"",ROUND(AVERAGE(G367:J367),1))</f>
        <v/>
      </c>
      <c r="L367" s="2" t="n"/>
      <c r="M367" s="2" t="n"/>
      <c r="N367" s="2" t="n"/>
      <c r="O367" s="2" t="n"/>
    </row>
    <row r="368">
      <c r="A368" s="2" t="n"/>
      <c r="B368" s="2" t="n"/>
      <c r="C368" s="2" t="n"/>
      <c r="D368" s="2" t="n"/>
      <c r="E368" s="2" t="n"/>
      <c r="F368" s="2" t="n"/>
      <c r="G368" s="2" t="n"/>
      <c r="H368" s="2" t="n"/>
      <c r="I368" s="2" t="n"/>
      <c r="J368" s="2" t="n"/>
      <c r="K368" s="2">
        <f>IF(COUNTA(G368:J368)&lt;4,"",ROUND(AVERAGE(G368:J368),1))</f>
        <v/>
      </c>
      <c r="L368" s="2" t="n"/>
      <c r="M368" s="2" t="n"/>
      <c r="N368" s="2" t="n"/>
      <c r="O368" s="2" t="n"/>
    </row>
    <row r="369">
      <c r="A369" s="2" t="n"/>
      <c r="B369" s="2" t="n"/>
      <c r="C369" s="2" t="n"/>
      <c r="D369" s="2" t="n"/>
      <c r="E369" s="2" t="n"/>
      <c r="F369" s="2" t="n"/>
      <c r="G369" s="2" t="n"/>
      <c r="H369" s="2" t="n"/>
      <c r="I369" s="2" t="n"/>
      <c r="J369" s="2" t="n"/>
      <c r="K369" s="2">
        <f>IF(COUNTA(G369:J369)&lt;4,"",ROUND(AVERAGE(G369:J369),1))</f>
        <v/>
      </c>
      <c r="L369" s="2" t="n"/>
      <c r="M369" s="2" t="n"/>
      <c r="N369" s="2" t="n"/>
      <c r="O369" s="2" t="n"/>
    </row>
    <row r="370">
      <c r="A370" s="2" t="n"/>
      <c r="B370" s="2" t="n"/>
      <c r="C370" s="2" t="n"/>
      <c r="D370" s="2" t="n"/>
      <c r="E370" s="2" t="n"/>
      <c r="F370" s="2" t="n"/>
      <c r="G370" s="2" t="n"/>
      <c r="H370" s="2" t="n"/>
      <c r="I370" s="2" t="n"/>
      <c r="J370" s="2" t="n"/>
      <c r="K370" s="2">
        <f>IF(COUNTA(G370:J370)&lt;4,"",ROUND(AVERAGE(G370:J370),1))</f>
        <v/>
      </c>
      <c r="L370" s="2" t="n"/>
      <c r="M370" s="2" t="n"/>
      <c r="N370" s="2" t="n"/>
      <c r="O370" s="2" t="n"/>
    </row>
    <row r="371">
      <c r="A371" s="2" t="n"/>
      <c r="B371" s="2" t="n"/>
      <c r="C371" s="2" t="n"/>
      <c r="D371" s="2" t="n"/>
      <c r="E371" s="2" t="n"/>
      <c r="F371" s="2" t="n"/>
      <c r="G371" s="2" t="n"/>
      <c r="H371" s="2" t="n"/>
      <c r="I371" s="2" t="n"/>
      <c r="J371" s="2" t="n"/>
      <c r="K371" s="2">
        <f>IF(COUNTA(G371:J371)&lt;4,"",ROUND(AVERAGE(G371:J371),1))</f>
        <v/>
      </c>
      <c r="L371" s="2" t="n"/>
      <c r="M371" s="2" t="n"/>
      <c r="N371" s="2" t="n"/>
      <c r="O371" s="2" t="n"/>
    </row>
    <row r="372">
      <c r="A372" s="2" t="n"/>
      <c r="B372" s="2" t="n"/>
      <c r="C372" s="2" t="n"/>
      <c r="D372" s="2" t="n"/>
      <c r="E372" s="2" t="n"/>
      <c r="F372" s="2" t="n"/>
      <c r="G372" s="2" t="n"/>
      <c r="H372" s="2" t="n"/>
      <c r="I372" s="2" t="n"/>
      <c r="J372" s="2" t="n"/>
      <c r="K372" s="2">
        <f>IF(COUNTA(G372:J372)&lt;4,"",ROUND(AVERAGE(G372:J372),1))</f>
        <v/>
      </c>
      <c r="L372" s="2" t="n"/>
      <c r="M372" s="2" t="n"/>
      <c r="N372" s="2" t="n"/>
      <c r="O372" s="2" t="n"/>
    </row>
    <row r="373">
      <c r="A373" s="2" t="n"/>
      <c r="B373" s="2" t="n"/>
      <c r="C373" s="2" t="n"/>
      <c r="D373" s="2" t="n"/>
      <c r="E373" s="2" t="n"/>
      <c r="F373" s="2" t="n"/>
      <c r="G373" s="2" t="n"/>
      <c r="H373" s="2" t="n"/>
      <c r="I373" s="2" t="n"/>
      <c r="J373" s="2" t="n"/>
      <c r="K373" s="2">
        <f>IF(COUNTA(G373:J373)&lt;4,"",ROUND(AVERAGE(G373:J373),1))</f>
        <v/>
      </c>
      <c r="L373" s="2" t="n"/>
      <c r="M373" s="2" t="n"/>
      <c r="N373" s="2" t="n"/>
      <c r="O373" s="2" t="n"/>
    </row>
    <row r="374">
      <c r="A374" s="2" t="n"/>
      <c r="B374" s="2" t="n"/>
      <c r="C374" s="2" t="n"/>
      <c r="D374" s="2" t="n"/>
      <c r="E374" s="2" t="n"/>
      <c r="F374" s="2" t="n"/>
      <c r="G374" s="2" t="n"/>
      <c r="H374" s="2" t="n"/>
      <c r="I374" s="2" t="n"/>
      <c r="J374" s="2" t="n"/>
      <c r="K374" s="2">
        <f>IF(COUNTA(G374:J374)&lt;4,"",ROUND(AVERAGE(G374:J374),1))</f>
        <v/>
      </c>
      <c r="L374" s="2" t="n"/>
      <c r="M374" s="2" t="n"/>
      <c r="N374" s="2" t="n"/>
      <c r="O374" s="2" t="n"/>
    </row>
    <row r="375">
      <c r="A375" s="2" t="n"/>
      <c r="B375" s="2" t="n"/>
      <c r="C375" s="2" t="n"/>
      <c r="D375" s="2" t="n"/>
      <c r="E375" s="2" t="n"/>
      <c r="F375" s="2" t="n"/>
      <c r="G375" s="2" t="n"/>
      <c r="H375" s="2" t="n"/>
      <c r="I375" s="2" t="n"/>
      <c r="J375" s="2" t="n"/>
      <c r="K375" s="2">
        <f>IF(COUNTA(G375:J375)&lt;4,"",ROUND(AVERAGE(G375:J375),1))</f>
        <v/>
      </c>
      <c r="L375" s="2" t="n"/>
      <c r="M375" s="2" t="n"/>
      <c r="N375" s="2" t="n"/>
      <c r="O375" s="2" t="n"/>
    </row>
    <row r="376">
      <c r="A376" s="2" t="n"/>
      <c r="B376" s="2" t="n"/>
      <c r="C376" s="2" t="n"/>
      <c r="D376" s="2" t="n"/>
      <c r="E376" s="2" t="n"/>
      <c r="F376" s="2" t="n"/>
      <c r="G376" s="2" t="n"/>
      <c r="H376" s="2" t="n"/>
      <c r="I376" s="2" t="n"/>
      <c r="J376" s="2" t="n"/>
      <c r="K376" s="2">
        <f>IF(COUNTA(G376:J376)&lt;4,"",ROUND(AVERAGE(G376:J376),1))</f>
        <v/>
      </c>
      <c r="L376" s="2" t="n"/>
      <c r="M376" s="2" t="n"/>
      <c r="N376" s="2" t="n"/>
      <c r="O376" s="2" t="n"/>
    </row>
    <row r="377">
      <c r="A377" s="2" t="n"/>
      <c r="B377" s="2" t="n"/>
      <c r="C377" s="2" t="n"/>
      <c r="D377" s="2" t="n"/>
      <c r="E377" s="2" t="n"/>
      <c r="F377" s="2" t="n"/>
      <c r="G377" s="2" t="n"/>
      <c r="H377" s="2" t="n"/>
      <c r="I377" s="2" t="n"/>
      <c r="J377" s="2" t="n"/>
      <c r="K377" s="2">
        <f>IF(COUNTA(G377:J377)&lt;4,"",ROUND(AVERAGE(G377:J377),1))</f>
        <v/>
      </c>
      <c r="L377" s="2" t="n"/>
      <c r="M377" s="2" t="n"/>
      <c r="N377" s="2" t="n"/>
      <c r="O377" s="2" t="n"/>
    </row>
    <row r="378">
      <c r="A378" s="2" t="n"/>
      <c r="B378" s="2" t="n"/>
      <c r="C378" s="2" t="n"/>
      <c r="D378" s="2" t="n"/>
      <c r="E378" s="2" t="n"/>
      <c r="F378" s="2" t="n"/>
      <c r="G378" s="2" t="n"/>
      <c r="H378" s="2" t="n"/>
      <c r="I378" s="2" t="n"/>
      <c r="J378" s="2" t="n"/>
      <c r="K378" s="2">
        <f>IF(COUNTA(G378:J378)&lt;4,"",ROUND(AVERAGE(G378:J378),1))</f>
        <v/>
      </c>
      <c r="L378" s="2" t="n"/>
      <c r="M378" s="2" t="n"/>
      <c r="N378" s="2" t="n"/>
      <c r="O378" s="2" t="n"/>
    </row>
    <row r="379">
      <c r="A379" s="2" t="n"/>
      <c r="B379" s="2" t="n"/>
      <c r="C379" s="2" t="n"/>
      <c r="D379" s="2" t="n"/>
      <c r="E379" s="2" t="n"/>
      <c r="F379" s="2" t="n"/>
      <c r="G379" s="2" t="n"/>
      <c r="H379" s="2" t="n"/>
      <c r="I379" s="2" t="n"/>
      <c r="J379" s="2" t="n"/>
      <c r="K379" s="2">
        <f>IF(COUNTA(G379:J379)&lt;4,"",ROUND(AVERAGE(G379:J379),1))</f>
        <v/>
      </c>
      <c r="L379" s="2" t="n"/>
      <c r="M379" s="2" t="n"/>
      <c r="N379" s="2" t="n"/>
      <c r="O379" s="2" t="n"/>
    </row>
    <row r="380">
      <c r="A380" s="2" t="n"/>
      <c r="B380" s="2" t="n"/>
      <c r="C380" s="2" t="n"/>
      <c r="D380" s="2" t="n"/>
      <c r="E380" s="2" t="n"/>
      <c r="F380" s="2" t="n"/>
      <c r="G380" s="2" t="n"/>
      <c r="H380" s="2" t="n"/>
      <c r="I380" s="2" t="n"/>
      <c r="J380" s="2" t="n"/>
      <c r="K380" s="2">
        <f>IF(COUNTA(G380:J380)&lt;4,"",ROUND(AVERAGE(G380:J380),1))</f>
        <v/>
      </c>
      <c r="L380" s="2" t="n"/>
      <c r="M380" s="2" t="n"/>
      <c r="N380" s="2" t="n"/>
      <c r="O380" s="2" t="n"/>
    </row>
    <row r="381">
      <c r="A381" s="2" t="n"/>
      <c r="B381" s="2" t="n"/>
      <c r="C381" s="2" t="n"/>
      <c r="D381" s="2" t="n"/>
      <c r="E381" s="2" t="n"/>
      <c r="F381" s="2" t="n"/>
      <c r="G381" s="2" t="n"/>
      <c r="H381" s="2" t="n"/>
      <c r="I381" s="2" t="n"/>
      <c r="J381" s="2" t="n"/>
      <c r="K381" s="2">
        <f>IF(COUNTA(G381:J381)&lt;4,"",ROUND(AVERAGE(G381:J381),1))</f>
        <v/>
      </c>
      <c r="L381" s="2" t="n"/>
      <c r="M381" s="2" t="n"/>
      <c r="N381" s="2" t="n"/>
      <c r="O381" s="2" t="n"/>
    </row>
    <row r="382">
      <c r="A382" s="2" t="n"/>
      <c r="B382" s="2" t="n"/>
      <c r="C382" s="2" t="n"/>
      <c r="D382" s="2" t="n"/>
      <c r="E382" s="2" t="n"/>
      <c r="F382" s="2" t="n"/>
      <c r="G382" s="2" t="n"/>
      <c r="H382" s="2" t="n"/>
      <c r="I382" s="2" t="n"/>
      <c r="J382" s="2" t="n"/>
      <c r="K382" s="2">
        <f>IF(COUNTA(G382:J382)&lt;4,"",ROUND(AVERAGE(G382:J382),1))</f>
        <v/>
      </c>
      <c r="L382" s="2" t="n"/>
      <c r="M382" s="2" t="n"/>
      <c r="N382" s="2" t="n"/>
      <c r="O382" s="2" t="n"/>
    </row>
    <row r="383">
      <c r="A383" s="2" t="n"/>
      <c r="B383" s="2" t="n"/>
      <c r="C383" s="2" t="n"/>
      <c r="D383" s="2" t="n"/>
      <c r="E383" s="2" t="n"/>
      <c r="F383" s="2" t="n"/>
      <c r="G383" s="2" t="n"/>
      <c r="H383" s="2" t="n"/>
      <c r="I383" s="2" t="n"/>
      <c r="J383" s="2" t="n"/>
      <c r="K383" s="2">
        <f>IF(COUNTA(G383:J383)&lt;4,"",ROUND(AVERAGE(G383:J383),1))</f>
        <v/>
      </c>
      <c r="L383" s="2" t="n"/>
      <c r="M383" s="2" t="n"/>
      <c r="N383" s="2" t="n"/>
      <c r="O383" s="2" t="n"/>
    </row>
    <row r="384">
      <c r="A384" s="2" t="n"/>
      <c r="B384" s="2" t="n"/>
      <c r="C384" s="2" t="n"/>
      <c r="D384" s="2" t="n"/>
      <c r="E384" s="2" t="n"/>
      <c r="F384" s="2" t="n"/>
      <c r="G384" s="2" t="n"/>
      <c r="H384" s="2" t="n"/>
      <c r="I384" s="2" t="n"/>
      <c r="J384" s="2" t="n"/>
      <c r="K384" s="2">
        <f>IF(COUNTA(G384:J384)&lt;4,"",ROUND(AVERAGE(G384:J384),1))</f>
        <v/>
      </c>
      <c r="L384" s="2" t="n"/>
      <c r="M384" s="2" t="n"/>
      <c r="N384" s="2" t="n"/>
      <c r="O384" s="2" t="n"/>
    </row>
    <row r="385">
      <c r="A385" s="2" t="n"/>
      <c r="B385" s="2" t="n"/>
      <c r="C385" s="2" t="n"/>
      <c r="D385" s="2" t="n"/>
      <c r="E385" s="2" t="n"/>
      <c r="F385" s="2" t="n"/>
      <c r="G385" s="2" t="n"/>
      <c r="H385" s="2" t="n"/>
      <c r="I385" s="2" t="n"/>
      <c r="J385" s="2" t="n"/>
      <c r="K385" s="2">
        <f>IF(COUNTA(G385:J385)&lt;4,"",ROUND(AVERAGE(G385:J385),1))</f>
        <v/>
      </c>
      <c r="L385" s="2" t="n"/>
      <c r="M385" s="2" t="n"/>
      <c r="N385" s="2" t="n"/>
      <c r="O385" s="2" t="n"/>
    </row>
    <row r="386">
      <c r="A386" s="2" t="n"/>
      <c r="B386" s="2" t="n"/>
      <c r="C386" s="2" t="n"/>
      <c r="D386" s="2" t="n"/>
      <c r="E386" s="2" t="n"/>
      <c r="F386" s="2" t="n"/>
      <c r="G386" s="2" t="n"/>
      <c r="H386" s="2" t="n"/>
      <c r="I386" s="2" t="n"/>
      <c r="J386" s="2" t="n"/>
      <c r="K386" s="2">
        <f>IF(COUNTA(G386:J386)&lt;4,"",ROUND(AVERAGE(G386:J386),1))</f>
        <v/>
      </c>
      <c r="L386" s="2" t="n"/>
      <c r="M386" s="2" t="n"/>
      <c r="N386" s="2" t="n"/>
      <c r="O386" s="2" t="n"/>
    </row>
    <row r="387">
      <c r="A387" s="2" t="n"/>
      <c r="B387" s="2" t="n"/>
      <c r="C387" s="2" t="n"/>
      <c r="D387" s="2" t="n"/>
      <c r="E387" s="2" t="n"/>
      <c r="F387" s="2" t="n"/>
      <c r="G387" s="2" t="n"/>
      <c r="H387" s="2" t="n"/>
      <c r="I387" s="2" t="n"/>
      <c r="J387" s="2" t="n"/>
      <c r="K387" s="2">
        <f>IF(COUNTA(G387:J387)&lt;4,"",ROUND(AVERAGE(G387:J387),1))</f>
        <v/>
      </c>
      <c r="L387" s="2" t="n"/>
      <c r="M387" s="2" t="n"/>
      <c r="N387" s="2" t="n"/>
      <c r="O387" s="2" t="n"/>
    </row>
    <row r="388">
      <c r="A388" s="2" t="n"/>
      <c r="B388" s="2" t="n"/>
      <c r="C388" s="2" t="n"/>
      <c r="D388" s="2" t="n"/>
      <c r="E388" s="2" t="n"/>
      <c r="F388" s="2" t="n"/>
      <c r="G388" s="2" t="n"/>
      <c r="H388" s="2" t="n"/>
      <c r="I388" s="2" t="n"/>
      <c r="J388" s="2" t="n"/>
      <c r="K388" s="2">
        <f>IF(COUNTA(G388:J388)&lt;4,"",ROUND(AVERAGE(G388:J388),1))</f>
        <v/>
      </c>
      <c r="L388" s="2" t="n"/>
      <c r="M388" s="2" t="n"/>
      <c r="N388" s="2" t="n"/>
      <c r="O388" s="2" t="n"/>
    </row>
    <row r="389">
      <c r="A389" s="2" t="n"/>
      <c r="B389" s="2" t="n"/>
      <c r="C389" s="2" t="n"/>
      <c r="D389" s="2" t="n"/>
      <c r="E389" s="2" t="n"/>
      <c r="F389" s="2" t="n"/>
      <c r="G389" s="2" t="n"/>
      <c r="H389" s="2" t="n"/>
      <c r="I389" s="2" t="n"/>
      <c r="J389" s="2" t="n"/>
      <c r="K389" s="2">
        <f>IF(COUNTA(G389:J389)&lt;4,"",ROUND(AVERAGE(G389:J389),1))</f>
        <v/>
      </c>
      <c r="L389" s="2" t="n"/>
      <c r="M389" s="2" t="n"/>
      <c r="N389" s="2" t="n"/>
      <c r="O389" s="2" t="n"/>
    </row>
    <row r="390">
      <c r="A390" s="2" t="n"/>
      <c r="B390" s="2" t="n"/>
      <c r="C390" s="2" t="n"/>
      <c r="D390" s="2" t="n"/>
      <c r="E390" s="2" t="n"/>
      <c r="F390" s="2" t="n"/>
      <c r="G390" s="2" t="n"/>
      <c r="H390" s="2" t="n"/>
      <c r="I390" s="2" t="n"/>
      <c r="J390" s="2" t="n"/>
      <c r="K390" s="2">
        <f>IF(COUNTA(G390:J390)&lt;4,"",ROUND(AVERAGE(G390:J390),1))</f>
        <v/>
      </c>
      <c r="L390" s="2" t="n"/>
      <c r="M390" s="2" t="n"/>
      <c r="N390" s="2" t="n"/>
      <c r="O390" s="2" t="n"/>
    </row>
    <row r="391">
      <c r="A391" s="2" t="n"/>
      <c r="B391" s="2" t="n"/>
      <c r="C391" s="2" t="n"/>
      <c r="D391" s="2" t="n"/>
      <c r="E391" s="2" t="n"/>
      <c r="F391" s="2" t="n"/>
      <c r="G391" s="2" t="n"/>
      <c r="H391" s="2" t="n"/>
      <c r="I391" s="2" t="n"/>
      <c r="J391" s="2" t="n"/>
      <c r="K391" s="2">
        <f>IF(COUNTA(G391:J391)&lt;4,"",ROUND(AVERAGE(G391:J391),1))</f>
        <v/>
      </c>
      <c r="L391" s="2" t="n"/>
      <c r="M391" s="2" t="n"/>
      <c r="N391" s="2" t="n"/>
      <c r="O391" s="2" t="n"/>
    </row>
    <row r="392">
      <c r="A392" s="2" t="n"/>
      <c r="B392" s="2" t="n"/>
      <c r="C392" s="2" t="n"/>
      <c r="D392" s="2" t="n"/>
      <c r="E392" s="2" t="n"/>
      <c r="F392" s="2" t="n"/>
      <c r="G392" s="2" t="n"/>
      <c r="H392" s="2" t="n"/>
      <c r="I392" s="2" t="n"/>
      <c r="J392" s="2" t="n"/>
      <c r="K392" s="2">
        <f>IF(COUNTA(G392:J392)&lt;4,"",ROUND(AVERAGE(G392:J392),1))</f>
        <v/>
      </c>
      <c r="L392" s="2" t="n"/>
      <c r="M392" s="2" t="n"/>
      <c r="N392" s="2" t="n"/>
      <c r="O392" s="2" t="n"/>
    </row>
    <row r="393">
      <c r="A393" s="2" t="n"/>
      <c r="B393" s="2" t="n"/>
      <c r="C393" s="2" t="n"/>
      <c r="D393" s="2" t="n"/>
      <c r="E393" s="2" t="n"/>
      <c r="F393" s="2" t="n"/>
      <c r="G393" s="2" t="n"/>
      <c r="H393" s="2" t="n"/>
      <c r="I393" s="2" t="n"/>
      <c r="J393" s="2" t="n"/>
      <c r="K393" s="2">
        <f>IF(COUNTA(G393:J393)&lt;4,"",ROUND(AVERAGE(G393:J393),1))</f>
        <v/>
      </c>
      <c r="L393" s="2" t="n"/>
      <c r="M393" s="2" t="n"/>
      <c r="N393" s="2" t="n"/>
      <c r="O393" s="2" t="n"/>
    </row>
    <row r="394">
      <c r="A394" s="2" t="n"/>
      <c r="B394" s="2" t="n"/>
      <c r="C394" s="2" t="n"/>
      <c r="D394" s="2" t="n"/>
      <c r="E394" s="2" t="n"/>
      <c r="F394" s="2" t="n"/>
      <c r="G394" s="2" t="n"/>
      <c r="H394" s="2" t="n"/>
      <c r="I394" s="2" t="n"/>
      <c r="J394" s="2" t="n"/>
      <c r="K394" s="2">
        <f>IF(COUNTA(G394:J394)&lt;4,"",ROUND(AVERAGE(G394:J394),1))</f>
        <v/>
      </c>
      <c r="L394" s="2" t="n"/>
      <c r="M394" s="2" t="n"/>
      <c r="N394" s="2" t="n"/>
      <c r="O394" s="2" t="n"/>
    </row>
    <row r="395">
      <c r="A395" s="2" t="n"/>
      <c r="B395" s="2" t="n"/>
      <c r="C395" s="2" t="n"/>
      <c r="D395" s="2" t="n"/>
      <c r="E395" s="2" t="n"/>
      <c r="F395" s="2" t="n"/>
      <c r="G395" s="2" t="n"/>
      <c r="H395" s="2" t="n"/>
      <c r="I395" s="2" t="n"/>
      <c r="J395" s="2" t="n"/>
      <c r="K395" s="2">
        <f>IF(COUNTA(G395:J395)&lt;4,"",ROUND(AVERAGE(G395:J395),1))</f>
        <v/>
      </c>
      <c r="L395" s="2" t="n"/>
      <c r="M395" s="2" t="n"/>
      <c r="N395" s="2" t="n"/>
      <c r="O395" s="2" t="n"/>
    </row>
    <row r="396">
      <c r="A396" s="2" t="n"/>
      <c r="B396" s="2" t="n"/>
      <c r="C396" s="2" t="n"/>
      <c r="D396" s="2" t="n"/>
      <c r="E396" s="2" t="n"/>
      <c r="F396" s="2" t="n"/>
      <c r="G396" s="2" t="n"/>
      <c r="H396" s="2" t="n"/>
      <c r="I396" s="2" t="n"/>
      <c r="J396" s="2" t="n"/>
      <c r="K396" s="2">
        <f>IF(COUNTA(G396:J396)&lt;4,"",ROUND(AVERAGE(G396:J396),1))</f>
        <v/>
      </c>
      <c r="L396" s="2" t="n"/>
      <c r="M396" s="2" t="n"/>
      <c r="N396" s="2" t="n"/>
      <c r="O396" s="2" t="n"/>
    </row>
    <row r="397">
      <c r="A397" s="2" t="n"/>
      <c r="B397" s="2" t="n"/>
      <c r="C397" s="2" t="n"/>
      <c r="D397" s="2" t="n"/>
      <c r="E397" s="2" t="n"/>
      <c r="F397" s="2" t="n"/>
      <c r="G397" s="2" t="n"/>
      <c r="H397" s="2" t="n"/>
      <c r="I397" s="2" t="n"/>
      <c r="J397" s="2" t="n"/>
      <c r="K397" s="2">
        <f>IF(COUNTA(G397:J397)&lt;4,"",ROUND(AVERAGE(G397:J397),1))</f>
        <v/>
      </c>
      <c r="L397" s="2" t="n"/>
      <c r="M397" s="2" t="n"/>
      <c r="N397" s="2" t="n"/>
      <c r="O397" s="2" t="n"/>
    </row>
    <row r="398">
      <c r="A398" s="2" t="n"/>
      <c r="B398" s="2" t="n"/>
      <c r="C398" s="2" t="n"/>
      <c r="D398" s="2" t="n"/>
      <c r="E398" s="2" t="n"/>
      <c r="F398" s="2" t="n"/>
      <c r="G398" s="2" t="n"/>
      <c r="H398" s="2" t="n"/>
      <c r="I398" s="2" t="n"/>
      <c r="J398" s="2" t="n"/>
      <c r="K398" s="2">
        <f>IF(COUNTA(G398:J398)&lt;4,"",ROUND(AVERAGE(G398:J398),1))</f>
        <v/>
      </c>
      <c r="L398" s="2" t="n"/>
      <c r="M398" s="2" t="n"/>
      <c r="N398" s="2" t="n"/>
      <c r="O398" s="2" t="n"/>
    </row>
    <row r="399">
      <c r="A399" s="2" t="n"/>
      <c r="B399" s="2" t="n"/>
      <c r="C399" s="2" t="n"/>
      <c r="D399" s="2" t="n"/>
      <c r="E399" s="2" t="n"/>
      <c r="F399" s="2" t="n"/>
      <c r="G399" s="2" t="n"/>
      <c r="H399" s="2" t="n"/>
      <c r="I399" s="2" t="n"/>
      <c r="J399" s="2" t="n"/>
      <c r="K399" s="2">
        <f>IF(COUNTA(G399:J399)&lt;4,"",ROUND(AVERAGE(G399:J399),1))</f>
        <v/>
      </c>
      <c r="L399" s="2" t="n"/>
      <c r="M399" s="2" t="n"/>
      <c r="N399" s="2" t="n"/>
      <c r="O399" s="2" t="n"/>
    </row>
    <row r="400">
      <c r="A400" s="2" t="n"/>
      <c r="B400" s="2" t="n"/>
      <c r="C400" s="2" t="n"/>
      <c r="D400" s="2" t="n"/>
      <c r="E400" s="2" t="n"/>
      <c r="F400" s="2" t="n"/>
      <c r="G400" s="2" t="n"/>
      <c r="H400" s="2" t="n"/>
      <c r="I400" s="2" t="n"/>
      <c r="J400" s="2" t="n"/>
      <c r="K400" s="2">
        <f>IF(COUNTA(G400:J400)&lt;4,"",ROUND(AVERAGE(G400:J400),1))</f>
        <v/>
      </c>
      <c r="L400" s="2" t="n"/>
      <c r="M400" s="2" t="n"/>
      <c r="N400" s="2" t="n"/>
      <c r="O400" s="2" t="n"/>
    </row>
    <row r="401">
      <c r="A401" s="2" t="n"/>
      <c r="B401" s="2" t="n"/>
      <c r="C401" s="2" t="n"/>
      <c r="D401" s="2" t="n"/>
      <c r="E401" s="2" t="n"/>
      <c r="F401" s="2" t="n"/>
      <c r="G401" s="2" t="n"/>
      <c r="H401" s="2" t="n"/>
      <c r="I401" s="2" t="n"/>
      <c r="J401" s="2" t="n"/>
      <c r="K401" s="2">
        <f>IF(COUNTA(G401:J401)&lt;4,"",ROUND(AVERAGE(G401:J401),1))</f>
        <v/>
      </c>
      <c r="L401" s="2" t="n"/>
      <c r="M401" s="2" t="n"/>
      <c r="N401" s="2" t="n"/>
      <c r="O401" s="2" t="n"/>
    </row>
    <row r="402">
      <c r="A402" s="2" t="n"/>
      <c r="B402" s="2" t="n"/>
      <c r="C402" s="2" t="n"/>
      <c r="D402" s="2" t="n"/>
      <c r="E402" s="2" t="n"/>
      <c r="F402" s="2" t="n"/>
      <c r="G402" s="2" t="n"/>
      <c r="H402" s="2" t="n"/>
      <c r="I402" s="2" t="n"/>
      <c r="J402" s="2" t="n"/>
      <c r="K402" s="2">
        <f>IF(COUNTA(G402:J402)&lt;4,"",ROUND(AVERAGE(G402:J402),1))</f>
        <v/>
      </c>
      <c r="L402" s="2" t="n"/>
      <c r="M402" s="2" t="n"/>
      <c r="N402" s="2" t="n"/>
      <c r="O402" s="2" t="n"/>
    </row>
    <row r="403">
      <c r="A403" s="2" t="n"/>
      <c r="B403" s="2" t="n"/>
      <c r="C403" s="2" t="n"/>
      <c r="D403" s="2" t="n"/>
      <c r="E403" s="2" t="n"/>
      <c r="F403" s="2" t="n"/>
      <c r="G403" s="2" t="n"/>
      <c r="H403" s="2" t="n"/>
      <c r="I403" s="2" t="n"/>
      <c r="J403" s="2" t="n"/>
      <c r="K403" s="2">
        <f>IF(COUNTA(G403:J403)&lt;4,"",ROUND(AVERAGE(G403:J403),1))</f>
        <v/>
      </c>
      <c r="L403" s="2" t="n"/>
      <c r="M403" s="2" t="n"/>
      <c r="N403" s="2" t="n"/>
      <c r="O403" s="2" t="n"/>
    </row>
    <row r="404">
      <c r="A404" s="2" t="n"/>
      <c r="B404" s="2" t="n"/>
      <c r="C404" s="2" t="n"/>
      <c r="D404" s="2" t="n"/>
      <c r="E404" s="2" t="n"/>
      <c r="F404" s="2" t="n"/>
      <c r="G404" s="2" t="n"/>
      <c r="H404" s="2" t="n"/>
      <c r="I404" s="2" t="n"/>
      <c r="J404" s="2" t="n"/>
      <c r="K404" s="2">
        <f>IF(COUNTA(G404:J404)&lt;4,"",ROUND(AVERAGE(G404:J404),1))</f>
        <v/>
      </c>
      <c r="L404" s="2" t="n"/>
      <c r="M404" s="2" t="n"/>
      <c r="N404" s="2" t="n"/>
      <c r="O404" s="2" t="n"/>
    </row>
    <row r="405">
      <c r="A405" s="2" t="n"/>
      <c r="B405" s="2" t="n"/>
      <c r="C405" s="2" t="n"/>
      <c r="D405" s="2" t="n"/>
      <c r="E405" s="2" t="n"/>
      <c r="F405" s="2" t="n"/>
      <c r="G405" s="2" t="n"/>
      <c r="H405" s="2" t="n"/>
      <c r="I405" s="2" t="n"/>
      <c r="J405" s="2" t="n"/>
      <c r="K405" s="2">
        <f>IF(COUNTA(G405:J405)&lt;4,"",ROUND(AVERAGE(G405:J405),1))</f>
        <v/>
      </c>
      <c r="L405" s="2" t="n"/>
      <c r="M405" s="2" t="n"/>
      <c r="N405" s="2" t="n"/>
      <c r="O405" s="2" t="n"/>
    </row>
    <row r="406">
      <c r="A406" s="2" t="n"/>
      <c r="B406" s="2" t="n"/>
      <c r="C406" s="2" t="n"/>
      <c r="D406" s="2" t="n"/>
      <c r="E406" s="2" t="n"/>
      <c r="F406" s="2" t="n"/>
      <c r="G406" s="2" t="n"/>
      <c r="H406" s="2" t="n"/>
      <c r="I406" s="2" t="n"/>
      <c r="J406" s="2" t="n"/>
      <c r="K406" s="2">
        <f>IF(COUNTA(G406:J406)&lt;4,"",ROUND(AVERAGE(G406:J406),1))</f>
        <v/>
      </c>
      <c r="L406" s="2" t="n"/>
      <c r="M406" s="2" t="n"/>
      <c r="N406" s="2" t="n"/>
      <c r="O406" s="2" t="n"/>
    </row>
    <row r="407">
      <c r="A407" s="2" t="n"/>
      <c r="B407" s="2" t="n"/>
      <c r="C407" s="2" t="n"/>
      <c r="D407" s="2" t="n"/>
      <c r="E407" s="2" t="n"/>
      <c r="F407" s="2" t="n"/>
      <c r="G407" s="2" t="n"/>
      <c r="H407" s="2" t="n"/>
      <c r="I407" s="2" t="n"/>
      <c r="J407" s="2" t="n"/>
      <c r="K407" s="2">
        <f>IF(COUNTA(G407:J407)&lt;4,"",ROUND(AVERAGE(G407:J407),1))</f>
        <v/>
      </c>
      <c r="L407" s="2" t="n"/>
      <c r="M407" s="2" t="n"/>
      <c r="N407" s="2" t="n"/>
      <c r="O407" s="2" t="n"/>
    </row>
    <row r="408">
      <c r="A408" s="2" t="n"/>
      <c r="B408" s="2" t="n"/>
      <c r="C408" s="2" t="n"/>
      <c r="D408" s="2" t="n"/>
      <c r="E408" s="2" t="n"/>
      <c r="F408" s="2" t="n"/>
      <c r="G408" s="2" t="n"/>
      <c r="H408" s="2" t="n"/>
      <c r="I408" s="2" t="n"/>
      <c r="J408" s="2" t="n"/>
      <c r="K408" s="2">
        <f>IF(COUNTA(G408:J408)&lt;4,"",ROUND(AVERAGE(G408:J408),1))</f>
        <v/>
      </c>
      <c r="L408" s="2" t="n"/>
      <c r="M408" s="2" t="n"/>
      <c r="N408" s="2" t="n"/>
      <c r="O408" s="2" t="n"/>
    </row>
    <row r="409">
      <c r="A409" s="2" t="n"/>
      <c r="B409" s="2" t="n"/>
      <c r="C409" s="2" t="n"/>
      <c r="D409" s="2" t="n"/>
      <c r="E409" s="2" t="n"/>
      <c r="F409" s="2" t="n"/>
      <c r="G409" s="2" t="n"/>
      <c r="H409" s="2" t="n"/>
      <c r="I409" s="2" t="n"/>
      <c r="J409" s="2" t="n"/>
      <c r="K409" s="2">
        <f>IF(COUNTA(G409:J409)&lt;4,"",ROUND(AVERAGE(G409:J409),1))</f>
        <v/>
      </c>
      <c r="L409" s="2" t="n"/>
      <c r="M409" s="2" t="n"/>
      <c r="N409" s="2" t="n"/>
      <c r="O409" s="2" t="n"/>
    </row>
    <row r="410">
      <c r="A410" s="2" t="n"/>
      <c r="B410" s="2" t="n"/>
      <c r="C410" s="2" t="n"/>
      <c r="D410" s="2" t="n"/>
      <c r="E410" s="2" t="n"/>
      <c r="F410" s="2" t="n"/>
      <c r="G410" s="2" t="n"/>
      <c r="H410" s="2" t="n"/>
      <c r="I410" s="2" t="n"/>
      <c r="J410" s="2" t="n"/>
      <c r="K410" s="2">
        <f>IF(COUNTA(G410:J410)&lt;4,"",ROUND(AVERAGE(G410:J410),1))</f>
        <v/>
      </c>
      <c r="L410" s="2" t="n"/>
      <c r="M410" s="2" t="n"/>
      <c r="N410" s="2" t="n"/>
      <c r="O410" s="2" t="n"/>
    </row>
    <row r="411">
      <c r="A411" s="2" t="n"/>
      <c r="B411" s="2" t="n"/>
      <c r="C411" s="2" t="n"/>
      <c r="D411" s="2" t="n"/>
      <c r="E411" s="2" t="n"/>
      <c r="F411" s="2" t="n"/>
      <c r="G411" s="2" t="n"/>
      <c r="H411" s="2" t="n"/>
      <c r="I411" s="2" t="n"/>
      <c r="J411" s="2" t="n"/>
      <c r="K411" s="2">
        <f>IF(COUNTA(G411:J411)&lt;4,"",ROUND(AVERAGE(G411:J411),1))</f>
        <v/>
      </c>
      <c r="L411" s="2" t="n"/>
      <c r="M411" s="2" t="n"/>
      <c r="N411" s="2" t="n"/>
      <c r="O411" s="2" t="n"/>
    </row>
    <row r="412">
      <c r="A412" s="2" t="n"/>
      <c r="B412" s="2" t="n"/>
      <c r="C412" s="2" t="n"/>
      <c r="D412" s="2" t="n"/>
      <c r="E412" s="2" t="n"/>
      <c r="F412" s="2" t="n"/>
      <c r="G412" s="2" t="n"/>
      <c r="H412" s="2" t="n"/>
      <c r="I412" s="2" t="n"/>
      <c r="J412" s="2" t="n"/>
      <c r="K412" s="2">
        <f>IF(COUNTA(G412:J412)&lt;4,"",ROUND(AVERAGE(G412:J412),1))</f>
        <v/>
      </c>
      <c r="L412" s="2" t="n"/>
      <c r="M412" s="2" t="n"/>
      <c r="N412" s="2" t="n"/>
      <c r="O412" s="2" t="n"/>
    </row>
    <row r="413">
      <c r="A413" s="2" t="n"/>
      <c r="B413" s="2" t="n"/>
      <c r="C413" s="2" t="n"/>
      <c r="D413" s="2" t="n"/>
      <c r="E413" s="2" t="n"/>
      <c r="F413" s="2" t="n"/>
      <c r="G413" s="2" t="n"/>
      <c r="H413" s="2" t="n"/>
      <c r="I413" s="2" t="n"/>
      <c r="J413" s="2" t="n"/>
      <c r="K413" s="2">
        <f>IF(COUNTA(G413:J413)&lt;4,"",ROUND(AVERAGE(G413:J413),1))</f>
        <v/>
      </c>
      <c r="L413" s="2" t="n"/>
      <c r="M413" s="2" t="n"/>
      <c r="N413" s="2" t="n"/>
      <c r="O413" s="2" t="n"/>
    </row>
    <row r="414">
      <c r="A414" s="2" t="n"/>
      <c r="B414" s="2" t="n"/>
      <c r="C414" s="2" t="n"/>
      <c r="D414" s="2" t="n"/>
      <c r="E414" s="2" t="n"/>
      <c r="F414" s="2" t="n"/>
      <c r="G414" s="2" t="n"/>
      <c r="H414" s="2" t="n"/>
      <c r="I414" s="2" t="n"/>
      <c r="J414" s="2" t="n"/>
      <c r="K414" s="2">
        <f>IF(COUNTA(G414:J414)&lt;4,"",ROUND(AVERAGE(G414:J414),1))</f>
        <v/>
      </c>
      <c r="L414" s="2" t="n"/>
      <c r="M414" s="2" t="n"/>
      <c r="N414" s="2" t="n"/>
      <c r="O414" s="2" t="n"/>
    </row>
    <row r="415">
      <c r="A415" s="2" t="n"/>
      <c r="B415" s="2" t="n"/>
      <c r="C415" s="2" t="n"/>
      <c r="D415" s="2" t="n"/>
      <c r="E415" s="2" t="n"/>
      <c r="F415" s="2" t="n"/>
      <c r="G415" s="2" t="n"/>
      <c r="H415" s="2" t="n"/>
      <c r="I415" s="2" t="n"/>
      <c r="J415" s="2" t="n"/>
      <c r="K415" s="2">
        <f>IF(COUNTA(G415:J415)&lt;4,"",ROUND(AVERAGE(G415:J415),1))</f>
        <v/>
      </c>
      <c r="L415" s="2" t="n"/>
      <c r="M415" s="2" t="n"/>
      <c r="N415" s="2" t="n"/>
      <c r="O415" s="2" t="n"/>
    </row>
    <row r="416">
      <c r="A416" s="2" t="n"/>
      <c r="B416" s="2" t="n"/>
      <c r="C416" s="2" t="n"/>
      <c r="D416" s="2" t="n"/>
      <c r="E416" s="2" t="n"/>
      <c r="F416" s="2" t="n"/>
      <c r="G416" s="2" t="n"/>
      <c r="H416" s="2" t="n"/>
      <c r="I416" s="2" t="n"/>
      <c r="J416" s="2" t="n"/>
      <c r="K416" s="2">
        <f>IF(COUNTA(G416:J416)&lt;4,"",ROUND(AVERAGE(G416:J416),1))</f>
        <v/>
      </c>
      <c r="L416" s="2" t="n"/>
      <c r="M416" s="2" t="n"/>
      <c r="N416" s="2" t="n"/>
      <c r="O416" s="2" t="n"/>
    </row>
    <row r="417">
      <c r="A417" s="2" t="n"/>
      <c r="B417" s="2" t="n"/>
      <c r="C417" s="2" t="n"/>
      <c r="D417" s="2" t="n"/>
      <c r="E417" s="2" t="n"/>
      <c r="F417" s="2" t="n"/>
      <c r="G417" s="2" t="n"/>
      <c r="H417" s="2" t="n"/>
      <c r="I417" s="2" t="n"/>
      <c r="J417" s="2" t="n"/>
      <c r="K417" s="2">
        <f>IF(COUNTA(G417:J417)&lt;4,"",ROUND(AVERAGE(G417:J417),1))</f>
        <v/>
      </c>
      <c r="L417" s="2" t="n"/>
      <c r="M417" s="2" t="n"/>
      <c r="N417" s="2" t="n"/>
      <c r="O417" s="2" t="n"/>
    </row>
    <row r="418">
      <c r="A418" s="2" t="n"/>
      <c r="B418" s="2" t="n"/>
      <c r="C418" s="2" t="n"/>
      <c r="D418" s="2" t="n"/>
      <c r="E418" s="2" t="n"/>
      <c r="F418" s="2" t="n"/>
      <c r="G418" s="2" t="n"/>
      <c r="H418" s="2" t="n"/>
      <c r="I418" s="2" t="n"/>
      <c r="J418" s="2" t="n"/>
      <c r="K418" s="2">
        <f>IF(COUNTA(G418:J418)&lt;4,"",ROUND(AVERAGE(G418:J418),1))</f>
        <v/>
      </c>
      <c r="L418" s="2" t="n"/>
      <c r="M418" s="2" t="n"/>
      <c r="N418" s="2" t="n"/>
      <c r="O418" s="2" t="n"/>
    </row>
    <row r="419">
      <c r="A419" s="2" t="n"/>
      <c r="B419" s="2" t="n"/>
      <c r="C419" s="2" t="n"/>
      <c r="D419" s="2" t="n"/>
      <c r="E419" s="2" t="n"/>
      <c r="F419" s="2" t="n"/>
      <c r="G419" s="2" t="n"/>
      <c r="H419" s="2" t="n"/>
      <c r="I419" s="2" t="n"/>
      <c r="J419" s="2" t="n"/>
      <c r="K419" s="2">
        <f>IF(COUNTA(G419:J419)&lt;4,"",ROUND(AVERAGE(G419:J419),1))</f>
        <v/>
      </c>
      <c r="L419" s="2" t="n"/>
      <c r="M419" s="2" t="n"/>
      <c r="N419" s="2" t="n"/>
      <c r="O419" s="2" t="n"/>
    </row>
    <row r="420">
      <c r="A420" s="2" t="n"/>
      <c r="B420" s="2" t="n"/>
      <c r="C420" s="2" t="n"/>
      <c r="D420" s="2" t="n"/>
      <c r="E420" s="2" t="n"/>
      <c r="F420" s="2" t="n"/>
      <c r="G420" s="2" t="n"/>
      <c r="H420" s="2" t="n"/>
      <c r="I420" s="2" t="n"/>
      <c r="J420" s="2" t="n"/>
      <c r="K420" s="2">
        <f>IF(COUNTA(G420:J420)&lt;4,"",ROUND(AVERAGE(G420:J420),1))</f>
        <v/>
      </c>
      <c r="L420" s="2" t="n"/>
      <c r="M420" s="2" t="n"/>
      <c r="N420" s="2" t="n"/>
      <c r="O420" s="2" t="n"/>
    </row>
    <row r="421">
      <c r="A421" s="2" t="n"/>
      <c r="B421" s="2" t="n"/>
      <c r="C421" s="2" t="n"/>
      <c r="D421" s="2" t="n"/>
      <c r="E421" s="2" t="n"/>
      <c r="F421" s="2" t="n"/>
      <c r="G421" s="2" t="n"/>
      <c r="H421" s="2" t="n"/>
      <c r="I421" s="2" t="n"/>
      <c r="J421" s="2" t="n"/>
      <c r="K421" s="2">
        <f>IF(COUNTA(G421:J421)&lt;4,"",ROUND(AVERAGE(G421:J421),1))</f>
        <v/>
      </c>
      <c r="L421" s="2" t="n"/>
      <c r="M421" s="2" t="n"/>
      <c r="N421" s="2" t="n"/>
      <c r="O421" s="2" t="n"/>
    </row>
    <row r="422">
      <c r="A422" s="2" t="n"/>
      <c r="B422" s="2" t="n"/>
      <c r="C422" s="2" t="n"/>
      <c r="D422" s="2" t="n"/>
      <c r="E422" s="2" t="n"/>
      <c r="F422" s="2" t="n"/>
      <c r="G422" s="2" t="n"/>
      <c r="H422" s="2" t="n"/>
      <c r="I422" s="2" t="n"/>
      <c r="J422" s="2" t="n"/>
      <c r="K422" s="2">
        <f>IF(COUNTA(G422:J422)&lt;4,"",ROUND(AVERAGE(G422:J422),1))</f>
        <v/>
      </c>
      <c r="L422" s="2" t="n"/>
      <c r="M422" s="2" t="n"/>
      <c r="N422" s="2" t="n"/>
      <c r="O422" s="2" t="n"/>
    </row>
    <row r="423">
      <c r="A423" s="2" t="n"/>
      <c r="B423" s="2" t="n"/>
      <c r="C423" s="2" t="n"/>
      <c r="D423" s="2" t="n"/>
      <c r="E423" s="2" t="n"/>
      <c r="F423" s="2" t="n"/>
      <c r="G423" s="2" t="n"/>
      <c r="H423" s="2" t="n"/>
      <c r="I423" s="2" t="n"/>
      <c r="J423" s="2" t="n"/>
      <c r="K423" s="2">
        <f>IF(COUNTA(G423:J423)&lt;4,"",ROUND(AVERAGE(G423:J423),1))</f>
        <v/>
      </c>
      <c r="L423" s="2" t="n"/>
      <c r="M423" s="2" t="n"/>
      <c r="N423" s="2" t="n"/>
      <c r="O423" s="2" t="n"/>
    </row>
    <row r="424">
      <c r="A424" s="2" t="n"/>
      <c r="B424" s="2" t="n"/>
      <c r="C424" s="2" t="n"/>
      <c r="D424" s="2" t="n"/>
      <c r="E424" s="2" t="n"/>
      <c r="F424" s="2" t="n"/>
      <c r="G424" s="2" t="n"/>
      <c r="H424" s="2" t="n"/>
      <c r="I424" s="2" t="n"/>
      <c r="J424" s="2" t="n"/>
      <c r="K424" s="2">
        <f>IF(COUNTA(G424:J424)&lt;4,"",ROUND(AVERAGE(G424:J424),1))</f>
        <v/>
      </c>
      <c r="L424" s="2" t="n"/>
      <c r="M424" s="2" t="n"/>
      <c r="N424" s="2" t="n"/>
      <c r="O424" s="2" t="n"/>
    </row>
    <row r="425">
      <c r="A425" s="2" t="n"/>
      <c r="B425" s="2" t="n"/>
      <c r="C425" s="2" t="n"/>
      <c r="D425" s="2" t="n"/>
      <c r="E425" s="2" t="n"/>
      <c r="F425" s="2" t="n"/>
      <c r="G425" s="2" t="n"/>
      <c r="H425" s="2" t="n"/>
      <c r="I425" s="2" t="n"/>
      <c r="J425" s="2" t="n"/>
      <c r="K425" s="2">
        <f>IF(COUNTA(G425:J425)&lt;4,"",ROUND(AVERAGE(G425:J425),1))</f>
        <v/>
      </c>
      <c r="L425" s="2" t="n"/>
      <c r="M425" s="2" t="n"/>
      <c r="N425" s="2" t="n"/>
      <c r="O425" s="2" t="n"/>
    </row>
    <row r="426">
      <c r="A426" s="2" t="n"/>
      <c r="B426" s="2" t="n"/>
      <c r="C426" s="2" t="n"/>
      <c r="D426" s="2" t="n"/>
      <c r="E426" s="2" t="n"/>
      <c r="F426" s="2" t="n"/>
      <c r="G426" s="2" t="n"/>
      <c r="H426" s="2" t="n"/>
      <c r="I426" s="2" t="n"/>
      <c r="J426" s="2" t="n"/>
      <c r="K426" s="2">
        <f>IF(COUNTA(G426:J426)&lt;4,"",ROUND(AVERAGE(G426:J426),1))</f>
        <v/>
      </c>
      <c r="L426" s="2" t="n"/>
      <c r="M426" s="2" t="n"/>
      <c r="N426" s="2" t="n"/>
      <c r="O426" s="2" t="n"/>
    </row>
    <row r="427">
      <c r="A427" s="2" t="n"/>
      <c r="B427" s="2" t="n"/>
      <c r="C427" s="2" t="n"/>
      <c r="D427" s="2" t="n"/>
      <c r="E427" s="2" t="n"/>
      <c r="F427" s="2" t="n"/>
      <c r="G427" s="2" t="n"/>
      <c r="H427" s="2" t="n"/>
      <c r="I427" s="2" t="n"/>
      <c r="J427" s="2" t="n"/>
      <c r="K427" s="2">
        <f>IF(COUNTA(G427:J427)&lt;4,"",ROUND(AVERAGE(G427:J427),1))</f>
        <v/>
      </c>
      <c r="L427" s="2" t="n"/>
      <c r="M427" s="2" t="n"/>
      <c r="N427" s="2" t="n"/>
      <c r="O427" s="2" t="n"/>
    </row>
    <row r="428">
      <c r="A428" s="2" t="n"/>
      <c r="B428" s="2" t="n"/>
      <c r="C428" s="2" t="n"/>
      <c r="D428" s="2" t="n"/>
      <c r="E428" s="2" t="n"/>
      <c r="F428" s="2" t="n"/>
      <c r="G428" s="2" t="n"/>
      <c r="H428" s="2" t="n"/>
      <c r="I428" s="2" t="n"/>
      <c r="J428" s="2" t="n"/>
      <c r="K428" s="2">
        <f>IF(COUNTA(G428:J428)&lt;4,"",ROUND(AVERAGE(G428:J428),1))</f>
        <v/>
      </c>
      <c r="L428" s="2" t="n"/>
      <c r="M428" s="2" t="n"/>
      <c r="N428" s="2" t="n"/>
      <c r="O428" s="2" t="n"/>
    </row>
    <row r="429">
      <c r="A429" s="2" t="n"/>
      <c r="B429" s="2" t="n"/>
      <c r="C429" s="2" t="n"/>
      <c r="D429" s="2" t="n"/>
      <c r="E429" s="2" t="n"/>
      <c r="F429" s="2" t="n"/>
      <c r="G429" s="2" t="n"/>
      <c r="H429" s="2" t="n"/>
      <c r="I429" s="2" t="n"/>
      <c r="J429" s="2" t="n"/>
      <c r="K429" s="2">
        <f>IF(COUNTA(G429:J429)&lt;4,"",ROUND(AVERAGE(G429:J429),1))</f>
        <v/>
      </c>
      <c r="L429" s="2" t="n"/>
      <c r="M429" s="2" t="n"/>
      <c r="N429" s="2" t="n"/>
      <c r="O429" s="2" t="n"/>
    </row>
    <row r="430">
      <c r="A430" s="2" t="n"/>
      <c r="B430" s="2" t="n"/>
      <c r="C430" s="2" t="n"/>
      <c r="D430" s="2" t="n"/>
      <c r="E430" s="2" t="n"/>
      <c r="F430" s="2" t="n"/>
      <c r="G430" s="2" t="n"/>
      <c r="H430" s="2" t="n"/>
      <c r="I430" s="2" t="n"/>
      <c r="J430" s="2" t="n"/>
      <c r="K430" s="2">
        <f>IF(COUNTA(G430:J430)&lt;4,"",ROUND(AVERAGE(G430:J430),1))</f>
        <v/>
      </c>
      <c r="L430" s="2" t="n"/>
      <c r="M430" s="2" t="n"/>
      <c r="N430" s="2" t="n"/>
      <c r="O430" s="2" t="n"/>
    </row>
    <row r="431">
      <c r="A431" s="2" t="n"/>
      <c r="B431" s="2" t="n"/>
      <c r="C431" s="2" t="n"/>
      <c r="D431" s="2" t="n"/>
      <c r="E431" s="2" t="n"/>
      <c r="F431" s="2" t="n"/>
      <c r="G431" s="2" t="n"/>
      <c r="H431" s="2" t="n"/>
      <c r="I431" s="2" t="n"/>
      <c r="J431" s="2" t="n"/>
      <c r="K431" s="2">
        <f>IF(COUNTA(G431:J431)&lt;4,"",ROUND(AVERAGE(G431:J431),1))</f>
        <v/>
      </c>
      <c r="L431" s="2" t="n"/>
      <c r="M431" s="2" t="n"/>
      <c r="N431" s="2" t="n"/>
      <c r="O431" s="2" t="n"/>
    </row>
    <row r="432">
      <c r="A432" s="2" t="n"/>
      <c r="B432" s="2" t="n"/>
      <c r="C432" s="2" t="n"/>
      <c r="D432" s="2" t="n"/>
      <c r="E432" s="2" t="n"/>
      <c r="F432" s="2" t="n"/>
      <c r="G432" s="2" t="n"/>
      <c r="H432" s="2" t="n"/>
      <c r="I432" s="2" t="n"/>
      <c r="J432" s="2" t="n"/>
      <c r="K432" s="2">
        <f>IF(COUNTA(G432:J432)&lt;4,"",ROUND(AVERAGE(G432:J432),1))</f>
        <v/>
      </c>
      <c r="L432" s="2" t="n"/>
      <c r="M432" s="2" t="n"/>
      <c r="N432" s="2" t="n"/>
      <c r="O432" s="2" t="n"/>
    </row>
    <row r="433">
      <c r="A433" s="2" t="n"/>
      <c r="B433" s="2" t="n"/>
      <c r="C433" s="2" t="n"/>
      <c r="D433" s="2" t="n"/>
      <c r="E433" s="2" t="n"/>
      <c r="F433" s="2" t="n"/>
      <c r="G433" s="2" t="n"/>
      <c r="H433" s="2" t="n"/>
      <c r="I433" s="2" t="n"/>
      <c r="J433" s="2" t="n"/>
      <c r="K433" s="2">
        <f>IF(COUNTA(G433:J433)&lt;4,"",ROUND(AVERAGE(G433:J433),1))</f>
        <v/>
      </c>
      <c r="L433" s="2" t="n"/>
      <c r="M433" s="2" t="n"/>
      <c r="N433" s="2" t="n"/>
      <c r="O433" s="2" t="n"/>
    </row>
    <row r="434">
      <c r="A434" s="2" t="n"/>
      <c r="B434" s="2" t="n"/>
      <c r="C434" s="2" t="n"/>
      <c r="D434" s="2" t="n"/>
      <c r="E434" s="2" t="n"/>
      <c r="F434" s="2" t="n"/>
      <c r="G434" s="2" t="n"/>
      <c r="H434" s="2" t="n"/>
      <c r="I434" s="2" t="n"/>
      <c r="J434" s="2" t="n"/>
      <c r="K434" s="2">
        <f>IF(COUNTA(G434:J434)&lt;4,"",ROUND(AVERAGE(G434:J434),1))</f>
        <v/>
      </c>
      <c r="L434" s="2" t="n"/>
      <c r="M434" s="2" t="n"/>
      <c r="N434" s="2" t="n"/>
      <c r="O434" s="2" t="n"/>
    </row>
    <row r="435">
      <c r="A435" s="2" t="n"/>
      <c r="B435" s="2" t="n"/>
      <c r="C435" s="2" t="n"/>
      <c r="D435" s="2" t="n"/>
      <c r="E435" s="2" t="n"/>
      <c r="F435" s="2" t="n"/>
      <c r="G435" s="2" t="n"/>
      <c r="H435" s="2" t="n"/>
      <c r="I435" s="2" t="n"/>
      <c r="J435" s="2" t="n"/>
      <c r="K435" s="2">
        <f>IF(COUNTA(G435:J435)&lt;4,"",ROUND(AVERAGE(G435:J435),1))</f>
        <v/>
      </c>
      <c r="L435" s="2" t="n"/>
      <c r="M435" s="2" t="n"/>
      <c r="N435" s="2" t="n"/>
      <c r="O435" s="2" t="n"/>
    </row>
    <row r="436">
      <c r="A436" s="2" t="n"/>
      <c r="B436" s="2" t="n"/>
      <c r="C436" s="2" t="n"/>
      <c r="D436" s="2" t="n"/>
      <c r="E436" s="2" t="n"/>
      <c r="F436" s="2" t="n"/>
      <c r="G436" s="2" t="n"/>
      <c r="H436" s="2" t="n"/>
      <c r="I436" s="2" t="n"/>
      <c r="J436" s="2" t="n"/>
      <c r="K436" s="2">
        <f>IF(COUNTA(G436:J436)&lt;4,"",ROUND(AVERAGE(G436:J436),1))</f>
        <v/>
      </c>
      <c r="L436" s="2" t="n"/>
      <c r="M436" s="2" t="n"/>
      <c r="N436" s="2" t="n"/>
      <c r="O436" s="2" t="n"/>
    </row>
    <row r="437">
      <c r="A437" s="2" t="n"/>
      <c r="B437" s="2" t="n"/>
      <c r="C437" s="2" t="n"/>
      <c r="D437" s="2" t="n"/>
      <c r="E437" s="2" t="n"/>
      <c r="F437" s="2" t="n"/>
      <c r="G437" s="2" t="n"/>
      <c r="H437" s="2" t="n"/>
      <c r="I437" s="2" t="n"/>
      <c r="J437" s="2" t="n"/>
      <c r="K437" s="2">
        <f>IF(COUNTA(G437:J437)&lt;4,"",ROUND(AVERAGE(G437:J437),1))</f>
        <v/>
      </c>
      <c r="L437" s="2" t="n"/>
      <c r="M437" s="2" t="n"/>
      <c r="N437" s="2" t="n"/>
      <c r="O437" s="2" t="n"/>
    </row>
    <row r="438">
      <c r="A438" s="2" t="n"/>
      <c r="B438" s="2" t="n"/>
      <c r="C438" s="2" t="n"/>
      <c r="D438" s="2" t="n"/>
      <c r="E438" s="2" t="n"/>
      <c r="F438" s="2" t="n"/>
      <c r="G438" s="2" t="n"/>
      <c r="H438" s="2" t="n"/>
      <c r="I438" s="2" t="n"/>
      <c r="J438" s="2" t="n"/>
      <c r="K438" s="2">
        <f>IF(COUNTA(G438:J438)&lt;4,"",ROUND(AVERAGE(G438:J438),1))</f>
        <v/>
      </c>
      <c r="L438" s="2" t="n"/>
      <c r="M438" s="2" t="n"/>
      <c r="N438" s="2" t="n"/>
      <c r="O438" s="2" t="n"/>
    </row>
    <row r="439">
      <c r="A439" s="2" t="n"/>
      <c r="B439" s="2" t="n"/>
      <c r="C439" s="2" t="n"/>
      <c r="D439" s="2" t="n"/>
      <c r="E439" s="2" t="n"/>
      <c r="F439" s="2" t="n"/>
      <c r="G439" s="2" t="n"/>
      <c r="H439" s="2" t="n"/>
      <c r="I439" s="2" t="n"/>
      <c r="J439" s="2" t="n"/>
      <c r="K439" s="2">
        <f>IF(COUNTA(G439:J439)&lt;4,"",ROUND(AVERAGE(G439:J439),1))</f>
        <v/>
      </c>
      <c r="L439" s="2" t="n"/>
      <c r="M439" s="2" t="n"/>
      <c r="N439" s="2" t="n"/>
      <c r="O439" s="2" t="n"/>
    </row>
    <row r="440">
      <c r="A440" s="2" t="n"/>
      <c r="B440" s="2" t="n"/>
      <c r="C440" s="2" t="n"/>
      <c r="D440" s="2" t="n"/>
      <c r="E440" s="2" t="n"/>
      <c r="F440" s="2" t="n"/>
      <c r="G440" s="2" t="n"/>
      <c r="H440" s="2" t="n"/>
      <c r="I440" s="2" t="n"/>
      <c r="J440" s="2" t="n"/>
      <c r="K440" s="2">
        <f>IF(COUNTA(G440:J440)&lt;4,"",ROUND(AVERAGE(G440:J440),1))</f>
        <v/>
      </c>
      <c r="L440" s="2" t="n"/>
      <c r="M440" s="2" t="n"/>
      <c r="N440" s="2" t="n"/>
      <c r="O440" s="2" t="n"/>
    </row>
    <row r="441">
      <c r="A441" s="2" t="n"/>
      <c r="B441" s="2" t="n"/>
      <c r="C441" s="2" t="n"/>
      <c r="D441" s="2" t="n"/>
      <c r="E441" s="2" t="n"/>
      <c r="F441" s="2" t="n"/>
      <c r="G441" s="2" t="n"/>
      <c r="H441" s="2" t="n"/>
      <c r="I441" s="2" t="n"/>
      <c r="J441" s="2" t="n"/>
      <c r="K441" s="2">
        <f>IF(COUNTA(G441:J441)&lt;4,"",ROUND(AVERAGE(G441:J441),1))</f>
        <v/>
      </c>
      <c r="L441" s="2" t="n"/>
      <c r="M441" s="2" t="n"/>
      <c r="N441" s="2" t="n"/>
      <c r="O441" s="2" t="n"/>
    </row>
    <row r="442">
      <c r="A442" s="2" t="n"/>
      <c r="B442" s="2" t="n"/>
      <c r="C442" s="2" t="n"/>
      <c r="D442" s="2" t="n"/>
      <c r="E442" s="2" t="n"/>
      <c r="F442" s="2" t="n"/>
      <c r="G442" s="2" t="n"/>
      <c r="H442" s="2" t="n"/>
      <c r="I442" s="2" t="n"/>
      <c r="J442" s="2" t="n"/>
      <c r="K442" s="2">
        <f>IF(COUNTA(G442:J442)&lt;4,"",ROUND(AVERAGE(G442:J442),1))</f>
        <v/>
      </c>
      <c r="L442" s="2" t="n"/>
      <c r="M442" s="2" t="n"/>
      <c r="N442" s="2" t="n"/>
      <c r="O442" s="2" t="n"/>
    </row>
    <row r="443">
      <c r="A443" s="2" t="n"/>
      <c r="B443" s="2" t="n"/>
      <c r="C443" s="2" t="n"/>
      <c r="D443" s="2" t="n"/>
      <c r="E443" s="2" t="n"/>
      <c r="F443" s="2" t="n"/>
      <c r="G443" s="2" t="n"/>
      <c r="H443" s="2" t="n"/>
      <c r="I443" s="2" t="n"/>
      <c r="J443" s="2" t="n"/>
      <c r="K443" s="2">
        <f>IF(COUNTA(G443:J443)&lt;4,"",ROUND(AVERAGE(G443:J443),1))</f>
        <v/>
      </c>
      <c r="L443" s="2" t="n"/>
      <c r="M443" s="2" t="n"/>
      <c r="N443" s="2" t="n"/>
      <c r="O443" s="2" t="n"/>
    </row>
    <row r="444">
      <c r="A444" s="2" t="n"/>
      <c r="B444" s="2" t="n"/>
      <c r="C444" s="2" t="n"/>
      <c r="D444" s="2" t="n"/>
      <c r="E444" s="2" t="n"/>
      <c r="F444" s="2" t="n"/>
      <c r="G444" s="2" t="n"/>
      <c r="H444" s="2" t="n"/>
      <c r="I444" s="2" t="n"/>
      <c r="J444" s="2" t="n"/>
      <c r="K444" s="2">
        <f>IF(COUNTA(G444:J444)&lt;4,"",ROUND(AVERAGE(G444:J444),1))</f>
        <v/>
      </c>
      <c r="L444" s="2" t="n"/>
      <c r="M444" s="2" t="n"/>
      <c r="N444" s="2" t="n"/>
      <c r="O444" s="2" t="n"/>
    </row>
    <row r="445">
      <c r="A445" s="2" t="n"/>
      <c r="B445" s="2" t="n"/>
      <c r="C445" s="2" t="n"/>
      <c r="D445" s="2" t="n"/>
      <c r="E445" s="2" t="n"/>
      <c r="F445" s="2" t="n"/>
      <c r="G445" s="2" t="n"/>
      <c r="H445" s="2" t="n"/>
      <c r="I445" s="2" t="n"/>
      <c r="J445" s="2" t="n"/>
      <c r="K445" s="2">
        <f>IF(COUNTA(G445:J445)&lt;4,"",ROUND(AVERAGE(G445:J445),1))</f>
        <v/>
      </c>
      <c r="L445" s="2" t="n"/>
      <c r="M445" s="2" t="n"/>
      <c r="N445" s="2" t="n"/>
      <c r="O445" s="2" t="n"/>
    </row>
    <row r="446">
      <c r="A446" s="2" t="n"/>
      <c r="B446" s="2" t="n"/>
      <c r="C446" s="2" t="n"/>
      <c r="D446" s="2" t="n"/>
      <c r="E446" s="2" t="n"/>
      <c r="F446" s="2" t="n"/>
      <c r="G446" s="2" t="n"/>
      <c r="H446" s="2" t="n"/>
      <c r="I446" s="2" t="n"/>
      <c r="J446" s="2" t="n"/>
      <c r="K446" s="2">
        <f>IF(COUNTA(G446:J446)&lt;4,"",ROUND(AVERAGE(G446:J446),1))</f>
        <v/>
      </c>
      <c r="L446" s="2" t="n"/>
      <c r="M446" s="2" t="n"/>
      <c r="N446" s="2" t="n"/>
      <c r="O446" s="2" t="n"/>
    </row>
    <row r="447">
      <c r="A447" s="2" t="n"/>
      <c r="B447" s="2" t="n"/>
      <c r="C447" s="2" t="n"/>
      <c r="D447" s="2" t="n"/>
      <c r="E447" s="2" t="n"/>
      <c r="F447" s="2" t="n"/>
      <c r="G447" s="2" t="n"/>
      <c r="H447" s="2" t="n"/>
      <c r="I447" s="2" t="n"/>
      <c r="J447" s="2" t="n"/>
      <c r="K447" s="2">
        <f>IF(COUNTA(G447:J447)&lt;4,"",ROUND(AVERAGE(G447:J447),1))</f>
        <v/>
      </c>
      <c r="L447" s="2" t="n"/>
      <c r="M447" s="2" t="n"/>
      <c r="N447" s="2" t="n"/>
      <c r="O447" s="2" t="n"/>
    </row>
    <row r="448">
      <c r="A448" s="2" t="n"/>
      <c r="B448" s="2" t="n"/>
      <c r="C448" s="2" t="n"/>
      <c r="D448" s="2" t="n"/>
      <c r="E448" s="2" t="n"/>
      <c r="F448" s="2" t="n"/>
      <c r="G448" s="2" t="n"/>
      <c r="H448" s="2" t="n"/>
      <c r="I448" s="2" t="n"/>
      <c r="J448" s="2" t="n"/>
      <c r="K448" s="2">
        <f>IF(COUNTA(G448:J448)&lt;4,"",ROUND(AVERAGE(G448:J448),1))</f>
        <v/>
      </c>
      <c r="L448" s="2" t="n"/>
      <c r="M448" s="2" t="n"/>
      <c r="N448" s="2" t="n"/>
      <c r="O448" s="2" t="n"/>
    </row>
    <row r="449">
      <c r="A449" s="2" t="n"/>
      <c r="B449" s="2" t="n"/>
      <c r="C449" s="2" t="n"/>
      <c r="D449" s="2" t="n"/>
      <c r="E449" s="2" t="n"/>
      <c r="F449" s="2" t="n"/>
      <c r="G449" s="2" t="n"/>
      <c r="H449" s="2" t="n"/>
      <c r="I449" s="2" t="n"/>
      <c r="J449" s="2" t="n"/>
      <c r="K449" s="2">
        <f>IF(COUNTA(G449:J449)&lt;4,"",ROUND(AVERAGE(G449:J449),1))</f>
        <v/>
      </c>
      <c r="L449" s="2" t="n"/>
      <c r="M449" s="2" t="n"/>
      <c r="N449" s="2" t="n"/>
      <c r="O449" s="2" t="n"/>
    </row>
    <row r="450">
      <c r="A450" s="2" t="n"/>
      <c r="B450" s="2" t="n"/>
      <c r="C450" s="2" t="n"/>
      <c r="D450" s="2" t="n"/>
      <c r="E450" s="2" t="n"/>
      <c r="F450" s="2" t="n"/>
      <c r="G450" s="2" t="n"/>
      <c r="H450" s="2" t="n"/>
      <c r="I450" s="2" t="n"/>
      <c r="J450" s="2" t="n"/>
      <c r="K450" s="2">
        <f>IF(COUNTA(G450:J450)&lt;4,"",ROUND(AVERAGE(G450:J450),1))</f>
        <v/>
      </c>
      <c r="L450" s="2" t="n"/>
      <c r="M450" s="2" t="n"/>
      <c r="N450" s="2" t="n"/>
      <c r="O450" s="2" t="n"/>
    </row>
    <row r="451">
      <c r="A451" s="2" t="n"/>
      <c r="B451" s="2" t="n"/>
      <c r="C451" s="2" t="n"/>
      <c r="D451" s="2" t="n"/>
      <c r="E451" s="2" t="n"/>
      <c r="F451" s="2" t="n"/>
      <c r="G451" s="2" t="n"/>
      <c r="H451" s="2" t="n"/>
      <c r="I451" s="2" t="n"/>
      <c r="J451" s="2" t="n"/>
      <c r="K451" s="2">
        <f>IF(COUNTA(G451:J451)&lt;4,"",ROUND(AVERAGE(G451:J451),1))</f>
        <v/>
      </c>
      <c r="L451" s="2" t="n"/>
      <c r="M451" s="2" t="n"/>
      <c r="N451" s="2" t="n"/>
      <c r="O451" s="2" t="n"/>
    </row>
    <row r="452">
      <c r="A452" s="2" t="n"/>
      <c r="B452" s="2" t="n"/>
      <c r="C452" s="2" t="n"/>
      <c r="D452" s="2" t="n"/>
      <c r="E452" s="2" t="n"/>
      <c r="F452" s="2" t="n"/>
      <c r="G452" s="2" t="n"/>
      <c r="H452" s="2" t="n"/>
      <c r="I452" s="2" t="n"/>
      <c r="J452" s="2" t="n"/>
      <c r="K452" s="2">
        <f>IF(COUNTA(G452:J452)&lt;4,"",ROUND(AVERAGE(G452:J452),1))</f>
        <v/>
      </c>
      <c r="L452" s="2" t="n"/>
      <c r="M452" s="2" t="n"/>
      <c r="N452" s="2" t="n"/>
      <c r="O452" s="2" t="n"/>
    </row>
    <row r="453">
      <c r="A453" s="2" t="n"/>
      <c r="B453" s="2" t="n"/>
      <c r="C453" s="2" t="n"/>
      <c r="D453" s="2" t="n"/>
      <c r="E453" s="2" t="n"/>
      <c r="F453" s="2" t="n"/>
      <c r="G453" s="2" t="n"/>
      <c r="H453" s="2" t="n"/>
      <c r="I453" s="2" t="n"/>
      <c r="J453" s="2" t="n"/>
      <c r="K453" s="2">
        <f>IF(COUNTA(G453:J453)&lt;4,"",ROUND(AVERAGE(G453:J453),1))</f>
        <v/>
      </c>
      <c r="L453" s="2" t="n"/>
      <c r="M453" s="2" t="n"/>
      <c r="N453" s="2" t="n"/>
      <c r="O453" s="2" t="n"/>
    </row>
    <row r="454">
      <c r="A454" s="2" t="n"/>
      <c r="B454" s="2" t="n"/>
      <c r="C454" s="2" t="n"/>
      <c r="D454" s="2" t="n"/>
      <c r="E454" s="2" t="n"/>
      <c r="F454" s="2" t="n"/>
      <c r="G454" s="2" t="n"/>
      <c r="H454" s="2" t="n"/>
      <c r="I454" s="2" t="n"/>
      <c r="J454" s="2" t="n"/>
      <c r="K454" s="2">
        <f>IF(COUNTA(G454:J454)&lt;4,"",ROUND(AVERAGE(G454:J454),1))</f>
        <v/>
      </c>
      <c r="L454" s="2" t="n"/>
      <c r="M454" s="2" t="n"/>
      <c r="N454" s="2" t="n"/>
      <c r="O454" s="2" t="n"/>
    </row>
    <row r="455">
      <c r="A455" s="2" t="n"/>
      <c r="B455" s="2" t="n"/>
      <c r="C455" s="2" t="n"/>
      <c r="D455" s="2" t="n"/>
      <c r="E455" s="2" t="n"/>
      <c r="F455" s="2" t="n"/>
      <c r="G455" s="2" t="n"/>
      <c r="H455" s="2" t="n"/>
      <c r="I455" s="2" t="n"/>
      <c r="J455" s="2" t="n"/>
      <c r="K455" s="2">
        <f>IF(COUNTA(G455:J455)&lt;4,"",ROUND(AVERAGE(G455:J455),1))</f>
        <v/>
      </c>
      <c r="L455" s="2" t="n"/>
      <c r="M455" s="2" t="n"/>
      <c r="N455" s="2" t="n"/>
      <c r="O455" s="2" t="n"/>
    </row>
    <row r="456">
      <c r="A456" s="2" t="n"/>
      <c r="B456" s="2" t="n"/>
      <c r="C456" s="2" t="n"/>
      <c r="D456" s="2" t="n"/>
      <c r="E456" s="2" t="n"/>
      <c r="F456" s="2" t="n"/>
      <c r="G456" s="2" t="n"/>
      <c r="H456" s="2" t="n"/>
      <c r="I456" s="2" t="n"/>
      <c r="J456" s="2" t="n"/>
      <c r="K456" s="2">
        <f>IF(COUNTA(G456:J456)&lt;4,"",ROUND(AVERAGE(G456:J456),1))</f>
        <v/>
      </c>
      <c r="L456" s="2" t="n"/>
      <c r="M456" s="2" t="n"/>
      <c r="N456" s="2" t="n"/>
      <c r="O456" s="2" t="n"/>
    </row>
    <row r="457">
      <c r="A457" s="2" t="n"/>
      <c r="B457" s="2" t="n"/>
      <c r="C457" s="2" t="n"/>
      <c r="D457" s="2" t="n"/>
      <c r="E457" s="2" t="n"/>
      <c r="F457" s="2" t="n"/>
      <c r="G457" s="2" t="n"/>
      <c r="H457" s="2" t="n"/>
      <c r="I457" s="2" t="n"/>
      <c r="J457" s="2" t="n"/>
      <c r="K457" s="2">
        <f>IF(COUNTA(G457:J457)&lt;4,"",ROUND(AVERAGE(G457:J457),1))</f>
        <v/>
      </c>
      <c r="L457" s="2" t="n"/>
      <c r="M457" s="2" t="n"/>
      <c r="N457" s="2" t="n"/>
      <c r="O457" s="2" t="n"/>
    </row>
    <row r="458">
      <c r="A458" s="2" t="n"/>
      <c r="B458" s="2" t="n"/>
      <c r="C458" s="2" t="n"/>
      <c r="D458" s="2" t="n"/>
      <c r="E458" s="2" t="n"/>
      <c r="F458" s="2" t="n"/>
      <c r="G458" s="2" t="n"/>
      <c r="H458" s="2" t="n"/>
      <c r="I458" s="2" t="n"/>
      <c r="J458" s="2" t="n"/>
      <c r="K458" s="2">
        <f>IF(COUNTA(G458:J458)&lt;4,"",ROUND(AVERAGE(G458:J458),1))</f>
        <v/>
      </c>
      <c r="L458" s="2" t="n"/>
      <c r="M458" s="2" t="n"/>
      <c r="N458" s="2" t="n"/>
      <c r="O458" s="2" t="n"/>
    </row>
    <row r="459">
      <c r="A459" s="2" t="n"/>
      <c r="B459" s="2" t="n"/>
      <c r="C459" s="2" t="n"/>
      <c r="D459" s="2" t="n"/>
      <c r="E459" s="2" t="n"/>
      <c r="F459" s="2" t="n"/>
      <c r="G459" s="2" t="n"/>
      <c r="H459" s="2" t="n"/>
      <c r="I459" s="2" t="n"/>
      <c r="J459" s="2" t="n"/>
      <c r="K459" s="2">
        <f>IF(COUNTA(G459:J459)&lt;4,"",ROUND(AVERAGE(G459:J459),1))</f>
        <v/>
      </c>
      <c r="L459" s="2" t="n"/>
      <c r="M459" s="2" t="n"/>
      <c r="N459" s="2" t="n"/>
      <c r="O459" s="2" t="n"/>
    </row>
    <row r="460">
      <c r="A460" s="2" t="n"/>
      <c r="B460" s="2" t="n"/>
      <c r="C460" s="2" t="n"/>
      <c r="D460" s="2" t="n"/>
      <c r="E460" s="2" t="n"/>
      <c r="F460" s="2" t="n"/>
      <c r="G460" s="2" t="n"/>
      <c r="H460" s="2" t="n"/>
      <c r="I460" s="2" t="n"/>
      <c r="J460" s="2" t="n"/>
      <c r="K460" s="2">
        <f>IF(COUNTA(G460:J460)&lt;4,"",ROUND(AVERAGE(G460:J460),1))</f>
        <v/>
      </c>
      <c r="L460" s="2" t="n"/>
      <c r="M460" s="2" t="n"/>
      <c r="N460" s="2" t="n"/>
      <c r="O460" s="2" t="n"/>
    </row>
    <row r="461">
      <c r="A461" s="2" t="n"/>
      <c r="B461" s="2" t="n"/>
      <c r="C461" s="2" t="n"/>
      <c r="D461" s="2" t="n"/>
      <c r="E461" s="2" t="n"/>
      <c r="F461" s="2" t="n"/>
      <c r="G461" s="2" t="n"/>
      <c r="H461" s="2" t="n"/>
      <c r="I461" s="2" t="n"/>
      <c r="J461" s="2" t="n"/>
      <c r="K461" s="2">
        <f>IF(COUNTA(G461:J461)&lt;4,"",ROUND(AVERAGE(G461:J461),1))</f>
        <v/>
      </c>
      <c r="L461" s="2" t="n"/>
      <c r="M461" s="2" t="n"/>
      <c r="N461" s="2" t="n"/>
      <c r="O461" s="2" t="n"/>
    </row>
    <row r="462">
      <c r="A462" s="2" t="n"/>
      <c r="B462" s="2" t="n"/>
      <c r="C462" s="2" t="n"/>
      <c r="D462" s="2" t="n"/>
      <c r="E462" s="2" t="n"/>
      <c r="F462" s="2" t="n"/>
      <c r="G462" s="2" t="n"/>
      <c r="H462" s="2" t="n"/>
      <c r="I462" s="2" t="n"/>
      <c r="J462" s="2" t="n"/>
      <c r="K462" s="2">
        <f>IF(COUNTA(G462:J462)&lt;4,"",ROUND(AVERAGE(G462:J462),1))</f>
        <v/>
      </c>
      <c r="L462" s="2" t="n"/>
      <c r="M462" s="2" t="n"/>
      <c r="N462" s="2" t="n"/>
      <c r="O462" s="2" t="n"/>
    </row>
    <row r="463">
      <c r="A463" s="2" t="n"/>
      <c r="B463" s="2" t="n"/>
      <c r="C463" s="2" t="n"/>
      <c r="D463" s="2" t="n"/>
      <c r="E463" s="2" t="n"/>
      <c r="F463" s="2" t="n"/>
      <c r="G463" s="2" t="n"/>
      <c r="H463" s="2" t="n"/>
      <c r="I463" s="2" t="n"/>
      <c r="J463" s="2" t="n"/>
      <c r="K463" s="2">
        <f>IF(COUNTA(G463:J463)&lt;4,"",ROUND(AVERAGE(G463:J463),1))</f>
        <v/>
      </c>
      <c r="L463" s="2" t="n"/>
      <c r="M463" s="2" t="n"/>
      <c r="N463" s="2" t="n"/>
      <c r="O463" s="2" t="n"/>
    </row>
    <row r="464">
      <c r="A464" s="2" t="n"/>
      <c r="B464" s="2" t="n"/>
      <c r="C464" s="2" t="n"/>
      <c r="D464" s="2" t="n"/>
      <c r="E464" s="2" t="n"/>
      <c r="F464" s="2" t="n"/>
      <c r="G464" s="2" t="n"/>
      <c r="H464" s="2" t="n"/>
      <c r="I464" s="2" t="n"/>
      <c r="J464" s="2" t="n"/>
      <c r="K464" s="2">
        <f>IF(COUNTA(G464:J464)&lt;4,"",ROUND(AVERAGE(G464:J464),1))</f>
        <v/>
      </c>
      <c r="L464" s="2" t="n"/>
      <c r="M464" s="2" t="n"/>
      <c r="N464" s="2" t="n"/>
      <c r="O464" s="2" t="n"/>
    </row>
    <row r="465">
      <c r="A465" s="2" t="n"/>
      <c r="B465" s="2" t="n"/>
      <c r="C465" s="2" t="n"/>
      <c r="D465" s="2" t="n"/>
      <c r="E465" s="2" t="n"/>
      <c r="F465" s="2" t="n"/>
      <c r="G465" s="2" t="n"/>
      <c r="H465" s="2" t="n"/>
      <c r="I465" s="2" t="n"/>
      <c r="J465" s="2" t="n"/>
      <c r="K465" s="2">
        <f>IF(COUNTA(G465:J465)&lt;4,"",ROUND(AVERAGE(G465:J465),1))</f>
        <v/>
      </c>
      <c r="L465" s="2" t="n"/>
      <c r="M465" s="2" t="n"/>
      <c r="N465" s="2" t="n"/>
      <c r="O465" s="2" t="n"/>
    </row>
    <row r="466">
      <c r="A466" s="2" t="n"/>
      <c r="B466" s="2" t="n"/>
      <c r="C466" s="2" t="n"/>
      <c r="D466" s="2" t="n"/>
      <c r="E466" s="2" t="n"/>
      <c r="F466" s="2" t="n"/>
      <c r="G466" s="2" t="n"/>
      <c r="H466" s="2" t="n"/>
      <c r="I466" s="2" t="n"/>
      <c r="J466" s="2" t="n"/>
      <c r="K466" s="2">
        <f>IF(COUNTA(G466:J466)&lt;4,"",ROUND(AVERAGE(G466:J466),1))</f>
        <v/>
      </c>
      <c r="L466" s="2" t="n"/>
      <c r="M466" s="2" t="n"/>
      <c r="N466" s="2" t="n"/>
      <c r="O466" s="2" t="n"/>
    </row>
    <row r="467">
      <c r="A467" s="2" t="n"/>
      <c r="B467" s="2" t="n"/>
      <c r="C467" s="2" t="n"/>
      <c r="D467" s="2" t="n"/>
      <c r="E467" s="2" t="n"/>
      <c r="F467" s="2" t="n"/>
      <c r="G467" s="2" t="n"/>
      <c r="H467" s="2" t="n"/>
      <c r="I467" s="2" t="n"/>
      <c r="J467" s="2" t="n"/>
      <c r="K467" s="2">
        <f>IF(COUNTA(G467:J467)&lt;4,"",ROUND(AVERAGE(G467:J467),1))</f>
        <v/>
      </c>
      <c r="L467" s="2" t="n"/>
      <c r="M467" s="2" t="n"/>
      <c r="N467" s="2" t="n"/>
      <c r="O467" s="2" t="n"/>
    </row>
    <row r="468">
      <c r="A468" s="2" t="n"/>
      <c r="B468" s="2" t="n"/>
      <c r="C468" s="2" t="n"/>
      <c r="D468" s="2" t="n"/>
      <c r="E468" s="2" t="n"/>
      <c r="F468" s="2" t="n"/>
      <c r="G468" s="2" t="n"/>
      <c r="H468" s="2" t="n"/>
      <c r="I468" s="2" t="n"/>
      <c r="J468" s="2" t="n"/>
      <c r="K468" s="2">
        <f>IF(COUNTA(G468:J468)&lt;4,"",ROUND(AVERAGE(G468:J468),1))</f>
        <v/>
      </c>
      <c r="L468" s="2" t="n"/>
      <c r="M468" s="2" t="n"/>
      <c r="N468" s="2" t="n"/>
      <c r="O468" s="2" t="n"/>
    </row>
    <row r="469">
      <c r="A469" s="2" t="n"/>
      <c r="B469" s="2" t="n"/>
      <c r="C469" s="2" t="n"/>
      <c r="D469" s="2" t="n"/>
      <c r="E469" s="2" t="n"/>
      <c r="F469" s="2" t="n"/>
      <c r="G469" s="2" t="n"/>
      <c r="H469" s="2" t="n"/>
      <c r="I469" s="2" t="n"/>
      <c r="J469" s="2" t="n"/>
      <c r="K469" s="2">
        <f>IF(COUNTA(G469:J469)&lt;4,"",ROUND(AVERAGE(G469:J469),1))</f>
        <v/>
      </c>
      <c r="L469" s="2" t="n"/>
      <c r="M469" s="2" t="n"/>
      <c r="N469" s="2" t="n"/>
      <c r="O469" s="2" t="n"/>
    </row>
    <row r="470">
      <c r="A470" s="2" t="n"/>
      <c r="B470" s="2" t="n"/>
      <c r="C470" s="2" t="n"/>
      <c r="D470" s="2" t="n"/>
      <c r="E470" s="2" t="n"/>
      <c r="F470" s="2" t="n"/>
      <c r="G470" s="2" t="n"/>
      <c r="H470" s="2" t="n"/>
      <c r="I470" s="2" t="n"/>
      <c r="J470" s="2" t="n"/>
      <c r="K470" s="2">
        <f>IF(COUNTA(G470:J470)&lt;4,"",ROUND(AVERAGE(G470:J470),1))</f>
        <v/>
      </c>
      <c r="L470" s="2" t="n"/>
      <c r="M470" s="2" t="n"/>
      <c r="N470" s="2" t="n"/>
      <c r="O470" s="2" t="n"/>
    </row>
    <row r="471">
      <c r="A471" s="2" t="n"/>
      <c r="B471" s="2" t="n"/>
      <c r="C471" s="2" t="n"/>
      <c r="D471" s="2" t="n"/>
      <c r="E471" s="2" t="n"/>
      <c r="F471" s="2" t="n"/>
      <c r="G471" s="2" t="n"/>
      <c r="H471" s="2" t="n"/>
      <c r="I471" s="2" t="n"/>
      <c r="J471" s="2" t="n"/>
      <c r="K471" s="2">
        <f>IF(COUNTA(G471:J471)&lt;4,"",ROUND(AVERAGE(G471:J471),1))</f>
        <v/>
      </c>
      <c r="L471" s="2" t="n"/>
      <c r="M471" s="2" t="n"/>
      <c r="N471" s="2" t="n"/>
      <c r="O471" s="2" t="n"/>
    </row>
    <row r="472">
      <c r="A472" s="2" t="n"/>
      <c r="B472" s="2" t="n"/>
      <c r="C472" s="2" t="n"/>
      <c r="D472" s="2" t="n"/>
      <c r="E472" s="2" t="n"/>
      <c r="F472" s="2" t="n"/>
      <c r="G472" s="2" t="n"/>
      <c r="H472" s="2" t="n"/>
      <c r="I472" s="2" t="n"/>
      <c r="J472" s="2" t="n"/>
      <c r="K472" s="2">
        <f>IF(COUNTA(G472:J472)&lt;4,"",ROUND(AVERAGE(G472:J472),1))</f>
        <v/>
      </c>
      <c r="L472" s="2" t="n"/>
      <c r="M472" s="2" t="n"/>
      <c r="N472" s="2" t="n"/>
      <c r="O472" s="2" t="n"/>
    </row>
    <row r="473">
      <c r="A473" s="2" t="n"/>
      <c r="B473" s="2" t="n"/>
      <c r="C473" s="2" t="n"/>
      <c r="D473" s="2" t="n"/>
      <c r="E473" s="2" t="n"/>
      <c r="F473" s="2" t="n"/>
      <c r="G473" s="2" t="n"/>
      <c r="H473" s="2" t="n"/>
      <c r="I473" s="2" t="n"/>
      <c r="J473" s="2" t="n"/>
      <c r="K473" s="2">
        <f>IF(COUNTA(G473:J473)&lt;4,"",ROUND(AVERAGE(G473:J473),1))</f>
        <v/>
      </c>
      <c r="L473" s="2" t="n"/>
      <c r="M473" s="2" t="n"/>
      <c r="N473" s="2" t="n"/>
      <c r="O473" s="2" t="n"/>
    </row>
    <row r="474">
      <c r="A474" s="2" t="n"/>
      <c r="B474" s="2" t="n"/>
      <c r="C474" s="2" t="n"/>
      <c r="D474" s="2" t="n"/>
      <c r="E474" s="2" t="n"/>
      <c r="F474" s="2" t="n"/>
      <c r="G474" s="2" t="n"/>
      <c r="H474" s="2" t="n"/>
      <c r="I474" s="2" t="n"/>
      <c r="J474" s="2" t="n"/>
      <c r="K474" s="2">
        <f>IF(COUNTA(G474:J474)&lt;4,"",ROUND(AVERAGE(G474:J474),1))</f>
        <v/>
      </c>
      <c r="L474" s="2" t="n"/>
      <c r="M474" s="2" t="n"/>
      <c r="N474" s="2" t="n"/>
      <c r="O474" s="2" t="n"/>
    </row>
    <row r="475">
      <c r="A475" s="2" t="n"/>
      <c r="B475" s="2" t="n"/>
      <c r="C475" s="2" t="n"/>
      <c r="D475" s="2" t="n"/>
      <c r="E475" s="2" t="n"/>
      <c r="F475" s="2" t="n"/>
      <c r="G475" s="2" t="n"/>
      <c r="H475" s="2" t="n"/>
      <c r="I475" s="2" t="n"/>
      <c r="J475" s="2" t="n"/>
      <c r="K475" s="2">
        <f>IF(COUNTA(G475:J475)&lt;4,"",ROUND(AVERAGE(G475:J475),1))</f>
        <v/>
      </c>
      <c r="L475" s="2" t="n"/>
      <c r="M475" s="2" t="n"/>
      <c r="N475" s="2" t="n"/>
      <c r="O475" s="2" t="n"/>
    </row>
    <row r="476">
      <c r="A476" s="2" t="n"/>
      <c r="B476" s="2" t="n"/>
      <c r="C476" s="2" t="n"/>
      <c r="D476" s="2" t="n"/>
      <c r="E476" s="2" t="n"/>
      <c r="F476" s="2" t="n"/>
      <c r="G476" s="2" t="n"/>
      <c r="H476" s="2" t="n"/>
      <c r="I476" s="2" t="n"/>
      <c r="J476" s="2" t="n"/>
      <c r="K476" s="2">
        <f>IF(COUNTA(G476:J476)&lt;4,"",ROUND(AVERAGE(G476:J476),1))</f>
        <v/>
      </c>
      <c r="L476" s="2" t="n"/>
      <c r="M476" s="2" t="n"/>
      <c r="N476" s="2" t="n"/>
      <c r="O476" s="2" t="n"/>
    </row>
    <row r="477">
      <c r="A477" s="2" t="n"/>
      <c r="B477" s="2" t="n"/>
      <c r="C477" s="2" t="n"/>
      <c r="D477" s="2" t="n"/>
      <c r="E477" s="2" t="n"/>
      <c r="F477" s="2" t="n"/>
      <c r="G477" s="2" t="n"/>
      <c r="H477" s="2" t="n"/>
      <c r="I477" s="2" t="n"/>
      <c r="J477" s="2" t="n"/>
      <c r="K477" s="2">
        <f>IF(COUNTA(G477:J477)&lt;4,"",ROUND(AVERAGE(G477:J477),1))</f>
        <v/>
      </c>
      <c r="L477" s="2" t="n"/>
      <c r="M477" s="2" t="n"/>
      <c r="N477" s="2" t="n"/>
      <c r="O477" s="2" t="n"/>
    </row>
    <row r="478">
      <c r="A478" s="2" t="n"/>
      <c r="B478" s="2" t="n"/>
      <c r="C478" s="2" t="n"/>
      <c r="D478" s="2" t="n"/>
      <c r="E478" s="2" t="n"/>
      <c r="F478" s="2" t="n"/>
      <c r="G478" s="2" t="n"/>
      <c r="H478" s="2" t="n"/>
      <c r="I478" s="2" t="n"/>
      <c r="J478" s="2" t="n"/>
      <c r="K478" s="2">
        <f>IF(COUNTA(G478:J478)&lt;4,"",ROUND(AVERAGE(G478:J478),1))</f>
        <v/>
      </c>
      <c r="L478" s="2" t="n"/>
      <c r="M478" s="2" t="n"/>
      <c r="N478" s="2" t="n"/>
      <c r="O478" s="2" t="n"/>
    </row>
    <row r="479">
      <c r="A479" s="2" t="n"/>
      <c r="B479" s="2" t="n"/>
      <c r="C479" s="2" t="n"/>
      <c r="D479" s="2" t="n"/>
      <c r="E479" s="2" t="n"/>
      <c r="F479" s="2" t="n"/>
      <c r="G479" s="2" t="n"/>
      <c r="H479" s="2" t="n"/>
      <c r="I479" s="2" t="n"/>
      <c r="J479" s="2" t="n"/>
      <c r="K479" s="2">
        <f>IF(COUNTA(G479:J479)&lt;4,"",ROUND(AVERAGE(G479:J479),1))</f>
        <v/>
      </c>
      <c r="L479" s="2" t="n"/>
      <c r="M479" s="2" t="n"/>
      <c r="N479" s="2" t="n"/>
      <c r="O479" s="2" t="n"/>
    </row>
    <row r="480">
      <c r="A480" s="2" t="n"/>
      <c r="B480" s="2" t="n"/>
      <c r="C480" s="2" t="n"/>
      <c r="D480" s="2" t="n"/>
      <c r="E480" s="2" t="n"/>
      <c r="F480" s="2" t="n"/>
      <c r="G480" s="2" t="n"/>
      <c r="H480" s="2" t="n"/>
      <c r="I480" s="2" t="n"/>
      <c r="J480" s="2" t="n"/>
      <c r="K480" s="2">
        <f>IF(COUNTA(G480:J480)&lt;4,"",ROUND(AVERAGE(G480:J480),1))</f>
        <v/>
      </c>
      <c r="L480" s="2" t="n"/>
      <c r="M480" s="2" t="n"/>
      <c r="N480" s="2" t="n"/>
      <c r="O480" s="2" t="n"/>
    </row>
    <row r="481">
      <c r="A481" s="2" t="n"/>
      <c r="B481" s="2" t="n"/>
      <c r="C481" s="2" t="n"/>
      <c r="D481" s="2" t="n"/>
      <c r="E481" s="2" t="n"/>
      <c r="F481" s="2" t="n"/>
      <c r="G481" s="2" t="n"/>
      <c r="H481" s="2" t="n"/>
      <c r="I481" s="2" t="n"/>
      <c r="J481" s="2" t="n"/>
      <c r="K481" s="2">
        <f>IF(COUNTA(G481:J481)&lt;4,"",ROUND(AVERAGE(G481:J481),1))</f>
        <v/>
      </c>
      <c r="L481" s="2" t="n"/>
      <c r="M481" s="2" t="n"/>
      <c r="N481" s="2" t="n"/>
      <c r="O481" s="2" t="n"/>
    </row>
    <row r="482">
      <c r="A482" s="2" t="n"/>
      <c r="B482" s="2" t="n"/>
      <c r="C482" s="2" t="n"/>
      <c r="D482" s="2" t="n"/>
      <c r="E482" s="2" t="n"/>
      <c r="F482" s="2" t="n"/>
      <c r="G482" s="2" t="n"/>
      <c r="H482" s="2" t="n"/>
      <c r="I482" s="2" t="n"/>
      <c r="J482" s="2" t="n"/>
      <c r="K482" s="2">
        <f>IF(COUNTA(G482:J482)&lt;4,"",ROUND(AVERAGE(G482:J482),1))</f>
        <v/>
      </c>
      <c r="L482" s="2" t="n"/>
      <c r="M482" s="2" t="n"/>
      <c r="N482" s="2" t="n"/>
      <c r="O482" s="2" t="n"/>
    </row>
    <row r="483">
      <c r="A483" s="2" t="n"/>
      <c r="B483" s="2" t="n"/>
      <c r="C483" s="2" t="n"/>
      <c r="D483" s="2" t="n"/>
      <c r="E483" s="2" t="n"/>
      <c r="F483" s="2" t="n"/>
      <c r="G483" s="2" t="n"/>
      <c r="H483" s="2" t="n"/>
      <c r="I483" s="2" t="n"/>
      <c r="J483" s="2" t="n"/>
      <c r="K483" s="2">
        <f>IF(COUNTA(G483:J483)&lt;4,"",ROUND(AVERAGE(G483:J483),1))</f>
        <v/>
      </c>
      <c r="L483" s="2" t="n"/>
      <c r="M483" s="2" t="n"/>
      <c r="N483" s="2" t="n"/>
      <c r="O483" s="2" t="n"/>
    </row>
    <row r="484">
      <c r="A484" s="2" t="n"/>
      <c r="B484" s="2" t="n"/>
      <c r="C484" s="2" t="n"/>
      <c r="D484" s="2" t="n"/>
      <c r="E484" s="2" t="n"/>
      <c r="F484" s="2" t="n"/>
      <c r="G484" s="2" t="n"/>
      <c r="H484" s="2" t="n"/>
      <c r="I484" s="2" t="n"/>
      <c r="J484" s="2" t="n"/>
      <c r="K484" s="2">
        <f>IF(COUNTA(G484:J484)&lt;4,"",ROUND(AVERAGE(G484:J484),1))</f>
        <v/>
      </c>
      <c r="L484" s="2" t="n"/>
      <c r="M484" s="2" t="n"/>
      <c r="N484" s="2" t="n"/>
      <c r="O484" s="2" t="n"/>
    </row>
    <row r="485">
      <c r="A485" s="2" t="n"/>
      <c r="B485" s="2" t="n"/>
      <c r="C485" s="2" t="n"/>
      <c r="D485" s="2" t="n"/>
      <c r="E485" s="2" t="n"/>
      <c r="F485" s="2" t="n"/>
      <c r="G485" s="2" t="n"/>
      <c r="H485" s="2" t="n"/>
      <c r="I485" s="2" t="n"/>
      <c r="J485" s="2" t="n"/>
      <c r="K485" s="2">
        <f>IF(COUNTA(G485:J485)&lt;4,"",ROUND(AVERAGE(G485:J485),1))</f>
        <v/>
      </c>
      <c r="L485" s="2" t="n"/>
      <c r="M485" s="2" t="n"/>
      <c r="N485" s="2" t="n"/>
      <c r="O485" s="2" t="n"/>
    </row>
    <row r="486">
      <c r="A486" s="2" t="n"/>
      <c r="B486" s="2" t="n"/>
      <c r="C486" s="2" t="n"/>
      <c r="D486" s="2" t="n"/>
      <c r="E486" s="2" t="n"/>
      <c r="F486" s="2" t="n"/>
      <c r="G486" s="2" t="n"/>
      <c r="H486" s="2" t="n"/>
      <c r="I486" s="2" t="n"/>
      <c r="J486" s="2" t="n"/>
      <c r="K486" s="2">
        <f>IF(COUNTA(G486:J486)&lt;4,"",ROUND(AVERAGE(G486:J486),1))</f>
        <v/>
      </c>
      <c r="L486" s="2" t="n"/>
      <c r="M486" s="2" t="n"/>
      <c r="N486" s="2" t="n"/>
      <c r="O486" s="2" t="n"/>
    </row>
    <row r="487">
      <c r="A487" s="2" t="n"/>
      <c r="B487" s="2" t="n"/>
      <c r="C487" s="2" t="n"/>
      <c r="D487" s="2" t="n"/>
      <c r="E487" s="2" t="n"/>
      <c r="F487" s="2" t="n"/>
      <c r="G487" s="2" t="n"/>
      <c r="H487" s="2" t="n"/>
      <c r="I487" s="2" t="n"/>
      <c r="J487" s="2" t="n"/>
      <c r="K487" s="2">
        <f>IF(COUNTA(G487:J487)&lt;4,"",ROUND(AVERAGE(G487:J487),1))</f>
        <v/>
      </c>
      <c r="L487" s="2" t="n"/>
      <c r="M487" s="2" t="n"/>
      <c r="N487" s="2" t="n"/>
      <c r="O487" s="2" t="n"/>
    </row>
    <row r="488">
      <c r="A488" s="2" t="n"/>
      <c r="B488" s="2" t="n"/>
      <c r="C488" s="2" t="n"/>
      <c r="D488" s="2" t="n"/>
      <c r="E488" s="2" t="n"/>
      <c r="F488" s="2" t="n"/>
      <c r="G488" s="2" t="n"/>
      <c r="H488" s="2" t="n"/>
      <c r="I488" s="2" t="n"/>
      <c r="J488" s="2" t="n"/>
      <c r="K488" s="2">
        <f>IF(COUNTA(G488:J488)&lt;4,"",ROUND(AVERAGE(G488:J488),1))</f>
        <v/>
      </c>
      <c r="L488" s="2" t="n"/>
      <c r="M488" s="2" t="n"/>
      <c r="N488" s="2" t="n"/>
      <c r="O488" s="2" t="n"/>
    </row>
    <row r="489">
      <c r="A489" s="2" t="n"/>
      <c r="B489" s="2" t="n"/>
      <c r="C489" s="2" t="n"/>
      <c r="D489" s="2" t="n"/>
      <c r="E489" s="2" t="n"/>
      <c r="F489" s="2" t="n"/>
      <c r="G489" s="2" t="n"/>
      <c r="H489" s="2" t="n"/>
      <c r="I489" s="2" t="n"/>
      <c r="J489" s="2" t="n"/>
      <c r="K489" s="2">
        <f>IF(COUNTA(G489:J489)&lt;4,"",ROUND(AVERAGE(G489:J489),1))</f>
        <v/>
      </c>
      <c r="L489" s="2" t="n"/>
      <c r="M489" s="2" t="n"/>
      <c r="N489" s="2" t="n"/>
      <c r="O489" s="2" t="n"/>
    </row>
    <row r="490">
      <c r="A490" s="2" t="n"/>
      <c r="B490" s="2" t="n"/>
      <c r="C490" s="2" t="n"/>
      <c r="D490" s="2" t="n"/>
      <c r="E490" s="2" t="n"/>
      <c r="F490" s="2" t="n"/>
      <c r="G490" s="2" t="n"/>
      <c r="H490" s="2" t="n"/>
      <c r="I490" s="2" t="n"/>
      <c r="J490" s="2" t="n"/>
      <c r="K490" s="2">
        <f>IF(COUNTA(G490:J490)&lt;4,"",ROUND(AVERAGE(G490:J490),1))</f>
        <v/>
      </c>
      <c r="L490" s="2" t="n"/>
      <c r="M490" s="2" t="n"/>
      <c r="N490" s="2" t="n"/>
      <c r="O490" s="2" t="n"/>
    </row>
    <row r="491">
      <c r="A491" s="2" t="n"/>
      <c r="B491" s="2" t="n"/>
      <c r="C491" s="2" t="n"/>
      <c r="D491" s="2" t="n"/>
      <c r="E491" s="2" t="n"/>
      <c r="F491" s="2" t="n"/>
      <c r="G491" s="2" t="n"/>
      <c r="H491" s="2" t="n"/>
      <c r="I491" s="2" t="n"/>
      <c r="J491" s="2" t="n"/>
      <c r="K491" s="2">
        <f>IF(COUNTA(G491:J491)&lt;4,"",ROUND(AVERAGE(G491:J491),1))</f>
        <v/>
      </c>
      <c r="L491" s="2" t="n"/>
      <c r="M491" s="2" t="n"/>
      <c r="N491" s="2" t="n"/>
      <c r="O491" s="2" t="n"/>
    </row>
    <row r="492">
      <c r="A492" s="2" t="n"/>
      <c r="B492" s="2" t="n"/>
      <c r="C492" s="2" t="n"/>
      <c r="D492" s="2" t="n"/>
      <c r="E492" s="2" t="n"/>
      <c r="F492" s="2" t="n"/>
      <c r="G492" s="2" t="n"/>
      <c r="H492" s="2" t="n"/>
      <c r="I492" s="2" t="n"/>
      <c r="J492" s="2" t="n"/>
      <c r="K492" s="2">
        <f>IF(COUNTA(G492:J492)&lt;4,"",ROUND(AVERAGE(G492:J492),1))</f>
        <v/>
      </c>
      <c r="L492" s="2" t="n"/>
      <c r="M492" s="2" t="n"/>
      <c r="N492" s="2" t="n"/>
      <c r="O492" s="2" t="n"/>
    </row>
    <row r="493">
      <c r="A493" s="2" t="n"/>
      <c r="B493" s="2" t="n"/>
      <c r="C493" s="2" t="n"/>
      <c r="D493" s="2" t="n"/>
      <c r="E493" s="2" t="n"/>
      <c r="F493" s="2" t="n"/>
      <c r="G493" s="2" t="n"/>
      <c r="H493" s="2" t="n"/>
      <c r="I493" s="2" t="n"/>
      <c r="J493" s="2" t="n"/>
      <c r="K493" s="2">
        <f>IF(COUNTA(G493:J493)&lt;4,"",ROUND(AVERAGE(G493:J493),1))</f>
        <v/>
      </c>
      <c r="L493" s="2" t="n"/>
      <c r="M493" s="2" t="n"/>
      <c r="N493" s="2" t="n"/>
      <c r="O493" s="2" t="n"/>
    </row>
    <row r="494">
      <c r="A494" s="2" t="n"/>
      <c r="B494" s="2" t="n"/>
      <c r="C494" s="2" t="n"/>
      <c r="D494" s="2" t="n"/>
      <c r="E494" s="2" t="n"/>
      <c r="F494" s="2" t="n"/>
      <c r="G494" s="2" t="n"/>
      <c r="H494" s="2" t="n"/>
      <c r="I494" s="2" t="n"/>
      <c r="J494" s="2" t="n"/>
      <c r="K494" s="2">
        <f>IF(COUNTA(G494:J494)&lt;4,"",ROUND(AVERAGE(G494:J494),1))</f>
        <v/>
      </c>
      <c r="L494" s="2" t="n"/>
      <c r="M494" s="2" t="n"/>
      <c r="N494" s="2" t="n"/>
      <c r="O494" s="2" t="n"/>
    </row>
    <row r="495">
      <c r="A495" s="2" t="n"/>
      <c r="B495" s="2" t="n"/>
      <c r="C495" s="2" t="n"/>
      <c r="D495" s="2" t="n"/>
      <c r="E495" s="2" t="n"/>
      <c r="F495" s="2" t="n"/>
      <c r="G495" s="2" t="n"/>
      <c r="H495" s="2" t="n"/>
      <c r="I495" s="2" t="n"/>
      <c r="J495" s="2" t="n"/>
      <c r="K495" s="2">
        <f>IF(COUNTA(G495:J495)&lt;4,"",ROUND(AVERAGE(G495:J495),1))</f>
        <v/>
      </c>
      <c r="L495" s="2" t="n"/>
      <c r="M495" s="2" t="n"/>
      <c r="N495" s="2" t="n"/>
      <c r="O495" s="2" t="n"/>
    </row>
    <row r="496">
      <c r="A496" s="2" t="n"/>
      <c r="B496" s="2" t="n"/>
      <c r="C496" s="2" t="n"/>
      <c r="D496" s="2" t="n"/>
      <c r="E496" s="2" t="n"/>
      <c r="F496" s="2" t="n"/>
      <c r="G496" s="2" t="n"/>
      <c r="H496" s="2" t="n"/>
      <c r="I496" s="2" t="n"/>
      <c r="J496" s="2" t="n"/>
      <c r="K496" s="2">
        <f>IF(COUNTA(G496:J496)&lt;4,"",ROUND(AVERAGE(G496:J496),1))</f>
        <v/>
      </c>
      <c r="L496" s="2" t="n"/>
      <c r="M496" s="2" t="n"/>
      <c r="N496" s="2" t="n"/>
      <c r="O496" s="2" t="n"/>
    </row>
    <row r="497">
      <c r="A497" s="2" t="n"/>
      <c r="B497" s="2" t="n"/>
      <c r="C497" s="2" t="n"/>
      <c r="D497" s="2" t="n"/>
      <c r="E497" s="2" t="n"/>
      <c r="F497" s="2" t="n"/>
      <c r="G497" s="2" t="n"/>
      <c r="H497" s="2" t="n"/>
      <c r="I497" s="2" t="n"/>
      <c r="J497" s="2" t="n"/>
      <c r="K497" s="2">
        <f>IF(COUNTA(G497:J497)&lt;4,"",ROUND(AVERAGE(G497:J497),1))</f>
        <v/>
      </c>
      <c r="L497" s="2" t="n"/>
      <c r="M497" s="2" t="n"/>
      <c r="N497" s="2" t="n"/>
      <c r="O497" s="2" t="n"/>
    </row>
    <row r="498">
      <c r="A498" s="2" t="n"/>
      <c r="B498" s="2" t="n"/>
      <c r="C498" s="2" t="n"/>
      <c r="D498" s="2" t="n"/>
      <c r="E498" s="2" t="n"/>
      <c r="F498" s="2" t="n"/>
      <c r="G498" s="2" t="n"/>
      <c r="H498" s="2" t="n"/>
      <c r="I498" s="2" t="n"/>
      <c r="J498" s="2" t="n"/>
      <c r="K498" s="2">
        <f>IF(COUNTA(G498:J498)&lt;4,"",ROUND(AVERAGE(G498:J498),1))</f>
        <v/>
      </c>
      <c r="L498" s="2" t="n"/>
      <c r="M498" s="2" t="n"/>
      <c r="N498" s="2" t="n"/>
      <c r="O498" s="2" t="n"/>
    </row>
    <row r="499">
      <c r="A499" s="2" t="n"/>
      <c r="B499" s="2" t="n"/>
      <c r="C499" s="2" t="n"/>
      <c r="D499" s="2" t="n"/>
      <c r="E499" s="2" t="n"/>
      <c r="F499" s="2" t="n"/>
      <c r="G499" s="2" t="n"/>
      <c r="H499" s="2" t="n"/>
      <c r="I499" s="2" t="n"/>
      <c r="J499" s="2" t="n"/>
      <c r="K499" s="2">
        <f>IF(COUNTA(G499:J499)&lt;4,"",ROUND(AVERAGE(G499:J499),1))</f>
        <v/>
      </c>
      <c r="L499" s="2" t="n"/>
      <c r="M499" s="2" t="n"/>
      <c r="N499" s="2" t="n"/>
      <c r="O499" s="2" t="n"/>
    </row>
    <row r="500">
      <c r="A500" s="2" t="n"/>
      <c r="B500" s="2" t="n"/>
      <c r="C500" s="2" t="n"/>
      <c r="D500" s="2" t="n"/>
      <c r="E500" s="2" t="n"/>
      <c r="F500" s="2" t="n"/>
      <c r="G500" s="2" t="n"/>
      <c r="H500" s="2" t="n"/>
      <c r="I500" s="2" t="n"/>
      <c r="J500" s="2" t="n"/>
      <c r="K500" s="2">
        <f>IF(COUNTA(G500:J500)&lt;4,"",ROUND(AVERAGE(G500:J500),1))</f>
        <v/>
      </c>
      <c r="L500" s="2" t="n"/>
      <c r="M500" s="2" t="n"/>
      <c r="N500" s="2" t="n"/>
      <c r="O500" s="2" t="n"/>
    </row>
  </sheetData>
  <autoFilter ref="A1:O50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9"/>
  <sheetViews>
    <sheetView workbookViewId="0">
      <pane ySplit="2" topLeftCell="A3" activePane="bottomLeft" state="frozen"/>
      <selection pane="bottomLeft" activeCell="A1" sqref="A1"/>
    </sheetView>
  </sheetViews>
  <sheetFormatPr baseColWidth="8" defaultRowHeight="15"/>
  <cols>
    <col width="32" customWidth="1" min="1" max="2"/>
    <col width="12" customWidth="1" min="3" max="3"/>
    <col width="21" customWidth="1" min="4" max="4"/>
    <col width="32" customWidth="1" min="5" max="5"/>
  </cols>
  <sheetData>
    <row r="1">
      <c r="A1" s="8" t="inlineStr">
        <is>
          <t>INTERNSHIP HUNT — LIVE ANALYTICS</t>
        </is>
      </c>
      <c r="B1" s="9" t="n"/>
      <c r="C1" s="9" t="n"/>
      <c r="D1" s="10" t="n"/>
      <c r="E1" s="2" t="n"/>
    </row>
    <row r="2">
      <c r="A2" s="3" t="inlineStr">
        <is>
          <t>Metric</t>
        </is>
      </c>
      <c r="B2" s="2" t="inlineStr">
        <is>
          <t>Value</t>
        </is>
      </c>
      <c r="C2" s="2" t="n"/>
      <c r="D2" s="2" t="n"/>
      <c r="E2" s="2" t="n"/>
      <c r="G2" s="6" t="inlineStr">
        <is>
          <t>V2 Intelligence Metrics</t>
        </is>
      </c>
    </row>
    <row r="3">
      <c r="A3" s="3" t="inlineStr">
        <is>
          <t>Total Jobs</t>
        </is>
      </c>
      <c r="B3" s="2">
        <f>COUNTA(Jobs!A2:A500)</f>
        <v/>
      </c>
      <c r="C3" s="2" t="n"/>
      <c r="D3" s="3" t="inlineStr">
        <is>
          <t>Priority</t>
        </is>
      </c>
      <c r="E3" s="3" t="inlineStr">
        <is>
          <t>Count</t>
        </is>
      </c>
      <c r="G3" s="6" t="inlineStr">
        <is>
          <t>Jobs with eligibility risk</t>
        </is>
      </c>
      <c r="H3">
        <f>COUNTIF(Jobs!AA2:AA500,"risk")</f>
        <v/>
      </c>
    </row>
    <row r="4">
      <c r="A4" s="3" t="inlineStr">
        <is>
          <t>Shortlisted / Apply-level Jobs</t>
        </is>
      </c>
      <c r="B4" s="2">
        <f>COUNTIF(Jobs!V2:V500,"APPLY")+COUNTIF(Jobs!V2:V500,"APPLY ASAP")</f>
        <v/>
      </c>
      <c r="C4" s="2" t="n"/>
      <c r="D4" s="2" t="inlineStr">
        <is>
          <t>P1</t>
        </is>
      </c>
      <c r="E4" s="2">
        <f>COUNTIF(Jobs!U2:U500,D4)</f>
        <v/>
      </c>
      <c r="G4" s="6" t="inlineStr">
        <is>
          <t>Jobs with eligibility failure</t>
        </is>
      </c>
      <c r="H4">
        <f>COUNTIF(Jobs!AA2:AA500,"fail")</f>
        <v/>
      </c>
    </row>
    <row r="5">
      <c r="A5" s="3" t="inlineStr">
        <is>
          <t>Applications</t>
        </is>
      </c>
      <c r="B5" s="2">
        <f>COUNTA(Applications!A2:A500)</f>
        <v/>
      </c>
      <c r="C5" s="2" t="n"/>
      <c r="D5" s="2" t="inlineStr">
        <is>
          <t>P2</t>
        </is>
      </c>
      <c r="E5" s="2">
        <f>COUNTIF(Jobs!U2:U500,D5)</f>
        <v/>
      </c>
      <c r="G5" s="6" t="inlineStr">
        <is>
          <t>PPO-strong jobs</t>
        </is>
      </c>
      <c r="H5">
        <f>COUNTIF(Jobs!AH2:AH500,"strong")</f>
        <v/>
      </c>
    </row>
    <row r="6">
      <c r="A6" s="3" t="inlineStr">
        <is>
          <t>OAs</t>
        </is>
      </c>
      <c r="B6" s="2">
        <f>COUNTIF(Applications!H2:H500,"OA")</f>
        <v/>
      </c>
      <c r="C6" s="2" t="n"/>
      <c r="D6" s="2" t="inlineStr">
        <is>
          <t>P3</t>
        </is>
      </c>
      <c r="E6" s="2">
        <f>COUNTIF(Jobs!U2:U500,D6)</f>
        <v/>
      </c>
      <c r="G6" s="6" t="inlineStr">
        <is>
          <t>Compensation to verify</t>
        </is>
      </c>
      <c r="H6">
        <f>COUNTIF(Jobs!AE2:AE500,"verify")</f>
        <v/>
      </c>
    </row>
    <row r="7">
      <c r="A7" s="3" t="inlineStr">
        <is>
          <t>Interviews</t>
        </is>
      </c>
      <c r="B7" s="2">
        <f>COUNTIF(Applications!H2:H500,"Technical Interview")+COUNTIF(Applications!H2:H500,"HR/Manager")</f>
        <v/>
      </c>
      <c r="C7" s="2" t="n"/>
      <c r="D7" s="2" t="inlineStr">
        <is>
          <t>P4</t>
        </is>
      </c>
      <c r="E7" s="2">
        <f>COUNTIF(Jobs!U2:U500,D7)</f>
        <v/>
      </c>
      <c r="G7" s="6" t="inlineStr">
        <is>
          <t>Apply ASAP jobs</t>
        </is>
      </c>
      <c r="H7">
        <f>COUNTIF(Jobs!V2:V500,"APPLY ASAP")</f>
        <v/>
      </c>
    </row>
    <row r="8">
      <c r="A8" s="3" t="inlineStr">
        <is>
          <t>Offers</t>
        </is>
      </c>
      <c r="B8" s="2">
        <f>COUNTIF(Applications!H2:H500,"Offer")+COUNTIF(Applications!H2:H500,"PPO")</f>
        <v/>
      </c>
      <c r="C8" s="2" t="n"/>
      <c r="D8" s="2" t="n"/>
      <c r="E8" s="2" t="n"/>
    </row>
    <row r="9">
      <c r="A9" s="3" t="inlineStr">
        <is>
          <t>PPOs</t>
        </is>
      </c>
      <c r="B9" s="4">
        <f>COUNTIF(Applications!H2:H500,"PPO")</f>
        <v/>
      </c>
      <c r="C9" s="2" t="n"/>
      <c r="D9" s="2" t="n"/>
      <c r="E9" s="2" t="n"/>
    </row>
    <row r="10">
      <c r="A10" s="3" t="inlineStr">
        <is>
          <t>Application → Interview %</t>
        </is>
      </c>
      <c r="B10" s="4">
        <f>IFERROR(B6/B4,0)</f>
        <v/>
      </c>
      <c r="C10" s="2" t="n"/>
      <c r="D10" s="3" t="inlineStr">
        <is>
          <t>Application Status</t>
        </is>
      </c>
      <c r="E10" s="3" t="inlineStr">
        <is>
          <t>Count</t>
        </is>
      </c>
    </row>
    <row r="11">
      <c r="A11" s="3" t="inlineStr">
        <is>
          <t>Application → Offer %</t>
        </is>
      </c>
      <c r="B11" s="4">
        <f>IFERROR(B7/B4,0)</f>
        <v/>
      </c>
      <c r="C11" s="2" t="n"/>
      <c r="D11" s="2" t="inlineStr">
        <is>
          <t>Applied</t>
        </is>
      </c>
      <c r="E11" s="2">
        <f>COUNTIF(Applications!H2:H500,D11)</f>
        <v/>
      </c>
    </row>
    <row r="12">
      <c r="A12" s="2" t="inlineStr">
        <is>
          <t>Application → PPO %</t>
        </is>
      </c>
      <c r="B12" s="2">
        <f>IFERROR(B8/B4,0)</f>
        <v/>
      </c>
      <c r="C12" s="2" t="n"/>
      <c r="D12" s="2" t="inlineStr">
        <is>
          <t>Waiting</t>
        </is>
      </c>
      <c r="E12" s="2">
        <f>COUNTIF(Applications!H2:H500,D12)</f>
        <v/>
      </c>
    </row>
    <row r="13">
      <c r="A13" s="2" t="n"/>
      <c r="B13" s="2" t="n"/>
      <c r="C13" s="2" t="n"/>
      <c r="D13" s="2" t="inlineStr">
        <is>
          <t>OA</t>
        </is>
      </c>
      <c r="E13" s="2">
        <f>COUNTIF(Applications!H2:H500,D13)</f>
        <v/>
      </c>
    </row>
    <row r="14">
      <c r="A14" s="2" t="n"/>
      <c r="B14" s="2" t="n"/>
      <c r="C14" s="2" t="n"/>
      <c r="D14" s="2" t="inlineStr">
        <is>
          <t>Technical Interview</t>
        </is>
      </c>
      <c r="E14" s="2">
        <f>COUNTIF(Applications!H2:H500,D14)</f>
        <v/>
      </c>
    </row>
    <row r="15">
      <c r="A15" s="2" t="n"/>
      <c r="B15" s="2" t="n"/>
      <c r="C15" s="2" t="n"/>
      <c r="D15" s="2" t="inlineStr">
        <is>
          <t>HR/Manager</t>
        </is>
      </c>
      <c r="E15" s="2">
        <f>COUNTIF(Applications!H2:H500,D15)</f>
        <v/>
      </c>
    </row>
    <row r="16">
      <c r="A16" s="2" t="n"/>
      <c r="B16" s="2" t="n"/>
      <c r="C16" s="2" t="n"/>
      <c r="D16" s="2" t="inlineStr">
        <is>
          <t>Offer</t>
        </is>
      </c>
      <c r="E16" s="2">
        <f>COUNTIF(Applications!H2:H500,D16)</f>
        <v/>
      </c>
    </row>
    <row r="17">
      <c r="A17" s="2" t="n"/>
      <c r="B17" s="2" t="n"/>
      <c r="C17" s="2" t="n"/>
      <c r="D17" s="2" t="inlineStr">
        <is>
          <t>Rejected</t>
        </is>
      </c>
      <c r="E17" s="2">
        <f>COUNTIF(Applications!H2:H500,D17)</f>
        <v/>
      </c>
    </row>
    <row r="18">
      <c r="A18" s="2" t="n"/>
      <c r="B18" s="2" t="n"/>
      <c r="C18" s="2" t="n"/>
      <c r="D18" s="2" t="inlineStr">
        <is>
          <t>Ghosted</t>
        </is>
      </c>
      <c r="E18" s="2">
        <f>COUNTIF(Applications!H2:H500,D18)</f>
        <v/>
      </c>
    </row>
    <row r="19">
      <c r="A19" s="2" t="n"/>
      <c r="B19" s="2" t="n"/>
      <c r="C19" s="2" t="n"/>
      <c r="D19" s="2" t="inlineStr">
        <is>
          <t>PPO</t>
        </is>
      </c>
      <c r="E19" s="2">
        <f>COUNTIF(Applications!H2:H500,D19)</f>
        <v/>
      </c>
    </row>
  </sheetData>
  <mergeCells count="1">
    <mergeCell ref="A1:D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K41"/>
  <sheetViews>
    <sheetView tabSelected="1" workbookViewId="0">
      <pane ySplit="1" topLeftCell="A2" activePane="bottomLeft" state="frozen"/>
      <selection pane="bottomLeft" activeCell="E10" sqref="E10"/>
    </sheetView>
  </sheetViews>
  <sheetFormatPr baseColWidth="8" defaultRowHeight="15"/>
  <cols>
    <col width="24" customWidth="1" min="1" max="37"/>
  </cols>
  <sheetData>
    <row r="1">
      <c r="A1" s="5" t="inlineStr">
        <is>
          <t>Job ID</t>
        </is>
      </c>
      <c r="B1" s="5" t="inlineStr">
        <is>
          <t>Company</t>
        </is>
      </c>
      <c r="C1" s="5" t="inlineStr">
        <is>
          <t>Role</t>
        </is>
      </c>
      <c r="D1" s="5" t="inlineStr">
        <is>
          <t>Job URL</t>
        </is>
      </c>
      <c r="E1" s="5" t="inlineStr">
        <is>
          <t>Source</t>
        </is>
      </c>
      <c r="F1" s="5" t="inlineStr">
        <is>
          <t>Location</t>
        </is>
      </c>
      <c r="G1" s="5" t="inlineStr">
        <is>
          <t>Work Mode</t>
        </is>
      </c>
      <c r="H1" s="5" t="inlineStr">
        <is>
          <t>Job Type</t>
        </is>
      </c>
      <c r="I1" s="5" t="inlineStr">
        <is>
          <t>Duration</t>
        </is>
      </c>
      <c r="J1" s="5" t="inlineStr">
        <is>
          <t>Stipend Raw</t>
        </is>
      </c>
      <c r="K1" s="5" t="inlineStr">
        <is>
          <t>Eligibility Status</t>
        </is>
      </c>
      <c r="L1" s="5" t="inlineStr">
        <is>
          <t>Eligibility Reasons</t>
        </is>
      </c>
      <c r="M1" s="5" t="inlineStr">
        <is>
          <t>Availability Status</t>
        </is>
      </c>
      <c r="N1" s="5" t="inlineStr">
        <is>
          <t>Availability Reason</t>
        </is>
      </c>
      <c r="O1" s="5" t="inlineStr">
        <is>
          <t>Compensation Status</t>
        </is>
      </c>
      <c r="P1" s="5" t="inlineStr">
        <is>
          <t>Guaranteed Stipend</t>
        </is>
      </c>
      <c r="Q1" s="5" t="inlineStr">
        <is>
          <t>Incentive Included</t>
        </is>
      </c>
      <c r="R1" s="5" t="inlineStr">
        <is>
          <t>PPO Status</t>
        </is>
      </c>
      <c r="S1" s="5" t="inlineStr">
        <is>
          <t>PPO Evidence</t>
        </is>
      </c>
      <c r="T1" s="5" t="inlineStr">
        <is>
          <t>Technical Fit</t>
        </is>
      </c>
      <c r="U1" s="5" t="inlineStr">
        <is>
          <t>Experience Fit</t>
        </is>
      </c>
      <c r="V1" s="5" t="inlineStr">
        <is>
          <t>Role Fit</t>
        </is>
      </c>
      <c r="W1" s="5" t="inlineStr">
        <is>
          <t>PPO Score</t>
        </is>
      </c>
      <c r="X1" s="5" t="inlineStr">
        <is>
          <t>Compensation Fit</t>
        </is>
      </c>
      <c r="Y1" s="5" t="inlineStr">
        <is>
          <t>Opportunity Quality</t>
        </is>
      </c>
      <c r="Z1" s="5" t="inlineStr">
        <is>
          <t>Overall Score</t>
        </is>
      </c>
      <c r="AA1" s="5" t="inlineStr">
        <is>
          <t>Recommendation</t>
        </is>
      </c>
      <c r="AB1" s="5" t="inlineStr">
        <is>
          <t>Required Skills</t>
        </is>
      </c>
      <c r="AC1" s="5" t="inlineStr">
        <is>
          <t>Preferred Skills</t>
        </is>
      </c>
      <c r="AD1" s="5" t="inlineStr">
        <is>
          <t>Skill Gaps</t>
        </is>
      </c>
      <c r="AE1" s="5" t="inlineStr">
        <is>
          <t>Hard Blockers</t>
        </is>
      </c>
      <c r="AF1" s="5" t="inlineStr">
        <is>
          <t>Red Flags</t>
        </is>
      </c>
      <c r="AG1" s="5" t="inlineStr">
        <is>
          <t>Recommended Resume</t>
        </is>
      </c>
      <c r="AH1" s="5" t="inlineStr">
        <is>
          <t>Interview Topics</t>
        </is>
      </c>
      <c r="AI1" s="5" t="inlineStr">
        <is>
          <t>Why Apply</t>
        </is>
      </c>
      <c r="AJ1" s="5" t="inlineStr">
        <is>
          <t>Why Not</t>
        </is>
      </c>
      <c r="AK1" s="5" t="inlineStr">
        <is>
          <t>Date Found</t>
        </is>
      </c>
    </row>
    <row r="2">
      <c r="A2" t="inlineStr">
        <is>
          <t>SUBSPACE-260909</t>
        </is>
      </c>
      <c r="B2" t="inlineStr">
        <is>
          <t>SubSpace</t>
        </is>
      </c>
      <c r="C2" t="inlineStr">
        <is>
          <t>Software Development</t>
        </is>
      </c>
      <c r="E2" t="inlineStr">
        <is>
          <t>AI Analyzer</t>
        </is>
      </c>
      <c r="F2" t="inlineStr">
        <is>
          <t>Bangalore</t>
        </is>
      </c>
      <c r="G2" t="inlineStr">
        <is>
          <t>Hybrid</t>
        </is>
      </c>
      <c r="H2" t="inlineStr">
        <is>
          <t>Internship</t>
        </is>
      </c>
      <c r="I2" t="inlineStr">
        <is>
          <t>6 months</t>
        </is>
      </c>
      <c r="J2" t="inlineStr">
        <is>
          <t>₹30,000–40,001 headline; fixed ₹20,000–30,000 + incentive ₹10,000–10,001</t>
        </is>
      </c>
      <c r="K2" t="inlineStr">
        <is>
          <t>risk</t>
        </is>
      </c>
      <c r="L2" t="inlineStr">
        <is>
          <t>Full-time/in-office and specific start window require availability confirmation.</t>
        </is>
      </c>
      <c r="M2" t="inlineStr">
        <is>
          <t>risk</t>
        </is>
      </c>
      <c r="N2" t="inlineStr">
        <is>
          <t>Required start window must be confirmed against candidate availability.</t>
        </is>
      </c>
      <c r="O2" t="inlineStr">
        <is>
          <t>verify</t>
        </is>
      </c>
      <c r="P2" t="n">
        <v>20000</v>
      </c>
      <c r="Q2" t="inlineStr">
        <is>
          <t>Yes</t>
        </is>
      </c>
      <c r="R2" t="inlineStr">
        <is>
          <t>strong</t>
        </is>
      </c>
      <c r="S2" t="inlineStr">
        <is>
          <t>Job offer up to ₹11 LPA post internship.</t>
        </is>
      </c>
      <c r="T2" t="n">
        <v>91</v>
      </c>
      <c r="U2" t="n">
        <v>94</v>
      </c>
      <c r="V2" t="n">
        <v>98</v>
      </c>
      <c r="W2" t="n">
        <v>100</v>
      </c>
      <c r="X2" t="n">
        <v>90</v>
      </c>
      <c r="Y2" t="n">
        <v>90</v>
      </c>
      <c r="Z2" t="n">
        <v>94</v>
      </c>
      <c r="AA2" t="inlineStr">
        <is>
          <t>APPLY</t>
        </is>
      </c>
      <c r="AB2" t="inlineStr">
        <is>
          <t>Node.js; Express; JavaScript; REST APIs; Git/GitHub; Go; GraphQL; WebSockets</t>
        </is>
      </c>
      <c r="AC2" t="inlineStr">
        <is>
          <t>Next.js; React; SQL; Tailwind CSS; Python; Hasura; AI/Claude</t>
        </is>
      </c>
      <c r="AD2" t="inlineStr">
        <is>
          <t>{"skill": "Go", "severity": "important", "reason": "Candidate fit is stronger in Node.js."}</t>
        </is>
      </c>
      <c r="AF2" t="inlineStr">
        <is>
          <t>Guaranteed stipend should be verified because headline total includes incentives.</t>
        </is>
      </c>
      <c r="AG2" t="inlineStr">
        <is>
          <t>Full Stack</t>
        </is>
      </c>
      <c r="AH2" t="inlineStr">
        <is>
          <t>Node.js; Express; JavaScript; REST APIs; Git/GitHub; React; SQL; WebSockets; DSA</t>
        </is>
      </c>
      <c r="AI2" t="inlineStr">
        <is>
          <t>Strong Node/Express/JavaScript/REST alignment.; Explicit post-internship job offer up to ₹11 LPA.</t>
        </is>
      </c>
      <c r="AJ2" t="inlineStr">
        <is>
          <t>Availability/start-date must be confirmed.; Guaranteed stipend should be verified.</t>
        </is>
      </c>
      <c r="AK2" t="inlineStr">
        <is>
          <t>2026-09-09</t>
        </is>
      </c>
    </row>
    <row r="3">
      <c r="A3" t="inlineStr">
        <is>
          <t>SUBSPACE-260909</t>
        </is>
      </c>
      <c r="B3" t="inlineStr">
        <is>
          <t>SubSpace</t>
        </is>
      </c>
      <c r="C3" t="inlineStr">
        <is>
          <t>Software Development Intern</t>
        </is>
      </c>
      <c r="E3" t="inlineStr">
        <is>
          <t>AI Analyzer</t>
        </is>
      </c>
      <c r="F3" t="inlineStr">
        <is>
          <t>Bangalore</t>
        </is>
      </c>
      <c r="G3" t="inlineStr">
        <is>
          <t>Hybrid</t>
        </is>
      </c>
      <c r="H3" t="inlineStr">
        <is>
          <t>Internship</t>
        </is>
      </c>
      <c r="I3" t="inlineStr">
        <is>
          <t>6 Months</t>
        </is>
      </c>
      <c r="J3" t="inlineStr">
        <is>
          <t>₹30,000 – ₹40,001/month</t>
        </is>
      </c>
      <c r="K3" t="inlineStr">
        <is>
          <t>eligible</t>
        </is>
      </c>
      <c r="L3" t="inlineStr">
        <is>
          <t>Meets general qualification and skill criteria; Undergraduate degree requirement is a plus, not a hard blocker</t>
        </is>
      </c>
      <c r="M3" t="inlineStr">
        <is>
          <t>unknown</t>
        </is>
      </c>
      <c r="N3" t="inlineStr">
        <is>
          <t>Candidate availability dates not explicitly confirmed against immediate start.</t>
        </is>
      </c>
      <c r="O3" t="inlineStr">
        <is>
          <t>disclosed</t>
        </is>
      </c>
      <c r="P3" t="n">
        <v>30000</v>
      </c>
      <c r="Q3" t="inlineStr">
        <is>
          <t>No</t>
        </is>
      </c>
      <c r="R3" t="inlineStr">
        <is>
          <t>available</t>
        </is>
      </c>
      <c r="S3" t="inlineStr">
        <is>
          <t>On successful conversion to a permanent employee, the candidate can expect a salary of approximately ₹6 LPA to ₹11 LPA.</t>
        </is>
      </c>
      <c r="T3" t="n">
        <v>24</v>
      </c>
      <c r="U3" t="n">
        <v>18</v>
      </c>
      <c r="V3" t="n">
        <v>15</v>
      </c>
      <c r="W3" t="n">
        <v>15</v>
      </c>
      <c r="X3" t="n">
        <v>10</v>
      </c>
      <c r="Y3" t="n">
        <v>9</v>
      </c>
      <c r="Z3" t="n">
        <v>91</v>
      </c>
      <c r="AA3" t="inlineStr">
        <is>
          <t>APPLY ASAP</t>
        </is>
      </c>
      <c r="AB3" t="inlineStr">
        <is>
          <t>Artificial Intelligence; Claude; Express.js; Golang; GraphQL; Hasura; JavaScript; Next.js; Node.js; Python; React; SQL; Tailwind CSS</t>
        </is>
      </c>
      <c r="AD3" t="inlineStr">
        <is>
          <t>Golang; GraphQL; Hasura; Next.js; Tailwind CSS</t>
        </is>
      </c>
      <c r="AG3" t="inlineStr">
        <is>
          <t>Full Stack / MERN focused resume</t>
        </is>
      </c>
      <c r="AH3" t="inlineStr">
        <is>
          <t>Node.js and Express architecture; RESTful APIs and WebSockets; JavaScript asynchronous programming; Git and GitHub workflow; Problem-solving and AI-assisted development</t>
        </is>
      </c>
      <c r="AI3" t="inlineStr">
        <is>
          <t>Stipend exceeds minimum target of ₹25,000/month; Strong tech stack overlap with Node.js, Express, React, and JavaScript; PPO/conversion opportunity clearly stated with a solid salary range; Hybrid work mode and good perks</t>
        </is>
      </c>
      <c r="AJ3" t="inlineStr">
        <is>
          <t>Some secondary stack requirements like Golang and GraphQL are missing from direct candidate profile</t>
        </is>
      </c>
      <c r="AK3" t="inlineStr">
        <is>
          <t>2026-09-09</t>
        </is>
      </c>
    </row>
    <row r="4">
      <c r="A4" t="inlineStr">
        <is>
          <t>JOVEO-260909-1</t>
        </is>
      </c>
      <c r="B4" t="inlineStr">
        <is>
          <t>Joveo</t>
        </is>
      </c>
      <c r="C4" t="inlineStr">
        <is>
          <t>Software Engineering Intern (Full Stack)</t>
        </is>
      </c>
      <c r="D4" t="inlineStr">
        <is>
          <t>https://in.jooble.org/jdp/-1939946349168902640</t>
        </is>
      </c>
      <c r="E4" t="inlineStr">
        <is>
          <t>AI Analyzer</t>
        </is>
      </c>
      <c r="F4" t="inlineStr">
        <is>
          <t>Bangalore</t>
        </is>
      </c>
      <c r="G4" t="inlineStr">
        <is>
          <t>Unknown</t>
        </is>
      </c>
      <c r="H4" t="inlineStr">
        <is>
          <t>Internship</t>
        </is>
      </c>
      <c r="I4" t="inlineStr">
        <is>
          <t>Unknown</t>
        </is>
      </c>
      <c r="J4" t="inlineStr">
        <is>
          <t>Competitive stipend</t>
        </is>
      </c>
      <c r="K4" t="inlineStr">
        <is>
          <t>ELIGIBLE</t>
        </is>
      </c>
      <c r="L4" t="inlineStr">
        <is>
          <t>Candidate is pursuing MCA at PES University and fits the software engineering student profile.</t>
        </is>
      </c>
      <c r="M4" t="inlineStr">
        <is>
          <t>UNKNOWN</t>
        </is>
      </c>
      <c r="N4" t="inlineStr">
        <is>
          <t>Candidate availability dates were not provided in the career brain.</t>
        </is>
      </c>
      <c r="O4" t="inlineStr">
        <is>
          <t>UNKNOWN</t>
        </is>
      </c>
      <c r="P4" t="n">
        <v>0</v>
      </c>
      <c r="Q4" t="inlineStr">
        <is>
          <t>No</t>
        </is>
      </c>
      <c r="R4" t="inlineStr">
        <is>
          <t>UNKNOWN</t>
        </is>
      </c>
      <c r="S4" t="inlineStr">
        <is>
          <t>PPO or conversion possibility not explicitly mentioned in the snippet.</t>
        </is>
      </c>
      <c r="T4" t="n">
        <v>27</v>
      </c>
      <c r="U4" t="n">
        <v>18</v>
      </c>
      <c r="V4" t="n">
        <v>14</v>
      </c>
      <c r="W4" t="n">
        <v>5</v>
      </c>
      <c r="X4" t="n">
        <v>5</v>
      </c>
      <c r="Y4" t="n">
        <v>8</v>
      </c>
      <c r="Z4" t="n">
        <v>77</v>
      </c>
      <c r="AA4" t="inlineStr">
        <is>
          <t>CONSIDER</t>
        </is>
      </c>
      <c r="AB4" t="inlineStr">
        <is>
          <t>Full Stack Development; JavaScript; React.js; Node.js</t>
        </is>
      </c>
      <c r="AC4" t="inlineStr">
        <is>
          <t>AI</t>
        </is>
      </c>
      <c r="AF4" t="inlineStr">
        <is>
          <t>Stipend amount is not disclosed (Competitive stipend)</t>
        </is>
      </c>
      <c r="AG4" t="inlineStr">
        <is>
          <t>Amaanuddin_Ahmed_Fullstack_Resume.pdf</t>
        </is>
      </c>
      <c r="AH4" t="inlineStr">
        <is>
          <t>MERN stack architecture; REST API design and implementation; State management in React; Asynchronous programming in Node.js</t>
        </is>
      </c>
      <c r="AI4" t="inlineStr">
        <is>
          <t>Direct match for Full Stack internship role leveraging MERN stack skills.; Location matches target city (Bangalore).; Good opportunity to work on AI-driven recruitment platforms.</t>
        </is>
      </c>
      <c r="AJ4" t="inlineStr">
        <is>
          <t>Stipend is undisclosed and marked as competitive rather than explicit.; No explicit PPO mention in the snippet.</t>
        </is>
      </c>
      <c r="AK4" t="inlineStr">
        <is>
          <t>2026-09-09</t>
        </is>
      </c>
    </row>
    <row r="5">
      <c r="A5" t="inlineStr">
        <is>
          <t>FRIDAY-MEDIA-260909-2</t>
        </is>
      </c>
      <c r="B5" t="inlineStr">
        <is>
          <t>friday media tech india (fmg)</t>
        </is>
      </c>
      <c r="C5" t="inlineStr">
        <is>
          <t>Software Engineer Intern</t>
        </is>
      </c>
      <c r="D5" t="inlineStr">
        <is>
          <t>https://in.jooble.org/jdp/-5404656752169186420</t>
        </is>
      </c>
      <c r="E5" t="inlineStr">
        <is>
          <t>AI Analyzer</t>
        </is>
      </c>
      <c r="F5" t="inlineStr">
        <is>
          <t>Bangalore</t>
        </is>
      </c>
      <c r="G5" t="inlineStr">
        <is>
          <t>Unknown</t>
        </is>
      </c>
      <c r="H5" t="inlineStr">
        <is>
          <t>Internship</t>
        </is>
      </c>
      <c r="I5" t="inlineStr">
        <is>
          <t>Unknown</t>
        </is>
      </c>
      <c r="J5" t="inlineStr">
        <is>
          <t>Not specified</t>
        </is>
      </c>
      <c r="K5" t="inlineStr">
        <is>
          <t>Eligible</t>
        </is>
      </c>
      <c r="L5" t="inlineStr">
        <is>
          <t>Candidate is an MCA student seeking internships; No specific hard blockers like strict graduation year or tech stacks mentioned in the snippet</t>
        </is>
      </c>
      <c r="M5" t="inlineStr">
        <is>
          <t>Unknown</t>
        </is>
      </c>
      <c r="N5" t="inlineStr">
        <is>
          <t>Not enough details provided in the candidate profile regarding start date</t>
        </is>
      </c>
      <c r="O5" t="inlineStr">
        <is>
          <t>UNKNOWN</t>
        </is>
      </c>
      <c r="P5" t="n">
        <v>0</v>
      </c>
      <c r="Q5" t="inlineStr">
        <is>
          <t>No</t>
        </is>
      </c>
      <c r="R5" t="inlineStr">
        <is>
          <t>Not Mentioned</t>
        </is>
      </c>
      <c r="S5" t="inlineStr">
        <is>
          <t>No mention of PPO or conversion in the short snippet</t>
        </is>
      </c>
      <c r="T5" t="n">
        <v>22</v>
      </c>
      <c r="U5" t="n">
        <v>15</v>
      </c>
      <c r="V5" t="n">
        <v>12</v>
      </c>
      <c r="W5" t="n">
        <v>5</v>
      </c>
      <c r="X5" t="n">
        <v>0</v>
      </c>
      <c r="Y5" t="n">
        <v>5</v>
      </c>
      <c r="Z5" t="n">
        <v>59</v>
      </c>
      <c r="AA5" t="inlineStr">
        <is>
          <t>SKIP</t>
        </is>
      </c>
      <c r="AB5" t="inlineStr">
        <is>
          <t>Modern web technologies; Frameworks</t>
        </is>
      </c>
      <c r="AF5" t="inlineStr">
        <is>
          <t>Vague job description snippet with minimal details on tech stack and stipend</t>
        </is>
      </c>
      <c r="AG5" t="inlineStr">
        <is>
          <t>Default Full Stack Resume</t>
        </is>
      </c>
      <c r="AH5" t="inlineStr">
        <is>
          <t>Web Development Fundamentals; JavaScript Frameworks; Previous Projects (StaySphere/Zenvest)</t>
        </is>
      </c>
      <c r="AI5" t="inlineStr">
        <is>
          <t>Matches general software engineering intern profile; Located in Bangalore</t>
        </is>
      </c>
      <c r="AJ5" t="inlineStr">
        <is>
          <t>Extremely vague job description with no tech stack specifics; Stipend is completely unknown and likely below expectations; No PPO conversion details mentioned</t>
        </is>
      </c>
      <c r="AK5" t="inlineStr">
        <is>
          <t>2026-09-09</t>
        </is>
      </c>
    </row>
    <row r="6">
      <c r="A6" t="inlineStr">
        <is>
          <t>STRIPE-260909-3</t>
        </is>
      </c>
      <c r="B6" t="inlineStr">
        <is>
          <t>Stripe</t>
        </is>
      </c>
      <c r="C6" t="inlineStr">
        <is>
          <t>Software Engineer, Intern</t>
        </is>
      </c>
      <c r="D6" t="inlineStr">
        <is>
          <t>https://in.jooble.org/jdp/6361268409707951745</t>
        </is>
      </c>
      <c r="E6" t="inlineStr">
        <is>
          <t>AI Analyzer</t>
        </is>
      </c>
      <c r="F6" t="inlineStr">
        <is>
          <t>Bangalore</t>
        </is>
      </c>
      <c r="G6" t="inlineStr">
        <is>
          <t>Unknown</t>
        </is>
      </c>
      <c r="H6" t="inlineStr">
        <is>
          <t>Internship</t>
        </is>
      </c>
      <c r="I6" t="inlineStr">
        <is>
          <t>Unknown</t>
        </is>
      </c>
      <c r="J6" t="inlineStr">
        <is>
          <t>Not specified</t>
        </is>
      </c>
      <c r="K6" t="inlineStr">
        <is>
          <t>UNKNOWN</t>
        </is>
      </c>
      <c r="L6" t="inlineStr">
        <is>
          <t>Job description snippet does not specify explicit graduation year, degree, or experience requirements.</t>
        </is>
      </c>
      <c r="M6" t="inlineStr">
        <is>
          <t>UNKNOWN</t>
        </is>
      </c>
      <c r="N6" t="inlineStr">
        <is>
          <t>Candidate availability details are not provided in the career brain.</t>
        </is>
      </c>
      <c r="O6" t="inlineStr">
        <is>
          <t>UNKNOWN</t>
        </is>
      </c>
      <c r="P6" t="n">
        <v>0</v>
      </c>
      <c r="Q6" t="inlineStr">
        <is>
          <t>No</t>
        </is>
      </c>
      <c r="R6" t="inlineStr">
        <is>
          <t>UNKNOWN</t>
        </is>
      </c>
      <c r="S6" t="inlineStr">
        <is>
          <t>Snippet does not explicitly mention PPO conversion, though it is a prominent tech intern role.</t>
        </is>
      </c>
      <c r="T6" t="n">
        <v>50</v>
      </c>
      <c r="U6" t="n">
        <v>70</v>
      </c>
      <c r="V6" t="n">
        <v>70</v>
      </c>
      <c r="W6" t="n">
        <v>50</v>
      </c>
      <c r="X6" t="n">
        <v>0</v>
      </c>
      <c r="Y6" t="n">
        <v>80</v>
      </c>
      <c r="Z6" t="n">
        <v>57</v>
      </c>
      <c r="AA6" t="inlineStr">
        <is>
          <t>SKIP</t>
        </is>
      </c>
      <c r="AF6" t="inlineStr">
        <is>
          <t>Extremely brief job description snippet provided with no concrete technology stack requirements or qualification criteria.</t>
        </is>
      </c>
      <c r="AG6" t="inlineStr">
        <is>
          <t>Default Software Engineering Resume</t>
        </is>
      </c>
      <c r="AH6" t="inlineStr">
        <is>
          <t>System Design; Data Structures and Algorithms; Production Software Engineering Practices; Previous Project Architecture</t>
        </is>
      </c>
      <c r="AI6" t="inlineStr">
        <is>
          <t>Stripe is a top-tier global product company offering high engineering standards and strong career branding.</t>
        </is>
      </c>
      <c r="AJ6" t="inlineStr">
        <is>
          <t>The job description snippet is extremely sparse, making it impossible to evaluate specific tech requirements.; Stipend information is completely missing.; Overall calculated score falls below 60 due to lack of information and unknown compensation.</t>
        </is>
      </c>
      <c r="AK6" t="inlineStr">
        <is>
          <t>2026-09-09</t>
        </is>
      </c>
    </row>
    <row r="7">
      <c r="A7" t="inlineStr">
        <is>
          <t>ECERA-SYSTEM-260909-4</t>
        </is>
      </c>
      <c r="B7" t="inlineStr">
        <is>
          <t>Ecera System</t>
        </is>
      </c>
      <c r="C7" t="inlineStr">
        <is>
          <t>Software Engineer Intern</t>
        </is>
      </c>
      <c r="D7" t="inlineStr">
        <is>
          <t>https://in.jooble.org/jdp/-4076037738651150701</t>
        </is>
      </c>
      <c r="E7" t="inlineStr">
        <is>
          <t>AI Analyzer</t>
        </is>
      </c>
      <c r="F7" t="inlineStr">
        <is>
          <t>Bangalore</t>
        </is>
      </c>
      <c r="G7" t="inlineStr">
        <is>
          <t>Unknown</t>
        </is>
      </c>
      <c r="H7" t="inlineStr">
        <is>
          <t>Internship</t>
        </is>
      </c>
      <c r="I7" t="inlineStr">
        <is>
          <t>Unknown</t>
        </is>
      </c>
      <c r="J7" t="inlineStr">
        <is>
          <t>Paid</t>
        </is>
      </c>
      <c r="K7" t="inlineStr">
        <is>
          <t>Eligible</t>
        </is>
      </c>
      <c r="L7" t="inlineStr">
        <is>
          <t>Candidate is pursuing MCA; Role aligns with target software engineering internships</t>
        </is>
      </c>
      <c r="M7" t="inlineStr">
        <is>
          <t>Unknown</t>
        </is>
      </c>
      <c r="N7" t="inlineStr">
        <is>
          <t>Availability requirements not specified in job description</t>
        </is>
      </c>
      <c r="O7" t="inlineStr">
        <is>
          <t>UNKNOWN</t>
        </is>
      </c>
      <c r="P7" t="n">
        <v>0</v>
      </c>
      <c r="Q7" t="inlineStr">
        <is>
          <t>No</t>
        </is>
      </c>
      <c r="R7" t="inlineStr">
        <is>
          <t>Not Mentioned</t>
        </is>
      </c>
      <c r="S7" t="inlineStr">
        <is>
          <t>No mention of PPO or conversion to full-time role in the job snippet</t>
        </is>
      </c>
      <c r="T7" t="n">
        <v>70</v>
      </c>
      <c r="U7" t="n">
        <v>70</v>
      </c>
      <c r="V7" t="n">
        <v>80</v>
      </c>
      <c r="W7" t="n">
        <v>50</v>
      </c>
      <c r="X7" t="n">
        <v>50</v>
      </c>
      <c r="Y7" t="n">
        <v>60</v>
      </c>
      <c r="Z7" t="n">
        <v>67</v>
      </c>
      <c r="AA7" t="inlineStr">
        <is>
          <t>STRETCH</t>
        </is>
      </c>
      <c r="AB7" t="inlineStr">
        <is>
          <t>Software Development; Testing; Application Design</t>
        </is>
      </c>
      <c r="AF7" t="inlineStr">
        <is>
          <t>Very vague job description snippet with minimal details</t>
        </is>
      </c>
      <c r="AG7" t="inlineStr">
        <is>
          <t>Default Full Stack / Software Engineering Resume</t>
        </is>
      </c>
      <c r="AH7" t="inlineStr">
        <is>
          <t>Software development life cycle; Problem solving and coding fundamentals; Past internship or project experience</t>
        </is>
      </c>
      <c r="AI7" t="inlineStr">
        <is>
          <t>Matches target software engineering intern role; Located in Bangalore</t>
        </is>
      </c>
      <c r="AJ7" t="inlineStr">
        <is>
          <t>Extremely vague job description with no specific technology requirements or stipend amount provided; No PPO mentioned</t>
        </is>
      </c>
      <c r="AK7" t="inlineStr">
        <is>
          <t>2026-09-09</t>
        </is>
      </c>
    </row>
    <row r="8">
      <c r="A8" t="inlineStr">
        <is>
          <t>ALLEN-DIGITA-260909-5</t>
        </is>
      </c>
      <c r="B8" t="inlineStr">
        <is>
          <t>allen digital</t>
        </is>
      </c>
      <c r="C8" t="inlineStr">
        <is>
          <t>Software Engineer Intern</t>
        </is>
      </c>
      <c r="D8" t="inlineStr">
        <is>
          <t>https://in.jooble.org/jdp/5384164569259953805</t>
        </is>
      </c>
      <c r="E8" t="inlineStr">
        <is>
          <t>AI Analyzer</t>
        </is>
      </c>
      <c r="F8" t="inlineStr">
        <is>
          <t>Bangalore</t>
        </is>
      </c>
      <c r="G8" t="inlineStr">
        <is>
          <t>UNKNOWN</t>
        </is>
      </c>
      <c r="H8" t="inlineStr">
        <is>
          <t>Internship</t>
        </is>
      </c>
      <c r="I8" t="inlineStr">
        <is>
          <t>UNKNOWN</t>
        </is>
      </c>
      <c r="J8" t="inlineStr">
        <is>
          <t>Not specified</t>
        </is>
      </c>
      <c r="K8" t="inlineStr">
        <is>
          <t>ELIGIBLE</t>
        </is>
      </c>
      <c r="L8" t="inlineStr">
        <is>
          <t>Currently pursuing a Master's degree in Computer Science or a related technical field; Scheduled to complete in 2026</t>
        </is>
      </c>
      <c r="M8" t="inlineStr">
        <is>
          <t>UNKNOWN</t>
        </is>
      </c>
      <c r="N8" t="inlineStr">
        <is>
          <t>Availability not specified in the job description</t>
        </is>
      </c>
      <c r="O8" t="inlineStr">
        <is>
          <t>UNKNOWN</t>
        </is>
      </c>
      <c r="P8" t="n">
        <v>0</v>
      </c>
      <c r="Q8" t="inlineStr">
        <is>
          <t>No</t>
        </is>
      </c>
      <c r="R8" t="inlineStr">
        <is>
          <t>UNKNOWN</t>
        </is>
      </c>
      <c r="S8" t="inlineStr">
        <is>
          <t>PPO or conversion details not mentioned in the snippet</t>
        </is>
      </c>
      <c r="T8" t="n">
        <v>60</v>
      </c>
      <c r="U8" t="n">
        <v>90</v>
      </c>
      <c r="V8" t="n">
        <v>80</v>
      </c>
      <c r="W8" t="n">
        <v>50</v>
      </c>
      <c r="X8" t="n">
        <v>50</v>
      </c>
      <c r="Y8" t="n">
        <v>70</v>
      </c>
      <c r="Z8" t="n">
        <v>67</v>
      </c>
      <c r="AA8" t="inlineStr">
        <is>
          <t>STRETCH</t>
        </is>
      </c>
      <c r="AB8" t="inlineStr">
        <is>
          <t>Go; Backend programming language</t>
        </is>
      </c>
      <c r="AD8" t="inlineStr">
        <is>
          <t>Go</t>
        </is>
      </c>
      <c r="AG8" t="inlineStr">
        <is>
          <t>Amaanuddin_Ahmed_Resume_Software_Engineering.pdf</t>
        </is>
      </c>
      <c r="AH8" t="inlineStr">
        <is>
          <t>Go programming language basics and concurrency; Backend development fundamentals; Data structures and algorithms; Projects architecture discussion</t>
        </is>
      </c>
      <c r="AI8" t="inlineStr">
        <is>
          <t>Matches the education criteria as an MCA student graduating in 2026; Good alignment with Software Engineering internship role</t>
        </is>
      </c>
      <c r="AJ8" t="inlineStr">
        <is>
          <t>Requires Go development which is not explicitly highlighted in candidate's primary demonstrated skills; Stipend details are completely unknown; No mention of PPO</t>
        </is>
      </c>
      <c r="AK8" t="inlineStr">
        <is>
          <t>2026-09-09</t>
        </is>
      </c>
    </row>
    <row r="9">
      <c r="A9" t="inlineStr">
        <is>
          <t>IONIC-260909-6</t>
        </is>
      </c>
      <c r="B9" t="inlineStr">
        <is>
          <t>IONIC</t>
        </is>
      </c>
      <c r="C9" t="inlineStr">
        <is>
          <t>Full Stack Engineer / Tech Intern</t>
        </is>
      </c>
      <c r="D9" t="inlineStr">
        <is>
          <t>https://in.jooble.org/jdp/6509585558078273655</t>
        </is>
      </c>
      <c r="E9" t="inlineStr">
        <is>
          <t>AI Analyzer</t>
        </is>
      </c>
      <c r="F9" t="inlineStr">
        <is>
          <t>Gurgaon, Bangalore</t>
        </is>
      </c>
      <c r="G9" t="inlineStr">
        <is>
          <t>On-site</t>
        </is>
      </c>
      <c r="H9" t="inlineStr">
        <is>
          <t>Internship</t>
        </is>
      </c>
      <c r="I9" t="inlineStr">
        <is>
          <t>UNKNOWN</t>
        </is>
      </c>
      <c r="J9" t="inlineStr">
        <is>
          <t>INR 25K to 50K</t>
        </is>
      </c>
      <c r="K9" t="inlineStr">
        <is>
          <t>ELIGIBLE</t>
        </is>
      </c>
      <c r="L9" t="inlineStr">
        <is>
          <t>Candidate is pursuing MCA at PES University.; No strict graduation year or degree blockers stated in the snippet.</t>
        </is>
      </c>
      <c r="M9" t="inlineStr">
        <is>
          <t>UNKNOWN</t>
        </is>
      </c>
      <c r="N9" t="inlineStr">
        <is>
          <t>Availability not specified in the career brain.</t>
        </is>
      </c>
      <c r="O9" t="inlineStr">
        <is>
          <t>DISCLOSED</t>
        </is>
      </c>
      <c r="P9" t="n">
        <v>25000</v>
      </c>
      <c r="Q9" t="inlineStr">
        <is>
          <t>No</t>
        </is>
      </c>
      <c r="R9" t="inlineStr">
        <is>
          <t>UNKNOWN</t>
        </is>
      </c>
      <c r="S9" t="inlineStr">
        <is>
          <t>No explicit mention of PPO or conversion in the job snippet.</t>
        </is>
      </c>
      <c r="T9" t="n">
        <v>27</v>
      </c>
      <c r="U9" t="n">
        <v>18</v>
      </c>
      <c r="V9" t="n">
        <v>14</v>
      </c>
      <c r="W9" t="n">
        <v>5</v>
      </c>
      <c r="X9" t="n">
        <v>10</v>
      </c>
      <c r="Y9" t="n">
        <v>8</v>
      </c>
      <c r="Z9" t="n">
        <v>82</v>
      </c>
      <c r="AA9" t="inlineStr">
        <is>
          <t>APPLY</t>
        </is>
      </c>
      <c r="AB9" t="inlineStr">
        <is>
          <t>Full Stack Development; Software Engineering</t>
        </is>
      </c>
      <c r="AF9" t="inlineStr">
        <is>
          <t>Company undergoing rebranding</t>
        </is>
      </c>
      <c r="AG9" t="inlineStr">
        <is>
          <t>Amaanuddin_Ahmed_Fullstack_Resume.pdf</t>
        </is>
      </c>
      <c r="AH9" t="inlineStr">
        <is>
          <t>MERN stack architecture; REST API design and debugging; Problem-solving and troubleshooting software; Previous full stack projects like StaySphere and Zenvest</t>
        </is>
      </c>
      <c r="AI9" t="inlineStr">
        <is>
          <t>Stipend of INR 25K to 50K meets the candidate's minimum stipend target of ₹25,000/month.; Role aligns well with candidate's MERN stack and Full Stack Development background.; Location includes Bangalore.</t>
        </is>
      </c>
      <c r="AJ9" t="inlineStr">
        <is>
          <t>PPO availability is not explicitly mentioned.; Company is currently under rebranding.</t>
        </is>
      </c>
      <c r="AK9" t="inlineStr">
        <is>
          <t>2026-09-09</t>
        </is>
      </c>
    </row>
    <row r="10">
      <c r="A10" t="inlineStr">
        <is>
          <t>RUBRIK-260909-7</t>
        </is>
      </c>
      <c r="B10" t="inlineStr">
        <is>
          <t>Rubrik</t>
        </is>
      </c>
      <c r="C10" t="inlineStr">
        <is>
          <t>Software Engineer - Winter Intern</t>
        </is>
      </c>
      <c r="D10" t="inlineStr">
        <is>
          <t>https://in.jooble.org/jdp/-1777843382272607488</t>
        </is>
      </c>
      <c r="E10" t="inlineStr">
        <is>
          <t>AI Analyzer</t>
        </is>
      </c>
      <c r="F10" t="inlineStr">
        <is>
          <t>Bangalore</t>
        </is>
      </c>
      <c r="G10" t="inlineStr">
        <is>
          <t>Unknown</t>
        </is>
      </c>
      <c r="H10" t="inlineStr">
        <is>
          <t>Internship</t>
        </is>
      </c>
      <c r="I10" t="inlineStr">
        <is>
          <t>Winter Internship</t>
        </is>
      </c>
      <c r="J10" t="inlineStr">
        <is>
          <t>Not specified</t>
        </is>
      </c>
      <c r="K10" t="inlineStr">
        <is>
          <t>Eligible</t>
        </is>
      </c>
      <c r="L10" t="inlineStr">
        <is>
          <t>Location matches target city (Bangalore); Role aligns with Software Engineering target</t>
        </is>
      </c>
      <c r="M10" t="inlineStr">
        <is>
          <t>Unknown</t>
        </is>
      </c>
      <c r="N10" t="inlineStr">
        <is>
          <t>Candidate availability details are not provided in the career brain.</t>
        </is>
      </c>
      <c r="O10" t="inlineStr">
        <is>
          <t>UNKNOWN</t>
        </is>
      </c>
      <c r="P10" t="n">
        <v>0</v>
      </c>
      <c r="Q10" t="inlineStr">
        <is>
          <t>No</t>
        </is>
      </c>
      <c r="R10" t="inlineStr">
        <is>
          <t>Not Mentioned</t>
        </is>
      </c>
      <c r="S10" t="inlineStr">
        <is>
          <t>The job description snippet does not explicitly mention PPO or conversion opportunities.</t>
        </is>
      </c>
      <c r="T10" t="n">
        <v>70</v>
      </c>
      <c r="U10" t="n">
        <v>75</v>
      </c>
      <c r="V10" t="n">
        <v>80</v>
      </c>
      <c r="W10" t="n">
        <v>50</v>
      </c>
      <c r="X10" t="n">
        <v>0</v>
      </c>
      <c r="Y10" t="n">
        <v>75</v>
      </c>
      <c r="Z10" t="n">
        <v>63</v>
      </c>
      <c r="AA10" t="inlineStr">
        <is>
          <t>STRETCH</t>
        </is>
      </c>
      <c r="AF10" t="inlineStr">
        <is>
          <t>Very brief job snippet with no explicit stack, stipend, or requirements mentioned</t>
        </is>
      </c>
      <c r="AG10" t="inlineStr">
        <is>
          <t>Amaanuddin_Ahmed_Software_Engineer_Resume.pdf</t>
        </is>
      </c>
      <c r="AH10" t="inlineStr">
        <is>
          <t>General software engineering principles; Problem solving and data structures; Past project architectures and design</t>
        </is>
      </c>
      <c r="AI10" t="inlineStr">
        <is>
          <t>Rubrik is a prominent tech company offering good engineering exposure in Bangalore.; Matches target Software Engineering role.</t>
        </is>
      </c>
      <c r="AJ10" t="inlineStr">
        <is>
          <t>Stipend is completely unspecified.; No explicit PPO information provided.; Job description snippet lacks detailed technology stack requirements.</t>
        </is>
      </c>
      <c r="AK10" t="inlineStr">
        <is>
          <t>2026-09-09</t>
        </is>
      </c>
    </row>
    <row r="11">
      <c r="A11" t="inlineStr">
        <is>
          <t>REPOWISE-260909-8</t>
        </is>
      </c>
      <c r="B11" t="inlineStr">
        <is>
          <t>Repowise</t>
        </is>
      </c>
      <c r="C11" t="inlineStr">
        <is>
          <t>SDE Intern (Founding Team)</t>
        </is>
      </c>
      <c r="D11" t="inlineStr">
        <is>
          <t>https://in.jooble.org/jdp/8042308166668747854</t>
        </is>
      </c>
      <c r="E11" t="inlineStr">
        <is>
          <t>AI Analyzer</t>
        </is>
      </c>
      <c r="F11" t="inlineStr">
        <is>
          <t>Bangalore</t>
        </is>
      </c>
      <c r="G11" t="inlineStr">
        <is>
          <t>Remote</t>
        </is>
      </c>
      <c r="H11" t="inlineStr">
        <is>
          <t>Internship</t>
        </is>
      </c>
      <c r="I11" t="inlineStr">
        <is>
          <t>UNKNOWN</t>
        </is>
      </c>
      <c r="K11" t="inlineStr">
        <is>
          <t>ELIGIBLE</t>
        </is>
      </c>
      <c r="L11" t="inlineStr">
        <is>
          <t>No explicit degree or graduation-year blockers mentioned in the snippet</t>
        </is>
      </c>
      <c r="M11" t="inlineStr">
        <is>
          <t>UNKNOWN</t>
        </is>
      </c>
      <c r="N11" t="inlineStr">
        <is>
          <t>Not specified in the job description</t>
        </is>
      </c>
      <c r="O11" t="inlineStr">
        <is>
          <t>UNKNOWN</t>
        </is>
      </c>
      <c r="P11" t="n">
        <v>0</v>
      </c>
      <c r="Q11" t="inlineStr">
        <is>
          <t>No</t>
        </is>
      </c>
      <c r="R11" t="inlineStr">
        <is>
          <t>UNKNOWN</t>
        </is>
      </c>
      <c r="S11" t="inlineStr">
        <is>
          <t>No explicit PPO or conversion mention found in the snippet</t>
        </is>
      </c>
      <c r="T11" t="n">
        <v>45</v>
      </c>
      <c r="U11" t="n">
        <v>50</v>
      </c>
      <c r="V11" t="n">
        <v>60</v>
      </c>
      <c r="W11" t="n">
        <v>0</v>
      </c>
      <c r="X11" t="n">
        <v>0</v>
      </c>
      <c r="Y11" t="n">
        <v>60</v>
      </c>
      <c r="Z11" t="n">
        <v>40</v>
      </c>
      <c r="AA11" t="inlineStr">
        <is>
          <t>SKIP</t>
        </is>
      </c>
      <c r="AB11" t="inlineStr">
        <is>
          <t>Python; FastAPI; Docker; LLM integrations</t>
        </is>
      </c>
      <c r="AC11" t="inlineStr">
        <is>
          <t>tree-sitter; git internals; vector search; MCP</t>
        </is>
      </c>
      <c r="AD11" t="inlineStr">
        <is>
          <t>FastAPI; Docker; LLM integrations; tree-sitter; git internals; vector search; MCP</t>
        </is>
      </c>
      <c r="AF11" t="inlineStr">
        <is>
          <t>Stipend is not disclosed</t>
        </is>
      </c>
      <c r="AG11" t="inlineStr">
        <is>
          <t>Default / Backend</t>
        </is>
      </c>
      <c r="AH11" t="inlineStr">
        <is>
          <t>Python proficiency; Code parsing and AST / tree-sitter basics; Vector search and LLM integrations; Git internals</t>
        </is>
      </c>
      <c r="AI11" t="inlineStr">
        <is>
          <t>Exciting early-stage AI x Developer Tools founding team opportunity; Remote work mode aligns well</t>
        </is>
      </c>
      <c r="AJ11" t="inlineStr">
        <is>
          <t>Major skill gaps in FastAPI, Docker, and specialized toolings like tree-sitter and vector search; Stipend is completely undisclosed and unknown; No mention of PPO/conversion</t>
        </is>
      </c>
      <c r="AK11" t="inlineStr">
        <is>
          <t>2026-09-09</t>
        </is>
      </c>
    </row>
    <row r="12">
      <c r="A12" t="inlineStr">
        <is>
          <t>CODINGAL-260909-9</t>
        </is>
      </c>
      <c r="B12" t="inlineStr">
        <is>
          <t>Codingal</t>
        </is>
      </c>
      <c r="C12" t="inlineStr">
        <is>
          <t>Software Engineer Intern</t>
        </is>
      </c>
      <c r="D12" t="inlineStr">
        <is>
          <t>https://in.jooble.org/jdp/3561679318189260784</t>
        </is>
      </c>
      <c r="E12" t="inlineStr">
        <is>
          <t>AI Analyzer</t>
        </is>
      </c>
      <c r="F12" t="inlineStr">
        <is>
          <t>Bangalore</t>
        </is>
      </c>
      <c r="G12" t="inlineStr">
        <is>
          <t>UNKNOWN</t>
        </is>
      </c>
      <c r="H12" t="inlineStr">
        <is>
          <t>Internship</t>
        </is>
      </c>
      <c r="I12" t="inlineStr">
        <is>
          <t>UNKNOWN</t>
        </is>
      </c>
      <c r="J12" t="inlineStr">
        <is>
          <t>Not specified</t>
        </is>
      </c>
      <c r="K12" t="inlineStr">
        <is>
          <t>ELIGIBLE</t>
        </is>
      </c>
      <c r="L12" t="inlineStr">
        <is>
          <t>Role matches candidate target roles in Full Stack Development and Software Engineering; No strict blockers regarding degree or graduation year mentioned in snippet</t>
        </is>
      </c>
      <c r="M12" t="inlineStr">
        <is>
          <t>UNKNOWN</t>
        </is>
      </c>
      <c r="N12" t="inlineStr">
        <is>
          <t>Candidate availability timeline not explicitly discussed in career brain relative to this specific listing</t>
        </is>
      </c>
      <c r="O12" t="inlineStr">
        <is>
          <t>UNKNOWN</t>
        </is>
      </c>
      <c r="P12" t="n">
        <v>0</v>
      </c>
      <c r="Q12" t="inlineStr">
        <is>
          <t>No</t>
        </is>
      </c>
      <c r="R12" t="inlineStr">
        <is>
          <t>UNKNOWN</t>
        </is>
      </c>
      <c r="S12" t="inlineStr">
        <is>
          <t>No explicit PPO or conversion mention found in snippet</t>
        </is>
      </c>
      <c r="T12" t="n">
        <v>21</v>
      </c>
      <c r="U12" t="n">
        <v>16</v>
      </c>
      <c r="V12" t="n">
        <v>14</v>
      </c>
      <c r="W12" t="n">
        <v>5</v>
      </c>
      <c r="X12" t="n">
        <v>0</v>
      </c>
      <c r="Y12" t="n">
        <v>6</v>
      </c>
      <c r="Z12" t="n">
        <v>62</v>
      </c>
      <c r="AA12" t="inlineStr">
        <is>
          <t>STRETCH</t>
        </is>
      </c>
      <c r="AB12" t="inlineStr">
        <is>
          <t>Python; Django; React</t>
        </is>
      </c>
      <c r="AD12" t="inlineStr">
        <is>
          <t>Django</t>
        </is>
      </c>
      <c r="AF12" t="inlineStr">
        <is>
          <t>Stipend details not disclosed; Job description snippet is very brief</t>
        </is>
      </c>
      <c r="AG12" t="inlineStr">
        <is>
          <t>Full Stack / MERN &amp; Python Resume</t>
        </is>
      </c>
      <c r="AH12" t="inlineStr">
        <is>
          <t>Python and Django fundamentals; React state management and component lifecycle; Full-stack web architecture and API integration</t>
        </is>
      </c>
      <c r="AI12" t="inlineStr">
        <is>
          <t>Aligns well with target Software Engineering and Full Stack roles; Candidate already has strong React experience and Python background</t>
        </is>
      </c>
      <c r="AJ12" t="inlineStr">
        <is>
          <t>Stipend is completely unknown; Django is required which is a skill gap compared to Express.js; No PPO mentioned in the snippet</t>
        </is>
      </c>
      <c r="AK12" t="inlineStr">
        <is>
          <t>2026-09-09</t>
        </is>
      </c>
    </row>
    <row r="13">
      <c r="A13" t="inlineStr">
        <is>
          <t>MERKLESCIENC-260909-10</t>
        </is>
      </c>
      <c r="B13" t="inlineStr">
        <is>
          <t>merklescience</t>
        </is>
      </c>
      <c r="C13" t="inlineStr">
        <is>
          <t>Software Engineer(Intern)- Backend</t>
        </is>
      </c>
      <c r="D13" t="inlineStr">
        <is>
          <t>https://in.jooble.org/jdp/-4009572167721000675</t>
        </is>
      </c>
      <c r="E13" t="inlineStr">
        <is>
          <t>AI Analyzer</t>
        </is>
      </c>
      <c r="F13" t="inlineStr">
        <is>
          <t>Bangalore</t>
        </is>
      </c>
      <c r="G13" t="inlineStr">
        <is>
          <t>UNKNOWN</t>
        </is>
      </c>
      <c r="H13" t="inlineStr">
        <is>
          <t>Internship</t>
        </is>
      </c>
      <c r="I13" t="inlineStr">
        <is>
          <t>UNKNOWN</t>
        </is>
      </c>
      <c r="K13" t="inlineStr">
        <is>
          <t>ELIGIBLE</t>
        </is>
      </c>
      <c r="L13" t="inlineStr">
        <is>
          <t>No explicit graduation year or degree restrictions mentioned in the snippet.</t>
        </is>
      </c>
      <c r="M13" t="inlineStr">
        <is>
          <t>UNKNOWN</t>
        </is>
      </c>
      <c r="N13" t="inlineStr">
        <is>
          <t>Candidate availability details are not provided.</t>
        </is>
      </c>
      <c r="O13" t="inlineStr">
        <is>
          <t>UNKNOWN</t>
        </is>
      </c>
      <c r="P13" t="n">
        <v>0</v>
      </c>
      <c r="Q13" t="inlineStr">
        <is>
          <t>No</t>
        </is>
      </c>
      <c r="R13" t="inlineStr">
        <is>
          <t>NOT_MENTIONED</t>
        </is>
      </c>
      <c r="S13" t="inlineStr">
        <is>
          <t>No mention of PPO or conversion in the snippet.</t>
        </is>
      </c>
      <c r="T13" t="n">
        <v>60</v>
      </c>
      <c r="U13" t="n">
        <v>70</v>
      </c>
      <c r="V13" t="n">
        <v>70</v>
      </c>
      <c r="W13" t="n">
        <v>0</v>
      </c>
      <c r="X13" t="n">
        <v>0</v>
      </c>
      <c r="Y13" t="n">
        <v>50</v>
      </c>
      <c r="Z13" t="n">
        <v>50</v>
      </c>
      <c r="AA13" t="inlineStr">
        <is>
          <t>SKIP</t>
        </is>
      </c>
      <c r="AB13" t="inlineStr">
        <is>
          <t>PostgreSQL; Redis; Backend Development</t>
        </is>
      </c>
      <c r="AD13" t="inlineStr">
        <is>
          <t>PostgreSQL; Redis</t>
        </is>
      </c>
      <c r="AF13" t="inlineStr">
        <is>
          <t>Stipend is not disclosed.</t>
        </is>
      </c>
      <c r="AG13" t="inlineStr">
        <is>
          <t>Amaanuddin_Ahmed_Backend_Resume.pdf</t>
        </is>
      </c>
      <c r="AH13" t="inlineStr">
        <is>
          <t>PostgreSQL indexing and query optimization; Redis caching strategies and queue management; REST API design and backend system architecture</t>
        </is>
      </c>
      <c r="AI13" t="inlineStr">
        <is>
          <t>Backend engineering internship role matching target career tracks.</t>
        </is>
      </c>
      <c r="AJ13" t="inlineStr">
        <is>
          <t>Stipend is completely unknown.; No PPO mentioned.; Low overall score due to lack of compensation details and specific stack gaps like PostgreSQL and Redis.</t>
        </is>
      </c>
      <c r="AK13" t="inlineStr">
        <is>
          <t>2026-09-09</t>
        </is>
      </c>
    </row>
    <row r="14">
      <c r="A14" t="inlineStr">
        <is>
          <t>SAFFRONBIZZ--260909-11</t>
        </is>
      </c>
      <c r="B14" t="inlineStr">
        <is>
          <t>Saffronbizz Solutions</t>
        </is>
      </c>
      <c r="C14" t="inlineStr">
        <is>
          <t>Software Developer Intern</t>
        </is>
      </c>
      <c r="D14" t="inlineStr">
        <is>
          <t>https://in.jooble.org/jdp/-6825957623175668188</t>
        </is>
      </c>
      <c r="E14" t="inlineStr">
        <is>
          <t>AI Analyzer</t>
        </is>
      </c>
      <c r="F14" t="inlineStr">
        <is>
          <t>Bangalore</t>
        </is>
      </c>
      <c r="G14" t="inlineStr">
        <is>
          <t>Unknown</t>
        </is>
      </c>
      <c r="H14" t="inlineStr">
        <is>
          <t>Internship</t>
        </is>
      </c>
      <c r="I14" t="inlineStr">
        <is>
          <t>Unknown</t>
        </is>
      </c>
      <c r="J14" t="inlineStr">
        <is>
          <t>Rs 2 - 5 lakhs p.a.</t>
        </is>
      </c>
      <c r="K14" t="inlineStr">
        <is>
          <t>ELIGIBLE</t>
        </is>
      </c>
      <c r="L14" t="inlineStr">
        <is>
          <t>No explicit degree or graduation year blockers found in snippet.</t>
        </is>
      </c>
      <c r="M14" t="inlineStr">
        <is>
          <t>UNKNOWN</t>
        </is>
      </c>
      <c r="N14" t="inlineStr">
        <is>
          <t>Candidate availability relative to start date not specified in JD.</t>
        </is>
      </c>
      <c r="O14" t="inlineStr">
        <is>
          <t>DISCLOSED</t>
        </is>
      </c>
      <c r="P14" t="n">
        <v>16666</v>
      </c>
      <c r="Q14" t="inlineStr">
        <is>
          <t>No</t>
        </is>
      </c>
      <c r="R14" t="inlineStr">
        <is>
          <t>UNKNOWN</t>
        </is>
      </c>
      <c r="S14" t="inlineStr">
        <is>
          <t>No mention of PPO or conversion to full-time in the snippet.</t>
        </is>
      </c>
      <c r="T14" t="n">
        <v>70</v>
      </c>
      <c r="U14" t="n">
        <v>80</v>
      </c>
      <c r="V14" t="n">
        <v>80</v>
      </c>
      <c r="W14" t="n">
        <v>0</v>
      </c>
      <c r="X14" t="n">
        <v>70</v>
      </c>
      <c r="Y14" t="n">
        <v>60</v>
      </c>
      <c r="Z14" t="n">
        <v>63</v>
      </c>
      <c r="AA14" t="inlineStr">
        <is>
          <t>STRETCH</t>
        </is>
      </c>
      <c r="AC14" t="inlineStr">
        <is>
          <t>Agile</t>
        </is>
      </c>
      <c r="AF14" t="inlineStr">
        <is>
          <t>Vague job description snippet with very few technical requirements mentioned.</t>
        </is>
      </c>
      <c r="AG14" t="inlineStr">
        <is>
          <t>Default Full Stack Resume</t>
        </is>
      </c>
      <c r="AH14" t="inlineStr">
        <is>
          <t>Agile methodology; Basic software development lifecycle; General programming concepts</t>
        </is>
      </c>
      <c r="AI14" t="inlineStr">
        <is>
          <t>Software Developer Intern role in Bangalore matching target role.; Stipend range falls within acceptable parameters.</t>
        </is>
      </c>
      <c r="AJ14" t="inlineStr">
        <is>
          <t>Job description snippet is extremely vague about required tech stack.; No mention of PPO opportunities.; Lower opportunity quality score due to lack of details in description.</t>
        </is>
      </c>
      <c r="AK14" t="inlineStr">
        <is>
          <t>2026-09-09</t>
        </is>
      </c>
    </row>
    <row r="15">
      <c r="A15" t="inlineStr">
        <is>
          <t>CHAI-POINT-260909-12</t>
        </is>
      </c>
      <c r="B15" t="inlineStr">
        <is>
          <t>Chai Point</t>
        </is>
      </c>
      <c r="C15" t="inlineStr">
        <is>
          <t>Software Development Engineering (Web) Intern</t>
        </is>
      </c>
      <c r="D15" t="inlineStr">
        <is>
          <t>https://in.jooble.org/jdp/2483334524981365185</t>
        </is>
      </c>
      <c r="E15" t="inlineStr">
        <is>
          <t>AI Analyzer</t>
        </is>
      </c>
      <c r="F15" t="inlineStr">
        <is>
          <t>Bangalore</t>
        </is>
      </c>
      <c r="G15" t="inlineStr">
        <is>
          <t>Unknown</t>
        </is>
      </c>
      <c r="H15" t="inlineStr">
        <is>
          <t>Internship</t>
        </is>
      </c>
      <c r="I15" t="inlineStr">
        <is>
          <t>Unknown</t>
        </is>
      </c>
      <c r="K15" t="inlineStr">
        <is>
          <t>Eligible</t>
        </is>
      </c>
      <c r="M15" t="inlineStr">
        <is>
          <t>Unknown</t>
        </is>
      </c>
      <c r="N15" t="inlineStr">
        <is>
          <t>Not specified in the job description.</t>
        </is>
      </c>
      <c r="O15" t="inlineStr">
        <is>
          <t>UNKNOWN</t>
        </is>
      </c>
      <c r="P15" t="n">
        <v>0</v>
      </c>
      <c r="Q15" t="inlineStr">
        <is>
          <t>No</t>
        </is>
      </c>
      <c r="R15" t="inlineStr">
        <is>
          <t>Not Mentioned</t>
        </is>
      </c>
      <c r="S15" t="inlineStr">
        <is>
          <t>No mention of PPO or conversion in the snippet.</t>
        </is>
      </c>
      <c r="T15" t="n">
        <v>60</v>
      </c>
      <c r="U15" t="n">
        <v>70</v>
      </c>
      <c r="V15" t="n">
        <v>65</v>
      </c>
      <c r="W15" t="n">
        <v>30</v>
      </c>
      <c r="X15" t="n">
        <v>0</v>
      </c>
      <c r="Y15" t="n">
        <v>50</v>
      </c>
      <c r="Z15" t="n">
        <v>53</v>
      </c>
      <c r="AA15" t="inlineStr">
        <is>
          <t>SKIP</t>
        </is>
      </c>
      <c r="AB15" t="inlineStr">
        <is>
          <t>Web Development</t>
        </is>
      </c>
      <c r="AC15" t="inlineStr">
        <is>
          <t>AI adoption and AI-driven initiatives</t>
        </is>
      </c>
      <c r="AF15" t="inlineStr">
        <is>
          <t>Stipend is completely missing; Job description is very brief and vague</t>
        </is>
      </c>
      <c r="AG15" t="inlineStr">
        <is>
          <t>Amaanuddin_Ahmed_Fullstack_Resume.pdf</t>
        </is>
      </c>
      <c r="AH15" t="inlineStr">
        <is>
          <t>Web development fundamentals; QA and testing support; Technical documentation; AI adoption strategies</t>
        </is>
      </c>
      <c r="AI15" t="inlineStr">
        <is>
          <t>Located in Bangalore; Matches general software engineering and web development interests</t>
        </is>
      </c>
      <c r="AJ15" t="inlineStr">
        <is>
          <t>Stipend is not disclosed and likely below target or unpaid; No mention of PPO or conversion opportunities; Vague job description lacking concrete technology stack details</t>
        </is>
      </c>
      <c r="AK15" t="inlineStr">
        <is>
          <t>2026-09-09</t>
        </is>
      </c>
    </row>
    <row r="16">
      <c r="A16" t="inlineStr">
        <is>
          <t>OUTBOX.VC-260909-13</t>
        </is>
      </c>
      <c r="B16" t="inlineStr">
        <is>
          <t>Outbox.vc</t>
        </is>
      </c>
      <c r="C16" t="inlineStr">
        <is>
          <t>Software Developer - Intern</t>
        </is>
      </c>
      <c r="D16" t="inlineStr">
        <is>
          <t>https://in.jooble.org/jdp/5089802996613037634</t>
        </is>
      </c>
      <c r="E16" t="inlineStr">
        <is>
          <t>AI Analyzer</t>
        </is>
      </c>
      <c r="F16" t="inlineStr">
        <is>
          <t>Bangalore</t>
        </is>
      </c>
      <c r="G16" t="inlineStr">
        <is>
          <t>Unknown</t>
        </is>
      </c>
      <c r="H16" t="inlineStr">
        <is>
          <t>Internship</t>
        </is>
      </c>
      <c r="I16" t="inlineStr">
        <is>
          <t>Unknown</t>
        </is>
      </c>
      <c r="J16" t="inlineStr">
        <is>
          <t>Rs 30000 - Rs 35000 per month</t>
        </is>
      </c>
      <c r="K16" t="inlineStr">
        <is>
          <t>Eligible</t>
        </is>
      </c>
      <c r="L16" t="inlineStr">
        <is>
          <t>Location matches target city (Bangalore); Stipend meets minimum target (Rs 30,000 &gt; Rs 25,000)</t>
        </is>
      </c>
      <c r="M16" t="inlineStr">
        <is>
          <t>Unknown</t>
        </is>
      </c>
      <c r="N16" t="inlineStr">
        <is>
          <t>Availability constraints not specified in profile.</t>
        </is>
      </c>
      <c r="O16" t="inlineStr">
        <is>
          <t>Paid</t>
        </is>
      </c>
      <c r="P16" t="n">
        <v>30000</v>
      </c>
      <c r="Q16" t="inlineStr">
        <is>
          <t>No</t>
        </is>
      </c>
      <c r="R16" t="inlineStr">
        <is>
          <t>Not Mentioned</t>
        </is>
      </c>
      <c r="S16" t="inlineStr">
        <is>
          <t>No mention of PPO or conversion in the snippet.</t>
        </is>
      </c>
      <c r="T16" t="n">
        <v>24</v>
      </c>
      <c r="U16" t="n">
        <v>18</v>
      </c>
      <c r="V16" t="n">
        <v>15</v>
      </c>
      <c r="W16" t="n">
        <v>5</v>
      </c>
      <c r="X16" t="n">
        <v>10</v>
      </c>
      <c r="Y16" t="n">
        <v>8</v>
      </c>
      <c r="Z16" t="n">
        <v>80</v>
      </c>
      <c r="AA16" t="inlineStr">
        <is>
          <t>APPLY</t>
        </is>
      </c>
      <c r="AB16" t="inlineStr">
        <is>
          <t>NodeJS; Typescript; Git; MySQL</t>
        </is>
      </c>
      <c r="AD16" t="inlineStr">
        <is>
          <t>Typescript</t>
        </is>
      </c>
      <c r="AG16" t="inlineStr">
        <is>
          <t>Amaanuddin_Ahmed_Fullstack_Resume.pdf</t>
        </is>
      </c>
      <c r="AH16" t="inlineStr">
        <is>
          <t>Node.js core concepts and asynchronous programming; TypeScript advanced features and type safety; MySQL schema design, indexing, and query optimization; Git version control workflows</t>
        </is>
      </c>
      <c r="AI16" t="inlineStr">
        <is>
          <t>Stipend is above the Rs 25,000 threshold; Strong tech stack alignment with Node.js and MySQL; Located in Bangalore</t>
        </is>
      </c>
      <c r="AJ16" t="inlineStr">
        <is>
          <t>TypeScript is missing from demonstrated skills (easily learnable); PPO is not explicitly mentioned</t>
        </is>
      </c>
      <c r="AK16" t="inlineStr">
        <is>
          <t>2026-09-09</t>
        </is>
      </c>
    </row>
    <row r="17">
      <c r="A17" t="inlineStr">
        <is>
          <t>NXTWAVE-DISR-260909-14</t>
        </is>
      </c>
      <c r="B17" t="inlineStr">
        <is>
          <t>Nxtwave Disruptive Technologies Private Limited</t>
        </is>
      </c>
      <c r="C17" t="inlineStr">
        <is>
          <t>MERN Developer - Intern</t>
        </is>
      </c>
      <c r="D17" t="inlineStr">
        <is>
          <t>https://in.jooble.org/jdp/7218822007534742956</t>
        </is>
      </c>
      <c r="E17" t="inlineStr">
        <is>
          <t>AI Analyzer</t>
        </is>
      </c>
      <c r="F17" t="inlineStr">
        <is>
          <t>Bangalore</t>
        </is>
      </c>
      <c r="G17" t="inlineStr">
        <is>
          <t>On-site / Not specified</t>
        </is>
      </c>
      <c r="H17" t="inlineStr">
        <is>
          <t>Internship + Full-Time</t>
        </is>
      </c>
      <c r="I17" t="inlineStr">
        <is>
          <t>6 Months</t>
        </is>
      </c>
      <c r="J17" t="inlineStr">
        <is>
          <t>20,000/month</t>
        </is>
      </c>
      <c r="K17" t="inlineStr">
        <is>
          <t>Eligible</t>
        </is>
      </c>
      <c r="L17" t="inlineStr">
        <is>
          <t>No specific degree or graduation year blockers mentioned in the snippet.</t>
        </is>
      </c>
      <c r="M17" t="inlineStr">
        <is>
          <t>Unknown</t>
        </is>
      </c>
      <c r="N17" t="inlineStr">
        <is>
          <t>Availability requirement not specified in the job description.</t>
        </is>
      </c>
      <c r="O17" t="inlineStr">
        <is>
          <t>Below target</t>
        </is>
      </c>
      <c r="P17" t="n">
        <v>20000</v>
      </c>
      <c r="Q17" t="inlineStr">
        <is>
          <t>No</t>
        </is>
      </c>
      <c r="R17" t="inlineStr">
        <is>
          <t>Yes</t>
        </is>
      </c>
      <c r="S17" t="inlineStr">
        <is>
          <t>Internship + Full-Time Opportunity / Full-Time conversion mentioned.</t>
        </is>
      </c>
      <c r="T17" t="n">
        <v>30</v>
      </c>
      <c r="U17" t="n">
        <v>20</v>
      </c>
      <c r="V17" t="n">
        <v>15</v>
      </c>
      <c r="W17" t="n">
        <v>15</v>
      </c>
      <c r="X17" t="n">
        <v>5</v>
      </c>
      <c r="Y17" t="n">
        <v>8</v>
      </c>
      <c r="Z17" t="n">
        <v>93</v>
      </c>
      <c r="AA17" t="inlineStr">
        <is>
          <t>APPLY ASAP</t>
        </is>
      </c>
      <c r="AB17" t="inlineStr">
        <is>
          <t>MERN Stack; MongoDB; Express.js; React.js; Node.js</t>
        </is>
      </c>
      <c r="AF17" t="inlineStr">
        <is>
          <t>Stipend of 20,000/month is below the minimum target of ₹25,000/month.</t>
        </is>
      </c>
      <c r="AG17" t="inlineStr">
        <is>
          <t>Amaanuddin_Ahmed_Full_Stack_Resume.pdf</t>
        </is>
      </c>
      <c r="AH17" t="inlineStr">
        <is>
          <t>MERN Stack architecture and state management; RESTful API design and JWT authentication; MongoDB database indexing and aggregation; Project walkthrough of StaySphere and Zenvest</t>
        </is>
      </c>
      <c r="AI17" t="inlineStr">
        <is>
          <t>Exact stack match with Amaan's MERN expertise and projects (StaySphere, Zenvest).; Explicit full-time conversion/PPO opportunity aligns with career goals.; High technical, role, and PPO scores drive an overall strong score despite a slight stipend shortfall.</t>
        </is>
      </c>
      <c r="AJ17" t="inlineStr">
        <is>
          <t>Monthly stipend of ₹20,000 is below the target of ₹25,000/month.</t>
        </is>
      </c>
      <c r="AK17" t="inlineStr">
        <is>
          <t>2026-09-09</t>
        </is>
      </c>
    </row>
    <row r="18">
      <c r="A18" t="inlineStr">
        <is>
          <t>DODO-PAYMENT-260909-15</t>
        </is>
      </c>
      <c r="B18" t="inlineStr">
        <is>
          <t>dodo payments</t>
        </is>
      </c>
      <c r="C18" t="inlineStr">
        <is>
          <t>Developer Relations Intern</t>
        </is>
      </c>
      <c r="D18" t="inlineStr">
        <is>
          <t>https://in.jooble.org/jdp/-6984745115447187577</t>
        </is>
      </c>
      <c r="E18" t="inlineStr">
        <is>
          <t>AI Analyzer</t>
        </is>
      </c>
      <c r="F18" t="inlineStr">
        <is>
          <t>Bangalore</t>
        </is>
      </c>
      <c r="G18" t="inlineStr">
        <is>
          <t>Unknown</t>
        </is>
      </c>
      <c r="H18" t="inlineStr">
        <is>
          <t>Internship</t>
        </is>
      </c>
      <c r="I18" t="inlineStr">
        <is>
          <t>Unknown</t>
        </is>
      </c>
      <c r="J18" t="inlineStr">
        <is>
          <t>Not specified</t>
        </is>
      </c>
      <c r="K18" t="inlineStr">
        <is>
          <t>Eligible</t>
        </is>
      </c>
      <c r="M18" t="inlineStr">
        <is>
          <t>Unknown</t>
        </is>
      </c>
      <c r="N18" t="inlineStr">
        <is>
          <t>Not specified in candidate profile</t>
        </is>
      </c>
      <c r="O18" t="inlineStr">
        <is>
          <t>UNKNOWN</t>
        </is>
      </c>
      <c r="P18" t="n">
        <v>0</v>
      </c>
      <c r="Q18" t="inlineStr">
        <is>
          <t>No</t>
        </is>
      </c>
      <c r="R18" t="inlineStr">
        <is>
          <t>Not Mentioned</t>
        </is>
      </c>
      <c r="S18" t="inlineStr">
        <is>
          <t>No mention of PPO or conversion in the snippet</t>
        </is>
      </c>
      <c r="T18" t="n">
        <v>40</v>
      </c>
      <c r="U18" t="n">
        <v>50</v>
      </c>
      <c r="V18" t="n">
        <v>30</v>
      </c>
      <c r="W18" t="n">
        <v>0</v>
      </c>
      <c r="X18" t="n">
        <v>0</v>
      </c>
      <c r="Y18" t="n">
        <v>50</v>
      </c>
      <c r="Z18" t="n">
        <v>35</v>
      </c>
      <c r="AA18" t="inlineStr">
        <is>
          <t>SKIP</t>
        </is>
      </c>
      <c r="AB18" t="inlineStr">
        <is>
          <t>communication; management; coding; crm systems; technical support; software development; apis; documentation; community engagement; workflow</t>
        </is>
      </c>
      <c r="AD18" t="inlineStr">
        <is>
          <t>Developer Relations; community engagement; technical writing / documentation; CRM systems; technical support</t>
        </is>
      </c>
      <c r="AF18" t="inlineStr">
        <is>
          <t>Role is Developer Relations (DevRel) rather than core software engineering or full stack development; Unclear stipend</t>
        </is>
      </c>
      <c r="AG18" t="inlineStr">
        <is>
          <t>Default Full Stack / Software Engineering Resume</t>
        </is>
      </c>
      <c r="AH18" t="inlineStr">
        <is>
          <t>Developer advocacy and community building experience; API documentation and technical content creation; Handling developer support and technical queries</t>
        </is>
      </c>
      <c r="AI18" t="inlineStr">
        <is>
          <t>Located in Bangalore; Involves software development and API concepts</t>
        </is>
      </c>
      <c r="AJ18" t="inlineStr">
        <is>
          <t>Role is focused on Developer Relations rather than Amaan's target roles (Backend/Full Stack/DevOps/AI Software Engineering); Stipend is unknown; No PPO mentioned; Low role fit for a core software development profile</t>
        </is>
      </c>
      <c r="AK18" t="inlineStr">
        <is>
          <t>2026-09-09</t>
        </is>
      </c>
    </row>
    <row r="19">
      <c r="A19" t="inlineStr">
        <is>
          <t>CONTINENTAL--260909-16</t>
        </is>
      </c>
      <c r="B19" t="inlineStr">
        <is>
          <t>Continental Industry</t>
        </is>
      </c>
      <c r="C19" t="inlineStr">
        <is>
          <t>Intern - AI Engineer</t>
        </is>
      </c>
      <c r="D19" t="inlineStr">
        <is>
          <t>https://in.jooble.org/jdp/-8151250632548540664</t>
        </is>
      </c>
      <c r="E19" t="inlineStr">
        <is>
          <t>AI Analyzer</t>
        </is>
      </c>
      <c r="F19" t="inlineStr">
        <is>
          <t>Bangalore</t>
        </is>
      </c>
      <c r="G19" t="inlineStr">
        <is>
          <t>UNKNOWN</t>
        </is>
      </c>
      <c r="H19" t="inlineStr">
        <is>
          <t>Internship</t>
        </is>
      </c>
      <c r="I19" t="inlineStr">
        <is>
          <t>UNKNOWN</t>
        </is>
      </c>
      <c r="J19" t="inlineStr">
        <is>
          <t>Not specified</t>
        </is>
      </c>
      <c r="K19" t="inlineStr">
        <is>
          <t>ELIGIBLE</t>
        </is>
      </c>
      <c r="L19" t="inlineStr">
        <is>
          <t>Student internship opening fits candidate profile; Location in Bangalore matches preferences</t>
        </is>
      </c>
      <c r="M19" t="inlineStr">
        <is>
          <t>UNKNOWN</t>
        </is>
      </c>
      <c r="N19" t="inlineStr">
        <is>
          <t>Availability dates not provided in the job snippet</t>
        </is>
      </c>
      <c r="O19" t="inlineStr">
        <is>
          <t>UNKNOWN</t>
        </is>
      </c>
      <c r="P19" t="n">
        <v>0</v>
      </c>
      <c r="Q19" t="inlineStr">
        <is>
          <t>No</t>
        </is>
      </c>
      <c r="R19" t="inlineStr">
        <is>
          <t>UNKNOWN</t>
        </is>
      </c>
      <c r="S19" t="inlineStr">
        <is>
          <t>Job snippet does not mention PPO conversion explicitly</t>
        </is>
      </c>
      <c r="T19" t="n">
        <v>15</v>
      </c>
      <c r="U19" t="n">
        <v>20</v>
      </c>
      <c r="V19" t="n">
        <v>15</v>
      </c>
      <c r="W19" t="n">
        <v>5</v>
      </c>
      <c r="X19" t="n">
        <v>0</v>
      </c>
      <c r="Y19" t="n">
        <v>5</v>
      </c>
      <c r="Z19" t="n">
        <v>60</v>
      </c>
      <c r="AA19" t="inlineStr">
        <is>
          <t>STRETCH</t>
        </is>
      </c>
      <c r="AB19" t="inlineStr">
        <is>
          <t>AI; Machine Learning</t>
        </is>
      </c>
      <c r="AD19" t="inlineStr">
        <is>
          <t>AI Engineering specialized tech stack (snippet is cut off)</t>
        </is>
      </c>
      <c r="AF19" t="inlineStr">
        <is>
          <t>Incomplete job description snippet</t>
        </is>
      </c>
      <c r="AG19" t="inlineStr">
        <is>
          <t>Amaan_Standard_Resume.pdf</t>
        </is>
      </c>
      <c r="AH19" t="inlineStr">
        <is>
          <t>Python for AI; Machine Learning fundamentals; Past projects involving AI or software engineering</t>
        </is>
      </c>
      <c r="AI19" t="inlineStr">
        <is>
          <t>Located in Bangalore; Internship opportunity aligning with general software engineering interests</t>
        </is>
      </c>
      <c r="AJ19" t="inlineStr">
        <is>
          <t>Job description snippet is cut off and lacks specific requirements; Stipend is unknown; PPO status is not mentioned</t>
        </is>
      </c>
      <c r="AK19" t="inlineStr">
        <is>
          <t>2026-09-09</t>
        </is>
      </c>
    </row>
    <row r="20">
      <c r="A20" t="inlineStr">
        <is>
          <t>GLOBALFOUNDR-260909-17</t>
        </is>
      </c>
      <c r="B20" t="inlineStr">
        <is>
          <t>Globalfoundries Engineering Private Limited</t>
        </is>
      </c>
      <c r="C20" t="inlineStr">
        <is>
          <t>Intern - QA Engineer</t>
        </is>
      </c>
      <c r="D20" t="inlineStr">
        <is>
          <t>https://in.jooble.org/jdp/-8396505595416879628</t>
        </is>
      </c>
      <c r="E20" t="inlineStr">
        <is>
          <t>AI Analyzer</t>
        </is>
      </c>
      <c r="F20" t="inlineStr">
        <is>
          <t>Bangalore</t>
        </is>
      </c>
      <c r="G20" t="inlineStr">
        <is>
          <t>Unknown</t>
        </is>
      </c>
      <c r="H20" t="inlineStr">
        <is>
          <t>Internship</t>
        </is>
      </c>
      <c r="I20" t="inlineStr">
        <is>
          <t>Unknown</t>
        </is>
      </c>
      <c r="J20" t="inlineStr">
        <is>
          <t>Rs 2.5 - 5.5 lakhs p.a.</t>
        </is>
      </c>
      <c r="K20" t="inlineStr">
        <is>
          <t>ELIGIBLE</t>
        </is>
      </c>
      <c r="M20" t="inlineStr">
        <is>
          <t>UNKNOWN</t>
        </is>
      </c>
      <c r="N20" t="inlineStr">
        <is>
          <t>Not mentioned in the job description.</t>
        </is>
      </c>
      <c r="O20" t="inlineStr">
        <is>
          <t>PAID</t>
        </is>
      </c>
      <c r="P20" t="n">
        <v>20833</v>
      </c>
      <c r="Q20" t="inlineStr">
        <is>
          <t>No</t>
        </is>
      </c>
      <c r="R20" t="inlineStr">
        <is>
          <t>NO</t>
        </is>
      </c>
      <c r="S20" t="inlineStr">
        <is>
          <t>No mention of PPO or conversion to full-time role in the job description.</t>
        </is>
      </c>
      <c r="T20" t="n">
        <v>30</v>
      </c>
      <c r="U20" t="n">
        <v>60</v>
      </c>
      <c r="V20" t="n">
        <v>20</v>
      </c>
      <c r="W20" t="n">
        <v>0</v>
      </c>
      <c r="X20" t="n">
        <v>80</v>
      </c>
      <c r="Y20" t="n">
        <v>50</v>
      </c>
      <c r="Z20" t="n">
        <v>40</v>
      </c>
      <c r="AA20" t="inlineStr">
        <is>
          <t>SKIP</t>
        </is>
      </c>
      <c r="AB20" t="inlineStr">
        <is>
          <t>Software QA methodologies; Software Development Life Cycle; Object-oriented programming</t>
        </is>
      </c>
      <c r="AD20" t="inlineStr">
        <is>
          <t>Software QA methodologies; Software QA tools and processes</t>
        </is>
      </c>
      <c r="AF20" t="inlineStr">
        <is>
          <t>Role is QA Engineering, which is misaligned with candidate's target roles of Full Stack, Backend, Software Engineering, DevOps/Cloud, and AI-adjacent Software Engineering.</t>
        </is>
      </c>
      <c r="AG20" t="inlineStr">
        <is>
          <t>Amaanuddin_Ahmed_Software_Engineer_Resume.pdf</t>
        </is>
      </c>
      <c r="AH20" t="inlineStr">
        <is>
          <t>Software Development Life Cycle; Quality Assurance methodologies and tools; Object-oriented programming principles</t>
        </is>
      </c>
      <c r="AI20" t="inlineStr">
        <is>
          <t>Stipend range meets expectations.; Located in Bangalore.</t>
        </is>
      </c>
      <c r="AJ20" t="inlineStr">
        <is>
          <t>Role is focused on QA Engineering rather than Software Engineering or Development.; No PPO mentioned.; Low role fit as candidate targets development and engineering roles.</t>
        </is>
      </c>
      <c r="AK20" t="inlineStr">
        <is>
          <t>2026-09-09</t>
        </is>
      </c>
    </row>
    <row r="21">
      <c r="A21" t="inlineStr">
        <is>
          <t>EMO.ENERGY-260909-18</t>
        </is>
      </c>
      <c r="B21" t="inlineStr">
        <is>
          <t>emo.energy</t>
        </is>
      </c>
      <c r="C21" t="inlineStr">
        <is>
          <t>Full-Stack Developer</t>
        </is>
      </c>
      <c r="D21" t="inlineStr">
        <is>
          <t>https://in.jooble.org/jdp/3071963684124717842</t>
        </is>
      </c>
      <c r="E21" t="inlineStr">
        <is>
          <t>AI Analyzer</t>
        </is>
      </c>
      <c r="F21" t="inlineStr">
        <is>
          <t>Bangalore</t>
        </is>
      </c>
      <c r="G21" t="inlineStr">
        <is>
          <t>Unknown</t>
        </is>
      </c>
      <c r="H21" t="inlineStr">
        <is>
          <t>Intern / Entry Level</t>
        </is>
      </c>
      <c r="I21" t="inlineStr">
        <is>
          <t>Unknown</t>
        </is>
      </c>
      <c r="J21" t="inlineStr">
        <is>
          <t>Not specified</t>
        </is>
      </c>
      <c r="K21" t="inlineStr">
        <is>
          <t>ELIGIBLE</t>
        </is>
      </c>
      <c r="L21" t="inlineStr">
        <is>
          <t>Experience requirement of 0-2 years aligns with candidate profile; Location Bangalore is acceptable</t>
        </is>
      </c>
      <c r="M21" t="inlineStr">
        <is>
          <t>UNKNOWN</t>
        </is>
      </c>
      <c r="N21" t="inlineStr">
        <is>
          <t>Candidate availability details not provided in career brain</t>
        </is>
      </c>
      <c r="O21" t="inlineStr">
        <is>
          <t>UNKNOWN</t>
        </is>
      </c>
      <c r="P21" t="n">
        <v>0</v>
      </c>
      <c r="Q21" t="inlineStr">
        <is>
          <t>No</t>
        </is>
      </c>
      <c r="R21" t="inlineStr">
        <is>
          <t>UNKNOWN</t>
        </is>
      </c>
      <c r="S21" t="inlineStr">
        <is>
          <t>No explicit PPO or conversion mention found in job snippet</t>
        </is>
      </c>
      <c r="T21" t="n">
        <v>25</v>
      </c>
      <c r="U21" t="n">
        <v>20</v>
      </c>
      <c r="V21" t="n">
        <v>15</v>
      </c>
      <c r="W21" t="n">
        <v>5</v>
      </c>
      <c r="X21" t="n">
        <v>0</v>
      </c>
      <c r="Y21" t="n">
        <v>6</v>
      </c>
      <c r="Z21" t="n">
        <v>71</v>
      </c>
      <c r="AA21" t="inlineStr">
        <is>
          <t>CONSIDER</t>
        </is>
      </c>
      <c r="AB21" t="inlineStr">
        <is>
          <t>Full-Stack Development</t>
        </is>
      </c>
      <c r="AF21" t="inlineStr">
        <is>
          <t>Stipend details not disclosed; No explicit mention of PPO</t>
        </is>
      </c>
      <c r="AG21" t="inlineStr">
        <is>
          <t>Amaanuddin_Ahmed_Full_Stack_Resume.pdf</t>
        </is>
      </c>
      <c r="AH21" t="inlineStr">
        <is>
          <t>Full stack system architecture; Recent projects like StaySphere and Zenvest; Deep-tech startup environment adaptation</t>
        </is>
      </c>
      <c r="AI21" t="inlineStr">
        <is>
          <t>Aligns well with target full-stack developer role; Experience level of 0-2 years matches candidate; Located in Bangalore</t>
        </is>
      </c>
      <c r="AJ21" t="inlineStr">
        <is>
          <t>Stipend is unknown and might be below target; No PPO confirmation found in snippet; Job description snippet is very brief</t>
        </is>
      </c>
      <c r="AK21" t="inlineStr">
        <is>
          <t>2026-09-09</t>
        </is>
      </c>
    </row>
    <row r="22">
      <c r="A22" t="inlineStr">
        <is>
          <t>PANIKCURE-260909-19</t>
        </is>
      </c>
      <c r="B22" t="inlineStr">
        <is>
          <t>panikcure</t>
        </is>
      </c>
      <c r="C22" t="inlineStr">
        <is>
          <t>Full Stack Developer Intern</t>
        </is>
      </c>
      <c r="D22" t="inlineStr">
        <is>
          <t>https://in.jooble.org/jdp/-3123247519826094573</t>
        </is>
      </c>
      <c r="E22" t="inlineStr">
        <is>
          <t>AI Analyzer</t>
        </is>
      </c>
      <c r="F22" t="inlineStr">
        <is>
          <t>Bangalore</t>
        </is>
      </c>
      <c r="G22" t="inlineStr">
        <is>
          <t>Unknown</t>
        </is>
      </c>
      <c r="H22" t="inlineStr">
        <is>
          <t>Internship</t>
        </is>
      </c>
      <c r="I22" t="inlineStr">
        <is>
          <t>Unknown</t>
        </is>
      </c>
      <c r="K22" t="inlineStr">
        <is>
          <t>Eligible</t>
        </is>
      </c>
      <c r="M22" t="inlineStr">
        <is>
          <t>Unknown</t>
        </is>
      </c>
      <c r="N22" t="inlineStr">
        <is>
          <t>Not specified in the job description.</t>
        </is>
      </c>
      <c r="O22" t="inlineStr">
        <is>
          <t>UNKNOWN</t>
        </is>
      </c>
      <c r="P22" t="n">
        <v>0</v>
      </c>
      <c r="Q22" t="inlineStr">
        <is>
          <t>No</t>
        </is>
      </c>
      <c r="R22" t="inlineStr">
        <is>
          <t>Unknown</t>
        </is>
      </c>
      <c r="S22" t="inlineStr">
        <is>
          <t>Not mentioned in the job snippet.</t>
        </is>
      </c>
      <c r="T22" t="n">
        <v>24</v>
      </c>
      <c r="U22" t="n">
        <v>16</v>
      </c>
      <c r="V22" t="n">
        <v>12</v>
      </c>
      <c r="W22" t="n">
        <v>5</v>
      </c>
      <c r="X22" t="n">
        <v>0</v>
      </c>
      <c r="Y22" t="n">
        <v>5</v>
      </c>
      <c r="Z22" t="n">
        <v>62</v>
      </c>
      <c r="AA22" t="inlineStr">
        <is>
          <t>STRETCH</t>
        </is>
      </c>
      <c r="AB22" t="inlineStr">
        <is>
          <t>Full Stack Development; Web Development; UI/UX implementation</t>
        </is>
      </c>
      <c r="AC22" t="inlineStr">
        <is>
          <t>AI-driven solutions</t>
        </is>
      </c>
      <c r="AF22" t="inlineStr">
        <is>
          <t>Early-stage innovation project with minimal stipend/salary details provided</t>
        </is>
      </c>
      <c r="AG22" t="inlineStr">
        <is>
          <t>Amaan_Full_Stack_Resume</t>
        </is>
      </c>
      <c r="AH22" t="inlineStr">
        <is>
          <t>Full stack web development architecture; Translating UI/UX designs into functional code; Early-stage startup contribution and teamwork</t>
        </is>
      </c>
      <c r="AI22" t="inlineStr">
        <is>
          <t>Role matches target Full Stack Development and Software Engineering profile.; Location is Bangalore, matching candidate preference.</t>
        </is>
      </c>
      <c r="AJ22" t="inlineStr">
        <is>
          <t>Stipend information is completely missing.; No mention of PPO or conversion opportunities.; Early-stage project with high uncertainty.</t>
        </is>
      </c>
      <c r="AK22" t="inlineStr">
        <is>
          <t>2026-09-09</t>
        </is>
      </c>
    </row>
    <row r="23">
      <c r="A23" t="inlineStr">
        <is>
          <t>EMO.ENERGY-260909-20</t>
        </is>
      </c>
      <c r="B23" t="inlineStr">
        <is>
          <t>emo.energy</t>
        </is>
      </c>
      <c r="C23" t="inlineStr">
        <is>
          <t>Full-Stack Developer Intern</t>
        </is>
      </c>
      <c r="D23" t="inlineStr">
        <is>
          <t>https://in.jooble.org/jdp/-2588912263494949841</t>
        </is>
      </c>
      <c r="E23" t="inlineStr">
        <is>
          <t>AI Analyzer</t>
        </is>
      </c>
      <c r="F23" t="inlineStr">
        <is>
          <t>Bangalore</t>
        </is>
      </c>
      <c r="G23" t="inlineStr">
        <is>
          <t>UNKNOWN</t>
        </is>
      </c>
      <c r="H23" t="inlineStr">
        <is>
          <t>Internship</t>
        </is>
      </c>
      <c r="I23" t="inlineStr">
        <is>
          <t>UNKNOWN</t>
        </is>
      </c>
      <c r="J23" t="inlineStr">
        <is>
          <t>Not mentioned</t>
        </is>
      </c>
      <c r="K23" t="inlineStr">
        <is>
          <t>ELIGIBLE</t>
        </is>
      </c>
      <c r="L23" t="inlineStr">
        <is>
          <t>No explicit hard blockers such as degree or graduation year restrictions found in the snippet</t>
        </is>
      </c>
      <c r="M23" t="inlineStr">
        <is>
          <t>UNKNOWN</t>
        </is>
      </c>
      <c r="N23" t="inlineStr">
        <is>
          <t>Not specified in the career brain</t>
        </is>
      </c>
      <c r="O23" t="inlineStr">
        <is>
          <t>UNKNOWN</t>
        </is>
      </c>
      <c r="P23" t="n">
        <v>0</v>
      </c>
      <c r="Q23" t="inlineStr">
        <is>
          <t>No</t>
        </is>
      </c>
      <c r="R23" t="inlineStr">
        <is>
          <t>UNKNOWN</t>
        </is>
      </c>
      <c r="S23" t="inlineStr">
        <is>
          <t>Not mentioned in the snippet</t>
        </is>
      </c>
      <c r="T23" t="n">
        <v>70</v>
      </c>
      <c r="U23" t="n">
        <v>70</v>
      </c>
      <c r="V23" t="n">
        <v>75</v>
      </c>
      <c r="W23" t="n">
        <v>50</v>
      </c>
      <c r="X23" t="n">
        <v>0</v>
      </c>
      <c r="Y23" t="n">
        <v>50</v>
      </c>
      <c r="Z23" t="n">
        <v>60</v>
      </c>
      <c r="AA23" t="inlineStr">
        <is>
          <t>STRETCH</t>
        </is>
      </c>
      <c r="AB23" t="inlineStr">
        <is>
          <t>Front-end development; Full-Stack development</t>
        </is>
      </c>
      <c r="AF23" t="inlineStr">
        <is>
          <t>Very sparse job description snippet provided with no stipend or duration details</t>
        </is>
      </c>
      <c r="AG23" t="inlineStr">
        <is>
          <t>Amaan_Resume_Full_Stack.pdf</t>
        </is>
      </c>
      <c r="AH23" t="inlineStr">
        <is>
          <t>Front-end development best practices; MERN stack experience; Previous projects overview</t>
        </is>
      </c>
      <c r="AI23" t="inlineStr">
        <is>
          <t>Matches target role for Full Stack Development; Located in Bangalore</t>
        </is>
      </c>
      <c r="AJ23" t="inlineStr">
        <is>
          <t>Extremely sparse job description; Stipend is not disclosed; PPO and duration details are missing</t>
        </is>
      </c>
      <c r="AK23" t="inlineStr">
        <is>
          <t>2026-09-09</t>
        </is>
      </c>
    </row>
    <row r="24">
      <c r="A24" t="inlineStr">
        <is>
          <t>TRADEGOSPEL-260909-21</t>
        </is>
      </c>
      <c r="B24" t="inlineStr">
        <is>
          <t>tradegospel</t>
        </is>
      </c>
      <c r="C24" t="inlineStr">
        <is>
          <t>Full Stack Developer Intern</t>
        </is>
      </c>
      <c r="D24" t="inlineStr">
        <is>
          <t>https://in.jooble.org/jdp/-4062499930695493919</t>
        </is>
      </c>
      <c r="E24" t="inlineStr">
        <is>
          <t>AI Analyzer</t>
        </is>
      </c>
      <c r="F24" t="inlineStr">
        <is>
          <t>Bengaluru</t>
        </is>
      </c>
      <c r="G24" t="inlineStr">
        <is>
          <t>In-office</t>
        </is>
      </c>
      <c r="H24" t="inlineStr">
        <is>
          <t>Internship</t>
        </is>
      </c>
      <c r="I24" t="inlineStr">
        <is>
          <t>3 months</t>
        </is>
      </c>
      <c r="J24" t="inlineStr">
        <is>
          <t>Not specified</t>
        </is>
      </c>
      <c r="K24" t="inlineStr">
        <is>
          <t>ELIGIBLE</t>
        </is>
      </c>
      <c r="L24" t="inlineStr">
        <is>
          <t>Location matches Bangalore preference; Matches target role of Full Stack Developer; No specific hard blockers mentioned in the snippet</t>
        </is>
      </c>
      <c r="M24" t="inlineStr">
        <is>
          <t>UNKNOWN</t>
        </is>
      </c>
      <c r="N24" t="inlineStr">
        <is>
          <t>Not specified in candidate profile</t>
        </is>
      </c>
      <c r="O24" t="inlineStr">
        <is>
          <t>UNKNOWN</t>
        </is>
      </c>
      <c r="P24" t="n">
        <v>0</v>
      </c>
      <c r="Q24" t="inlineStr">
        <is>
          <t>No</t>
        </is>
      </c>
      <c r="R24" t="inlineStr">
        <is>
          <t>UNKNOWN</t>
        </is>
      </c>
      <c r="S24" t="inlineStr">
        <is>
          <t>No mention of PPO or conversion in the job snippet</t>
        </is>
      </c>
      <c r="T24" t="n">
        <v>24</v>
      </c>
      <c r="U24" t="n">
        <v>16</v>
      </c>
      <c r="V24" t="n">
        <v>12</v>
      </c>
      <c r="W24" t="n">
        <v>5</v>
      </c>
      <c r="X24" t="n">
        <v>5</v>
      </c>
      <c r="Y24" t="n">
        <v>6</v>
      </c>
      <c r="Z24" t="n">
        <v>68</v>
      </c>
      <c r="AA24" t="inlineStr">
        <is>
          <t>STRETCH</t>
        </is>
      </c>
      <c r="AB24" t="inlineStr">
        <is>
          <t>Full Stack Development</t>
        </is>
      </c>
      <c r="AF24" t="inlineStr">
        <is>
          <t>Stipend details not disclosed; PPO information not disclosed</t>
        </is>
      </c>
      <c r="AG24" t="inlineStr">
        <is>
          <t>MERN / Full Stack Developer Resume</t>
        </is>
      </c>
      <c r="AH24" t="inlineStr">
        <is>
          <t>Full stack web development architecture; MERN stack projects discussion; API integration and database management</t>
        </is>
      </c>
      <c r="AI24" t="inlineStr">
        <is>
          <t>Aligns well with Full Stack Developer target roles; Located in Bangalore which matches preferences; Good opportunity to gain hands-on industry experience</t>
        </is>
      </c>
      <c r="AJ24" t="inlineStr">
        <is>
          <t>Stipend is completely undisclosed; No mention of PPO or conversion opportunities; Very brief job description with limited details on tech stack requirements</t>
        </is>
      </c>
      <c r="AK24" t="inlineStr">
        <is>
          <t>2026-09-09</t>
        </is>
      </c>
    </row>
    <row r="25">
      <c r="A25" t="inlineStr">
        <is>
          <t>RP-INFOCARE--260909-22</t>
        </is>
      </c>
      <c r="B25" t="inlineStr">
        <is>
          <t>rp infocare pvt ltd</t>
        </is>
      </c>
      <c r="C25" t="inlineStr">
        <is>
          <t>Full Stack Web Developer Intern</t>
        </is>
      </c>
      <c r="D25" t="inlineStr">
        <is>
          <t>https://in.jooble.org/jdp/-5507068087024381505</t>
        </is>
      </c>
      <c r="E25" t="inlineStr">
        <is>
          <t>AI Analyzer</t>
        </is>
      </c>
      <c r="F25" t="inlineStr">
        <is>
          <t>Bengaluru</t>
        </is>
      </c>
      <c r="G25" t="inlineStr">
        <is>
          <t>On-site</t>
        </is>
      </c>
      <c r="H25" t="inlineStr">
        <is>
          <t>Full-time</t>
        </is>
      </c>
      <c r="I25" t="inlineStr">
        <is>
          <t>Not Specified</t>
        </is>
      </c>
      <c r="J25" t="inlineStr">
        <is>
          <t>NON PAID</t>
        </is>
      </c>
      <c r="K25" t="inlineStr">
        <is>
          <t>Eligible</t>
        </is>
      </c>
      <c r="L25" t="inlineStr">
        <is>
          <t>No strict degree or graduation year barriers mentioned in the snippet.</t>
        </is>
      </c>
      <c r="M25" t="inlineStr">
        <is>
          <t>Unknown</t>
        </is>
      </c>
      <c r="N25" t="inlineStr">
        <is>
          <t>Not specified in the job description.</t>
        </is>
      </c>
      <c r="O25" t="inlineStr">
        <is>
          <t>Unpaid</t>
        </is>
      </c>
      <c r="P25" t="n">
        <v>0</v>
      </c>
      <c r="Q25" t="inlineStr">
        <is>
          <t>No</t>
        </is>
      </c>
      <c r="R25" t="inlineStr">
        <is>
          <t>Not Mentioned</t>
        </is>
      </c>
      <c r="S25" t="inlineStr">
        <is>
          <t>No mention of conversion to full-time or PPO.</t>
        </is>
      </c>
      <c r="T25" t="n">
        <v>40</v>
      </c>
      <c r="U25" t="n">
        <v>50</v>
      </c>
      <c r="V25" t="n">
        <v>50</v>
      </c>
      <c r="W25" t="n">
        <v>0</v>
      </c>
      <c r="X25" t="n">
        <v>0</v>
      </c>
      <c r="Y25" t="n">
        <v>20</v>
      </c>
      <c r="Z25" t="n">
        <v>35</v>
      </c>
      <c r="AA25" t="inlineStr">
        <is>
          <t>SKIP</t>
        </is>
      </c>
      <c r="AB25" t="inlineStr">
        <is>
          <t>React; PHP</t>
        </is>
      </c>
      <c r="AD25" t="inlineStr">
        <is>
          <t>PHP</t>
        </is>
      </c>
      <c r="AE25" t="inlineStr">
        <is>
          <t>Stipend is zero (NON PAID), which is below the minimum target of 25000/month.</t>
        </is>
      </c>
      <c r="AF25" t="inlineStr">
        <is>
          <t>Unpaid internship; Mandatory PHP requirement where candidate has no demonstrated project experience in PHP</t>
        </is>
      </c>
      <c r="AG25" t="inlineStr">
        <is>
          <t>Amaanuddin_Ahmed_Fullstack_Resume</t>
        </is>
      </c>
      <c r="AH25" t="inlineStr">
        <is>
          <t>React state management; PHP basics and MVC architecture; REST API integration</t>
        </is>
      </c>
      <c r="AJ25" t="inlineStr">
        <is>
          <t>The internship is unpaid (NON PAID), which falls short of the minimum stipend target of ₹25,000/month.; The role requires PHP, which is not among the primary demonstrated backend technologies (Node.js/Java/Python).; Low opportunity quality with no mention of PPO.</t>
        </is>
      </c>
      <c r="AK25" t="inlineStr">
        <is>
          <t>2026-09-09</t>
        </is>
      </c>
    </row>
    <row r="26">
      <c r="A26" t="inlineStr">
        <is>
          <t>AI4SEES-PRIV-260909-23</t>
        </is>
      </c>
      <c r="B26" t="inlineStr">
        <is>
          <t>ai4sees private ltd</t>
        </is>
      </c>
      <c r="C26" t="inlineStr">
        <is>
          <t>Full Stack Web Developer Intern</t>
        </is>
      </c>
      <c r="D26" t="inlineStr">
        <is>
          <t>https://in.jooble.org/jdp/4356507815804547926</t>
        </is>
      </c>
      <c r="E26" t="inlineStr">
        <is>
          <t>AI Analyzer</t>
        </is>
      </c>
      <c r="F26" t="inlineStr">
        <is>
          <t>Bangalore</t>
        </is>
      </c>
      <c r="G26" t="inlineStr">
        <is>
          <t>On-site</t>
        </is>
      </c>
      <c r="H26" t="inlineStr">
        <is>
          <t>Internship</t>
        </is>
      </c>
      <c r="I26" t="inlineStr">
        <is>
          <t>Not specified</t>
        </is>
      </c>
      <c r="J26" t="inlineStr">
        <is>
          <t>Not specified</t>
        </is>
      </c>
      <c r="K26" t="inlineStr">
        <is>
          <t>ELIGIBLE</t>
        </is>
      </c>
      <c r="L26" t="inlineStr">
        <is>
          <t>Target role matches candidate profile for Full Stack Development; Location is Bangalore, matching preferences</t>
        </is>
      </c>
      <c r="M26" t="inlineStr">
        <is>
          <t>UNKNOWN</t>
        </is>
      </c>
      <c r="N26" t="inlineStr">
        <is>
          <t>Candidate availability timeline is not specified in the career brain</t>
        </is>
      </c>
      <c r="O26" t="inlineStr">
        <is>
          <t>UNKNOWN</t>
        </is>
      </c>
      <c r="P26" t="n">
        <v>0</v>
      </c>
      <c r="Q26" t="inlineStr">
        <is>
          <t>No</t>
        </is>
      </c>
      <c r="R26" t="inlineStr">
        <is>
          <t>NOT MENTIONED</t>
        </is>
      </c>
      <c r="S26" t="inlineStr">
        <is>
          <t>No mention of PPO or conversion in the job snippet</t>
        </is>
      </c>
      <c r="T26" t="n">
        <v>24</v>
      </c>
      <c r="U26" t="n">
        <v>16</v>
      </c>
      <c r="V26" t="n">
        <v>12</v>
      </c>
      <c r="W26" t="n">
        <v>0</v>
      </c>
      <c r="X26" t="n">
        <v>0</v>
      </c>
      <c r="Y26" t="n">
        <v>6</v>
      </c>
      <c r="Z26" t="n">
        <v>58</v>
      </c>
      <c r="AA26" t="inlineStr">
        <is>
          <t>SKIP</t>
        </is>
      </c>
      <c r="AB26" t="inlineStr">
        <is>
          <t>Full Stack Web Development</t>
        </is>
      </c>
      <c r="AF26" t="inlineStr">
        <is>
          <t>Stipend details not disclosed; PPO information not disclosed</t>
        </is>
      </c>
      <c r="AG26" t="inlineStr">
        <is>
          <t>Amaan_Full_Stack_Resume.pdf</t>
        </is>
      </c>
      <c r="AH26" t="inlineStr">
        <is>
          <t>Full stack web development fundamentals; MERN stack architecture; Past projects like StaySphere and Zenvest</t>
        </is>
      </c>
      <c r="AI26" t="inlineStr">
        <is>
          <t>Matches target role for Full Stack Development; On-site in Bangalore</t>
        </is>
      </c>
      <c r="AJ26" t="inlineStr">
        <is>
          <t>Stipend is completely missing/unknown; No PPO information mentioned; Overall score falls below the threshold due to lack of compensation and PPO details</t>
        </is>
      </c>
      <c r="AK26" t="inlineStr">
        <is>
          <t>2026-09-09</t>
        </is>
      </c>
    </row>
    <row r="27">
      <c r="A27" t="inlineStr">
        <is>
          <t>EQUILIBRIUM-260909-24</t>
        </is>
      </c>
      <c r="B27" t="inlineStr">
        <is>
          <t>Equilibrium</t>
        </is>
      </c>
      <c r="C27" t="inlineStr">
        <is>
          <t>GIS Intern</t>
        </is>
      </c>
      <c r="D27" t="inlineStr">
        <is>
          <t>https://in.jooble.org/jdp/-4605506488581299335</t>
        </is>
      </c>
      <c r="E27" t="inlineStr">
        <is>
          <t>AI Analyzer</t>
        </is>
      </c>
      <c r="F27" t="inlineStr">
        <is>
          <t>Bangalore</t>
        </is>
      </c>
      <c r="G27" t="inlineStr">
        <is>
          <t>UNKNOWN</t>
        </is>
      </c>
      <c r="H27" t="inlineStr">
        <is>
          <t>Internship</t>
        </is>
      </c>
      <c r="I27" t="inlineStr">
        <is>
          <t>UNKNOWN</t>
        </is>
      </c>
      <c r="J27" t="inlineStr">
        <is>
          <t>Not specified</t>
        </is>
      </c>
      <c r="K27" t="inlineStr">
        <is>
          <t>UNCERTAIN</t>
        </is>
      </c>
      <c r="L27" t="inlineStr">
        <is>
          <t>Role requires GIS (Geographic Information Systems), geospatial data, mapping, and remote sensing skills which are not present in the candidate profile.</t>
        </is>
      </c>
      <c r="M27" t="inlineStr">
        <is>
          <t>UNKNOWN</t>
        </is>
      </c>
      <c r="N27" t="inlineStr">
        <is>
          <t>Candidate availability details are not provided.</t>
        </is>
      </c>
      <c r="O27" t="inlineStr">
        <is>
          <t>UNKNOWN</t>
        </is>
      </c>
      <c r="P27" t="n">
        <v>0</v>
      </c>
      <c r="Q27" t="inlineStr">
        <is>
          <t>No</t>
        </is>
      </c>
      <c r="R27" t="inlineStr">
        <is>
          <t>NO</t>
        </is>
      </c>
      <c r="S27" t="inlineStr">
        <is>
          <t>No mention of PPO or conversion in the job description snippet.</t>
        </is>
      </c>
      <c r="T27" t="n">
        <v>10</v>
      </c>
      <c r="U27" t="n">
        <v>30</v>
      </c>
      <c r="V27" t="n">
        <v>20</v>
      </c>
      <c r="W27" t="n">
        <v>0</v>
      </c>
      <c r="X27" t="n">
        <v>0</v>
      </c>
      <c r="Y27" t="n">
        <v>40</v>
      </c>
      <c r="Z27" t="n">
        <v>18</v>
      </c>
      <c r="AA27" t="inlineStr">
        <is>
          <t>SKIP</t>
        </is>
      </c>
      <c r="AB27" t="inlineStr">
        <is>
          <t>GIS; Geospatial data; Mapping; Remote sensing</t>
        </is>
      </c>
      <c r="AD27" t="inlineStr">
        <is>
          <t>GIS; Geospatial data; Mapping; Remote sensing</t>
        </is>
      </c>
      <c r="AE27" t="inlineStr">
        <is>
          <t>Lack of core GIS, mapping, and remote sensing domain expertise required for a GIS Intern role.</t>
        </is>
      </c>
      <c r="AF27" t="inlineStr">
        <is>
          <t>Unspecified stipend.; No PPO mentioned.</t>
        </is>
      </c>
      <c r="AG27" t="inlineStr">
        <is>
          <t>Default Resume</t>
        </is>
      </c>
      <c r="AH27" t="inlineStr">
        <is>
          <t>GIS software and tools; Geospatial data processing; Remote sensing techniques</t>
        </is>
      </c>
      <c r="AJ27" t="inlineStr">
        <is>
          <t>The role is specifically for a GIS Intern focused on geospatial data and remote sensing, which does not align with Amaan's software engineering and full-stack development skill set.; Stipend is unknown and likely below expectations.; No PPO mentioned.; Hard technical mismatch regarding core role requirements.</t>
        </is>
      </c>
      <c r="AK27" t="inlineStr">
        <is>
          <t>2026-09-09</t>
        </is>
      </c>
    </row>
    <row r="28">
      <c r="A28" t="inlineStr">
        <is>
          <t>IMPACTO-DIGI-260909-25</t>
        </is>
      </c>
      <c r="B28" t="inlineStr">
        <is>
          <t>Impacto Digifin Technologies Pvt. Ltd.</t>
        </is>
      </c>
      <c r="C28" t="inlineStr">
        <is>
          <t>Full Stack Developer Intern</t>
        </is>
      </c>
      <c r="D28" t="inlineStr">
        <is>
          <t>https://in.jooble.org/jdp/-3040557102943083105</t>
        </is>
      </c>
      <c r="E28" t="inlineStr">
        <is>
          <t>AI Analyzer</t>
        </is>
      </c>
      <c r="F28" t="inlineStr">
        <is>
          <t>Brookefield, Bangalore</t>
        </is>
      </c>
      <c r="G28" t="inlineStr">
        <is>
          <t>Work From Office</t>
        </is>
      </c>
      <c r="H28" t="inlineStr">
        <is>
          <t>Internship</t>
        </is>
      </c>
      <c r="I28" t="inlineStr">
        <is>
          <t>6 Months</t>
        </is>
      </c>
      <c r="J28" t="inlineStr">
        <is>
          <t>₹15,000 per Month</t>
        </is>
      </c>
      <c r="K28" t="inlineStr">
        <is>
          <t>ELIGIBLE</t>
        </is>
      </c>
      <c r="L28" t="inlineStr">
        <is>
          <t>No specific degree or experience blockers mentioned in snippet; Location matches preference (Bangalore)</t>
        </is>
      </c>
      <c r="M28" t="inlineStr">
        <is>
          <t>UNKNOWN</t>
        </is>
      </c>
      <c r="N28" t="inlineStr">
        <is>
          <t>Availability not explicitly specified in candidate profile or job description beyond the 6-month duration.</t>
        </is>
      </c>
      <c r="O28" t="inlineStr">
        <is>
          <t>BELOW_TARGET</t>
        </is>
      </c>
      <c r="P28" t="n">
        <v>15000</v>
      </c>
      <c r="Q28" t="inlineStr">
        <is>
          <t>No</t>
        </is>
      </c>
      <c r="R28" t="inlineStr">
        <is>
          <t>NOT_MENTIONED</t>
        </is>
      </c>
      <c r="S28" t="inlineStr">
        <is>
          <t>No mention of PPO or conversion in the job snippet.</t>
        </is>
      </c>
      <c r="T28" t="n">
        <v>80</v>
      </c>
      <c r="U28" t="n">
        <v>80</v>
      </c>
      <c r="V28" t="n">
        <v>80</v>
      </c>
      <c r="W28" t="n">
        <v>0</v>
      </c>
      <c r="X28" t="n">
        <v>40</v>
      </c>
      <c r="Y28" t="n">
        <v>50</v>
      </c>
      <c r="Z28" t="n">
        <v>63</v>
      </c>
      <c r="AA28" t="inlineStr">
        <is>
          <t>STRETCH</t>
        </is>
      </c>
      <c r="AB28" t="inlineStr">
        <is>
          <t>Full Stack Development</t>
        </is>
      </c>
      <c r="AF28" t="inlineStr">
        <is>
          <t>Stipend is below minimum target of ₹25,000/month; No mention of PPO</t>
        </is>
      </c>
      <c r="AG28" t="inlineStr">
        <is>
          <t>Amaanuddin_Ahmed_Full_Stack_Resume.pdf</t>
        </is>
      </c>
      <c r="AH28" t="inlineStr">
        <is>
          <t>MERN stack architecture; REST API design; State management in React; Database indexing and queries in MongoDB</t>
        </is>
      </c>
      <c r="AI28" t="inlineStr">
        <is>
          <t>Matches the Full Stack Development target role; Located in Bangalore with work from office mode; 6-month duration fits well</t>
        </is>
      </c>
      <c r="AJ28" t="inlineStr">
        <is>
          <t>Stipend of ₹15,000 is below the minimum target of ₹25,000/month; No PPO mentioned which is a high priority</t>
        </is>
      </c>
      <c r="AK28" t="inlineStr">
        <is>
          <t>2026-09-09</t>
        </is>
      </c>
    </row>
    <row r="29">
      <c r="A29" t="inlineStr">
        <is>
          <t>EQUILIBRIUM-260909-26</t>
        </is>
      </c>
      <c r="B29" t="inlineStr">
        <is>
          <t>Equilibrium</t>
        </is>
      </c>
      <c r="C29" t="inlineStr">
        <is>
          <t>Intern - Accounts &amp; Compliance</t>
        </is>
      </c>
      <c r="D29" t="inlineStr">
        <is>
          <t>https://in.jooble.org/jdp/3513868326605286801</t>
        </is>
      </c>
      <c r="E29" t="inlineStr">
        <is>
          <t>AI Analyzer</t>
        </is>
      </c>
      <c r="F29" t="inlineStr">
        <is>
          <t>Bangalore</t>
        </is>
      </c>
      <c r="G29" t="inlineStr">
        <is>
          <t>UNKNOWN</t>
        </is>
      </c>
      <c r="H29" t="inlineStr">
        <is>
          <t>Internship</t>
        </is>
      </c>
      <c r="I29" t="inlineStr">
        <is>
          <t>UNKNOWN</t>
        </is>
      </c>
      <c r="J29" t="inlineStr">
        <is>
          <t>UNKNOWN</t>
        </is>
      </c>
      <c r="K29" t="inlineStr">
        <is>
          <t>BLOCKED</t>
        </is>
      </c>
      <c r="L29" t="inlineStr">
        <is>
          <t>Role is in Accounts &amp; Compliance, which does not match candidate's target technical and engineering roles.</t>
        </is>
      </c>
      <c r="M29" t="inlineStr">
        <is>
          <t>UNKNOWN</t>
        </is>
      </c>
      <c r="N29" t="inlineStr">
        <is>
          <t>Availability not specified</t>
        </is>
      </c>
      <c r="O29" t="inlineStr">
        <is>
          <t>UNKNOWN</t>
        </is>
      </c>
      <c r="P29" t="n">
        <v>0</v>
      </c>
      <c r="Q29" t="inlineStr">
        <is>
          <t>No</t>
        </is>
      </c>
      <c r="R29" t="inlineStr">
        <is>
          <t>UNKNOWN</t>
        </is>
      </c>
      <c r="S29" t="inlineStr">
        <is>
          <t>No PPO mentioned in the job snippet.</t>
        </is>
      </c>
      <c r="T29" t="n">
        <v>0</v>
      </c>
      <c r="U29" t="n">
        <v>0</v>
      </c>
      <c r="V29" t="n">
        <v>0</v>
      </c>
      <c r="W29" t="n">
        <v>0</v>
      </c>
      <c r="X29" t="n">
        <v>0</v>
      </c>
      <c r="Y29" t="n">
        <v>0</v>
      </c>
      <c r="Z29" t="n">
        <v>0</v>
      </c>
      <c r="AA29" t="inlineStr">
        <is>
          <t>SKIP</t>
        </is>
      </c>
      <c r="AB29" t="inlineStr">
        <is>
          <t>Accounts; Compliance; Audits</t>
        </is>
      </c>
      <c r="AD29" t="inlineStr">
        <is>
          <t>Accounts; Compliance; Audits</t>
        </is>
      </c>
      <c r="AE29" t="inlineStr">
        <is>
          <t>Non-technical finance/accounts role completely misaligned with MCA software engineering profile.</t>
        </is>
      </c>
      <c r="AF29" t="inlineStr">
        <is>
          <t>Role is for accounts and compliance rather than software development.</t>
        </is>
      </c>
      <c r="AG29" t="inlineStr">
        <is>
          <t>Default</t>
        </is>
      </c>
      <c r="AJ29" t="inlineStr">
        <is>
          <t>The role focuses on accounts and compliance, not software engineering or development.; Completely outside candidate's MCA skill set and target career tracks.</t>
        </is>
      </c>
      <c r="AK29" t="inlineStr">
        <is>
          <t>2026-09-09</t>
        </is>
      </c>
    </row>
    <row r="30">
      <c r="A30" t="inlineStr">
        <is>
          <t>APPSCRIP-260909-27</t>
        </is>
      </c>
      <c r="B30" t="inlineStr">
        <is>
          <t>AppScrip</t>
        </is>
      </c>
      <c r="C30" t="inlineStr">
        <is>
          <t>Python Backend Developer Intern (FastAPI)</t>
        </is>
      </c>
      <c r="D30" t="inlineStr">
        <is>
          <t>https://in.jooble.org/jdp/-283288305107251489</t>
        </is>
      </c>
      <c r="E30" t="inlineStr">
        <is>
          <t>AI Analyzer</t>
        </is>
      </c>
      <c r="F30" t="inlineStr">
        <is>
          <t>Bangalore</t>
        </is>
      </c>
      <c r="G30" t="inlineStr">
        <is>
          <t>Unknown</t>
        </is>
      </c>
      <c r="H30" t="inlineStr">
        <is>
          <t>Internship</t>
        </is>
      </c>
      <c r="I30" t="inlineStr">
        <is>
          <t>Unknown</t>
        </is>
      </c>
      <c r="K30" t="inlineStr">
        <is>
          <t>Eligible</t>
        </is>
      </c>
      <c r="L30" t="inlineStr">
        <is>
          <t>No explicit graduation year or degree restrictions mentioned in the snippet.</t>
        </is>
      </c>
      <c r="M30" t="inlineStr">
        <is>
          <t>Unknown</t>
        </is>
      </c>
      <c r="N30" t="inlineStr">
        <is>
          <t>Candidate availability details are not provided in the career brain.</t>
        </is>
      </c>
      <c r="O30" t="inlineStr">
        <is>
          <t>UNKNOWN</t>
        </is>
      </c>
      <c r="P30" t="n">
        <v>0</v>
      </c>
      <c r="Q30" t="inlineStr">
        <is>
          <t>No</t>
        </is>
      </c>
      <c r="R30" t="inlineStr">
        <is>
          <t>Not Mentioned</t>
        </is>
      </c>
      <c r="S30" t="inlineStr">
        <is>
          <t>The job description snippet does not explicitly mention PPO or conversion opportunities.</t>
        </is>
      </c>
      <c r="T30" t="n">
        <v>20</v>
      </c>
      <c r="U30" t="n">
        <v>20</v>
      </c>
      <c r="V30" t="n">
        <v>15</v>
      </c>
      <c r="W30" t="n">
        <v>5</v>
      </c>
      <c r="X30" t="n">
        <v>0</v>
      </c>
      <c r="Y30" t="n">
        <v>5</v>
      </c>
      <c r="Z30" t="n">
        <v>65</v>
      </c>
      <c r="AA30" t="inlineStr">
        <is>
          <t>STRETCH</t>
        </is>
      </c>
      <c r="AB30" t="inlineStr">
        <is>
          <t>Python; FastAPI; Backend Development</t>
        </is>
      </c>
      <c r="AC30" t="inlineStr">
        <is>
          <t>AI; Cloud Infrastructure</t>
        </is>
      </c>
      <c r="AD30" t="inlineStr">
        <is>
          <t>FastAPI</t>
        </is>
      </c>
      <c r="AF30" t="inlineStr">
        <is>
          <t>Missing stipend information; Minimal job description snippet</t>
        </is>
      </c>
      <c r="AG30" t="inlineStr">
        <is>
          <t>Amaanuddin_Ahmed_Software_Engineering_Resume.pdf</t>
        </is>
      </c>
      <c r="AH30" t="inlineStr">
        <is>
          <t>Python Fundamentals; FastAPI Framework and Asynchronous Programming; RESTful API Design; Backend System Scalability</t>
        </is>
      </c>
      <c r="AI30" t="inlineStr">
        <is>
          <t>Aligns with backend development and software engineering targets; Located in Bangalore</t>
        </is>
      </c>
      <c r="AJ30" t="inlineStr">
        <is>
          <t>Stipend is completely unknown; FastAPI experience is not explicitly demonstrated in the career brain; No PPO mentioned in the snippet</t>
        </is>
      </c>
      <c r="AK30" t="inlineStr">
        <is>
          <t>2026-09-09</t>
        </is>
      </c>
    </row>
    <row r="31">
      <c r="A31" t="inlineStr">
        <is>
          <t>VETIFI-260909-28</t>
        </is>
      </c>
      <c r="B31" t="inlineStr">
        <is>
          <t>Vetifi</t>
        </is>
      </c>
      <c r="C31" t="inlineStr">
        <is>
          <t>Flutter SDE Intern</t>
        </is>
      </c>
      <c r="D31" t="inlineStr">
        <is>
          <t>https://in.jooble.org/jdp/-1529116818359291845</t>
        </is>
      </c>
      <c r="E31" t="inlineStr">
        <is>
          <t>AI Analyzer</t>
        </is>
      </c>
      <c r="F31" t="inlineStr">
        <is>
          <t>Remote</t>
        </is>
      </c>
      <c r="G31" t="inlineStr">
        <is>
          <t>Remote</t>
        </is>
      </c>
      <c r="H31" t="inlineStr">
        <is>
          <t>Internship</t>
        </is>
      </c>
      <c r="I31" t="inlineStr">
        <is>
          <t>3-6 months preferred</t>
        </is>
      </c>
      <c r="J31" t="inlineStr">
        <is>
          <t>Unpaid Internship</t>
        </is>
      </c>
      <c r="K31" t="inlineStr">
        <is>
          <t>Eligible</t>
        </is>
      </c>
      <c r="M31" t="inlineStr">
        <is>
          <t>Unknown</t>
        </is>
      </c>
      <c r="N31" t="inlineStr">
        <is>
          <t>Candidate availability is not specified in the career brain.</t>
        </is>
      </c>
      <c r="O31" t="inlineStr">
        <is>
          <t>Unpaid</t>
        </is>
      </c>
      <c r="P31" t="n">
        <v>0</v>
      </c>
      <c r="Q31" t="inlineStr">
        <is>
          <t>No</t>
        </is>
      </c>
      <c r="R31" t="inlineStr">
        <is>
          <t>Not Mentioned</t>
        </is>
      </c>
      <c r="S31" t="inlineStr">
        <is>
          <t>No mention of PPO or conversion in the job snippet.</t>
        </is>
      </c>
      <c r="T31" t="n">
        <v>0</v>
      </c>
      <c r="U31" t="n">
        <v>40</v>
      </c>
      <c r="V31" t="n">
        <v>40</v>
      </c>
      <c r="W31" t="n">
        <v>0</v>
      </c>
      <c r="X31" t="n">
        <v>0</v>
      </c>
      <c r="Y31" t="n">
        <v>20</v>
      </c>
      <c r="Z31" t="n">
        <v>21</v>
      </c>
      <c r="AA31" t="inlineStr">
        <is>
          <t>SKIP</t>
        </is>
      </c>
      <c r="AB31" t="inlineStr">
        <is>
          <t>Flutter; Mobile App Development</t>
        </is>
      </c>
      <c r="AD31" t="inlineStr">
        <is>
          <t>Flutter; Mobile App Development</t>
        </is>
      </c>
      <c r="AE31" t="inlineStr">
        <is>
          <t>Missing mandatory Flutter and mobile app development stack (candidate has web/backend/cloud focus).</t>
        </is>
      </c>
      <c r="AF31" t="inlineStr">
        <is>
          <t>Unpaid internship; Below minimum stipend target</t>
        </is>
      </c>
      <c r="AG31" t="inlineStr">
        <is>
          <t>Amaanuddin_Ahmed_General_Resume.pdf</t>
        </is>
      </c>
      <c r="AH31" t="inlineStr">
        <is>
          <t>Flutter framework fundamentals; Cross-platform mobile development; State management in Flutter</t>
        </is>
      </c>
      <c r="AJ31" t="inlineStr">
        <is>
          <t>Role requires Flutter which is not in candidate's demonstrated skills.; Internship is unpaid, failing the minimum stipend target of ₹25,000/month.; No PPO mentioned.</t>
        </is>
      </c>
      <c r="AK31" t="inlineStr">
        <is>
          <t>2026-09-09</t>
        </is>
      </c>
    </row>
    <row r="32">
      <c r="A32" t="inlineStr">
        <is>
          <t>EPIFI-260909-29</t>
        </is>
      </c>
      <c r="B32" t="inlineStr">
        <is>
          <t>epifi</t>
        </is>
      </c>
      <c r="C32" t="inlineStr">
        <is>
          <t>Ai Engg Intern</t>
        </is>
      </c>
      <c r="D32" t="inlineStr">
        <is>
          <t>https://in.jooble.org/jdp/458763758895582905</t>
        </is>
      </c>
      <c r="E32" t="inlineStr">
        <is>
          <t>AI Analyzer</t>
        </is>
      </c>
      <c r="F32" t="inlineStr">
        <is>
          <t>Bangalore</t>
        </is>
      </c>
      <c r="G32" t="inlineStr">
        <is>
          <t>UNKNOWN</t>
        </is>
      </c>
      <c r="H32" t="inlineStr">
        <is>
          <t>Internship</t>
        </is>
      </c>
      <c r="I32" t="inlineStr">
        <is>
          <t>UNKNOWN</t>
        </is>
      </c>
      <c r="J32" t="inlineStr">
        <is>
          <t>Not specified</t>
        </is>
      </c>
      <c r="K32" t="inlineStr">
        <is>
          <t>ELIGIBLE</t>
        </is>
      </c>
      <c r="L32" t="inlineStr">
        <is>
          <t>Requires backend or full-stack programming fundamentals with Node.js or Python, which candidate possesses.</t>
        </is>
      </c>
      <c r="M32" t="inlineStr">
        <is>
          <t>UNKNOWN</t>
        </is>
      </c>
      <c r="N32" t="inlineStr">
        <is>
          <t>Availability not explicitly specified in candidate profile or job description.</t>
        </is>
      </c>
      <c r="O32" t="inlineStr">
        <is>
          <t>UNKNOWN</t>
        </is>
      </c>
      <c r="P32" t="n">
        <v>0</v>
      </c>
      <c r="Q32" t="inlineStr">
        <is>
          <t>No</t>
        </is>
      </c>
      <c r="R32" t="inlineStr">
        <is>
          <t>UNKNOWN</t>
        </is>
      </c>
      <c r="S32" t="inlineStr">
        <is>
          <t>No mention of PPO or conversion in the job snippet.</t>
        </is>
      </c>
      <c r="T32" t="n">
        <v>27</v>
      </c>
      <c r="U32" t="n">
        <v>18</v>
      </c>
      <c r="V32" t="n">
        <v>13</v>
      </c>
      <c r="W32" t="n">
        <v>5</v>
      </c>
      <c r="X32" t="n">
        <v>5</v>
      </c>
      <c r="Y32" t="n">
        <v>8</v>
      </c>
      <c r="Z32" t="n">
        <v>76</v>
      </c>
      <c r="AA32" t="inlineStr">
        <is>
          <t>CONSIDER</t>
        </is>
      </c>
      <c r="AB32" t="inlineStr">
        <is>
          <t>Python; Node.js; Programming Fundamentals</t>
        </is>
      </c>
      <c r="AC32" t="inlineStr">
        <is>
          <t>Go</t>
        </is>
      </c>
      <c r="AF32" t="inlineStr">
        <is>
          <t>Stipend is not disclosed.</t>
        </is>
      </c>
      <c r="AG32" t="inlineStr">
        <is>
          <t>Amaanuddin_Ahmed_Software_Engineering_Resume.pdf</t>
        </is>
      </c>
      <c r="AH32" t="inlineStr">
        <is>
          <t>Backend fundamentals; Node.js architecture and event loop; Python scripting and problem solving; Independent project walkthrough</t>
        </is>
      </c>
      <c r="AI32" t="inlineStr">
        <is>
          <t>Matches the technical stack requirements with Node.js and Python.; Good opportunity for software engineering experience at a product company.</t>
        </is>
      </c>
      <c r="AJ32" t="inlineStr">
        <is>
          <t>Stipend details are completely missing.; No explicit mention of PPO.</t>
        </is>
      </c>
      <c r="AK32" t="inlineStr">
        <is>
          <t>2026-09-09</t>
        </is>
      </c>
    </row>
    <row r="33">
      <c r="A33" t="inlineStr">
        <is>
          <t>LIMINAL-CUST-260909-30</t>
        </is>
      </c>
      <c r="B33" t="inlineStr">
        <is>
          <t>liminal custody</t>
        </is>
      </c>
      <c r="C33" t="inlineStr">
        <is>
          <t>QA Automation Intern</t>
        </is>
      </c>
      <c r="D33" t="inlineStr">
        <is>
          <t>https://in.jooble.org/jdp/-313820493907634138</t>
        </is>
      </c>
      <c r="E33" t="inlineStr">
        <is>
          <t>AI Analyzer</t>
        </is>
      </c>
      <c r="F33" t="inlineStr">
        <is>
          <t>Bangalore</t>
        </is>
      </c>
      <c r="G33" t="inlineStr">
        <is>
          <t>UNKNOWN</t>
        </is>
      </c>
      <c r="H33" t="inlineStr">
        <is>
          <t>Internship</t>
        </is>
      </c>
      <c r="I33" t="inlineStr">
        <is>
          <t>UNKNOWN</t>
        </is>
      </c>
      <c r="J33" t="inlineStr">
        <is>
          <t>Not specified</t>
        </is>
      </c>
      <c r="K33" t="inlineStr">
        <is>
          <t>ELIGIBLE</t>
        </is>
      </c>
      <c r="L33" t="inlineStr">
        <is>
          <t>No strict graduation year or degree restrictions mentioned; Matches general MCA profile</t>
        </is>
      </c>
      <c r="M33" t="inlineStr">
        <is>
          <t>UNKNOWN</t>
        </is>
      </c>
      <c r="N33" t="inlineStr">
        <is>
          <t>Not specified in candidate profile</t>
        </is>
      </c>
      <c r="O33" t="inlineStr">
        <is>
          <t>UNKNOWN</t>
        </is>
      </c>
      <c r="P33" t="n">
        <v>0</v>
      </c>
      <c r="Q33" t="inlineStr">
        <is>
          <t>No</t>
        </is>
      </c>
      <c r="R33" t="inlineStr">
        <is>
          <t>UNKNOWN</t>
        </is>
      </c>
      <c r="S33" t="inlineStr">
        <is>
          <t>No mention of PPO or conversion in the job snippet</t>
        </is>
      </c>
      <c r="T33" t="n">
        <v>40</v>
      </c>
      <c r="U33" t="n">
        <v>50</v>
      </c>
      <c r="V33" t="n">
        <v>20</v>
      </c>
      <c r="W33" t="n">
        <v>0</v>
      </c>
      <c r="X33" t="n">
        <v>0</v>
      </c>
      <c r="Y33" t="n">
        <v>40</v>
      </c>
      <c r="Z33" t="n">
        <v>32</v>
      </c>
      <c r="AA33" t="inlineStr">
        <is>
          <t>SKIP</t>
        </is>
      </c>
      <c r="AB33" t="inlineStr">
        <is>
          <t>HTML &amp; CSS; Software Testing concepts; Git/GitHub; Node.js; Strong analytical and problem-solving skills</t>
        </is>
      </c>
      <c r="AD33" t="inlineStr">
        <is>
          <t>Software Testing concepts; QA Automation</t>
        </is>
      </c>
      <c r="AF33" t="inlineStr">
        <is>
          <t>Role is QA Automation, which does not align with target developer roles</t>
        </is>
      </c>
      <c r="AG33" t="inlineStr">
        <is>
          <t>Default</t>
        </is>
      </c>
      <c r="AH33" t="inlineStr">
        <is>
          <t>Software testing fundamentals; Test automation practices; Node.js basics</t>
        </is>
      </c>
      <c r="AI33" t="inlineStr">
        <is>
          <t>Mentions Node.js and Git/GitHub which match candidate profile</t>
        </is>
      </c>
      <c r="AJ33" t="inlineStr">
        <is>
          <t>Role is QA Automation focused rather than Software Engineering or Full Stack Development; Stipend is completely unknown; No PPO mentioned; Poor alignment with target roles</t>
        </is>
      </c>
      <c r="AK33" t="inlineStr">
        <is>
          <t>2026-09-09</t>
        </is>
      </c>
    </row>
    <row r="34">
      <c r="A34" t="inlineStr">
        <is>
          <t>RENTOMOJO-260909-31</t>
        </is>
      </c>
      <c r="B34" t="inlineStr">
        <is>
          <t>RentoMojo</t>
        </is>
      </c>
      <c r="C34" t="inlineStr">
        <is>
          <t>Data Analyst - Intern</t>
        </is>
      </c>
      <c r="D34" t="inlineStr">
        <is>
          <t>https://in.jooble.org/jdp/8456592047622568060</t>
        </is>
      </c>
      <c r="E34" t="inlineStr">
        <is>
          <t>AI Analyzer</t>
        </is>
      </c>
      <c r="F34" t="inlineStr">
        <is>
          <t>Bangalore</t>
        </is>
      </c>
      <c r="G34" t="inlineStr">
        <is>
          <t>Unknown</t>
        </is>
      </c>
      <c r="H34" t="inlineStr">
        <is>
          <t>Internship</t>
        </is>
      </c>
      <c r="I34" t="inlineStr">
        <is>
          <t>Unknown</t>
        </is>
      </c>
      <c r="J34" t="inlineStr">
        <is>
          <t>Not specified</t>
        </is>
      </c>
      <c r="K34" t="inlineStr">
        <is>
          <t>Eligible</t>
        </is>
      </c>
      <c r="M34" t="inlineStr">
        <is>
          <t>Unknown</t>
        </is>
      </c>
      <c r="N34" t="inlineStr">
        <is>
          <t>Not specified in candidate profile</t>
        </is>
      </c>
      <c r="O34" t="inlineStr">
        <is>
          <t>UNKNOWN</t>
        </is>
      </c>
      <c r="P34" t="n">
        <v>0</v>
      </c>
      <c r="Q34" t="inlineStr">
        <is>
          <t>No</t>
        </is>
      </c>
      <c r="R34" t="inlineStr">
        <is>
          <t>Not mentioned</t>
        </is>
      </c>
      <c r="S34" t="inlineStr">
        <is>
          <t>No conversion or PPO details found in job snippet</t>
        </is>
      </c>
      <c r="T34" t="n">
        <v>50</v>
      </c>
      <c r="U34" t="n">
        <v>60</v>
      </c>
      <c r="V34" t="n">
        <v>50</v>
      </c>
      <c r="W34" t="n">
        <v>0</v>
      </c>
      <c r="X34" t="n">
        <v>0</v>
      </c>
      <c r="Y34" t="n">
        <v>50</v>
      </c>
      <c r="Z34" t="n">
        <v>42</v>
      </c>
      <c r="AA34" t="inlineStr">
        <is>
          <t>SKIP</t>
        </is>
      </c>
      <c r="AB34" t="inlineStr">
        <is>
          <t>Business KPIs; Data Analysis; Derived Insights</t>
        </is>
      </c>
      <c r="AC34" t="inlineStr">
        <is>
          <t>Python; Node.js; Lambda scripting; DBT; Snowflake; Redshift; Fivetran</t>
        </is>
      </c>
      <c r="AD34" t="inlineStr">
        <is>
          <t>DBT; Snowflake; Redshift; Fivetran; Lambda scripting</t>
        </is>
      </c>
      <c r="AF34" t="inlineStr">
        <is>
          <t>Stipend is not disclosed; PPO information is missing</t>
        </is>
      </c>
      <c r="AG34" t="inlineStr">
        <is>
          <t>Default Full Stack / General Software Engineering Resume</t>
        </is>
      </c>
      <c r="AH34" t="inlineStr">
        <is>
          <t>SQL and Data Analysis fundamentals; Business KPI tracking; Node.js / Python scripting experience</t>
        </is>
      </c>
      <c r="AI34" t="inlineStr">
        <is>
          <t>Located in Bangalore; Mentions Node.js and Python which align with candidate skills</t>
        </is>
      </c>
      <c r="AJ34" t="inlineStr">
        <is>
          <t>Role is Data Analyst rather than core software engineering or full stack; Stipend is completely undisclosed; No PPO mentioned; Low overall technical and role fit for a primary software engineering profile</t>
        </is>
      </c>
      <c r="AK34" t="inlineStr">
        <is>
          <t>2026-09-09</t>
        </is>
      </c>
    </row>
    <row r="35">
      <c r="A35" t="inlineStr">
        <is>
          <t>SIMULATIONHU-260909-32</t>
        </is>
      </c>
      <c r="B35" t="inlineStr">
        <is>
          <t>Simulationhub</t>
        </is>
      </c>
      <c r="C35" t="inlineStr">
        <is>
          <t>Intern-Digital Transformation</t>
        </is>
      </c>
      <c r="D35" t="inlineStr">
        <is>
          <t>https://in.jooble.org/jdp/3491546633823889584</t>
        </is>
      </c>
      <c r="E35" t="inlineStr">
        <is>
          <t>AI Analyzer</t>
        </is>
      </c>
      <c r="F35" t="inlineStr">
        <is>
          <t>Bangalore</t>
        </is>
      </c>
      <c r="G35" t="inlineStr">
        <is>
          <t>Unknown</t>
        </is>
      </c>
      <c r="H35" t="inlineStr">
        <is>
          <t>Internship</t>
        </is>
      </c>
      <c r="I35" t="inlineStr">
        <is>
          <t>Unknown</t>
        </is>
      </c>
      <c r="J35" t="inlineStr">
        <is>
          <t>Rs 2.5 - 5 lakhs p.a.</t>
        </is>
      </c>
      <c r="K35" t="inlineStr">
        <is>
          <t>ELIGIBLE</t>
        </is>
      </c>
      <c r="M35" t="inlineStr">
        <is>
          <t>UNKNOWN</t>
        </is>
      </c>
      <c r="N35" t="inlineStr">
        <is>
          <t>Not specified in the job description.</t>
        </is>
      </c>
      <c r="O35" t="inlineStr">
        <is>
          <t>DISCLOSED</t>
        </is>
      </c>
      <c r="P35" t="n">
        <v>20833</v>
      </c>
      <c r="Q35" t="inlineStr">
        <is>
          <t>No</t>
        </is>
      </c>
      <c r="R35" t="inlineStr">
        <is>
          <t>UNKNOWN</t>
        </is>
      </c>
      <c r="S35" t="inlineStr">
        <is>
          <t>No mention of PPO or conversion to full-time.</t>
        </is>
      </c>
      <c r="T35" t="n">
        <v>20</v>
      </c>
      <c r="U35" t="n">
        <v>15</v>
      </c>
      <c r="V35" t="n">
        <v>10</v>
      </c>
      <c r="W35" t="n">
        <v>0</v>
      </c>
      <c r="X35" t="n">
        <v>5</v>
      </c>
      <c r="Y35" t="n">
        <v>5</v>
      </c>
      <c r="Z35" t="n">
        <v>55</v>
      </c>
      <c r="AA35" t="inlineStr">
        <is>
          <t>SKIP</t>
        </is>
      </c>
      <c r="AB35" t="inlineStr">
        <is>
          <t>Python; Flask; Node.js</t>
        </is>
      </c>
      <c r="AC35" t="inlineStr">
        <is>
          <t>.NET; PLM systems; BIM-enabled digital twins</t>
        </is>
      </c>
      <c r="AD35" t="inlineStr">
        <is>
          <t>Flask; .NET; PLM systems; BIM</t>
        </is>
      </c>
      <c r="AF35" t="inlineStr">
        <is>
          <t>Minimum guaranteed monthly stipend (approx 20,833 INR at the low end) falls slightly below Amaan's target of 25,000/month.</t>
        </is>
      </c>
      <c r="AG35" t="inlineStr">
        <is>
          <t>Default Full Stack / Backend Resume</t>
        </is>
      </c>
      <c r="AH35" t="inlineStr">
        <is>
          <t>Node.js and Python/Flask development experience; Integration workflows and PLM systems; BIM-enabled digital twins and domain knowledge</t>
        </is>
      </c>
      <c r="AI35" t="inlineStr">
        <is>
          <t>Matches core tech stack elements like Node.js and Python.</t>
        </is>
      </c>
      <c r="AJ35" t="inlineStr">
        <is>
          <t>Lowers stipend expectation slightly at the entry range.; No PPO mentioned.; Requires domain-specific expertise like BIM and PLM which are outside primary software engineering focus.</t>
        </is>
      </c>
      <c r="AK35" t="inlineStr">
        <is>
          <t>2026-09-09</t>
        </is>
      </c>
    </row>
    <row r="36">
      <c r="A36" t="inlineStr">
        <is>
          <t>VISCR-AI-260909-33</t>
        </is>
      </c>
      <c r="B36" t="inlineStr">
        <is>
          <t>viscr ai</t>
        </is>
      </c>
      <c r="C36" t="inlineStr">
        <is>
          <t>Intern Software Development Engineering R&amp;D (AI/ML/NLP)</t>
        </is>
      </c>
      <c r="D36" t="inlineStr">
        <is>
          <t>https://in.jooble.org/jdp/-8319584585580036309</t>
        </is>
      </c>
      <c r="E36" t="inlineStr">
        <is>
          <t>AI Analyzer</t>
        </is>
      </c>
      <c r="F36" t="inlineStr">
        <is>
          <t>Bangalore</t>
        </is>
      </c>
      <c r="G36" t="inlineStr">
        <is>
          <t>UNKNOWN</t>
        </is>
      </c>
      <c r="H36" t="inlineStr">
        <is>
          <t>Internship to Full-Time</t>
        </is>
      </c>
      <c r="I36" t="inlineStr">
        <is>
          <t>6 months</t>
        </is>
      </c>
      <c r="J36" t="inlineStr">
        <is>
          <t>Not specified</t>
        </is>
      </c>
      <c r="K36" t="inlineStr">
        <is>
          <t>ELIGIBLE</t>
        </is>
      </c>
      <c r="L36" t="inlineStr">
        <is>
          <t>Open to computer science students; Matches target domain of software engineering and AI-adjacent roles</t>
        </is>
      </c>
      <c r="M36" t="inlineStr">
        <is>
          <t>UNKNOWN</t>
        </is>
      </c>
      <c r="N36" t="inlineStr">
        <is>
          <t>Availability not explicitly stated in candidate profile</t>
        </is>
      </c>
      <c r="O36" t="inlineStr">
        <is>
          <t>UNKNOWN</t>
        </is>
      </c>
      <c r="P36" t="n">
        <v>0</v>
      </c>
      <c r="Q36" t="inlineStr">
        <is>
          <t>No</t>
        </is>
      </c>
      <c r="R36" t="inlineStr">
        <is>
          <t>YES</t>
        </is>
      </c>
      <c r="S36" t="inlineStr">
        <is>
          <t>Intern for 6 months and then will be converted into full-time role</t>
        </is>
      </c>
      <c r="T36" t="n">
        <v>22</v>
      </c>
      <c r="U36" t="n">
        <v>16</v>
      </c>
      <c r="V36" t="n">
        <v>14</v>
      </c>
      <c r="W36" t="n">
        <v>15</v>
      </c>
      <c r="X36" t="n">
        <v>5</v>
      </c>
      <c r="Y36" t="n">
        <v>8</v>
      </c>
      <c r="Z36" t="n">
        <v>80</v>
      </c>
      <c r="AA36" t="inlineStr">
        <is>
          <t>APPLY</t>
        </is>
      </c>
      <c r="AB36" t="inlineStr">
        <is>
          <t>C; Python; Go Lang; Java; Rust; JavaScript; TypeScript; Node.js; SQL</t>
        </is>
      </c>
      <c r="AC36" t="inlineStr">
        <is>
          <t>Other OO languages</t>
        </is>
      </c>
      <c r="AD36" t="inlineStr">
        <is>
          <t>C; Go Lang; Rust; TypeScript</t>
        </is>
      </c>
      <c r="AF36" t="inlineStr">
        <is>
          <t>Stipend details not disclosed</t>
        </is>
      </c>
      <c r="AG36" t="inlineStr">
        <is>
          <t>Amaanuddin_Ahmed_Software_Engineering_Resume.pdf</t>
        </is>
      </c>
      <c r="AH36" t="inlineStr">
        <is>
          <t>Python and Node.js development; SQL and database management; AI/ML/NLP concepts; Past capstone and full-stack projects</t>
        </is>
      </c>
      <c r="AI36" t="inlineStr">
        <is>
          <t>Explicit conversion to full-time role after 6-month internship aligns strongly with PPO priority; Matches core tech stack including Python, Java, JavaScript, and Node.js; Located in Bangalore with AI/ML/NLP R&amp;D scope</t>
        </is>
      </c>
      <c r="AJ36" t="inlineStr">
        <is>
          <t>Stipend information is currently unknown; Requires some languages like C, Go, or Rust which are not primary demonstrated skills</t>
        </is>
      </c>
      <c r="AK36" t="inlineStr">
        <is>
          <t>2026-09-09</t>
        </is>
      </c>
    </row>
    <row r="37">
      <c r="A37" t="inlineStr">
        <is>
          <t>LANMEA-260909-34</t>
        </is>
      </c>
      <c r="B37" t="inlineStr">
        <is>
          <t>lanmea</t>
        </is>
      </c>
      <c r="C37" t="inlineStr">
        <is>
          <t>AI &amp; Software Engineering Intern</t>
        </is>
      </c>
      <c r="D37" t="inlineStr">
        <is>
          <t>https://in.jooble.org/jdp/-1833422697647887305</t>
        </is>
      </c>
      <c r="E37" t="inlineStr">
        <is>
          <t>AI Analyzer</t>
        </is>
      </c>
      <c r="F37" t="inlineStr">
        <is>
          <t>Bangalore</t>
        </is>
      </c>
      <c r="G37" t="inlineStr">
        <is>
          <t>Unknown</t>
        </is>
      </c>
      <c r="H37" t="inlineStr">
        <is>
          <t>Internship</t>
        </is>
      </c>
      <c r="I37" t="inlineStr">
        <is>
          <t>Unknown</t>
        </is>
      </c>
      <c r="J37" t="inlineStr">
        <is>
          <t>Not specified</t>
        </is>
      </c>
      <c r="K37" t="inlineStr">
        <is>
          <t>ELIGIBLE</t>
        </is>
      </c>
      <c r="L37" t="inlineStr">
        <is>
          <t>Location is Bangalore, matching candidate preference.</t>
        </is>
      </c>
      <c r="M37" t="inlineStr">
        <is>
          <t>UNKNOWN</t>
        </is>
      </c>
      <c r="N37" t="inlineStr">
        <is>
          <t>Not specified in candidate profile or job description.</t>
        </is>
      </c>
      <c r="O37" t="inlineStr">
        <is>
          <t>UNKNOWN</t>
        </is>
      </c>
      <c r="P37" t="n">
        <v>0</v>
      </c>
      <c r="Q37" t="inlineStr">
        <is>
          <t>No</t>
        </is>
      </c>
      <c r="R37" t="inlineStr">
        <is>
          <t>UNKNOWN</t>
        </is>
      </c>
      <c r="S37" t="inlineStr">
        <is>
          <t>Not mentioned in the job snippet.</t>
        </is>
      </c>
      <c r="T37" t="n">
        <v>50</v>
      </c>
      <c r="U37" t="n">
        <v>60</v>
      </c>
      <c r="V37" t="n">
        <v>60</v>
      </c>
      <c r="W37" t="n">
        <v>0</v>
      </c>
      <c r="X37" t="n">
        <v>0</v>
      </c>
      <c r="Y37" t="n">
        <v>40</v>
      </c>
      <c r="Z37" t="n">
        <v>42</v>
      </c>
      <c r="AA37" t="inlineStr">
        <is>
          <t>SKIP</t>
        </is>
      </c>
      <c r="AB37" t="inlineStr">
        <is>
          <t>Software Engineering; AI</t>
        </is>
      </c>
      <c r="AC37" t="inlineStr">
        <is>
          <t>Data; Internal Tools; AI-assisted workflows</t>
        </is>
      </c>
      <c r="AD37" t="inlineStr">
        <is>
          <t>AI-assisted workflows</t>
        </is>
      </c>
      <c r="AF37" t="inlineStr">
        <is>
          <t>Job description snippet is extremely sparse and lacks clear requirements or compensation details.</t>
        </is>
      </c>
      <c r="AG37" t="inlineStr">
        <is>
          <t>Amaanuddin_Ahmed_Software_Engineer_Resume.pdf</t>
        </is>
      </c>
      <c r="AH37" t="inlineStr">
        <is>
          <t>Software engineering principles; AI-assisted workflows and internal tooling; Previous project experience</t>
        </is>
      </c>
      <c r="AI37" t="inlineStr">
        <is>
          <t>Aligns with target AI-adjacent Software Engineering role.; Located in Bangalore.</t>
        </is>
      </c>
      <c r="AJ37" t="inlineStr">
        <is>
          <t>Stipend is completely unknown.; Job description snippet lacks sufficient details regarding tech stack and requirements.; No mention of PPO.</t>
        </is>
      </c>
      <c r="AK37" t="inlineStr">
        <is>
          <t>2026-09-09</t>
        </is>
      </c>
    </row>
    <row r="38">
      <c r="A38" t="inlineStr">
        <is>
          <t>RUBRIK-260909-1</t>
        </is>
      </c>
      <c r="B38" t="inlineStr">
        <is>
          <t>Rubrik</t>
        </is>
      </c>
      <c r="C38" t="inlineStr">
        <is>
          <t>Software Engineer - Intern</t>
        </is>
      </c>
      <c r="D38" t="inlineStr">
        <is>
          <t>https://in.jooble.org/jdp/4771329012250323697</t>
        </is>
      </c>
      <c r="E38" t="inlineStr">
        <is>
          <t>AI Analyzer</t>
        </is>
      </c>
      <c r="F38" t="inlineStr">
        <is>
          <t>Pune</t>
        </is>
      </c>
      <c r="G38" t="inlineStr">
        <is>
          <t>Unknown</t>
        </is>
      </c>
      <c r="H38" t="inlineStr">
        <is>
          <t>Internship</t>
        </is>
      </c>
      <c r="I38" t="inlineStr">
        <is>
          <t>Winter Intern</t>
        </is>
      </c>
      <c r="J38" t="inlineStr">
        <is>
          <t>Not specified</t>
        </is>
      </c>
      <c r="K38" t="inlineStr">
        <is>
          <t>ELIGIBLE</t>
        </is>
      </c>
      <c r="L38" t="inlineStr">
        <is>
          <t>Candidate is pursuing MCA which aligns with software engineering intern roles.</t>
        </is>
      </c>
      <c r="M38" t="inlineStr">
        <is>
          <t>UNKNOWN</t>
        </is>
      </c>
      <c r="N38" t="inlineStr">
        <is>
          <t>Not specified in the job description or career brain.</t>
        </is>
      </c>
      <c r="O38" t="inlineStr">
        <is>
          <t>UNKNOWN</t>
        </is>
      </c>
      <c r="P38" t="n">
        <v>0</v>
      </c>
      <c r="Q38" t="inlineStr">
        <is>
          <t>No</t>
        </is>
      </c>
      <c r="R38" t="inlineStr">
        <is>
          <t>UNKNOWN</t>
        </is>
      </c>
      <c r="S38" t="inlineStr">
        <is>
          <t>No explicit mention of PPO or conversion in the snippet.</t>
        </is>
      </c>
      <c r="T38" t="n">
        <v>50</v>
      </c>
      <c r="U38" t="n">
        <v>50</v>
      </c>
      <c r="V38" t="n">
        <v>60</v>
      </c>
      <c r="W38" t="n">
        <v>0</v>
      </c>
      <c r="X38" t="n">
        <v>0</v>
      </c>
      <c r="Y38" t="n">
        <v>50</v>
      </c>
      <c r="Z38" t="n">
        <v>42</v>
      </c>
      <c r="AA38" t="inlineStr">
        <is>
          <t>SKIP</t>
        </is>
      </c>
      <c r="AF38" t="inlineStr">
        <is>
          <t>Location mismatch (Job is in Pune, candidate target location not explicitly restricted but relevant consideration)</t>
        </is>
      </c>
      <c r="AG38" t="inlineStr">
        <is>
          <t>Amaanuddin_Ahmed_Software_Engineer_Resume.pdf</t>
        </is>
      </c>
      <c r="AH38" t="inlineStr">
        <is>
          <t>Data Structures and Algorithms; Software Engineering Fundamentals; System Design basics</t>
        </is>
      </c>
      <c r="AI38" t="inlineStr">
        <is>
          <t>Good brand name (Rubrik)</t>
        </is>
      </c>
      <c r="AJ38" t="inlineStr">
        <is>
          <t>Job description snippet lacks sufficient details on required tech stack and qualifications; Stipend is completely unknown; Location is Pune while preference is usually flexible but requires relocation verification; Low overall score due to lack of technical details in the snippet</t>
        </is>
      </c>
      <c r="AK38" t="inlineStr">
        <is>
          <t>2026-09-09</t>
        </is>
      </c>
    </row>
    <row r="39">
      <c r="A39" t="inlineStr">
        <is>
          <t>TESTHIRING-260909-2</t>
        </is>
      </c>
      <c r="B39" t="inlineStr">
        <is>
          <t>TestHiring</t>
        </is>
      </c>
      <c r="C39" t="inlineStr">
        <is>
          <t>AI Engineer - Intern</t>
        </is>
      </c>
      <c r="D39" t="inlineStr">
        <is>
          <t>https://in.jooble.org/jdp/1212238152267076468</t>
        </is>
      </c>
      <c r="E39" t="inlineStr">
        <is>
          <t>AI Analyzer</t>
        </is>
      </c>
      <c r="F39" t="inlineStr">
        <is>
          <t>Bangalore North</t>
        </is>
      </c>
      <c r="G39" t="inlineStr">
        <is>
          <t>Unknown</t>
        </is>
      </c>
      <c r="H39" t="inlineStr">
        <is>
          <t>Internship</t>
        </is>
      </c>
      <c r="I39" t="inlineStr">
        <is>
          <t>Unknown</t>
        </is>
      </c>
      <c r="J39" t="inlineStr">
        <is>
          <t>Rs 15000 - Rs 20000 per month</t>
        </is>
      </c>
      <c r="K39" t="inlineStr">
        <is>
          <t>eligible</t>
        </is>
      </c>
      <c r="L39" t="inlineStr">
        <is>
          <t>No strict hard blockers found in description.</t>
        </is>
      </c>
      <c r="M39" t="inlineStr">
        <is>
          <t>unknown</t>
        </is>
      </c>
      <c r="N39" t="inlineStr">
        <is>
          <t>Candidate availability timeline not specified in prompt.</t>
        </is>
      </c>
      <c r="O39" t="inlineStr">
        <is>
          <t>exact</t>
        </is>
      </c>
      <c r="P39" t="n">
        <v>15000</v>
      </c>
      <c r="Q39" t="inlineStr">
        <is>
          <t>No</t>
        </is>
      </c>
      <c r="R39" t="inlineStr">
        <is>
          <t>not mentioned</t>
        </is>
      </c>
      <c r="S39" t="inlineStr">
        <is>
          <t>No mention of PPO or conversion in the job description.</t>
        </is>
      </c>
      <c r="T39" t="n">
        <v>60</v>
      </c>
      <c r="U39" t="n">
        <v>70</v>
      </c>
      <c r="V39" t="n">
        <v>65</v>
      </c>
      <c r="W39" t="n">
        <v>0</v>
      </c>
      <c r="X39" t="n">
        <v>40</v>
      </c>
      <c r="Y39" t="n">
        <v>60</v>
      </c>
      <c r="Z39" t="n">
        <v>55</v>
      </c>
      <c r="AA39" t="inlineStr">
        <is>
          <t>SKIP</t>
        </is>
      </c>
      <c r="AB39" t="inlineStr">
        <is>
          <t>Rapid Prototyping; Chatbots; Workflow Automations</t>
        </is>
      </c>
      <c r="AD39" t="inlineStr">
        <is>
          <t>Dedicated AI/LLM Engineering experience</t>
        </is>
      </c>
      <c r="AF39" t="inlineStr">
        <is>
          <t>Stipend is below the minimum target of ₹25,000/month; No mention of PPO</t>
        </is>
      </c>
      <c r="AG39" t="inlineStr">
        <is>
          <t>Amaanuddin_Ahmed_Resume.pdf</t>
        </is>
      </c>
      <c r="AH39" t="inlineStr">
        <is>
          <t>Rapid prototyping methodology; Chatbot development experience; Workflow automation tools</t>
        </is>
      </c>
      <c r="AI39" t="inlineStr">
        <is>
          <t>Located in Bengaluru; AI-adjacent exposure</t>
        </is>
      </c>
      <c r="AJ39" t="inlineStr">
        <is>
          <t>Stipend of Rs 15000-20000 is below the minimum target of ₹25,000/month; PPO is not mentioned, which is a high priority; Low overall score due to compensation and missing PPO</t>
        </is>
      </c>
      <c r="AK39" t="inlineStr">
        <is>
          <t>2026-09-09</t>
        </is>
      </c>
    </row>
    <row r="40">
      <c r="A40" t="inlineStr">
        <is>
          <t>NEOSTATS-260909-3</t>
        </is>
      </c>
      <c r="B40" t="inlineStr">
        <is>
          <t>neostats</t>
        </is>
      </c>
      <c r="C40" t="inlineStr">
        <is>
          <t>Artificial Intelligence Engineer Intern</t>
        </is>
      </c>
      <c r="D40" t="inlineStr">
        <is>
          <t>https://in.jooble.org/jdp/-7292019498942283213</t>
        </is>
      </c>
      <c r="E40" t="inlineStr">
        <is>
          <t>AI Analyzer</t>
        </is>
      </c>
      <c r="F40" t="inlineStr">
        <is>
          <t>Bangalore</t>
        </is>
      </c>
      <c r="G40" t="inlineStr">
        <is>
          <t>Onsite</t>
        </is>
      </c>
      <c r="H40" t="inlineStr">
        <is>
          <t>Internship</t>
        </is>
      </c>
      <c r="I40" t="inlineStr">
        <is>
          <t>6 months</t>
        </is>
      </c>
      <c r="J40" t="inlineStr">
        <is>
          <t>Paid Internship</t>
        </is>
      </c>
      <c r="K40" t="inlineStr">
        <is>
          <t>ELIGIBLE</t>
        </is>
      </c>
      <c r="L40" t="inlineStr">
        <is>
          <t>Experience requirement is 0-3 years which fits freshers or early professionals</t>
        </is>
      </c>
      <c r="M40" t="inlineStr">
        <is>
          <t>UNKNOWN</t>
        </is>
      </c>
      <c r="N40" t="inlineStr">
        <is>
          <t>Not enough information to determine availability constraints</t>
        </is>
      </c>
      <c r="O40" t="inlineStr">
        <is>
          <t>UNKNOWN</t>
        </is>
      </c>
      <c r="P40" t="n">
        <v>0</v>
      </c>
      <c r="Q40" t="inlineStr">
        <is>
          <t>No</t>
        </is>
      </c>
      <c r="R40" t="inlineStr">
        <is>
          <t>NOT_MENTIONED</t>
        </is>
      </c>
      <c r="S40" t="inlineStr">
        <is>
          <t>No mention of PPO or conversion to full-time role in the snippet</t>
        </is>
      </c>
      <c r="T40" t="n">
        <v>40</v>
      </c>
      <c r="U40" t="n">
        <v>90</v>
      </c>
      <c r="V40" t="n">
        <v>60</v>
      </c>
      <c r="W40" t="n">
        <v>0</v>
      </c>
      <c r="X40" t="n">
        <v>40</v>
      </c>
      <c r="Y40" t="n">
        <v>50</v>
      </c>
      <c r="Z40" t="n">
        <v>52</v>
      </c>
      <c r="AA40" t="inlineStr">
        <is>
          <t>SKIP</t>
        </is>
      </c>
      <c r="AB40" t="inlineStr">
        <is>
          <t>AI-powered applications; Prototypes development; Performance metrics</t>
        </is>
      </c>
      <c r="AD40" t="inlineStr">
        <is>
          <t>Machine Learning; Deep Learning; AI Model Development</t>
        </is>
      </c>
      <c r="AF40" t="inlineStr">
        <is>
          <t>Stipend amount is unknown despite being marked as paid</t>
        </is>
      </c>
      <c r="AG40" t="inlineStr">
        <is>
          <t>Default Software Engineering Resume</t>
        </is>
      </c>
      <c r="AH40" t="inlineStr">
        <is>
          <t>Python programming; Building software prototypes; Basic AI concepts</t>
        </is>
      </c>
      <c r="AI40" t="inlineStr">
        <is>
          <t>Located in Bangalore with onsite mode; Internship duration is 6 months matching academic requirements</t>
        </is>
      </c>
      <c r="AJ40" t="inlineStr">
        <is>
          <t>PPO is not mentioned; Stipend amount is completely unspecified; Role focuses heavily on AI Engineering whereas candidate profile is primarily Full Stack / Backend / Software Engineering</t>
        </is>
      </c>
      <c r="AK40" t="inlineStr">
        <is>
          <t>2026-09-09</t>
        </is>
      </c>
    </row>
    <row r="41">
      <c r="A41" t="inlineStr">
        <is>
          <t>LANE-260909-4</t>
        </is>
      </c>
      <c r="B41" t="inlineStr">
        <is>
          <t>Lane</t>
        </is>
      </c>
      <c r="C41" t="inlineStr">
        <is>
          <t>Tech- Intern</t>
        </is>
      </c>
      <c r="D41" t="inlineStr">
        <is>
          <t>https://in.jooble.org/jdp/-3697916622688250511</t>
        </is>
      </c>
      <c r="E41" t="inlineStr">
        <is>
          <t>AI Analyzer</t>
        </is>
      </c>
      <c r="F41" t="inlineStr">
        <is>
          <t>Bangalore</t>
        </is>
      </c>
      <c r="G41" t="inlineStr">
        <is>
          <t>Unknown</t>
        </is>
      </c>
      <c r="H41" t="inlineStr">
        <is>
          <t>Internship</t>
        </is>
      </c>
      <c r="I41" t="inlineStr">
        <is>
          <t>Unknown</t>
        </is>
      </c>
      <c r="K41" t="inlineStr">
        <is>
          <t>Eligible</t>
        </is>
      </c>
      <c r="M41" t="inlineStr">
        <is>
          <t>Unknown</t>
        </is>
      </c>
      <c r="N41" t="inlineStr">
        <is>
          <t>Not specified in the job description.</t>
        </is>
      </c>
      <c r="O41" t="inlineStr">
        <is>
          <t>UNKNOWN</t>
        </is>
      </c>
      <c r="P41" t="n">
        <v>0</v>
      </c>
      <c r="Q41" t="inlineStr">
        <is>
          <t>No</t>
        </is>
      </c>
      <c r="R41" t="inlineStr">
        <is>
          <t>Unknown</t>
        </is>
      </c>
      <c r="S41" t="inlineStr">
        <is>
          <t>No mention of PPO or conversion in the job snippet.</t>
        </is>
      </c>
      <c r="T41" t="n">
        <v>30</v>
      </c>
      <c r="U41" t="n">
        <v>20</v>
      </c>
      <c r="V41" t="n">
        <v>15</v>
      </c>
      <c r="W41" t="n">
        <v>5</v>
      </c>
      <c r="X41" t="n">
        <v>0</v>
      </c>
      <c r="Y41" t="n">
        <v>5</v>
      </c>
      <c r="Z41" t="n">
        <v>75</v>
      </c>
      <c r="AA41" t="inlineStr">
        <is>
          <t>CONSIDER</t>
        </is>
      </c>
      <c r="AB41" t="inlineStr">
        <is>
          <t>Node.js; Python; HTML; CSS; JavaScript; React</t>
        </is>
      </c>
      <c r="AF41" t="inlineStr">
        <is>
          <t>Stipend is not disclosed.</t>
        </is>
      </c>
      <c r="AG41" t="inlineStr">
        <is>
          <t>Full Stack / Software Engineering Resume</t>
        </is>
      </c>
      <c r="AH41" t="inlineStr">
        <is>
          <t>Backend fundamentals (Node.js or Python); Frontend basics (HTML, CSS, JavaScript, React); Past project experience in software development</t>
        </is>
      </c>
      <c r="AI41" t="inlineStr">
        <is>
          <t>Amaan's demonstrated skills in Node.js, Python, JavaScript, and React perfectly match the required stack.; Location matches target preferences (Bangalore).</t>
        </is>
      </c>
      <c r="AJ41" t="inlineStr">
        <is>
          <t>Stipend details are completely missing.; PPO information is not mentioned.</t>
        </is>
      </c>
      <c r="AK41" t="inlineStr">
        <is>
          <t>2026-09-09</t>
        </is>
      </c>
    </row>
  </sheetData>
  <autoFilter ref="A1:AK49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0" customWidth="1" min="1" max="1"/>
    <col width="105" customWidth="1" min="2" max="2"/>
  </cols>
  <sheetData>
    <row r="1" ht="39" customHeight="1">
      <c r="A1" s="7" t="inlineStr">
        <is>
          <t>AI → CRM workflow</t>
        </is>
      </c>
      <c r="B1" s="2" t="n"/>
    </row>
    <row r="2">
      <c r="A2" s="2" t="inlineStr">
        <is>
          <t>1</t>
        </is>
      </c>
      <c r="B2" s="2" t="inlineStr">
        <is>
          <t>Run a JD through the AI Job Analyzer.</t>
        </is>
      </c>
    </row>
    <row r="3">
      <c r="A3" s="2" t="inlineStr">
        <is>
          <t>2</t>
        </is>
      </c>
      <c r="B3" s="2" t="inlineStr">
        <is>
          <t>Copy the structured JSON result into the importer script/tool we will build next.</t>
        </is>
      </c>
    </row>
    <row r="4">
      <c r="A4" s="2" t="inlineStr">
        <is>
          <t>3</t>
        </is>
      </c>
      <c r="B4" s="2" t="inlineStr">
        <is>
          <t>The importer maps the analysis into AI_Import and Jobs.</t>
        </is>
      </c>
    </row>
    <row r="5">
      <c r="A5" s="2" t="inlineStr">
        <is>
          <t>4</t>
        </is>
      </c>
      <c r="B5" s="2" t="inlineStr">
        <is>
          <t>Only shortlisted jobs move into Applications after you personally approve them.</t>
        </is>
      </c>
    </row>
    <row r="6">
      <c r="A6" s="2" t="inlineStr">
        <is>
          <t>5</t>
        </is>
      </c>
      <c r="B6" s="2" t="inlineStr">
        <is>
          <t>Never let AI submit applications automatically at this stage.</t>
        </is>
      </c>
    </row>
    <row r="7">
      <c r="A7" s="2" t="inlineStr">
        <is>
          <t>Current scoring</t>
        </is>
      </c>
      <c r="B7" s="2" t="inlineStr">
        <is>
          <t>Technical 30% + Experience 20% + Role 15% + PPO 15% + Compensation 10% + Opportunity Quality 10%.</t>
        </is>
      </c>
    </row>
    <row r="8">
      <c r="A8" s="2" t="inlineStr">
        <is>
          <t>Hard blockers</t>
        </is>
      </c>
      <c r="B8" s="2" t="inlineStr">
        <is>
          <t>Eligibility or availability failure forces SKIP regardless of score.</t>
        </is>
      </c>
    </row>
    <row r="9" ht="30" customHeight="1">
      <c r="A9" s="2" t="inlineStr">
        <is>
          <t>Compensation</t>
        </is>
      </c>
      <c r="B9" s="2" t="inlineStr">
        <is>
          <t>Guaranteed/fixed pay is what counts toward the ₹25,000 minimum; incentive-only amounts are not treated as guaranteed.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2026-08-17T20:57:55Z</dcterms:created>
  <dcterms:modified xsi:type="dcterms:W3CDTF">2026-09-09T11:58:53Z</dcterms:modified>
  <cp:lastModifiedBy>Amaanuddin Ahmed</cp:lastModifiedBy>
</cp:coreProperties>
</file>